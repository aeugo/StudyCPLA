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C4BEDABA-A60D-40C1-A740-2EDCAA165EA8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84" r:id="rId7"/>
  </sheets>
  <definedNames>
    <definedName name="_xlnm._FilterDatabase" localSheetId="4" hidden="1">기출빈도!$B$4:$J$91</definedName>
    <definedName name="_xlnm._FilterDatabase" localSheetId="5" hidden="1">문제목록!$B$3:$T$122</definedName>
    <definedName name="_xlnm._FilterDatabase" localSheetId="2" hidden="1">용어・개념!$B$3:$G$3</definedName>
    <definedName name="_xlnm._FilterDatabase" localSheetId="6" hidden="1">통합목록!$B$3:$N$584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83" i="84" l="1"/>
  <c r="N584" i="84"/>
  <c r="N582" i="84"/>
  <c r="N581" i="84"/>
  <c r="N580" i="84"/>
  <c r="N579" i="84"/>
  <c r="N578" i="84"/>
  <c r="N577" i="84"/>
  <c r="N576" i="84"/>
  <c r="N568" i="84"/>
  <c r="N574" i="84"/>
  <c r="N567" i="84"/>
  <c r="N575" i="84"/>
  <c r="N573" i="84"/>
  <c r="N570" i="84"/>
  <c r="N569" i="84"/>
  <c r="N571" i="84"/>
  <c r="N572" i="84"/>
  <c r="N566" i="84"/>
  <c r="N565" i="84"/>
  <c r="N564" i="84"/>
  <c r="N563" i="84"/>
  <c r="N562" i="84"/>
  <c r="N561" i="84"/>
  <c r="N560" i="84"/>
  <c r="N559" i="84"/>
  <c r="N558" i="84"/>
  <c r="N557" i="84"/>
  <c r="N556" i="84"/>
  <c r="N554" i="84"/>
  <c r="N552" i="84"/>
  <c r="N551" i="84"/>
  <c r="N555" i="84"/>
  <c r="N553" i="84"/>
  <c r="N550" i="84"/>
  <c r="N546" i="84"/>
  <c r="N549" i="84"/>
  <c r="N548" i="84"/>
  <c r="N547" i="84"/>
  <c r="N545" i="84"/>
  <c r="N544" i="84"/>
  <c r="N543" i="84"/>
  <c r="N542" i="84"/>
  <c r="N541" i="84"/>
  <c r="N540" i="84"/>
  <c r="N539" i="84"/>
  <c r="N538" i="84"/>
  <c r="N535" i="84"/>
  <c r="N536" i="84"/>
  <c r="N537" i="84"/>
  <c r="N534" i="84"/>
  <c r="N533" i="84"/>
  <c r="N532" i="84"/>
  <c r="N531" i="84"/>
  <c r="N530" i="84"/>
  <c r="N529" i="84"/>
  <c r="N528" i="84"/>
  <c r="N527" i="84"/>
  <c r="N526" i="84"/>
  <c r="N522" i="84"/>
  <c r="N523" i="84"/>
  <c r="N524" i="84"/>
  <c r="N525" i="84"/>
  <c r="N519" i="84"/>
  <c r="N521" i="84"/>
  <c r="N520" i="84"/>
  <c r="N518" i="84"/>
  <c r="N517" i="84"/>
  <c r="N516" i="84"/>
  <c r="N514" i="84"/>
  <c r="N512" i="84"/>
  <c r="N513" i="84"/>
  <c r="N515" i="84"/>
  <c r="N511" i="84"/>
  <c r="N510" i="84"/>
  <c r="N509" i="84"/>
  <c r="N508" i="84"/>
  <c r="N506" i="84"/>
  <c r="N507" i="84"/>
  <c r="N505" i="84"/>
  <c r="N504" i="84"/>
  <c r="N502" i="84"/>
  <c r="N499" i="84"/>
  <c r="N497" i="84"/>
  <c r="N500" i="84"/>
  <c r="N501" i="84"/>
  <c r="N503" i="84"/>
  <c r="N498" i="84"/>
  <c r="N496" i="84"/>
  <c r="N495" i="84"/>
  <c r="N494" i="84"/>
  <c r="N493" i="84"/>
  <c r="N491" i="84"/>
  <c r="N489" i="84"/>
  <c r="N490" i="84"/>
  <c r="N492" i="84"/>
  <c r="N488" i="84"/>
  <c r="N487" i="84"/>
  <c r="N486" i="84"/>
  <c r="N475" i="84"/>
  <c r="N472" i="84"/>
  <c r="N474" i="84"/>
  <c r="N485" i="84"/>
  <c r="N471" i="84"/>
  <c r="N473" i="84"/>
  <c r="N476" i="84"/>
  <c r="N481" i="84"/>
  <c r="N478" i="84"/>
  <c r="N477" i="84"/>
  <c r="N468" i="84"/>
  <c r="N482" i="84"/>
  <c r="N470" i="84"/>
  <c r="N483" i="84"/>
  <c r="N479" i="84"/>
  <c r="N484" i="84"/>
  <c r="N467" i="84"/>
  <c r="N480" i="84"/>
  <c r="N469" i="84"/>
  <c r="N466" i="84"/>
  <c r="N465" i="84"/>
  <c r="N464" i="84"/>
  <c r="N463" i="84"/>
  <c r="N462" i="84"/>
  <c r="N451" i="84"/>
  <c r="N458" i="84"/>
  <c r="N459" i="84"/>
  <c r="N460" i="84"/>
  <c r="N457" i="84"/>
  <c r="N446" i="84"/>
  <c r="N455" i="84"/>
  <c r="N445" i="84"/>
  <c r="N443" i="84"/>
  <c r="N448" i="84"/>
  <c r="N453" i="84"/>
  <c r="N456" i="84"/>
  <c r="N449" i="84"/>
  <c r="N452" i="84"/>
  <c r="N461" i="84"/>
  <c r="N444" i="84"/>
  <c r="N450" i="84"/>
  <c r="N447" i="84"/>
  <c r="N454" i="84"/>
  <c r="N442" i="84"/>
  <c r="N441" i="84"/>
  <c r="N440" i="84"/>
  <c r="N439" i="84"/>
  <c r="N438" i="84"/>
  <c r="N437" i="84"/>
  <c r="N436" i="84"/>
  <c r="N435" i="84"/>
  <c r="N434" i="84"/>
  <c r="N433" i="84"/>
  <c r="N432" i="84"/>
  <c r="N430" i="84"/>
  <c r="N431" i="84"/>
  <c r="N428" i="84"/>
  <c r="N425" i="84"/>
  <c r="N429" i="84"/>
  <c r="N426" i="84"/>
  <c r="N427" i="84"/>
  <c r="N424" i="84"/>
  <c r="N423" i="84"/>
  <c r="N422" i="84"/>
  <c r="N421" i="84"/>
  <c r="N410" i="84"/>
  <c r="N408" i="84"/>
  <c r="N414" i="84"/>
  <c r="N416" i="84"/>
  <c r="N415" i="84"/>
  <c r="N417" i="84"/>
  <c r="N419" i="84"/>
  <c r="N411" i="84"/>
  <c r="N418" i="84"/>
  <c r="N413" i="84"/>
  <c r="N412" i="84"/>
  <c r="N409" i="84"/>
  <c r="N420" i="84"/>
  <c r="N407" i="84"/>
  <c r="N406" i="84"/>
  <c r="N405" i="84"/>
  <c r="N404" i="84"/>
  <c r="N380" i="84"/>
  <c r="N383" i="84"/>
  <c r="N360" i="84"/>
  <c r="N395" i="84"/>
  <c r="N354" i="84"/>
  <c r="N373" i="84"/>
  <c r="N366" i="84"/>
  <c r="N351" i="84"/>
  <c r="N369" i="84"/>
  <c r="N391" i="84"/>
  <c r="N376" i="84"/>
  <c r="N353" i="84"/>
  <c r="N381" i="84"/>
  <c r="N367" i="84"/>
  <c r="N372" i="84"/>
  <c r="N357" i="84"/>
  <c r="N378" i="84"/>
  <c r="N387" i="84"/>
  <c r="N365" i="84"/>
  <c r="N384" i="84"/>
  <c r="N388" i="84"/>
  <c r="N358" i="84"/>
  <c r="N400" i="84"/>
  <c r="N356" i="84"/>
  <c r="N374" i="84"/>
  <c r="N397" i="84"/>
  <c r="N362" i="84"/>
  <c r="N371" i="84"/>
  <c r="N355" i="84"/>
  <c r="N394" i="84"/>
  <c r="N402" i="84"/>
  <c r="N382" i="84"/>
  <c r="N375" i="84"/>
  <c r="N364" i="84"/>
  <c r="N401" i="84"/>
  <c r="N393" i="84"/>
  <c r="N361" i="84"/>
  <c r="N377" i="84"/>
  <c r="N392" i="84"/>
  <c r="N370" i="84"/>
  <c r="N385" i="84"/>
  <c r="N359" i="84"/>
  <c r="N389" i="84"/>
  <c r="N363" i="84"/>
  <c r="N399" i="84"/>
  <c r="N386" i="84"/>
  <c r="N352" i="84"/>
  <c r="N403" i="84"/>
  <c r="N396" i="84"/>
  <c r="N398" i="84"/>
  <c r="N368" i="84"/>
  <c r="N390" i="84"/>
  <c r="N379" i="84"/>
  <c r="N350" i="84"/>
  <c r="N349" i="84"/>
  <c r="N348" i="84"/>
  <c r="N347" i="84"/>
  <c r="N346" i="84"/>
  <c r="N345" i="84"/>
  <c r="N338" i="84"/>
  <c r="N341" i="84"/>
  <c r="N339" i="84"/>
  <c r="N334" i="84"/>
  <c r="N340" i="84"/>
  <c r="N344" i="84"/>
  <c r="N342" i="84"/>
  <c r="N343" i="84"/>
  <c r="N335" i="84"/>
  <c r="N336" i="84"/>
  <c r="N333" i="84"/>
  <c r="N337" i="84"/>
  <c r="N332" i="84"/>
  <c r="N331" i="84"/>
  <c r="N329" i="84"/>
  <c r="N330" i="84"/>
  <c r="N328" i="84"/>
  <c r="N327" i="84"/>
  <c r="N326" i="84"/>
  <c r="N324" i="84"/>
  <c r="N322" i="84"/>
  <c r="N311" i="84"/>
  <c r="N318" i="84"/>
  <c r="N309" i="84"/>
  <c r="N321" i="84"/>
  <c r="N319" i="84"/>
  <c r="N320" i="84"/>
  <c r="N325" i="84"/>
  <c r="N313" i="84"/>
  <c r="N315" i="84"/>
  <c r="N310" i="84"/>
  <c r="N317" i="84"/>
  <c r="N314" i="84"/>
  <c r="N312" i="84"/>
  <c r="N323" i="84"/>
  <c r="N316" i="84"/>
  <c r="N308" i="84"/>
  <c r="N307" i="84"/>
  <c r="N306" i="84"/>
  <c r="N305" i="84"/>
  <c r="N304" i="84"/>
  <c r="N303" i="84"/>
  <c r="N302" i="84"/>
  <c r="N301" i="84"/>
  <c r="N297" i="84"/>
  <c r="N300" i="84"/>
  <c r="N299" i="84"/>
  <c r="N296" i="84"/>
  <c r="N294" i="84"/>
  <c r="N298" i="84"/>
  <c r="N295" i="84"/>
  <c r="N293" i="84"/>
  <c r="N292" i="84"/>
  <c r="N291" i="84"/>
  <c r="N288" i="84"/>
  <c r="N290" i="84"/>
  <c r="N289" i="84"/>
  <c r="N287" i="84"/>
  <c r="N286" i="84"/>
  <c r="N285" i="84"/>
  <c r="N279" i="84"/>
  <c r="N280" i="84"/>
  <c r="N283" i="84"/>
  <c r="N275" i="84"/>
  <c r="N278" i="84"/>
  <c r="N276" i="84"/>
  <c r="N274" i="84"/>
  <c r="N273" i="84"/>
  <c r="N281" i="84"/>
  <c r="N282" i="84"/>
  <c r="N277" i="84"/>
  <c r="N284" i="84"/>
  <c r="N272" i="84"/>
  <c r="N271" i="84"/>
  <c r="N270" i="84"/>
  <c r="N269" i="84"/>
  <c r="N264" i="84"/>
  <c r="N258" i="84"/>
  <c r="N266" i="84"/>
  <c r="N259" i="84"/>
  <c r="N267" i="84"/>
  <c r="N268" i="84"/>
  <c r="N263" i="84"/>
  <c r="N260" i="84"/>
  <c r="N265" i="84"/>
  <c r="N262" i="84"/>
  <c r="N261" i="84"/>
  <c r="N257" i="84"/>
  <c r="N256" i="84"/>
  <c r="N255" i="84"/>
  <c r="N254" i="84"/>
  <c r="N253" i="84"/>
  <c r="N252" i="84"/>
  <c r="N251" i="84"/>
  <c r="N250" i="84"/>
  <c r="N249" i="84"/>
  <c r="N248" i="84"/>
  <c r="N245" i="84"/>
  <c r="N247" i="84"/>
  <c r="N246" i="84"/>
  <c r="N243" i="84"/>
  <c r="N244" i="84"/>
  <c r="N242" i="84"/>
  <c r="N241" i="84"/>
  <c r="N240" i="84"/>
  <c r="N231" i="84"/>
  <c r="N238" i="84"/>
  <c r="N235" i="84"/>
  <c r="N229" i="84"/>
  <c r="N234" i="84"/>
  <c r="N232" i="84"/>
  <c r="N236" i="84"/>
  <c r="N228" i="84"/>
  <c r="N230" i="84"/>
  <c r="N239" i="84"/>
  <c r="N237" i="84"/>
  <c r="N233" i="84"/>
  <c r="N227" i="84"/>
  <c r="N226" i="84"/>
  <c r="N225" i="84"/>
  <c r="N224" i="84"/>
  <c r="N223" i="84"/>
  <c r="N222" i="84"/>
  <c r="N221" i="84"/>
  <c r="N220" i="84"/>
  <c r="N219" i="84"/>
  <c r="N218" i="84"/>
  <c r="N217" i="84"/>
  <c r="N215" i="84"/>
  <c r="N213" i="84"/>
  <c r="N203" i="84"/>
  <c r="N210" i="84"/>
  <c r="N212" i="84"/>
  <c r="N211" i="84"/>
  <c r="N206" i="84"/>
  <c r="N208" i="84"/>
  <c r="N214" i="84"/>
  <c r="N216" i="84"/>
  <c r="N209" i="84"/>
  <c r="N207" i="84"/>
  <c r="N205" i="84"/>
  <c r="N204" i="84"/>
  <c r="N202" i="84"/>
  <c r="N201" i="84"/>
  <c r="N200" i="84"/>
  <c r="N199" i="84"/>
  <c r="N198" i="84"/>
  <c r="N176" i="84"/>
  <c r="N190" i="84"/>
  <c r="N181" i="84"/>
  <c r="N178" i="84"/>
  <c r="N179" i="84"/>
  <c r="N189" i="84"/>
  <c r="N186" i="84"/>
  <c r="N194" i="84"/>
  <c r="N196" i="84"/>
  <c r="N191" i="84"/>
  <c r="N185" i="84"/>
  <c r="N193" i="84"/>
  <c r="N187" i="84"/>
  <c r="N183" i="84"/>
  <c r="N175" i="84"/>
  <c r="N180" i="84"/>
  <c r="N188" i="84"/>
  <c r="N177" i="84"/>
  <c r="N197" i="84"/>
  <c r="N195" i="84"/>
  <c r="N192" i="84"/>
  <c r="N182" i="84"/>
  <c r="N184" i="84"/>
  <c r="N174" i="84"/>
  <c r="N173" i="84"/>
  <c r="N172" i="84"/>
  <c r="N171" i="84"/>
  <c r="N170" i="84"/>
  <c r="N169" i="84"/>
  <c r="N168" i="84"/>
  <c r="N167" i="84"/>
  <c r="N166" i="84"/>
  <c r="N165" i="84"/>
  <c r="N164" i="84"/>
  <c r="N163" i="84"/>
  <c r="N162" i="84"/>
  <c r="N160" i="84"/>
  <c r="N157" i="84"/>
  <c r="N153" i="84"/>
  <c r="N158" i="84"/>
  <c r="N161" i="84"/>
  <c r="N156" i="84"/>
  <c r="N154" i="84"/>
  <c r="N159" i="84"/>
  <c r="N155" i="84"/>
  <c r="N152" i="84"/>
  <c r="N151" i="84"/>
  <c r="N150" i="84"/>
  <c r="N149" i="84"/>
  <c r="N148" i="84"/>
  <c r="N147" i="84"/>
  <c r="N146" i="84"/>
  <c r="N145" i="84"/>
  <c r="N144" i="84"/>
  <c r="N143" i="84"/>
  <c r="N133" i="84"/>
  <c r="N142" i="84"/>
  <c r="N141" i="84"/>
  <c r="N139" i="84"/>
  <c r="N135" i="84"/>
  <c r="N134" i="84"/>
  <c r="N136" i="84"/>
  <c r="N138" i="84"/>
  <c r="N137" i="84"/>
  <c r="N132" i="84"/>
  <c r="N131" i="84"/>
  <c r="N140" i="84"/>
  <c r="N130" i="84"/>
  <c r="N129" i="84"/>
  <c r="N128" i="84"/>
  <c r="N126" i="84"/>
  <c r="N115" i="84"/>
  <c r="N117" i="84"/>
  <c r="N118" i="84"/>
  <c r="N125" i="84"/>
  <c r="N127" i="84"/>
  <c r="N116" i="84"/>
  <c r="N122" i="84"/>
  <c r="N124" i="84"/>
  <c r="N123" i="84"/>
  <c r="N119" i="84"/>
  <c r="N120" i="84"/>
  <c r="N121" i="84"/>
  <c r="N114" i="84"/>
  <c r="N113" i="84"/>
  <c r="N112" i="84"/>
  <c r="N111" i="84"/>
  <c r="N108" i="84"/>
  <c r="N109" i="84"/>
  <c r="N110" i="84"/>
  <c r="N107" i="84"/>
  <c r="N106" i="84"/>
  <c r="N105" i="84"/>
  <c r="N104" i="84"/>
  <c r="N102" i="84"/>
  <c r="N96" i="84"/>
  <c r="N101" i="84"/>
  <c r="N100" i="84"/>
  <c r="N103" i="84"/>
  <c r="N95" i="84"/>
  <c r="N99" i="84"/>
  <c r="N98" i="84"/>
  <c r="N97" i="84"/>
  <c r="N94" i="84"/>
  <c r="N78" i="84"/>
  <c r="N87" i="84"/>
  <c r="N89" i="84"/>
  <c r="N81" i="84"/>
  <c r="N92" i="84"/>
  <c r="N84" i="84"/>
  <c r="N91" i="84"/>
  <c r="N82" i="84"/>
  <c r="N83" i="84"/>
  <c r="N86" i="84"/>
  <c r="N93" i="84"/>
  <c r="N85" i="84"/>
  <c r="N80" i="84"/>
  <c r="N90" i="84"/>
  <c r="N79" i="84"/>
  <c r="N88" i="84"/>
  <c r="N77" i="84"/>
  <c r="N76" i="84"/>
  <c r="N75" i="84"/>
  <c r="N74" i="84"/>
  <c r="N73" i="84"/>
  <c r="N72" i="84"/>
  <c r="N64" i="84"/>
  <c r="N67" i="84"/>
  <c r="N65" i="84"/>
  <c r="N70" i="84"/>
  <c r="N71" i="84"/>
  <c r="N69" i="84"/>
  <c r="N66" i="84"/>
  <c r="N68" i="84"/>
  <c r="N63" i="84"/>
  <c r="N62" i="84"/>
  <c r="N61" i="84"/>
  <c r="N60" i="84"/>
  <c r="N59" i="84"/>
  <c r="N58" i="84"/>
  <c r="N57" i="84"/>
  <c r="N56" i="84"/>
  <c r="N54" i="84"/>
  <c r="N53" i="84"/>
  <c r="N52" i="84"/>
  <c r="N55" i="84"/>
  <c r="N51" i="84"/>
  <c r="N50" i="84"/>
  <c r="N49" i="84"/>
  <c r="N47" i="84"/>
  <c r="N39" i="84"/>
  <c r="N44" i="84"/>
  <c r="N38" i="84"/>
  <c r="N41" i="84"/>
  <c r="N40" i="84"/>
  <c r="N37" i="84"/>
  <c r="N48" i="84"/>
  <c r="N43" i="84"/>
  <c r="N46" i="84"/>
  <c r="N45" i="84"/>
  <c r="N42" i="84"/>
  <c r="N36" i="84"/>
  <c r="N35" i="84"/>
  <c r="N34" i="84"/>
  <c r="N33" i="84"/>
  <c r="N30" i="84"/>
  <c r="N27" i="84"/>
  <c r="N32" i="84"/>
  <c r="N31" i="84"/>
  <c r="N28" i="84"/>
  <c r="N29" i="84"/>
  <c r="N26" i="84"/>
  <c r="N25" i="84"/>
  <c r="N24" i="84"/>
  <c r="N23" i="84"/>
  <c r="N22" i="84"/>
  <c r="N21" i="84"/>
  <c r="N20" i="84"/>
  <c r="N19" i="84"/>
  <c r="N10" i="84"/>
  <c r="N15" i="84"/>
  <c r="N13" i="84"/>
  <c r="N12" i="84"/>
  <c r="N11" i="84"/>
  <c r="N17" i="84"/>
  <c r="N14" i="84"/>
  <c r="N18" i="84"/>
  <c r="N16" i="84"/>
  <c r="N9" i="84"/>
  <c r="N8" i="84"/>
  <c r="N7" i="84"/>
  <c r="N6" i="84"/>
  <c r="N5" i="84"/>
  <c r="N4" i="84"/>
  <c r="B21" i="80" l="1"/>
  <c r="B22" i="80"/>
  <c r="P21" i="80"/>
  <c r="Q21" i="80"/>
  <c r="R21" i="80"/>
  <c r="S21" i="80"/>
  <c r="T21" i="80"/>
  <c r="B56" i="80" l="1"/>
  <c r="B26" i="80"/>
  <c r="B27" i="80"/>
  <c r="B28" i="80"/>
  <c r="B29" i="80"/>
  <c r="B98" i="80"/>
  <c r="B96" i="80"/>
  <c r="B78" i="80"/>
  <c r="B99" i="80"/>
  <c r="B25" i="80"/>
  <c r="B104" i="80"/>
  <c r="B85" i="80"/>
  <c r="B80" i="80"/>
  <c r="B72" i="80"/>
  <c r="B59" i="80"/>
  <c r="B24" i="80"/>
  <c r="B23" i="80"/>
  <c r="B91" i="80"/>
  <c r="B81" i="80"/>
  <c r="B67" i="80"/>
  <c r="B19" i="80"/>
  <c r="B20" i="80"/>
  <c r="B121" i="80"/>
  <c r="B112" i="80"/>
  <c r="B90" i="80"/>
  <c r="B17" i="80"/>
  <c r="B18" i="80"/>
  <c r="B15" i="80"/>
  <c r="B16" i="80"/>
  <c r="B13" i="80"/>
  <c r="B14" i="80"/>
  <c r="B110" i="80"/>
  <c r="B75" i="80"/>
  <c r="B64" i="80"/>
  <c r="B100" i="80"/>
  <c r="B94" i="80"/>
  <c r="B73" i="80"/>
  <c r="B61" i="80"/>
  <c r="B11" i="80"/>
  <c r="B12" i="80"/>
  <c r="B65" i="80"/>
  <c r="B108" i="80"/>
  <c r="B87" i="80"/>
  <c r="B117" i="80"/>
  <c r="B82" i="80"/>
  <c r="B77" i="80"/>
  <c r="B9" i="80"/>
  <c r="B10" i="80"/>
  <c r="B118" i="80"/>
  <c r="B7" i="80"/>
  <c r="B8" i="80"/>
  <c r="B102" i="80"/>
  <c r="B88" i="80"/>
  <c r="B63" i="80"/>
  <c r="B93" i="80"/>
  <c r="B71" i="80"/>
  <c r="B58" i="80"/>
  <c r="B119" i="80"/>
  <c r="B6" i="80"/>
  <c r="B122" i="80"/>
  <c r="B116" i="80"/>
  <c r="B79" i="80"/>
  <c r="B4" i="80"/>
  <c r="B5" i="80"/>
  <c r="B70" i="80"/>
  <c r="B111" i="80"/>
  <c r="B109" i="80"/>
  <c r="B95" i="80"/>
  <c r="B89" i="80"/>
  <c r="B120" i="80"/>
  <c r="B106" i="80"/>
  <c r="B83" i="80"/>
  <c r="B105" i="80"/>
  <c r="B66" i="80"/>
  <c r="B55" i="80"/>
  <c r="B114" i="80"/>
  <c r="B107" i="80"/>
  <c r="B103" i="80"/>
  <c r="B101" i="80"/>
  <c r="B76" i="80"/>
  <c r="B68" i="80"/>
  <c r="B69" i="80"/>
  <c r="B60" i="80"/>
  <c r="B53" i="80"/>
  <c r="B54" i="80"/>
  <c r="B97" i="80"/>
  <c r="B92" i="80"/>
  <c r="B84" i="80"/>
  <c r="B62" i="80"/>
  <c r="B86" i="80"/>
  <c r="B51" i="80"/>
  <c r="B52" i="80"/>
  <c r="B115" i="80"/>
  <c r="B113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6" i="80"/>
  <c r="Q56" i="80"/>
  <c r="R56" i="80"/>
  <c r="S56" i="80"/>
  <c r="T5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7" i="83" s="1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30" i="83" l="1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7" i="80"/>
  <c r="Q98" i="80"/>
  <c r="Q104" i="80"/>
  <c r="Q99" i="80"/>
  <c r="Q96" i="80"/>
  <c r="Q91" i="80"/>
  <c r="Q78" i="80"/>
  <c r="Q26" i="80"/>
  <c r="Q85" i="80"/>
  <c r="Q80" i="80"/>
  <c r="Q27" i="80"/>
  <c r="Q81" i="80"/>
  <c r="Q28" i="80"/>
  <c r="Q72" i="80"/>
  <c r="Q67" i="80"/>
  <c r="Q59" i="80"/>
  <c r="Q25" i="80"/>
  <c r="Q24" i="80"/>
  <c r="Q118" i="80"/>
  <c r="Q121" i="80"/>
  <c r="Q117" i="80"/>
  <c r="Q110" i="80"/>
  <c r="Q119" i="80"/>
  <c r="Q108" i="80"/>
  <c r="Q102" i="80"/>
  <c r="Q112" i="80"/>
  <c r="Q100" i="80"/>
  <c r="Q90" i="80"/>
  <c r="Q94" i="80"/>
  <c r="Q93" i="80"/>
  <c r="Q87" i="80"/>
  <c r="Q88" i="80"/>
  <c r="Q75" i="80"/>
  <c r="Q64" i="80"/>
  <c r="Q82" i="80"/>
  <c r="Q71" i="80"/>
  <c r="Q19" i="80"/>
  <c r="Q77" i="80"/>
  <c r="Q63" i="80"/>
  <c r="Q58" i="80"/>
  <c r="Q73" i="80"/>
  <c r="Q20" i="80"/>
  <c r="Q17" i="80"/>
  <c r="Q7" i="80"/>
  <c r="Q65" i="80"/>
  <c r="Q61" i="80"/>
  <c r="Q18" i="80"/>
  <c r="Q8" i="80"/>
  <c r="Q15" i="80"/>
  <c r="Q9" i="80"/>
  <c r="Q16" i="80"/>
  <c r="Q10" i="80"/>
  <c r="Q13" i="80"/>
  <c r="Q14" i="80"/>
  <c r="Q111" i="80"/>
  <c r="Q122" i="80"/>
  <c r="Q116" i="80"/>
  <c r="Q109" i="80"/>
  <c r="Q95" i="80"/>
  <c r="Q79" i="80"/>
  <c r="Q70" i="80"/>
  <c r="Q89" i="80"/>
  <c r="Q4" i="80"/>
  <c r="Q5" i="80"/>
  <c r="Q114" i="80"/>
  <c r="Q120" i="80"/>
  <c r="Q106" i="80"/>
  <c r="Q107" i="80"/>
  <c r="Q103" i="80"/>
  <c r="Q105" i="80"/>
  <c r="Q83" i="80"/>
  <c r="Q101" i="80"/>
  <c r="Q66" i="80"/>
  <c r="Q97" i="80"/>
  <c r="Q92" i="80"/>
  <c r="Q84" i="80"/>
  <c r="Q86" i="80"/>
  <c r="Q76" i="80"/>
  <c r="Q68" i="80"/>
  <c r="Q69" i="80"/>
  <c r="Q62" i="80"/>
  <c r="Q60" i="80"/>
  <c r="Q53" i="80"/>
  <c r="Q45" i="80"/>
  <c r="Q39" i="80"/>
  <c r="Q115" i="80"/>
  <c r="Q113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74" i="80"/>
  <c r="P74" i="80"/>
  <c r="R57" i="80"/>
  <c r="R98" i="80"/>
  <c r="R104" i="80"/>
  <c r="R99" i="80"/>
  <c r="R96" i="80"/>
  <c r="R91" i="80"/>
  <c r="R78" i="80"/>
  <c r="R26" i="80"/>
  <c r="R85" i="80"/>
  <c r="R80" i="80"/>
  <c r="R27" i="80"/>
  <c r="R81" i="80"/>
  <c r="R28" i="80"/>
  <c r="R72" i="80"/>
  <c r="R67" i="80"/>
  <c r="R59" i="80"/>
  <c r="R25" i="80"/>
  <c r="R24" i="80"/>
  <c r="R118" i="80"/>
  <c r="R121" i="80"/>
  <c r="R117" i="80"/>
  <c r="R110" i="80"/>
  <c r="R119" i="80"/>
  <c r="R108" i="80"/>
  <c r="R102" i="80"/>
  <c r="R112" i="80"/>
  <c r="R100" i="80"/>
  <c r="R90" i="80"/>
  <c r="R94" i="80"/>
  <c r="R93" i="80"/>
  <c r="R87" i="80"/>
  <c r="R88" i="80"/>
  <c r="R75" i="80"/>
  <c r="R64" i="80"/>
  <c r="R82" i="80"/>
  <c r="R71" i="80"/>
  <c r="R19" i="80"/>
  <c r="R77" i="80"/>
  <c r="R63" i="80"/>
  <c r="R58" i="80"/>
  <c r="R73" i="80"/>
  <c r="R20" i="80"/>
  <c r="R17" i="80"/>
  <c r="R7" i="80"/>
  <c r="R65" i="80"/>
  <c r="R61" i="80"/>
  <c r="R18" i="80"/>
  <c r="R8" i="80"/>
  <c r="R15" i="80"/>
  <c r="R9" i="80"/>
  <c r="R16" i="80"/>
  <c r="R10" i="80"/>
  <c r="R13" i="80"/>
  <c r="R14" i="80"/>
  <c r="R111" i="80"/>
  <c r="R122" i="80"/>
  <c r="R116" i="80"/>
  <c r="R109" i="80"/>
  <c r="R95" i="80"/>
  <c r="R79" i="80"/>
  <c r="R70" i="80"/>
  <c r="R89" i="80"/>
  <c r="R4" i="80"/>
  <c r="R5" i="80"/>
  <c r="R114" i="80"/>
  <c r="R120" i="80"/>
  <c r="R106" i="80"/>
  <c r="R107" i="80"/>
  <c r="R103" i="80"/>
  <c r="R105" i="80"/>
  <c r="R83" i="80"/>
  <c r="R101" i="80"/>
  <c r="R66" i="80"/>
  <c r="R97" i="80"/>
  <c r="R92" i="80"/>
  <c r="R84" i="80"/>
  <c r="R86" i="80"/>
  <c r="R76" i="80"/>
  <c r="R68" i="80"/>
  <c r="R69" i="80"/>
  <c r="R62" i="80"/>
  <c r="R60" i="80"/>
  <c r="R53" i="80"/>
  <c r="R45" i="80"/>
  <c r="R39" i="80"/>
  <c r="R115" i="80"/>
  <c r="R113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74" i="80"/>
  <c r="P57" i="80"/>
  <c r="P98" i="80"/>
  <c r="P104" i="80"/>
  <c r="P99" i="80"/>
  <c r="P96" i="80"/>
  <c r="P91" i="80"/>
  <c r="P78" i="80"/>
  <c r="P26" i="80"/>
  <c r="P85" i="80"/>
  <c r="P80" i="80"/>
  <c r="P27" i="80"/>
  <c r="P81" i="80"/>
  <c r="P28" i="80"/>
  <c r="P72" i="80"/>
  <c r="P67" i="80"/>
  <c r="P59" i="80"/>
  <c r="P25" i="80"/>
  <c r="P24" i="80"/>
  <c r="P118" i="80"/>
  <c r="P121" i="80"/>
  <c r="P117" i="80"/>
  <c r="P110" i="80"/>
  <c r="P119" i="80"/>
  <c r="P108" i="80"/>
  <c r="P102" i="80"/>
  <c r="P112" i="80"/>
  <c r="P100" i="80"/>
  <c r="P90" i="80"/>
  <c r="P94" i="80"/>
  <c r="P93" i="80"/>
  <c r="P87" i="80"/>
  <c r="P88" i="80"/>
  <c r="P75" i="80"/>
  <c r="P64" i="80"/>
  <c r="P82" i="80"/>
  <c r="P71" i="80"/>
  <c r="P19" i="80"/>
  <c r="P77" i="80"/>
  <c r="P63" i="80"/>
  <c r="P58" i="80"/>
  <c r="P73" i="80"/>
  <c r="P20" i="80"/>
  <c r="P17" i="80"/>
  <c r="P7" i="80"/>
  <c r="P65" i="80"/>
  <c r="P61" i="80"/>
  <c r="P18" i="80"/>
  <c r="P8" i="80"/>
  <c r="P15" i="80"/>
  <c r="P9" i="80"/>
  <c r="P16" i="80"/>
  <c r="P10" i="80"/>
  <c r="P13" i="80"/>
  <c r="P14" i="80"/>
  <c r="P111" i="80"/>
  <c r="P122" i="80"/>
  <c r="P116" i="80"/>
  <c r="P109" i="80"/>
  <c r="P95" i="80"/>
  <c r="P79" i="80"/>
  <c r="P70" i="80"/>
  <c r="P89" i="80"/>
  <c r="P4" i="80"/>
  <c r="P5" i="80"/>
  <c r="P114" i="80"/>
  <c r="P120" i="80"/>
  <c r="P106" i="80"/>
  <c r="P107" i="80"/>
  <c r="P103" i="80"/>
  <c r="P105" i="80"/>
  <c r="P83" i="80"/>
  <c r="P101" i="80"/>
  <c r="P66" i="80"/>
  <c r="P97" i="80"/>
  <c r="P92" i="80"/>
  <c r="P84" i="80"/>
  <c r="P86" i="80"/>
  <c r="P76" i="80"/>
  <c r="P68" i="80"/>
  <c r="P69" i="80"/>
  <c r="P62" i="80"/>
  <c r="P60" i="80"/>
  <c r="P53" i="80"/>
  <c r="P45" i="80"/>
  <c r="P39" i="80"/>
  <c r="P115" i="80"/>
  <c r="P113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59" i="80"/>
  <c r="T59" i="80"/>
  <c r="S60" i="80"/>
  <c r="T60" i="80"/>
  <c r="S61" i="80"/>
  <c r="T61" i="80"/>
  <c r="S62" i="80"/>
  <c r="T62" i="80"/>
  <c r="S63" i="80"/>
  <c r="T63" i="80"/>
  <c r="S64" i="80"/>
  <c r="T64" i="80"/>
  <c r="S65" i="80"/>
  <c r="T65" i="80"/>
  <c r="S66" i="80"/>
  <c r="T66" i="80"/>
  <c r="S67" i="80"/>
  <c r="T67" i="80"/>
  <c r="S68" i="80"/>
  <c r="T68" i="80"/>
  <c r="S69" i="80"/>
  <c r="T69" i="80"/>
  <c r="S70" i="80"/>
  <c r="T70" i="80"/>
  <c r="S71" i="80"/>
  <c r="T71" i="80"/>
  <c r="S72" i="80"/>
  <c r="T72" i="80"/>
  <c r="S73" i="80"/>
  <c r="T73" i="80"/>
  <c r="S74" i="80"/>
  <c r="T74" i="80"/>
  <c r="S75" i="80"/>
  <c r="T75" i="80"/>
  <c r="S76" i="80"/>
  <c r="T76" i="80"/>
  <c r="S77" i="80"/>
  <c r="T77" i="80"/>
  <c r="S78" i="80"/>
  <c r="T78" i="80"/>
  <c r="S79" i="80"/>
  <c r="T79" i="80"/>
  <c r="S80" i="80"/>
  <c r="T80" i="80"/>
  <c r="S81" i="80"/>
  <c r="T81" i="80"/>
  <c r="S82" i="80"/>
  <c r="T82" i="80"/>
  <c r="S83" i="80"/>
  <c r="T83" i="80"/>
  <c r="S84" i="80"/>
  <c r="T84" i="80"/>
  <c r="S85" i="80"/>
  <c r="T85" i="80"/>
  <c r="S86" i="80"/>
  <c r="T86" i="80"/>
  <c r="S87" i="80"/>
  <c r="T87" i="80"/>
  <c r="S88" i="80"/>
  <c r="T88" i="80"/>
  <c r="S89" i="80"/>
  <c r="T89" i="80"/>
  <c r="S90" i="80"/>
  <c r="T90" i="80"/>
  <c r="S91" i="80"/>
  <c r="T91" i="80"/>
  <c r="S92" i="80"/>
  <c r="T92" i="80"/>
  <c r="S93" i="80"/>
  <c r="T93" i="80"/>
  <c r="S94" i="80"/>
  <c r="T94" i="80"/>
  <c r="S95" i="80"/>
  <c r="T95" i="80"/>
  <c r="S96" i="80"/>
  <c r="T96" i="80"/>
  <c r="S97" i="80"/>
  <c r="T97" i="80"/>
  <c r="S98" i="80"/>
  <c r="T98" i="80"/>
  <c r="S99" i="80"/>
  <c r="T99" i="80"/>
  <c r="S100" i="80"/>
  <c r="T100" i="80"/>
  <c r="S101" i="80"/>
  <c r="T101" i="80"/>
  <c r="S102" i="80"/>
  <c r="T102" i="80"/>
  <c r="S103" i="80"/>
  <c r="T103" i="80"/>
  <c r="S104" i="80"/>
  <c r="T104" i="80"/>
  <c r="S105" i="80"/>
  <c r="T105" i="80"/>
  <c r="S106" i="80"/>
  <c r="T106" i="80"/>
  <c r="S107" i="80"/>
  <c r="T107" i="80"/>
  <c r="S108" i="80"/>
  <c r="T108" i="80"/>
  <c r="S109" i="80"/>
  <c r="T109" i="80"/>
  <c r="S110" i="80"/>
  <c r="T110" i="80"/>
  <c r="S111" i="80"/>
  <c r="T111" i="80"/>
  <c r="S112" i="80"/>
  <c r="T112" i="80"/>
  <c r="S113" i="80"/>
  <c r="T113" i="80"/>
  <c r="S114" i="80"/>
  <c r="T114" i="80"/>
  <c r="S115" i="80"/>
  <c r="T115" i="80"/>
  <c r="S116" i="80"/>
  <c r="T116" i="80"/>
  <c r="S117" i="80"/>
  <c r="T117" i="80"/>
  <c r="S118" i="80"/>
  <c r="T118" i="80"/>
  <c r="S119" i="80"/>
  <c r="T119" i="80"/>
  <c r="S120" i="80"/>
  <c r="T120" i="80"/>
  <c r="S121" i="80"/>
  <c r="T121" i="80"/>
  <c r="S122" i="80"/>
  <c r="T122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58" i="80"/>
  <c r="T57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58" i="80"/>
  <c r="S57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7" i="80"/>
  <c r="E58" i="83" l="1"/>
  <c r="E66" i="83"/>
  <c r="E84" i="83"/>
  <c r="E47" i="83"/>
  <c r="E21" i="83"/>
  <c r="B74" i="80"/>
</calcChain>
</file>

<file path=xl/sharedStrings.xml><?xml version="1.0" encoding="utf-8"?>
<sst xmlns="http://schemas.openxmlformats.org/spreadsheetml/2006/main" count="9491" uniqueCount="4044">
  <si>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</si>
  <si>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</si>
  <si>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</si>
  <si>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</si>
  <si>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</si>
  <si>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</si>
  <si>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</si>
  <si>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</si>
  <si>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</si>
  <si>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</si>
  <si>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</si>
  <si>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</si>
  <si>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</si>
  <si>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</si>
  <si>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</si>
  <si>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</si>
  <si>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</si>
  <si>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</si>
  <si>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</si>
  <si>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</si>
  <si>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</si>
  <si>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</si>
  <si>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</si>
  <si>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</si>
  <si>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</si>
  <si>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</si>
  <si>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</si>
  <si>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</si>
  <si>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</si>
  <si>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</si>
  <si>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</si>
  <si>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</si>
  <si>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</si>
  <si>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</si>
  <si>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</si>
  <si>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</si>
  <si>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</si>
  <si>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</si>
  <si>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</si>
  <si>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</si>
  <si>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</si>
  <si>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</si>
  <si>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</si>
  <si>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</si>
  <si>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</si>
  <si>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</si>
  <si>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</si>
  <si>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</si>
  <si>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</si>
  <si>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</si>
  <si>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</si>
  <si>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</si>
  <si>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</si>
  <si>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</si>
  <si>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</si>
  <si>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</si>
  <si>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</si>
  <si>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</si>
  <si>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</si>
  <si>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</si>
  <si>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</si>
  <si>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</si>
  <si>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</si>
  <si>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</si>
  <si>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</si>
  <si>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</si>
  <si>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</si>
  <si>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</si>
  <si>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</si>
  <si>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</si>
  <si>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</si>
  <si>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</si>
  <si>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</si>
  <si>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</si>
  <si>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</si>
  <si>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</si>
  <si>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</si>
  <si>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</si>
  <si>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</si>
  <si>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</si>
  <si>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</si>
  <si>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</si>
  <si>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</si>
  <si>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</si>
  <si>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</si>
  <si>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</si>
  <si>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</si>
  <si>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</si>
  <si>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</si>
  <si>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</si>
  <si>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</si>
  <si>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</si>
  <si>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</si>
  <si>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</si>
  <si>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</si>
  <si>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</si>
  <si>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</si>
  <si>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</si>
  <si>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</si>
  <si>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</si>
  <si>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</si>
  <si>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</si>
  <si>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</si>
  <si>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</si>
  <si>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</si>
  <si>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</si>
  <si>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</si>
  <si>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</si>
  <si>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</si>
  <si>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</si>
  <si>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</si>
  <si>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</si>
  <si>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</si>
  <si>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</si>
  <si>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</si>
  <si>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</si>
  <si>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</si>
  <si>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</si>
  <si>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</si>
  <si>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</si>
  <si>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</si>
  <si>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</si>
  <si>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</si>
  <si>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</si>
  <si>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</si>
  <si>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</si>
  <si>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</si>
  <si>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</si>
  <si>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</si>
  <si>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</si>
  <si>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</si>
  <si>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</si>
  <si>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</si>
  <si>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</si>
  <si>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</si>
  <si>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</si>
  <si>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</si>
  <si>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</si>
  <si>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</si>
  <si>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</si>
  <si>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</si>
  <si>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</si>
  <si>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</si>
  <si>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</si>
  <si>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</si>
  <si>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</si>
  <si>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</si>
  <si>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</si>
  <si>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</si>
  <si>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</si>
  <si>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</si>
  <si>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</si>
  <si>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</si>
  <si>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</si>
  <si>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</si>
  <si>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</si>
  <si>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</si>
  <si>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</si>
  <si>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</si>
  <si>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</si>
  <si>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</si>
  <si>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</si>
  <si>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</si>
  <si>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</si>
  <si>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</si>
  <si>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</si>
  <si>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</si>
  <si>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</si>
  <si>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</si>
  <si>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</si>
  <si>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</si>
  <si>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</si>
  <si>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</si>
  <si>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</si>
  <si>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</si>
  <si>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</si>
  <si>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</si>
  <si>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</si>
  <si>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</si>
  <si>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</si>
  <si>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</si>
  <si>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</si>
  <si>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</si>
  <si>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</si>
  <si>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</si>
  <si>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</si>
  <si>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</si>
  <si>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</si>
  <si>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</si>
  <si>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</si>
  <si>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</si>
  <si>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</si>
  <si>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</si>
  <si>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</si>
  <si>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</si>
  <si>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</si>
  <si>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</si>
  <si>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</si>
  <si>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</si>
  <si>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</si>
  <si>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</si>
  <si>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</si>
  <si>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</si>
  <si>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</si>
  <si>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</si>
  <si>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</si>
  <si>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</si>
  <si>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</si>
  <si>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</si>
  <si>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</si>
  <si>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</si>
  <si>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</si>
  <si>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</si>
  <si>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</si>
  <si>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</si>
  <si>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</si>
  <si>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</si>
  <si>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</si>
  <si>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</si>
  <si>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</si>
  <si>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</si>
  <si>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</si>
  <si>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</si>
  <si>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</si>
  <si>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</si>
  <si>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</si>
  <si>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</si>
  <si>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</si>
  <si>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</si>
  <si>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</si>
  <si>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</si>
  <si>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</si>
  <si>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</si>
  <si>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</si>
  <si>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</si>
  <si>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</si>
  <si>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</si>
  <si>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</si>
  <si>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</si>
  <si>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</si>
  <si>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</si>
  <si>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</si>
  <si>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</si>
  <si>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</si>
  <si>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</si>
  <si>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</si>
  <si>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</si>
  <si>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</si>
  <si>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</si>
  <si>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</si>
  <si>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</si>
  <si>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</si>
  <si>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</si>
  <si>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</si>
  <si>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</si>
  <si>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</si>
  <si>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</si>
  <si>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</si>
  <si>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</si>
  <si>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</si>
  <si>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</si>
  <si>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</si>
  <si>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</si>
  <si>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</si>
  <si>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</si>
  <si>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</si>
  <si>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</si>
  <si>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</si>
  <si>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</si>
  <si>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</si>
  <si>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</si>
  <si>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</si>
  <si>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</si>
  <si>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</si>
  <si>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</si>
  <si>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</si>
  <si>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</si>
  <si>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</si>
  <si>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</si>
  <si>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</si>
  <si>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</si>
  <si>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</si>
  <si>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</si>
  <si>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</si>
  <si>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</si>
  <si>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</si>
  <si>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</si>
  <si>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</si>
  <si>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</si>
  <si>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</si>
  <si>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</si>
  <si>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</si>
  <si>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</si>
  <si>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</si>
  <si>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</si>
  <si>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</si>
  <si>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</si>
  <si>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</si>
  <si>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</si>
  <si>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</si>
  <si>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</si>
  <si>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</si>
  <si>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</si>
  <si>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</si>
  <si>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</si>
  <si>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</si>
  <si>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</si>
  <si>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</si>
  <si>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</si>
  <si>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</si>
  <si>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</si>
  <si>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</si>
  <si>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</si>
  <si>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</si>
  <si>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</si>
  <si>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</si>
  <si>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</si>
  <si>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</si>
  <si>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</si>
  <si>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</si>
  <si>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</si>
  <si>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</si>
  <si>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</si>
  <si>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</si>
  <si>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</si>
  <si>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</si>
  <si>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</si>
  <si>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</si>
  <si>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</si>
  <si>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</si>
  <si>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</si>
  <si>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</si>
  <si>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</si>
  <si>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</si>
  <si>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</si>
  <si>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</si>
  <si>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</si>
  <si>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</si>
  <si>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</si>
  <si>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</si>
  <si>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</si>
  <si>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</si>
  <si>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</si>
  <si>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</si>
  <si>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</si>
  <si>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</si>
  <si>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</si>
  <si>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</si>
  <si>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</si>
  <si>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</si>
  <si>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</si>
  <si>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</si>
  <si>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</si>
  <si>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</si>
  <si>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</si>
  <si>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</si>
  <si>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</si>
  <si>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</si>
  <si>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</si>
  <si>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</si>
  <si>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</si>
  <si>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</si>
  <si>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</si>
  <si>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</si>
  <si>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</si>
  <si>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</si>
  <si>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</si>
  <si>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</si>
  <si>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</si>
  <si>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</si>
  <si>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</si>
  <si>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</si>
  <si>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</si>
  <si>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</si>
  <si>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</si>
  <si>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</si>
  <si>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</si>
  <si>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</si>
  <si>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</si>
  <si>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</si>
  <si>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</si>
  <si>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</si>
  <si>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</si>
  <si>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</si>
  <si>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</si>
  <si>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</si>
  <si>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</si>
  <si>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</si>
  <si>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</si>
  <si>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</si>
  <si>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</si>
  <si>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</si>
  <si>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</si>
  <si>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</si>
  <si>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</si>
  <si>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</si>
  <si>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</si>
  <si>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</si>
  <si>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</si>
  <si>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</si>
  <si>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</si>
  <si>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</si>
  <si>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</si>
  <si>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</si>
  <si>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</si>
  <si>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</si>
  <si>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</si>
  <si>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</si>
  <si>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</si>
  <si>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</si>
  <si>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</si>
  <si>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</si>
  <si>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</si>
  <si>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</si>
  <si>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</si>
  <si>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</si>
  <si>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</si>
  <si>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</si>
  <si>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</si>
  <si>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</si>
  <si>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</si>
  <si>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</si>
  <si>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</si>
  <si>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</si>
  <si>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</si>
  <si>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</si>
  <si>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</si>
  <si>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</si>
  <si>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</si>
  <si>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</si>
  <si>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</si>
  <si>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</si>
  <si>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</si>
  <si>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</si>
  <si>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</si>
  <si>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</si>
  <si>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</si>
  <si>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</si>
  <si>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</si>
  <si>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</si>
  <si>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</si>
  <si>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</si>
  <si>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</si>
  <si>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</si>
  <si>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</si>
  <si>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</si>
  <si>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</si>
  <si>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</si>
  <si>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</si>
  <si>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</si>
  <si>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</si>
  <si>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</si>
  <si>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</si>
  <si>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</si>
  <si>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</si>
  <si>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</si>
  <si>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</si>
  <si>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</si>
  <si>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</si>
  <si>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</si>
  <si>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</si>
  <si>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</si>
  <si>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</si>
  <si>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</si>
  <si>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</si>
  <si>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</si>
  <si>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</si>
  <si>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</si>
  <si>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</si>
  <si>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</si>
  <si>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</si>
  <si>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</si>
  <si>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</si>
  <si>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</si>
  <si>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</si>
  <si>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</si>
  <si>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</si>
  <si>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</si>
  <si>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</si>
  <si>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</si>
  <si>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</si>
  <si>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</si>
  <si>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</si>
  <si>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</si>
  <si>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</si>
  <si>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</si>
  <si>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</si>
  <si>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</si>
  <si>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</si>
  <si>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</si>
  <si>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</si>
  <si>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</si>
  <si>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</si>
  <si>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</si>
  <si>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</si>
  <si>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</si>
  <si>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</si>
  <si>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</si>
  <si>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</si>
  <si>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</si>
  <si>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</si>
  <si>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</si>
  <si>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</si>
  <si>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</si>
  <si>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</si>
  <si>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</si>
  <si>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</si>
  <si>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</si>
  <si>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</si>
  <si>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</si>
  <si>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</si>
  <si>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</si>
  <si>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</si>
  <si>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</si>
  <si>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</si>
  <si>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</si>
  <si>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</si>
  <si>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</si>
  <si>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</si>
  <si>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</si>
  <si>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</si>
  <si>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</si>
  <si>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</si>
  <si>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</si>
  <si>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</si>
  <si>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</si>
  <si>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</si>
  <si>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</si>
  <si>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</si>
  <si>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</si>
  <si>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</si>
  <si>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</si>
  <si>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</si>
  <si>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</si>
  <si>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</si>
  <si>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</si>
  <si>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</si>
  <si>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</si>
  <si>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</si>
  <si>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</si>
  <si>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</si>
  <si>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</si>
  <si>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</si>
  <si>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</si>
  <si>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</si>
  <si>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</si>
  <si>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</si>
  <si>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</si>
  <si>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</si>
  <si>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</si>
  <si>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</si>
  <si>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</si>
  <si>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</si>
  <si>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</si>
  <si>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</si>
  <si>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</si>
  <si>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</si>
  <si>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</si>
  <si>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</si>
  <si>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</si>
  <si>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</si>
  <si>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</si>
  <si>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</si>
  <si>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</si>
  <si>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</si>
  <si>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</si>
  <si>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</si>
  <si>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</si>
  <si>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</si>
  <si>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</si>
  <si>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</si>
  <si>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</si>
  <si>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</si>
  <si>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</si>
  <si>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</si>
  <si>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</si>
  <si>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</si>
  <si>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</si>
  <si>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</si>
  <si>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</si>
  <si>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</si>
  <si>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</si>
  <si>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</si>
  <si>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</si>
  <si>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</si>
  <si>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</si>
  <si>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</si>
  <si>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</si>
  <si>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</si>
  <si>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</si>
  <si>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</si>
  <si>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</si>
  <si>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</si>
  <si>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</si>
  <si>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</si>
  <si>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</si>
  <si>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</si>
  <si>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</si>
  <si>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</si>
  <si>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</si>
  <si>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</si>
  <si>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</si>
  <si>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</si>
  <si>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</si>
  <si>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</si>
  <si>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</si>
  <si>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</si>
  <si>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</si>
  <si>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</si>
  <si>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</si>
  <si>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</si>
  <si>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</si>
  <si>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</si>
  <si>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</si>
  <si>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</si>
  <si>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</si>
  <si>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</si>
  <si>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</si>
  <si>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</si>
  <si>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</si>
  <si>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</si>
  <si>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</si>
  <si>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</si>
  <si>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</si>
  <si>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</si>
  <si>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</si>
  <si>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</si>
  <si>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</si>
  <si>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</si>
  <si>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</si>
  <si>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</si>
  <si>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</si>
  <si>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</si>
  <si>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</si>
  <si>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</si>
  <si>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</si>
  <si>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</si>
  <si>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</si>
  <si>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</si>
  <si>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</si>
  <si>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</si>
  <si>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</si>
  <si>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</si>
  <si>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</si>
  <si>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</si>
  <si>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</si>
  <si>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</si>
  <si>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</si>
  <si>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</si>
  <si>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</si>
  <si>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</si>
  <si>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</si>
  <si>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</si>
  <si>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</si>
  <si>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</si>
  <si>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</si>
  <si>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</si>
  <si>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</si>
  <si>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</si>
  <si>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</si>
  <si>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</si>
  <si>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</si>
  <si>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</si>
  <si>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</si>
  <si>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</si>
  <si>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</si>
  <si>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</si>
  <si>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</si>
  <si>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</si>
  <si>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</si>
  <si>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</si>
  <si>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</si>
  <si>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</si>
  <si>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</si>
  <si>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</si>
  <si>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</si>
  <si>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</si>
  <si>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</si>
  <si>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</si>
  <si>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</si>
  <si>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</si>
  <si>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</si>
  <si>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</si>
  <si>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</si>
  <si>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</si>
  <si>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</si>
  <si>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</si>
  <si>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</si>
  <si>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</si>
  <si>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</si>
  <si>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</si>
  <si>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</si>
  <si>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</si>
  <si>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</si>
  <si>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</si>
  <si>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</si>
  <si>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</si>
  <si>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</si>
  <si>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</si>
  <si>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</si>
  <si>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</si>
  <si>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</si>
  <si>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</si>
  <si>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</si>
  <si>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</si>
  <si>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</si>
  <si>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</si>
  <si>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</si>
  <si>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</si>
  <si>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</si>
  <si>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</si>
  <si>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</si>
  <si>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</si>
  <si>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</si>
  <si>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</si>
  <si>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</si>
  <si>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</si>
  <si>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</si>
  <si>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</si>
  <si>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</si>
  <si>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</si>
  <si>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</si>
  <si>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</si>
  <si>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</si>
  <si>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</si>
  <si>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</si>
  <si>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</si>
  <si>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</si>
  <si>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</si>
  <si>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</si>
  <si>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</si>
  <si>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</si>
  <si>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</si>
  <si>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</si>
  <si>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</si>
  <si>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</si>
  <si>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</si>
  <si>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</si>
  <si>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</si>
  <si>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</si>
  <si>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</si>
  <si>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</si>
  <si>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</si>
  <si>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</si>
  <si>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</si>
  <si>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</si>
  <si>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</si>
  <si>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</si>
  <si>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</si>
  <si>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</si>
  <si>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</si>
  <si>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</si>
  <si>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</si>
  <si>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</si>
  <si>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</si>
  <si>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</si>
  <si>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</si>
  <si>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</si>
  <si>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</si>
  <si>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</si>
  <si>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</si>
  <si>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</si>
  <si>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</si>
  <si>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</si>
  <si>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</si>
  <si>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</si>
  <si>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</si>
  <si>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</si>
  <si>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</si>
  <si>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</si>
  <si>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</si>
  <si>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</si>
  <si>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</si>
  <si>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</si>
  <si>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</si>
  <si>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</si>
  <si>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</si>
  <si>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</si>
  <si>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</si>
  <si>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</si>
  <si>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</si>
  <si>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</si>
  <si>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</si>
  <si>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</si>
  <si>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</si>
  <si>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</si>
  <si>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</si>
  <si>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</si>
  <si>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</si>
  <si>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</si>
  <si>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</si>
  <si>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</si>
  <si>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</si>
  <si>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</si>
  <si>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</si>
  <si>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</si>
  <si>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</si>
  <si>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</si>
  <si>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</si>
  <si>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</si>
  <si>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</si>
  <si>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</si>
  <si>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</si>
  <si>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</si>
  <si>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</si>
  <si>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</si>
  <si>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</si>
  <si>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</si>
  <si>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</si>
  <si>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</si>
  <si>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</si>
  <si>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</si>
  <si>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</si>
  <si>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</si>
  <si>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</si>
  <si>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</si>
  <si>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</si>
  <si>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</si>
  <si>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</si>
  <si>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</si>
  <si>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</si>
  <si>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</si>
  <si>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</si>
  <si>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</si>
  <si>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</si>
  <si>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</si>
  <si>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</si>
  <si>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</si>
  <si>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</si>
  <si>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</si>
  <si>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</si>
  <si>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</si>
  <si>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</si>
  <si>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</si>
  <si>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</si>
  <si>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</si>
  <si>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</si>
  <si>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</si>
  <si>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</si>
  <si>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</si>
  <si>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</si>
  <si>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</si>
  <si>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</si>
  <si>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</si>
  <si>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</si>
  <si>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</si>
  <si>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</si>
  <si>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</si>
  <si>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</si>
  <si>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</si>
  <si>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</si>
  <si>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</si>
  <si>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</si>
  <si>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</si>
  <si>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</si>
  <si>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</si>
  <si>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</si>
  <si>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</si>
  <si>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</si>
  <si>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</si>
  <si>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</si>
  <si>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</si>
  <si>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</si>
  <si>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</si>
  <si>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</si>
  <si>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</si>
  <si>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</si>
  <si>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</si>
  <si>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</si>
  <si>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</si>
  <si>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</si>
  <si>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</si>
  <si>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</si>
  <si>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</si>
  <si>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</si>
  <si>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</si>
  <si>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</si>
  <si>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</si>
  <si>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</si>
  <si>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</si>
  <si>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</si>
  <si>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</si>
  <si>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</si>
  <si>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</si>
  <si>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</si>
  <si>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</si>
  <si>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</si>
  <si>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</si>
  <si>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</si>
  <si>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</si>
  <si>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</si>
  <si>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</si>
  <si>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</si>
  <si>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</si>
  <si>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</si>
  <si>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</si>
  <si>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</si>
  <si>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</si>
  <si>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</si>
  <si>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</si>
  <si>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</si>
  <si>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</si>
  <si>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</si>
  <si>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</si>
  <si>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</si>
  <si>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</si>
  <si>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</si>
  <si>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</si>
  <si>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</si>
  <si>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</si>
  <si>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</si>
  <si>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</si>
  <si>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</si>
  <si>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</si>
  <si>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</si>
  <si>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</si>
  <si>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</si>
  <si>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</si>
  <si>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</si>
  <si>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</si>
  <si>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</si>
  <si>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</si>
  <si>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</si>
  <si>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</si>
  <si>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</si>
  <si>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</si>
  <si>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</si>
  <si>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</si>
  <si>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</si>
  <si>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</si>
  <si>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</si>
  <si>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</si>
  <si>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</si>
  <si>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</si>
  <si>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</si>
  <si>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</si>
  <si>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</si>
  <si>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</si>
  <si>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</si>
  <si>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</si>
  <si>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</si>
  <si>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</si>
  <si>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</si>
  <si>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</si>
  <si>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</si>
  <si>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</si>
  <si>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</si>
  <si>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</si>
  <si>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</si>
  <si>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</si>
  <si>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</si>
  <si>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</si>
  <si>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</si>
  <si>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</si>
  <si>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</si>
  <si>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</si>
  <si>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</si>
  <si>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</si>
  <si>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</si>
  <si>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</si>
  <si>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</si>
  <si>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</si>
  <si>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</si>
  <si>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</si>
  <si>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</si>
  <si>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</si>
  <si>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</si>
  <si>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</si>
  <si>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</si>
  <si>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</si>
  <si>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</si>
  <si>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</si>
  <si>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</si>
  <si>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</si>
  <si>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</si>
  <si>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</si>
  <si>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</si>
  <si>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</si>
  <si>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</si>
  <si>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</si>
  <si>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</si>
  <si>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</si>
  <si>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</si>
  <si>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</si>
  <si>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</si>
  <si>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</si>
  <si>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</si>
  <si>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</si>
  <si>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</si>
  <si>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</si>
  <si>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</si>
  <si>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</si>
  <si>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</si>
  <si>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</si>
  <si>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</si>
  <si>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</si>
  <si>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</si>
  <si>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</si>
  <si>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</si>
  <si>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</si>
  <si>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</si>
  <si>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</si>
  <si>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</si>
  <si>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</si>
  <si>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</si>
  <si>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</si>
  <si>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</si>
  <si>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</si>
  <si>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</si>
  <si>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</si>
  <si>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</si>
  <si>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</si>
  <si>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</si>
  <si>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</si>
  <si>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</si>
  <si>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</si>
  <si>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</si>
  <si>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</si>
  <si>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</si>
  <si>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</si>
  <si>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</si>
  <si>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</si>
  <si>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</si>
  <si>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</si>
  <si>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</si>
  <si>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</si>
  <si>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</si>
  <si>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</si>
  <si>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</si>
  <si>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</si>
  <si>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</si>
  <si>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</si>
  <si>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</si>
  <si>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</si>
  <si>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</si>
  <si>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</si>
  <si>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</si>
  <si>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</si>
  <si>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</si>
  <si>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</si>
  <si>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</si>
  <si>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</si>
  <si>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</si>
  <si>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</si>
  <si>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</si>
  <si>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</si>
  <si>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</si>
  <si>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</si>
  <si>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</si>
  <si>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</si>
  <si>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</si>
  <si>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</si>
  <si>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</si>
  <si>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</si>
  <si>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</si>
  <si>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</si>
  <si>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</si>
  <si>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</si>
  <si>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</si>
  <si>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</si>
  <si>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</si>
  <si>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</si>
  <si>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</si>
  <si>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</si>
  <si>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</si>
  <si>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</si>
  <si>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</si>
  <si>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</si>
  <si>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</si>
  <si>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</si>
  <si>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</si>
  <si>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</si>
  <si>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</si>
  <si>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</si>
  <si>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</si>
  <si>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</si>
  <si>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</si>
  <si>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</si>
  <si>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</si>
  <si>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</si>
  <si>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</si>
  <si>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</si>
  <si>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</si>
  <si>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</si>
  <si>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</si>
  <si>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</si>
  <si>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</si>
  <si>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</si>
  <si>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</si>
  <si>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</si>
  <si>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</si>
  <si>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</si>
  <si>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</si>
  <si>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</si>
  <si>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</si>
  <si>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</si>
  <si>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</si>
  <si>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</si>
  <si>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</si>
  <si>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</si>
  <si>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</si>
  <si>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</si>
  <si>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</si>
  <si>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</si>
  <si>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</si>
  <si>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</si>
  <si>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</si>
  <si>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</si>
  <si>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</si>
  <si>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</si>
  <si>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</si>
  <si>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</si>
  <si>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</si>
  <si>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</si>
  <si>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</si>
  <si>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</si>
  <si>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</si>
  <si>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</si>
  <si>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</si>
  <si>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</si>
  <si>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</si>
  <si>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</si>
  <si>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</si>
  <si>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</si>
  <si>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</si>
  <si>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</si>
  <si>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</si>
  <si>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</si>
  <si>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</si>
  <si>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</si>
  <si>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</si>
  <si>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</si>
  <si>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</si>
  <si>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</si>
  <si>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</si>
  <si>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</si>
  <si>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</si>
  <si>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</si>
  <si>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</si>
  <si>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</si>
  <si>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</si>
  <si>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</si>
  <si>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</si>
  <si>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</si>
  <si>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</si>
  <si>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</si>
  <si>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</si>
  <si>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</si>
  <si>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</si>
  <si>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</si>
  <si>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</si>
  <si>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</si>
  <si>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</si>
  <si>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</si>
  <si>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</si>
  <si>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</si>
  <si>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</si>
  <si>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</si>
  <si>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</si>
  <si>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</si>
  <si>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</si>
  <si>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</si>
  <si>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</si>
  <si>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</si>
  <si>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</si>
  <si>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</si>
  <si>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</si>
  <si>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</si>
  <si>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</si>
  <si>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</si>
  <si>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</si>
  <si>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</si>
  <si>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</si>
  <si>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</si>
  <si>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</si>
  <si>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</si>
  <si>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</si>
  <si>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</si>
  <si>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</si>
  <si>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</si>
  <si>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</si>
  <si>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</si>
  <si>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</si>
  <si>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</si>
  <si>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</si>
  <si>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</si>
  <si>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</si>
  <si>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</si>
  <si>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</si>
  <si>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</si>
  <si>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</si>
  <si>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</si>
  <si>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</si>
  <si>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</si>
  <si>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</si>
  <si>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</si>
  <si>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</si>
  <si>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</si>
  <si>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</si>
  <si>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</si>
  <si>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</si>
  <si>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</si>
  <si>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</si>
  <si>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</si>
  <si>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</si>
  <si>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</si>
  <si>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</si>
  <si>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</si>
  <si>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</si>
  <si>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</si>
  <si>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</si>
  <si>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</si>
  <si>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</si>
  <si>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</si>
  <si>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</si>
  <si>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</si>
  <si>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</si>
  <si>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</si>
  <si>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</si>
  <si>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</si>
  <si>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</si>
  <si>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</si>
  <si>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</si>
  <si>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</si>
  <si>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</si>
  <si>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</si>
  <si>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</si>
  <si>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</si>
  <si>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</si>
  <si>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</si>
  <si>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</si>
  <si>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</si>
  <si>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</si>
  <si>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</si>
  <si>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</si>
  <si>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</si>
  <si>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</si>
  <si>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</si>
  <si>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</si>
  <si>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</si>
  <si>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</si>
  <si>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</si>
  <si>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</si>
  <si>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</si>
  <si>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</si>
  <si>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</si>
  <si>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</si>
  <si>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</si>
  <si>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</si>
  <si>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</si>
  <si>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</si>
  <si>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</si>
  <si>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</si>
  <si>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</si>
  <si>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</si>
  <si>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</si>
  <si>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</si>
  <si>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</si>
  <si>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</si>
  <si>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</si>
  <si>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</si>
  <si>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</si>
  <si>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</si>
  <si>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</si>
  <si>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</si>
  <si>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</si>
  <si>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</si>
  <si>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</si>
  <si>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</si>
  <si>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</si>
  <si>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</si>
  <si>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</si>
  <si>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</si>
  <si>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</si>
  <si>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</si>
  <si>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</si>
  <si>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</si>
  <si>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</si>
  <si>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</si>
  <si>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</si>
  <si>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</si>
  <si>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</si>
  <si>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</si>
  <si>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</si>
  <si>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</si>
  <si>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</si>
  <si>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</si>
  <si>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</si>
  <si>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</si>
  <si>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</si>
  <si>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</si>
  <si>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</si>
  <si>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</si>
  <si>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</si>
  <si>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</si>
  <si>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</si>
  <si>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</si>
  <si>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</si>
  <si>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</si>
  <si>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</si>
  <si>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</si>
  <si>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</si>
  <si>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</si>
  <si>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</si>
  <si>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</si>
  <si>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</si>
  <si>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</si>
  <si>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</si>
  <si>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</si>
  <si>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</si>
  <si>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</si>
  <si>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</si>
  <si>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</si>
  <si>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</si>
  <si>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</si>
  <si>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</si>
  <si>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</si>
  <si>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</si>
  <si>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</si>
  <si>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</si>
  <si>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</si>
  <si>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</si>
  <si>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</si>
  <si>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</si>
  <si>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</si>
  <si>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</si>
  <si>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</si>
  <si>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</si>
  <si>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</si>
  <si>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</si>
  <si>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</si>
  <si>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</si>
  <si>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</si>
  <si>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</si>
  <si>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</si>
  <si>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</si>
  <si>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</si>
  <si>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</si>
  <si>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</si>
  <si>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</si>
  <si>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</si>
  <si>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</si>
  <si>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</si>
  <si>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</si>
  <si>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</si>
  <si>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</si>
  <si>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</si>
  <si>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</si>
  <si>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</si>
  <si>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</si>
  <si>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</si>
  <si>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</si>
  <si>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</si>
  <si>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</si>
  <si>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</si>
  <si>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</si>
  <si>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</si>
  <si>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</si>
  <si>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</si>
  <si>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</si>
  <si>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</si>
  <si>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</si>
  <si>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</si>
  <si>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</si>
  <si>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</si>
  <si>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</si>
  <si>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</si>
  <si>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</si>
  <si>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</si>
  <si>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</si>
  <si>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</si>
  <si>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</si>
  <si>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</si>
  <si>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</si>
  <si>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</si>
  <si>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</si>
  <si>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</si>
  <si>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</si>
  <si>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</si>
  <si>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</si>
  <si>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</si>
  <si>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</si>
  <si>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</si>
  <si>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</si>
  <si>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</si>
  <si>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</si>
  <si>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</si>
  <si>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</si>
  <si>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</si>
  <si>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</si>
  <si>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</si>
  <si>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</si>
  <si>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</si>
  <si>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</si>
  <si>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</si>
  <si>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</si>
  <si>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</si>
  <si>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</si>
  <si>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</si>
  <si>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</si>
  <si>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</si>
  <si>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</si>
  <si>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</si>
  <si>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</si>
  <si>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</si>
  <si>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</si>
  <si>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</si>
  <si>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</si>
  <si>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</si>
  <si>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</si>
  <si>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</si>
  <si>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</si>
  <si>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</si>
  <si>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</si>
  <si>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</si>
  <si>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</si>
  <si>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</si>
  <si>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</si>
  <si>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</si>
  <si>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</si>
  <si>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</si>
  <si>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</si>
  <si>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</si>
  <si>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</si>
  <si>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</si>
  <si>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</si>
  <si>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</si>
  <si>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</si>
  <si>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</si>
  <si>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</si>
  <si>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</si>
  <si>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</si>
  <si>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</si>
  <si>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</si>
  <si>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</si>
  <si>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</si>
  <si>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</si>
  <si>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</si>
  <si>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</si>
  <si>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</si>
  <si>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</si>
  <si>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</si>
  <si>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</si>
  <si>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</si>
  <si>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</si>
  <si>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</si>
  <si>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</si>
  <si>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</si>
  <si>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</si>
  <si>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</si>
  <si>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</si>
  <si>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</si>
  <si>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</si>
  <si>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</si>
  <si>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</si>
  <si>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</si>
  <si>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</si>
  <si>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</si>
  <si>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</si>
  <si>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</si>
  <si>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</si>
  <si>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</si>
  <si>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</si>
  <si>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</si>
  <si>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</si>
  <si>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</si>
  <si>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</si>
  <si>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</si>
  <si>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</si>
  <si>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</si>
  <si>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</si>
  <si>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</si>
  <si>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</si>
  <si>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</si>
  <si>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</si>
  <si>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</si>
  <si>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</si>
  <si>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</si>
  <si>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</si>
  <si>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</si>
  <si>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</si>
  <si>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</si>
  <si>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</si>
  <si>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</si>
  <si>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</si>
  <si>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</si>
  <si>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</si>
  <si>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</si>
  <si>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</si>
  <si>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</si>
  <si>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</si>
  <si>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</si>
  <si>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</si>
  <si>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</si>
  <si>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</si>
  <si>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</si>
  <si>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</si>
  <si>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</si>
  <si>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</si>
  <si>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</si>
  <si>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</si>
  <si>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</si>
  <si>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</si>
  <si>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</si>
  <si>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</si>
  <si>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</si>
  <si>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</si>
  <si>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</si>
  <si>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</si>
  <si>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</si>
  <si>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</si>
  <si>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</si>
  <si>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</si>
  <si>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</si>
  <si>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</si>
  <si>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</si>
  <si>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</si>
  <si>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</si>
  <si>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</si>
  <si>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</si>
  <si>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</si>
  <si>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</si>
  <si>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</si>
  <si>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</si>
  <si>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</si>
  <si>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</si>
  <si>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</si>
  <si>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</si>
  <si>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</si>
  <si>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</si>
  <si>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</si>
  <si>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</si>
  <si>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</si>
  <si>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</si>
  <si>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</si>
  <si>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</si>
  <si>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</si>
  <si>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</si>
  <si>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</si>
  <si>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</si>
  <si>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</si>
  <si>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</si>
  <si>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</si>
  <si>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</si>
  <si>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</si>
  <si>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</si>
  <si>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</si>
  <si>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</si>
  <si>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</si>
  <si>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</si>
  <si>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</si>
  <si>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</si>
  <si>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</si>
  <si>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</si>
  <si>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</si>
  <si>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</si>
  <si>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</si>
  <si>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</si>
  <si>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</si>
  <si>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</si>
  <si>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</si>
  <si>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</si>
  <si>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</si>
  <si>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</si>
  <si>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</si>
  <si>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</si>
  <si>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</si>
  <si>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</si>
  <si>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</si>
  <si>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</si>
  <si>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</si>
  <si>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</si>
  <si>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</si>
  <si>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</si>
  <si>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</si>
  <si>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</si>
  <si>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</si>
  <si>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</si>
  <si>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</si>
  <si>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</si>
  <si>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</si>
  <si>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</si>
  <si>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</si>
  <si>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</si>
  <si>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</si>
  <si>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</si>
  <si>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</si>
  <si>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</si>
  <si>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</si>
  <si>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</si>
  <si>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</si>
  <si>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</si>
  <si>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</si>
  <si>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</si>
  <si>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</si>
  <si>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</si>
  <si>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</si>
  <si>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</si>
  <si>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</si>
  <si>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</si>
  <si>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</si>
  <si>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</si>
  <si>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</si>
  <si>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</si>
  <si>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</si>
  <si>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</si>
  <si>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</si>
  <si>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</si>
  <si>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</si>
  <si>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</si>
  <si>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</si>
  <si>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</si>
  <si>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</si>
  <si>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</si>
  <si>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</si>
  <si>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</si>
  <si>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</si>
  <si>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</si>
  <si>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</si>
  <si>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</si>
  <si>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</si>
  <si>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</si>
  <si>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</si>
  <si>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</si>
  <si>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</si>
  <si>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</si>
  <si>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</si>
  <si>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</si>
  <si>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</si>
  <si>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</si>
  <si>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</si>
  <si>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</si>
  <si>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</si>
  <si>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</si>
  <si>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</si>
  <si>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</si>
  <si>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</si>
  <si>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</si>
  <si>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</si>
  <si>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</si>
  <si>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</si>
  <si>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</si>
  <si>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</si>
  <si>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</si>
  <si>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</si>
  <si>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</si>
  <si>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</si>
  <si>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</si>
  <si>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</si>
  <si>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</si>
  <si>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</si>
  <si>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</si>
  <si>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</si>
  <si>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</si>
  <si>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</si>
  <si>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</si>
  <si>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</si>
  <si>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</si>
  <si>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</si>
  <si>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</si>
  <si>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</si>
  <si>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</si>
  <si>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</si>
  <si>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</si>
  <si>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</si>
  <si>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</si>
  <si>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</si>
  <si>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</si>
  <si>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</si>
  <si>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</si>
  <si>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</si>
  <si>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</si>
  <si>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</si>
  <si>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</si>
  <si>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</si>
  <si>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</si>
  <si>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</si>
  <si>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</si>
  <si>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</si>
  <si>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</si>
  <si>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</si>
  <si>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</si>
  <si>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</si>
  <si>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</si>
  <si>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</si>
  <si>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</si>
  <si>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</si>
  <si>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</si>
  <si>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</si>
  <si>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</si>
  <si>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</si>
  <si>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</si>
  <si>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</si>
  <si>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</si>
  <si>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</si>
  <si>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</si>
  <si>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</si>
  <si>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</si>
  <si>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</si>
  <si>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</si>
  <si>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</si>
  <si>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</si>
  <si>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</si>
  <si>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</si>
  <si>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</si>
  <si>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</si>
  <si>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</si>
  <si>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</si>
  <si>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</si>
  <si>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</si>
  <si>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</si>
  <si>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</si>
  <si>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</si>
  <si>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</si>
  <si>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</si>
  <si>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</si>
  <si>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</si>
  <si>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</si>
  <si>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</si>
  <si>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</si>
  <si>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</si>
  <si>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</si>
  <si>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</si>
  <si>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</si>
  <si>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</si>
  <si>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</si>
  <si>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</si>
  <si>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</si>
  <si>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</si>
  <si>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</si>
  <si>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</si>
  <si>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</si>
  <si>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</si>
  <si>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</si>
  <si>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</si>
  <si>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</si>
  <si>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</si>
  <si>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</si>
  <si>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</si>
  <si>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</si>
  <si>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</si>
  <si>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</si>
  <si>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</si>
  <si>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</si>
  <si>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</si>
  <si>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</si>
  <si>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</si>
  <si>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</si>
  <si>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</si>
  <si>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</si>
  <si>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</si>
  <si>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</si>
  <si>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</si>
  <si>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</si>
  <si>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</si>
  <si>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</si>
  <si>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</si>
  <si>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</si>
  <si>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</si>
  <si>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</si>
  <si>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</si>
  <si>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</si>
  <si>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</si>
  <si>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</si>
  <si>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</si>
  <si>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</si>
  <si>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</si>
  <si>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</si>
  <si>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</si>
  <si>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</si>
  <si>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</si>
  <si>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</si>
  <si>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</si>
  <si>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</si>
  <si>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</si>
  <si>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</si>
  <si>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</si>
  <si>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</si>
  <si>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</si>
  <si>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</si>
  <si>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</si>
  <si>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</si>
  <si>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</si>
  <si>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</si>
  <si>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</si>
  <si>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</si>
  <si>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</si>
  <si>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</si>
  <si>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</si>
  <si>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</si>
  <si>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</si>
  <si>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</si>
  <si>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</si>
  <si>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</si>
  <si>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</si>
  <si>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</si>
  <si>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</si>
  <si>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</si>
  <si>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</si>
  <si>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</si>
  <si>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</si>
  <si>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</si>
  <si>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</si>
  <si>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</si>
  <si>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</si>
  <si>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</si>
  <si>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</si>
  <si>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</si>
  <si>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</si>
  <si>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</si>
  <si>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</si>
  <si>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</si>
  <si>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</si>
  <si>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</si>
  <si>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</si>
  <si>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</si>
  <si>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</si>
  <si>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</si>
  <si>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</si>
  <si>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</si>
  <si>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</si>
  <si>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</si>
  <si>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</si>
  <si>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</si>
  <si>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</si>
  <si>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</si>
  <si>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</si>
  <si>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</si>
  <si>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</si>
  <si>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</si>
  <si>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</si>
  <si>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</si>
  <si>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</si>
  <si>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</si>
  <si>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</si>
  <si>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</si>
  <si>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</si>
  <si>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</si>
  <si>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</si>
  <si>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</si>
  <si>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</si>
  <si>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</si>
  <si>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</si>
  <si>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</si>
  <si>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</si>
  <si>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</si>
  <si>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</si>
  <si>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</si>
  <si>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</si>
  <si>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</si>
  <si>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</si>
  <si>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</si>
  <si>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</si>
  <si>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</si>
  <si>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</si>
  <si>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</si>
  <si>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</si>
  <si>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</si>
  <si>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</si>
  <si>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</si>
  <si>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</si>
  <si>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</si>
  <si>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</si>
  <si>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</si>
  <si>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</si>
  <si>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</si>
  <si>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</si>
  <si>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</si>
  <si>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</si>
  <si>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</si>
  <si>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</si>
  <si>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</si>
  <si>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</si>
  <si>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</si>
  <si>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</si>
  <si>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</si>
  <si>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</si>
  <si>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</si>
  <si>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</si>
  <si>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</si>
  <si>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</si>
  <si>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</si>
  <si>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</si>
  <si>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</si>
  <si>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</si>
  <si>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</si>
  <si>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</si>
  <si>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</si>
  <si>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</si>
  <si>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</si>
  <si>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</si>
  <si>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</si>
  <si>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</si>
  <si>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</si>
  <si>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</si>
  <si>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</si>
  <si>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</si>
  <si>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</si>
  <si>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</si>
  <si>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</si>
  <si>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</si>
  <si>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</si>
  <si>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</si>
  <si>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</si>
  <si>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</si>
  <si>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</si>
  <si>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</si>
  <si>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</si>
  <si>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</si>
  <si>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</si>
  <si>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</si>
  <si>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</si>
  <si>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</si>
  <si>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</si>
  <si>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</si>
  <si>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</si>
  <si>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</si>
  <si>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</si>
  <si>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</si>
  <si>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</si>
  <si>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</si>
  <si>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</si>
  <si>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</si>
  <si>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</si>
  <si>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</si>
  <si>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</si>
  <si>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</si>
  <si>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</si>
  <si>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</si>
  <si>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</si>
  <si>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</si>
  <si>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</si>
  <si>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</si>
  <si>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</si>
  <si>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</si>
  <si>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</si>
  <si>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</si>
  <si>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</si>
  <si>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</si>
  <si>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</si>
  <si>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</si>
  <si>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</si>
  <si>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</si>
  <si>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</si>
  <si>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</si>
  <si>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</si>
  <si>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</si>
  <si>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</si>
  <si>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</si>
  <si>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</si>
  <si>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</si>
  <si>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</si>
  <si>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</si>
  <si>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</si>
  <si>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</si>
  <si>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</si>
  <si>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</si>
  <si>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</si>
  <si>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</si>
  <si>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</si>
  <si>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</si>
  <si>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</si>
  <si>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</si>
  <si>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</si>
  <si>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</si>
  <si>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</si>
  <si>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</si>
  <si>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</si>
  <si>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</si>
  <si>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</si>
  <si>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</si>
  <si>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</si>
  <si>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</si>
  <si>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</si>
  <si>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</si>
  <si>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</si>
  <si>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</si>
  <si>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</si>
  <si>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</si>
  <si>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</si>
  <si>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</si>
  <si>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</si>
  <si>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</si>
  <si>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</si>
  <si>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</si>
  <si>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</si>
  <si>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</si>
  <si>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</si>
  <si>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</si>
  <si>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</si>
  <si>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</si>
  <si>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</si>
  <si>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</si>
  <si>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</si>
  <si>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</si>
  <si>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</si>
  <si>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</si>
  <si>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</si>
  <si>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</si>
  <si>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</si>
  <si>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</si>
  <si>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</si>
  <si>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</si>
  <si>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</si>
  <si>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</si>
  <si>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</si>
  <si>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</si>
  <si>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</si>
  <si>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</si>
  <si>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</si>
  <si>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</si>
  <si>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</si>
  <si>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</si>
  <si>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</si>
  <si>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</si>
  <si>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</si>
  <si>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</si>
  <si>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</si>
  <si>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</si>
  <si>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</si>
  <si>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</si>
  <si>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</si>
  <si>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</si>
  <si>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</si>
  <si>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</si>
  <si>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</si>
  <si>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</si>
  <si>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</si>
  <si>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</si>
  <si>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</si>
  <si>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</si>
  <si>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</si>
  <si>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</si>
  <si>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</si>
  <si>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</si>
  <si>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</si>
  <si>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</si>
  <si>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</si>
  <si>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</si>
  <si>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</si>
  <si>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</si>
  <si>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</si>
  <si>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</si>
  <si>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</si>
  <si>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</si>
  <si>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</si>
  <si>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</si>
  <si>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</si>
  <si>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</si>
  <si>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</si>
  <si>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</si>
  <si>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</si>
  <si>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</si>
  <si>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</si>
  <si>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</si>
  <si>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</si>
  <si>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</si>
  <si>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</si>
  <si>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</si>
  <si>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</si>
  <si>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</si>
  <si>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</si>
  <si>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</si>
  <si>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</si>
  <si>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</si>
  <si>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</si>
  <si>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</si>
  <si>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</si>
  <si>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</si>
  <si>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</si>
  <si>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</si>
  <si>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</si>
  <si>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</si>
  <si>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</si>
  <si>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</si>
  <si>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</si>
  <si>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</si>
  <si>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</si>
  <si>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</si>
  <si>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</si>
  <si>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</si>
  <si>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</si>
  <si>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</si>
  <si>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</si>
  <si>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</si>
  <si>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</si>
  <si>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</si>
  <si>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</si>
  <si>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</si>
  <si>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</si>
  <si>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</si>
  <si>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</si>
  <si>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</si>
  <si>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</si>
  <si>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</si>
  <si>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</si>
  <si>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</si>
  <si>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</si>
  <si>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</si>
  <si>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</si>
  <si>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</si>
  <si>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</si>
  <si>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</si>
  <si>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</si>
  <si>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</si>
  <si>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</si>
  <si>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</si>
  <si>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</si>
  <si>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</si>
  <si>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</si>
  <si>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</si>
  <si>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</si>
  <si>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</si>
  <si>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</si>
  <si>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</si>
  <si>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</si>
  <si>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</si>
  <si>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</si>
  <si>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</si>
  <si>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</si>
  <si>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</si>
  <si>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</si>
  <si>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</si>
  <si>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</si>
  <si>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</si>
  <si>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</si>
  <si>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</si>
  <si>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</si>
  <si>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</si>
  <si>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</si>
  <si>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</si>
  <si>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</si>
  <si>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</si>
  <si>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</si>
  <si>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</si>
  <si>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</si>
  <si>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</si>
  <si>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</si>
  <si>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</si>
  <si>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</si>
  <si>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</si>
  <si>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</si>
  <si>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</si>
  <si>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</si>
  <si>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</si>
  <si>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</si>
  <si>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</si>
  <si>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</si>
  <si>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</si>
  <si>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</si>
  <si>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</si>
  <si>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</si>
  <si>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</si>
  <si>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</si>
  <si>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</si>
  <si>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</si>
  <si>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</si>
  <si>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</si>
  <si>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</si>
  <si>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</si>
  <si>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</si>
  <si>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</si>
  <si>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</si>
  <si>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</si>
  <si>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</si>
  <si>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</si>
  <si>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</si>
  <si>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</si>
  <si>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</si>
  <si>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</si>
  <si>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</si>
  <si>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</si>
  <si>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</si>
  <si>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</si>
  <si>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</si>
  <si>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</si>
  <si>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</si>
  <si>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</si>
  <si>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</si>
  <si>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</si>
  <si>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</si>
  <si>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</si>
  <si>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</si>
  <si>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</si>
  <si>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</si>
  <si>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</si>
  <si>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</si>
  <si>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</si>
  <si>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</si>
  <si>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</si>
  <si>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</si>
  <si>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</si>
  <si>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</si>
  <si>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</si>
  <si>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</si>
  <si>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</si>
  <si>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</si>
  <si>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</si>
  <si>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</si>
  <si>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</si>
  <si>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</si>
  <si>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</si>
  <si>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</si>
  <si>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</si>
  <si>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</si>
  <si>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</si>
  <si>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</si>
  <si>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</si>
  <si>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</si>
  <si>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</si>
  <si>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</si>
  <si>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</si>
  <si>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</si>
  <si>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</si>
  <si>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</si>
  <si>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</si>
  <si>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</si>
  <si>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</si>
  <si>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</si>
  <si>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</si>
  <si>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</si>
  <si>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</si>
  <si>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</si>
  <si>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</si>
  <si>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</si>
  <si>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</si>
  <si>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</si>
  <si>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</si>
  <si>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</si>
  <si>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</si>
  <si>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</si>
  <si>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</si>
  <si>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</si>
  <si>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</si>
  <si>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</si>
  <si>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</si>
  <si>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</si>
  <si>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</si>
  <si>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</si>
  <si>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</si>
  <si>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</si>
  <si>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</si>
  <si>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</si>
  <si>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</si>
  <si>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</si>
  <si>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</si>
  <si>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</si>
  <si>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</si>
  <si>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</si>
  <si>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</si>
  <si>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</si>
  <si>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</si>
  <si>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</si>
  <si>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</si>
  <si>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</si>
  <si>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</si>
  <si>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</si>
  <si>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</si>
  <si>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</si>
  <si>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</si>
  <si>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</si>
  <si>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</si>
  <si>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</si>
  <si>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</si>
  <si>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</si>
  <si>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</si>
  <si>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</si>
  <si>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</si>
  <si>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</si>
  <si>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</si>
  <si>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</si>
  <si>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</si>
  <si>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</si>
  <si>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</si>
  <si>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</si>
  <si>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</si>
  <si>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</si>
  <si>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</si>
  <si>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</si>
  <si>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</si>
  <si>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</si>
  <si>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</si>
  <si>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</si>
  <si>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</si>
  <si>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</si>
  <si>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</si>
  <si>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</si>
  <si>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</si>
  <si>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</si>
  <si>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</si>
  <si>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</si>
  <si>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</si>
  <si>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</si>
  <si>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</si>
  <si>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</si>
  <si>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</si>
  <si>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</si>
  <si>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</si>
  <si>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</si>
  <si>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</si>
  <si>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</si>
  <si>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</si>
  <si>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</si>
  <si>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</si>
  <si>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</si>
  <si>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</si>
  <si>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</si>
  <si>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</si>
  <si>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</si>
  <si>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</si>
  <si>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</si>
  <si>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</si>
  <si>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</si>
  <si>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</si>
  <si>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</si>
  <si>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</si>
  <si>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</si>
  <si>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</si>
  <si>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</si>
  <si>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</si>
  <si>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</si>
  <si>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</si>
  <si>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</si>
  <si>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</si>
  <si>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</si>
  <si>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</si>
  <si>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</si>
  <si>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</si>
  <si>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</si>
  <si>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</si>
  <si>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</si>
  <si>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</si>
  <si>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</si>
  <si>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</si>
  <si>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</si>
  <si>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</si>
  <si>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</si>
  <si>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</si>
  <si>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</si>
  <si>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</si>
  <si>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</si>
  <si>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</si>
  <si>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</si>
  <si>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</si>
  <si>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</si>
  <si>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</si>
  <si>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</si>
  <si>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</si>
  <si>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</si>
  <si>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</si>
  <si>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</si>
  <si>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</si>
  <si>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</si>
  <si>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</si>
  <si>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</si>
  <si>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</si>
  <si>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</si>
  <si>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</si>
  <si>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</si>
  <si>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</si>
  <si>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</si>
  <si>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</si>
  <si>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</si>
  <si>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</si>
  <si>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</si>
  <si>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</si>
  <si>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</si>
  <si>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</si>
  <si>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</si>
  <si>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</si>
  <si>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</si>
  <si>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</si>
  <si>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</si>
  <si>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</si>
  <si>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</si>
  <si>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</si>
  <si>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</si>
  <si>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</si>
  <si>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</si>
  <si>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</si>
  <si>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</si>
  <si>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</si>
  <si>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</si>
  <si>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</si>
  <si>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</si>
  <si>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</si>
  <si>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</si>
  <si>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</si>
  <si>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</si>
  <si>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</si>
  <si>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</si>
  <si>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</si>
  <si>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</si>
  <si>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</si>
  <si>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</si>
  <si>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</si>
  <si>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</si>
  <si>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</si>
  <si>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</si>
  <si>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</si>
  <si>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</si>
  <si>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</si>
  <si>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</si>
  <si>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</si>
  <si>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</si>
  <si>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</si>
  <si>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</si>
  <si>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</si>
  <si>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</si>
  <si>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</si>
  <si>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</si>
  <si>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</si>
  <si>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</si>
  <si>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</si>
  <si>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</si>
  <si>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</si>
  <si>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</si>
  <si>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</si>
  <si>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</si>
  <si>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</si>
  <si>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</si>
  <si>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</si>
  <si>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</si>
  <si>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</si>
  <si>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</si>
  <si>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</si>
  <si>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</si>
  <si>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</si>
  <si>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</si>
  <si>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</si>
  <si>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</si>
  <si>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</si>
  <si>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</si>
  <si>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</si>
  <si>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</si>
  <si>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</si>
  <si>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</si>
  <si>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</si>
  <si>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</si>
  <si>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</si>
  <si>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</si>
  <si>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</si>
  <si>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</si>
  <si>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</si>
  <si>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</si>
  <si>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</si>
  <si>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</si>
  <si>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</si>
  <si>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</si>
  <si>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</si>
  <si>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</si>
  <si>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</si>
  <si>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</si>
  <si>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</si>
  <si>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</si>
  <si>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</si>
  <si>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</si>
  <si>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</si>
  <si>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</si>
  <si>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</si>
  <si>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</si>
  <si>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</si>
  <si>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</si>
  <si>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</si>
  <si>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</si>
  <si>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</si>
  <si>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</si>
  <si>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</si>
  <si>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</si>
  <si>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</si>
  <si>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</si>
  <si>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</si>
  <si>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</si>
  <si>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</si>
  <si>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</si>
  <si>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</si>
  <si>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</si>
  <si>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</si>
  <si>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</si>
  <si>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</si>
  <si>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</si>
  <si>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</si>
  <si>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</si>
  <si>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</si>
  <si>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</si>
  <si>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</si>
  <si>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</si>
  <si>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</si>
  <si>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</si>
  <si>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</si>
  <si>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</si>
  <si>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</si>
  <si>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</si>
  <si>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</si>
  <si>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</si>
  <si>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</si>
  <si>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</si>
  <si>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</si>
  <si>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</si>
  <si>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</si>
  <si>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</si>
  <si>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</si>
  <si>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</si>
  <si>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</si>
  <si>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</si>
  <si>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</si>
  <si>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</si>
  <si>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</si>
  <si>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</si>
  <si>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</si>
  <si>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</si>
  <si>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</si>
  <si>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</si>
  <si>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</si>
  <si>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</si>
  <si>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</si>
  <si>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</si>
  <si>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</si>
  <si>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</si>
  <si>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</si>
  <si>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</si>
  <si>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</si>
  <si>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</si>
  <si>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</si>
  <si>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</si>
  <si>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</si>
  <si>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</si>
  <si>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</si>
  <si>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</si>
  <si>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</si>
  <si>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</si>
  <si>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</si>
  <si>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</si>
  <si>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</si>
  <si>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</si>
  <si>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</si>
  <si>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</si>
  <si>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</si>
  <si>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</si>
  <si>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</si>
  <si>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</si>
  <si>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</si>
  <si>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</si>
  <si>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</si>
  <si>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</si>
  <si>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</si>
  <si>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</si>
  <si>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</si>
  <si>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</si>
  <si>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</si>
  <si>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</si>
  <si>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</si>
  <si>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</si>
  <si>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</si>
  <si>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</si>
  <si>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</si>
  <si>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</si>
  <si>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</si>
  <si>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</si>
  <si>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</si>
  <si>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</si>
  <si>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</si>
  <si>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</si>
  <si>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</si>
  <si>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</si>
  <si>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</si>
  <si>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</si>
  <si>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</si>
  <si>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</si>
  <si>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</si>
  <si>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</si>
  <si>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</si>
  <si>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</si>
  <si>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</si>
  <si>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</si>
  <si>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</si>
  <si>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</si>
  <si>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</si>
  <si>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</si>
  <si>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</si>
  <si>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</si>
  <si>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</si>
  <si>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</si>
  <si>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</si>
  <si>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</si>
  <si>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</si>
  <si>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</si>
  <si>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</si>
  <si>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</si>
  <si>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</si>
  <si>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</si>
  <si>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</si>
  <si>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</si>
  <si>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</si>
  <si>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</si>
  <si>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</si>
  <si>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</si>
  <si>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</si>
  <si>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</si>
  <si>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</si>
  <si>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</si>
  <si>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</si>
  <si>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</si>
  <si>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</si>
  <si>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</si>
  <si>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</si>
  <si>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</si>
  <si>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</si>
  <si>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</si>
  <si>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</si>
  <si>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</si>
  <si>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</si>
  <si>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</si>
  <si>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</si>
  <si>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</si>
  <si>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</si>
  <si>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</si>
  <si>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</si>
  <si>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</si>
  <si>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</si>
  <si>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</si>
  <si>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</si>
  <si>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</si>
  <si>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</si>
  <si>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</si>
  <si>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</si>
  <si>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</si>
  <si>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</si>
  <si>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</si>
  <si>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</si>
  <si>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</si>
  <si>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</si>
  <si>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</si>
  <si>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</si>
  <si>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</si>
  <si>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</si>
  <si>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</si>
  <si>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</si>
  <si>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</si>
  <si>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</si>
  <si>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</si>
  <si>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</si>
  <si>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</si>
  <si>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</si>
  <si>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</si>
  <si>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</si>
  <si>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</si>
  <si>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</si>
  <si>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</si>
  <si>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</si>
  <si>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</si>
  <si>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</si>
  <si>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</si>
  <si>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</si>
  <si>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</si>
  <si>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</si>
  <si>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</si>
  <si>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</si>
  <si>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</si>
  <si>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</si>
  <si>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</si>
  <si>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</si>
  <si>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</si>
  <si>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</si>
  <si>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</si>
  <si>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</si>
  <si>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</si>
  <si>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</si>
  <si>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</si>
  <si>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</si>
  <si>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</si>
  <si>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</si>
  <si>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</si>
  <si>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</si>
  <si>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</si>
  <si>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</si>
  <si>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</si>
  <si>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</si>
  <si>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</si>
  <si>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</si>
  <si>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</si>
  <si>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</si>
  <si>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</si>
  <si>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</si>
  <si>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</si>
  <si>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</si>
  <si>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</si>
  <si>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</si>
  <si>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</si>
  <si>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</si>
  <si>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</si>
  <si>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</si>
  <si>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</si>
  <si>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</si>
  <si>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</si>
  <si>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</si>
  <si>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</si>
  <si>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</si>
  <si>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</si>
  <si>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</si>
  <si>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</si>
  <si>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</si>
  <si>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</si>
  <si>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</si>
  <si>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</si>
  <si>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</si>
  <si>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</si>
  <si>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</si>
  <si>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</si>
  <si>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</si>
  <si>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</si>
  <si>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</si>
  <si>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</si>
  <si>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</si>
  <si>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</si>
  <si>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</si>
  <si>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</si>
  <si>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</si>
  <si>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</si>
  <si>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</si>
  <si>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</si>
  <si>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</si>
  <si>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</si>
  <si>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</si>
  <si>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</si>
  <si>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</si>
  <si>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</si>
  <si>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</si>
  <si>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</si>
  <si>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</si>
  <si>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</si>
  <si>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</si>
  <si>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</si>
  <si>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</si>
  <si>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</si>
  <si>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</si>
  <si>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</si>
  <si>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</si>
  <si>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</si>
  <si>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</si>
  <si>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</si>
  <si>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</si>
  <si>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</si>
  <si>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</si>
  <si>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</si>
  <si>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</si>
  <si>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</si>
  <si>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</si>
  <si>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</si>
  <si>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</si>
  <si>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</si>
  <si>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</si>
  <si>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</si>
  <si>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</si>
  <si>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</si>
  <si>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</si>
  <si>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</si>
  <si>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</si>
  <si>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</si>
  <si>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</si>
  <si>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</si>
  <si>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</si>
  <si>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</si>
  <si>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</si>
  <si>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</si>
  <si>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</si>
  <si>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</si>
  <si>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</si>
  <si>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</si>
  <si>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</si>
  <si>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</si>
  <si>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</si>
  <si>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</si>
  <si>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</si>
  <si>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</si>
  <si>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</si>
  <si>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</si>
  <si>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</si>
  <si>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</si>
  <si>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</si>
  <si>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</si>
  <si>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</si>
  <si>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</si>
  <si>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</si>
  <si>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</si>
  <si>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</si>
  <si>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</si>
  <si>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</si>
  <si>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</si>
  <si>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</si>
  <si>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</si>
  <si>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</si>
  <si>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</si>
  <si>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</si>
  <si>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</si>
  <si>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</si>
  <si>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</si>
  <si>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</si>
  <si>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</si>
  <si>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</si>
  <si>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</si>
  <si>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</si>
  <si>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</si>
  <si>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</si>
  <si>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</si>
  <si>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</si>
  <si>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</si>
  <si>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</si>
  <si>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</si>
  <si>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</si>
  <si>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</si>
  <si>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</si>
  <si>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</si>
  <si>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</si>
  <si>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</si>
  <si>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</si>
  <si>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</si>
  <si>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</si>
  <si>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</si>
  <si>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</si>
  <si>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</si>
  <si>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</si>
  <si>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</si>
  <si>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</si>
  <si>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</si>
  <si>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</si>
  <si>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</si>
  <si>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</si>
  <si>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</si>
  <si>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</si>
  <si>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</si>
  <si>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</si>
  <si>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</si>
  <si>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</si>
  <si>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</si>
  <si>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</si>
  <si>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</si>
  <si>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</si>
  <si>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</si>
  <si>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</si>
  <si>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</si>
  <si>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</si>
  <si>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</si>
  <si>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</si>
  <si>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</si>
  <si>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</si>
  <si>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</si>
  <si>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</si>
  <si>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</si>
  <si>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</si>
  <si>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</si>
  <si>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</si>
  <si>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</si>
  <si>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</si>
  <si>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</si>
  <si>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</si>
  <si>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</si>
  <si>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</si>
  <si>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</si>
  <si>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</si>
  <si>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</si>
  <si>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</si>
  <si>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</si>
  <si>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</si>
  <si>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</si>
  <si>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</si>
  <si>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</si>
  <si>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</si>
  <si>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</si>
  <si>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</si>
  <si>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</si>
  <si>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</si>
  <si>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</si>
  <si>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</si>
  <si>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</si>
  <si>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</si>
  <si>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</si>
  <si>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</si>
  <si>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</si>
  <si>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</si>
  <si>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</si>
  <si>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</si>
  <si>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</si>
  <si>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</si>
  <si>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</si>
  <si>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</si>
  <si>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</si>
  <si>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</si>
  <si>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</si>
  <si>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</si>
  <si>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</si>
  <si>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</si>
  <si>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</si>
  <si>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</si>
  <si>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</si>
  <si>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</si>
  <si>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</si>
  <si>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</si>
  <si>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</si>
  <si>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</si>
  <si>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</si>
  <si>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</si>
  <si>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</si>
  <si>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</si>
  <si>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</si>
  <si>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</si>
  <si>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</si>
  <si>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</si>
  <si>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</si>
  <si>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</si>
  <si>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</si>
  <si>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</si>
  <si>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</si>
  <si>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</si>
  <si>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</si>
  <si>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</si>
  <si>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</si>
  <si>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</si>
  <si>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</si>
  <si>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</si>
  <si>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</si>
  <si>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</si>
  <si>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</si>
  <si>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</si>
  <si>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</si>
  <si>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</si>
  <si>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</si>
  <si>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</si>
  <si>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</si>
  <si>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</si>
  <si>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</si>
  <si>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</si>
  <si>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</si>
  <si>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</si>
  <si>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</si>
  <si>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</si>
  <si>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</si>
  <si>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</si>
  <si>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</si>
  <si>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</si>
  <si>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</si>
  <si>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</si>
  <si>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</si>
  <si>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</si>
  <si>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</si>
  <si>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</si>
  <si>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</si>
  <si>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</si>
  <si>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</si>
  <si>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</si>
  <si>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</si>
  <si>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</si>
  <si>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</si>
  <si>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</si>
  <si>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</si>
  <si>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</si>
  <si>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</si>
  <si>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</si>
  <si>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</si>
  <si>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</si>
  <si>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</si>
  <si>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</si>
  <si>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</si>
  <si>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</si>
  <si>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</si>
  <si>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</si>
  <si>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</si>
  <si>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</si>
  <si>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</si>
  <si>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</si>
  <si>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</si>
  <si>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</si>
  <si>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</si>
  <si>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</si>
  <si>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</si>
  <si>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</si>
  <si>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</si>
  <si>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</si>
  <si>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</si>
  <si>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</si>
  <si>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</si>
  <si>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</si>
  <si>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</si>
  <si>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</si>
  <si>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</si>
  <si>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</si>
  <si>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</si>
  <si>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</si>
  <si>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</si>
  <si>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</si>
  <si>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</si>
  <si>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</si>
  <si>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</si>
  <si>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</si>
  <si>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</si>
  <si>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</si>
  <si>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</si>
  <si>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</si>
  <si>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</si>
  <si>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</si>
  <si>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</si>
  <si>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</si>
  <si>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</si>
  <si>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</si>
  <si>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</si>
  <si>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</si>
  <si>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</si>
  <si>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</si>
  <si>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</si>
  <si>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</si>
  <si>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</si>
  <si>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</si>
  <si>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</si>
  <si>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</si>
  <si>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</si>
  <si>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</si>
  <si>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</si>
  <si>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</si>
  <si>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</si>
  <si>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</si>
  <si>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</si>
  <si>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</si>
  <si>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</si>
  <si>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</si>
  <si>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</si>
  <si>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</si>
  <si>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</si>
  <si>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</si>
  <si>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</si>
  <si>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</si>
  <si>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</si>
  <si>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</si>
  <si>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</si>
  <si>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</si>
  <si>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</si>
  <si>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</si>
  <si>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</si>
  <si>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</si>
  <si>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</si>
  <si>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</si>
  <si>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</si>
  <si>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</si>
  <si>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</si>
  <si>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</si>
  <si>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</si>
  <si>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</si>
  <si>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</si>
  <si>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</si>
  <si>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</si>
  <si>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</si>
  <si>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</si>
  <si>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</si>
  <si>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</si>
  <si>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</si>
  <si>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</si>
  <si>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</si>
  <si>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</si>
  <si>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</si>
  <si>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</si>
  <si>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</si>
  <si>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</si>
  <si>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</si>
  <si>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</si>
  <si>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</si>
  <si>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</si>
  <si>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</si>
  <si>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</si>
  <si>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</si>
  <si>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</si>
  <si>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</si>
  <si>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</si>
  <si>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</si>
  <si>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</si>
  <si>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</si>
  <si>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</si>
  <si>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</si>
  <si>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</si>
  <si>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</si>
  <si>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</si>
  <si>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</si>
  <si>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</si>
  <si>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</si>
  <si>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</si>
  <si>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</si>
  <si>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</si>
  <si>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</si>
  <si>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</si>
  <si>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</si>
  <si>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</si>
  <si>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</si>
  <si>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</si>
  <si>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</si>
  <si>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</si>
  <si>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</si>
  <si>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</si>
  <si>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</si>
  <si>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</si>
  <si>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</si>
  <si>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</si>
  <si>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</si>
  <si>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</si>
  <si>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</si>
  <si>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</si>
  <si>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</si>
  <si>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</si>
  <si>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</si>
  <si>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</si>
  <si>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</si>
  <si>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</si>
  <si>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</si>
  <si>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</si>
  <si>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</si>
  <si>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</si>
  <si>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</si>
  <si>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</si>
  <si>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</si>
  <si>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</si>
  <si>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</si>
  <si>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</si>
  <si>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</si>
  <si>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</si>
  <si>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</si>
  <si>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</si>
  <si>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</si>
  <si>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</si>
  <si>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</si>
  <si>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</si>
  <si>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</si>
  <si>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</si>
  <si>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</si>
  <si>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</si>
  <si>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</si>
  <si>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</si>
  <si>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</si>
  <si>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</si>
  <si>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</si>
  <si>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</si>
  <si>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</si>
  <si>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</si>
  <si>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</si>
  <si>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</si>
  <si>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</si>
  <si>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</si>
  <si>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</si>
  <si>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</si>
  <si>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</si>
  <si>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</si>
  <si>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</si>
  <si>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</si>
  <si>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</si>
  <si>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</si>
  <si>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</si>
  <si>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</si>
  <si>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</si>
  <si>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</si>
  <si>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</si>
  <si>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</si>
  <si>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</si>
  <si>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</si>
  <si>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</si>
  <si>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</si>
  <si>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</si>
  <si>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</si>
  <si>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</si>
  <si>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</si>
  <si>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</si>
  <si>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</si>
  <si>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</si>
  <si>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</si>
  <si>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</si>
  <si>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</si>
  <si>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</si>
  <si>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</si>
  <si>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</si>
  <si>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</si>
  <si>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</si>
  <si>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</si>
  <si>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</si>
  <si>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</si>
  <si>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</si>
  <si>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</si>
  <si>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</si>
  <si>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</si>
  <si>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</si>
  <si>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</si>
  <si>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</si>
  <si>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</si>
  <si>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</si>
  <si>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</si>
  <si>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</si>
  <si>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</si>
  <si>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</si>
  <si>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</si>
  <si>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</si>
  <si>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</si>
  <si>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</si>
  <si>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</si>
  <si>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</si>
  <si>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</si>
  <si>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</si>
  <si>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</si>
  <si>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</si>
  <si>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</si>
  <si>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</si>
  <si>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</si>
  <si>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</si>
  <si>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</si>
  <si>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</si>
  <si>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</si>
  <si>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</si>
  <si>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</si>
  <si>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</si>
  <si>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</si>
  <si>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</si>
  <si>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</si>
  <si>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</si>
  <si>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</si>
  <si>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</si>
  <si>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</si>
  <si>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</si>
  <si>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</si>
  <si>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</si>
  <si>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</si>
  <si>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</si>
  <si>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</si>
  <si>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</si>
  <si>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</si>
  <si>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</si>
  <si>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</si>
  <si>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</si>
  <si>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</si>
  <si>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</si>
  <si>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</si>
  <si>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</si>
  <si>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</si>
  <si>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</si>
  <si>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</si>
  <si>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</si>
  <si>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</si>
  <si>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</si>
  <si>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</si>
  <si>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</si>
  <si>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</si>
  <si>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</si>
  <si>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</si>
  <si>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</si>
  <si>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</si>
  <si>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</si>
  <si>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</si>
  <si>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</si>
  <si>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</si>
  <si>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</si>
  <si>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</si>
  <si>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</si>
  <si>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</si>
  <si>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</si>
  <si>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</si>
  <si>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</si>
  <si>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</si>
  <si>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</si>
  <si>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</si>
  <si>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</si>
  <si>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</si>
  <si>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</si>
  <si>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</si>
  <si>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</si>
  <si>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</si>
  <si>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</si>
  <si>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</si>
  <si>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</si>
  <si>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</si>
  <si>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</si>
  <si>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</si>
  <si>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</si>
  <si>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</si>
  <si>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</si>
  <si>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</si>
  <si>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</si>
  <si>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</si>
  <si>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</si>
  <si>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</si>
  <si>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</si>
  <si>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</si>
  <si>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</si>
  <si>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</si>
  <si>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</si>
  <si>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</si>
  <si>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</si>
  <si>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</si>
  <si>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</si>
  <si>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</si>
  <si>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</si>
  <si>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</si>
  <si>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</si>
  <si>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</si>
  <si>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</si>
  <si>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</si>
  <si>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</si>
  <si>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</si>
  <si>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</si>
  <si>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</si>
  <si>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</si>
  <si>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</si>
  <si>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</si>
  <si>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</si>
  <si>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</si>
  <si>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</si>
  <si>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</si>
  <si>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</si>
  <si>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</si>
  <si>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</si>
  <si>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</si>
  <si>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</si>
  <si>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</si>
  <si>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</si>
  <si>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</si>
  <si>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</si>
  <si>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</si>
  <si>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</si>
  <si>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</si>
  <si>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</si>
  <si>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</si>
  <si>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</si>
  <si>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</si>
  <si>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</si>
  <si>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</si>
  <si>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</si>
  <si>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</si>
  <si>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</si>
  <si>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</si>
  <si>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</si>
  <si>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</si>
  <si>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</si>
  <si>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</si>
  <si>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</si>
  <si>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</si>
  <si>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</si>
  <si>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</si>
  <si>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</si>
  <si>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</si>
  <si>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</si>
  <si>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</si>
  <si>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</si>
  <si>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</si>
  <si>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</si>
  <si>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</si>
  <si>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</si>
  <si>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</si>
  <si>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</si>
  <si>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</si>
  <si>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</si>
  <si>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</si>
  <si>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</si>
  <si>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</si>
  <si>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</si>
  <si>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</si>
  <si>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</si>
  <si>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</si>
  <si>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</si>
  <si>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</si>
  <si>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</si>
  <si>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</si>
  <si>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</si>
  <si>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</si>
  <si>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</si>
  <si>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</si>
  <si>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</si>
  <si>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</si>
  <si>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</si>
  <si>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</si>
  <si>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</si>
  <si>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</si>
  <si>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</si>
  <si>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</si>
  <si>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</si>
  <si>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</si>
  <si>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</si>
  <si>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</si>
  <si>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</si>
  <si>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</si>
  <si>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</si>
  <si>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</si>
  <si>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</si>
  <si>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</si>
  <si>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</si>
  <si>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</si>
  <si>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</si>
  <si>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</si>
  <si>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</si>
  <si>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</si>
  <si>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</si>
  <si>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</si>
  <si>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</si>
  <si>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</si>
  <si>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</si>
  <si>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</si>
  <si>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</si>
  <si>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</si>
  <si>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</si>
  <si>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</si>
  <si>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</si>
  <si>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</si>
  <si>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</si>
  <si>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</si>
  <si>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</si>
  <si>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</si>
  <si>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</si>
  <si>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</si>
  <si>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</si>
  <si>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</si>
  <si>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</si>
  <si>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</si>
  <si>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</si>
  <si>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</si>
  <si>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</si>
  <si>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</si>
  <si>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</si>
  <si>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</si>
  <si>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</si>
  <si>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</si>
  <si>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</si>
  <si>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</si>
  <si>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</si>
  <si>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</si>
  <si>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</si>
  <si>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</si>
  <si>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</si>
  <si>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</si>
  <si>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</si>
  <si>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</si>
  <si>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</si>
  <si>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</si>
  <si>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</si>
  <si>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</si>
  <si>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</si>
  <si>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</si>
  <si>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</si>
  <si>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</si>
  <si>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</si>
  <si>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</si>
  <si>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</si>
  <si>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</si>
  <si>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</si>
  <si>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</si>
  <si>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</si>
  <si>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</si>
  <si>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</si>
  <si>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</si>
  <si>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</si>
  <si>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</si>
  <si>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</si>
  <si>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</si>
  <si>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</si>
  <si>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</si>
  <si>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</si>
  <si>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</si>
  <si>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</si>
  <si>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</si>
  <si>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</si>
  <si>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</si>
  <si>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</si>
  <si>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</si>
  <si>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</si>
  <si>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</si>
  <si>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</si>
  <si>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</si>
  <si>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</si>
  <si>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</si>
  <si>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</si>
  <si>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</si>
  <si>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</si>
  <si>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</si>
  <si>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</si>
  <si>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</si>
  <si>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</si>
  <si>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</si>
  <si>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</si>
  <si>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</si>
  <si>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</si>
  <si>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</si>
  <si>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</si>
  <si>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</si>
  <si>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</si>
  <si>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</si>
  <si>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</si>
  <si>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</si>
  <si>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</si>
  <si>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</si>
  <si>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</si>
  <si>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</si>
  <si>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</si>
  <si>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</si>
  <si>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</si>
  <si>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</si>
  <si>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</si>
  <si>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</si>
  <si>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</si>
  <si>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</si>
  <si>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</si>
  <si>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</si>
  <si>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</si>
  <si>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</si>
  <si>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</si>
  <si>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</si>
  <si>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</si>
  <si>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</si>
  <si>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</si>
  <si>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열기2-04.민사소송법\02.문제\[예상][04.02-1]당사자능력과 당사자적격의 비교.txt</t>
    <phoneticPr fontId="3" type="noConversion"/>
  </si>
  <si>
    <t>당사자능력과 당사자적격의 비교</t>
    <phoneticPr fontId="3" type="noConversion"/>
  </si>
  <si>
    <t>열기2-04.민사소송법\02.문제\[예상][04.02-1]당사자능력과 당사자적격의 비교.txt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</si>
  <si>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</si>
  <si>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</si>
  <si>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</si>
  <si>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</si>
  <si>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</si>
  <si>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</si>
  <si>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</si>
  <si>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</si>
  <si>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</si>
  <si>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</si>
  <si>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</si>
  <si>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</si>
  <si>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</si>
  <si>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</si>
  <si>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</si>
  <si>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</si>
  <si>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</si>
  <si>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</si>
  <si>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</si>
  <si>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</si>
  <si>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</si>
  <si>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</si>
  <si>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</si>
  <si>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</si>
  <si>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</si>
  <si>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</si>
  <si>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</si>
  <si>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</si>
  <si>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</si>
  <si>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</si>
  <si>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</si>
  <si>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</si>
  <si>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</si>
  <si>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</si>
  <si>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</si>
  <si>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</si>
  <si>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</si>
  <si>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</si>
  <si>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</si>
  <si>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</si>
  <si>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</si>
  <si>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</si>
  <si>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</si>
  <si>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</si>
  <si>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</si>
  <si>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</si>
  <si>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</si>
  <si>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</si>
  <si>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</si>
  <si>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</si>
  <si>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</si>
  <si>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</si>
  <si>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</si>
  <si>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</si>
  <si>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</si>
  <si>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</si>
  <si>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</si>
  <si>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</si>
  <si>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</si>
  <si>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</si>
  <si>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</si>
  <si>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</si>
  <si>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</si>
  <si>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개념 문제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</si>
  <si>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</si>
  <si>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</si>
  <si>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</si>
  <si>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</si>
  <si>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</si>
  <si>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</si>
  <si>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</si>
  <si>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열기2-04.민사소송법\02.문제\[예상][03.02-4]법관의 기피제도의 의의 및 제척제도와의 구별, 기피사유, 절차 및 원칙, 남용과 간이각하결정.txt</t>
    <phoneticPr fontId="3" type="noConversion"/>
  </si>
  <si>
    <t>열기2-04.민사소송법\02.문제\[예상][04.02-2]소송상 당사자적격의 의의 및 당사자능력과의 구별, 권리주체, 소송법상 성질, 흠결 효과.txt</t>
    <phoneticPr fontId="3" type="noConversion"/>
  </si>
  <si>
    <t>열기2-04.민사소송법\02.문제\[예상][04.03-1]특별수권사항의 의의, 구체적 범위, 특별수권없는 대리의 효력.txt</t>
    <phoneticPr fontId="3" type="noConversion"/>
  </si>
  <si>
    <t>열기2-04.민사소송법\02.문제\[예상][06.02-1]처분권주의의 의의 및 적용 영역, 제한 및 예외, 위반의 효과.txt</t>
    <phoneticPr fontId="3" type="noConversion"/>
  </si>
  <si>
    <t>열기2-04.민사소송법\02.문제\[예상][06.02-2]주요사실과 간접사실의 개념, 구별기준, 소송법상 실익.txt</t>
    <phoneticPr fontId="3" type="noConversion"/>
  </si>
  <si>
    <t>열기2-04.민사소송법\02.문제\[예상][07.06-1]법률상 추정의 의의 및 사실상 추정과의 구별, 분류, 효과.txt</t>
    <phoneticPr fontId="3" type="noConversion"/>
  </si>
  <si>
    <t>열기2-04.민사소송법\02.문제\[예상][11.02-1]청구의 변경의 의의 및 허용 필요성, 적법요건, 소송절차 및 관할, 위반 시 조치.txt</t>
    <phoneticPr fontId="3" type="noConversion"/>
  </si>
  <si>
    <t>열기2-04.민사소송법\02.문제\[예상][12.01-2]필수적 공동소송의 의의 및 통상공동소송과의 구별, 분류 및 발생원인, 심리상 특징.txt</t>
    <phoneticPr fontId="3" type="noConversion"/>
  </si>
  <si>
    <t>소송법상 실효의 원칙의 의의, 신의칙과의 관계, 성립 요건, 적용 범위 및 소송법상 효과</t>
    <phoneticPr fontId="3" type="noConversion"/>
  </si>
  <si>
    <t>열기2-04.민사소송법\02.문제\[예상][01.03-1]소송법상 실효의 원칙의 의의, 신의칙과의 관계, 성립 요건, 적용 범위 및 소송법상 효과.txt</t>
    <phoneticPr fontId="3" type="noConversion"/>
  </si>
  <si>
    <t>제3자 재심청구의 의의 및 제도적 취지, 적법요건, 제소기간, 절차 및 결과 처리</t>
    <phoneticPr fontId="3" type="noConversion"/>
  </si>
  <si>
    <t>열기2-04.민사소송법\02.문제\[예상][17.03-3]제3자 재심청구의 의의 및 제도적 취지, 적법요건, 제소기간, 절차 및 결과 처리.txt</t>
    <phoneticPr fontId="3" type="noConversion"/>
  </si>
  <si>
    <t>1</t>
    <phoneticPr fontId="3" type="noConversion"/>
  </si>
  <si>
    <t>예상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</si>
  <si>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</si>
  <si>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</si>
  <si>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</si>
  <si>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</si>
  <si>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</si>
  <si>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</si>
  <si>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</si>
  <si>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</si>
  <si>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</si>
  <si>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</si>
  <si>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</si>
  <si>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</si>
  <si>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</si>
  <si>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</si>
  <si>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</si>
  <si>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</si>
  <si>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</si>
  <si>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</si>
  <si>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</si>
  <si>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</si>
  <si>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</si>
  <si>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</si>
  <si>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</si>
  <si>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</si>
  <si>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</si>
  <si>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</si>
  <si>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</si>
  <si>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</si>
  <si>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</si>
  <si>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</si>
  <si>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</si>
  <si>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</si>
  <si>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처분권주의, 변론주의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</si>
  <si>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</si>
  <si>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</si>
  <si>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</si>
  <si>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</si>
  <si>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</si>
  <si>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84다카744 결정</t>
    <phoneticPr fontId="3" type="noConversion"/>
  </si>
  <si>
    <t>5.02-3</t>
    <phoneticPr fontId="3" type="noConversion"/>
  </si>
  <si>
    <t>개념 문제</t>
    <phoneticPr fontId="3" type="noConversion"/>
  </si>
  <si>
    <t>열기2-04.민사소송법\02.문제\[예상][05.02-3]소송요건의 의의, 구체적 분류, 조사 심리 절차, 요건 흠결 시 소송법상 효과.txt</t>
    <phoneticPr fontId="3" type="noConversion"/>
  </si>
  <si>
    <t>예상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</si>
  <si>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</si>
  <si>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</si>
  <si>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</si>
  <si>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</si>
  <si>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</si>
  <si>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</si>
  <si>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</si>
  <si>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</si>
  <si>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</si>
  <si>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007.대법원 1988. 10. 11. 선고 87다카113 판결</t>
  </si>
  <si>
    <t>009.대법원 1989. 9. 29. 선고 88다카17181 판결</t>
  </si>
  <si>
    <t>005.대법원 1992. 5. 26. 선고 92다3670 판결</t>
  </si>
  <si>
    <t>008.대법원 1992. 7. 28. 선고 92다7726 판결</t>
  </si>
  <si>
    <t>002.대법원 1993. 5. 14. 선고 92다21760 판결</t>
  </si>
  <si>
    <t>003.대법원 1995. 1. 24. 선고 93다25875 판결</t>
  </si>
  <si>
    <t>004.대법원 1996. 7. 30. 선고 94다51840 판결</t>
  </si>
  <si>
    <t>006.대법원 1997. 12. 23. 선고 96재다226 판결</t>
  </si>
  <si>
    <t>001.대법원 2011. 9. 29.자 2011마62 결정</t>
  </si>
  <si>
    <t>015.대법원 1988. 5. 10. 선고 87다카1979 판결</t>
  </si>
  <si>
    <t>014.대법원 1997. 6. 13. 선고 96다56115 판결</t>
  </si>
  <si>
    <t>017.대법원 2008. 5. 2.자 2008마427 결정</t>
  </si>
  <si>
    <t>018.대법원 2010. 2. 11. 선고 2009다78467,78474 판결</t>
  </si>
  <si>
    <t>013.대법원 2010. 5. 13. 선고 2009다102254 판결</t>
  </si>
  <si>
    <t>016.대법원 2019. 1. 4.자 2018스563 결정</t>
  </si>
  <si>
    <t>021.대법원 1977. 11. 9.자 77마284 결정</t>
  </si>
  <si>
    <t>024.대법원 1980. 9. 26.자 80마403 결정</t>
  </si>
  <si>
    <t>025.대법원 1993. 12. 6.자 93마524 전원합의체 결정</t>
  </si>
  <si>
    <t>022.대법원 1994. 5. 26.자 94마536 결정</t>
  </si>
  <si>
    <t>027.대법원 1995. 5. 15.자 94마1059,1060 결정</t>
  </si>
  <si>
    <t>010.대법원 1998. 12. 17. 선고 97다39216 전원합의체 판결</t>
  </si>
  <si>
    <t>019.대법원 1998. 7. 27.자 98마938 결정</t>
  </si>
  <si>
    <t>020.대법원 2002. 5. 10.자 2002마1156 결정</t>
  </si>
  <si>
    <t>011.대법원 2005. 1. 27. 선고 2002다59788 판결</t>
  </si>
  <si>
    <t>023.대법원 2006. 3. 2.자 2005마902 결정</t>
  </si>
  <si>
    <t>012.대법원 2008. 5. 29. 선고 2006다71908 판결</t>
  </si>
  <si>
    <t>026.대법원 2011. 7. 14.자 2011그65 결정</t>
  </si>
  <si>
    <t>031.대법원 1964. 3. 31. 선고 63다656 판결</t>
  </si>
  <si>
    <t>028.대법원 1986. 9. 23 선고 85누953 판결</t>
  </si>
  <si>
    <t>029.대법원 2006. 7. 4.자 2005마425 결정</t>
  </si>
  <si>
    <t>030.대법원 2011. 3. 10. 선고 2010다99040 판결</t>
  </si>
  <si>
    <t>036.대법원 1973. 12. 11. 선고 73다1553 판결</t>
  </si>
  <si>
    <t>034.대법원 1974. 6. 25. 선고 73다211 판결</t>
  </si>
  <si>
    <t>037.대법원 1982. 9. 14. 선고 80다2425 전원합의체 판결</t>
  </si>
  <si>
    <t>039.대법원 1984. 2. 14. 선고 83다카1815 판결</t>
  </si>
  <si>
    <t>038.대법원 1988. 6. 14. 선고 87다카2753 판결</t>
  </si>
  <si>
    <t>033.대법원 1991. 11. 26. 선고 91다30675 판결</t>
  </si>
  <si>
    <t>035.대법원 2000. 4. 11. 선고 99다23888 판결</t>
  </si>
  <si>
    <t>032.대법원 2009. 1. 30. 선고 2006다60908 판결</t>
  </si>
  <si>
    <t>040.대법원 2016. 12. 15. 선고 2014다87885,87892 판결</t>
  </si>
  <si>
    <t>051.대법원 1973. 7. 24. 선고 69다60 판결</t>
  </si>
  <si>
    <t>042.대법원 1980. 4. 22. 선고 80다308 판결</t>
  </si>
  <si>
    <t>053.대법원 1983. 2. 8. 선고 81다카621 판결</t>
  </si>
  <si>
    <t>043.대법원 1983. 2. 8. 선고 82므34 판결</t>
  </si>
  <si>
    <t>048.대법원 1984. 6. 14.자 84다카744 결정</t>
  </si>
  <si>
    <t>056.대법원 1990. 11. 23. 선고 90다4037,4044 판결</t>
  </si>
  <si>
    <t>049.대법원 1996. 4. 4.자 96마148 결정</t>
  </si>
  <si>
    <t>046.대법원 1997. 12. 12. 선고 95다20775 판결</t>
  </si>
  <si>
    <t>045.대법원 1998. 2. 19. 선고 95다52710 전원합의체 판결</t>
  </si>
  <si>
    <t>054.대법원 1999. 2. 24. 선고 97다38930 판결</t>
  </si>
  <si>
    <t>047.대법원 2000. 1. 31. 자 99마6205 결정</t>
  </si>
  <si>
    <t>055.대법원 2003. 5. 30. 선고 2003다15556 판결</t>
  </si>
  <si>
    <t>044.대법원 2005. 9. 15. 선고 2004다44971 전원합의체 판결</t>
  </si>
  <si>
    <t>052.대법원 2008. 8. 21. 선고 2007다79480 판결</t>
  </si>
  <si>
    <t>050.대법원 2016. 4. 29. 선고 2014다210449 판결</t>
  </si>
  <si>
    <t>041.대법원 2020. 6. 11. 선고, 2020다8586 판결</t>
  </si>
  <si>
    <t>059.대법원 1992. 8. 18. 선고 91다39924 판결</t>
  </si>
  <si>
    <t>069.대법원 1992. 8. 18. 선고 92다13875,13882,13899 판결</t>
  </si>
  <si>
    <t>057.대법원 1993. 9. 14. 선고 92다35462 판결</t>
  </si>
  <si>
    <t>072.대법원 1994. 11. 8. 선고 94다23388 판결</t>
  </si>
  <si>
    <t>070.대법원 2000. 5. 18. 선고 95재다199 전원합의체 판결</t>
  </si>
  <si>
    <t>058.대법원 2009. 12. 24. 선고 2008다15520 판결</t>
  </si>
  <si>
    <t>071.대법원 2018. 10. 18. 선고 2015다232316 전원합의체 판결</t>
  </si>
  <si>
    <t>062.대법원 1989. 10. 10. 선고 89누1308 판결</t>
  </si>
  <si>
    <t>061.대법원 2003. 1. 10. 선고 2002다57904 판결</t>
  </si>
  <si>
    <t>060.대법원 2007. 11. 29. 선고 2007다63362 판결</t>
  </si>
  <si>
    <t>073.대법원 1979. 4. 10. 선고 78다2399 판결</t>
  </si>
  <si>
    <t>068.대법원 1981. 9. 22. 선고 80다2270 판결</t>
  </si>
  <si>
    <t>067.대법원 1987. 9. 22. 선고 86다카2151 판결</t>
  </si>
  <si>
    <t>075.대법원 1988. 9. 27. 선고 87다카2269 판결</t>
  </si>
  <si>
    <t>076.대법원 1991. 10. 11. 선고 91다1264 판결</t>
  </si>
  <si>
    <t>074.대법원 1991. 12. 10. 선고 91다15317 판결</t>
  </si>
  <si>
    <t>064.대법원 1991. 12. 24. 선고 90다12243 전원합의체 판결</t>
  </si>
  <si>
    <t>079.대법원 1993. 11. 23. 선고 93다41792,41808 판결</t>
  </si>
  <si>
    <t>077.대법원 1999. 6. 8. 선고 99다17401,17418 판결</t>
  </si>
  <si>
    <t>066.대법원 2013. 11. 28. 선고 2011다80449 판결</t>
  </si>
  <si>
    <t>065.대법원 2016. 9. 30. 선고 2016다200552 판결</t>
  </si>
  <si>
    <t>063.대법원 2018. 7. 19. 선고 2018다22008 전원합의체 판결</t>
  </si>
  <si>
    <t>078.대법원 2020. 2. 20. 선고 2019두52386 전원합의체 판결</t>
  </si>
  <si>
    <t>089.대법원 1963. 1. 31. 선고 62다812 판결</t>
  </si>
  <si>
    <t>080.대법원 1963. 7. 25. 선고 63다241 판결</t>
  </si>
  <si>
    <t>081.대법원 1976. 10. 12. 선고 76다1313 판결</t>
  </si>
  <si>
    <t>086.대법원 1981. 12. 22. 선고 80다1548 판결</t>
  </si>
  <si>
    <t>087.대법원 1986. 9. 23. 선고 85다353 판결</t>
  </si>
  <si>
    <t>085.대법원 1992. 6. 12. 선고 92다11848 판결</t>
  </si>
  <si>
    <t>083.대법원 1996. 6. 14. 선고 94다53006 판결</t>
  </si>
  <si>
    <t>084.대법원 1997. 4. 25. 선고 96다32133 판결</t>
  </si>
  <si>
    <t>088.대법원 2001. 9. 20. 선고 99다37894 전원합의체 판결</t>
  </si>
  <si>
    <t>090.대법원 2003. 5. 27. 선고 2001다13532 판결</t>
  </si>
  <si>
    <t>091.대법원 2005. 3. 25. 선고 2004다10985,10992 판결</t>
  </si>
  <si>
    <t>082.대법원 2007. 4. 13. 선고 2006다78640 판결</t>
  </si>
  <si>
    <t>092.대법원 2019. 10. 17. 선고 2018다300470 판결</t>
  </si>
  <si>
    <t>098.대법원 1985. 4. 9. 선고 84다552 판결</t>
  </si>
  <si>
    <t>102.대법원 1992. 4. 10. 선고 91다43695 판결</t>
  </si>
  <si>
    <t>097.대법원 2001. 4. 27. 선고 2000다4050 판결</t>
  </si>
  <si>
    <t>099.대법원 2001. 7. 24. 선고 2001다22246 판결</t>
  </si>
  <si>
    <t>104.대법원 2010. 8. 26. 선고 2008다42416,42423 판결</t>
  </si>
  <si>
    <t>101.대법원 2011. 11. 10. 선고 2011다54686 판결</t>
  </si>
  <si>
    <t>095.대법원 2013. 12. 18. 선고 2013다202120 전원합의체 판결</t>
  </si>
  <si>
    <t>100.대법원 2017. 11. 14. 선고 2017다23066 판결</t>
  </si>
  <si>
    <t>103.대법원 2019. 7. 25. 선고 2019다212945 판결</t>
  </si>
  <si>
    <t>093.대법원 1974. 1. 29. 선고 73다351 판결</t>
  </si>
  <si>
    <t>094.대법원 1988. 9. 27. 선고 87다카1618 판결</t>
  </si>
  <si>
    <t>096.대법원 2003. 7. 11. 선고 2003다19558 판결</t>
  </si>
  <si>
    <t>114.대법원 1969. 11. 25. 선고 69다1592 판결</t>
  </si>
  <si>
    <t>112.대법원 1976. 6. 22. 선고 75다819 판결</t>
  </si>
  <si>
    <t>122.대법원 1983. 12. 13. 선고 83다카1489 전원합의체 판결</t>
  </si>
  <si>
    <t>125.대법원 1987. 6. 9. 선고 86다카2600 판결</t>
  </si>
  <si>
    <t>127.대법원 1989. 9. 29. 선고 88다카17181 판결</t>
  </si>
  <si>
    <t>107.대법원 1990. 11. 13. 선고 89다카12602 판결</t>
  </si>
  <si>
    <t>118.대법원 1990. 6. 26. 선고 89다카15359 판결</t>
  </si>
  <si>
    <t>110.대법원 1991. 11. 12. 선고 91다27228 판결</t>
  </si>
  <si>
    <t>105.대법원 1992. 7. 14. 선고 92누2424 판결</t>
  </si>
  <si>
    <t>113.대법원 1994. 1. 25. 선고 93다9422 판결</t>
  </si>
  <si>
    <t>117.대법원 1994. 11. 4. 선고 94다37868 판결</t>
  </si>
  <si>
    <t>123.대법원 1995. 7. 11. 선고 94다34265 전원합의체 판결</t>
  </si>
  <si>
    <t>115.대법원 1995. 7. 28. 선고 95다19829 판결</t>
  </si>
  <si>
    <t>121.대법원 1995. 8. 25. 선고 94다35886 판결</t>
  </si>
  <si>
    <t>126.대법원 1996. 10. 25. 선고 96다30113 판결</t>
  </si>
  <si>
    <t>124.대법원 1997. 12. 26. 선고 97다42892,42908 판결</t>
  </si>
  <si>
    <t>116.대법원 2001. 6. 12. 선고 99다20612 판결</t>
  </si>
  <si>
    <t>119.대법원 2002. 6. 28. 선고 2000다62254 판결</t>
  </si>
  <si>
    <t>109.대법원 2012. 5. 17. 선고 2010다28604 전원합의체 판결</t>
  </si>
  <si>
    <t>108.대법원 2013. 3. 14. 선고 2010다42624,42631 판결</t>
  </si>
  <si>
    <t>111.대법원 2014. 7. 10. 선고 2012다89832 판결</t>
  </si>
  <si>
    <t>120.대법원 2017. 3. 22. 선고 2016다258124 판결</t>
  </si>
  <si>
    <t>106.대법원 2020. 1. 30. 선고 2015다49422 판결</t>
  </si>
  <si>
    <t>133.대법원 1983. 12. 27. 선고 80다1302 판결</t>
  </si>
  <si>
    <t>129.대법원 1962. 4. 4. 선고 4294민상1122 판결</t>
  </si>
  <si>
    <t>130.대법원 1968. 1. 31. 선고 67다2628 판결</t>
  </si>
  <si>
    <t>132.대법원 1972. 5. 9. 선고 72다379 판결</t>
  </si>
  <si>
    <t>136.대법원 1982. 5. 11. 선고 80다916 판결</t>
  </si>
  <si>
    <t>143.대법원 1984. 5. 29. 선고 82다카963 판결</t>
  </si>
  <si>
    <t>141.대법원 1997. 10. 10. 선고 96다35484 판결</t>
  </si>
  <si>
    <t>135.대법원 1997. 3. 25. 선고 96다42130 판결</t>
  </si>
  <si>
    <t>131.대법원 2005. 10. 7. 선고 2003다44387,44394 판결</t>
  </si>
  <si>
    <t>138.대법원 2013. 3. 28. 선고 2011다3329 판결</t>
  </si>
  <si>
    <t>139.대법원 2013. 7. 12. 선고 2013다19571 판결</t>
  </si>
  <si>
    <t>137.대법원 2014. 6. 12. 선고 2013다95964 판결</t>
  </si>
  <si>
    <t>128.대법원 2017. 5. 17. 선고 2017다1097 판결</t>
  </si>
  <si>
    <t>140.대법원 2018. 5. 30. 선고 2017다21411 판결</t>
  </si>
  <si>
    <t>142.대법원 2019. 9. 10. 선고 2019다208953 판결</t>
  </si>
  <si>
    <t>144.대법원 2001. 4. 13. 선고 2001다6367 판결</t>
  </si>
  <si>
    <t>145.대법원 2019. 11. 28. 선고 2017다244115 판결</t>
  </si>
  <si>
    <t>134.대법원 2006. 10. 27. 선고 2004다69581 판결</t>
  </si>
  <si>
    <t>146.대법원 2008. 5. 8. 선고 2008다2890 판결</t>
  </si>
  <si>
    <t>153.대법원 1970. 7. 24. 선고 70다1015 판결</t>
  </si>
  <si>
    <t>157.대법원 1982. 12. 28. 선고 82다카349 전원합의체 판결</t>
  </si>
  <si>
    <t>159.대법원 1984. 3. 15.자 84마20 전원합의체 결정</t>
  </si>
  <si>
    <t>150.대법원 1987. 3. 10. 선고 86다카2224 판결</t>
  </si>
  <si>
    <t>148.대법원 1992. 4. 21. 선고 92마175 판결</t>
  </si>
  <si>
    <t>156.대법원 1997. 5. 19.자 97마600 결정</t>
  </si>
  <si>
    <t>152.대법원 1999. 6. 11. 선고 99다9622 판결</t>
  </si>
  <si>
    <t>154.대법원 2001. 8. 31.자 2001마3790 결정</t>
  </si>
  <si>
    <t>149.대법원 2002. 7. 26. 선고 2001다60491 판결</t>
  </si>
  <si>
    <t>155.대법원 2016. 11. 10. 선고 2014다54366 판결</t>
  </si>
  <si>
    <t>158.대법원 2022. 1. 13. 선고 2019다220618 판결</t>
  </si>
  <si>
    <t>151.대법원 2022. 4. 14. 선고 2021다305796 판결</t>
  </si>
  <si>
    <t>161.대법원 1992. 11. 5.자 91마342 결정</t>
  </si>
  <si>
    <t>160.대법원 1993. 2. 12 선고 92다29801 판결</t>
  </si>
  <si>
    <t>163.대법원 1995. 5. 23. 선고 94다28444 전원합의체 판결</t>
  </si>
  <si>
    <t>164.대법원 2006. 11. 23. 선고 2006재다171 판결</t>
  </si>
  <si>
    <t>162.대법원 2010. 12. 23. 선고 2007다22859 판결</t>
  </si>
  <si>
    <t>167.대법원 2000. 6. 9. 선고 98다35037 판결</t>
  </si>
  <si>
    <t>170.대법원 1984. 5. 29. 선고 84다122 판결</t>
  </si>
  <si>
    <t>171.대법원 1989. 5. 9. 선고 87다카749 판결</t>
  </si>
  <si>
    <t>174.대법원 1990. 11. 27. 선고 90다카20548 판결</t>
  </si>
  <si>
    <t>169.대법원 1990. 12. 11. 선고 90다7104 판결</t>
  </si>
  <si>
    <t>172.대법원 1993. 9. 14. 선고 92다24899 판결</t>
  </si>
  <si>
    <t>177.대법원 1996. 7. 18. 선고 94다20051 전원합의체 판결</t>
  </si>
  <si>
    <t>176.대법원 1997. 4. 22. 선고 95다10204 판결</t>
  </si>
  <si>
    <t>168.대법원 1998. 7. 10. 선고 98다6763 판결</t>
  </si>
  <si>
    <t>175.대법원 2004. 6. 11. 선고 2004다13533 판결</t>
  </si>
  <si>
    <t>147.대법원 2015. 2. 12. 선고 2014다229870 판결</t>
  </si>
  <si>
    <t>173.대법원 2016. 6. 9. 선고 2014다64752 판결</t>
  </si>
  <si>
    <t>178.대법원 2019. 8. 9. 선고 2019다222140 판결</t>
  </si>
  <si>
    <t>190.대법원 1983. 7. 12. 선고 83다카308 판결</t>
  </si>
  <si>
    <t>183.대법원 1988. 12. 13. 선고 87다카3147 판결</t>
  </si>
  <si>
    <t>188.대법원 1990. 4. 13. 선고 89다카1084 판결</t>
  </si>
  <si>
    <t>187.대법원 1993. 6. 25. 선고 93다15991 판결</t>
  </si>
  <si>
    <t>179.대법원 1999. 4. 9. 선고 98다57198 판결</t>
  </si>
  <si>
    <t>180.대법원 2002. 8. 23. 선고 2000다66133 판결</t>
  </si>
  <si>
    <t>182.대법원 2003. 4. 11. 선고 2001다11406 판결</t>
  </si>
  <si>
    <t>184.대법원 2006. 5. 25. 선고 2005다77848 판결</t>
  </si>
  <si>
    <t>181.대법원 2009. 9. 24. 선고 2009다37831 판결</t>
  </si>
  <si>
    <t>189.대법원 2010. 7. 14.자 2009마2105 결정</t>
  </si>
  <si>
    <t>186.대법원 2015. 11. 17. 선고 2014다81542 판결</t>
  </si>
  <si>
    <t>185.대법원 2017. 12. 28.자 2015무423 결정</t>
  </si>
  <si>
    <t>165.대법원 1999. 5. 25. 선고 99다1789 판결</t>
  </si>
  <si>
    <t>191.대법원 2010. 10. 28. 선고 2008다6755 판결</t>
  </si>
  <si>
    <t>192.대법원 2010. 5. 27. 선고 2007다25971 판결</t>
  </si>
  <si>
    <t>166.대법원 2019. 2. 21. 선고 2018다248909 전원합의체 판결</t>
  </si>
  <si>
    <t>194.대법원 1992. 10. 27. 선고 92다30047 판결</t>
  </si>
  <si>
    <t>197.대법원 1995. 2. 10. 선고 93다52402 판결</t>
  </si>
  <si>
    <t>193.대법원 1998. 8. 21. 선고 98다8974 판결</t>
  </si>
  <si>
    <t>195.대법원 2002. 9. 24. 선고 2002다26252 판결</t>
  </si>
  <si>
    <t>198.대법원 2004. 10. 28. 선고 2002다45185 판결</t>
  </si>
  <si>
    <t>199.대법원 2010. 6. 24. 선고 2010다12852 판결</t>
  </si>
  <si>
    <t>196.대법원 2012. 1. 12. 선고 2009다84608,84615,84622,84639 판결</t>
  </si>
  <si>
    <t>200.대법원 2001. 3. 9. 선고 2000다58668 판결</t>
  </si>
  <si>
    <t>201.대법원 2019. 2. 14. 선고 2015다255258 판결</t>
  </si>
  <si>
    <t>209.대법원 1964. 9. 15. 선고 64다92 판결</t>
  </si>
  <si>
    <t>216.대법원 1967. 7. 18. 선고 67다1042 판결</t>
  </si>
  <si>
    <t>205.대법원 1968. 4. 23. 선고 68다217 판결</t>
  </si>
  <si>
    <t>207.대법원 1972. 11. 30.자 72마787 결정</t>
  </si>
  <si>
    <t>210.대법원 1981. 7. 14. 선고 81다64,65 판결</t>
  </si>
  <si>
    <t>203.대법원 1982. 3. 9. 선고 81다1312 판결</t>
  </si>
  <si>
    <t>208.대법원 1983. 4. 12. 선고 80다3251 판결</t>
  </si>
  <si>
    <t>206.대법원 1984. 7. 10. 선고 84다카298 판결</t>
  </si>
  <si>
    <t>218.대법원 1987. 11. 10. 선고 87다카1405 판결</t>
  </si>
  <si>
    <t>213.대법원 1989. 10. 10. 선고 88다카18023 판결</t>
  </si>
  <si>
    <t>212.대법원 1991. 1. 15. 선고 90다카25970 판결</t>
  </si>
  <si>
    <t>214.대법원 1993. 8. 24. 선고 93다22074 판결</t>
  </si>
  <si>
    <t>202.대법원 1994. 12. 13. 선고 94다15486 판결</t>
  </si>
  <si>
    <t>211.대법원 1996. 9. 20. 선고 93다20177,20184 판결</t>
  </si>
  <si>
    <t>204.대법원 1997. 6. 27. 선고 97다6124 판결</t>
  </si>
  <si>
    <t>215.대법원 2022. 6. 30. 선고 2021다239301 판결</t>
  </si>
  <si>
    <t>217.헌법재판소 2012. 11. 29. 선고 2012헌바180 전원재판부 결정</t>
  </si>
  <si>
    <t>220.대법원 2004. 9. 24. 선고 2004다28047 판결</t>
  </si>
  <si>
    <t>219.대법원 2022. 3. 31. 선고 2020다271919 판결</t>
  </si>
  <si>
    <t>225.대법원 1962. 2. 1. 선고 4294민상914 전원합의체 판결</t>
  </si>
  <si>
    <t>221.대법원 1962. 5. 31. 선고 4293민재6 판결</t>
  </si>
  <si>
    <t>224.대법원 1965. 3. 2. 선고 64다1514 판결</t>
  </si>
  <si>
    <t>223.대법원 1975. 11. 11. 선고 74다634 판결</t>
  </si>
  <si>
    <t>231.대법원 1979. 5. 15. 선고 78다1094 판결</t>
  </si>
  <si>
    <t>230.대법원 1990. 3. 17.자 90그3 결정</t>
  </si>
  <si>
    <t>232.대법원 1994. 7. 29. 선고 92다25137 판결</t>
  </si>
  <si>
    <t>228.대법원 2008. 2. 1. 선고 2005다42880 판결</t>
  </si>
  <si>
    <t>222.대법원 2012. 9. 13. 선고 2010다97846 판결</t>
  </si>
  <si>
    <t>227.대법원 2013. 11. 21. 선고 2011두1917 전원합의체 판결</t>
  </si>
  <si>
    <t>229.대법원 2013. 2. 28. 선고 2012다98225 판결</t>
  </si>
  <si>
    <t>226.대법원 2020. 10. 29. 선고 2016다35390 판결</t>
  </si>
  <si>
    <t>261.대법원 1975. 10. 21. 선고 75다48 판결</t>
  </si>
  <si>
    <t>272.대법원 1975. 5. 13. 선고 74다1664 전원합의체 판결</t>
  </si>
  <si>
    <t>250.대법원 1976. 12. 14. 선고 76다1488 판결</t>
  </si>
  <si>
    <t>280.대법원 1978. 5. 9. 선고 75다634 전원합의체 판결</t>
  </si>
  <si>
    <t>278.대법원 1979. 8. 10.자 79마232 결정</t>
  </si>
  <si>
    <t>285.대법원 1981. 3. 24. 선고 80다2220 판결</t>
  </si>
  <si>
    <t>234.대법원 1981. 9. 8. 선고 80다3271 전원합의체 판결</t>
  </si>
  <si>
    <t>268.대법원 1984. 9. 25. 선고 84다카148 판결</t>
  </si>
  <si>
    <t>281.대법원 1985. 7. 9. 선고 85므12 판결</t>
  </si>
  <si>
    <t>245.대법원 1987. 3. 24. 선고 86다카1958 판결</t>
  </si>
  <si>
    <t>271.대법원 1988. 4. 25. 선고 87누399 판결</t>
  </si>
  <si>
    <t>241.대법원 1989. 6. 27. 선고 87다카2478 판결</t>
  </si>
  <si>
    <t>267.대법원 1991. 1. 15. 선고 90다9964 판결</t>
  </si>
  <si>
    <t>252.대법원 1993. 12. 21. 선고 92다46226 전원합의체 판결</t>
  </si>
  <si>
    <t>274.대법원 1993. 3. 26. 선고 92다32876 판결</t>
  </si>
  <si>
    <t>259.대법원 1993. 6. 25. 선고 92다33008 판결</t>
  </si>
  <si>
    <t>243.대법원 1994. 12. 27. 선고 94다4684 판결</t>
  </si>
  <si>
    <t>275.대법원 1994. 8. 12. 선고 93다52808 판결</t>
  </si>
  <si>
    <t>283.대법원 1995. 12. 5. 선고 95다21808 판결</t>
  </si>
  <si>
    <t>246.대법원 1995. 3. 24. 선고 93다52488 판결</t>
  </si>
  <si>
    <t>257.대법원 1995. 4. 25. 선고 94다17956 전원합의체 판결</t>
  </si>
  <si>
    <t>264.대법원 1995. 5. 12. 선고 93다44531 판결</t>
  </si>
  <si>
    <t>284.대법원 1995. 6. 29. 선고 94다41430 판결</t>
  </si>
  <si>
    <t>276.대법원 1995. 6. 29. 선고 94다47292 판결</t>
  </si>
  <si>
    <t>237.대법원 1996. 2. 9. 선고 94다50274 판결</t>
  </si>
  <si>
    <t>253.대법원 1998. 11. 24. 선고 98다25344 판결</t>
  </si>
  <si>
    <t>244.대법원 2000. 1. 21. 선고 99다3501 판결</t>
  </si>
  <si>
    <t>279.대법원 2000. 10. 27. 선고 2000다33775 판결</t>
  </si>
  <si>
    <t>256.대법원 2000. 2. 25. 선고 99다55472 판결</t>
  </si>
  <si>
    <t>238.대법원 2000. 5. 24.자 98마1839 결정</t>
  </si>
  <si>
    <t>282.대법원 2001. 11. 13. 선고 99다32899 판결</t>
  </si>
  <si>
    <t>240.대법원 2001. 12. 24. 선고 2001다62213 판결</t>
  </si>
  <si>
    <t>270.대법원 2001. 4. 27. 선고 2001다13983 판결</t>
  </si>
  <si>
    <t>266.대법원 2002. 10. 11. 선고 2002다43851 판결</t>
  </si>
  <si>
    <t>247.대법원 2003. 4. 8. 선고 2002다70181 판결</t>
  </si>
  <si>
    <t>269.대법원 2005. 11. 10. 선고 2005다34667,34674 판결</t>
  </si>
  <si>
    <t>260.대법원 2005. 7. 22. 선고 2004다17207 판결</t>
  </si>
  <si>
    <t>239.대법원 2008. 3. 14. 선고 2006다2940 판결</t>
  </si>
  <si>
    <t>254.대법원 2009. 12. 24. 선고 2009다64215 판결</t>
  </si>
  <si>
    <t>249.대법원 2009. 5. 28. 선고 2008다79876 판결</t>
  </si>
  <si>
    <t>263.대법원 2010. 12. 23. 선고 2010다58889 판결</t>
  </si>
  <si>
    <t>235.대법원 2011. 9. 29. 선고 2010다65818 판결</t>
  </si>
  <si>
    <t>258.대법원 2013. 9. 13. 선고 2013다45457 판결</t>
  </si>
  <si>
    <t>273.대법원 2014. 1. 23. 선고 2011다108095 판결</t>
  </si>
  <si>
    <t>251.대법원 2014. 1. 23. 선고 2013다64793 판결</t>
  </si>
  <si>
    <t>233.대법원 2014. 10. 8.자 2014마667 전원합의체 결정</t>
  </si>
  <si>
    <t>248.대법원 2014. 3. 27. 선고 2011다49981 판결</t>
  </si>
  <si>
    <t>255.대법원 2016. 6. 28. 선고 2014다31721 판결</t>
  </si>
  <si>
    <t>236.대법원 2017. 12. 5. 선고 2017다237339 판결</t>
  </si>
  <si>
    <t>277.대법원 2018. 9. 13. 선고 2018다231031 판결</t>
  </si>
  <si>
    <t>242.대법원 2019. 1. 17. 선고 2018다24349 판결</t>
  </si>
  <si>
    <t>265.대법원 2020. 9. 3. 선고 2020다210747 판결</t>
  </si>
  <si>
    <t>262.대법원 2021. 8. 12. 선고 2021다215497 판결</t>
  </si>
  <si>
    <t>395.대법원 1971. 3. 31. 선고 71다8 판결</t>
  </si>
  <si>
    <t>287.대법원 1982. 7. 13. 선고 81다카1120 판결</t>
  </si>
  <si>
    <t>290.대법원 1992. 9. 14. 선고 92다7023 판결</t>
  </si>
  <si>
    <t>291.대법원 1993. 10. 26. 선고 93다6669 판결</t>
  </si>
  <si>
    <t>296.대법원 1995. 7. 25. 선고 94다62017 판결</t>
  </si>
  <si>
    <t>289.대법원 1998. 7. 24. 선고 96다99 판결</t>
  </si>
  <si>
    <t>297.대법원 2000. 11. 16. 선고 98다22253 전원합의체 판결</t>
  </si>
  <si>
    <t>295.대법원 2002. 2. 8. 선고 2001다17633 판결</t>
  </si>
  <si>
    <t>293.대법원 2008. 12. 11. 선고 2005다51471 판결</t>
  </si>
  <si>
    <t>294.대법원 2008. 12. 11. 선고 2006다5550 판결</t>
  </si>
  <si>
    <t>292.대법원 2009. 5. 28. 선고 2007다354 판결</t>
  </si>
  <si>
    <t>286.대법원 2011. 8. 18. 선고 2011다30666,30673 판결</t>
  </si>
  <si>
    <t>288.대법원 2014. 5. 29. 선고 2013다96868 판결</t>
  </si>
  <si>
    <t>300.대법원 1980. 11. 11. 선고 80다1182 판결</t>
  </si>
  <si>
    <t>299.대법원 1995. 1. 24. 선고 93다25875 판결</t>
  </si>
  <si>
    <t>302.대법원 2006. 6. 29. 선고 2006다19061,19078 판결</t>
  </si>
  <si>
    <t>298.대법원 2008. 7. 24. 선고 2008다18376 판결</t>
  </si>
  <si>
    <t>301.대법원 2015. 5. 29. 선고 2014다235042,235059,235066 판결</t>
  </si>
  <si>
    <t>304.대법원 2019. 3. 14. 선고 2018다277785,277792 판결</t>
  </si>
  <si>
    <t>303.대법원 2021. 2. 4. 선고 2019다202795,202801 판결</t>
  </si>
  <si>
    <t>316.대법원 1991. 12. 27. 선고 91다23486 판결</t>
  </si>
  <si>
    <t>309.대법원 1994. 10. 25. 선고 93다54064 판결</t>
  </si>
  <si>
    <t>312.대법원 1994. 12. 27. 선고 93다32880,32897 판결</t>
  </si>
  <si>
    <t>306.대법원 1994. 5. 10. 선고 93다47196 판결</t>
  </si>
  <si>
    <t>323.대법원 1997. 7. 25. 선고 97다362 판결</t>
  </si>
  <si>
    <t>314.대법원 2003. 12. 12. 선고 2003다44615,44622 판결</t>
  </si>
  <si>
    <t>311.대법원 2005. 9. 15. 선고 2004다44971 전원합의체 판결</t>
  </si>
  <si>
    <t>318.대법원 2007. 6. 26.자 2007마515 결정</t>
  </si>
  <si>
    <t>315.대법원 2007. 8. 24. 선고 2006다40980 판결</t>
  </si>
  <si>
    <t>310.대법원 2008. 10. 9. 선고 2005다72430 판결</t>
  </si>
  <si>
    <t>305.대법원 2008. 6. 12. 선고 2007다36445 판결</t>
  </si>
  <si>
    <t>307.대법원 2011. 6. 24. 선고 2011다1323 판결</t>
  </si>
  <si>
    <t>317.대법원 2011. 9. 29. 선고 2009다7076 판결</t>
  </si>
  <si>
    <t>308.대법원 2012. 2. 16. 선고 2010다82530 전원합의체 판결</t>
  </si>
  <si>
    <t>319.대법원 2012. 9. 27. 선고 2011다76747 판결</t>
  </si>
  <si>
    <t>322.대법원 2015. 3. 20. 선고 2014다75202 판결</t>
  </si>
  <si>
    <t>321.대법원 2015. 6. 11. 선고 2014다232913 판결</t>
  </si>
  <si>
    <t>320.대법원 2018. 12. 27. 선고 2016다202763 판결</t>
  </si>
  <si>
    <t>313.대법원 2021. 7. 22. 선고 2020다284977 전원합의체 판결</t>
  </si>
  <si>
    <t>326.대법원 1994. 12. 27. 선고 92다22473,22480 판결</t>
  </si>
  <si>
    <t>337.대법원 1995. 12. 8. 선고 95다44191 판결</t>
  </si>
  <si>
    <t>324.대법원 1999. 7. 9. 선고 99다12796 판결</t>
  </si>
  <si>
    <t>341.대법원 2002. 3. 15. 선고 2000다9086 판결</t>
  </si>
  <si>
    <t>336.대법원 2005. 5. 26. 선고 2004다25901,25918 판결</t>
  </si>
  <si>
    <t>340.대법원 2007. 10. 26. 선고 2006다86573,86580 판결</t>
  </si>
  <si>
    <t>327.대법원 2007. 11. 29. 선고 2007다53310 판결</t>
  </si>
  <si>
    <t>339.대법원 2007. 12. 14. 선고 2007다37776,37783 판결</t>
  </si>
  <si>
    <t>325.대법원 2007. 2. 22. 선고 2006다75641 판결</t>
  </si>
  <si>
    <t>334.대법원 2007. 2. 8. 선고 2006다62188 판결</t>
  </si>
  <si>
    <t>335.대법원 2009. 1. 30. 선고 2007다9030,9047 판결</t>
  </si>
  <si>
    <t>338.대법원 2014. 11. 13. 선고 2009다71312,71329,71336,71343 판결</t>
  </si>
  <si>
    <t>333.대법원 2014. 6. 12. 선고 2012다47548,47555 판결</t>
  </si>
  <si>
    <t>330.대법원 2015. 10. 29. 선고 2014다13044 판결</t>
  </si>
  <si>
    <t>328.대법원 2015. 5. 28. 선고 2012다78184 판결</t>
  </si>
  <si>
    <t>342.대법원 2015. 7. 23. 선고 2013다30301,30325 판결</t>
  </si>
  <si>
    <t>331.대법원 2017. 4. 26. 선고 2014다221777,221784 판결</t>
  </si>
  <si>
    <t>329.대법원 2020. 1. 30. 선고 2019다268252 판결</t>
  </si>
  <si>
    <t>332.대법원 2022. 10. 14. 선고 2022다241608, 241615 판결</t>
  </si>
  <si>
    <t>343.대법원 1998. 1. 23. 선고 96다41496 판결</t>
  </si>
  <si>
    <t>347.대법원 2005. 10. 27. 선고 2003다66691 판결</t>
  </si>
  <si>
    <t>345.대법원 2012. 4. 26. 선고 2011다85789 판결</t>
  </si>
  <si>
    <t>344.대법원 2014. 10. 27. 선고 2013다67105,67112 판결</t>
  </si>
  <si>
    <t>346.대법원 2019. 10. 23. 선고 2012다46170 전원합의체 판결</t>
  </si>
  <si>
    <t>349.대법원 1987. 6. 23. 선고 86다카2728 판결</t>
  </si>
  <si>
    <t>354.대법원 1992. 3. 27. 선고 91다40696 판결</t>
  </si>
  <si>
    <t>352.대법원 1994. 6. 28. 선고 94다3063 판결</t>
  </si>
  <si>
    <t>351.대법원 1997. 10. 24. 선고 96다12276 판결</t>
  </si>
  <si>
    <t>348.대법원 2006. 5. 2.자 2005마933 결정</t>
  </si>
  <si>
    <t>350.대법원 2007. 11. 29. 선고 2007다52317,52324 판결</t>
  </si>
  <si>
    <t>353.대법원 2018. 8. 30. 선고 2016다46338,46345 판결</t>
  </si>
  <si>
    <t>356.대법원 2001. 4. 27. 선고 99다30312 판결</t>
  </si>
  <si>
    <t>355.대법원 2015. 10. 29. 선고 2013다45037 판결</t>
  </si>
  <si>
    <t>357.대법원 1996. 4. 9. 선고 95다14572 판결</t>
  </si>
  <si>
    <t>361.대법원 1995. 3. 10. 선고 94다51543 판결</t>
  </si>
  <si>
    <t>359.대법원 2017. 1. 12. 선고 2016다241249 판결</t>
  </si>
  <si>
    <t>358.대법원 2017. 9. 21. 선고 2017다233931 판결</t>
  </si>
  <si>
    <t>360.대법원 2022. 10. 14. 선고 2022다252387 판결</t>
  </si>
  <si>
    <t>363.대법원 1980. 7. 8. 선고 80다1192 판결</t>
  </si>
  <si>
    <t>364.대법원 1983. 12. 27. 선고 83다카1503 판결</t>
  </si>
  <si>
    <t>362.대법원 1994. 12. 23. 선고 94다44644 판결</t>
  </si>
  <si>
    <t>368.대법원 1995. 7. 25. 선고 95다14817 판결</t>
  </si>
  <si>
    <t>367.대법원 1999. 6. 8. 선고 99다17401,17418 판결</t>
  </si>
  <si>
    <t>366.대법원 2003. 9. 26. 선고 2001다68914 판결</t>
  </si>
  <si>
    <t>365.대법원 2005. 8. 19. 선고 2004다8197,8203 판결</t>
  </si>
  <si>
    <t>369.대법원 2013. 8. 23. 선고 2013다28971 판결</t>
  </si>
  <si>
    <t>370.대법원 2006. 10. 13. 선고 2004두10227 판결</t>
  </si>
  <si>
    <t>373.대법원 2001. 1. 16. 선고 2000다41349 판결</t>
  </si>
  <si>
    <t>372.대법원 2005. 1. 28. 선고 2004다38624 판결</t>
  </si>
  <si>
    <t>371.대법원 2011. 1. 13. 선고 2010다69940 판결</t>
  </si>
  <si>
    <t>374.대법원 1998. 12. 11. 선고 97재다445 판결</t>
  </si>
  <si>
    <t>375.대법원 2013. 2. 28. 선고 2011다31706 판결</t>
  </si>
  <si>
    <t>377.대법원 2001. 3. 15. 선고 98두15597 전원합의체 판결</t>
  </si>
  <si>
    <t>378.대법원 2012. 1. 12. 선고 2010다87757 판결</t>
  </si>
  <si>
    <t>379.대법원 2012. 3. 29. 선고 2011다106136 판결</t>
  </si>
  <si>
    <t>376.대법원 2014. 6. 12. 선고 2014다11376,11383 판결</t>
  </si>
  <si>
    <t>382.대법원 1984. 4. 28.자 84마251 결정</t>
  </si>
  <si>
    <t>384.대법원 2001. 2. 28.자 2001그4 결정</t>
  </si>
  <si>
    <t>380.대법원 2004. 4. 28.자 2004스19 결정</t>
  </si>
  <si>
    <t>381.대법원 2007. 7. 2.자 2006마409 결정</t>
  </si>
  <si>
    <t>383.대법원 2008. 1. 24.자 2007그18 결정</t>
  </si>
  <si>
    <t>390.대법원 1989. 10. 24. 선고 88다카29658 판결</t>
  </si>
  <si>
    <t>389.대법원 1991. 11. 12. 선고 91다29057 판결</t>
  </si>
  <si>
    <t>387.대법원 1995. 2. 14. 선고 93재다27,34 전원합의체 판결</t>
  </si>
  <si>
    <t>388.대법원 1996. 5. 31. 선고 95다33993 판결</t>
  </si>
  <si>
    <t>391.대법원 1999. 2. 26. 선고 98다47290 판결</t>
  </si>
  <si>
    <t>393.대법원 2011. 7. 21. 선고 2011재다199 전원합의체 판결</t>
  </si>
  <si>
    <t>385.대법원 2012. 12. 27. 선고 2012다75239 판결</t>
  </si>
  <si>
    <t>392.대법원 2012. 6. 14. 선고 2010다86112 판결</t>
  </si>
  <si>
    <t>386.대법원 2015. 12. 23. 선고 2013다17124 판결</t>
  </si>
  <si>
    <t>394.대법원 1984. 2. 28. 선고 83다카1981 전원합의체 판결</t>
  </si>
  <si>
    <t>397.대법원 1998. 10. 9. 선고 96다44051 판결</t>
  </si>
  <si>
    <t>396.대법원 2005. 6. 24. 선고 2003다55936 판결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</si>
</sst>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9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97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40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8" fillId="0" borderId="71" xfId="0" applyNumberFormat="1" applyFont="1" applyBorder="1" applyAlignment="1">
      <alignment horizontal="left" vertical="top"/>
    </xf>
    <xf numFmtId="0" fontId="5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0" fontId="6" fillId="0" borderId="76" xfId="0" applyFont="1" applyBorder="1" applyAlignment="1">
      <alignment horizontal="center" vertical="top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49" fontId="6" fillId="0" borderId="81" xfId="3" applyNumberFormat="1" applyFont="1" applyFill="1" applyBorder="1" applyAlignment="1">
      <alignment horizontal="left" vertical="top" wrapText="1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0" fontId="4" fillId="0" borderId="63" xfId="0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49" fontId="6" fillId="0" borderId="75" xfId="3" applyNumberFormat="1" applyFont="1" applyFill="1" applyBorder="1" applyAlignment="1">
      <alignment horizontal="left" vertical="top" wrapText="1"/>
    </xf>
    <xf numFmtId="49" fontId="6" fillId="0" borderId="66" xfId="3" applyNumberFormat="1" applyFont="1" applyFill="1" applyBorder="1" applyAlignment="1">
      <alignment horizontal="left" vertical="top" wrapText="1"/>
    </xf>
    <xf numFmtId="49" fontId="6" fillId="0" borderId="87" xfId="3" applyNumberFormat="1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88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5" fillId="2" borderId="89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0" xfId="0" applyFont="1" applyBorder="1">
      <alignment vertical="center"/>
    </xf>
    <xf numFmtId="0" fontId="5" fillId="2" borderId="89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78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1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62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1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77" xfId="3" applyNumberFormat="1" applyFont="1" applyFill="1" applyBorder="1" applyAlignment="1">
      <alignment horizontal="center" vertical="top" wrapText="1"/>
    </xf>
    <xf numFmtId="177" fontId="6" fillId="0" borderId="64" xfId="3" applyNumberFormat="1" applyFont="1" applyFill="1" applyBorder="1" applyAlignment="1">
      <alignment horizontal="center" vertical="top" wrapText="1"/>
    </xf>
    <xf numFmtId="177" fontId="6" fillId="0" borderId="73" xfId="3" applyNumberFormat="1" applyFont="1" applyFill="1" applyBorder="1" applyAlignment="1">
      <alignment horizontal="center" vertical="top" wrapText="1"/>
    </xf>
    <xf numFmtId="177" fontId="6" fillId="0" borderId="79" xfId="3" applyNumberFormat="1" applyFont="1" applyFill="1" applyBorder="1" applyAlignment="1">
      <alignment horizontal="center" vertical="top" wrapText="1"/>
    </xf>
    <xf numFmtId="177" fontId="6" fillId="0" borderId="85" xfId="3" applyNumberFormat="1" applyFont="1" applyFill="1" applyBorder="1" applyAlignment="1">
      <alignment horizontal="center" vertical="top" wrapText="1"/>
    </xf>
    <xf numFmtId="177" fontId="6" fillId="0" borderId="83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0" fontId="6" fillId="0" borderId="92" xfId="0" applyFont="1" applyBorder="1" applyAlignment="1">
      <alignment horizontal="center" vertical="top"/>
    </xf>
    <xf numFmtId="49" fontId="6" fillId="0" borderId="93" xfId="0" applyNumberFormat="1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6" fillId="0" borderId="95" xfId="0" applyFont="1" applyBorder="1" applyAlignment="1">
      <alignment horizontal="center" vertical="top" wrapText="1"/>
    </xf>
    <xf numFmtId="176" fontId="6" fillId="0" borderId="96" xfId="3" applyNumberFormat="1" applyFont="1" applyFill="1" applyBorder="1" applyAlignment="1">
      <alignment horizontal="right" vertical="top"/>
    </xf>
    <xf numFmtId="177" fontId="6" fillId="0" borderId="92" xfId="3" applyNumberFormat="1" applyFont="1" applyFill="1" applyBorder="1" applyAlignment="1">
      <alignment horizontal="center" vertical="top" wrapText="1"/>
    </xf>
    <xf numFmtId="177" fontId="6" fillId="0" borderId="93" xfId="3" applyNumberFormat="1" applyFont="1" applyFill="1" applyBorder="1" applyAlignment="1">
      <alignment horizontal="center" vertical="top" wrapText="1"/>
    </xf>
    <xf numFmtId="49" fontId="6" fillId="0" borderId="97" xfId="3" applyNumberFormat="1" applyFont="1" applyFill="1" applyBorder="1" applyAlignment="1">
      <alignment horizontal="left" vertical="top" wrapText="1"/>
    </xf>
    <xf numFmtId="0" fontId="6" fillId="0" borderId="98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98" xfId="3" applyNumberFormat="1" applyFont="1" applyFill="1" applyBorder="1" applyAlignment="1">
      <alignment horizontal="center" vertical="top" wrapText="1"/>
    </xf>
    <xf numFmtId="177" fontId="6" fillId="0" borderId="1" xfId="3" applyNumberFormat="1" applyFont="1" applyFill="1" applyBorder="1" applyAlignment="1">
      <alignment horizontal="center" vertical="top" wrapText="1"/>
    </xf>
    <xf numFmtId="49" fontId="6" fillId="0" borderId="45" xfId="3" applyNumberFormat="1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177" fontId="6" fillId="0" borderId="5" xfId="3" applyNumberFormat="1" applyFont="1" applyFill="1" applyBorder="1" applyAlignment="1">
      <alignment horizontal="center" vertical="top" wrapText="1"/>
    </xf>
    <xf numFmtId="49" fontId="6" fillId="0" borderId="60" xfId="3" applyNumberFormat="1" applyFont="1" applyFill="1" applyBorder="1" applyAlignment="1">
      <alignment horizontal="left" vertical="top" wrapText="1"/>
    </xf>
    <xf numFmtId="176" fontId="6" fillId="0" borderId="94" xfId="3" applyNumberFormat="1" applyFont="1" applyFill="1" applyBorder="1" applyAlignment="1">
      <alignment horizontal="right" vertical="top"/>
    </xf>
    <xf numFmtId="177" fontId="6" fillId="0" borderId="95" xfId="3" applyNumberFormat="1" applyFont="1" applyFill="1" applyBorder="1" applyAlignment="1">
      <alignment horizontal="center" vertical="top" wrapText="1"/>
    </xf>
    <xf numFmtId="176" fontId="6" fillId="0" borderId="8" xfId="3" applyNumberFormat="1" applyFont="1" applyFill="1" applyBorder="1" applyAlignment="1">
      <alignment horizontal="right" vertical="top"/>
    </xf>
    <xf numFmtId="177" fontId="6" fillId="0" borderId="7" xfId="3" applyNumberFormat="1" applyFont="1" applyFill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177" fontId="6" fillId="0" borderId="13" xfId="3" applyNumberFormat="1" applyFont="1" applyFill="1" applyBorder="1" applyAlignment="1">
      <alignment horizontal="center" vertical="top" wrapText="1"/>
    </xf>
    <xf numFmtId="49" fontId="6" fillId="0" borderId="46" xfId="3" applyNumberFormat="1" applyFont="1" applyFill="1" applyBorder="1" applyAlignment="1">
      <alignment horizontal="left" vertical="top" wrapText="1"/>
    </xf>
    <xf numFmtId="177" fontId="6" fillId="0" borderId="66" xfId="3" applyNumberFormat="1" applyFont="1" applyFill="1" applyBorder="1" applyAlignment="1">
      <alignment horizontal="center" vertical="top" wrapText="1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75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top" wrapText="1"/>
    </xf>
    <xf numFmtId="0" fontId="7" fillId="3" borderId="34" xfId="0" applyFont="1" applyFill="1" applyBorder="1" applyAlignment="1">
      <alignment horizontal="center" vertical="top"/>
    </xf>
    <xf numFmtId="0" fontId="7" fillId="3" borderId="9" xfId="0" applyFont="1" applyFill="1" applyBorder="1" applyAlignment="1">
      <alignment horizontal="center" vertical="top"/>
    </xf>
    <xf numFmtId="0" fontId="7" fillId="3" borderId="37" xfId="0" applyFont="1" applyFill="1" applyBorder="1" applyAlignment="1">
      <alignment horizontal="center" vertical="top"/>
    </xf>
    <xf numFmtId="0" fontId="7" fillId="3" borderId="25" xfId="0" applyFont="1" applyFill="1" applyBorder="1" applyAlignment="1">
      <alignment horizontal="center" vertical="top"/>
    </xf>
    <xf numFmtId="0" fontId="7" fillId="3" borderId="53" xfId="0" applyFont="1" applyFill="1" applyBorder="1" applyAlignment="1">
      <alignment horizontal="center" vertical="top"/>
    </xf>
    <xf numFmtId="0" fontId="7" fillId="3" borderId="35" xfId="0" applyFont="1" applyFill="1" applyBorder="1" applyAlignment="1">
      <alignment horizontal="center" vertical="top"/>
    </xf>
    <xf numFmtId="0" fontId="7" fillId="3" borderId="36" xfId="0" applyFont="1" applyFill="1" applyBorder="1" applyAlignment="1">
      <alignment horizontal="center" vertical="top"/>
    </xf>
    <xf numFmtId="0" fontId="7" fillId="3" borderId="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top"/>
    </xf>
    <xf numFmtId="0" fontId="7" fillId="3" borderId="43" xfId="0" applyFont="1" applyFill="1" applyBorder="1" applyAlignment="1">
      <alignment horizontal="center" vertical="top"/>
    </xf>
    <xf numFmtId="0" fontId="7" fillId="3" borderId="20" xfId="0" applyFont="1" applyFill="1" applyBorder="1" applyAlignment="1">
      <alignment horizontal="center" vertical="top"/>
    </xf>
    <xf numFmtId="0" fontId="7" fillId="3" borderId="4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 wrapText="1"/>
    </xf>
    <xf numFmtId="0" fontId="7" fillId="3" borderId="5" xfId="0" applyFont="1" applyFill="1" applyBorder="1" applyAlignment="1">
      <alignment horizontal="center" vertical="top"/>
    </xf>
    <xf numFmtId="0" fontId="7" fillId="3" borderId="1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I32" sqref="I32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7" t="s">
        <v>10</v>
      </c>
      <c r="C2" s="17" t="s">
        <v>11</v>
      </c>
    </row>
    <row r="3" spans="2:3" ht="14.45" customHeight="1" x14ac:dyDescent="0.2">
      <c r="B3" s="58" t="s">
        <v>12</v>
      </c>
      <c r="C3" s="58" t="s">
        <v>3407</v>
      </c>
    </row>
    <row r="5" spans="2:3" ht="14.45" customHeight="1" x14ac:dyDescent="0.2">
      <c r="B5" s="17" t="s">
        <v>6</v>
      </c>
    </row>
    <row r="6" spans="2:3" ht="14.45" customHeight="1" x14ac:dyDescent="0.2">
      <c r="B6" s="58" t="s">
        <v>173</v>
      </c>
    </row>
    <row r="7" spans="2:3" ht="14.45" customHeight="1" x14ac:dyDescent="0.2">
      <c r="B7" s="58" t="s">
        <v>2335</v>
      </c>
    </row>
    <row r="8" spans="2:3" ht="14.45" customHeight="1" x14ac:dyDescent="0.2">
      <c r="B8" s="58" t="s">
        <v>2334</v>
      </c>
    </row>
    <row r="9" spans="2:3" ht="14.45" customHeight="1" x14ac:dyDescent="0.2">
      <c r="B9" s="58" t="s">
        <v>2423</v>
      </c>
    </row>
    <row r="10" spans="2:3" ht="14.45" customHeight="1" x14ac:dyDescent="0.2">
      <c r="B10" s="58" t="s">
        <v>2424</v>
      </c>
    </row>
    <row r="11" spans="2:3" ht="14.45" customHeight="1" x14ac:dyDescent="0.2">
      <c r="B11" s="58" t="s">
        <v>1373</v>
      </c>
    </row>
    <row r="13" spans="2:3" ht="14.45" customHeight="1" x14ac:dyDescent="0.2">
      <c r="B13" s="17" t="s">
        <v>2513</v>
      </c>
    </row>
    <row r="14" spans="2:3" ht="14.45" customHeight="1" x14ac:dyDescent="0.2">
      <c r="B14" s="58" t="s">
        <v>2514</v>
      </c>
    </row>
    <row r="15" spans="2:3" ht="14.45" customHeight="1" x14ac:dyDescent="0.2">
      <c r="B15" s="58" t="s">
        <v>2515</v>
      </c>
    </row>
    <row r="16" spans="2:3" ht="14.45" customHeight="1" x14ac:dyDescent="0.2">
      <c r="B16" s="58" t="s">
        <v>2516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6"/>
    <col min="53" max="53" width="2.5703125" style="10"/>
    <col min="54" max="54" width="0.5703125" style="11" customWidth="1"/>
    <col min="55" max="55" width="2.5703125" style="12" customWidth="1"/>
    <col min="56" max="58" width="2.5703125" style="12"/>
    <col min="59" max="59" width="2.5703125" style="12" customWidth="1"/>
    <col min="60" max="98" width="2.5703125" style="12"/>
    <col min="99" max="99" width="2.5703125" style="13"/>
    <col min="100" max="100" width="2.5703125" style="14"/>
    <col min="101" max="16384" width="2.5703125" style="6"/>
  </cols>
  <sheetData>
    <row r="1" spans="3:5" ht="19.5" customHeight="1" thickBot="1" x14ac:dyDescent="0.3"/>
    <row r="3" spans="3:5" ht="14.45" customHeight="1" thickBot="1" x14ac:dyDescent="0.3">
      <c r="C3" s="25" t="s">
        <v>243</v>
      </c>
      <c r="D3" s="25"/>
    </row>
    <row r="4" spans="3:5" ht="14.45" customHeight="1" outlineLevel="1" thickBot="1" x14ac:dyDescent="0.3">
      <c r="D4" s="26" t="s">
        <v>244</v>
      </c>
      <c r="E4" s="26"/>
    </row>
    <row r="5" spans="3:5" ht="14.45" customHeight="1" outlineLevel="2" thickBot="1" x14ac:dyDescent="0.3">
      <c r="E5" s="27" t="s">
        <v>245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7" t="s">
        <v>246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6" t="s">
        <v>247</v>
      </c>
      <c r="E12" s="26"/>
    </row>
    <row r="13" spans="3:5" ht="14.45" customHeight="1" outlineLevel="2" thickBot="1" x14ac:dyDescent="0.3">
      <c r="E13" s="27" t="s">
        <v>248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7" t="s">
        <v>249</v>
      </c>
    </row>
    <row r="17" spans="5:6" ht="14.45" customHeight="1" outlineLevel="3" thickBot="1" x14ac:dyDescent="0.3">
      <c r="F17" s="28" t="s">
        <v>250</v>
      </c>
    </row>
    <row r="18" spans="5:6" ht="14.45" customHeight="1" outlineLevel="4" thickBot="1" x14ac:dyDescent="0.3"/>
    <row r="19" spans="5:6" ht="14.45" customHeight="1" outlineLevel="3" thickBot="1" x14ac:dyDescent="0.3">
      <c r="F19" s="28" t="s">
        <v>251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7" t="s">
        <v>252</v>
      </c>
    </row>
    <row r="23" spans="5:6" ht="14.45" customHeight="1" outlineLevel="3" thickBot="1" x14ac:dyDescent="0.3">
      <c r="F23" s="28" t="s">
        <v>253</v>
      </c>
    </row>
    <row r="24" spans="5:6" ht="14.45" customHeight="1" outlineLevel="4" thickBot="1" x14ac:dyDescent="0.3"/>
    <row r="25" spans="5:6" ht="14.45" customHeight="1" outlineLevel="3" thickBot="1" x14ac:dyDescent="0.3">
      <c r="F25" s="28" t="s">
        <v>254</v>
      </c>
    </row>
    <row r="26" spans="5:6" ht="14.45" customHeight="1" outlineLevel="4" thickBot="1" x14ac:dyDescent="0.3"/>
    <row r="27" spans="5:6" ht="14.45" customHeight="1" outlineLevel="3" thickBot="1" x14ac:dyDescent="0.3">
      <c r="F27" s="28" t="s">
        <v>255</v>
      </c>
    </row>
    <row r="28" spans="5:6" ht="14.45" customHeight="1" outlineLevel="4" thickBot="1" x14ac:dyDescent="0.3"/>
    <row r="29" spans="5:6" ht="14.45" customHeight="1" outlineLevel="3" thickBot="1" x14ac:dyDescent="0.3">
      <c r="F29" s="28" t="s">
        <v>256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7" t="s">
        <v>257</v>
      </c>
    </row>
    <row r="33" spans="3:6" ht="14.45" customHeight="1" outlineLevel="3" thickBot="1" x14ac:dyDescent="0.3">
      <c r="F33" s="28" t="s">
        <v>258</v>
      </c>
    </row>
    <row r="34" spans="3:6" ht="14.45" customHeight="1" outlineLevel="4" thickBot="1" x14ac:dyDescent="0.3"/>
    <row r="35" spans="3:6" ht="14.45" customHeight="1" outlineLevel="3" thickBot="1" x14ac:dyDescent="0.3">
      <c r="F35" s="28" t="s">
        <v>259</v>
      </c>
    </row>
    <row r="36" spans="3:6" ht="14.45" customHeight="1" outlineLevel="4" thickBot="1" x14ac:dyDescent="0.3"/>
    <row r="37" spans="3:6" ht="14.45" customHeight="1" outlineLevel="3" thickBot="1" x14ac:dyDescent="0.3">
      <c r="F37" s="28" t="s">
        <v>260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5" t="s">
        <v>261</v>
      </c>
      <c r="D42" s="25"/>
    </row>
    <row r="43" spans="3:6" ht="14.45" customHeight="1" outlineLevel="1" thickBot="1" x14ac:dyDescent="0.3">
      <c r="D43" s="26" t="s">
        <v>13</v>
      </c>
      <c r="E43" s="26"/>
    </row>
    <row r="44" spans="3:6" ht="14.45" customHeight="1" outlineLevel="2" thickBot="1" x14ac:dyDescent="0.3"/>
    <row r="45" spans="3:6" ht="14.45" customHeight="1" outlineLevel="1" thickBot="1" x14ac:dyDescent="0.3">
      <c r="D45" s="26" t="s">
        <v>14</v>
      </c>
      <c r="E45" s="26"/>
    </row>
    <row r="46" spans="3:6" ht="14.45" customHeight="1" outlineLevel="2" thickBot="1" x14ac:dyDescent="0.3">
      <c r="E46" s="27" t="s">
        <v>262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7" t="s">
        <v>263</v>
      </c>
    </row>
    <row r="50" spans="3:6" ht="14.45" customHeight="1" outlineLevel="3" thickBot="1" x14ac:dyDescent="0.3">
      <c r="F50" s="28" t="s">
        <v>264</v>
      </c>
    </row>
    <row r="51" spans="3:6" ht="14.45" customHeight="1" outlineLevel="4" thickBot="1" x14ac:dyDescent="0.3"/>
    <row r="52" spans="3:6" ht="14.45" customHeight="1" outlineLevel="3" thickBot="1" x14ac:dyDescent="0.3">
      <c r="F52" s="28" t="s">
        <v>265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5" t="s">
        <v>266</v>
      </c>
      <c r="D57" s="25"/>
    </row>
    <row r="58" spans="3:6" ht="14.45" customHeight="1" outlineLevel="1" thickBot="1" x14ac:dyDescent="0.3">
      <c r="D58" s="26" t="s">
        <v>15</v>
      </c>
      <c r="E58" s="26"/>
    </row>
    <row r="59" spans="3:6" ht="14.45" customHeight="1" outlineLevel="2" thickBot="1" x14ac:dyDescent="0.3">
      <c r="E59" s="27" t="s">
        <v>267</v>
      </c>
    </row>
    <row r="60" spans="3:6" ht="14.45" customHeight="1" outlineLevel="3" thickBot="1" x14ac:dyDescent="0.3">
      <c r="F60" s="28" t="s">
        <v>268</v>
      </c>
    </row>
    <row r="61" spans="3:6" ht="14.45" customHeight="1" outlineLevel="4" thickBot="1" x14ac:dyDescent="0.3"/>
    <row r="62" spans="3:6" ht="14.45" customHeight="1" outlineLevel="3" thickBot="1" x14ac:dyDescent="0.3">
      <c r="F62" s="28" t="s">
        <v>269</v>
      </c>
    </row>
    <row r="63" spans="3:6" ht="14.45" customHeight="1" outlineLevel="4" thickBot="1" x14ac:dyDescent="0.3"/>
    <row r="64" spans="3:6" ht="14.45" customHeight="1" outlineLevel="3" thickBot="1" x14ac:dyDescent="0.3">
      <c r="F64" s="28" t="s">
        <v>270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7" t="s">
        <v>271</v>
      </c>
    </row>
    <row r="68" spans="5:6" ht="14.45" customHeight="1" outlineLevel="3" thickBot="1" x14ac:dyDescent="0.3">
      <c r="F68" s="28" t="s">
        <v>268</v>
      </c>
    </row>
    <row r="69" spans="5:6" ht="14.45" customHeight="1" outlineLevel="4" thickBot="1" x14ac:dyDescent="0.3"/>
    <row r="70" spans="5:6" ht="14.45" customHeight="1" outlineLevel="3" thickBot="1" x14ac:dyDescent="0.3">
      <c r="F70" s="28" t="s">
        <v>272</v>
      </c>
    </row>
    <row r="71" spans="5:6" ht="14.45" customHeight="1" outlineLevel="4" thickBot="1" x14ac:dyDescent="0.3"/>
    <row r="72" spans="5:6" ht="14.45" customHeight="1" outlineLevel="3" thickBot="1" x14ac:dyDescent="0.3">
      <c r="F72" s="28" t="s">
        <v>273</v>
      </c>
    </row>
    <row r="73" spans="5:6" ht="14.45" customHeight="1" outlineLevel="4" thickBot="1" x14ac:dyDescent="0.3"/>
    <row r="74" spans="5:6" ht="14.45" customHeight="1" outlineLevel="3" thickBot="1" x14ac:dyDescent="0.3">
      <c r="F74" s="28" t="s">
        <v>274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7" t="s">
        <v>275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7" t="s">
        <v>276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6" t="s">
        <v>16</v>
      </c>
      <c r="E84" s="26"/>
    </row>
    <row r="85" spans="4:6" ht="14.45" customHeight="1" outlineLevel="2" thickBot="1" x14ac:dyDescent="0.3">
      <c r="E85" s="27" t="s">
        <v>277</v>
      </c>
    </row>
    <row r="86" spans="4:6" ht="14.45" customHeight="1" outlineLevel="3" thickBot="1" x14ac:dyDescent="0.3">
      <c r="F86" s="28" t="s">
        <v>268</v>
      </c>
    </row>
    <row r="87" spans="4:6" ht="14.45" customHeight="1" outlineLevel="4" thickBot="1" x14ac:dyDescent="0.3"/>
    <row r="88" spans="4:6" ht="14.45" customHeight="1" outlineLevel="3" thickBot="1" x14ac:dyDescent="0.3">
      <c r="F88" s="28" t="s">
        <v>278</v>
      </c>
    </row>
    <row r="89" spans="4:6" ht="14.45" customHeight="1" outlineLevel="4" thickBot="1" x14ac:dyDescent="0.3"/>
    <row r="90" spans="4:6" ht="14.45" customHeight="1" outlineLevel="3" thickBot="1" x14ac:dyDescent="0.3">
      <c r="F90" s="28" t="s">
        <v>279</v>
      </c>
    </row>
    <row r="91" spans="4:6" ht="14.45" customHeight="1" outlineLevel="4" thickBot="1" x14ac:dyDescent="0.3"/>
    <row r="92" spans="4:6" ht="14.45" customHeight="1" outlineLevel="3" thickBot="1" x14ac:dyDescent="0.3">
      <c r="F92" s="28" t="s">
        <v>280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7" t="s">
        <v>281</v>
      </c>
    </row>
    <row r="96" spans="4:6" ht="14.45" customHeight="1" outlineLevel="3" thickBot="1" x14ac:dyDescent="0.3">
      <c r="F96" s="28" t="s">
        <v>268</v>
      </c>
    </row>
    <row r="97" spans="4:6" ht="14.45" customHeight="1" outlineLevel="4" thickBot="1" x14ac:dyDescent="0.3"/>
    <row r="98" spans="4:6" ht="14.45" customHeight="1" outlineLevel="3" thickBot="1" x14ac:dyDescent="0.3">
      <c r="F98" s="28" t="s">
        <v>282</v>
      </c>
    </row>
    <row r="99" spans="4:6" ht="14.45" customHeight="1" outlineLevel="4" thickBot="1" x14ac:dyDescent="0.3"/>
    <row r="100" spans="4:6" ht="14.45" customHeight="1" outlineLevel="3" thickBot="1" x14ac:dyDescent="0.3">
      <c r="F100" s="28" t="s">
        <v>283</v>
      </c>
    </row>
    <row r="101" spans="4:6" ht="14.45" customHeight="1" outlineLevel="4" thickBot="1" x14ac:dyDescent="0.3"/>
    <row r="102" spans="4:6" ht="14.45" customHeight="1" outlineLevel="3" thickBot="1" x14ac:dyDescent="0.3">
      <c r="F102" s="28" t="s">
        <v>284</v>
      </c>
    </row>
    <row r="103" spans="4:6" ht="14.45" customHeight="1" outlineLevel="4" thickBot="1" x14ac:dyDescent="0.3"/>
    <row r="104" spans="4:6" ht="14.45" customHeight="1" outlineLevel="3" thickBot="1" x14ac:dyDescent="0.3">
      <c r="F104" s="28" t="s">
        <v>285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7" t="s">
        <v>286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6" t="s">
        <v>17</v>
      </c>
      <c r="E111" s="26"/>
    </row>
    <row r="112" spans="4:6" ht="14.45" customHeight="1" outlineLevel="2" thickBot="1" x14ac:dyDescent="0.3">
      <c r="E112" s="27" t="s">
        <v>287</v>
      </c>
    </row>
    <row r="113" spans="5:7" ht="14.45" customHeight="1" outlineLevel="3" thickBot="1" x14ac:dyDescent="0.3">
      <c r="F113" s="28" t="s">
        <v>288</v>
      </c>
    </row>
    <row r="114" spans="5:7" ht="14.45" customHeight="1" outlineLevel="4" thickBot="1" x14ac:dyDescent="0.3"/>
    <row r="115" spans="5:7" ht="14.45" customHeight="1" outlineLevel="3" thickBot="1" x14ac:dyDescent="0.3">
      <c r="F115" s="28" t="s">
        <v>289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7" t="s">
        <v>290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7" t="s">
        <v>291</v>
      </c>
    </row>
    <row r="122" spans="5:7" ht="14.45" customHeight="1" outlineLevel="3" thickBot="1" x14ac:dyDescent="0.3">
      <c r="F122" s="28" t="s">
        <v>292</v>
      </c>
    </row>
    <row r="123" spans="5:7" ht="14.45" customHeight="1" outlineLevel="4" thickBot="1" x14ac:dyDescent="0.3"/>
    <row r="124" spans="5:7" ht="14.45" customHeight="1" outlineLevel="3" thickBot="1" x14ac:dyDescent="0.3">
      <c r="F124" s="28" t="s">
        <v>293</v>
      </c>
    </row>
    <row r="125" spans="5:7" ht="14.45" customHeight="1" outlineLevel="4" thickBot="1" x14ac:dyDescent="0.3">
      <c r="G125" s="7" t="s">
        <v>294</v>
      </c>
    </row>
    <row r="126" spans="5:7" ht="14.45" customHeight="1" outlineLevel="4" thickBot="1" x14ac:dyDescent="0.3">
      <c r="G126" s="7" t="s">
        <v>295</v>
      </c>
    </row>
    <row r="127" spans="5:7" ht="14.45" customHeight="1" outlineLevel="4" thickBot="1" x14ac:dyDescent="0.3">
      <c r="G127" s="7" t="s">
        <v>296</v>
      </c>
    </row>
    <row r="128" spans="5:7" ht="14.45" customHeight="1" outlineLevel="4" thickBot="1" x14ac:dyDescent="0.3">
      <c r="G128" s="7" t="s">
        <v>297</v>
      </c>
    </row>
    <row r="129" spans="5:7" ht="14.45" customHeight="1" outlineLevel="4" thickBot="1" x14ac:dyDescent="0.3">
      <c r="G129" s="7" t="s">
        <v>298</v>
      </c>
    </row>
    <row r="130" spans="5:7" ht="14.45" customHeight="1" outlineLevel="3" thickBot="1" x14ac:dyDescent="0.3">
      <c r="F130" s="28" t="s">
        <v>299</v>
      </c>
    </row>
    <row r="131" spans="5:7" ht="14.45" customHeight="1" outlineLevel="4" thickBot="1" x14ac:dyDescent="0.3">
      <c r="G131" s="7" t="s">
        <v>300</v>
      </c>
    </row>
    <row r="132" spans="5:7" ht="14.45" customHeight="1" outlineLevel="4" thickBot="1" x14ac:dyDescent="0.3">
      <c r="G132" s="7" t="s">
        <v>301</v>
      </c>
    </row>
    <row r="133" spans="5:7" ht="14.45" customHeight="1" outlineLevel="4" thickBot="1" x14ac:dyDescent="0.3">
      <c r="G133" s="7" t="s">
        <v>302</v>
      </c>
    </row>
    <row r="134" spans="5:7" ht="14.45" customHeight="1" outlineLevel="4" thickBot="1" x14ac:dyDescent="0.3">
      <c r="G134" s="7" t="s">
        <v>297</v>
      </c>
    </row>
    <row r="135" spans="5:7" ht="14.45" customHeight="1" outlineLevel="3" thickBot="1" x14ac:dyDescent="0.3">
      <c r="F135" s="28" t="s">
        <v>303</v>
      </c>
    </row>
    <row r="136" spans="5:7" ht="14.45" customHeight="1" outlineLevel="4" thickBot="1" x14ac:dyDescent="0.3">
      <c r="G136" s="7" t="s">
        <v>304</v>
      </c>
    </row>
    <row r="137" spans="5:7" ht="14.45" customHeight="1" outlineLevel="4" thickBot="1" x14ac:dyDescent="0.3">
      <c r="G137" s="7" t="s">
        <v>305</v>
      </c>
    </row>
    <row r="138" spans="5:7" ht="14.45" customHeight="1" outlineLevel="4" thickBot="1" x14ac:dyDescent="0.3">
      <c r="G138" s="7" t="s">
        <v>306</v>
      </c>
    </row>
    <row r="139" spans="5:7" ht="14.45" customHeight="1" outlineLevel="3" thickBot="1" x14ac:dyDescent="0.3"/>
    <row r="140" spans="5:7" ht="14.45" customHeight="1" outlineLevel="2" thickBot="1" x14ac:dyDescent="0.3">
      <c r="E140" s="27" t="s">
        <v>307</v>
      </c>
    </row>
    <row r="141" spans="5:7" ht="14.45" customHeight="1" outlineLevel="3" thickBot="1" x14ac:dyDescent="0.3">
      <c r="F141" s="28" t="s">
        <v>292</v>
      </c>
    </row>
    <row r="142" spans="5:7" ht="14.45" customHeight="1" outlineLevel="4" thickBot="1" x14ac:dyDescent="0.3"/>
    <row r="143" spans="5:7" ht="14.45" customHeight="1" outlineLevel="3" thickBot="1" x14ac:dyDescent="0.3">
      <c r="F143" s="28" t="s">
        <v>308</v>
      </c>
    </row>
    <row r="144" spans="5:7" ht="14.45" customHeight="1" outlineLevel="4" thickBot="1" x14ac:dyDescent="0.3">
      <c r="G144" s="7" t="s">
        <v>309</v>
      </c>
    </row>
    <row r="145" spans="5:7" ht="14.45" customHeight="1" outlineLevel="4" thickBot="1" x14ac:dyDescent="0.3">
      <c r="G145" s="7" t="s">
        <v>310</v>
      </c>
    </row>
    <row r="146" spans="5:7" ht="14.45" customHeight="1" outlineLevel="4" thickBot="1" x14ac:dyDescent="0.3">
      <c r="G146" s="7" t="s">
        <v>311</v>
      </c>
    </row>
    <row r="147" spans="5:7" ht="14.45" customHeight="1" outlineLevel="3" thickBot="1" x14ac:dyDescent="0.3"/>
    <row r="148" spans="5:7" ht="14.45" customHeight="1" outlineLevel="2" thickBot="1" x14ac:dyDescent="0.3">
      <c r="E148" s="27" t="s">
        <v>312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7" t="s">
        <v>313</v>
      </c>
    </row>
    <row r="152" spans="5:7" ht="14.45" customHeight="1" outlineLevel="3" thickBot="1" x14ac:dyDescent="0.3">
      <c r="F152" s="28" t="s">
        <v>314</v>
      </c>
    </row>
    <row r="153" spans="5:7" ht="14.45" customHeight="1" outlineLevel="4" thickBot="1" x14ac:dyDescent="0.3"/>
    <row r="154" spans="5:7" ht="14.45" customHeight="1" outlineLevel="3" thickBot="1" x14ac:dyDescent="0.3">
      <c r="F154" s="28" t="s">
        <v>315</v>
      </c>
    </row>
    <row r="155" spans="5:7" ht="14.45" customHeight="1" outlineLevel="4" thickBot="1" x14ac:dyDescent="0.3"/>
    <row r="156" spans="5:7" ht="14.45" customHeight="1" outlineLevel="3" thickBot="1" x14ac:dyDescent="0.3">
      <c r="F156" s="28" t="s">
        <v>316</v>
      </c>
    </row>
    <row r="157" spans="5:7" ht="14.45" customHeight="1" outlineLevel="4" thickBot="1" x14ac:dyDescent="0.3">
      <c r="G157" s="7" t="s">
        <v>317</v>
      </c>
    </row>
    <row r="158" spans="5:7" ht="14.45" customHeight="1" outlineLevel="4" thickBot="1" x14ac:dyDescent="0.3">
      <c r="G158" s="7" t="s">
        <v>318</v>
      </c>
    </row>
    <row r="159" spans="5:7" ht="14.45" customHeight="1" outlineLevel="4" thickBot="1" x14ac:dyDescent="0.3">
      <c r="G159" s="7" t="s">
        <v>319</v>
      </c>
    </row>
    <row r="160" spans="5:7" ht="14.45" customHeight="1" outlineLevel="4" thickBot="1" x14ac:dyDescent="0.3">
      <c r="G160" s="7" t="s">
        <v>320</v>
      </c>
    </row>
    <row r="161" spans="5:7" ht="14.45" customHeight="1" outlineLevel="4" thickBot="1" x14ac:dyDescent="0.3">
      <c r="G161" s="7" t="s">
        <v>321</v>
      </c>
    </row>
    <row r="162" spans="5:7" ht="14.45" customHeight="1" outlineLevel="3" thickBot="1" x14ac:dyDescent="0.3">
      <c r="F162" s="28" t="s">
        <v>322</v>
      </c>
    </row>
    <row r="163" spans="5:7" ht="14.45" customHeight="1" outlineLevel="4" thickBot="1" x14ac:dyDescent="0.3">
      <c r="G163" s="7" t="s">
        <v>323</v>
      </c>
    </row>
    <row r="164" spans="5:7" ht="14.45" customHeight="1" outlineLevel="4" thickBot="1" x14ac:dyDescent="0.3">
      <c r="G164" s="7" t="s">
        <v>324</v>
      </c>
    </row>
    <row r="165" spans="5:7" ht="14.45" customHeight="1" outlineLevel="4" thickBot="1" x14ac:dyDescent="0.3">
      <c r="G165" s="7" t="s">
        <v>325</v>
      </c>
    </row>
    <row r="166" spans="5:7" ht="14.45" customHeight="1" outlineLevel="4" thickBot="1" x14ac:dyDescent="0.3">
      <c r="G166" s="7" t="s">
        <v>326</v>
      </c>
    </row>
    <row r="167" spans="5:7" ht="14.45" customHeight="1" outlineLevel="3" thickBot="1" x14ac:dyDescent="0.3">
      <c r="F167" s="28" t="s">
        <v>327</v>
      </c>
    </row>
    <row r="168" spans="5:7" ht="14.45" customHeight="1" outlineLevel="4" thickBot="1" x14ac:dyDescent="0.3">
      <c r="G168" s="7" t="s">
        <v>328</v>
      </c>
    </row>
    <row r="169" spans="5:7" ht="14.45" customHeight="1" outlineLevel="4" thickBot="1" x14ac:dyDescent="0.3">
      <c r="G169" s="7" t="s">
        <v>329</v>
      </c>
    </row>
    <row r="170" spans="5:7" ht="14.45" customHeight="1" outlineLevel="3" thickBot="1" x14ac:dyDescent="0.3"/>
    <row r="171" spans="5:7" ht="14.45" customHeight="1" outlineLevel="2" thickBot="1" x14ac:dyDescent="0.3">
      <c r="E171" s="27" t="s">
        <v>330</v>
      </c>
    </row>
    <row r="172" spans="5:7" ht="14.45" customHeight="1" outlineLevel="3" thickBot="1" x14ac:dyDescent="0.3">
      <c r="F172" s="28" t="s">
        <v>331</v>
      </c>
    </row>
    <row r="173" spans="5:7" ht="14.45" customHeight="1" outlineLevel="4" thickBot="1" x14ac:dyDescent="0.3"/>
    <row r="174" spans="5:7" ht="14.45" customHeight="1" outlineLevel="3" thickBot="1" x14ac:dyDescent="0.3">
      <c r="F174" s="28" t="s">
        <v>332</v>
      </c>
    </row>
    <row r="175" spans="5:7" ht="14.45" customHeight="1" outlineLevel="4" thickBot="1" x14ac:dyDescent="0.3">
      <c r="G175" s="7" t="s">
        <v>333</v>
      </c>
    </row>
    <row r="176" spans="5:7" ht="14.45" customHeight="1" outlineLevel="4" thickBot="1" x14ac:dyDescent="0.3">
      <c r="G176" s="7" t="s">
        <v>334</v>
      </c>
    </row>
    <row r="177" spans="5:7" ht="14.45" customHeight="1" outlineLevel="4" thickBot="1" x14ac:dyDescent="0.3">
      <c r="G177" s="7" t="s">
        <v>335</v>
      </c>
    </row>
    <row r="178" spans="5:7" ht="14.45" customHeight="1" outlineLevel="3" thickBot="1" x14ac:dyDescent="0.3">
      <c r="F178" s="28" t="s">
        <v>336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7" t="s">
        <v>337</v>
      </c>
    </row>
    <row r="182" spans="5:7" ht="14.45" customHeight="1" outlineLevel="3" thickBot="1" x14ac:dyDescent="0.3">
      <c r="F182" s="28" t="s">
        <v>338</v>
      </c>
    </row>
    <row r="183" spans="5:7" ht="14.45" customHeight="1" outlineLevel="4" thickBot="1" x14ac:dyDescent="0.3">
      <c r="G183" s="7" t="s">
        <v>339</v>
      </c>
    </row>
    <row r="184" spans="5:7" ht="14.45" customHeight="1" outlineLevel="4" thickBot="1" x14ac:dyDescent="0.3">
      <c r="G184" s="7" t="s">
        <v>340</v>
      </c>
    </row>
    <row r="185" spans="5:7" ht="14.45" customHeight="1" outlineLevel="3" thickBot="1" x14ac:dyDescent="0.3">
      <c r="F185" s="28" t="s">
        <v>341</v>
      </c>
    </row>
    <row r="186" spans="5:7" ht="14.45" customHeight="1" outlineLevel="4" thickBot="1" x14ac:dyDescent="0.3">
      <c r="G186" s="7" t="s">
        <v>342</v>
      </c>
    </row>
    <row r="187" spans="5:7" ht="14.45" customHeight="1" outlineLevel="4" thickBot="1" x14ac:dyDescent="0.3">
      <c r="G187" s="7" t="s">
        <v>343</v>
      </c>
    </row>
    <row r="188" spans="5:7" ht="14.45" customHeight="1" outlineLevel="4" thickBot="1" x14ac:dyDescent="0.3">
      <c r="G188" s="7" t="s">
        <v>344</v>
      </c>
    </row>
    <row r="189" spans="5:7" ht="14.45" customHeight="1" outlineLevel="3" thickBot="1" x14ac:dyDescent="0.3">
      <c r="F189" s="28" t="s">
        <v>345</v>
      </c>
    </row>
    <row r="190" spans="5:7" ht="14.45" customHeight="1" outlineLevel="4" thickBot="1" x14ac:dyDescent="0.3"/>
    <row r="191" spans="5:7" ht="14.45" customHeight="1" outlineLevel="3" thickBot="1" x14ac:dyDescent="0.3">
      <c r="F191" s="28" t="s">
        <v>346</v>
      </c>
    </row>
    <row r="192" spans="5:7" ht="14.45" customHeight="1" outlineLevel="4" thickBot="1" x14ac:dyDescent="0.3">
      <c r="G192" s="7" t="s">
        <v>347</v>
      </c>
    </row>
    <row r="193" spans="3:7" ht="14.45" customHeight="1" outlineLevel="4" thickBot="1" x14ac:dyDescent="0.3">
      <c r="G193" s="7" t="s">
        <v>348</v>
      </c>
    </row>
    <row r="194" spans="3:7" ht="14.45" customHeight="1" outlineLevel="4" thickBot="1" x14ac:dyDescent="0.3">
      <c r="G194" s="7" t="s">
        <v>349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5" t="s">
        <v>350</v>
      </c>
      <c r="D198" s="25"/>
    </row>
    <row r="199" spans="3:7" ht="14.45" customHeight="1" outlineLevel="1" thickBot="1" x14ac:dyDescent="0.3">
      <c r="D199" s="26" t="s">
        <v>18</v>
      </c>
      <c r="E199" s="26"/>
    </row>
    <row r="200" spans="3:7" ht="14.45" customHeight="1" outlineLevel="2" thickBot="1" x14ac:dyDescent="0.3">
      <c r="E200" s="27" t="s">
        <v>351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7" t="s">
        <v>352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7" t="s">
        <v>353</v>
      </c>
    </row>
    <row r="207" spans="3:7" ht="14.45" customHeight="1" outlineLevel="3" thickBot="1" x14ac:dyDescent="0.3">
      <c r="F207" s="28" t="s">
        <v>354</v>
      </c>
    </row>
    <row r="208" spans="3:7" ht="14.45" customHeight="1" outlineLevel="4" thickBot="1" x14ac:dyDescent="0.3"/>
    <row r="209" spans="5:6" ht="14.45" customHeight="1" outlineLevel="3" thickBot="1" x14ac:dyDescent="0.3">
      <c r="F209" s="28" t="s">
        <v>355</v>
      </c>
    </row>
    <row r="210" spans="5:6" ht="14.45" customHeight="1" outlineLevel="4" thickBot="1" x14ac:dyDescent="0.3"/>
    <row r="211" spans="5:6" ht="14.45" customHeight="1" outlineLevel="3" thickBot="1" x14ac:dyDescent="0.3">
      <c r="F211" s="28" t="s">
        <v>356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7" t="s">
        <v>357</v>
      </c>
    </row>
    <row r="215" spans="5:6" ht="14.45" customHeight="1" outlineLevel="3" thickBot="1" x14ac:dyDescent="0.3">
      <c r="F215" s="28" t="s">
        <v>358</v>
      </c>
    </row>
    <row r="216" spans="5:6" ht="14.45" customHeight="1" outlineLevel="4" thickBot="1" x14ac:dyDescent="0.3"/>
    <row r="217" spans="5:6" ht="14.45" customHeight="1" outlineLevel="3" thickBot="1" x14ac:dyDescent="0.3">
      <c r="F217" s="28" t="s">
        <v>359</v>
      </c>
    </row>
    <row r="218" spans="5:6" ht="14.45" customHeight="1" outlineLevel="4" thickBot="1" x14ac:dyDescent="0.3"/>
    <row r="219" spans="5:6" ht="14.45" customHeight="1" outlineLevel="3" thickBot="1" x14ac:dyDescent="0.3">
      <c r="F219" s="28" t="s">
        <v>360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7" t="s">
        <v>361</v>
      </c>
    </row>
    <row r="223" spans="5:6" ht="14.45" customHeight="1" outlineLevel="3" thickBot="1" x14ac:dyDescent="0.3">
      <c r="F223" s="28" t="s">
        <v>292</v>
      </c>
    </row>
    <row r="224" spans="5:6" ht="14.45" customHeight="1" outlineLevel="4" thickBot="1" x14ac:dyDescent="0.3"/>
    <row r="225" spans="5:6" ht="14.45" customHeight="1" outlineLevel="3" thickBot="1" x14ac:dyDescent="0.3">
      <c r="F225" s="28" t="s">
        <v>362</v>
      </c>
    </row>
    <row r="226" spans="5:6" ht="14.45" customHeight="1" outlineLevel="4" thickBot="1" x14ac:dyDescent="0.3"/>
    <row r="227" spans="5:6" ht="14.45" customHeight="1" outlineLevel="3" thickBot="1" x14ac:dyDescent="0.3">
      <c r="F227" s="28" t="s">
        <v>363</v>
      </c>
    </row>
    <row r="228" spans="5:6" ht="14.45" customHeight="1" outlineLevel="4" thickBot="1" x14ac:dyDescent="0.3"/>
    <row r="229" spans="5:6" ht="14.45" customHeight="1" outlineLevel="3" thickBot="1" x14ac:dyDescent="0.3">
      <c r="F229" s="28" t="s">
        <v>364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7" t="s">
        <v>365</v>
      </c>
    </row>
    <row r="233" spans="5:6" ht="14.45" customHeight="1" outlineLevel="3" thickBot="1" x14ac:dyDescent="0.3">
      <c r="F233" s="28" t="s">
        <v>292</v>
      </c>
    </row>
    <row r="234" spans="5:6" ht="14.45" customHeight="1" outlineLevel="4" thickBot="1" x14ac:dyDescent="0.3"/>
    <row r="235" spans="5:6" ht="14.45" customHeight="1" outlineLevel="3" thickBot="1" x14ac:dyDescent="0.3">
      <c r="F235" s="28" t="s">
        <v>366</v>
      </c>
    </row>
    <row r="236" spans="5:6" ht="14.45" customHeight="1" outlineLevel="4" thickBot="1" x14ac:dyDescent="0.3"/>
    <row r="237" spans="5:6" ht="14.45" customHeight="1" outlineLevel="3" thickBot="1" x14ac:dyDescent="0.3">
      <c r="F237" s="28" t="s">
        <v>367</v>
      </c>
    </row>
    <row r="238" spans="5:6" ht="14.45" customHeight="1" outlineLevel="4" thickBot="1" x14ac:dyDescent="0.3"/>
    <row r="239" spans="5:6" ht="14.45" customHeight="1" outlineLevel="3" thickBot="1" x14ac:dyDescent="0.3">
      <c r="F239" s="28" t="s">
        <v>368</v>
      </c>
    </row>
    <row r="240" spans="5:6" ht="14.45" customHeight="1" outlineLevel="4" thickBot="1" x14ac:dyDescent="0.3"/>
    <row r="241" spans="5:6" ht="14.45" customHeight="1" outlineLevel="3" thickBot="1" x14ac:dyDescent="0.3">
      <c r="F241" s="28" t="s">
        <v>369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7" t="s">
        <v>370</v>
      </c>
    </row>
    <row r="245" spans="5:6" ht="14.45" customHeight="1" outlineLevel="3" thickBot="1" x14ac:dyDescent="0.3">
      <c r="F245" s="28" t="s">
        <v>371</v>
      </c>
    </row>
    <row r="246" spans="5:6" ht="14.45" customHeight="1" outlineLevel="4" thickBot="1" x14ac:dyDescent="0.3"/>
    <row r="247" spans="5:6" ht="14.45" customHeight="1" outlineLevel="3" thickBot="1" x14ac:dyDescent="0.3">
      <c r="F247" s="28" t="s">
        <v>372</v>
      </c>
    </row>
    <row r="248" spans="5:6" ht="14.45" customHeight="1" outlineLevel="4" thickBot="1" x14ac:dyDescent="0.3"/>
    <row r="249" spans="5:6" ht="14.45" customHeight="1" outlineLevel="3" thickBot="1" x14ac:dyDescent="0.3">
      <c r="F249" s="28" t="s">
        <v>373</v>
      </c>
    </row>
    <row r="250" spans="5:6" ht="14.45" customHeight="1" outlineLevel="4" thickBot="1" x14ac:dyDescent="0.3"/>
    <row r="251" spans="5:6" ht="14.45" customHeight="1" outlineLevel="3" thickBot="1" x14ac:dyDescent="0.3">
      <c r="F251" s="28" t="s">
        <v>374</v>
      </c>
    </row>
    <row r="252" spans="5:6" ht="14.45" customHeight="1" outlineLevel="4" thickBot="1" x14ac:dyDescent="0.3"/>
    <row r="253" spans="5:6" ht="14.45" customHeight="1" outlineLevel="3" thickBot="1" x14ac:dyDescent="0.3">
      <c r="F253" s="28" t="s">
        <v>375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7" t="s">
        <v>376</v>
      </c>
    </row>
    <row r="257" spans="4:7" ht="14.45" customHeight="1" outlineLevel="3" thickBot="1" x14ac:dyDescent="0.3">
      <c r="F257" s="28" t="s">
        <v>377</v>
      </c>
    </row>
    <row r="258" spans="4:7" ht="14.45" customHeight="1" outlineLevel="4" thickBot="1" x14ac:dyDescent="0.3"/>
    <row r="259" spans="4:7" ht="14.45" customHeight="1" outlineLevel="3" thickBot="1" x14ac:dyDescent="0.3">
      <c r="F259" s="28" t="s">
        <v>378</v>
      </c>
    </row>
    <row r="260" spans="4:7" ht="14.45" customHeight="1" outlineLevel="4" thickBot="1" x14ac:dyDescent="0.3"/>
    <row r="261" spans="4:7" ht="14.45" customHeight="1" outlineLevel="3" thickBot="1" x14ac:dyDescent="0.3">
      <c r="F261" s="28" t="s">
        <v>379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6" t="s">
        <v>19</v>
      </c>
      <c r="E265" s="26"/>
    </row>
    <row r="266" spans="4:7" ht="14.45" customHeight="1" outlineLevel="2" thickBot="1" x14ac:dyDescent="0.3">
      <c r="E266" s="27" t="s">
        <v>380</v>
      </c>
    </row>
    <row r="267" spans="4:7" ht="14.45" customHeight="1" outlineLevel="3" thickBot="1" x14ac:dyDescent="0.3">
      <c r="F267" s="28" t="s">
        <v>338</v>
      </c>
    </row>
    <row r="268" spans="4:7" ht="14.45" customHeight="1" outlineLevel="4" thickBot="1" x14ac:dyDescent="0.3">
      <c r="G268" s="7" t="s">
        <v>339</v>
      </c>
    </row>
    <row r="269" spans="4:7" ht="14.45" customHeight="1" outlineLevel="4" thickBot="1" x14ac:dyDescent="0.3">
      <c r="G269" s="7" t="s">
        <v>340</v>
      </c>
    </row>
    <row r="270" spans="4:7" ht="14.45" customHeight="1" outlineLevel="3" thickBot="1" x14ac:dyDescent="0.3">
      <c r="F270" s="28" t="s">
        <v>381</v>
      </c>
    </row>
    <row r="271" spans="4:7" ht="14.45" customHeight="1" outlineLevel="4" thickBot="1" x14ac:dyDescent="0.3"/>
    <row r="272" spans="4:7" ht="14.45" customHeight="1" outlineLevel="3" thickBot="1" x14ac:dyDescent="0.3">
      <c r="F272" s="28" t="s">
        <v>382</v>
      </c>
    </row>
    <row r="273" spans="5:7" ht="14.45" customHeight="1" outlineLevel="4" thickBot="1" x14ac:dyDescent="0.3">
      <c r="G273" s="7" t="s">
        <v>383</v>
      </c>
    </row>
    <row r="274" spans="5:7" ht="14.45" customHeight="1" outlineLevel="4" thickBot="1" x14ac:dyDescent="0.3">
      <c r="G274" s="7" t="s">
        <v>384</v>
      </c>
    </row>
    <row r="275" spans="5:7" ht="14.45" customHeight="1" outlineLevel="3" thickBot="1" x14ac:dyDescent="0.3">
      <c r="F275" s="28" t="s">
        <v>385</v>
      </c>
    </row>
    <row r="276" spans="5:7" ht="14.45" customHeight="1" outlineLevel="4" thickBot="1" x14ac:dyDescent="0.3">
      <c r="G276" s="7" t="s">
        <v>386</v>
      </c>
    </row>
    <row r="277" spans="5:7" ht="14.45" customHeight="1" outlineLevel="4" thickBot="1" x14ac:dyDescent="0.3">
      <c r="G277" s="7" t="s">
        <v>387</v>
      </c>
    </row>
    <row r="278" spans="5:7" ht="14.45" customHeight="1" outlineLevel="4" thickBot="1" x14ac:dyDescent="0.3">
      <c r="G278" s="7" t="s">
        <v>388</v>
      </c>
    </row>
    <row r="279" spans="5:7" ht="14.45" customHeight="1" outlineLevel="4" thickBot="1" x14ac:dyDescent="0.3">
      <c r="G279" s="7" t="s">
        <v>389</v>
      </c>
    </row>
    <row r="280" spans="5:7" ht="14.45" customHeight="1" outlineLevel="3" thickBot="1" x14ac:dyDescent="0.3"/>
    <row r="281" spans="5:7" ht="14.45" customHeight="1" outlineLevel="2" thickBot="1" x14ac:dyDescent="0.3">
      <c r="E281" s="27" t="s">
        <v>390</v>
      </c>
    </row>
    <row r="282" spans="5:7" ht="14.45" customHeight="1" outlineLevel="3" thickBot="1" x14ac:dyDescent="0.3">
      <c r="F282" s="28" t="s">
        <v>292</v>
      </c>
    </row>
    <row r="283" spans="5:7" ht="14.45" customHeight="1" outlineLevel="4" thickBot="1" x14ac:dyDescent="0.3"/>
    <row r="284" spans="5:7" ht="14.45" customHeight="1" outlineLevel="3" thickBot="1" x14ac:dyDescent="0.3">
      <c r="F284" s="28" t="s">
        <v>391</v>
      </c>
    </row>
    <row r="285" spans="5:7" ht="14.45" customHeight="1" outlineLevel="4" thickBot="1" x14ac:dyDescent="0.3">
      <c r="G285" s="7" t="s">
        <v>392</v>
      </c>
    </row>
    <row r="286" spans="5:7" ht="14.45" customHeight="1" outlineLevel="4" thickBot="1" x14ac:dyDescent="0.3">
      <c r="G286" s="7" t="s">
        <v>393</v>
      </c>
    </row>
    <row r="287" spans="5:7" ht="14.45" customHeight="1" outlineLevel="4" thickBot="1" x14ac:dyDescent="0.3">
      <c r="G287" s="7" t="s">
        <v>394</v>
      </c>
    </row>
    <row r="288" spans="5:7" ht="14.45" customHeight="1" outlineLevel="4" thickBot="1" x14ac:dyDescent="0.3">
      <c r="G288" s="7" t="s">
        <v>395</v>
      </c>
    </row>
    <row r="289" spans="5:7" ht="14.45" customHeight="1" outlineLevel="3" thickBot="1" x14ac:dyDescent="0.3">
      <c r="F289" s="28" t="s">
        <v>396</v>
      </c>
    </row>
    <row r="290" spans="5:7" ht="14.45" customHeight="1" outlineLevel="4" thickBot="1" x14ac:dyDescent="0.3">
      <c r="G290" s="7" t="s">
        <v>339</v>
      </c>
    </row>
    <row r="291" spans="5:7" ht="14.45" customHeight="1" outlineLevel="4" thickBot="1" x14ac:dyDescent="0.3">
      <c r="G291" s="7" t="s">
        <v>397</v>
      </c>
    </row>
    <row r="292" spans="5:7" ht="14.45" customHeight="1" outlineLevel="4" thickBot="1" x14ac:dyDescent="0.3">
      <c r="G292" s="7" t="s">
        <v>398</v>
      </c>
    </row>
    <row r="293" spans="5:7" ht="14.45" customHeight="1" outlineLevel="4" thickBot="1" x14ac:dyDescent="0.3">
      <c r="G293" s="7" t="s">
        <v>399</v>
      </c>
    </row>
    <row r="294" spans="5:7" ht="14.45" customHeight="1" outlineLevel="3" thickBot="1" x14ac:dyDescent="0.3">
      <c r="F294" s="28" t="s">
        <v>400</v>
      </c>
    </row>
    <row r="295" spans="5:7" ht="14.45" customHeight="1" outlineLevel="4" thickBot="1" x14ac:dyDescent="0.3">
      <c r="G295" s="7" t="s">
        <v>401</v>
      </c>
    </row>
    <row r="296" spans="5:7" ht="14.45" customHeight="1" outlineLevel="4" thickBot="1" x14ac:dyDescent="0.3">
      <c r="G296" s="7" t="s">
        <v>387</v>
      </c>
    </row>
    <row r="297" spans="5:7" ht="14.45" customHeight="1" outlineLevel="4" thickBot="1" x14ac:dyDescent="0.3">
      <c r="G297" s="7" t="s">
        <v>402</v>
      </c>
    </row>
    <row r="298" spans="5:7" ht="14.45" customHeight="1" outlineLevel="4" thickBot="1" x14ac:dyDescent="0.3">
      <c r="G298" s="7" t="s">
        <v>389</v>
      </c>
    </row>
    <row r="299" spans="5:7" ht="14.45" customHeight="1" outlineLevel="3" thickBot="1" x14ac:dyDescent="0.3"/>
    <row r="300" spans="5:7" ht="14.45" customHeight="1" outlineLevel="2" thickBot="1" x14ac:dyDescent="0.3">
      <c r="E300" s="27" t="s">
        <v>403</v>
      </c>
    </row>
    <row r="301" spans="5:7" ht="14.45" customHeight="1" outlineLevel="3" thickBot="1" x14ac:dyDescent="0.3">
      <c r="F301" s="28" t="s">
        <v>338</v>
      </c>
    </row>
    <row r="302" spans="5:7" ht="14.45" customHeight="1" outlineLevel="4" thickBot="1" x14ac:dyDescent="0.3">
      <c r="G302" s="7" t="s">
        <v>339</v>
      </c>
    </row>
    <row r="303" spans="5:7" ht="14.45" customHeight="1" outlineLevel="4" thickBot="1" x14ac:dyDescent="0.3">
      <c r="G303" s="7" t="s">
        <v>404</v>
      </c>
    </row>
    <row r="304" spans="5:7" ht="14.45" customHeight="1" outlineLevel="3" thickBot="1" x14ac:dyDescent="0.3">
      <c r="F304" s="28" t="s">
        <v>405</v>
      </c>
    </row>
    <row r="305" spans="5:7" ht="14.45" customHeight="1" outlineLevel="4" thickBot="1" x14ac:dyDescent="0.3">
      <c r="G305" s="7" t="s">
        <v>406</v>
      </c>
    </row>
    <row r="306" spans="5:7" ht="14.45" customHeight="1" outlineLevel="4" thickBot="1" x14ac:dyDescent="0.3">
      <c r="G306" s="7" t="s">
        <v>407</v>
      </c>
    </row>
    <row r="307" spans="5:7" ht="14.45" customHeight="1" outlineLevel="3" thickBot="1" x14ac:dyDescent="0.3">
      <c r="F307" s="28" t="s">
        <v>408</v>
      </c>
    </row>
    <row r="308" spans="5:7" ht="14.45" customHeight="1" outlineLevel="4" thickBot="1" x14ac:dyDescent="0.3">
      <c r="G308" s="7" t="s">
        <v>409</v>
      </c>
    </row>
    <row r="309" spans="5:7" ht="14.45" customHeight="1" outlineLevel="4" thickBot="1" x14ac:dyDescent="0.3">
      <c r="G309" s="7" t="s">
        <v>410</v>
      </c>
    </row>
    <row r="310" spans="5:7" ht="14.45" customHeight="1" outlineLevel="3" thickBot="1" x14ac:dyDescent="0.3"/>
    <row r="311" spans="5:7" ht="14.45" customHeight="1" outlineLevel="2" thickBot="1" x14ac:dyDescent="0.3">
      <c r="E311" s="27" t="s">
        <v>411</v>
      </c>
    </row>
    <row r="312" spans="5:7" ht="14.45" customHeight="1" outlineLevel="3" thickBot="1" x14ac:dyDescent="0.3">
      <c r="F312" s="28" t="s">
        <v>292</v>
      </c>
    </row>
    <row r="313" spans="5:7" ht="14.45" customHeight="1" outlineLevel="4" thickBot="1" x14ac:dyDescent="0.3"/>
    <row r="314" spans="5:7" ht="14.45" customHeight="1" outlineLevel="3" thickBot="1" x14ac:dyDescent="0.3">
      <c r="F314" s="28" t="s">
        <v>412</v>
      </c>
    </row>
    <row r="315" spans="5:7" ht="14.45" customHeight="1" outlineLevel="4" thickBot="1" x14ac:dyDescent="0.3"/>
    <row r="316" spans="5:7" ht="14.45" customHeight="1" outlineLevel="3" thickBot="1" x14ac:dyDescent="0.3">
      <c r="F316" s="28" t="s">
        <v>413</v>
      </c>
    </row>
    <row r="317" spans="5:7" ht="14.45" customHeight="1" outlineLevel="4" thickBot="1" x14ac:dyDescent="0.3">
      <c r="G317" s="7" t="s">
        <v>409</v>
      </c>
    </row>
    <row r="318" spans="5:7" ht="14.45" customHeight="1" outlineLevel="4" thickBot="1" x14ac:dyDescent="0.3">
      <c r="G318" s="7" t="s">
        <v>414</v>
      </c>
    </row>
    <row r="319" spans="5:7" ht="14.45" customHeight="1" outlineLevel="4" thickBot="1" x14ac:dyDescent="0.3">
      <c r="G319" s="7" t="s">
        <v>415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6" t="s">
        <v>20</v>
      </c>
      <c r="E322" s="26"/>
    </row>
    <row r="323" spans="4:7" ht="14.45" customHeight="1" outlineLevel="2" thickBot="1" x14ac:dyDescent="0.3">
      <c r="E323" s="27" t="s">
        <v>416</v>
      </c>
    </row>
    <row r="324" spans="4:7" ht="14.45" customHeight="1" outlineLevel="3" thickBot="1" x14ac:dyDescent="0.3">
      <c r="F324" s="28" t="s">
        <v>417</v>
      </c>
    </row>
    <row r="325" spans="4:7" ht="14.45" customHeight="1" outlineLevel="4" thickBot="1" x14ac:dyDescent="0.3"/>
    <row r="326" spans="4:7" ht="14.45" customHeight="1" outlineLevel="3" thickBot="1" x14ac:dyDescent="0.3">
      <c r="F326" s="28" t="s">
        <v>418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7" t="s">
        <v>419</v>
      </c>
    </row>
    <row r="330" spans="4:7" ht="14.45" customHeight="1" outlineLevel="3" thickBot="1" x14ac:dyDescent="0.3">
      <c r="F330" s="28" t="s">
        <v>292</v>
      </c>
    </row>
    <row r="331" spans="4:7" ht="14.45" customHeight="1" outlineLevel="4" thickBot="1" x14ac:dyDescent="0.3"/>
    <row r="332" spans="4:7" ht="14.45" customHeight="1" outlineLevel="3" thickBot="1" x14ac:dyDescent="0.3">
      <c r="F332" s="28" t="s">
        <v>420</v>
      </c>
    </row>
    <row r="333" spans="4:7" ht="14.45" customHeight="1" outlineLevel="4" thickBot="1" x14ac:dyDescent="0.3">
      <c r="G333" s="7" t="s">
        <v>421</v>
      </c>
    </row>
    <row r="334" spans="4:7" ht="14.45" customHeight="1" outlineLevel="4" thickBot="1" x14ac:dyDescent="0.3">
      <c r="G334" s="7" t="s">
        <v>422</v>
      </c>
    </row>
    <row r="335" spans="4:7" ht="14.45" customHeight="1" outlineLevel="4" thickBot="1" x14ac:dyDescent="0.3">
      <c r="G335" s="7" t="s">
        <v>423</v>
      </c>
    </row>
    <row r="336" spans="4:7" ht="14.45" customHeight="1" outlineLevel="3" thickBot="1" x14ac:dyDescent="0.3">
      <c r="F336" s="28" t="s">
        <v>424</v>
      </c>
    </row>
    <row r="337" spans="5:7" ht="14.45" customHeight="1" outlineLevel="4" thickBot="1" x14ac:dyDescent="0.3">
      <c r="G337" s="7" t="s">
        <v>421</v>
      </c>
    </row>
    <row r="338" spans="5:7" ht="14.45" customHeight="1" outlineLevel="4" thickBot="1" x14ac:dyDescent="0.3">
      <c r="G338" s="7" t="s">
        <v>422</v>
      </c>
    </row>
    <row r="339" spans="5:7" ht="14.45" customHeight="1" outlineLevel="4" thickBot="1" x14ac:dyDescent="0.3">
      <c r="G339" s="7" t="s">
        <v>425</v>
      </c>
    </row>
    <row r="340" spans="5:7" ht="14.45" customHeight="1" outlineLevel="4" thickBot="1" x14ac:dyDescent="0.3">
      <c r="G340" s="7" t="s">
        <v>426</v>
      </c>
    </row>
    <row r="341" spans="5:7" ht="14.45" customHeight="1" outlineLevel="3" thickBot="1" x14ac:dyDescent="0.3">
      <c r="F341" s="28" t="s">
        <v>427</v>
      </c>
    </row>
    <row r="342" spans="5:7" ht="14.45" customHeight="1" outlineLevel="4" thickBot="1" x14ac:dyDescent="0.3">
      <c r="G342" s="7" t="s">
        <v>428</v>
      </c>
    </row>
    <row r="343" spans="5:7" ht="14.45" customHeight="1" outlineLevel="4" thickBot="1" x14ac:dyDescent="0.3">
      <c r="G343" s="7" t="s">
        <v>429</v>
      </c>
    </row>
    <row r="344" spans="5:7" ht="14.45" customHeight="1" outlineLevel="3" thickBot="1" x14ac:dyDescent="0.3">
      <c r="F344" s="28" t="s">
        <v>430</v>
      </c>
    </row>
    <row r="345" spans="5:7" ht="14.45" customHeight="1" outlineLevel="4" thickBot="1" x14ac:dyDescent="0.3">
      <c r="G345" s="7" t="s">
        <v>431</v>
      </c>
    </row>
    <row r="346" spans="5:7" ht="14.45" customHeight="1" outlineLevel="4" thickBot="1" x14ac:dyDescent="0.3">
      <c r="G346" s="7" t="s">
        <v>432</v>
      </c>
    </row>
    <row r="347" spans="5:7" ht="14.45" customHeight="1" outlineLevel="3" thickBot="1" x14ac:dyDescent="0.3"/>
    <row r="348" spans="5:7" ht="14.45" customHeight="1" outlineLevel="2" thickBot="1" x14ac:dyDescent="0.3">
      <c r="E348" s="27" t="s">
        <v>433</v>
      </c>
    </row>
    <row r="349" spans="5:7" ht="14.45" customHeight="1" outlineLevel="3" thickBot="1" x14ac:dyDescent="0.3">
      <c r="F349" s="28" t="s">
        <v>292</v>
      </c>
    </row>
    <row r="350" spans="5:7" ht="14.45" customHeight="1" outlineLevel="4" thickBot="1" x14ac:dyDescent="0.3"/>
    <row r="351" spans="5:7" ht="14.45" customHeight="1" outlineLevel="3" thickBot="1" x14ac:dyDescent="0.3">
      <c r="F351" s="28" t="s">
        <v>434</v>
      </c>
    </row>
    <row r="352" spans="5:7" ht="14.45" customHeight="1" outlineLevel="4" thickBot="1" x14ac:dyDescent="0.3"/>
    <row r="353" spans="5:7" ht="14.45" customHeight="1" outlineLevel="3" thickBot="1" x14ac:dyDescent="0.3">
      <c r="F353" s="28" t="s">
        <v>435</v>
      </c>
    </row>
    <row r="354" spans="5:7" ht="14.45" customHeight="1" outlineLevel="4" thickBot="1" x14ac:dyDescent="0.3">
      <c r="G354" s="7" t="s">
        <v>339</v>
      </c>
    </row>
    <row r="355" spans="5:7" ht="14.45" customHeight="1" outlineLevel="4" thickBot="1" x14ac:dyDescent="0.3">
      <c r="G355" s="7" t="s">
        <v>436</v>
      </c>
    </row>
    <row r="356" spans="5:7" ht="14.45" customHeight="1" outlineLevel="4" thickBot="1" x14ac:dyDescent="0.3">
      <c r="G356" s="7" t="s">
        <v>437</v>
      </c>
    </row>
    <row r="357" spans="5:7" ht="14.45" customHeight="1" outlineLevel="4" thickBot="1" x14ac:dyDescent="0.3">
      <c r="G357" s="7" t="s">
        <v>438</v>
      </c>
    </row>
    <row r="358" spans="5:7" ht="14.45" customHeight="1" outlineLevel="4" thickBot="1" x14ac:dyDescent="0.3">
      <c r="G358" s="7" t="s">
        <v>439</v>
      </c>
    </row>
    <row r="359" spans="5:7" ht="14.45" customHeight="1" outlineLevel="4" thickBot="1" x14ac:dyDescent="0.3">
      <c r="G359" s="7" t="s">
        <v>440</v>
      </c>
    </row>
    <row r="360" spans="5:7" ht="14.45" customHeight="1" outlineLevel="3" thickBot="1" x14ac:dyDescent="0.3"/>
    <row r="361" spans="5:7" ht="14.45" customHeight="1" outlineLevel="2" thickBot="1" x14ac:dyDescent="0.3">
      <c r="E361" s="27" t="s">
        <v>441</v>
      </c>
    </row>
    <row r="362" spans="5:7" ht="14.45" customHeight="1" outlineLevel="3" thickBot="1" x14ac:dyDescent="0.3">
      <c r="F362" s="28" t="s">
        <v>292</v>
      </c>
    </row>
    <row r="363" spans="5:7" ht="14.45" customHeight="1" outlineLevel="4" thickBot="1" x14ac:dyDescent="0.3"/>
    <row r="364" spans="5:7" ht="14.45" customHeight="1" outlineLevel="3" thickBot="1" x14ac:dyDescent="0.3">
      <c r="F364" s="28" t="s">
        <v>442</v>
      </c>
    </row>
    <row r="365" spans="5:7" ht="14.45" customHeight="1" outlineLevel="4" thickBot="1" x14ac:dyDescent="0.3">
      <c r="G365" s="7" t="s">
        <v>443</v>
      </c>
    </row>
    <row r="366" spans="5:7" ht="14.45" customHeight="1" outlineLevel="4" thickBot="1" x14ac:dyDescent="0.3">
      <c r="G366" s="7" t="s">
        <v>444</v>
      </c>
    </row>
    <row r="367" spans="5:7" ht="14.45" customHeight="1" outlineLevel="3" thickBot="1" x14ac:dyDescent="0.3">
      <c r="F367" s="28" t="s">
        <v>445</v>
      </c>
    </row>
    <row r="368" spans="5:7" ht="14.45" customHeight="1" outlineLevel="4" thickBot="1" x14ac:dyDescent="0.3">
      <c r="G368" s="7" t="s">
        <v>446</v>
      </c>
    </row>
    <row r="369" spans="3:7" ht="14.45" customHeight="1" outlineLevel="4" thickBot="1" x14ac:dyDescent="0.3">
      <c r="G369" s="7" t="s">
        <v>447</v>
      </c>
    </row>
    <row r="370" spans="3:7" ht="14.45" customHeight="1" outlineLevel="3" thickBot="1" x14ac:dyDescent="0.3">
      <c r="F370" s="28" t="s">
        <v>448</v>
      </c>
    </row>
    <row r="371" spans="3:7" ht="14.45" customHeight="1" outlineLevel="4" thickBot="1" x14ac:dyDescent="0.3">
      <c r="G371" s="7" t="s">
        <v>449</v>
      </c>
    </row>
    <row r="372" spans="3:7" ht="14.45" customHeight="1" outlineLevel="4" thickBot="1" x14ac:dyDescent="0.3">
      <c r="G372" s="7" t="s">
        <v>450</v>
      </c>
    </row>
    <row r="373" spans="3:7" ht="14.45" customHeight="1" outlineLevel="4" thickBot="1" x14ac:dyDescent="0.3">
      <c r="G373" s="7" t="s">
        <v>451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5" t="s">
        <v>452</v>
      </c>
      <c r="D377" s="25"/>
    </row>
    <row r="378" spans="3:7" ht="14.45" customHeight="1" outlineLevel="1" thickBot="1" x14ac:dyDescent="0.3">
      <c r="D378" s="26" t="s">
        <v>21</v>
      </c>
      <c r="E378" s="26"/>
    </row>
    <row r="379" spans="3:7" ht="14.45" customHeight="1" outlineLevel="2" thickBot="1" x14ac:dyDescent="0.3">
      <c r="E379" s="27" t="s">
        <v>453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7" t="s">
        <v>454</v>
      </c>
    </row>
    <row r="383" spans="3:7" ht="14.45" customHeight="1" outlineLevel="3" thickBot="1" x14ac:dyDescent="0.3">
      <c r="F383" s="28" t="s">
        <v>455</v>
      </c>
    </row>
    <row r="384" spans="3:7" ht="14.45" customHeight="1" outlineLevel="4" thickBot="1" x14ac:dyDescent="0.3"/>
    <row r="385" spans="4:6" ht="14.45" customHeight="1" outlineLevel="3" thickBot="1" x14ac:dyDescent="0.3">
      <c r="F385" s="28" t="s">
        <v>456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6" t="s">
        <v>22</v>
      </c>
      <c r="E389" s="26"/>
    </row>
    <row r="390" spans="4:6" ht="14.45" customHeight="1" outlineLevel="2" thickBot="1" x14ac:dyDescent="0.3">
      <c r="E390" s="27" t="s">
        <v>457</v>
      </c>
    </row>
    <row r="391" spans="4:6" ht="14.45" customHeight="1" outlineLevel="3" thickBot="1" x14ac:dyDescent="0.3">
      <c r="F391" s="28" t="s">
        <v>458</v>
      </c>
    </row>
    <row r="392" spans="4:6" ht="14.45" customHeight="1" outlineLevel="4" thickBot="1" x14ac:dyDescent="0.3"/>
    <row r="393" spans="4:6" ht="14.45" customHeight="1" outlineLevel="3" thickBot="1" x14ac:dyDescent="0.3">
      <c r="F393" s="28" t="s">
        <v>459</v>
      </c>
    </row>
    <row r="394" spans="4:6" ht="14.45" customHeight="1" outlineLevel="4" thickBot="1" x14ac:dyDescent="0.3"/>
    <row r="395" spans="4:6" ht="14.45" customHeight="1" outlineLevel="3" thickBot="1" x14ac:dyDescent="0.3">
      <c r="F395" s="28" t="s">
        <v>460</v>
      </c>
    </row>
    <row r="396" spans="4:6" ht="14.45" customHeight="1" outlineLevel="4" thickBot="1" x14ac:dyDescent="0.3"/>
    <row r="397" spans="4:6" ht="14.45" customHeight="1" outlineLevel="3" thickBot="1" x14ac:dyDescent="0.3">
      <c r="F397" s="28" t="s">
        <v>461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7" t="s">
        <v>462</v>
      </c>
    </row>
    <row r="401" spans="6:7" ht="14.45" customHeight="1" outlineLevel="3" thickBot="1" x14ac:dyDescent="0.3">
      <c r="F401" s="28" t="s">
        <v>463</v>
      </c>
    </row>
    <row r="402" spans="6:7" ht="14.45" customHeight="1" outlineLevel="4" thickBot="1" x14ac:dyDescent="0.3"/>
    <row r="403" spans="6:7" ht="14.45" customHeight="1" outlineLevel="3" thickBot="1" x14ac:dyDescent="0.3">
      <c r="F403" s="28" t="s">
        <v>464</v>
      </c>
    </row>
    <row r="404" spans="6:7" ht="14.45" customHeight="1" outlineLevel="4" thickBot="1" x14ac:dyDescent="0.3">
      <c r="G404" s="7" t="s">
        <v>465</v>
      </c>
    </row>
    <row r="405" spans="6:7" ht="14.45" customHeight="1" outlineLevel="4" thickBot="1" x14ac:dyDescent="0.3">
      <c r="G405" s="7" t="s">
        <v>466</v>
      </c>
    </row>
    <row r="406" spans="6:7" ht="14.45" customHeight="1" outlineLevel="4" thickBot="1" x14ac:dyDescent="0.3">
      <c r="G406" s="7" t="s">
        <v>467</v>
      </c>
    </row>
    <row r="407" spans="6:7" ht="14.45" customHeight="1" outlineLevel="4" thickBot="1" x14ac:dyDescent="0.3">
      <c r="G407" s="7" t="s">
        <v>468</v>
      </c>
    </row>
    <row r="408" spans="6:7" ht="14.45" customHeight="1" outlineLevel="3" thickBot="1" x14ac:dyDescent="0.3">
      <c r="F408" s="28" t="s">
        <v>469</v>
      </c>
    </row>
    <row r="409" spans="6:7" ht="14.45" customHeight="1" outlineLevel="4" thickBot="1" x14ac:dyDescent="0.3">
      <c r="G409" s="7" t="s">
        <v>470</v>
      </c>
    </row>
    <row r="410" spans="6:7" ht="14.45" customHeight="1" outlineLevel="4" thickBot="1" x14ac:dyDescent="0.3">
      <c r="G410" s="7" t="s">
        <v>471</v>
      </c>
    </row>
    <row r="411" spans="6:7" ht="14.45" customHeight="1" outlineLevel="3" thickBot="1" x14ac:dyDescent="0.3">
      <c r="F411" s="28" t="s">
        <v>472</v>
      </c>
    </row>
    <row r="412" spans="6:7" ht="14.45" customHeight="1" outlineLevel="4" thickBot="1" x14ac:dyDescent="0.3">
      <c r="G412" s="7" t="s">
        <v>473</v>
      </c>
    </row>
    <row r="413" spans="6:7" ht="14.45" customHeight="1" outlineLevel="4" thickBot="1" x14ac:dyDescent="0.3">
      <c r="G413" s="7" t="s">
        <v>474</v>
      </c>
    </row>
    <row r="414" spans="6:7" ht="14.45" customHeight="1" outlineLevel="3" thickBot="1" x14ac:dyDescent="0.3">
      <c r="F414" s="28" t="s">
        <v>475</v>
      </c>
    </row>
    <row r="415" spans="6:7" ht="14.45" customHeight="1" outlineLevel="4" thickBot="1" x14ac:dyDescent="0.3">
      <c r="G415" s="7" t="s">
        <v>476</v>
      </c>
    </row>
    <row r="416" spans="6:7" ht="14.45" customHeight="1" outlineLevel="4" thickBot="1" x14ac:dyDescent="0.3">
      <c r="G416" s="7" t="s">
        <v>477</v>
      </c>
    </row>
    <row r="417" spans="4:7" ht="14.45" customHeight="1" outlineLevel="4" thickBot="1" x14ac:dyDescent="0.3">
      <c r="G417" s="7" t="s">
        <v>478</v>
      </c>
    </row>
    <row r="418" spans="4:7" ht="14.45" customHeight="1" outlineLevel="3" thickBot="1" x14ac:dyDescent="0.3">
      <c r="F418" s="28" t="s">
        <v>479</v>
      </c>
    </row>
    <row r="419" spans="4:7" ht="14.45" customHeight="1" outlineLevel="4" thickBot="1" x14ac:dyDescent="0.3">
      <c r="G419" s="7" t="s">
        <v>323</v>
      </c>
    </row>
    <row r="420" spans="4:7" ht="14.45" customHeight="1" outlineLevel="4" thickBot="1" x14ac:dyDescent="0.3">
      <c r="G420" s="7" t="s">
        <v>324</v>
      </c>
    </row>
    <row r="421" spans="4:7" ht="14.45" customHeight="1" outlineLevel="4" thickBot="1" x14ac:dyDescent="0.3">
      <c r="G421" s="7" t="s">
        <v>480</v>
      </c>
    </row>
    <row r="422" spans="4:7" ht="14.45" customHeight="1" outlineLevel="4" thickBot="1" x14ac:dyDescent="0.3">
      <c r="G422" s="7" t="s">
        <v>326</v>
      </c>
    </row>
    <row r="423" spans="4:7" ht="14.45" customHeight="1" outlineLevel="3" thickBot="1" x14ac:dyDescent="0.3">
      <c r="F423" s="28" t="s">
        <v>481</v>
      </c>
    </row>
    <row r="424" spans="4:7" ht="14.45" customHeight="1" outlineLevel="4" thickBot="1" x14ac:dyDescent="0.3">
      <c r="G424" s="7" t="s">
        <v>482</v>
      </c>
    </row>
    <row r="425" spans="4:7" ht="14.45" customHeight="1" outlineLevel="4" thickBot="1" x14ac:dyDescent="0.3">
      <c r="G425" s="7" t="s">
        <v>483</v>
      </c>
    </row>
    <row r="426" spans="4:7" ht="14.45" customHeight="1" outlineLevel="4" thickBot="1" x14ac:dyDescent="0.3">
      <c r="G426" s="7" t="s">
        <v>484</v>
      </c>
    </row>
    <row r="427" spans="4:7" ht="14.45" customHeight="1" outlineLevel="4" thickBot="1" x14ac:dyDescent="0.3">
      <c r="G427" s="7" t="s">
        <v>485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6" t="s">
        <v>23</v>
      </c>
      <c r="E430" s="26"/>
    </row>
    <row r="431" spans="4:7" ht="14.45" customHeight="1" outlineLevel="2" thickBot="1" x14ac:dyDescent="0.3">
      <c r="E431" s="27" t="s">
        <v>486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7" t="s">
        <v>487</v>
      </c>
    </row>
    <row r="435" spans="5:7" ht="14.45" customHeight="1" outlineLevel="3" thickBot="1" x14ac:dyDescent="0.3">
      <c r="F435" s="28" t="s">
        <v>488</v>
      </c>
    </row>
    <row r="436" spans="5:7" ht="14.45" customHeight="1" outlineLevel="4" thickBot="1" x14ac:dyDescent="0.3">
      <c r="G436" s="7" t="s">
        <v>489</v>
      </c>
    </row>
    <row r="437" spans="5:7" ht="14.45" customHeight="1" outlineLevel="4" thickBot="1" x14ac:dyDescent="0.3">
      <c r="G437" s="7" t="s">
        <v>490</v>
      </c>
    </row>
    <row r="438" spans="5:7" ht="14.45" customHeight="1" outlineLevel="4" thickBot="1" x14ac:dyDescent="0.3">
      <c r="G438" s="7" t="s">
        <v>491</v>
      </c>
    </row>
    <row r="439" spans="5:7" ht="14.45" customHeight="1" outlineLevel="3" thickBot="1" x14ac:dyDescent="0.3">
      <c r="F439" s="28" t="s">
        <v>492</v>
      </c>
    </row>
    <row r="440" spans="5:7" ht="14.45" customHeight="1" outlineLevel="4" thickBot="1" x14ac:dyDescent="0.3">
      <c r="G440" s="7" t="s">
        <v>493</v>
      </c>
    </row>
    <row r="441" spans="5:7" ht="14.45" customHeight="1" outlineLevel="4" thickBot="1" x14ac:dyDescent="0.3">
      <c r="G441" s="7" t="s">
        <v>494</v>
      </c>
    </row>
    <row r="442" spans="5:7" ht="14.45" customHeight="1" outlineLevel="3" thickBot="1" x14ac:dyDescent="0.3">
      <c r="F442" s="28" t="s">
        <v>495</v>
      </c>
    </row>
    <row r="443" spans="5:7" ht="14.45" customHeight="1" outlineLevel="4" thickBot="1" x14ac:dyDescent="0.3">
      <c r="G443" s="7" t="s">
        <v>496</v>
      </c>
    </row>
    <row r="444" spans="5:7" ht="14.45" customHeight="1" outlineLevel="4" thickBot="1" x14ac:dyDescent="0.3">
      <c r="G444" s="7" t="s">
        <v>497</v>
      </c>
    </row>
    <row r="445" spans="5:7" ht="14.45" customHeight="1" outlineLevel="3" thickBot="1" x14ac:dyDescent="0.3">
      <c r="F445" s="28" t="s">
        <v>498</v>
      </c>
    </row>
    <row r="446" spans="5:7" ht="14.45" customHeight="1" outlineLevel="4" thickBot="1" x14ac:dyDescent="0.3">
      <c r="G446" s="7" t="s">
        <v>499</v>
      </c>
    </row>
    <row r="447" spans="5:7" ht="14.45" customHeight="1" outlineLevel="4" thickBot="1" x14ac:dyDescent="0.3">
      <c r="G447" s="7" t="s">
        <v>500</v>
      </c>
    </row>
    <row r="448" spans="5:7" ht="14.45" customHeight="1" outlineLevel="3" thickBot="1" x14ac:dyDescent="0.3">
      <c r="F448" s="28" t="s">
        <v>501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7" t="s">
        <v>502</v>
      </c>
    </row>
    <row r="452" spans="4:7" ht="14.45" customHeight="1" outlineLevel="3" thickBot="1" x14ac:dyDescent="0.3">
      <c r="F452" s="28" t="s">
        <v>503</v>
      </c>
    </row>
    <row r="453" spans="4:7" ht="14.45" customHeight="1" outlineLevel="4" thickBot="1" x14ac:dyDescent="0.3">
      <c r="G453" s="7" t="s">
        <v>504</v>
      </c>
    </row>
    <row r="454" spans="4:7" ht="14.45" customHeight="1" outlineLevel="4" thickBot="1" x14ac:dyDescent="0.3">
      <c r="G454" s="7" t="s">
        <v>505</v>
      </c>
    </row>
    <row r="455" spans="4:7" ht="14.45" customHeight="1" outlineLevel="3" thickBot="1" x14ac:dyDescent="0.3">
      <c r="F455" s="28" t="s">
        <v>506</v>
      </c>
    </row>
    <row r="456" spans="4:7" ht="14.45" customHeight="1" outlineLevel="4" thickBot="1" x14ac:dyDescent="0.3">
      <c r="G456" s="7" t="s">
        <v>507</v>
      </c>
    </row>
    <row r="457" spans="4:7" ht="14.45" customHeight="1" outlineLevel="4" thickBot="1" x14ac:dyDescent="0.3">
      <c r="G457" s="7" t="s">
        <v>508</v>
      </c>
    </row>
    <row r="458" spans="4:7" ht="14.45" customHeight="1" outlineLevel="4" thickBot="1" x14ac:dyDescent="0.3">
      <c r="G458" s="7" t="s">
        <v>509</v>
      </c>
    </row>
    <row r="459" spans="4:7" ht="14.45" customHeight="1" outlineLevel="4" thickBot="1" x14ac:dyDescent="0.3">
      <c r="G459" s="7" t="s">
        <v>510</v>
      </c>
    </row>
    <row r="460" spans="4:7" ht="14.45" customHeight="1" outlineLevel="3" thickBot="1" x14ac:dyDescent="0.3">
      <c r="F460" s="28" t="s">
        <v>511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6" t="s">
        <v>24</v>
      </c>
      <c r="E464" s="26"/>
    </row>
    <row r="465" spans="5:7" ht="14.45" customHeight="1" outlineLevel="2" thickBot="1" x14ac:dyDescent="0.3">
      <c r="E465" s="27" t="s">
        <v>512</v>
      </c>
    </row>
    <row r="466" spans="5:7" ht="14.45" customHeight="1" outlineLevel="3" thickBot="1" x14ac:dyDescent="0.3">
      <c r="F466" s="28" t="s">
        <v>338</v>
      </c>
    </row>
    <row r="467" spans="5:7" ht="14.45" customHeight="1" outlineLevel="4" thickBot="1" x14ac:dyDescent="0.3">
      <c r="G467" s="7" t="s">
        <v>513</v>
      </c>
    </row>
    <row r="468" spans="5:7" ht="14.45" customHeight="1" outlineLevel="4" thickBot="1" x14ac:dyDescent="0.3">
      <c r="G468" s="7" t="s">
        <v>514</v>
      </c>
    </row>
    <row r="469" spans="5:7" ht="14.45" customHeight="1" outlineLevel="3" thickBot="1" x14ac:dyDescent="0.3">
      <c r="F469" s="28" t="s">
        <v>515</v>
      </c>
    </row>
    <row r="470" spans="5:7" ht="14.45" customHeight="1" outlineLevel="4" thickBot="1" x14ac:dyDescent="0.3">
      <c r="G470" s="7" t="s">
        <v>392</v>
      </c>
    </row>
    <row r="471" spans="5:7" ht="14.45" customHeight="1" outlineLevel="4" thickBot="1" x14ac:dyDescent="0.3">
      <c r="G471" s="7" t="s">
        <v>393</v>
      </c>
    </row>
    <row r="472" spans="5:7" ht="14.45" customHeight="1" outlineLevel="4" thickBot="1" x14ac:dyDescent="0.3">
      <c r="G472" s="7" t="s">
        <v>394</v>
      </c>
    </row>
    <row r="473" spans="5:7" ht="14.45" customHeight="1" outlineLevel="3" thickBot="1" x14ac:dyDescent="0.3"/>
    <row r="474" spans="5:7" ht="14.45" customHeight="1" outlineLevel="2" thickBot="1" x14ac:dyDescent="0.3">
      <c r="E474" s="27" t="s">
        <v>516</v>
      </c>
    </row>
    <row r="475" spans="5:7" ht="14.45" customHeight="1" outlineLevel="3" thickBot="1" x14ac:dyDescent="0.3">
      <c r="F475" s="28" t="s">
        <v>517</v>
      </c>
    </row>
    <row r="476" spans="5:7" ht="14.45" customHeight="1" outlineLevel="4" thickBot="1" x14ac:dyDescent="0.3"/>
    <row r="477" spans="5:7" ht="14.45" customHeight="1" outlineLevel="3" thickBot="1" x14ac:dyDescent="0.3">
      <c r="F477" s="28" t="s">
        <v>518</v>
      </c>
    </row>
    <row r="478" spans="5:7" ht="14.45" customHeight="1" outlineLevel="4" thickBot="1" x14ac:dyDescent="0.3">
      <c r="G478" s="7" t="s">
        <v>449</v>
      </c>
    </row>
    <row r="479" spans="5:7" ht="14.45" customHeight="1" outlineLevel="4" thickBot="1" x14ac:dyDescent="0.3">
      <c r="G479" s="7" t="s">
        <v>450</v>
      </c>
    </row>
    <row r="480" spans="5:7" ht="14.45" customHeight="1" outlineLevel="4" thickBot="1" x14ac:dyDescent="0.3">
      <c r="G480" s="7" t="s">
        <v>451</v>
      </c>
    </row>
    <row r="481" spans="6:7" ht="14.45" customHeight="1" outlineLevel="3" thickBot="1" x14ac:dyDescent="0.3">
      <c r="F481" s="28" t="s">
        <v>519</v>
      </c>
    </row>
    <row r="482" spans="6:7" ht="14.45" customHeight="1" outlineLevel="4" thickBot="1" x14ac:dyDescent="0.3"/>
    <row r="483" spans="6:7" ht="14.45" customHeight="1" outlineLevel="3" thickBot="1" x14ac:dyDescent="0.3">
      <c r="F483" s="28" t="s">
        <v>520</v>
      </c>
    </row>
    <row r="484" spans="6:7" ht="14.45" customHeight="1" outlineLevel="4" thickBot="1" x14ac:dyDescent="0.3">
      <c r="G484" s="7" t="s">
        <v>323</v>
      </c>
    </row>
    <row r="485" spans="6:7" ht="14.45" customHeight="1" outlineLevel="4" thickBot="1" x14ac:dyDescent="0.3">
      <c r="G485" s="7" t="s">
        <v>324</v>
      </c>
    </row>
    <row r="486" spans="6:7" ht="14.45" customHeight="1" outlineLevel="4" thickBot="1" x14ac:dyDescent="0.3">
      <c r="G486" s="7" t="s">
        <v>325</v>
      </c>
    </row>
    <row r="487" spans="6:7" ht="14.45" customHeight="1" outlineLevel="4" thickBot="1" x14ac:dyDescent="0.3">
      <c r="G487" s="7" t="s">
        <v>326</v>
      </c>
    </row>
    <row r="488" spans="6:7" ht="14.45" customHeight="1" outlineLevel="3" thickBot="1" x14ac:dyDescent="0.3">
      <c r="F488" s="28" t="s">
        <v>521</v>
      </c>
    </row>
    <row r="489" spans="6:7" ht="14.45" customHeight="1" outlineLevel="4" thickBot="1" x14ac:dyDescent="0.3">
      <c r="G489" s="7" t="s">
        <v>323</v>
      </c>
    </row>
    <row r="490" spans="6:7" ht="14.45" customHeight="1" outlineLevel="4" thickBot="1" x14ac:dyDescent="0.3">
      <c r="G490" s="7" t="s">
        <v>324</v>
      </c>
    </row>
    <row r="491" spans="6:7" ht="14.45" customHeight="1" outlineLevel="4" thickBot="1" x14ac:dyDescent="0.3">
      <c r="G491" s="7" t="s">
        <v>325</v>
      </c>
    </row>
    <row r="492" spans="6:7" ht="14.45" customHeight="1" outlineLevel="4" thickBot="1" x14ac:dyDescent="0.3">
      <c r="G492" s="7" t="s">
        <v>326</v>
      </c>
    </row>
    <row r="493" spans="6:7" ht="14.45" customHeight="1" outlineLevel="3" thickBot="1" x14ac:dyDescent="0.3">
      <c r="F493" s="28" t="s">
        <v>522</v>
      </c>
    </row>
    <row r="494" spans="6:7" ht="14.45" customHeight="1" outlineLevel="4" thickBot="1" x14ac:dyDescent="0.3">
      <c r="G494" s="7" t="s">
        <v>323</v>
      </c>
    </row>
    <row r="495" spans="6:7" ht="14.45" customHeight="1" outlineLevel="4" thickBot="1" x14ac:dyDescent="0.3">
      <c r="G495" s="7" t="s">
        <v>324</v>
      </c>
    </row>
    <row r="496" spans="6:7" ht="14.45" customHeight="1" outlineLevel="4" thickBot="1" x14ac:dyDescent="0.3">
      <c r="G496" s="7" t="s">
        <v>325</v>
      </c>
    </row>
    <row r="497" spans="4:7" ht="14.45" customHeight="1" outlineLevel="4" thickBot="1" x14ac:dyDescent="0.3">
      <c r="G497" s="7" t="s">
        <v>326</v>
      </c>
    </row>
    <row r="498" spans="4:7" ht="14.45" customHeight="1" outlineLevel="3" thickBot="1" x14ac:dyDescent="0.3">
      <c r="F498" s="28" t="s">
        <v>523</v>
      </c>
    </row>
    <row r="499" spans="4:7" ht="14.45" customHeight="1" outlineLevel="4" thickBot="1" x14ac:dyDescent="0.3">
      <c r="G499" s="7" t="s">
        <v>323</v>
      </c>
    </row>
    <row r="500" spans="4:7" ht="14.45" customHeight="1" outlineLevel="4" thickBot="1" x14ac:dyDescent="0.3">
      <c r="G500" s="7" t="s">
        <v>324</v>
      </c>
    </row>
    <row r="501" spans="4:7" ht="14.45" customHeight="1" outlineLevel="4" thickBot="1" x14ac:dyDescent="0.3">
      <c r="G501" s="7" t="s">
        <v>325</v>
      </c>
    </row>
    <row r="502" spans="4:7" ht="14.45" customHeight="1" outlineLevel="4" thickBot="1" x14ac:dyDescent="0.3">
      <c r="G502" s="7" t="s">
        <v>326</v>
      </c>
    </row>
    <row r="503" spans="4:7" ht="14.45" customHeight="1" outlineLevel="3" thickBot="1" x14ac:dyDescent="0.3">
      <c r="F503" s="28" t="s">
        <v>524</v>
      </c>
    </row>
    <row r="504" spans="4:7" ht="14.45" customHeight="1" outlineLevel="4" thickBot="1" x14ac:dyDescent="0.3"/>
    <row r="505" spans="4:7" ht="14.45" customHeight="1" outlineLevel="3" thickBot="1" x14ac:dyDescent="0.3">
      <c r="F505" s="28" t="s">
        <v>525</v>
      </c>
    </row>
    <row r="506" spans="4:7" ht="14.45" customHeight="1" outlineLevel="4" thickBot="1" x14ac:dyDescent="0.3">
      <c r="G506" s="7" t="s">
        <v>323</v>
      </c>
    </row>
    <row r="507" spans="4:7" ht="14.45" customHeight="1" outlineLevel="4" thickBot="1" x14ac:dyDescent="0.3">
      <c r="G507" s="7" t="s">
        <v>324</v>
      </c>
    </row>
    <row r="508" spans="4:7" ht="14.45" customHeight="1" outlineLevel="4" thickBot="1" x14ac:dyDescent="0.3">
      <c r="G508" s="7" t="s">
        <v>325</v>
      </c>
    </row>
    <row r="509" spans="4:7" ht="14.45" customHeight="1" outlineLevel="4" thickBot="1" x14ac:dyDescent="0.3">
      <c r="G509" s="7" t="s">
        <v>326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6" t="s">
        <v>25</v>
      </c>
      <c r="E512" s="26"/>
    </row>
    <row r="513" spans="4:6" ht="14.45" customHeight="1" outlineLevel="2" thickBot="1" x14ac:dyDescent="0.3">
      <c r="E513" s="27" t="s">
        <v>526</v>
      </c>
    </row>
    <row r="514" spans="4:6" ht="14.45" customHeight="1" outlineLevel="3" thickBot="1" x14ac:dyDescent="0.3">
      <c r="F514" s="28" t="s">
        <v>527</v>
      </c>
    </row>
    <row r="515" spans="4:6" ht="14.45" customHeight="1" outlineLevel="4" thickBot="1" x14ac:dyDescent="0.3"/>
    <row r="516" spans="4:6" ht="14.45" customHeight="1" outlineLevel="3" thickBot="1" x14ac:dyDescent="0.3">
      <c r="F516" s="28" t="s">
        <v>528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7" t="s">
        <v>529</v>
      </c>
    </row>
    <row r="520" spans="4:6" ht="14.45" customHeight="1" outlineLevel="3" thickBot="1" x14ac:dyDescent="0.3">
      <c r="F520" s="28" t="s">
        <v>530</v>
      </c>
    </row>
    <row r="521" spans="4:6" ht="14.45" customHeight="1" outlineLevel="4" thickBot="1" x14ac:dyDescent="0.3"/>
    <row r="522" spans="4:6" ht="14.45" customHeight="1" outlineLevel="3" thickBot="1" x14ac:dyDescent="0.3">
      <c r="F522" s="28" t="s">
        <v>531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6" t="s">
        <v>26</v>
      </c>
      <c r="E526" s="26"/>
    </row>
    <row r="527" spans="4:6" ht="14.45" customHeight="1" outlineLevel="2" thickBot="1" x14ac:dyDescent="0.3">
      <c r="E527" s="27" t="s">
        <v>532</v>
      </c>
    </row>
    <row r="528" spans="4:6" ht="14.45" customHeight="1" outlineLevel="3" thickBot="1" x14ac:dyDescent="0.3">
      <c r="F528" s="28" t="s">
        <v>292</v>
      </c>
    </row>
    <row r="529" spans="5:6" ht="14.45" customHeight="1" outlineLevel="4" thickBot="1" x14ac:dyDescent="0.3"/>
    <row r="530" spans="5:6" ht="14.45" customHeight="1" outlineLevel="3" thickBot="1" x14ac:dyDescent="0.3">
      <c r="F530" s="28" t="s">
        <v>533</v>
      </c>
    </row>
    <row r="531" spans="5:6" ht="14.45" customHeight="1" outlineLevel="4" thickBot="1" x14ac:dyDescent="0.3"/>
    <row r="532" spans="5:6" ht="14.45" customHeight="1" outlineLevel="3" thickBot="1" x14ac:dyDescent="0.3">
      <c r="F532" s="28" t="s">
        <v>534</v>
      </c>
    </row>
    <row r="533" spans="5:6" ht="14.45" customHeight="1" outlineLevel="4" thickBot="1" x14ac:dyDescent="0.3"/>
    <row r="534" spans="5:6" ht="14.45" customHeight="1" outlineLevel="3" thickBot="1" x14ac:dyDescent="0.3">
      <c r="F534" s="28" t="s">
        <v>535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7" t="s">
        <v>536</v>
      </c>
    </row>
    <row r="538" spans="5:6" ht="14.45" customHeight="1" outlineLevel="3" thickBot="1" x14ac:dyDescent="0.3">
      <c r="F538" s="28" t="s">
        <v>537</v>
      </c>
    </row>
    <row r="539" spans="5:6" ht="14.45" customHeight="1" outlineLevel="4" thickBot="1" x14ac:dyDescent="0.3"/>
    <row r="540" spans="5:6" ht="14.45" customHeight="1" outlineLevel="3" thickBot="1" x14ac:dyDescent="0.3">
      <c r="F540" s="28" t="s">
        <v>538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7" t="s">
        <v>539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6" t="s">
        <v>27</v>
      </c>
      <c r="E547" s="26"/>
    </row>
    <row r="548" spans="4:7" ht="14.45" customHeight="1" outlineLevel="2" thickBot="1" x14ac:dyDescent="0.3">
      <c r="E548" s="27" t="s">
        <v>540</v>
      </c>
    </row>
    <row r="549" spans="4:7" ht="14.45" customHeight="1" outlineLevel="3" thickBot="1" x14ac:dyDescent="0.3">
      <c r="F549" s="28" t="s">
        <v>292</v>
      </c>
    </row>
    <row r="550" spans="4:7" ht="14.45" customHeight="1" outlineLevel="4" thickBot="1" x14ac:dyDescent="0.3"/>
    <row r="551" spans="4:7" ht="14.45" customHeight="1" outlineLevel="3" thickBot="1" x14ac:dyDescent="0.3">
      <c r="F551" s="28" t="s">
        <v>541</v>
      </c>
    </row>
    <row r="552" spans="4:7" ht="14.45" customHeight="1" outlineLevel="4" thickBot="1" x14ac:dyDescent="0.3"/>
    <row r="553" spans="4:7" ht="14.45" customHeight="1" outlineLevel="3" thickBot="1" x14ac:dyDescent="0.3">
      <c r="F553" s="28" t="s">
        <v>542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7" t="s">
        <v>543</v>
      </c>
    </row>
    <row r="557" spans="4:7" ht="14.45" customHeight="1" outlineLevel="3" thickBot="1" x14ac:dyDescent="0.3">
      <c r="F557" s="28" t="s">
        <v>544</v>
      </c>
    </row>
    <row r="558" spans="4:7" ht="14.45" customHeight="1" outlineLevel="4" thickBot="1" x14ac:dyDescent="0.3"/>
    <row r="559" spans="4:7" ht="14.45" customHeight="1" outlineLevel="3" thickBot="1" x14ac:dyDescent="0.3">
      <c r="F559" s="28" t="s">
        <v>545</v>
      </c>
    </row>
    <row r="560" spans="4:7" ht="14.45" customHeight="1" outlineLevel="4" thickBot="1" x14ac:dyDescent="0.3">
      <c r="G560" s="7" t="s">
        <v>546</v>
      </c>
    </row>
    <row r="561" spans="5:7" ht="14.45" customHeight="1" outlineLevel="4" thickBot="1" x14ac:dyDescent="0.3">
      <c r="G561" s="7" t="s">
        <v>547</v>
      </c>
    </row>
    <row r="562" spans="5:7" ht="14.45" customHeight="1" outlineLevel="4" thickBot="1" x14ac:dyDescent="0.3">
      <c r="G562" s="7" t="s">
        <v>548</v>
      </c>
    </row>
    <row r="563" spans="5:7" ht="14.45" customHeight="1" outlineLevel="3" thickBot="1" x14ac:dyDescent="0.3">
      <c r="F563" s="28" t="s">
        <v>549</v>
      </c>
    </row>
    <row r="564" spans="5:7" ht="14.45" customHeight="1" outlineLevel="4" thickBot="1" x14ac:dyDescent="0.3">
      <c r="G564" s="7" t="s">
        <v>550</v>
      </c>
    </row>
    <row r="565" spans="5:7" ht="14.45" customHeight="1" outlineLevel="4" thickBot="1" x14ac:dyDescent="0.3">
      <c r="G565" s="7" t="s">
        <v>551</v>
      </c>
    </row>
    <row r="566" spans="5:7" ht="14.45" customHeight="1" outlineLevel="3" thickBot="1" x14ac:dyDescent="0.3">
      <c r="F566" s="28" t="s">
        <v>552</v>
      </c>
    </row>
    <row r="567" spans="5:7" ht="14.45" customHeight="1" outlineLevel="4" thickBot="1" x14ac:dyDescent="0.3">
      <c r="G567" s="7" t="s">
        <v>323</v>
      </c>
    </row>
    <row r="568" spans="5:7" ht="14.45" customHeight="1" outlineLevel="4" thickBot="1" x14ac:dyDescent="0.3">
      <c r="G568" s="7" t="s">
        <v>553</v>
      </c>
    </row>
    <row r="569" spans="5:7" ht="14.45" customHeight="1" outlineLevel="4" thickBot="1" x14ac:dyDescent="0.3">
      <c r="G569" s="7" t="s">
        <v>554</v>
      </c>
    </row>
    <row r="570" spans="5:7" ht="14.45" customHeight="1" outlineLevel="3" thickBot="1" x14ac:dyDescent="0.3"/>
    <row r="571" spans="5:7" ht="14.45" customHeight="1" outlineLevel="2" thickBot="1" x14ac:dyDescent="0.3">
      <c r="E571" s="27" t="s">
        <v>555</v>
      </c>
    </row>
    <row r="572" spans="5:7" ht="14.45" customHeight="1" outlineLevel="3" thickBot="1" x14ac:dyDescent="0.3">
      <c r="F572" s="28" t="s">
        <v>292</v>
      </c>
    </row>
    <row r="573" spans="5:7" ht="14.45" customHeight="1" outlineLevel="4" thickBot="1" x14ac:dyDescent="0.3"/>
    <row r="574" spans="5:7" ht="14.45" customHeight="1" outlineLevel="3" thickBot="1" x14ac:dyDescent="0.3">
      <c r="F574" s="28" t="s">
        <v>556</v>
      </c>
    </row>
    <row r="575" spans="5:7" ht="14.45" customHeight="1" outlineLevel="4" thickBot="1" x14ac:dyDescent="0.3">
      <c r="G575" s="7" t="s">
        <v>557</v>
      </c>
    </row>
    <row r="576" spans="5:7" ht="14.45" customHeight="1" outlineLevel="4" thickBot="1" x14ac:dyDescent="0.3">
      <c r="G576" s="7" t="s">
        <v>558</v>
      </c>
    </row>
    <row r="577" spans="4:7" ht="14.45" customHeight="1" outlineLevel="4" thickBot="1" x14ac:dyDescent="0.3">
      <c r="G577" s="7" t="s">
        <v>559</v>
      </c>
    </row>
    <row r="578" spans="4:7" ht="14.45" customHeight="1" outlineLevel="3" thickBot="1" x14ac:dyDescent="0.3">
      <c r="F578" s="28" t="s">
        <v>560</v>
      </c>
    </row>
    <row r="579" spans="4:7" ht="14.45" customHeight="1" outlineLevel="4" thickBot="1" x14ac:dyDescent="0.3">
      <c r="G579" s="7" t="s">
        <v>339</v>
      </c>
    </row>
    <row r="580" spans="4:7" ht="14.45" customHeight="1" outlineLevel="4" thickBot="1" x14ac:dyDescent="0.3">
      <c r="G580" s="7" t="s">
        <v>561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6" t="s">
        <v>28</v>
      </c>
      <c r="E583" s="26"/>
    </row>
    <row r="584" spans="4:7" ht="14.45" customHeight="1" outlineLevel="2" thickBot="1" x14ac:dyDescent="0.3">
      <c r="E584" s="27" t="s">
        <v>248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7" t="s">
        <v>562</v>
      </c>
    </row>
    <row r="588" spans="4:7" ht="14.45" customHeight="1" outlineLevel="3" thickBot="1" x14ac:dyDescent="0.3">
      <c r="F588" s="28" t="s">
        <v>563</v>
      </c>
    </row>
    <row r="589" spans="4:7" ht="14.45" customHeight="1" outlineLevel="4" thickBot="1" x14ac:dyDescent="0.3"/>
    <row r="590" spans="4:7" ht="14.45" customHeight="1" outlineLevel="3" thickBot="1" x14ac:dyDescent="0.3">
      <c r="F590" s="28" t="s">
        <v>564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7" t="s">
        <v>565</v>
      </c>
    </row>
    <row r="594" spans="5:6" ht="14.45" customHeight="1" outlineLevel="3" thickBot="1" x14ac:dyDescent="0.3">
      <c r="F594" s="28" t="s">
        <v>566</v>
      </c>
    </row>
    <row r="595" spans="5:6" ht="14.45" customHeight="1" outlineLevel="4" thickBot="1" x14ac:dyDescent="0.3"/>
    <row r="596" spans="5:6" ht="14.45" customHeight="1" outlineLevel="3" thickBot="1" x14ac:dyDescent="0.3">
      <c r="F596" s="28" t="s">
        <v>567</v>
      </c>
    </row>
    <row r="597" spans="5:6" ht="14.45" customHeight="1" outlineLevel="4" thickBot="1" x14ac:dyDescent="0.3"/>
    <row r="598" spans="5:6" ht="14.45" customHeight="1" outlineLevel="3" thickBot="1" x14ac:dyDescent="0.3">
      <c r="F598" s="28" t="s">
        <v>568</v>
      </c>
    </row>
    <row r="599" spans="5:6" ht="14.45" customHeight="1" outlineLevel="4" thickBot="1" x14ac:dyDescent="0.3"/>
    <row r="600" spans="5:6" ht="14.45" customHeight="1" outlineLevel="3" thickBot="1" x14ac:dyDescent="0.3">
      <c r="F600" s="28" t="s">
        <v>569</v>
      </c>
    </row>
    <row r="601" spans="5:6" ht="14.45" customHeight="1" outlineLevel="4" thickBot="1" x14ac:dyDescent="0.3"/>
    <row r="602" spans="5:6" ht="14.45" customHeight="1" outlineLevel="3" thickBot="1" x14ac:dyDescent="0.3">
      <c r="F602" s="28" t="s">
        <v>570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7" t="s">
        <v>571</v>
      </c>
    </row>
    <row r="606" spans="5:6" ht="14.45" customHeight="1" outlineLevel="3" thickBot="1" x14ac:dyDescent="0.3">
      <c r="F606" s="28" t="s">
        <v>572</v>
      </c>
    </row>
    <row r="607" spans="5:6" ht="14.45" customHeight="1" outlineLevel="4" thickBot="1" x14ac:dyDescent="0.3"/>
    <row r="608" spans="5:6" ht="14.45" customHeight="1" outlineLevel="3" thickBot="1" x14ac:dyDescent="0.3">
      <c r="F608" s="28" t="s">
        <v>573</v>
      </c>
    </row>
    <row r="609" spans="5:6" ht="14.45" customHeight="1" outlineLevel="4" thickBot="1" x14ac:dyDescent="0.3"/>
    <row r="610" spans="5:6" ht="14.45" customHeight="1" outlineLevel="3" thickBot="1" x14ac:dyDescent="0.3">
      <c r="F610" s="28" t="s">
        <v>574</v>
      </c>
    </row>
    <row r="611" spans="5:6" ht="14.45" customHeight="1" outlineLevel="4" thickBot="1" x14ac:dyDescent="0.3"/>
    <row r="612" spans="5:6" ht="14.45" customHeight="1" outlineLevel="3" thickBot="1" x14ac:dyDescent="0.3">
      <c r="F612" s="28" t="s">
        <v>575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7" t="s">
        <v>576</v>
      </c>
    </row>
    <row r="616" spans="5:6" ht="14.45" customHeight="1" outlineLevel="3" thickBot="1" x14ac:dyDescent="0.3">
      <c r="F616" s="28" t="s">
        <v>577</v>
      </c>
    </row>
    <row r="617" spans="5:6" ht="14.45" customHeight="1" outlineLevel="4" thickBot="1" x14ac:dyDescent="0.3"/>
    <row r="618" spans="5:6" ht="14.45" customHeight="1" outlineLevel="3" thickBot="1" x14ac:dyDescent="0.3">
      <c r="F618" s="28" t="s">
        <v>578</v>
      </c>
    </row>
    <row r="619" spans="5:6" ht="14.45" customHeight="1" outlineLevel="4" thickBot="1" x14ac:dyDescent="0.3"/>
    <row r="620" spans="5:6" ht="14.45" customHeight="1" outlineLevel="3" thickBot="1" x14ac:dyDescent="0.3">
      <c r="F620" s="28" t="s">
        <v>579</v>
      </c>
    </row>
    <row r="621" spans="5:6" ht="14.45" customHeight="1" outlineLevel="4" thickBot="1" x14ac:dyDescent="0.3"/>
    <row r="622" spans="5:6" ht="14.45" customHeight="1" outlineLevel="3" thickBot="1" x14ac:dyDescent="0.3">
      <c r="F622" s="28" t="s">
        <v>580</v>
      </c>
    </row>
    <row r="623" spans="5:6" ht="14.45" customHeight="1" outlineLevel="4" thickBot="1" x14ac:dyDescent="0.3"/>
    <row r="624" spans="5:6" ht="14.45" customHeight="1" outlineLevel="3" thickBot="1" x14ac:dyDescent="0.3">
      <c r="F624" s="28" t="s">
        <v>581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7" t="s">
        <v>582</v>
      </c>
    </row>
    <row r="628" spans="5:6" ht="14.45" customHeight="1" outlineLevel="3" thickBot="1" x14ac:dyDescent="0.3">
      <c r="F628" s="28" t="s">
        <v>583</v>
      </c>
    </row>
    <row r="629" spans="5:6" ht="14.45" customHeight="1" outlineLevel="4" thickBot="1" x14ac:dyDescent="0.3"/>
    <row r="630" spans="5:6" ht="14.45" customHeight="1" outlineLevel="3" thickBot="1" x14ac:dyDescent="0.3">
      <c r="F630" s="28" t="s">
        <v>584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7" t="s">
        <v>585</v>
      </c>
    </row>
    <row r="634" spans="5:6" ht="14.45" customHeight="1" outlineLevel="3" thickBot="1" x14ac:dyDescent="0.3">
      <c r="F634" s="28" t="s">
        <v>586</v>
      </c>
    </row>
    <row r="635" spans="5:6" ht="14.45" customHeight="1" outlineLevel="4" thickBot="1" x14ac:dyDescent="0.3"/>
    <row r="636" spans="5:6" ht="14.45" customHeight="1" outlineLevel="3" thickBot="1" x14ac:dyDescent="0.3">
      <c r="F636" s="28" t="s">
        <v>587</v>
      </c>
    </row>
    <row r="637" spans="5:6" ht="14.45" customHeight="1" outlineLevel="4" thickBot="1" x14ac:dyDescent="0.3"/>
    <row r="638" spans="5:6" ht="14.45" customHeight="1" outlineLevel="3" thickBot="1" x14ac:dyDescent="0.3">
      <c r="F638" s="28" t="s">
        <v>588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5" t="s">
        <v>589</v>
      </c>
      <c r="D643" s="25"/>
    </row>
    <row r="644" spans="3:5" ht="14.45" customHeight="1" outlineLevel="1" thickBot="1" x14ac:dyDescent="0.3">
      <c r="D644" s="26" t="s">
        <v>29</v>
      </c>
      <c r="E644" s="26"/>
    </row>
    <row r="645" spans="3:5" ht="14.45" customHeight="1" outlineLevel="2" thickBot="1" x14ac:dyDescent="0.3">
      <c r="E645" s="27" t="s">
        <v>248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7" t="s">
        <v>590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7" t="s">
        <v>591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6" t="s">
        <v>30</v>
      </c>
      <c r="E655" s="26"/>
    </row>
    <row r="656" spans="3:5" ht="14.45" customHeight="1" outlineLevel="2" thickBot="1" x14ac:dyDescent="0.3">
      <c r="E656" s="27" t="s">
        <v>592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7" t="s">
        <v>593</v>
      </c>
    </row>
    <row r="660" spans="5:7" ht="14.45" customHeight="1" outlineLevel="3" thickBot="1" x14ac:dyDescent="0.3">
      <c r="F660" s="28" t="s">
        <v>594</v>
      </c>
    </row>
    <row r="661" spans="5:7" ht="14.45" customHeight="1" outlineLevel="4" thickBot="1" x14ac:dyDescent="0.3"/>
    <row r="662" spans="5:7" ht="14.45" customHeight="1" outlineLevel="3" thickBot="1" x14ac:dyDescent="0.3">
      <c r="F662" s="28" t="s">
        <v>595</v>
      </c>
    </row>
    <row r="663" spans="5:7" ht="14.45" customHeight="1" outlineLevel="4" thickBot="1" x14ac:dyDescent="0.3"/>
    <row r="664" spans="5:7" ht="14.45" customHeight="1" outlineLevel="3" thickBot="1" x14ac:dyDescent="0.3">
      <c r="F664" s="28" t="s">
        <v>596</v>
      </c>
    </row>
    <row r="665" spans="5:7" ht="14.45" customHeight="1" outlineLevel="4" thickBot="1" x14ac:dyDescent="0.3">
      <c r="G665" s="7" t="s">
        <v>597</v>
      </c>
    </row>
    <row r="666" spans="5:7" ht="14.45" customHeight="1" outlineLevel="4" thickBot="1" x14ac:dyDescent="0.3">
      <c r="G666" s="7" t="s">
        <v>598</v>
      </c>
    </row>
    <row r="667" spans="5:7" ht="14.45" customHeight="1" outlineLevel="4" thickBot="1" x14ac:dyDescent="0.3">
      <c r="G667" s="7" t="s">
        <v>599</v>
      </c>
    </row>
    <row r="668" spans="5:7" ht="14.45" customHeight="1" outlineLevel="3" thickBot="1" x14ac:dyDescent="0.3">
      <c r="F668" s="28" t="s">
        <v>600</v>
      </c>
    </row>
    <row r="669" spans="5:7" ht="14.45" customHeight="1" outlineLevel="4" thickBot="1" x14ac:dyDescent="0.3">
      <c r="G669" s="7" t="s">
        <v>597</v>
      </c>
    </row>
    <row r="670" spans="5:7" ht="14.45" customHeight="1" outlineLevel="4" thickBot="1" x14ac:dyDescent="0.3">
      <c r="G670" s="7" t="s">
        <v>601</v>
      </c>
    </row>
    <row r="671" spans="5:7" ht="14.45" customHeight="1" outlineLevel="3" thickBot="1" x14ac:dyDescent="0.3">
      <c r="F671" s="28" t="s">
        <v>602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7" t="s">
        <v>603</v>
      </c>
    </row>
    <row r="675" spans="5:7" ht="14.45" customHeight="1" outlineLevel="3" thickBot="1" x14ac:dyDescent="0.3">
      <c r="F675" s="28" t="s">
        <v>292</v>
      </c>
    </row>
    <row r="676" spans="5:7" ht="14.45" customHeight="1" outlineLevel="4" thickBot="1" x14ac:dyDescent="0.3"/>
    <row r="677" spans="5:7" ht="14.45" customHeight="1" outlineLevel="3" thickBot="1" x14ac:dyDescent="0.3">
      <c r="F677" s="28" t="s">
        <v>604</v>
      </c>
    </row>
    <row r="678" spans="5:7" ht="14.45" customHeight="1" outlineLevel="4" thickBot="1" x14ac:dyDescent="0.3">
      <c r="G678" s="7" t="s">
        <v>605</v>
      </c>
    </row>
    <row r="679" spans="5:7" ht="14.45" customHeight="1" outlineLevel="4" thickBot="1" x14ac:dyDescent="0.3">
      <c r="G679" s="7" t="s">
        <v>606</v>
      </c>
    </row>
    <row r="680" spans="5:7" ht="14.45" customHeight="1" outlineLevel="4" thickBot="1" x14ac:dyDescent="0.3">
      <c r="G680" s="7" t="s">
        <v>607</v>
      </c>
    </row>
    <row r="681" spans="5:7" ht="14.45" customHeight="1" outlineLevel="3" thickBot="1" x14ac:dyDescent="0.3">
      <c r="F681" s="28" t="s">
        <v>608</v>
      </c>
    </row>
    <row r="682" spans="5:7" ht="14.45" customHeight="1" outlineLevel="4" thickBot="1" x14ac:dyDescent="0.3">
      <c r="G682" s="7" t="s">
        <v>609</v>
      </c>
    </row>
    <row r="683" spans="5:7" ht="14.45" customHeight="1" outlineLevel="4" thickBot="1" x14ac:dyDescent="0.3">
      <c r="G683" s="7" t="s">
        <v>610</v>
      </c>
    </row>
    <row r="684" spans="5:7" ht="14.45" customHeight="1" outlineLevel="3" thickBot="1" x14ac:dyDescent="0.3">
      <c r="F684" s="28" t="s">
        <v>611</v>
      </c>
    </row>
    <row r="685" spans="5:7" ht="14.45" customHeight="1" outlineLevel="4" thickBot="1" x14ac:dyDescent="0.3">
      <c r="G685" s="7" t="s">
        <v>612</v>
      </c>
    </row>
    <row r="686" spans="5:7" ht="14.45" customHeight="1" outlineLevel="4" thickBot="1" x14ac:dyDescent="0.3">
      <c r="G686" s="7" t="s">
        <v>613</v>
      </c>
    </row>
    <row r="687" spans="5:7" ht="14.45" customHeight="1" outlineLevel="3" thickBot="1" x14ac:dyDescent="0.3">
      <c r="F687" s="28" t="s">
        <v>614</v>
      </c>
    </row>
    <row r="688" spans="5:7" ht="14.45" customHeight="1" outlineLevel="4" thickBot="1" x14ac:dyDescent="0.3">
      <c r="G688" s="7" t="s">
        <v>615</v>
      </c>
    </row>
    <row r="689" spans="5:7" ht="14.45" customHeight="1" outlineLevel="4" thickBot="1" x14ac:dyDescent="0.3">
      <c r="G689" s="7" t="s">
        <v>616</v>
      </c>
    </row>
    <row r="690" spans="5:7" ht="14.45" customHeight="1" outlineLevel="3" thickBot="1" x14ac:dyDescent="0.3">
      <c r="F690" s="28" t="s">
        <v>617</v>
      </c>
    </row>
    <row r="691" spans="5:7" ht="14.45" customHeight="1" outlineLevel="4" thickBot="1" x14ac:dyDescent="0.3">
      <c r="G691" s="7" t="s">
        <v>618</v>
      </c>
    </row>
    <row r="692" spans="5:7" ht="14.45" customHeight="1" outlineLevel="4" thickBot="1" x14ac:dyDescent="0.3">
      <c r="G692" s="7" t="s">
        <v>619</v>
      </c>
    </row>
    <row r="693" spans="5:7" ht="14.45" customHeight="1" outlineLevel="4" thickBot="1" x14ac:dyDescent="0.3">
      <c r="G693" s="7" t="s">
        <v>620</v>
      </c>
    </row>
    <row r="694" spans="5:7" ht="14.45" customHeight="1" outlineLevel="4" thickBot="1" x14ac:dyDescent="0.3">
      <c r="G694" s="7" t="s">
        <v>621</v>
      </c>
    </row>
    <row r="695" spans="5:7" ht="14.45" customHeight="1" outlineLevel="4" thickBot="1" x14ac:dyDescent="0.3">
      <c r="G695" s="7" t="s">
        <v>622</v>
      </c>
    </row>
    <row r="696" spans="5:7" ht="14.45" customHeight="1" outlineLevel="4" thickBot="1" x14ac:dyDescent="0.3">
      <c r="G696" s="7" t="s">
        <v>623</v>
      </c>
    </row>
    <row r="697" spans="5:7" ht="14.45" customHeight="1" outlineLevel="3" thickBot="1" x14ac:dyDescent="0.3"/>
    <row r="698" spans="5:7" ht="14.45" customHeight="1" outlineLevel="2" thickBot="1" x14ac:dyDescent="0.3">
      <c r="E698" s="27" t="s">
        <v>624</v>
      </c>
    </row>
    <row r="699" spans="5:7" ht="14.45" customHeight="1" outlineLevel="3" thickBot="1" x14ac:dyDescent="0.3">
      <c r="F699" s="28" t="s">
        <v>625</v>
      </c>
    </row>
    <row r="700" spans="5:7" ht="14.45" customHeight="1" outlineLevel="4" thickBot="1" x14ac:dyDescent="0.3"/>
    <row r="701" spans="5:7" ht="14.45" customHeight="1" outlineLevel="3" thickBot="1" x14ac:dyDescent="0.3">
      <c r="F701" s="28" t="s">
        <v>626</v>
      </c>
    </row>
    <row r="702" spans="5:7" ht="14.45" customHeight="1" outlineLevel="4" thickBot="1" x14ac:dyDescent="0.3">
      <c r="G702" s="7" t="s">
        <v>627</v>
      </c>
    </row>
    <row r="703" spans="5:7" ht="14.45" customHeight="1" outlineLevel="4" thickBot="1" x14ac:dyDescent="0.3">
      <c r="G703" s="7" t="s">
        <v>628</v>
      </c>
    </row>
    <row r="704" spans="5:7" ht="14.45" customHeight="1" outlineLevel="4" thickBot="1" x14ac:dyDescent="0.3">
      <c r="G704" s="7" t="s">
        <v>629</v>
      </c>
    </row>
    <row r="705" spans="4:7" ht="14.45" customHeight="1" outlineLevel="3" thickBot="1" x14ac:dyDescent="0.3">
      <c r="F705" s="28" t="s">
        <v>630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6" t="s">
        <v>31</v>
      </c>
      <c r="E709" s="26"/>
    </row>
    <row r="710" spans="4:7" ht="14.45" customHeight="1" outlineLevel="2" thickBot="1" x14ac:dyDescent="0.3">
      <c r="E710" s="27" t="s">
        <v>631</v>
      </c>
    </row>
    <row r="711" spans="4:7" ht="14.45" customHeight="1" outlineLevel="3" thickBot="1" x14ac:dyDescent="0.3">
      <c r="F711" s="28" t="s">
        <v>292</v>
      </c>
    </row>
    <row r="712" spans="4:7" ht="14.45" customHeight="1" outlineLevel="4" thickBot="1" x14ac:dyDescent="0.3"/>
    <row r="713" spans="4:7" ht="14.45" customHeight="1" outlineLevel="3" thickBot="1" x14ac:dyDescent="0.3">
      <c r="F713" s="28" t="s">
        <v>632</v>
      </c>
    </row>
    <row r="714" spans="4:7" ht="14.45" customHeight="1" outlineLevel="4" thickBot="1" x14ac:dyDescent="0.3"/>
    <row r="715" spans="4:7" ht="14.45" customHeight="1" outlineLevel="3" thickBot="1" x14ac:dyDescent="0.3">
      <c r="F715" s="28" t="s">
        <v>633</v>
      </c>
    </row>
    <row r="716" spans="4:7" ht="14.45" customHeight="1" outlineLevel="4" thickBot="1" x14ac:dyDescent="0.3"/>
    <row r="717" spans="4:7" ht="14.45" customHeight="1" outlineLevel="3" thickBot="1" x14ac:dyDescent="0.3">
      <c r="F717" s="28" t="s">
        <v>634</v>
      </c>
    </row>
    <row r="718" spans="4:7" ht="14.45" customHeight="1" outlineLevel="4" thickBot="1" x14ac:dyDescent="0.3"/>
    <row r="719" spans="4:7" ht="14.45" customHeight="1" outlineLevel="3" thickBot="1" x14ac:dyDescent="0.3">
      <c r="F719" s="28" t="s">
        <v>635</v>
      </c>
    </row>
    <row r="720" spans="4:7" ht="14.45" customHeight="1" outlineLevel="4" thickBot="1" x14ac:dyDescent="0.3">
      <c r="G720" s="7" t="s">
        <v>636</v>
      </c>
    </row>
    <row r="721" spans="4:7" ht="14.45" customHeight="1" outlineLevel="4" thickBot="1" x14ac:dyDescent="0.3">
      <c r="G721" s="7" t="s">
        <v>637</v>
      </c>
    </row>
    <row r="722" spans="4:7" ht="14.45" customHeight="1" outlineLevel="3" thickBot="1" x14ac:dyDescent="0.3"/>
    <row r="723" spans="4:7" ht="14.45" customHeight="1" outlineLevel="2" thickBot="1" x14ac:dyDescent="0.3">
      <c r="E723" s="27" t="s">
        <v>638</v>
      </c>
    </row>
    <row r="724" spans="4:7" ht="14.45" customHeight="1" outlineLevel="3" thickBot="1" x14ac:dyDescent="0.3">
      <c r="F724" s="28" t="s">
        <v>292</v>
      </c>
    </row>
    <row r="725" spans="4:7" ht="14.45" customHeight="1" outlineLevel="4" thickBot="1" x14ac:dyDescent="0.3"/>
    <row r="726" spans="4:7" ht="14.45" customHeight="1" outlineLevel="3" thickBot="1" x14ac:dyDescent="0.3">
      <c r="F726" s="28" t="s">
        <v>639</v>
      </c>
    </row>
    <row r="727" spans="4:7" ht="14.45" customHeight="1" outlineLevel="4" thickBot="1" x14ac:dyDescent="0.3"/>
    <row r="728" spans="4:7" ht="14.45" customHeight="1" outlineLevel="3" thickBot="1" x14ac:dyDescent="0.3">
      <c r="F728" s="28" t="s">
        <v>640</v>
      </c>
    </row>
    <row r="729" spans="4:7" ht="14.45" customHeight="1" outlineLevel="4" thickBot="1" x14ac:dyDescent="0.3">
      <c r="G729" s="7" t="s">
        <v>641</v>
      </c>
    </row>
    <row r="730" spans="4:7" ht="14.45" customHeight="1" outlineLevel="4" thickBot="1" x14ac:dyDescent="0.3">
      <c r="G730" s="7" t="s">
        <v>642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6" t="s">
        <v>32</v>
      </c>
      <c r="E733" s="26"/>
    </row>
    <row r="734" spans="4:7" ht="14.45" customHeight="1" outlineLevel="2" thickBot="1" x14ac:dyDescent="0.3">
      <c r="E734" s="27" t="s">
        <v>643</v>
      </c>
    </row>
    <row r="735" spans="4:7" ht="14.45" customHeight="1" outlineLevel="3" thickBot="1" x14ac:dyDescent="0.3">
      <c r="F735" s="28" t="s">
        <v>644</v>
      </c>
    </row>
    <row r="736" spans="4:7" ht="14.45" customHeight="1" outlineLevel="4" thickBot="1" x14ac:dyDescent="0.3">
      <c r="G736" s="7" t="s">
        <v>339</v>
      </c>
    </row>
    <row r="737" spans="6:7" ht="14.45" customHeight="1" outlineLevel="4" thickBot="1" x14ac:dyDescent="0.3">
      <c r="G737" s="7" t="s">
        <v>645</v>
      </c>
    </row>
    <row r="738" spans="6:7" ht="14.45" customHeight="1" outlineLevel="3" thickBot="1" x14ac:dyDescent="0.3">
      <c r="F738" s="28" t="s">
        <v>646</v>
      </c>
    </row>
    <row r="739" spans="6:7" ht="14.45" customHeight="1" outlineLevel="4" thickBot="1" x14ac:dyDescent="0.3">
      <c r="G739" s="7" t="s">
        <v>339</v>
      </c>
    </row>
    <row r="740" spans="6:7" ht="14.45" customHeight="1" outlineLevel="4" thickBot="1" x14ac:dyDescent="0.3">
      <c r="G740" s="7" t="s">
        <v>647</v>
      </c>
    </row>
    <row r="741" spans="6:7" ht="14.45" customHeight="1" outlineLevel="3" thickBot="1" x14ac:dyDescent="0.3">
      <c r="F741" s="28" t="s">
        <v>648</v>
      </c>
    </row>
    <row r="742" spans="6:7" ht="14.45" customHeight="1" outlineLevel="4" thickBot="1" x14ac:dyDescent="0.3">
      <c r="G742" s="7" t="s">
        <v>339</v>
      </c>
    </row>
    <row r="743" spans="6:7" ht="14.45" customHeight="1" outlineLevel="4" thickBot="1" x14ac:dyDescent="0.3">
      <c r="G743" s="7" t="s">
        <v>649</v>
      </c>
    </row>
    <row r="744" spans="6:7" ht="14.45" customHeight="1" outlineLevel="3" thickBot="1" x14ac:dyDescent="0.3">
      <c r="F744" s="28" t="s">
        <v>650</v>
      </c>
    </row>
    <row r="745" spans="6:7" ht="14.45" customHeight="1" outlineLevel="4" thickBot="1" x14ac:dyDescent="0.3">
      <c r="G745" s="7" t="s">
        <v>651</v>
      </c>
    </row>
    <row r="746" spans="6:7" ht="14.45" customHeight="1" outlineLevel="4" thickBot="1" x14ac:dyDescent="0.3">
      <c r="G746" s="7" t="s">
        <v>652</v>
      </c>
    </row>
    <row r="747" spans="6:7" ht="14.45" customHeight="1" outlineLevel="4" thickBot="1" x14ac:dyDescent="0.3">
      <c r="G747" s="7" t="s">
        <v>653</v>
      </c>
    </row>
    <row r="748" spans="6:7" ht="14.45" customHeight="1" outlineLevel="3" thickBot="1" x14ac:dyDescent="0.3">
      <c r="F748" s="28" t="s">
        <v>654</v>
      </c>
    </row>
    <row r="749" spans="6:7" ht="14.45" customHeight="1" outlineLevel="4" thickBot="1" x14ac:dyDescent="0.3">
      <c r="G749" s="7" t="s">
        <v>655</v>
      </c>
    </row>
    <row r="750" spans="6:7" ht="14.45" customHeight="1" outlineLevel="4" thickBot="1" x14ac:dyDescent="0.3">
      <c r="G750" s="7" t="s">
        <v>656</v>
      </c>
    </row>
    <row r="751" spans="6:7" ht="14.45" customHeight="1" outlineLevel="4" thickBot="1" x14ac:dyDescent="0.3">
      <c r="G751" s="7" t="s">
        <v>657</v>
      </c>
    </row>
    <row r="752" spans="6:7" ht="14.45" customHeight="1" outlineLevel="4" thickBot="1" x14ac:dyDescent="0.3">
      <c r="G752" s="7" t="s">
        <v>658</v>
      </c>
    </row>
    <row r="753" spans="5:7" ht="14.45" customHeight="1" outlineLevel="3" thickBot="1" x14ac:dyDescent="0.3">
      <c r="F753" s="28" t="s">
        <v>659</v>
      </c>
    </row>
    <row r="754" spans="5:7" ht="14.45" customHeight="1" outlineLevel="4" thickBot="1" x14ac:dyDescent="0.3">
      <c r="G754" s="7" t="s">
        <v>339</v>
      </c>
    </row>
    <row r="755" spans="5:7" ht="14.45" customHeight="1" outlineLevel="4" thickBot="1" x14ac:dyDescent="0.3">
      <c r="G755" s="7" t="s">
        <v>324</v>
      </c>
    </row>
    <row r="756" spans="5:7" ht="14.45" customHeight="1" outlineLevel="4" thickBot="1" x14ac:dyDescent="0.3">
      <c r="G756" s="7" t="s">
        <v>325</v>
      </c>
    </row>
    <row r="757" spans="5:7" ht="14.45" customHeight="1" outlineLevel="4" thickBot="1" x14ac:dyDescent="0.3">
      <c r="G757" s="7" t="s">
        <v>326</v>
      </c>
    </row>
    <row r="758" spans="5:7" ht="14.45" customHeight="1" outlineLevel="3" thickBot="1" x14ac:dyDescent="0.3">
      <c r="F758" s="28" t="s">
        <v>660</v>
      </c>
    </row>
    <row r="759" spans="5:7" ht="14.45" customHeight="1" outlineLevel="4" thickBot="1" x14ac:dyDescent="0.3">
      <c r="G759" s="7" t="s">
        <v>323</v>
      </c>
    </row>
    <row r="760" spans="5:7" ht="14.45" customHeight="1" outlineLevel="4" thickBot="1" x14ac:dyDescent="0.3">
      <c r="G760" s="7" t="s">
        <v>661</v>
      </c>
    </row>
    <row r="761" spans="5:7" ht="14.45" customHeight="1" outlineLevel="3" thickBot="1" x14ac:dyDescent="0.3"/>
    <row r="762" spans="5:7" ht="14.45" customHeight="1" outlineLevel="2" thickBot="1" x14ac:dyDescent="0.3">
      <c r="E762" s="27" t="s">
        <v>662</v>
      </c>
    </row>
    <row r="763" spans="5:7" ht="14.45" customHeight="1" outlineLevel="3" thickBot="1" x14ac:dyDescent="0.3">
      <c r="F763" s="28" t="s">
        <v>663</v>
      </c>
    </row>
    <row r="764" spans="5:7" ht="14.45" customHeight="1" outlineLevel="4" thickBot="1" x14ac:dyDescent="0.3"/>
    <row r="765" spans="5:7" ht="14.45" customHeight="1" outlineLevel="3" thickBot="1" x14ac:dyDescent="0.3">
      <c r="F765" s="28" t="s">
        <v>664</v>
      </c>
    </row>
    <row r="766" spans="5:7" ht="14.45" customHeight="1" outlineLevel="4" thickBot="1" x14ac:dyDescent="0.3">
      <c r="G766" s="7" t="s">
        <v>665</v>
      </c>
    </row>
    <row r="767" spans="5:7" ht="14.45" customHeight="1" outlineLevel="4" thickBot="1" x14ac:dyDescent="0.3">
      <c r="G767" s="7" t="s">
        <v>666</v>
      </c>
    </row>
    <row r="768" spans="5:7" ht="14.45" customHeight="1" outlineLevel="4" thickBot="1" x14ac:dyDescent="0.3">
      <c r="G768" s="7" t="s">
        <v>667</v>
      </c>
    </row>
    <row r="769" spans="4:7" ht="14.45" customHeight="1" outlineLevel="4" thickBot="1" x14ac:dyDescent="0.3">
      <c r="G769" s="7" t="s">
        <v>668</v>
      </c>
    </row>
    <row r="770" spans="4:7" ht="14.45" customHeight="1" outlineLevel="4" thickBot="1" x14ac:dyDescent="0.3">
      <c r="G770" s="7" t="s">
        <v>669</v>
      </c>
    </row>
    <row r="771" spans="4:7" ht="14.45" customHeight="1" outlineLevel="3" thickBot="1" x14ac:dyDescent="0.3">
      <c r="F771" s="28" t="s">
        <v>670</v>
      </c>
    </row>
    <row r="772" spans="4:7" ht="14.45" customHeight="1" outlineLevel="4" thickBot="1" x14ac:dyDescent="0.3">
      <c r="G772" s="7" t="s">
        <v>671</v>
      </c>
    </row>
    <row r="773" spans="4:7" ht="14.45" customHeight="1" outlineLevel="4" thickBot="1" x14ac:dyDescent="0.3">
      <c r="G773" s="7" t="s">
        <v>672</v>
      </c>
    </row>
    <row r="774" spans="4:7" ht="14.45" customHeight="1" outlineLevel="4" thickBot="1" x14ac:dyDescent="0.3">
      <c r="G774" s="7" t="s">
        <v>673</v>
      </c>
    </row>
    <row r="775" spans="4:7" ht="14.45" customHeight="1" outlineLevel="3" thickBot="1" x14ac:dyDescent="0.3">
      <c r="F775" s="28" t="s">
        <v>674</v>
      </c>
    </row>
    <row r="776" spans="4:7" ht="14.45" customHeight="1" outlineLevel="4" thickBot="1" x14ac:dyDescent="0.3">
      <c r="G776" s="7" t="s">
        <v>675</v>
      </c>
    </row>
    <row r="777" spans="4:7" ht="14.45" customHeight="1" outlineLevel="4" thickBot="1" x14ac:dyDescent="0.3">
      <c r="G777" s="7" t="s">
        <v>676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6" t="s">
        <v>33</v>
      </c>
      <c r="E780" s="26"/>
    </row>
    <row r="781" spans="4:7" ht="14.45" customHeight="1" outlineLevel="2" thickBot="1" x14ac:dyDescent="0.3">
      <c r="E781" s="27" t="s">
        <v>677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7" t="s">
        <v>678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7" t="s">
        <v>679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6" t="s">
        <v>140</v>
      </c>
      <c r="E791" s="26"/>
    </row>
    <row r="792" spans="4:6" ht="14.45" customHeight="1" outlineLevel="2" thickBot="1" x14ac:dyDescent="0.3">
      <c r="E792" s="27" t="s">
        <v>680</v>
      </c>
    </row>
    <row r="793" spans="4:6" ht="14.45" customHeight="1" outlineLevel="3" thickBot="1" x14ac:dyDescent="0.3">
      <c r="F793" s="28" t="s">
        <v>681</v>
      </c>
    </row>
    <row r="794" spans="4:6" ht="14.45" customHeight="1" outlineLevel="4" thickBot="1" x14ac:dyDescent="0.3"/>
    <row r="795" spans="4:6" ht="14.45" customHeight="1" outlineLevel="3" thickBot="1" x14ac:dyDescent="0.3">
      <c r="F795" s="28" t="s">
        <v>682</v>
      </c>
    </row>
    <row r="796" spans="4:6" ht="14.45" customHeight="1" outlineLevel="4" thickBot="1" x14ac:dyDescent="0.3"/>
    <row r="797" spans="4:6" ht="14.45" customHeight="1" outlineLevel="3" thickBot="1" x14ac:dyDescent="0.3">
      <c r="F797" s="28" t="s">
        <v>683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7" t="s">
        <v>684</v>
      </c>
    </row>
    <row r="801" spans="5:6" ht="14.45" customHeight="1" outlineLevel="3" thickBot="1" x14ac:dyDescent="0.3">
      <c r="F801" s="28" t="s">
        <v>685</v>
      </c>
    </row>
    <row r="802" spans="5:6" ht="14.45" customHeight="1" outlineLevel="4" thickBot="1" x14ac:dyDescent="0.3"/>
    <row r="803" spans="5:6" ht="14.45" customHeight="1" outlineLevel="3" thickBot="1" x14ac:dyDescent="0.3">
      <c r="F803" s="28" t="s">
        <v>686</v>
      </c>
    </row>
    <row r="804" spans="5:6" ht="14.45" customHeight="1" outlineLevel="4" thickBot="1" x14ac:dyDescent="0.3"/>
    <row r="805" spans="5:6" ht="14.45" customHeight="1" outlineLevel="3" thickBot="1" x14ac:dyDescent="0.3">
      <c r="F805" s="28" t="s">
        <v>687</v>
      </c>
    </row>
    <row r="806" spans="5:6" ht="14.45" customHeight="1" outlineLevel="4" thickBot="1" x14ac:dyDescent="0.3"/>
    <row r="807" spans="5:6" ht="14.45" customHeight="1" outlineLevel="3" thickBot="1" x14ac:dyDescent="0.3">
      <c r="F807" s="28" t="s">
        <v>688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7" t="s">
        <v>689</v>
      </c>
    </row>
    <row r="811" spans="5:6" ht="14.45" customHeight="1" outlineLevel="3" thickBot="1" x14ac:dyDescent="0.3">
      <c r="F811" s="28" t="s">
        <v>292</v>
      </c>
    </row>
    <row r="812" spans="5:6" ht="14.45" customHeight="1" outlineLevel="4" thickBot="1" x14ac:dyDescent="0.3"/>
    <row r="813" spans="5:6" ht="14.45" customHeight="1" outlineLevel="3" thickBot="1" x14ac:dyDescent="0.3">
      <c r="F813" s="28" t="s">
        <v>690</v>
      </c>
    </row>
    <row r="814" spans="5:6" ht="14.45" customHeight="1" outlineLevel="4" thickBot="1" x14ac:dyDescent="0.3"/>
    <row r="815" spans="5:6" ht="14.45" customHeight="1" outlineLevel="3" thickBot="1" x14ac:dyDescent="0.3">
      <c r="F815" s="28" t="s">
        <v>691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6" t="s">
        <v>34</v>
      </c>
      <c r="E819" s="26"/>
    </row>
    <row r="820" spans="4:7" ht="14.45" customHeight="1" outlineLevel="2" thickBot="1" x14ac:dyDescent="0.3">
      <c r="E820" s="27" t="s">
        <v>692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7" t="s">
        <v>693</v>
      </c>
    </row>
    <row r="824" spans="4:7" ht="14.45" customHeight="1" outlineLevel="3" thickBot="1" x14ac:dyDescent="0.3">
      <c r="F824" s="28" t="s">
        <v>292</v>
      </c>
    </row>
    <row r="825" spans="4:7" ht="14.45" customHeight="1" outlineLevel="4" thickBot="1" x14ac:dyDescent="0.3"/>
    <row r="826" spans="4:7" ht="14.45" customHeight="1" outlineLevel="3" thickBot="1" x14ac:dyDescent="0.3">
      <c r="F826" s="28" t="s">
        <v>694</v>
      </c>
    </row>
    <row r="827" spans="4:7" ht="14.45" customHeight="1" outlineLevel="4" thickBot="1" x14ac:dyDescent="0.3"/>
    <row r="828" spans="4:7" ht="14.45" customHeight="1" outlineLevel="3" thickBot="1" x14ac:dyDescent="0.3">
      <c r="F828" s="28" t="s">
        <v>695</v>
      </c>
    </row>
    <row r="829" spans="4:7" ht="14.45" customHeight="1" outlineLevel="4" thickBot="1" x14ac:dyDescent="0.3">
      <c r="G829" s="7" t="s">
        <v>339</v>
      </c>
    </row>
    <row r="830" spans="4:7" ht="14.45" customHeight="1" outlineLevel="4" thickBot="1" x14ac:dyDescent="0.3">
      <c r="G830" s="7" t="s">
        <v>696</v>
      </c>
    </row>
    <row r="831" spans="4:7" ht="14.45" customHeight="1" outlineLevel="3" thickBot="1" x14ac:dyDescent="0.3"/>
    <row r="832" spans="4:7" ht="14.45" customHeight="1" outlineLevel="2" thickBot="1" x14ac:dyDescent="0.3">
      <c r="E832" s="27" t="s">
        <v>697</v>
      </c>
    </row>
    <row r="833" spans="6:7" ht="14.45" customHeight="1" outlineLevel="3" thickBot="1" x14ac:dyDescent="0.3">
      <c r="F833" s="28" t="s">
        <v>698</v>
      </c>
    </row>
    <row r="834" spans="6:7" ht="14.45" customHeight="1" outlineLevel="4" thickBot="1" x14ac:dyDescent="0.3"/>
    <row r="835" spans="6:7" ht="14.45" customHeight="1" outlineLevel="3" thickBot="1" x14ac:dyDescent="0.3">
      <c r="F835" s="28" t="s">
        <v>699</v>
      </c>
    </row>
    <row r="836" spans="6:7" ht="14.45" customHeight="1" outlineLevel="4" thickBot="1" x14ac:dyDescent="0.3">
      <c r="G836" s="7" t="s">
        <v>700</v>
      </c>
    </row>
    <row r="837" spans="6:7" ht="14.45" customHeight="1" outlineLevel="4" thickBot="1" x14ac:dyDescent="0.3">
      <c r="G837" s="7" t="s">
        <v>701</v>
      </c>
    </row>
    <row r="838" spans="6:7" ht="14.45" customHeight="1" outlineLevel="4" thickBot="1" x14ac:dyDescent="0.3">
      <c r="G838" s="7" t="s">
        <v>702</v>
      </c>
    </row>
    <row r="839" spans="6:7" ht="14.45" customHeight="1" outlineLevel="3" thickBot="1" x14ac:dyDescent="0.3">
      <c r="F839" s="28" t="s">
        <v>703</v>
      </c>
    </row>
    <row r="840" spans="6:7" ht="14.45" customHeight="1" outlineLevel="4" thickBot="1" x14ac:dyDescent="0.3">
      <c r="G840" s="7" t="s">
        <v>704</v>
      </c>
    </row>
    <row r="841" spans="6:7" ht="14.45" customHeight="1" outlineLevel="4" thickBot="1" x14ac:dyDescent="0.3">
      <c r="G841" s="7" t="s">
        <v>705</v>
      </c>
    </row>
    <row r="842" spans="6:7" ht="14.45" customHeight="1" outlineLevel="4" thickBot="1" x14ac:dyDescent="0.3">
      <c r="G842" s="7" t="s">
        <v>706</v>
      </c>
    </row>
    <row r="843" spans="6:7" ht="14.45" customHeight="1" outlineLevel="3" thickBot="1" x14ac:dyDescent="0.3">
      <c r="F843" s="28" t="s">
        <v>707</v>
      </c>
    </row>
    <row r="844" spans="6:7" ht="14.45" customHeight="1" outlineLevel="4" thickBot="1" x14ac:dyDescent="0.3">
      <c r="G844" s="7" t="s">
        <v>708</v>
      </c>
    </row>
    <row r="845" spans="6:7" ht="14.45" customHeight="1" outlineLevel="4" thickBot="1" x14ac:dyDescent="0.3">
      <c r="G845" s="7" t="s">
        <v>709</v>
      </c>
    </row>
    <row r="846" spans="6:7" ht="14.45" customHeight="1" outlineLevel="3" thickBot="1" x14ac:dyDescent="0.3">
      <c r="F846" s="28" t="s">
        <v>710</v>
      </c>
    </row>
    <row r="847" spans="6:7" ht="14.45" customHeight="1" outlineLevel="4" thickBot="1" x14ac:dyDescent="0.3">
      <c r="G847" s="7" t="s">
        <v>711</v>
      </c>
    </row>
    <row r="848" spans="6:7" ht="14.45" customHeight="1" outlineLevel="4" thickBot="1" x14ac:dyDescent="0.3">
      <c r="G848" s="7" t="s">
        <v>712</v>
      </c>
    </row>
    <row r="849" spans="5:7" ht="14.45" customHeight="1" outlineLevel="3" thickBot="1" x14ac:dyDescent="0.3"/>
    <row r="850" spans="5:7" ht="14.45" customHeight="1" outlineLevel="2" thickBot="1" x14ac:dyDescent="0.3">
      <c r="E850" s="27" t="s">
        <v>713</v>
      </c>
    </row>
    <row r="851" spans="5:7" ht="14.45" customHeight="1" outlineLevel="3" thickBot="1" x14ac:dyDescent="0.3">
      <c r="F851" s="28" t="s">
        <v>292</v>
      </c>
    </row>
    <row r="852" spans="5:7" ht="14.45" customHeight="1" outlineLevel="4" thickBot="1" x14ac:dyDescent="0.3"/>
    <row r="853" spans="5:7" ht="14.45" customHeight="1" outlineLevel="3" thickBot="1" x14ac:dyDescent="0.3">
      <c r="F853" s="28" t="s">
        <v>714</v>
      </c>
    </row>
    <row r="854" spans="5:7" ht="14.45" customHeight="1" outlineLevel="4" thickBot="1" x14ac:dyDescent="0.3">
      <c r="G854" s="7" t="s">
        <v>715</v>
      </c>
    </row>
    <row r="855" spans="5:7" ht="14.45" customHeight="1" outlineLevel="4" thickBot="1" x14ac:dyDescent="0.3">
      <c r="G855" s="7" t="s">
        <v>716</v>
      </c>
    </row>
    <row r="856" spans="5:7" ht="14.45" customHeight="1" outlineLevel="4" thickBot="1" x14ac:dyDescent="0.3">
      <c r="G856" s="7" t="s">
        <v>717</v>
      </c>
    </row>
    <row r="857" spans="5:7" ht="14.45" customHeight="1" outlineLevel="3" thickBot="1" x14ac:dyDescent="0.3">
      <c r="F857" s="28" t="s">
        <v>718</v>
      </c>
    </row>
    <row r="858" spans="5:7" ht="14.45" customHeight="1" outlineLevel="4" thickBot="1" x14ac:dyDescent="0.3"/>
    <row r="859" spans="5:7" ht="14.45" customHeight="1" outlineLevel="3" thickBot="1" x14ac:dyDescent="0.3">
      <c r="F859" s="28" t="s">
        <v>719</v>
      </c>
    </row>
    <row r="860" spans="5:7" ht="14.45" customHeight="1" outlineLevel="4" thickBot="1" x14ac:dyDescent="0.3">
      <c r="G860" s="7" t="s">
        <v>720</v>
      </c>
    </row>
    <row r="861" spans="5:7" ht="14.45" customHeight="1" outlineLevel="4" thickBot="1" x14ac:dyDescent="0.3">
      <c r="G861" s="7" t="s">
        <v>721</v>
      </c>
    </row>
    <row r="862" spans="5:7" ht="14.45" customHeight="1" outlineLevel="4" thickBot="1" x14ac:dyDescent="0.3">
      <c r="G862" s="7" t="s">
        <v>722</v>
      </c>
    </row>
    <row r="863" spans="5:7" ht="14.45" customHeight="1" outlineLevel="4" thickBot="1" x14ac:dyDescent="0.3">
      <c r="G863" s="7" t="s">
        <v>723</v>
      </c>
    </row>
    <row r="864" spans="5:7" ht="14.45" customHeight="1" outlineLevel="3" thickBot="1" x14ac:dyDescent="0.3">
      <c r="F864" s="28" t="s">
        <v>724</v>
      </c>
    </row>
    <row r="865" spans="4:7" ht="14.45" customHeight="1" outlineLevel="4" thickBot="1" x14ac:dyDescent="0.3">
      <c r="G865" s="7" t="s">
        <v>725</v>
      </c>
    </row>
    <row r="866" spans="4:7" ht="14.45" customHeight="1" outlineLevel="4" thickBot="1" x14ac:dyDescent="0.3">
      <c r="G866" s="7" t="s">
        <v>726</v>
      </c>
    </row>
    <row r="867" spans="4:7" ht="14.45" customHeight="1" outlineLevel="4" thickBot="1" x14ac:dyDescent="0.3">
      <c r="G867" s="7" t="s">
        <v>727</v>
      </c>
    </row>
    <row r="868" spans="4:7" ht="14.45" customHeight="1" outlineLevel="4" thickBot="1" x14ac:dyDescent="0.3">
      <c r="G868" s="7" t="s">
        <v>728</v>
      </c>
    </row>
    <row r="869" spans="4:7" ht="14.45" customHeight="1" outlineLevel="3" thickBot="1" x14ac:dyDescent="0.3">
      <c r="F869" s="28" t="s">
        <v>729</v>
      </c>
    </row>
    <row r="870" spans="4:7" ht="14.45" customHeight="1" outlineLevel="4" thickBot="1" x14ac:dyDescent="0.3">
      <c r="G870" s="7" t="s">
        <v>730</v>
      </c>
    </row>
    <row r="871" spans="4:7" ht="14.45" customHeight="1" outlineLevel="4" thickBot="1" x14ac:dyDescent="0.3">
      <c r="G871" s="7" t="s">
        <v>676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6" t="s">
        <v>35</v>
      </c>
      <c r="E874" s="26"/>
    </row>
    <row r="875" spans="4:7" ht="14.45" customHeight="1" outlineLevel="2" thickBot="1" x14ac:dyDescent="0.3">
      <c r="E875" s="27" t="s">
        <v>731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7" t="s">
        <v>732</v>
      </c>
    </row>
    <row r="879" spans="4:7" ht="14.45" customHeight="1" outlineLevel="3" thickBot="1" x14ac:dyDescent="0.3">
      <c r="F879" s="28" t="s">
        <v>292</v>
      </c>
    </row>
    <row r="880" spans="4:7" ht="14.45" customHeight="1" outlineLevel="4" thickBot="1" x14ac:dyDescent="0.3"/>
    <row r="881" spans="6:7" ht="14.45" customHeight="1" outlineLevel="3" thickBot="1" x14ac:dyDescent="0.3">
      <c r="F881" s="28" t="s">
        <v>733</v>
      </c>
    </row>
    <row r="882" spans="6:7" ht="14.45" customHeight="1" outlineLevel="4" thickBot="1" x14ac:dyDescent="0.3">
      <c r="G882" s="7" t="s">
        <v>734</v>
      </c>
    </row>
    <row r="883" spans="6:7" ht="14.45" customHeight="1" outlineLevel="4" thickBot="1" x14ac:dyDescent="0.3">
      <c r="G883" s="7" t="s">
        <v>735</v>
      </c>
    </row>
    <row r="884" spans="6:7" ht="14.45" customHeight="1" outlineLevel="4" thickBot="1" x14ac:dyDescent="0.3">
      <c r="G884" s="7" t="s">
        <v>736</v>
      </c>
    </row>
    <row r="885" spans="6:7" ht="14.45" customHeight="1" outlineLevel="4" thickBot="1" x14ac:dyDescent="0.3">
      <c r="G885" s="7" t="s">
        <v>737</v>
      </c>
    </row>
    <row r="886" spans="6:7" ht="14.45" customHeight="1" outlineLevel="3" thickBot="1" x14ac:dyDescent="0.3">
      <c r="F886" s="28" t="s">
        <v>738</v>
      </c>
    </row>
    <row r="887" spans="6:7" ht="14.45" customHeight="1" outlineLevel="4" thickBot="1" x14ac:dyDescent="0.3">
      <c r="G887" s="7" t="s">
        <v>739</v>
      </c>
    </row>
    <row r="888" spans="6:7" ht="14.45" customHeight="1" outlineLevel="4" thickBot="1" x14ac:dyDescent="0.3">
      <c r="G888" s="7" t="s">
        <v>740</v>
      </c>
    </row>
    <row r="889" spans="6:7" ht="14.45" customHeight="1" outlineLevel="4" thickBot="1" x14ac:dyDescent="0.3">
      <c r="G889" s="7" t="s">
        <v>741</v>
      </c>
    </row>
    <row r="890" spans="6:7" ht="14.45" customHeight="1" outlineLevel="3" thickBot="1" x14ac:dyDescent="0.3">
      <c r="F890" s="28" t="s">
        <v>742</v>
      </c>
    </row>
    <row r="891" spans="6:7" ht="14.45" customHeight="1" outlineLevel="4" thickBot="1" x14ac:dyDescent="0.3">
      <c r="G891" s="7" t="s">
        <v>743</v>
      </c>
    </row>
    <row r="892" spans="6:7" ht="14.45" customHeight="1" outlineLevel="4" thickBot="1" x14ac:dyDescent="0.3">
      <c r="G892" s="7" t="s">
        <v>744</v>
      </c>
    </row>
    <row r="893" spans="6:7" ht="14.45" customHeight="1" outlineLevel="3" thickBot="1" x14ac:dyDescent="0.3">
      <c r="F893" s="28" t="s">
        <v>745</v>
      </c>
    </row>
    <row r="894" spans="6:7" ht="14.45" customHeight="1" outlineLevel="4" thickBot="1" x14ac:dyDescent="0.3">
      <c r="G894" s="7" t="s">
        <v>746</v>
      </c>
    </row>
    <row r="895" spans="6:7" ht="14.45" customHeight="1" outlineLevel="4" thickBot="1" x14ac:dyDescent="0.3">
      <c r="G895" s="7" t="s">
        <v>747</v>
      </c>
    </row>
    <row r="896" spans="6:7" ht="14.45" customHeight="1" outlineLevel="3" thickBot="1" x14ac:dyDescent="0.3"/>
    <row r="897" spans="3:6" ht="14.45" customHeight="1" outlineLevel="2" thickBot="1" x14ac:dyDescent="0.3">
      <c r="E897" s="27" t="s">
        <v>748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5" t="s">
        <v>749</v>
      </c>
      <c r="D902" s="25"/>
    </row>
    <row r="903" spans="3:6" ht="14.45" customHeight="1" outlineLevel="1" thickBot="1" x14ac:dyDescent="0.3">
      <c r="D903" s="26" t="s">
        <v>36</v>
      </c>
      <c r="E903" s="26"/>
    </row>
    <row r="904" spans="3:6" ht="14.45" customHeight="1" outlineLevel="2" thickBot="1" x14ac:dyDescent="0.3">
      <c r="E904" s="27" t="s">
        <v>750</v>
      </c>
    </row>
    <row r="905" spans="3:6" ht="14.45" customHeight="1" outlineLevel="3" thickBot="1" x14ac:dyDescent="0.3">
      <c r="F905" s="28" t="s">
        <v>751</v>
      </c>
    </row>
    <row r="906" spans="3:6" ht="14.45" customHeight="1" outlineLevel="4" thickBot="1" x14ac:dyDescent="0.3"/>
    <row r="907" spans="3:6" ht="14.45" customHeight="1" outlineLevel="3" thickBot="1" x14ac:dyDescent="0.3">
      <c r="F907" s="28" t="s">
        <v>752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7" t="s">
        <v>753</v>
      </c>
    </row>
    <row r="911" spans="3:6" ht="14.45" customHeight="1" outlineLevel="3" thickBot="1" x14ac:dyDescent="0.3">
      <c r="F911" s="28" t="s">
        <v>754</v>
      </c>
    </row>
    <row r="912" spans="3:6" ht="14.45" customHeight="1" outlineLevel="4" thickBot="1" x14ac:dyDescent="0.3"/>
    <row r="913" spans="5:6" ht="14.45" customHeight="1" outlineLevel="3" thickBot="1" x14ac:dyDescent="0.3">
      <c r="F913" s="28" t="s">
        <v>755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7" t="s">
        <v>756</v>
      </c>
    </row>
    <row r="917" spans="5:6" ht="14.45" customHeight="1" outlineLevel="3" thickBot="1" x14ac:dyDescent="0.3">
      <c r="F917" s="28" t="s">
        <v>757</v>
      </c>
    </row>
    <row r="918" spans="5:6" ht="14.45" customHeight="1" outlineLevel="4" thickBot="1" x14ac:dyDescent="0.3"/>
    <row r="919" spans="5:6" ht="14.45" customHeight="1" outlineLevel="3" thickBot="1" x14ac:dyDescent="0.3">
      <c r="F919" s="28" t="s">
        <v>758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7" t="s">
        <v>759</v>
      </c>
    </row>
    <row r="923" spans="5:6" ht="14.45" customHeight="1" outlineLevel="3" thickBot="1" x14ac:dyDescent="0.3">
      <c r="F923" s="28" t="s">
        <v>760</v>
      </c>
    </row>
    <row r="924" spans="5:6" ht="14.45" customHeight="1" outlineLevel="4" thickBot="1" x14ac:dyDescent="0.3"/>
    <row r="925" spans="5:6" ht="14.45" customHeight="1" outlineLevel="3" thickBot="1" x14ac:dyDescent="0.3">
      <c r="F925" s="28" t="s">
        <v>761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6" t="s">
        <v>37</v>
      </c>
      <c r="E929" s="26"/>
    </row>
    <row r="930" spans="4:6" ht="14.45" customHeight="1" outlineLevel="2" thickBot="1" x14ac:dyDescent="0.3">
      <c r="E930" s="27" t="s">
        <v>762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7" t="s">
        <v>763</v>
      </c>
    </row>
    <row r="934" spans="4:6" ht="14.45" customHeight="1" outlineLevel="3" thickBot="1" x14ac:dyDescent="0.3">
      <c r="F934" s="28" t="s">
        <v>292</v>
      </c>
    </row>
    <row r="935" spans="4:6" ht="14.45" customHeight="1" outlineLevel="4" thickBot="1" x14ac:dyDescent="0.3"/>
    <row r="936" spans="4:6" ht="14.45" customHeight="1" outlineLevel="3" thickBot="1" x14ac:dyDescent="0.3">
      <c r="F936" s="28" t="s">
        <v>764</v>
      </c>
    </row>
    <row r="937" spans="4:6" ht="14.45" customHeight="1" outlineLevel="4" thickBot="1" x14ac:dyDescent="0.3"/>
    <row r="938" spans="4:6" ht="14.45" customHeight="1" outlineLevel="3" thickBot="1" x14ac:dyDescent="0.3">
      <c r="F938" s="28" t="s">
        <v>765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7" t="s">
        <v>766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6" t="s">
        <v>38</v>
      </c>
      <c r="E945" s="26"/>
    </row>
    <row r="946" spans="4:6" ht="14.45" customHeight="1" outlineLevel="2" thickBot="1" x14ac:dyDescent="0.3">
      <c r="E946" s="27" t="s">
        <v>767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7" t="s">
        <v>768</v>
      </c>
    </row>
    <row r="950" spans="4:6" ht="14.45" customHeight="1" outlineLevel="3" thickBot="1" x14ac:dyDescent="0.3">
      <c r="F950" s="28" t="s">
        <v>769</v>
      </c>
    </row>
    <row r="951" spans="4:6" ht="14.45" customHeight="1" outlineLevel="4" thickBot="1" x14ac:dyDescent="0.3"/>
    <row r="952" spans="4:6" ht="14.45" customHeight="1" outlineLevel="3" thickBot="1" x14ac:dyDescent="0.3">
      <c r="F952" s="28" t="s">
        <v>770</v>
      </c>
    </row>
    <row r="953" spans="4:6" ht="14.45" customHeight="1" outlineLevel="4" thickBot="1" x14ac:dyDescent="0.3"/>
    <row r="954" spans="4:6" ht="14.45" customHeight="1" outlineLevel="3" thickBot="1" x14ac:dyDescent="0.3">
      <c r="F954" s="28" t="s">
        <v>771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7" t="s">
        <v>772</v>
      </c>
    </row>
    <row r="958" spans="4:6" ht="14.45" customHeight="1" outlineLevel="3" thickBot="1" x14ac:dyDescent="0.3">
      <c r="F958" s="28" t="s">
        <v>773</v>
      </c>
    </row>
    <row r="959" spans="4:6" ht="14.45" customHeight="1" outlineLevel="4" thickBot="1" x14ac:dyDescent="0.3"/>
    <row r="960" spans="4:6" ht="14.45" customHeight="1" outlineLevel="3" thickBot="1" x14ac:dyDescent="0.3">
      <c r="F960" s="28" t="s">
        <v>774</v>
      </c>
    </row>
    <row r="961" spans="4:6" ht="14.45" customHeight="1" outlineLevel="4" thickBot="1" x14ac:dyDescent="0.3"/>
    <row r="962" spans="4:6" ht="14.45" customHeight="1" outlineLevel="3" thickBot="1" x14ac:dyDescent="0.3">
      <c r="F962" s="28" t="s">
        <v>775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7" t="s">
        <v>776</v>
      </c>
    </row>
    <row r="966" spans="4:6" ht="14.45" customHeight="1" outlineLevel="3" thickBot="1" x14ac:dyDescent="0.3">
      <c r="F966" s="28" t="s">
        <v>777</v>
      </c>
    </row>
    <row r="967" spans="4:6" ht="14.45" customHeight="1" outlineLevel="4" thickBot="1" x14ac:dyDescent="0.3"/>
    <row r="968" spans="4:6" ht="14.45" customHeight="1" outlineLevel="3" thickBot="1" x14ac:dyDescent="0.3">
      <c r="F968" s="28" t="s">
        <v>778</v>
      </c>
    </row>
    <row r="969" spans="4:6" ht="14.45" customHeight="1" outlineLevel="4" thickBot="1" x14ac:dyDescent="0.3"/>
    <row r="970" spans="4:6" ht="14.45" customHeight="1" outlineLevel="3" thickBot="1" x14ac:dyDescent="0.3">
      <c r="F970" s="28" t="s">
        <v>408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6" t="s">
        <v>39</v>
      </c>
      <c r="E974" s="26"/>
    </row>
    <row r="975" spans="4:6" ht="14.45" customHeight="1" outlineLevel="2" thickBot="1" x14ac:dyDescent="0.3">
      <c r="E975" s="27" t="s">
        <v>779</v>
      </c>
    </row>
    <row r="976" spans="4:6" ht="14.45" customHeight="1" outlineLevel="3" thickBot="1" x14ac:dyDescent="0.3">
      <c r="F976" s="28" t="s">
        <v>780</v>
      </c>
    </row>
    <row r="977" spans="5:7" ht="14.45" customHeight="1" outlineLevel="4" thickBot="1" x14ac:dyDescent="0.3">
      <c r="G977" s="7" t="s">
        <v>781</v>
      </c>
    </row>
    <row r="978" spans="5:7" ht="14.45" customHeight="1" outlineLevel="4" thickBot="1" x14ac:dyDescent="0.3">
      <c r="G978" s="7" t="s">
        <v>782</v>
      </c>
    </row>
    <row r="979" spans="5:7" ht="14.45" customHeight="1" outlineLevel="4" thickBot="1" x14ac:dyDescent="0.3">
      <c r="G979" s="7" t="s">
        <v>783</v>
      </c>
    </row>
    <row r="980" spans="5:7" ht="14.45" customHeight="1" outlineLevel="3" thickBot="1" x14ac:dyDescent="0.3">
      <c r="F980" s="28" t="s">
        <v>784</v>
      </c>
    </row>
    <row r="981" spans="5:7" ht="14.45" customHeight="1" outlineLevel="4" thickBot="1" x14ac:dyDescent="0.3">
      <c r="G981" s="7" t="s">
        <v>785</v>
      </c>
    </row>
    <row r="982" spans="5:7" ht="14.45" customHeight="1" outlineLevel="4" thickBot="1" x14ac:dyDescent="0.3">
      <c r="G982" s="7" t="s">
        <v>786</v>
      </c>
    </row>
    <row r="983" spans="5:7" ht="14.45" customHeight="1" outlineLevel="4" thickBot="1" x14ac:dyDescent="0.3">
      <c r="G983" s="7" t="s">
        <v>787</v>
      </c>
    </row>
    <row r="984" spans="5:7" ht="14.45" customHeight="1" outlineLevel="3" thickBot="1" x14ac:dyDescent="0.3">
      <c r="F984" s="28" t="s">
        <v>788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7" t="s">
        <v>789</v>
      </c>
    </row>
    <row r="988" spans="5:7" ht="14.45" customHeight="1" outlineLevel="3" thickBot="1" x14ac:dyDescent="0.3">
      <c r="F988" s="28" t="s">
        <v>292</v>
      </c>
    </row>
    <row r="989" spans="5:7" ht="14.45" customHeight="1" outlineLevel="4" thickBot="1" x14ac:dyDescent="0.3"/>
    <row r="990" spans="5:7" ht="14.45" customHeight="1" outlineLevel="3" thickBot="1" x14ac:dyDescent="0.3">
      <c r="F990" s="28" t="s">
        <v>790</v>
      </c>
    </row>
    <row r="991" spans="5:7" ht="14.45" customHeight="1" outlineLevel="4" thickBot="1" x14ac:dyDescent="0.3">
      <c r="G991" s="7" t="s">
        <v>339</v>
      </c>
    </row>
    <row r="992" spans="5:7" ht="14.45" customHeight="1" outlineLevel="4" thickBot="1" x14ac:dyDescent="0.3">
      <c r="G992" s="7" t="s">
        <v>791</v>
      </c>
    </row>
    <row r="993" spans="6:7" ht="14.45" customHeight="1" outlineLevel="4" thickBot="1" x14ac:dyDescent="0.3">
      <c r="G993" s="7" t="s">
        <v>792</v>
      </c>
    </row>
    <row r="994" spans="6:7" ht="14.45" customHeight="1" outlineLevel="4" thickBot="1" x14ac:dyDescent="0.3">
      <c r="G994" s="7" t="s">
        <v>793</v>
      </c>
    </row>
    <row r="995" spans="6:7" ht="14.45" customHeight="1" outlineLevel="4" thickBot="1" x14ac:dyDescent="0.3">
      <c r="G995" s="7" t="s">
        <v>2220</v>
      </c>
    </row>
    <row r="996" spans="6:7" ht="14.45" customHeight="1" outlineLevel="4" thickBot="1" x14ac:dyDescent="0.3">
      <c r="G996" s="7" t="s">
        <v>794</v>
      </c>
    </row>
    <row r="997" spans="6:7" ht="14.45" customHeight="1" outlineLevel="3" thickBot="1" x14ac:dyDescent="0.3">
      <c r="F997" s="28" t="s">
        <v>795</v>
      </c>
    </row>
    <row r="998" spans="6:7" ht="14.45" customHeight="1" outlineLevel="4" thickBot="1" x14ac:dyDescent="0.3">
      <c r="G998" s="7" t="s">
        <v>339</v>
      </c>
    </row>
    <row r="999" spans="6:7" ht="14.45" customHeight="1" outlineLevel="4" thickBot="1" x14ac:dyDescent="0.3">
      <c r="G999" s="7" t="s">
        <v>796</v>
      </c>
    </row>
    <row r="1000" spans="6:7" ht="14.45" customHeight="1" outlineLevel="4" thickBot="1" x14ac:dyDescent="0.3">
      <c r="G1000" s="7" t="s">
        <v>797</v>
      </c>
    </row>
    <row r="1001" spans="6:7" ht="14.45" customHeight="1" outlineLevel="3" thickBot="1" x14ac:dyDescent="0.3">
      <c r="F1001" s="28" t="s">
        <v>798</v>
      </c>
    </row>
    <row r="1002" spans="6:7" ht="14.45" customHeight="1" outlineLevel="4" thickBot="1" x14ac:dyDescent="0.3">
      <c r="G1002" s="7" t="s">
        <v>339</v>
      </c>
    </row>
    <row r="1003" spans="6:7" ht="14.45" customHeight="1" outlineLevel="4" thickBot="1" x14ac:dyDescent="0.3">
      <c r="G1003" s="7" t="s">
        <v>799</v>
      </c>
    </row>
    <row r="1004" spans="6:7" ht="14.45" customHeight="1" outlineLevel="4" thickBot="1" x14ac:dyDescent="0.3">
      <c r="G1004" s="7" t="s">
        <v>800</v>
      </c>
    </row>
    <row r="1005" spans="6:7" ht="14.45" customHeight="1" outlineLevel="4" thickBot="1" x14ac:dyDescent="0.3">
      <c r="G1005" s="7" t="s">
        <v>801</v>
      </c>
    </row>
    <row r="1006" spans="6:7" ht="14.45" customHeight="1" outlineLevel="4" thickBot="1" x14ac:dyDescent="0.3">
      <c r="G1006" s="7" t="s">
        <v>802</v>
      </c>
    </row>
    <row r="1007" spans="6:7" ht="14.45" customHeight="1" outlineLevel="3" thickBot="1" x14ac:dyDescent="0.3">
      <c r="F1007" s="28" t="s">
        <v>803</v>
      </c>
    </row>
    <row r="1008" spans="6:7" ht="14.45" customHeight="1" outlineLevel="4" thickBot="1" x14ac:dyDescent="0.3">
      <c r="G1008" s="7" t="s">
        <v>507</v>
      </c>
    </row>
    <row r="1009" spans="4:7" ht="14.45" customHeight="1" outlineLevel="4" thickBot="1" x14ac:dyDescent="0.3">
      <c r="G1009" s="7" t="s">
        <v>804</v>
      </c>
    </row>
    <row r="1010" spans="4:7" ht="14.45" customHeight="1" outlineLevel="4" thickBot="1" x14ac:dyDescent="0.3">
      <c r="G1010" s="7" t="s">
        <v>805</v>
      </c>
    </row>
    <row r="1011" spans="4:7" ht="14.45" customHeight="1" outlineLevel="4" thickBot="1" x14ac:dyDescent="0.3">
      <c r="G1011" s="7" t="s">
        <v>806</v>
      </c>
    </row>
    <row r="1012" spans="4:7" ht="14.45" customHeight="1" outlineLevel="3" thickBot="1" x14ac:dyDescent="0.3">
      <c r="F1012" s="28" t="s">
        <v>807</v>
      </c>
    </row>
    <row r="1013" spans="4:7" ht="14.45" customHeight="1" outlineLevel="4" thickBot="1" x14ac:dyDescent="0.3">
      <c r="G1013" s="7" t="s">
        <v>339</v>
      </c>
    </row>
    <row r="1014" spans="4:7" ht="14.45" customHeight="1" outlineLevel="4" thickBot="1" x14ac:dyDescent="0.3">
      <c r="G1014" s="7" t="s">
        <v>808</v>
      </c>
    </row>
    <row r="1015" spans="4:7" ht="14.45" customHeight="1" outlineLevel="3" thickBot="1" x14ac:dyDescent="0.3">
      <c r="F1015" s="28" t="s">
        <v>809</v>
      </c>
    </row>
    <row r="1016" spans="4:7" ht="14.45" customHeight="1" outlineLevel="4" thickBot="1" x14ac:dyDescent="0.3">
      <c r="G1016" s="7" t="s">
        <v>810</v>
      </c>
    </row>
    <row r="1017" spans="4:7" ht="14.45" customHeight="1" outlineLevel="4" thickBot="1" x14ac:dyDescent="0.3">
      <c r="G1017" s="7" t="s">
        <v>811</v>
      </c>
    </row>
    <row r="1018" spans="4:7" ht="14.45" customHeight="1" outlineLevel="4" thickBot="1" x14ac:dyDescent="0.3">
      <c r="G1018" s="7" t="s">
        <v>812</v>
      </c>
    </row>
    <row r="1019" spans="4:7" ht="14.45" customHeight="1" outlineLevel="4" thickBot="1" x14ac:dyDescent="0.3">
      <c r="G1019" s="7" t="s">
        <v>813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6" t="s">
        <v>40</v>
      </c>
      <c r="E1022" s="26"/>
    </row>
    <row r="1023" spans="4:7" ht="14.45" customHeight="1" outlineLevel="2" thickBot="1" x14ac:dyDescent="0.3">
      <c r="E1023" s="27" t="s">
        <v>814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7" t="s">
        <v>815</v>
      </c>
    </row>
    <row r="1027" spans="5:6" ht="14.45" customHeight="1" outlineLevel="3" thickBot="1" x14ac:dyDescent="0.3">
      <c r="F1027" s="28" t="s">
        <v>816</v>
      </c>
    </row>
    <row r="1028" spans="5:6" ht="14.45" customHeight="1" outlineLevel="4" thickBot="1" x14ac:dyDescent="0.3"/>
    <row r="1029" spans="5:6" ht="14.45" customHeight="1" outlineLevel="3" thickBot="1" x14ac:dyDescent="0.3">
      <c r="F1029" s="28" t="s">
        <v>817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7" t="s">
        <v>818</v>
      </c>
    </row>
    <row r="1033" spans="5:6" ht="14.45" customHeight="1" outlineLevel="3" thickBot="1" x14ac:dyDescent="0.3">
      <c r="F1033" s="28" t="s">
        <v>819</v>
      </c>
    </row>
    <row r="1034" spans="5:6" ht="14.45" customHeight="1" outlineLevel="4" thickBot="1" x14ac:dyDescent="0.3"/>
    <row r="1035" spans="5:6" ht="14.45" customHeight="1" outlineLevel="3" thickBot="1" x14ac:dyDescent="0.3">
      <c r="F1035" s="28" t="s">
        <v>820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7" t="s">
        <v>821</v>
      </c>
    </row>
    <row r="1039" spans="5:6" ht="14.45" customHeight="1" outlineLevel="3" thickBot="1" x14ac:dyDescent="0.3">
      <c r="F1039" s="28" t="s">
        <v>822</v>
      </c>
    </row>
    <row r="1040" spans="5:6" ht="14.45" customHeight="1" outlineLevel="4" thickBot="1" x14ac:dyDescent="0.3"/>
    <row r="1041" spans="4:6" ht="14.45" customHeight="1" outlineLevel="3" thickBot="1" x14ac:dyDescent="0.3">
      <c r="F1041" s="28" t="s">
        <v>823</v>
      </c>
    </row>
    <row r="1042" spans="4:6" ht="14.45" customHeight="1" outlineLevel="4" thickBot="1" x14ac:dyDescent="0.3"/>
    <row r="1043" spans="4:6" ht="14.45" customHeight="1" outlineLevel="3" thickBot="1" x14ac:dyDescent="0.3">
      <c r="F1043" s="28" t="s">
        <v>824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7" t="s">
        <v>825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6" t="s">
        <v>41</v>
      </c>
      <c r="E1050" s="26"/>
    </row>
    <row r="1051" spans="4:6" ht="14.45" customHeight="1" outlineLevel="2" thickBot="1" x14ac:dyDescent="0.3">
      <c r="E1051" s="27" t="s">
        <v>826</v>
      </c>
    </row>
    <row r="1052" spans="4:6" ht="14.45" customHeight="1" outlineLevel="3" thickBot="1" x14ac:dyDescent="0.3">
      <c r="F1052" s="28" t="s">
        <v>751</v>
      </c>
    </row>
    <row r="1053" spans="4:6" ht="14.45" customHeight="1" outlineLevel="4" thickBot="1" x14ac:dyDescent="0.3"/>
    <row r="1054" spans="4:6" ht="14.45" customHeight="1" outlineLevel="3" thickBot="1" x14ac:dyDescent="0.3">
      <c r="F1054" s="28" t="s">
        <v>827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7" t="s">
        <v>828</v>
      </c>
    </row>
    <row r="1058" spans="5:6" ht="14.45" customHeight="1" outlineLevel="3" thickBot="1" x14ac:dyDescent="0.3">
      <c r="F1058" s="28" t="s">
        <v>829</v>
      </c>
    </row>
    <row r="1059" spans="5:6" ht="14.45" customHeight="1" outlineLevel="4" thickBot="1" x14ac:dyDescent="0.3"/>
    <row r="1060" spans="5:6" ht="14.45" customHeight="1" outlineLevel="3" thickBot="1" x14ac:dyDescent="0.3">
      <c r="F1060" s="28" t="s">
        <v>830</v>
      </c>
    </row>
    <row r="1061" spans="5:6" ht="14.45" customHeight="1" outlineLevel="4" thickBot="1" x14ac:dyDescent="0.3"/>
    <row r="1062" spans="5:6" ht="14.45" customHeight="1" outlineLevel="3" thickBot="1" x14ac:dyDescent="0.3">
      <c r="F1062" s="28" t="s">
        <v>831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7" t="s">
        <v>832</v>
      </c>
    </row>
    <row r="1066" spans="5:6" ht="14.45" customHeight="1" outlineLevel="3" thickBot="1" x14ac:dyDescent="0.3">
      <c r="F1066" s="28" t="s">
        <v>833</v>
      </c>
    </row>
    <row r="1067" spans="5:6" ht="14.45" customHeight="1" outlineLevel="4" thickBot="1" x14ac:dyDescent="0.3"/>
    <row r="1068" spans="5:6" ht="14.45" customHeight="1" outlineLevel="3" thickBot="1" x14ac:dyDescent="0.3">
      <c r="F1068" s="28" t="s">
        <v>834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7" t="s">
        <v>835</v>
      </c>
    </row>
    <row r="1072" spans="5:6" ht="14.45" customHeight="1" outlineLevel="3" thickBot="1" x14ac:dyDescent="0.3">
      <c r="F1072" s="28" t="s">
        <v>836</v>
      </c>
    </row>
    <row r="1073" spans="5:6" ht="14.45" customHeight="1" outlineLevel="4" thickBot="1" x14ac:dyDescent="0.3"/>
    <row r="1074" spans="5:6" ht="14.45" customHeight="1" outlineLevel="3" thickBot="1" x14ac:dyDescent="0.3">
      <c r="F1074" s="28" t="s">
        <v>837</v>
      </c>
    </row>
    <row r="1075" spans="5:6" ht="14.45" customHeight="1" outlineLevel="4" thickBot="1" x14ac:dyDescent="0.3"/>
    <row r="1076" spans="5:6" ht="14.45" customHeight="1" outlineLevel="3" thickBot="1" x14ac:dyDescent="0.3">
      <c r="F1076" s="28" t="s">
        <v>838</v>
      </c>
    </row>
    <row r="1077" spans="5:6" ht="14.45" customHeight="1" outlineLevel="4" thickBot="1" x14ac:dyDescent="0.3"/>
    <row r="1078" spans="5:6" ht="14.45" customHeight="1" outlineLevel="3" thickBot="1" x14ac:dyDescent="0.3">
      <c r="F1078" s="28" t="s">
        <v>839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7" t="s">
        <v>840</v>
      </c>
    </row>
    <row r="1082" spans="5:6" ht="14.45" customHeight="1" outlineLevel="3" thickBot="1" x14ac:dyDescent="0.3">
      <c r="F1082" s="28" t="s">
        <v>841</v>
      </c>
    </row>
    <row r="1083" spans="5:6" ht="14.45" customHeight="1" outlineLevel="4" thickBot="1" x14ac:dyDescent="0.3"/>
    <row r="1084" spans="5:6" ht="14.45" customHeight="1" outlineLevel="3" thickBot="1" x14ac:dyDescent="0.3">
      <c r="F1084" s="28" t="s">
        <v>842</v>
      </c>
    </row>
    <row r="1085" spans="5:6" ht="14.45" customHeight="1" outlineLevel="4" thickBot="1" x14ac:dyDescent="0.3"/>
    <row r="1086" spans="5:6" ht="14.45" customHeight="1" outlineLevel="3" thickBot="1" x14ac:dyDescent="0.3">
      <c r="F1086" s="28" t="s">
        <v>843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5" t="s">
        <v>844</v>
      </c>
      <c r="D1091" s="25"/>
    </row>
    <row r="1092" spans="3:6" ht="14.45" customHeight="1" outlineLevel="1" thickBot="1" x14ac:dyDescent="0.3">
      <c r="D1092" s="26" t="s">
        <v>42</v>
      </c>
      <c r="E1092" s="2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6" t="s">
        <v>43</v>
      </c>
      <c r="E1096" s="26"/>
    </row>
    <row r="1097" spans="3:6" ht="14.45" customHeight="1" outlineLevel="2" thickBot="1" x14ac:dyDescent="0.3">
      <c r="E1097" s="27" t="s">
        <v>248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7" t="s">
        <v>845</v>
      </c>
    </row>
    <row r="1101" spans="3:6" ht="14.45" customHeight="1" outlineLevel="3" thickBot="1" x14ac:dyDescent="0.3">
      <c r="F1101" s="28" t="s">
        <v>846</v>
      </c>
    </row>
    <row r="1102" spans="3:6" ht="14.45" customHeight="1" outlineLevel="4" thickBot="1" x14ac:dyDescent="0.3"/>
    <row r="1103" spans="3:6" ht="14.45" customHeight="1" outlineLevel="3" thickBot="1" x14ac:dyDescent="0.3">
      <c r="F1103" s="28" t="s">
        <v>847</v>
      </c>
    </row>
    <row r="1104" spans="3:6" ht="14.45" customHeight="1" outlineLevel="4" thickBot="1" x14ac:dyDescent="0.3"/>
    <row r="1105" spans="3:7" ht="14.45" customHeight="1" outlineLevel="3" thickBot="1" x14ac:dyDescent="0.3">
      <c r="F1105" s="28" t="s">
        <v>848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7" t="s">
        <v>849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5" t="s">
        <v>850</v>
      </c>
      <c r="D1113" s="25"/>
    </row>
    <row r="1114" spans="3:7" ht="14.45" customHeight="1" outlineLevel="1" thickBot="1" x14ac:dyDescent="0.3">
      <c r="D1114" s="26" t="s">
        <v>44</v>
      </c>
      <c r="E1114" s="26"/>
    </row>
    <row r="1115" spans="3:7" ht="14.45" customHeight="1" outlineLevel="2" thickBot="1" x14ac:dyDescent="0.3">
      <c r="E1115" s="27" t="s">
        <v>851</v>
      </c>
    </row>
    <row r="1116" spans="3:7" ht="14.45" customHeight="1" outlineLevel="3" thickBot="1" x14ac:dyDescent="0.3">
      <c r="F1116" s="28" t="s">
        <v>338</v>
      </c>
    </row>
    <row r="1117" spans="3:7" ht="14.45" customHeight="1" outlineLevel="4" thickBot="1" x14ac:dyDescent="0.3">
      <c r="G1117" s="7" t="s">
        <v>339</v>
      </c>
    </row>
    <row r="1118" spans="3:7" ht="14.45" customHeight="1" outlineLevel="4" thickBot="1" x14ac:dyDescent="0.3">
      <c r="G1118" s="7" t="s">
        <v>340</v>
      </c>
    </row>
    <row r="1119" spans="3:7" ht="14.45" customHeight="1" outlineLevel="3" thickBot="1" x14ac:dyDescent="0.3">
      <c r="F1119" s="28" t="s">
        <v>1372</v>
      </c>
    </row>
    <row r="1120" spans="3:7" ht="14.45" customHeight="1" outlineLevel="4" thickBot="1" x14ac:dyDescent="0.3">
      <c r="G1120" s="7" t="s">
        <v>852</v>
      </c>
    </row>
    <row r="1121" spans="5:7" ht="14.45" customHeight="1" outlineLevel="4" thickBot="1" x14ac:dyDescent="0.3">
      <c r="G1121" s="7" t="s">
        <v>853</v>
      </c>
    </row>
    <row r="1122" spans="5:7" ht="14.45" customHeight="1" outlineLevel="4" thickBot="1" x14ac:dyDescent="0.3">
      <c r="G1122" s="7" t="s">
        <v>854</v>
      </c>
    </row>
    <row r="1123" spans="5:7" ht="14.45" customHeight="1" outlineLevel="4" thickBot="1" x14ac:dyDescent="0.3">
      <c r="G1123" s="7" t="s">
        <v>855</v>
      </c>
    </row>
    <row r="1124" spans="5:7" ht="14.45" customHeight="1" outlineLevel="4" thickBot="1" x14ac:dyDescent="0.3">
      <c r="G1124" s="7" t="s">
        <v>856</v>
      </c>
    </row>
    <row r="1125" spans="5:7" ht="14.45" customHeight="1" outlineLevel="3" thickBot="1" x14ac:dyDescent="0.3">
      <c r="F1125" s="28" t="s">
        <v>857</v>
      </c>
    </row>
    <row r="1126" spans="5:7" ht="14.45" customHeight="1" outlineLevel="4" thickBot="1" x14ac:dyDescent="0.3">
      <c r="G1126" s="7" t="s">
        <v>858</v>
      </c>
    </row>
    <row r="1127" spans="5:7" ht="14.45" customHeight="1" outlineLevel="4" thickBot="1" x14ac:dyDescent="0.3">
      <c r="G1127" s="7" t="s">
        <v>859</v>
      </c>
    </row>
    <row r="1128" spans="5:7" ht="14.45" customHeight="1" outlineLevel="3" thickBot="1" x14ac:dyDescent="0.3">
      <c r="F1128" s="28" t="s">
        <v>860</v>
      </c>
    </row>
    <row r="1129" spans="5:7" ht="14.45" customHeight="1" outlineLevel="4" thickBot="1" x14ac:dyDescent="0.3"/>
    <row r="1130" spans="5:7" ht="14.45" customHeight="1" outlineLevel="3" thickBot="1" x14ac:dyDescent="0.3">
      <c r="F1130" s="28" t="s">
        <v>861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7" t="s">
        <v>862</v>
      </c>
    </row>
    <row r="1134" spans="5:7" ht="14.45" customHeight="1" outlineLevel="3" thickBot="1" x14ac:dyDescent="0.3">
      <c r="F1134" s="28" t="s">
        <v>338</v>
      </c>
    </row>
    <row r="1135" spans="5:7" ht="14.45" customHeight="1" outlineLevel="4" thickBot="1" x14ac:dyDescent="0.3">
      <c r="G1135" s="7" t="s">
        <v>339</v>
      </c>
    </row>
    <row r="1136" spans="5:7" ht="14.45" customHeight="1" outlineLevel="4" thickBot="1" x14ac:dyDescent="0.3">
      <c r="G1136" s="7" t="s">
        <v>863</v>
      </c>
    </row>
    <row r="1137" spans="4:7" ht="14.45" customHeight="1" outlineLevel="3" thickBot="1" x14ac:dyDescent="0.3">
      <c r="F1137" s="28" t="s">
        <v>864</v>
      </c>
    </row>
    <row r="1138" spans="4:7" ht="14.45" customHeight="1" outlineLevel="4" thickBot="1" x14ac:dyDescent="0.3">
      <c r="G1138" s="7" t="s">
        <v>865</v>
      </c>
    </row>
    <row r="1139" spans="4:7" ht="14.45" customHeight="1" outlineLevel="4" thickBot="1" x14ac:dyDescent="0.3">
      <c r="G1139" s="7" t="s">
        <v>866</v>
      </c>
    </row>
    <row r="1140" spans="4:7" ht="14.45" customHeight="1" outlineLevel="4" thickBot="1" x14ac:dyDescent="0.3">
      <c r="G1140" s="7" t="s">
        <v>867</v>
      </c>
    </row>
    <row r="1141" spans="4:7" ht="14.45" customHeight="1" outlineLevel="4" thickBot="1" x14ac:dyDescent="0.3">
      <c r="G1141" s="7" t="s">
        <v>868</v>
      </c>
    </row>
    <row r="1142" spans="4:7" ht="14.45" customHeight="1" outlineLevel="3" thickBot="1" x14ac:dyDescent="0.3">
      <c r="F1142" s="28" t="s">
        <v>869</v>
      </c>
    </row>
    <row r="1143" spans="4:7" ht="14.45" customHeight="1" outlineLevel="4" thickBot="1" x14ac:dyDescent="0.3">
      <c r="G1143" s="7" t="s">
        <v>858</v>
      </c>
    </row>
    <row r="1144" spans="4:7" ht="14.45" customHeight="1" outlineLevel="4" thickBot="1" x14ac:dyDescent="0.3">
      <c r="G1144" s="7" t="s">
        <v>870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6" t="s">
        <v>45</v>
      </c>
      <c r="E1147" s="26"/>
    </row>
    <row r="1148" spans="4:7" ht="14.45" customHeight="1" outlineLevel="2" thickBot="1" x14ac:dyDescent="0.3">
      <c r="E1148" s="27" t="s">
        <v>871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7" t="s">
        <v>872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7" t="s">
        <v>873</v>
      </c>
    </row>
    <row r="1155" spans="5:6" ht="14.45" customHeight="1" outlineLevel="3" thickBot="1" x14ac:dyDescent="0.3">
      <c r="F1155" s="28" t="s">
        <v>874</v>
      </c>
    </row>
    <row r="1156" spans="5:6" ht="14.45" customHeight="1" outlineLevel="4" thickBot="1" x14ac:dyDescent="0.3"/>
    <row r="1157" spans="5:6" ht="14.45" customHeight="1" outlineLevel="3" thickBot="1" x14ac:dyDescent="0.3">
      <c r="F1157" s="28" t="s">
        <v>875</v>
      </c>
    </row>
    <row r="1158" spans="5:6" ht="14.45" customHeight="1" outlineLevel="4" thickBot="1" x14ac:dyDescent="0.3"/>
    <row r="1159" spans="5:6" ht="14.45" customHeight="1" outlineLevel="3" thickBot="1" x14ac:dyDescent="0.3">
      <c r="F1159" s="28" t="s">
        <v>876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7" t="s">
        <v>877</v>
      </c>
    </row>
    <row r="1163" spans="5:6" ht="14.45" customHeight="1" outlineLevel="3" thickBot="1" x14ac:dyDescent="0.3">
      <c r="F1163" s="28" t="s">
        <v>878</v>
      </c>
    </row>
    <row r="1164" spans="5:6" ht="14.45" customHeight="1" outlineLevel="4" thickBot="1" x14ac:dyDescent="0.3"/>
    <row r="1165" spans="5:6" ht="14.45" customHeight="1" outlineLevel="3" thickBot="1" x14ac:dyDescent="0.3">
      <c r="F1165" s="28" t="s">
        <v>879</v>
      </c>
    </row>
    <row r="1166" spans="5:6" ht="14.45" customHeight="1" outlineLevel="4" thickBot="1" x14ac:dyDescent="0.3"/>
    <row r="1167" spans="5:6" ht="14.45" customHeight="1" outlineLevel="3" thickBot="1" x14ac:dyDescent="0.3">
      <c r="F1167" s="28" t="s">
        <v>880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7" t="s">
        <v>881</v>
      </c>
    </row>
    <row r="1171" spans="4:7" ht="14.45" customHeight="1" outlineLevel="3" thickBot="1" x14ac:dyDescent="0.3">
      <c r="F1171" s="28" t="s">
        <v>882</v>
      </c>
    </row>
    <row r="1172" spans="4:7" ht="14.45" customHeight="1" outlineLevel="4" thickBot="1" x14ac:dyDescent="0.3"/>
    <row r="1173" spans="4:7" ht="14.45" customHeight="1" outlineLevel="3" thickBot="1" x14ac:dyDescent="0.3">
      <c r="F1173" s="28" t="s">
        <v>883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6" t="s">
        <v>46</v>
      </c>
      <c r="E1177" s="26"/>
    </row>
    <row r="1178" spans="4:7" ht="14.45" customHeight="1" outlineLevel="2" thickBot="1" x14ac:dyDescent="0.3">
      <c r="E1178" s="27" t="s">
        <v>884</v>
      </c>
    </row>
    <row r="1179" spans="4:7" ht="14.45" customHeight="1" outlineLevel="3" thickBot="1" x14ac:dyDescent="0.3">
      <c r="F1179" s="28" t="s">
        <v>292</v>
      </c>
    </row>
    <row r="1180" spans="4:7" ht="14.45" customHeight="1" outlineLevel="4" thickBot="1" x14ac:dyDescent="0.3"/>
    <row r="1181" spans="4:7" ht="14.45" customHeight="1" outlineLevel="3" thickBot="1" x14ac:dyDescent="0.3">
      <c r="F1181" s="28" t="s">
        <v>885</v>
      </c>
    </row>
    <row r="1182" spans="4:7" ht="14.45" customHeight="1" outlineLevel="4" thickBot="1" x14ac:dyDescent="0.3">
      <c r="G1182" s="7" t="s">
        <v>449</v>
      </c>
    </row>
    <row r="1183" spans="4:7" ht="14.45" customHeight="1" outlineLevel="4" thickBot="1" x14ac:dyDescent="0.3">
      <c r="G1183" s="7" t="s">
        <v>450</v>
      </c>
    </row>
    <row r="1184" spans="4:7" ht="14.45" customHeight="1" outlineLevel="4" thickBot="1" x14ac:dyDescent="0.3">
      <c r="G1184" s="7" t="s">
        <v>451</v>
      </c>
    </row>
    <row r="1185" spans="6:7" ht="14.45" customHeight="1" outlineLevel="4" thickBot="1" x14ac:dyDescent="0.3">
      <c r="G1185" s="7" t="s">
        <v>886</v>
      </c>
    </row>
    <row r="1186" spans="6:7" ht="14.45" customHeight="1" outlineLevel="3" thickBot="1" x14ac:dyDescent="0.3">
      <c r="F1186" s="28" t="s">
        <v>887</v>
      </c>
    </row>
    <row r="1187" spans="6:7" ht="14.45" customHeight="1" outlineLevel="4" thickBot="1" x14ac:dyDescent="0.3">
      <c r="G1187" s="7" t="s">
        <v>852</v>
      </c>
    </row>
    <row r="1188" spans="6:7" ht="14.45" customHeight="1" outlineLevel="4" thickBot="1" x14ac:dyDescent="0.3">
      <c r="G1188" s="7" t="s">
        <v>853</v>
      </c>
    </row>
    <row r="1189" spans="6:7" ht="14.45" customHeight="1" outlineLevel="4" thickBot="1" x14ac:dyDescent="0.3">
      <c r="G1189" s="7" t="s">
        <v>854</v>
      </c>
    </row>
    <row r="1190" spans="6:7" ht="14.45" customHeight="1" outlineLevel="4" thickBot="1" x14ac:dyDescent="0.3">
      <c r="G1190" s="7" t="s">
        <v>855</v>
      </c>
    </row>
    <row r="1191" spans="6:7" ht="14.45" customHeight="1" outlineLevel="3" thickBot="1" x14ac:dyDescent="0.3">
      <c r="F1191" s="28" t="s">
        <v>888</v>
      </c>
    </row>
    <row r="1192" spans="6:7" ht="14.45" customHeight="1" outlineLevel="4" thickBot="1" x14ac:dyDescent="0.3">
      <c r="G1192" s="7" t="s">
        <v>889</v>
      </c>
    </row>
    <row r="1193" spans="6:7" ht="14.45" customHeight="1" outlineLevel="4" thickBot="1" x14ac:dyDescent="0.3">
      <c r="G1193" s="7" t="s">
        <v>890</v>
      </c>
    </row>
    <row r="1194" spans="6:7" ht="14.45" customHeight="1" outlineLevel="4" thickBot="1" x14ac:dyDescent="0.3">
      <c r="G1194" s="7" t="s">
        <v>891</v>
      </c>
    </row>
    <row r="1195" spans="6:7" ht="14.45" customHeight="1" outlineLevel="4" thickBot="1" x14ac:dyDescent="0.3">
      <c r="G1195" s="7" t="s">
        <v>892</v>
      </c>
    </row>
    <row r="1196" spans="6:7" ht="14.45" customHeight="1" outlineLevel="3" thickBot="1" x14ac:dyDescent="0.3">
      <c r="F1196" s="28" t="s">
        <v>893</v>
      </c>
    </row>
    <row r="1197" spans="6:7" ht="14.45" customHeight="1" outlineLevel="4" thickBot="1" x14ac:dyDescent="0.3">
      <c r="G1197" s="7" t="s">
        <v>894</v>
      </c>
    </row>
    <row r="1198" spans="6:7" ht="14.45" customHeight="1" outlineLevel="4" thickBot="1" x14ac:dyDescent="0.3">
      <c r="G1198" s="7" t="s">
        <v>895</v>
      </c>
    </row>
    <row r="1199" spans="6:7" ht="14.45" customHeight="1" outlineLevel="4" thickBot="1" x14ac:dyDescent="0.3">
      <c r="G1199" s="7" t="s">
        <v>896</v>
      </c>
    </row>
    <row r="1200" spans="6:7" ht="14.45" customHeight="1" outlineLevel="3" thickBot="1" x14ac:dyDescent="0.3">
      <c r="F1200" s="28" t="s">
        <v>897</v>
      </c>
    </row>
    <row r="1201" spans="5:7" ht="14.45" customHeight="1" outlineLevel="4" thickBot="1" x14ac:dyDescent="0.3">
      <c r="G1201" s="7" t="s">
        <v>339</v>
      </c>
    </row>
    <row r="1202" spans="5:7" ht="14.45" customHeight="1" outlineLevel="4" thickBot="1" x14ac:dyDescent="0.3">
      <c r="G1202" s="7" t="s">
        <v>898</v>
      </c>
    </row>
    <row r="1203" spans="5:7" ht="14.45" customHeight="1" outlineLevel="4" thickBot="1" x14ac:dyDescent="0.3">
      <c r="G1203" s="7" t="s">
        <v>899</v>
      </c>
    </row>
    <row r="1204" spans="5:7" ht="14.45" customHeight="1" outlineLevel="4" thickBot="1" x14ac:dyDescent="0.3">
      <c r="G1204" s="7" t="s">
        <v>900</v>
      </c>
    </row>
    <row r="1205" spans="5:7" ht="14.45" customHeight="1" outlineLevel="3" thickBot="1" x14ac:dyDescent="0.3"/>
    <row r="1206" spans="5:7" ht="14.45" customHeight="1" outlineLevel="2" thickBot="1" x14ac:dyDescent="0.3">
      <c r="E1206" s="27" t="s">
        <v>901</v>
      </c>
    </row>
    <row r="1207" spans="5:7" ht="14.45" customHeight="1" outlineLevel="3" thickBot="1" x14ac:dyDescent="0.3">
      <c r="F1207" s="28" t="s">
        <v>292</v>
      </c>
    </row>
    <row r="1208" spans="5:7" ht="14.45" customHeight="1" outlineLevel="4" thickBot="1" x14ac:dyDescent="0.3"/>
    <row r="1209" spans="5:7" ht="14.45" customHeight="1" outlineLevel="3" thickBot="1" x14ac:dyDescent="0.3">
      <c r="F1209" s="28" t="s">
        <v>885</v>
      </c>
    </row>
    <row r="1210" spans="5:7" ht="14.45" customHeight="1" outlineLevel="4" thickBot="1" x14ac:dyDescent="0.3">
      <c r="G1210" s="7" t="s">
        <v>449</v>
      </c>
    </row>
    <row r="1211" spans="5:7" ht="14.45" customHeight="1" outlineLevel="4" thickBot="1" x14ac:dyDescent="0.3">
      <c r="G1211" s="7" t="s">
        <v>450</v>
      </c>
    </row>
    <row r="1212" spans="5:7" ht="14.45" customHeight="1" outlineLevel="4" thickBot="1" x14ac:dyDescent="0.3">
      <c r="G1212" s="7" t="s">
        <v>451</v>
      </c>
    </row>
    <row r="1213" spans="5:7" ht="14.45" customHeight="1" outlineLevel="3" thickBot="1" x14ac:dyDescent="0.3">
      <c r="F1213" s="28" t="s">
        <v>887</v>
      </c>
    </row>
    <row r="1214" spans="5:7" ht="14.45" customHeight="1" outlineLevel="4" thickBot="1" x14ac:dyDescent="0.3"/>
    <row r="1215" spans="5:7" ht="14.45" customHeight="1" outlineLevel="3" thickBot="1" x14ac:dyDescent="0.3">
      <c r="F1215" s="28" t="s">
        <v>902</v>
      </c>
    </row>
    <row r="1216" spans="5:7" ht="14.45" customHeight="1" outlineLevel="4" thickBot="1" x14ac:dyDescent="0.3"/>
    <row r="1217" spans="3:7" ht="14.45" customHeight="1" outlineLevel="3" thickBot="1" x14ac:dyDescent="0.3">
      <c r="F1217" s="28" t="s">
        <v>903</v>
      </c>
    </row>
    <row r="1218" spans="3:7" ht="14.45" customHeight="1" outlineLevel="4" thickBot="1" x14ac:dyDescent="0.3">
      <c r="G1218" s="7" t="s">
        <v>449</v>
      </c>
    </row>
    <row r="1219" spans="3:7" ht="14.45" customHeight="1" outlineLevel="4" thickBot="1" x14ac:dyDescent="0.3">
      <c r="G1219" s="7" t="s">
        <v>450</v>
      </c>
    </row>
    <row r="1220" spans="3:7" ht="14.45" customHeight="1" outlineLevel="4" thickBot="1" x14ac:dyDescent="0.3">
      <c r="G1220" s="7" t="s">
        <v>451</v>
      </c>
    </row>
    <row r="1221" spans="3:7" ht="14.45" customHeight="1" outlineLevel="3" thickBot="1" x14ac:dyDescent="0.3">
      <c r="F1221" s="28" t="s">
        <v>904</v>
      </c>
    </row>
    <row r="1222" spans="3:7" ht="14.45" customHeight="1" outlineLevel="4" thickBot="1" x14ac:dyDescent="0.3"/>
    <row r="1223" spans="3:7" ht="14.45" customHeight="1" outlineLevel="3" thickBot="1" x14ac:dyDescent="0.3">
      <c r="F1223" s="28" t="s">
        <v>905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5" t="s">
        <v>906</v>
      </c>
      <c r="D1228" s="25"/>
    </row>
    <row r="1229" spans="3:7" ht="14.45" customHeight="1" outlineLevel="1" thickBot="1" x14ac:dyDescent="0.3">
      <c r="D1229" s="26" t="s">
        <v>907</v>
      </c>
      <c r="E1229" s="26"/>
    </row>
    <row r="1230" spans="3:7" ht="14.45" customHeight="1" outlineLevel="2" thickBot="1" x14ac:dyDescent="0.3">
      <c r="E1230" s="27" t="s">
        <v>908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7" t="s">
        <v>909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6" t="s">
        <v>47</v>
      </c>
      <c r="E1237" s="26"/>
    </row>
    <row r="1238" spans="4:7" ht="14.45" customHeight="1" outlineLevel="2" thickBot="1" x14ac:dyDescent="0.3">
      <c r="E1238" s="27" t="s">
        <v>910</v>
      </c>
    </row>
    <row r="1239" spans="4:7" ht="14.45" customHeight="1" outlineLevel="3" thickBot="1" x14ac:dyDescent="0.3">
      <c r="F1239" s="28" t="s">
        <v>911</v>
      </c>
    </row>
    <row r="1240" spans="4:7" ht="14.45" customHeight="1" outlineLevel="4" thickBot="1" x14ac:dyDescent="0.3">
      <c r="G1240" s="7" t="s">
        <v>339</v>
      </c>
    </row>
    <row r="1241" spans="4:7" ht="14.45" customHeight="1" outlineLevel="4" thickBot="1" x14ac:dyDescent="0.3">
      <c r="G1241" s="7" t="s">
        <v>912</v>
      </c>
    </row>
    <row r="1242" spans="4:7" ht="14.45" customHeight="1" outlineLevel="3" thickBot="1" x14ac:dyDescent="0.3">
      <c r="F1242" s="28" t="s">
        <v>913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7" t="s">
        <v>914</v>
      </c>
    </row>
    <row r="1246" spans="4:7" ht="14.45" customHeight="1" outlineLevel="3" thickBot="1" x14ac:dyDescent="0.3">
      <c r="F1246" s="28" t="s">
        <v>338</v>
      </c>
    </row>
    <row r="1247" spans="4:7" ht="14.45" customHeight="1" outlineLevel="4" thickBot="1" x14ac:dyDescent="0.3">
      <c r="G1247" s="7" t="s">
        <v>915</v>
      </c>
    </row>
    <row r="1248" spans="4:7" ht="14.45" customHeight="1" outlineLevel="4" thickBot="1" x14ac:dyDescent="0.3">
      <c r="G1248" s="7" t="s">
        <v>916</v>
      </c>
    </row>
    <row r="1249" spans="5:7" ht="14.45" customHeight="1" outlineLevel="4" thickBot="1" x14ac:dyDescent="0.3">
      <c r="G1249" s="7" t="s">
        <v>917</v>
      </c>
    </row>
    <row r="1250" spans="5:7" ht="14.45" customHeight="1" outlineLevel="3" thickBot="1" x14ac:dyDescent="0.3">
      <c r="F1250" s="28" t="s">
        <v>918</v>
      </c>
    </row>
    <row r="1251" spans="5:7" ht="14.45" customHeight="1" outlineLevel="4" thickBot="1" x14ac:dyDescent="0.3">
      <c r="G1251" s="7" t="s">
        <v>919</v>
      </c>
    </row>
    <row r="1252" spans="5:7" ht="14.45" customHeight="1" outlineLevel="4" thickBot="1" x14ac:dyDescent="0.3">
      <c r="G1252" s="7" t="s">
        <v>920</v>
      </c>
    </row>
    <row r="1253" spans="5:7" ht="14.45" customHeight="1" outlineLevel="4" thickBot="1" x14ac:dyDescent="0.3">
      <c r="G1253" s="7" t="s">
        <v>921</v>
      </c>
    </row>
    <row r="1254" spans="5:7" ht="14.45" customHeight="1" outlineLevel="4" thickBot="1" x14ac:dyDescent="0.3">
      <c r="G1254" s="7" t="s">
        <v>922</v>
      </c>
    </row>
    <row r="1255" spans="5:7" ht="14.45" customHeight="1" outlineLevel="4" thickBot="1" x14ac:dyDescent="0.3">
      <c r="G1255" s="7" t="s">
        <v>923</v>
      </c>
    </row>
    <row r="1256" spans="5:7" ht="14.45" customHeight="1" outlineLevel="3" thickBot="1" x14ac:dyDescent="0.3">
      <c r="F1256" s="28" t="s">
        <v>924</v>
      </c>
    </row>
    <row r="1257" spans="5:7" ht="14.45" customHeight="1" outlineLevel="4" thickBot="1" x14ac:dyDescent="0.3">
      <c r="G1257" s="7" t="s">
        <v>449</v>
      </c>
    </row>
    <row r="1258" spans="5:7" ht="14.45" customHeight="1" outlineLevel="4" thickBot="1" x14ac:dyDescent="0.3">
      <c r="G1258" s="7" t="s">
        <v>450</v>
      </c>
    </row>
    <row r="1259" spans="5:7" ht="14.45" customHeight="1" outlineLevel="4" thickBot="1" x14ac:dyDescent="0.3">
      <c r="G1259" s="7" t="s">
        <v>451</v>
      </c>
    </row>
    <row r="1260" spans="5:7" ht="14.45" customHeight="1" outlineLevel="3" thickBot="1" x14ac:dyDescent="0.3"/>
    <row r="1261" spans="5:7" ht="14.45" customHeight="1" outlineLevel="2" thickBot="1" x14ac:dyDescent="0.3">
      <c r="E1261" s="27" t="s">
        <v>925</v>
      </c>
    </row>
    <row r="1262" spans="5:7" ht="14.45" customHeight="1" outlineLevel="3" thickBot="1" x14ac:dyDescent="0.3">
      <c r="F1262" s="28" t="s">
        <v>926</v>
      </c>
    </row>
    <row r="1263" spans="5:7" ht="14.45" customHeight="1" outlineLevel="4" thickBot="1" x14ac:dyDescent="0.3">
      <c r="G1263" s="7" t="s">
        <v>927</v>
      </c>
    </row>
    <row r="1264" spans="5:7" ht="14.45" customHeight="1" outlineLevel="4" thickBot="1" x14ac:dyDescent="0.3">
      <c r="G1264" s="7" t="s">
        <v>928</v>
      </c>
    </row>
    <row r="1265" spans="5:7" ht="14.45" customHeight="1" outlineLevel="4" thickBot="1" x14ac:dyDescent="0.3">
      <c r="G1265" s="7" t="s">
        <v>929</v>
      </c>
    </row>
    <row r="1266" spans="5:7" ht="14.45" customHeight="1" outlineLevel="3" thickBot="1" x14ac:dyDescent="0.3">
      <c r="F1266" s="28" t="s">
        <v>930</v>
      </c>
    </row>
    <row r="1267" spans="5:7" ht="14.45" customHeight="1" outlineLevel="4" thickBot="1" x14ac:dyDescent="0.3">
      <c r="G1267" s="7" t="s">
        <v>931</v>
      </c>
    </row>
    <row r="1268" spans="5:7" ht="14.45" customHeight="1" outlineLevel="4" thickBot="1" x14ac:dyDescent="0.3">
      <c r="G1268" s="7" t="s">
        <v>932</v>
      </c>
    </row>
    <row r="1269" spans="5:7" ht="14.45" customHeight="1" outlineLevel="3" thickBot="1" x14ac:dyDescent="0.3">
      <c r="F1269" s="28" t="s">
        <v>933</v>
      </c>
    </row>
    <row r="1270" spans="5:7" ht="14.45" customHeight="1" outlineLevel="4" thickBot="1" x14ac:dyDescent="0.3">
      <c r="G1270" s="7" t="s">
        <v>934</v>
      </c>
    </row>
    <row r="1271" spans="5:7" ht="14.45" customHeight="1" outlineLevel="4" thickBot="1" x14ac:dyDescent="0.3">
      <c r="G1271" s="7" t="s">
        <v>935</v>
      </c>
    </row>
    <row r="1272" spans="5:7" ht="14.45" customHeight="1" outlineLevel="4" thickBot="1" x14ac:dyDescent="0.3">
      <c r="G1272" s="7" t="s">
        <v>936</v>
      </c>
    </row>
    <row r="1273" spans="5:7" ht="14.45" customHeight="1" outlineLevel="4" thickBot="1" x14ac:dyDescent="0.3">
      <c r="G1273" s="7" t="s">
        <v>937</v>
      </c>
    </row>
    <row r="1274" spans="5:7" ht="14.45" customHeight="1" outlineLevel="4" thickBot="1" x14ac:dyDescent="0.3">
      <c r="G1274" s="7" t="s">
        <v>938</v>
      </c>
    </row>
    <row r="1275" spans="5:7" ht="14.45" customHeight="1" outlineLevel="3" thickBot="1" x14ac:dyDescent="0.3"/>
    <row r="1276" spans="5:7" ht="14.45" customHeight="1" outlineLevel="2" thickBot="1" x14ac:dyDescent="0.3">
      <c r="E1276" s="27" t="s">
        <v>939</v>
      </c>
    </row>
    <row r="1277" spans="5:7" ht="14.45" customHeight="1" outlineLevel="3" thickBot="1" x14ac:dyDescent="0.3">
      <c r="F1277" s="28" t="s">
        <v>940</v>
      </c>
    </row>
    <row r="1278" spans="5:7" ht="14.45" customHeight="1" outlineLevel="4" thickBot="1" x14ac:dyDescent="0.3"/>
    <row r="1279" spans="5:7" ht="14.45" customHeight="1" outlineLevel="3" thickBot="1" x14ac:dyDescent="0.3">
      <c r="F1279" s="28" t="s">
        <v>941</v>
      </c>
    </row>
    <row r="1280" spans="5:7" ht="14.45" customHeight="1" outlineLevel="4" thickBot="1" x14ac:dyDescent="0.3"/>
    <row r="1281" spans="6:7" ht="14.45" customHeight="1" outlineLevel="3" thickBot="1" x14ac:dyDescent="0.3">
      <c r="F1281" s="28" t="s">
        <v>942</v>
      </c>
    </row>
    <row r="1282" spans="6:7" ht="14.45" customHeight="1" outlineLevel="4" thickBot="1" x14ac:dyDescent="0.3"/>
    <row r="1283" spans="6:7" ht="14.45" customHeight="1" outlineLevel="3" thickBot="1" x14ac:dyDescent="0.3">
      <c r="F1283" s="28" t="s">
        <v>943</v>
      </c>
    </row>
    <row r="1284" spans="6:7" ht="14.45" customHeight="1" outlineLevel="4" thickBot="1" x14ac:dyDescent="0.3">
      <c r="G1284" s="7" t="s">
        <v>944</v>
      </c>
    </row>
    <row r="1285" spans="6:7" ht="14.45" customHeight="1" outlineLevel="4" thickBot="1" x14ac:dyDescent="0.3">
      <c r="G1285" s="7" t="s">
        <v>945</v>
      </c>
    </row>
    <row r="1286" spans="6:7" ht="14.45" customHeight="1" outlineLevel="3" thickBot="1" x14ac:dyDescent="0.3">
      <c r="F1286" s="28" t="s">
        <v>946</v>
      </c>
    </row>
    <row r="1287" spans="6:7" ht="14.45" customHeight="1" outlineLevel="4" thickBot="1" x14ac:dyDescent="0.3">
      <c r="G1287" s="7" t="s">
        <v>947</v>
      </c>
    </row>
    <row r="1288" spans="6:7" ht="14.45" customHeight="1" outlineLevel="4" thickBot="1" x14ac:dyDescent="0.3">
      <c r="G1288" s="7" t="s">
        <v>948</v>
      </c>
    </row>
    <row r="1289" spans="6:7" ht="14.45" customHeight="1" outlineLevel="4" thickBot="1" x14ac:dyDescent="0.3">
      <c r="G1289" s="7" t="s">
        <v>949</v>
      </c>
    </row>
    <row r="1290" spans="6:7" ht="14.45" customHeight="1" outlineLevel="4" thickBot="1" x14ac:dyDescent="0.3">
      <c r="G1290" s="7" t="s">
        <v>950</v>
      </c>
    </row>
    <row r="1291" spans="6:7" ht="14.45" customHeight="1" outlineLevel="4" thickBot="1" x14ac:dyDescent="0.3">
      <c r="G1291" s="7" t="s">
        <v>951</v>
      </c>
    </row>
    <row r="1292" spans="6:7" ht="14.45" customHeight="1" outlineLevel="3" thickBot="1" x14ac:dyDescent="0.3">
      <c r="F1292" s="28" t="s">
        <v>952</v>
      </c>
    </row>
    <row r="1293" spans="6:7" ht="14.45" customHeight="1" outlineLevel="4" thickBot="1" x14ac:dyDescent="0.3">
      <c r="G1293" s="7" t="s">
        <v>953</v>
      </c>
    </row>
    <row r="1294" spans="6:7" ht="14.45" customHeight="1" outlineLevel="4" thickBot="1" x14ac:dyDescent="0.3">
      <c r="G1294" s="7" t="s">
        <v>954</v>
      </c>
    </row>
    <row r="1295" spans="6:7" ht="14.45" customHeight="1" outlineLevel="4" thickBot="1" x14ac:dyDescent="0.3">
      <c r="G1295" s="7" t="s">
        <v>955</v>
      </c>
    </row>
    <row r="1296" spans="6:7" ht="14.45" customHeight="1" outlineLevel="3" thickBot="1" x14ac:dyDescent="0.3"/>
    <row r="1297" spans="3:7" ht="14.45" customHeight="1" outlineLevel="2" thickBot="1" x14ac:dyDescent="0.3">
      <c r="E1297" s="27" t="s">
        <v>956</v>
      </c>
    </row>
    <row r="1298" spans="3:7" ht="14.45" customHeight="1" outlineLevel="3" thickBot="1" x14ac:dyDescent="0.3">
      <c r="F1298" s="28" t="s">
        <v>957</v>
      </c>
    </row>
    <row r="1299" spans="3:7" ht="14.45" customHeight="1" outlineLevel="4" thickBot="1" x14ac:dyDescent="0.3"/>
    <row r="1300" spans="3:7" ht="14.45" customHeight="1" outlineLevel="3" thickBot="1" x14ac:dyDescent="0.3">
      <c r="F1300" s="28" t="s">
        <v>958</v>
      </c>
    </row>
    <row r="1301" spans="3:7" ht="14.45" customHeight="1" outlineLevel="4" thickBot="1" x14ac:dyDescent="0.3">
      <c r="G1301" s="7" t="s">
        <v>339</v>
      </c>
    </row>
    <row r="1302" spans="3:7" ht="14.45" customHeight="1" outlineLevel="4" thickBot="1" x14ac:dyDescent="0.3">
      <c r="G1302" s="7" t="s">
        <v>959</v>
      </c>
    </row>
    <row r="1303" spans="3:7" ht="14.45" customHeight="1" outlineLevel="4" thickBot="1" x14ac:dyDescent="0.3">
      <c r="G1303" s="7" t="s">
        <v>960</v>
      </c>
    </row>
    <row r="1304" spans="3:7" ht="14.45" customHeight="1" outlineLevel="3" thickBot="1" x14ac:dyDescent="0.3">
      <c r="F1304" s="28" t="s">
        <v>961</v>
      </c>
    </row>
    <row r="1305" spans="3:7" ht="14.45" customHeight="1" outlineLevel="4" thickBot="1" x14ac:dyDescent="0.3">
      <c r="G1305" s="7" t="s">
        <v>962</v>
      </c>
    </row>
    <row r="1306" spans="3:7" ht="14.45" customHeight="1" outlineLevel="4" thickBot="1" x14ac:dyDescent="0.3">
      <c r="G1306" s="7" t="s">
        <v>963</v>
      </c>
    </row>
    <row r="1307" spans="3:7" ht="14.45" customHeight="1" outlineLevel="4" thickBot="1" x14ac:dyDescent="0.3">
      <c r="G1307" s="7" t="s">
        <v>964</v>
      </c>
    </row>
    <row r="1308" spans="3:7" ht="14.45" customHeight="1" outlineLevel="4" thickBot="1" x14ac:dyDescent="0.3">
      <c r="G1308" s="7" t="s">
        <v>965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5" t="s">
        <v>966</v>
      </c>
      <c r="D1312" s="25"/>
    </row>
    <row r="1313" spans="4:7" ht="14.45" customHeight="1" outlineLevel="1" thickBot="1" x14ac:dyDescent="0.3">
      <c r="D1313" s="26" t="s">
        <v>48</v>
      </c>
      <c r="E1313" s="26"/>
    </row>
    <row r="1314" spans="4:7" ht="14.45" customHeight="1" outlineLevel="2" thickBot="1" x14ac:dyDescent="0.3">
      <c r="E1314" s="27" t="s">
        <v>967</v>
      </c>
    </row>
    <row r="1315" spans="4:7" ht="14.45" customHeight="1" outlineLevel="3" thickBot="1" x14ac:dyDescent="0.3">
      <c r="F1315" s="28" t="s">
        <v>338</v>
      </c>
    </row>
    <row r="1316" spans="4:7" ht="14.45" customHeight="1" outlineLevel="4" thickBot="1" x14ac:dyDescent="0.3">
      <c r="G1316" s="7" t="s">
        <v>968</v>
      </c>
    </row>
    <row r="1317" spans="4:7" ht="14.45" customHeight="1" outlineLevel="4" thickBot="1" x14ac:dyDescent="0.3">
      <c r="G1317" s="7" t="s">
        <v>969</v>
      </c>
    </row>
    <row r="1318" spans="4:7" ht="14.45" customHeight="1" outlineLevel="3" thickBot="1" x14ac:dyDescent="0.3">
      <c r="F1318" s="28" t="s">
        <v>970</v>
      </c>
    </row>
    <row r="1319" spans="4:7" ht="14.45" customHeight="1" outlineLevel="4" thickBot="1" x14ac:dyDescent="0.3">
      <c r="G1319" s="7" t="s">
        <v>971</v>
      </c>
    </row>
    <row r="1320" spans="4:7" ht="14.45" customHeight="1" outlineLevel="4" thickBot="1" x14ac:dyDescent="0.3">
      <c r="G1320" s="7" t="s">
        <v>972</v>
      </c>
    </row>
    <row r="1321" spans="4:7" ht="14.45" customHeight="1" outlineLevel="4" thickBot="1" x14ac:dyDescent="0.3">
      <c r="G1321" s="7" t="s">
        <v>973</v>
      </c>
    </row>
    <row r="1322" spans="4:7" ht="14.45" customHeight="1" outlineLevel="3" thickBot="1" x14ac:dyDescent="0.3"/>
    <row r="1323" spans="4:7" ht="14.45" customHeight="1" outlineLevel="2" thickBot="1" x14ac:dyDescent="0.3">
      <c r="E1323" s="27" t="s">
        <v>974</v>
      </c>
    </row>
    <row r="1324" spans="4:7" ht="14.45" customHeight="1" outlineLevel="3" thickBot="1" x14ac:dyDescent="0.3">
      <c r="F1324" s="28" t="s">
        <v>975</v>
      </c>
    </row>
    <row r="1325" spans="4:7" ht="14.45" customHeight="1" outlineLevel="4" thickBot="1" x14ac:dyDescent="0.3">
      <c r="G1325" s="7" t="s">
        <v>339</v>
      </c>
    </row>
    <row r="1326" spans="4:7" ht="14.45" customHeight="1" outlineLevel="4" thickBot="1" x14ac:dyDescent="0.3">
      <c r="G1326" s="7" t="s">
        <v>898</v>
      </c>
    </row>
    <row r="1327" spans="4:7" ht="14.45" customHeight="1" outlineLevel="4" thickBot="1" x14ac:dyDescent="0.3">
      <c r="G1327" s="7" t="s">
        <v>976</v>
      </c>
    </row>
    <row r="1328" spans="4:7" ht="14.45" customHeight="1" outlineLevel="4" thickBot="1" x14ac:dyDescent="0.3">
      <c r="G1328" s="7" t="s">
        <v>977</v>
      </c>
    </row>
    <row r="1329" spans="6:7" ht="14.45" customHeight="1" outlineLevel="4" thickBot="1" x14ac:dyDescent="0.3">
      <c r="G1329" s="7" t="s">
        <v>802</v>
      </c>
    </row>
    <row r="1330" spans="6:7" ht="14.45" customHeight="1" outlineLevel="3" thickBot="1" x14ac:dyDescent="0.3">
      <c r="F1330" s="28" t="s">
        <v>978</v>
      </c>
    </row>
    <row r="1331" spans="6:7" ht="14.45" customHeight="1" outlineLevel="4" thickBot="1" x14ac:dyDescent="0.3">
      <c r="G1331" s="7" t="s">
        <v>339</v>
      </c>
    </row>
    <row r="1332" spans="6:7" ht="14.45" customHeight="1" outlineLevel="4" thickBot="1" x14ac:dyDescent="0.3">
      <c r="G1332" s="7" t="s">
        <v>898</v>
      </c>
    </row>
    <row r="1333" spans="6:7" ht="14.45" customHeight="1" outlineLevel="4" thickBot="1" x14ac:dyDescent="0.3">
      <c r="G1333" s="7" t="s">
        <v>976</v>
      </c>
    </row>
    <row r="1334" spans="6:7" ht="14.45" customHeight="1" outlineLevel="4" thickBot="1" x14ac:dyDescent="0.3">
      <c r="G1334" s="7" t="s">
        <v>977</v>
      </c>
    </row>
    <row r="1335" spans="6:7" ht="14.45" customHeight="1" outlineLevel="3" thickBot="1" x14ac:dyDescent="0.3">
      <c r="F1335" s="28" t="s">
        <v>979</v>
      </c>
    </row>
    <row r="1336" spans="6:7" ht="14.45" customHeight="1" outlineLevel="4" thickBot="1" x14ac:dyDescent="0.3">
      <c r="G1336" s="7" t="s">
        <v>339</v>
      </c>
    </row>
    <row r="1337" spans="6:7" ht="14.45" customHeight="1" outlineLevel="4" thickBot="1" x14ac:dyDescent="0.3">
      <c r="G1337" s="7" t="s">
        <v>898</v>
      </c>
    </row>
    <row r="1338" spans="6:7" ht="14.45" customHeight="1" outlineLevel="4" thickBot="1" x14ac:dyDescent="0.3">
      <c r="G1338" s="7" t="s">
        <v>976</v>
      </c>
    </row>
    <row r="1339" spans="6:7" ht="14.45" customHeight="1" outlineLevel="4" thickBot="1" x14ac:dyDescent="0.3">
      <c r="G1339" s="7" t="s">
        <v>977</v>
      </c>
    </row>
    <row r="1340" spans="6:7" ht="14.45" customHeight="1" outlineLevel="3" thickBot="1" x14ac:dyDescent="0.3">
      <c r="F1340" s="28" t="s">
        <v>980</v>
      </c>
    </row>
    <row r="1341" spans="6:7" ht="14.45" customHeight="1" outlineLevel="4" thickBot="1" x14ac:dyDescent="0.3">
      <c r="G1341" s="7" t="s">
        <v>339</v>
      </c>
    </row>
    <row r="1342" spans="6:7" ht="14.45" customHeight="1" outlineLevel="4" thickBot="1" x14ac:dyDescent="0.3">
      <c r="G1342" s="7" t="s">
        <v>981</v>
      </c>
    </row>
    <row r="1343" spans="6:7" ht="14.45" customHeight="1" outlineLevel="4" thickBot="1" x14ac:dyDescent="0.3">
      <c r="G1343" s="7" t="s">
        <v>982</v>
      </c>
    </row>
    <row r="1344" spans="6:7" ht="14.45" customHeight="1" outlineLevel="4" thickBot="1" x14ac:dyDescent="0.3">
      <c r="G1344" s="7" t="s">
        <v>983</v>
      </c>
    </row>
    <row r="1345" spans="4:7" ht="14.45" customHeight="1" outlineLevel="4" thickBot="1" x14ac:dyDescent="0.3">
      <c r="G1345" s="7" t="s">
        <v>984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6" t="s">
        <v>49</v>
      </c>
      <c r="E1348" s="26"/>
    </row>
    <row r="1349" spans="4:7" ht="14.45" customHeight="1" outlineLevel="2" thickBot="1" x14ac:dyDescent="0.3">
      <c r="E1349" s="27" t="s">
        <v>985</v>
      </c>
    </row>
    <row r="1350" spans="4:7" ht="14.45" customHeight="1" outlineLevel="3" thickBot="1" x14ac:dyDescent="0.3">
      <c r="F1350" s="28" t="s">
        <v>986</v>
      </c>
    </row>
    <row r="1351" spans="4:7" ht="14.45" customHeight="1" outlineLevel="4" thickBot="1" x14ac:dyDescent="0.3"/>
    <row r="1352" spans="4:7" ht="14.45" customHeight="1" outlineLevel="3" thickBot="1" x14ac:dyDescent="0.3">
      <c r="F1352" s="28" t="s">
        <v>987</v>
      </c>
    </row>
    <row r="1353" spans="4:7" ht="14.45" customHeight="1" outlineLevel="4" thickBot="1" x14ac:dyDescent="0.3">
      <c r="G1353" s="7" t="s">
        <v>988</v>
      </c>
    </row>
    <row r="1354" spans="4:7" ht="14.45" customHeight="1" outlineLevel="4" thickBot="1" x14ac:dyDescent="0.3">
      <c r="G1354" s="7" t="s">
        <v>989</v>
      </c>
    </row>
    <row r="1355" spans="4:7" ht="14.45" customHeight="1" outlineLevel="4" thickBot="1" x14ac:dyDescent="0.3">
      <c r="G1355" s="7" t="s">
        <v>990</v>
      </c>
    </row>
    <row r="1356" spans="4:7" ht="14.45" customHeight="1" outlineLevel="3" thickBot="1" x14ac:dyDescent="0.3">
      <c r="F1356" s="28" t="s">
        <v>991</v>
      </c>
    </row>
    <row r="1357" spans="4:7" ht="14.45" customHeight="1" outlineLevel="4" thickBot="1" x14ac:dyDescent="0.3">
      <c r="G1357" s="7" t="s">
        <v>992</v>
      </c>
    </row>
    <row r="1358" spans="4:7" ht="14.45" customHeight="1" outlineLevel="4" thickBot="1" x14ac:dyDescent="0.3">
      <c r="G1358" s="7" t="s">
        <v>993</v>
      </c>
    </row>
    <row r="1359" spans="4:7" ht="14.45" customHeight="1" outlineLevel="4" thickBot="1" x14ac:dyDescent="0.3">
      <c r="G1359" s="7" t="s">
        <v>994</v>
      </c>
    </row>
    <row r="1360" spans="4:7" ht="14.45" customHeight="1" outlineLevel="3" thickBot="1" x14ac:dyDescent="0.3">
      <c r="F1360" s="28" t="s">
        <v>995</v>
      </c>
    </row>
    <row r="1361" spans="5:7" ht="14.45" customHeight="1" outlineLevel="4" thickBot="1" x14ac:dyDescent="0.3">
      <c r="G1361" s="7" t="s">
        <v>996</v>
      </c>
    </row>
    <row r="1362" spans="5:7" ht="14.45" customHeight="1" outlineLevel="4" thickBot="1" x14ac:dyDescent="0.3">
      <c r="G1362" s="7" t="s">
        <v>997</v>
      </c>
    </row>
    <row r="1363" spans="5:7" ht="14.45" customHeight="1" outlineLevel="4" thickBot="1" x14ac:dyDescent="0.3">
      <c r="G1363" s="7" t="s">
        <v>998</v>
      </c>
    </row>
    <row r="1364" spans="5:7" ht="14.45" customHeight="1" outlineLevel="4" thickBot="1" x14ac:dyDescent="0.3">
      <c r="G1364" s="7" t="s">
        <v>999</v>
      </c>
    </row>
    <row r="1365" spans="5:7" ht="14.45" customHeight="1" outlineLevel="4" thickBot="1" x14ac:dyDescent="0.3">
      <c r="G1365" s="7" t="s">
        <v>1000</v>
      </c>
    </row>
    <row r="1366" spans="5:7" ht="14.45" customHeight="1" outlineLevel="3" thickBot="1" x14ac:dyDescent="0.3">
      <c r="F1366" s="28" t="s">
        <v>1001</v>
      </c>
    </row>
    <row r="1367" spans="5:7" ht="14.45" customHeight="1" outlineLevel="4" thickBot="1" x14ac:dyDescent="0.3"/>
    <row r="1368" spans="5:7" ht="14.45" customHeight="1" outlineLevel="3" thickBot="1" x14ac:dyDescent="0.3">
      <c r="F1368" s="28" t="s">
        <v>1002</v>
      </c>
    </row>
    <row r="1369" spans="5:7" ht="14.45" customHeight="1" outlineLevel="4" thickBot="1" x14ac:dyDescent="0.3">
      <c r="G1369" s="7" t="s">
        <v>1003</v>
      </c>
    </row>
    <row r="1370" spans="5:7" ht="14.45" customHeight="1" outlineLevel="4" thickBot="1" x14ac:dyDescent="0.3">
      <c r="G1370" s="7" t="s">
        <v>1004</v>
      </c>
    </row>
    <row r="1371" spans="5:7" ht="14.45" customHeight="1" outlineLevel="4" thickBot="1" x14ac:dyDescent="0.3">
      <c r="G1371" s="7" t="s">
        <v>1005</v>
      </c>
    </row>
    <row r="1372" spans="5:7" ht="14.45" customHeight="1" outlineLevel="3" thickBot="1" x14ac:dyDescent="0.3"/>
    <row r="1373" spans="5:7" ht="14.45" customHeight="1" outlineLevel="2" thickBot="1" x14ac:dyDescent="0.3">
      <c r="E1373" s="27" t="s">
        <v>1006</v>
      </c>
    </row>
    <row r="1374" spans="5:7" ht="14.45" customHeight="1" outlineLevel="3" thickBot="1" x14ac:dyDescent="0.3">
      <c r="F1374" s="28" t="s">
        <v>1007</v>
      </c>
    </row>
    <row r="1375" spans="5:7" ht="14.45" customHeight="1" outlineLevel="4" thickBot="1" x14ac:dyDescent="0.3"/>
    <row r="1376" spans="5:7" ht="14.45" customHeight="1" outlineLevel="3" thickBot="1" x14ac:dyDescent="0.3">
      <c r="F1376" s="28" t="s">
        <v>362</v>
      </c>
    </row>
    <row r="1377" spans="5:7" ht="14.45" customHeight="1" outlineLevel="4" thickBot="1" x14ac:dyDescent="0.3">
      <c r="G1377" s="7" t="s">
        <v>996</v>
      </c>
    </row>
    <row r="1378" spans="5:7" ht="14.45" customHeight="1" outlineLevel="4" thickBot="1" x14ac:dyDescent="0.3">
      <c r="G1378" s="7" t="s">
        <v>997</v>
      </c>
    </row>
    <row r="1379" spans="5:7" ht="14.45" customHeight="1" outlineLevel="4" thickBot="1" x14ac:dyDescent="0.3">
      <c r="G1379" s="7" t="s">
        <v>1008</v>
      </c>
    </row>
    <row r="1380" spans="5:7" ht="14.45" customHeight="1" outlineLevel="4" thickBot="1" x14ac:dyDescent="0.3">
      <c r="G1380" s="7" t="s">
        <v>1009</v>
      </c>
    </row>
    <row r="1381" spans="5:7" ht="14.45" customHeight="1" outlineLevel="4" thickBot="1" x14ac:dyDescent="0.3">
      <c r="G1381" s="7" t="s">
        <v>1010</v>
      </c>
    </row>
    <row r="1382" spans="5:7" ht="14.45" customHeight="1" outlineLevel="3" thickBot="1" x14ac:dyDescent="0.3">
      <c r="F1382" s="28" t="s">
        <v>363</v>
      </c>
    </row>
    <row r="1383" spans="5:7" ht="14.45" customHeight="1" outlineLevel="4" thickBot="1" x14ac:dyDescent="0.3"/>
    <row r="1384" spans="5:7" ht="14.45" customHeight="1" outlineLevel="3" thickBot="1" x14ac:dyDescent="0.3">
      <c r="F1384" s="28" t="s">
        <v>1011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7" t="s">
        <v>1012</v>
      </c>
    </row>
    <row r="1388" spans="5:7" ht="14.45" customHeight="1" outlineLevel="3" thickBot="1" x14ac:dyDescent="0.3">
      <c r="F1388" s="28" t="s">
        <v>1013</v>
      </c>
    </row>
    <row r="1389" spans="5:7" ht="14.45" customHeight="1" outlineLevel="4" thickBot="1" x14ac:dyDescent="0.3">
      <c r="G1389" s="7" t="s">
        <v>1014</v>
      </c>
    </row>
    <row r="1390" spans="5:7" ht="14.45" customHeight="1" outlineLevel="4" thickBot="1" x14ac:dyDescent="0.3">
      <c r="G1390" s="7" t="s">
        <v>1015</v>
      </c>
    </row>
    <row r="1391" spans="5:7" ht="14.45" customHeight="1" outlineLevel="3" thickBot="1" x14ac:dyDescent="0.3">
      <c r="F1391" s="28" t="s">
        <v>1016</v>
      </c>
    </row>
    <row r="1392" spans="5:7" ht="14.45" customHeight="1" outlineLevel="4" thickBot="1" x14ac:dyDescent="0.3">
      <c r="G1392" s="7" t="s">
        <v>1017</v>
      </c>
    </row>
    <row r="1393" spans="6:7" ht="14.45" customHeight="1" outlineLevel="4" thickBot="1" x14ac:dyDescent="0.3">
      <c r="G1393" s="7" t="s">
        <v>1018</v>
      </c>
    </row>
    <row r="1394" spans="6:7" ht="14.45" customHeight="1" outlineLevel="3" thickBot="1" x14ac:dyDescent="0.3">
      <c r="F1394" s="28" t="s">
        <v>1019</v>
      </c>
    </row>
    <row r="1395" spans="6:7" ht="14.45" customHeight="1" outlineLevel="4" thickBot="1" x14ac:dyDescent="0.3">
      <c r="G1395" s="7" t="s">
        <v>1020</v>
      </c>
    </row>
    <row r="1396" spans="6:7" ht="14.45" customHeight="1" outlineLevel="4" thickBot="1" x14ac:dyDescent="0.3">
      <c r="G1396" s="7" t="s">
        <v>1021</v>
      </c>
    </row>
    <row r="1397" spans="6:7" ht="14.45" customHeight="1" outlineLevel="3" thickBot="1" x14ac:dyDescent="0.3">
      <c r="F1397" s="28" t="s">
        <v>1022</v>
      </c>
    </row>
    <row r="1398" spans="6:7" ht="14.45" customHeight="1" outlineLevel="4" thickBot="1" x14ac:dyDescent="0.3">
      <c r="G1398" s="7" t="s">
        <v>996</v>
      </c>
    </row>
    <row r="1399" spans="6:7" ht="14.45" customHeight="1" outlineLevel="4" thickBot="1" x14ac:dyDescent="0.3">
      <c r="G1399" s="7" t="s">
        <v>1023</v>
      </c>
    </row>
    <row r="1400" spans="6:7" ht="14.45" customHeight="1" outlineLevel="4" thickBot="1" x14ac:dyDescent="0.3">
      <c r="G1400" s="7" t="s">
        <v>1024</v>
      </c>
    </row>
    <row r="1401" spans="6:7" ht="14.45" customHeight="1" outlineLevel="4" thickBot="1" x14ac:dyDescent="0.3">
      <c r="G1401" s="7" t="s">
        <v>1025</v>
      </c>
    </row>
    <row r="1402" spans="6:7" ht="14.45" customHeight="1" outlineLevel="4" thickBot="1" x14ac:dyDescent="0.3">
      <c r="G1402" s="7" t="s">
        <v>1026</v>
      </c>
    </row>
    <row r="1403" spans="6:7" ht="14.45" customHeight="1" outlineLevel="3" thickBot="1" x14ac:dyDescent="0.3">
      <c r="F1403" s="28" t="s">
        <v>1027</v>
      </c>
    </row>
    <row r="1404" spans="6:7" ht="14.45" customHeight="1" outlineLevel="4" thickBot="1" x14ac:dyDescent="0.3">
      <c r="G1404" s="7" t="s">
        <v>1028</v>
      </c>
    </row>
    <row r="1405" spans="6:7" ht="14.45" customHeight="1" outlineLevel="4" thickBot="1" x14ac:dyDescent="0.3">
      <c r="G1405" s="7" t="s">
        <v>1029</v>
      </c>
    </row>
    <row r="1406" spans="6:7" ht="14.45" customHeight="1" outlineLevel="3" thickBot="1" x14ac:dyDescent="0.3">
      <c r="F1406" s="28" t="s">
        <v>1030</v>
      </c>
    </row>
    <row r="1407" spans="6:7" ht="14.45" customHeight="1" outlineLevel="4" thickBot="1" x14ac:dyDescent="0.3">
      <c r="G1407" s="7" t="s">
        <v>1031</v>
      </c>
    </row>
    <row r="1408" spans="6:7" ht="14.45" customHeight="1" outlineLevel="4" thickBot="1" x14ac:dyDescent="0.3">
      <c r="G1408" s="7" t="s">
        <v>1032</v>
      </c>
    </row>
    <row r="1409" spans="3:7" ht="14.45" customHeight="1" outlineLevel="4" thickBot="1" x14ac:dyDescent="0.3">
      <c r="G1409" s="7" t="s">
        <v>1033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5" t="s">
        <v>1034</v>
      </c>
      <c r="D1413" s="25"/>
    </row>
    <row r="1414" spans="3:7" ht="14.45" customHeight="1" outlineLevel="1" thickBot="1" x14ac:dyDescent="0.3">
      <c r="D1414" s="26" t="s">
        <v>50</v>
      </c>
      <c r="E1414" s="26"/>
    </row>
    <row r="1415" spans="3:7" ht="14.45" customHeight="1" outlineLevel="2" thickBot="1" x14ac:dyDescent="0.3">
      <c r="E1415" s="27" t="s">
        <v>1035</v>
      </c>
    </row>
    <row r="1416" spans="3:7" ht="14.45" customHeight="1" outlineLevel="3" thickBot="1" x14ac:dyDescent="0.3">
      <c r="F1416" s="28" t="s">
        <v>292</v>
      </c>
    </row>
    <row r="1417" spans="3:7" ht="14.45" customHeight="1" outlineLevel="4" thickBot="1" x14ac:dyDescent="0.3">
      <c r="G1417" s="7" t="s">
        <v>1036</v>
      </c>
    </row>
    <row r="1418" spans="3:7" ht="14.45" customHeight="1" outlineLevel="4" thickBot="1" x14ac:dyDescent="0.3">
      <c r="G1418" s="7" t="s">
        <v>1015</v>
      </c>
    </row>
    <row r="1419" spans="3:7" ht="14.45" customHeight="1" outlineLevel="4" thickBot="1" x14ac:dyDescent="0.3">
      <c r="G1419" s="7" t="s">
        <v>1037</v>
      </c>
    </row>
    <row r="1420" spans="3:7" ht="14.45" customHeight="1" outlineLevel="3" thickBot="1" x14ac:dyDescent="0.3">
      <c r="F1420" s="28" t="s">
        <v>1038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7" t="s">
        <v>1039</v>
      </c>
    </row>
    <row r="1424" spans="3:7" ht="14.45" customHeight="1" outlineLevel="3" thickBot="1" x14ac:dyDescent="0.3">
      <c r="F1424" s="28" t="s">
        <v>1040</v>
      </c>
    </row>
    <row r="1425" spans="5:7" ht="14.45" customHeight="1" outlineLevel="4" thickBot="1" x14ac:dyDescent="0.3"/>
    <row r="1426" spans="5:7" ht="14.45" customHeight="1" outlineLevel="3" thickBot="1" x14ac:dyDescent="0.3">
      <c r="F1426" s="28" t="s">
        <v>1041</v>
      </c>
    </row>
    <row r="1427" spans="5:7" ht="14.45" customHeight="1" outlineLevel="4" thickBot="1" x14ac:dyDescent="0.3">
      <c r="G1427" s="7" t="s">
        <v>339</v>
      </c>
    </row>
    <row r="1428" spans="5:7" ht="14.45" customHeight="1" outlineLevel="4" thickBot="1" x14ac:dyDescent="0.3">
      <c r="G1428" s="7" t="s">
        <v>1042</v>
      </c>
    </row>
    <row r="1429" spans="5:7" ht="14.45" customHeight="1" outlineLevel="3" thickBot="1" x14ac:dyDescent="0.3">
      <c r="F1429" s="28" t="s">
        <v>1043</v>
      </c>
    </row>
    <row r="1430" spans="5:7" ht="14.45" customHeight="1" outlineLevel="4" thickBot="1" x14ac:dyDescent="0.3">
      <c r="G1430" s="7" t="s">
        <v>1044</v>
      </c>
    </row>
    <row r="1431" spans="5:7" ht="14.45" customHeight="1" outlineLevel="4" thickBot="1" x14ac:dyDescent="0.3">
      <c r="G1431" s="7" t="s">
        <v>1045</v>
      </c>
    </row>
    <row r="1432" spans="5:7" ht="14.45" customHeight="1" outlineLevel="4" thickBot="1" x14ac:dyDescent="0.3">
      <c r="G1432" s="7" t="s">
        <v>1046</v>
      </c>
    </row>
    <row r="1433" spans="5:7" ht="14.45" customHeight="1" outlineLevel="3" thickBot="1" x14ac:dyDescent="0.3"/>
    <row r="1434" spans="5:7" ht="14.45" customHeight="1" outlineLevel="2" thickBot="1" x14ac:dyDescent="0.3">
      <c r="E1434" s="27" t="s">
        <v>1047</v>
      </c>
    </row>
    <row r="1435" spans="5:7" ht="14.45" customHeight="1" outlineLevel="3" thickBot="1" x14ac:dyDescent="0.3">
      <c r="F1435" s="28" t="s">
        <v>292</v>
      </c>
    </row>
    <row r="1436" spans="5:7" ht="14.45" customHeight="1" outlineLevel="4" thickBot="1" x14ac:dyDescent="0.3"/>
    <row r="1437" spans="5:7" ht="14.45" customHeight="1" outlineLevel="3" thickBot="1" x14ac:dyDescent="0.3">
      <c r="F1437" s="28" t="s">
        <v>1048</v>
      </c>
    </row>
    <row r="1438" spans="5:7" ht="14.45" customHeight="1" outlineLevel="4" thickBot="1" x14ac:dyDescent="0.3">
      <c r="G1438" s="7" t="s">
        <v>339</v>
      </c>
    </row>
    <row r="1439" spans="5:7" ht="14.45" customHeight="1" outlineLevel="4" thickBot="1" x14ac:dyDescent="0.3">
      <c r="G1439" s="7" t="s">
        <v>1049</v>
      </c>
    </row>
    <row r="1440" spans="5:7" ht="14.45" customHeight="1" outlineLevel="4" thickBot="1" x14ac:dyDescent="0.3">
      <c r="G1440" s="7" t="s">
        <v>1050</v>
      </c>
    </row>
    <row r="1441" spans="5:7" ht="14.45" customHeight="1" outlineLevel="3" thickBot="1" x14ac:dyDescent="0.3">
      <c r="F1441" s="28" t="s">
        <v>1051</v>
      </c>
    </row>
    <row r="1442" spans="5:7" ht="14.45" customHeight="1" outlineLevel="4" thickBot="1" x14ac:dyDescent="0.3">
      <c r="G1442" s="7" t="s">
        <v>339</v>
      </c>
    </row>
    <row r="1443" spans="5:7" ht="14.45" customHeight="1" outlineLevel="4" thickBot="1" x14ac:dyDescent="0.3">
      <c r="G1443" s="7" t="s">
        <v>1049</v>
      </c>
    </row>
    <row r="1444" spans="5:7" ht="14.45" customHeight="1" outlineLevel="4" thickBot="1" x14ac:dyDescent="0.3">
      <c r="G1444" s="7" t="s">
        <v>1050</v>
      </c>
    </row>
    <row r="1445" spans="5:7" ht="14.45" customHeight="1" outlineLevel="3" thickBot="1" x14ac:dyDescent="0.3"/>
    <row r="1446" spans="5:7" ht="14.45" customHeight="1" outlineLevel="2" thickBot="1" x14ac:dyDescent="0.3">
      <c r="E1446" s="27" t="s">
        <v>1052</v>
      </c>
    </row>
    <row r="1447" spans="5:7" ht="14.45" customHeight="1" outlineLevel="3" thickBot="1" x14ac:dyDescent="0.3">
      <c r="F1447" s="28" t="s">
        <v>292</v>
      </c>
    </row>
    <row r="1448" spans="5:7" ht="14.45" customHeight="1" outlineLevel="4" thickBot="1" x14ac:dyDescent="0.3">
      <c r="G1448" s="7" t="s">
        <v>1053</v>
      </c>
    </row>
    <row r="1449" spans="5:7" ht="14.45" customHeight="1" outlineLevel="4" thickBot="1" x14ac:dyDescent="0.3">
      <c r="G1449" s="7" t="s">
        <v>1015</v>
      </c>
    </row>
    <row r="1450" spans="5:7" ht="14.45" customHeight="1" outlineLevel="3" thickBot="1" x14ac:dyDescent="0.3">
      <c r="F1450" s="28" t="s">
        <v>1054</v>
      </c>
    </row>
    <row r="1451" spans="5:7" ht="14.45" customHeight="1" outlineLevel="4" thickBot="1" x14ac:dyDescent="0.3">
      <c r="G1451" s="7" t="s">
        <v>1055</v>
      </c>
    </row>
    <row r="1452" spans="5:7" ht="14.45" customHeight="1" outlineLevel="4" thickBot="1" x14ac:dyDescent="0.3">
      <c r="G1452" s="7" t="s">
        <v>1056</v>
      </c>
    </row>
    <row r="1453" spans="5:7" ht="14.45" customHeight="1" outlineLevel="4" thickBot="1" x14ac:dyDescent="0.3">
      <c r="G1453" s="7" t="s">
        <v>1057</v>
      </c>
    </row>
    <row r="1454" spans="5:7" ht="14.45" customHeight="1" outlineLevel="3" thickBot="1" x14ac:dyDescent="0.3">
      <c r="F1454" s="28" t="s">
        <v>1058</v>
      </c>
    </row>
    <row r="1455" spans="5:7" ht="14.45" customHeight="1" outlineLevel="4" thickBot="1" x14ac:dyDescent="0.3">
      <c r="G1455" s="7" t="s">
        <v>1059</v>
      </c>
    </row>
    <row r="1456" spans="5:7" ht="14.45" customHeight="1" outlineLevel="4" thickBot="1" x14ac:dyDescent="0.3">
      <c r="G1456" s="7" t="s">
        <v>1060</v>
      </c>
    </row>
    <row r="1457" spans="5:7" ht="14.45" customHeight="1" outlineLevel="3" thickBot="1" x14ac:dyDescent="0.3">
      <c r="F1457" s="28" t="s">
        <v>1061</v>
      </c>
    </row>
    <row r="1458" spans="5:7" ht="14.45" customHeight="1" outlineLevel="4" thickBot="1" x14ac:dyDescent="0.3">
      <c r="G1458" s="7" t="s">
        <v>1062</v>
      </c>
    </row>
    <row r="1459" spans="5:7" ht="14.45" customHeight="1" outlineLevel="4" thickBot="1" x14ac:dyDescent="0.3">
      <c r="G1459" s="7" t="s">
        <v>1063</v>
      </c>
    </row>
    <row r="1460" spans="5:7" ht="14.45" customHeight="1" outlineLevel="4" thickBot="1" x14ac:dyDescent="0.3">
      <c r="G1460" s="7" t="s">
        <v>1064</v>
      </c>
    </row>
    <row r="1461" spans="5:7" ht="14.45" customHeight="1" outlineLevel="4" thickBot="1" x14ac:dyDescent="0.3">
      <c r="G1461" s="7" t="s">
        <v>1065</v>
      </c>
    </row>
    <row r="1462" spans="5:7" ht="14.45" customHeight="1" outlineLevel="4" thickBot="1" x14ac:dyDescent="0.3">
      <c r="G1462" s="7" t="s">
        <v>1066</v>
      </c>
    </row>
    <row r="1463" spans="5:7" ht="14.45" customHeight="1" outlineLevel="3" thickBot="1" x14ac:dyDescent="0.3"/>
    <row r="1464" spans="5:7" ht="14.45" customHeight="1" outlineLevel="2" thickBot="1" x14ac:dyDescent="0.3">
      <c r="E1464" s="27" t="s">
        <v>1067</v>
      </c>
    </row>
    <row r="1465" spans="5:7" ht="14.45" customHeight="1" outlineLevel="3" thickBot="1" x14ac:dyDescent="0.3">
      <c r="F1465" s="28" t="s">
        <v>292</v>
      </c>
    </row>
    <row r="1466" spans="5:7" ht="14.45" customHeight="1" outlineLevel="4" thickBot="1" x14ac:dyDescent="0.3"/>
    <row r="1467" spans="5:7" ht="14.45" customHeight="1" outlineLevel="3" thickBot="1" x14ac:dyDescent="0.3">
      <c r="F1467" s="28" t="s">
        <v>1068</v>
      </c>
    </row>
    <row r="1468" spans="5:7" ht="14.45" customHeight="1" outlineLevel="4" thickBot="1" x14ac:dyDescent="0.3">
      <c r="G1468" s="7" t="s">
        <v>449</v>
      </c>
    </row>
    <row r="1469" spans="5:7" ht="14.45" customHeight="1" outlineLevel="4" thickBot="1" x14ac:dyDescent="0.3">
      <c r="G1469" s="7" t="s">
        <v>450</v>
      </c>
    </row>
    <row r="1470" spans="5:7" ht="14.45" customHeight="1" outlineLevel="4" thickBot="1" x14ac:dyDescent="0.3">
      <c r="G1470" s="7" t="s">
        <v>451</v>
      </c>
    </row>
    <row r="1471" spans="5:7" ht="14.45" customHeight="1" outlineLevel="3" thickBot="1" x14ac:dyDescent="0.3"/>
    <row r="1472" spans="5:7" ht="14.45" customHeight="1" outlineLevel="2" thickBot="1" x14ac:dyDescent="0.3">
      <c r="E1472" s="27" t="s">
        <v>1069</v>
      </c>
    </row>
    <row r="1473" spans="6:7" ht="14.45" customHeight="1" outlineLevel="3" thickBot="1" x14ac:dyDescent="0.3">
      <c r="F1473" s="28" t="s">
        <v>1070</v>
      </c>
    </row>
    <row r="1474" spans="6:7" ht="14.45" customHeight="1" outlineLevel="4" thickBot="1" x14ac:dyDescent="0.3">
      <c r="G1474" s="7" t="s">
        <v>1036</v>
      </c>
    </row>
    <row r="1475" spans="6:7" ht="14.45" customHeight="1" outlineLevel="4" thickBot="1" x14ac:dyDescent="0.3">
      <c r="G1475" s="7" t="s">
        <v>1015</v>
      </c>
    </row>
    <row r="1476" spans="6:7" ht="14.45" customHeight="1" outlineLevel="3" thickBot="1" x14ac:dyDescent="0.3">
      <c r="F1476" s="28" t="s">
        <v>1071</v>
      </c>
    </row>
    <row r="1477" spans="6:7" ht="14.45" customHeight="1" outlineLevel="4" thickBot="1" x14ac:dyDescent="0.3">
      <c r="G1477" s="7" t="s">
        <v>1072</v>
      </c>
    </row>
    <row r="1478" spans="6:7" ht="14.45" customHeight="1" outlineLevel="4" thickBot="1" x14ac:dyDescent="0.3">
      <c r="G1478" s="7" t="s">
        <v>1073</v>
      </c>
    </row>
    <row r="1479" spans="6:7" ht="14.45" customHeight="1" outlineLevel="4" thickBot="1" x14ac:dyDescent="0.3">
      <c r="G1479" s="7" t="s">
        <v>1074</v>
      </c>
    </row>
    <row r="1480" spans="6:7" ht="14.45" customHeight="1" outlineLevel="3" thickBot="1" x14ac:dyDescent="0.3">
      <c r="F1480" s="28" t="s">
        <v>1075</v>
      </c>
    </row>
    <row r="1481" spans="6:7" ht="14.45" customHeight="1" outlineLevel="4" thickBot="1" x14ac:dyDescent="0.3">
      <c r="G1481" s="7" t="s">
        <v>339</v>
      </c>
    </row>
    <row r="1482" spans="6:7" ht="14.45" customHeight="1" outlineLevel="4" thickBot="1" x14ac:dyDescent="0.3">
      <c r="G1482" s="7" t="s">
        <v>1076</v>
      </c>
    </row>
    <row r="1483" spans="6:7" ht="14.45" customHeight="1" outlineLevel="3" thickBot="1" x14ac:dyDescent="0.3">
      <c r="F1483" s="28" t="s">
        <v>1077</v>
      </c>
    </row>
    <row r="1484" spans="6:7" ht="14.45" customHeight="1" outlineLevel="4" thickBot="1" x14ac:dyDescent="0.3">
      <c r="G1484" s="7" t="s">
        <v>1078</v>
      </c>
    </row>
    <row r="1485" spans="6:7" ht="14.45" customHeight="1" outlineLevel="4" thickBot="1" x14ac:dyDescent="0.3">
      <c r="G1485" s="7" t="s">
        <v>1079</v>
      </c>
    </row>
    <row r="1486" spans="6:7" ht="14.45" customHeight="1" outlineLevel="3" thickBot="1" x14ac:dyDescent="0.3">
      <c r="F1486" s="28" t="s">
        <v>1080</v>
      </c>
    </row>
    <row r="1487" spans="6:7" ht="14.45" customHeight="1" outlineLevel="4" thickBot="1" x14ac:dyDescent="0.3">
      <c r="G1487" s="7" t="s">
        <v>443</v>
      </c>
    </row>
    <row r="1488" spans="6:7" ht="14.45" customHeight="1" outlineLevel="4" thickBot="1" x14ac:dyDescent="0.3">
      <c r="G1488" s="7" t="s">
        <v>1081</v>
      </c>
    </row>
    <row r="1489" spans="4:7" ht="14.45" customHeight="1" outlineLevel="3" thickBot="1" x14ac:dyDescent="0.3">
      <c r="F1489" s="28" t="s">
        <v>1082</v>
      </c>
    </row>
    <row r="1490" spans="4:7" ht="14.45" customHeight="1" outlineLevel="4" thickBot="1" x14ac:dyDescent="0.3">
      <c r="G1490" s="7" t="s">
        <v>1083</v>
      </c>
    </row>
    <row r="1491" spans="4:7" ht="14.45" customHeight="1" outlineLevel="4" thickBot="1" x14ac:dyDescent="0.3">
      <c r="G1491" s="7" t="s">
        <v>1084</v>
      </c>
    </row>
    <row r="1492" spans="4:7" ht="14.45" customHeight="1" outlineLevel="4" thickBot="1" x14ac:dyDescent="0.3">
      <c r="G1492" s="7" t="s">
        <v>1085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6" t="s">
        <v>51</v>
      </c>
      <c r="E1495" s="26"/>
    </row>
    <row r="1496" spans="4:7" ht="14.45" customHeight="1" outlineLevel="2" thickBot="1" x14ac:dyDescent="0.3">
      <c r="E1496" s="27" t="s">
        <v>1086</v>
      </c>
    </row>
    <row r="1497" spans="4:7" ht="14.45" customHeight="1" outlineLevel="3" thickBot="1" x14ac:dyDescent="0.3">
      <c r="F1497" s="28" t="s">
        <v>1087</v>
      </c>
    </row>
    <row r="1498" spans="4:7" ht="14.45" customHeight="1" outlineLevel="4" thickBot="1" x14ac:dyDescent="0.3">
      <c r="G1498" s="7" t="s">
        <v>1036</v>
      </c>
    </row>
    <row r="1499" spans="4:7" ht="14.45" customHeight="1" outlineLevel="4" thickBot="1" x14ac:dyDescent="0.3">
      <c r="G1499" s="7" t="s">
        <v>1015</v>
      </c>
    </row>
    <row r="1500" spans="4:7" ht="14.45" customHeight="1" outlineLevel="3" thickBot="1" x14ac:dyDescent="0.3">
      <c r="F1500" s="28" t="s">
        <v>362</v>
      </c>
    </row>
    <row r="1501" spans="4:7" ht="14.45" customHeight="1" outlineLevel="4" thickBot="1" x14ac:dyDescent="0.3">
      <c r="G1501" s="7" t="s">
        <v>1088</v>
      </c>
    </row>
    <row r="1502" spans="4:7" ht="14.45" customHeight="1" outlineLevel="4" thickBot="1" x14ac:dyDescent="0.3">
      <c r="G1502" s="7" t="s">
        <v>1089</v>
      </c>
    </row>
    <row r="1503" spans="4:7" ht="14.45" customHeight="1" outlineLevel="4" thickBot="1" x14ac:dyDescent="0.3">
      <c r="G1503" s="7" t="s">
        <v>1090</v>
      </c>
    </row>
    <row r="1504" spans="4:7" ht="14.45" customHeight="1" outlineLevel="4" thickBot="1" x14ac:dyDescent="0.3">
      <c r="G1504" s="7" t="s">
        <v>1091</v>
      </c>
    </row>
    <row r="1505" spans="5:7" ht="14.45" customHeight="1" outlineLevel="4" thickBot="1" x14ac:dyDescent="0.3">
      <c r="G1505" s="7" t="s">
        <v>1092</v>
      </c>
    </row>
    <row r="1506" spans="5:7" ht="14.45" customHeight="1" outlineLevel="3" thickBot="1" x14ac:dyDescent="0.3">
      <c r="F1506" s="28" t="s">
        <v>1093</v>
      </c>
    </row>
    <row r="1507" spans="5:7" ht="14.45" customHeight="1" outlineLevel="4" thickBot="1" x14ac:dyDescent="0.3">
      <c r="G1507" s="7" t="s">
        <v>1094</v>
      </c>
    </row>
    <row r="1508" spans="5:7" ht="14.45" customHeight="1" outlineLevel="4" thickBot="1" x14ac:dyDescent="0.3">
      <c r="G1508" s="7" t="s">
        <v>1095</v>
      </c>
    </row>
    <row r="1509" spans="5:7" ht="14.45" customHeight="1" outlineLevel="4" thickBot="1" x14ac:dyDescent="0.3">
      <c r="G1509" s="7" t="s">
        <v>1096</v>
      </c>
    </row>
    <row r="1510" spans="5:7" ht="14.45" customHeight="1" outlineLevel="3" thickBot="1" x14ac:dyDescent="0.3">
      <c r="F1510" s="28" t="s">
        <v>1097</v>
      </c>
    </row>
    <row r="1511" spans="5:7" ht="14.45" customHeight="1" outlineLevel="4" thickBot="1" x14ac:dyDescent="0.3">
      <c r="G1511" s="7" t="s">
        <v>1098</v>
      </c>
    </row>
    <row r="1512" spans="5:7" ht="14.45" customHeight="1" outlineLevel="4" thickBot="1" x14ac:dyDescent="0.3">
      <c r="G1512" s="7" t="s">
        <v>1099</v>
      </c>
    </row>
    <row r="1513" spans="5:7" ht="14.45" customHeight="1" outlineLevel="3" thickBot="1" x14ac:dyDescent="0.3">
      <c r="F1513" s="28" t="s">
        <v>1100</v>
      </c>
    </row>
    <row r="1514" spans="5:7" ht="14.45" customHeight="1" outlineLevel="4" thickBot="1" x14ac:dyDescent="0.3">
      <c r="G1514" s="7" t="s">
        <v>339</v>
      </c>
    </row>
    <row r="1515" spans="5:7" ht="14.45" customHeight="1" outlineLevel="4" thickBot="1" x14ac:dyDescent="0.3">
      <c r="G1515" s="7" t="s">
        <v>1101</v>
      </c>
    </row>
    <row r="1516" spans="5:7" ht="14.45" customHeight="1" outlineLevel="4" thickBot="1" x14ac:dyDescent="0.3">
      <c r="G1516" s="7" t="s">
        <v>1102</v>
      </c>
    </row>
    <row r="1517" spans="5:7" ht="14.45" customHeight="1" outlineLevel="4" thickBot="1" x14ac:dyDescent="0.3">
      <c r="G1517" s="7" t="s">
        <v>1103</v>
      </c>
    </row>
    <row r="1518" spans="5:7" ht="14.45" customHeight="1" outlineLevel="3" thickBot="1" x14ac:dyDescent="0.3"/>
    <row r="1519" spans="5:7" ht="14.45" customHeight="1" outlineLevel="2" thickBot="1" x14ac:dyDescent="0.3">
      <c r="E1519" s="27" t="s">
        <v>1104</v>
      </c>
    </row>
    <row r="1520" spans="5:7" ht="14.45" customHeight="1" outlineLevel="3" thickBot="1" x14ac:dyDescent="0.3">
      <c r="F1520" s="28" t="s">
        <v>1105</v>
      </c>
    </row>
    <row r="1521" spans="5:7" ht="14.45" customHeight="1" outlineLevel="4" thickBot="1" x14ac:dyDescent="0.3">
      <c r="G1521" s="7" t="s">
        <v>1036</v>
      </c>
    </row>
    <row r="1522" spans="5:7" ht="14.45" customHeight="1" outlineLevel="4" thickBot="1" x14ac:dyDescent="0.3">
      <c r="G1522" s="7" t="s">
        <v>1015</v>
      </c>
    </row>
    <row r="1523" spans="5:7" ht="14.45" customHeight="1" outlineLevel="3" thickBot="1" x14ac:dyDescent="0.3">
      <c r="F1523" s="28" t="s">
        <v>1106</v>
      </c>
    </row>
    <row r="1524" spans="5:7" ht="14.45" customHeight="1" outlineLevel="4" thickBot="1" x14ac:dyDescent="0.3"/>
    <row r="1525" spans="5:7" ht="14.45" customHeight="1" outlineLevel="3" thickBot="1" x14ac:dyDescent="0.3">
      <c r="F1525" s="28" t="s">
        <v>1107</v>
      </c>
    </row>
    <row r="1526" spans="5:7" ht="14.45" customHeight="1" outlineLevel="4" thickBot="1" x14ac:dyDescent="0.3">
      <c r="G1526" s="7" t="s">
        <v>1108</v>
      </c>
    </row>
    <row r="1527" spans="5:7" ht="14.45" customHeight="1" outlineLevel="4" thickBot="1" x14ac:dyDescent="0.3">
      <c r="G1527" s="7" t="s">
        <v>870</v>
      </c>
    </row>
    <row r="1528" spans="5:7" ht="14.45" customHeight="1" outlineLevel="3" thickBot="1" x14ac:dyDescent="0.3"/>
    <row r="1529" spans="5:7" ht="14.45" customHeight="1" outlineLevel="2" thickBot="1" x14ac:dyDescent="0.3">
      <c r="E1529" s="27" t="s">
        <v>1109</v>
      </c>
    </row>
    <row r="1530" spans="5:7" ht="14.45" customHeight="1" outlineLevel="3" thickBot="1" x14ac:dyDescent="0.3">
      <c r="F1530" s="28" t="s">
        <v>1110</v>
      </c>
    </row>
    <row r="1531" spans="5:7" ht="14.45" customHeight="1" outlineLevel="4" thickBot="1" x14ac:dyDescent="0.3">
      <c r="G1531" s="7" t="s">
        <v>1036</v>
      </c>
    </row>
    <row r="1532" spans="5:7" ht="14.45" customHeight="1" outlineLevel="4" thickBot="1" x14ac:dyDescent="0.3">
      <c r="G1532" s="7" t="s">
        <v>1015</v>
      </c>
    </row>
    <row r="1533" spans="5:7" ht="14.45" customHeight="1" outlineLevel="3" thickBot="1" x14ac:dyDescent="0.3">
      <c r="F1533" s="28" t="s">
        <v>362</v>
      </c>
    </row>
    <row r="1534" spans="5:7" ht="14.45" customHeight="1" outlineLevel="4" thickBot="1" x14ac:dyDescent="0.3">
      <c r="G1534" s="7" t="s">
        <v>1088</v>
      </c>
    </row>
    <row r="1535" spans="5:7" ht="14.45" customHeight="1" outlineLevel="4" thickBot="1" x14ac:dyDescent="0.3">
      <c r="G1535" s="7" t="s">
        <v>1111</v>
      </c>
    </row>
    <row r="1536" spans="5:7" ht="14.45" customHeight="1" outlineLevel="4" thickBot="1" x14ac:dyDescent="0.3">
      <c r="G1536" s="7" t="s">
        <v>1112</v>
      </c>
    </row>
    <row r="1537" spans="5:7" ht="14.45" customHeight="1" outlineLevel="3" thickBot="1" x14ac:dyDescent="0.3">
      <c r="F1537" s="28" t="s">
        <v>1113</v>
      </c>
    </row>
    <row r="1538" spans="5:7" ht="14.45" customHeight="1" outlineLevel="4" thickBot="1" x14ac:dyDescent="0.3"/>
    <row r="1539" spans="5:7" ht="14.45" customHeight="1" outlineLevel="3" thickBot="1" x14ac:dyDescent="0.3">
      <c r="F1539" s="28" t="s">
        <v>1097</v>
      </c>
    </row>
    <row r="1540" spans="5:7" ht="14.45" customHeight="1" outlineLevel="4" thickBot="1" x14ac:dyDescent="0.3">
      <c r="G1540" s="7" t="s">
        <v>1114</v>
      </c>
    </row>
    <row r="1541" spans="5:7" ht="14.45" customHeight="1" outlineLevel="4" thickBot="1" x14ac:dyDescent="0.3">
      <c r="G1541" s="7" t="s">
        <v>1099</v>
      </c>
    </row>
    <row r="1542" spans="5:7" ht="14.45" customHeight="1" outlineLevel="4" thickBot="1" x14ac:dyDescent="0.3">
      <c r="G1542" s="7" t="s">
        <v>1115</v>
      </c>
    </row>
    <row r="1543" spans="5:7" ht="14.45" customHeight="1" outlineLevel="3" thickBot="1" x14ac:dyDescent="0.3">
      <c r="F1543" s="28" t="s">
        <v>1116</v>
      </c>
    </row>
    <row r="1544" spans="5:7" ht="14.45" customHeight="1" outlineLevel="4" thickBot="1" x14ac:dyDescent="0.3">
      <c r="G1544" s="7" t="s">
        <v>1117</v>
      </c>
    </row>
    <row r="1545" spans="5:7" ht="14.45" customHeight="1" outlineLevel="4" thickBot="1" x14ac:dyDescent="0.3">
      <c r="G1545" s="7" t="s">
        <v>1118</v>
      </c>
    </row>
    <row r="1546" spans="5:7" ht="14.45" customHeight="1" outlineLevel="4" thickBot="1" x14ac:dyDescent="0.3">
      <c r="G1546" s="7" t="s">
        <v>1119</v>
      </c>
    </row>
    <row r="1547" spans="5:7" ht="14.45" customHeight="1" outlineLevel="3" thickBot="1" x14ac:dyDescent="0.3">
      <c r="F1547" s="28" t="s">
        <v>1120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7" t="s">
        <v>1121</v>
      </c>
    </row>
    <row r="1551" spans="5:7" ht="14.45" customHeight="1" outlineLevel="3" thickBot="1" x14ac:dyDescent="0.3">
      <c r="F1551" s="28" t="s">
        <v>1122</v>
      </c>
    </row>
    <row r="1552" spans="5:7" ht="14.45" customHeight="1" outlineLevel="4" thickBot="1" x14ac:dyDescent="0.3">
      <c r="G1552" s="7" t="s">
        <v>1036</v>
      </c>
    </row>
    <row r="1553" spans="5:7" ht="14.45" customHeight="1" outlineLevel="4" thickBot="1" x14ac:dyDescent="0.3">
      <c r="G1553" s="7" t="s">
        <v>1015</v>
      </c>
    </row>
    <row r="1554" spans="5:7" ht="14.45" customHeight="1" outlineLevel="3" thickBot="1" x14ac:dyDescent="0.3">
      <c r="F1554" s="28" t="s">
        <v>362</v>
      </c>
    </row>
    <row r="1555" spans="5:7" ht="14.45" customHeight="1" outlineLevel="4" thickBot="1" x14ac:dyDescent="0.3">
      <c r="G1555" s="7" t="s">
        <v>1088</v>
      </c>
    </row>
    <row r="1556" spans="5:7" ht="14.45" customHeight="1" outlineLevel="4" thickBot="1" x14ac:dyDescent="0.3">
      <c r="G1556" s="7" t="s">
        <v>1123</v>
      </c>
    </row>
    <row r="1557" spans="5:7" ht="14.45" customHeight="1" outlineLevel="4" thickBot="1" x14ac:dyDescent="0.3">
      <c r="G1557" s="7" t="s">
        <v>1124</v>
      </c>
    </row>
    <row r="1558" spans="5:7" ht="14.45" customHeight="1" outlineLevel="3" thickBot="1" x14ac:dyDescent="0.3">
      <c r="F1558" s="28" t="s">
        <v>1113</v>
      </c>
    </row>
    <row r="1559" spans="5:7" ht="14.45" customHeight="1" outlineLevel="4" thickBot="1" x14ac:dyDescent="0.3"/>
    <row r="1560" spans="5:7" ht="14.45" customHeight="1" outlineLevel="3" thickBot="1" x14ac:dyDescent="0.3">
      <c r="F1560" s="28" t="s">
        <v>1097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7" t="s">
        <v>1125</v>
      </c>
    </row>
    <row r="1564" spans="5:7" ht="14.45" customHeight="1" outlineLevel="3" thickBot="1" x14ac:dyDescent="0.3">
      <c r="F1564" s="28" t="s">
        <v>1126</v>
      </c>
    </row>
    <row r="1565" spans="5:7" ht="14.45" customHeight="1" outlineLevel="4" thickBot="1" x14ac:dyDescent="0.3">
      <c r="G1565" s="7" t="s">
        <v>1036</v>
      </c>
    </row>
    <row r="1566" spans="5:7" ht="14.45" customHeight="1" outlineLevel="4" thickBot="1" x14ac:dyDescent="0.3">
      <c r="G1566" s="7" t="s">
        <v>1015</v>
      </c>
    </row>
    <row r="1567" spans="5:7" ht="14.45" customHeight="1" outlineLevel="3" thickBot="1" x14ac:dyDescent="0.3">
      <c r="F1567" s="28" t="s">
        <v>1127</v>
      </c>
    </row>
    <row r="1568" spans="5:7" ht="14.45" customHeight="1" outlineLevel="4" thickBot="1" x14ac:dyDescent="0.3"/>
    <row r="1569" spans="6:7" ht="14.45" customHeight="1" outlineLevel="3" thickBot="1" x14ac:dyDescent="0.3">
      <c r="F1569" s="28" t="s">
        <v>1128</v>
      </c>
    </row>
    <row r="1570" spans="6:7" ht="14.45" customHeight="1" outlineLevel="4" thickBot="1" x14ac:dyDescent="0.3">
      <c r="G1570" s="7" t="s">
        <v>1088</v>
      </c>
    </row>
    <row r="1571" spans="6:7" ht="14.45" customHeight="1" outlineLevel="4" thickBot="1" x14ac:dyDescent="0.3">
      <c r="G1571" s="7" t="s">
        <v>1129</v>
      </c>
    </row>
    <row r="1572" spans="6:7" ht="14.45" customHeight="1" outlineLevel="4" thickBot="1" x14ac:dyDescent="0.3">
      <c r="G1572" s="7" t="s">
        <v>1130</v>
      </c>
    </row>
    <row r="1573" spans="6:7" ht="14.45" customHeight="1" outlineLevel="4" thickBot="1" x14ac:dyDescent="0.3">
      <c r="G1573" s="7" t="s">
        <v>1131</v>
      </c>
    </row>
    <row r="1574" spans="6:7" ht="14.45" customHeight="1" outlineLevel="3" thickBot="1" x14ac:dyDescent="0.3">
      <c r="F1574" s="28" t="s">
        <v>1132</v>
      </c>
    </row>
    <row r="1575" spans="6:7" ht="14.45" customHeight="1" outlineLevel="4" thickBot="1" x14ac:dyDescent="0.3">
      <c r="G1575" s="7" t="s">
        <v>1094</v>
      </c>
    </row>
    <row r="1576" spans="6:7" ht="14.45" customHeight="1" outlineLevel="4" thickBot="1" x14ac:dyDescent="0.3">
      <c r="G1576" s="7" t="s">
        <v>1133</v>
      </c>
    </row>
    <row r="1577" spans="6:7" ht="14.45" customHeight="1" outlineLevel="4" thickBot="1" x14ac:dyDescent="0.3">
      <c r="G1577" s="7" t="s">
        <v>1134</v>
      </c>
    </row>
    <row r="1578" spans="6:7" ht="14.45" customHeight="1" outlineLevel="3" thickBot="1" x14ac:dyDescent="0.3">
      <c r="F1578" s="28" t="s">
        <v>1135</v>
      </c>
    </row>
    <row r="1579" spans="6:7" ht="14.45" customHeight="1" outlineLevel="4" thickBot="1" x14ac:dyDescent="0.3">
      <c r="G1579" s="7" t="s">
        <v>1136</v>
      </c>
    </row>
    <row r="1580" spans="6:7" ht="14.45" customHeight="1" outlineLevel="4" thickBot="1" x14ac:dyDescent="0.3">
      <c r="G1580" s="7" t="s">
        <v>1137</v>
      </c>
    </row>
    <row r="1581" spans="6:7" ht="14.45" customHeight="1" outlineLevel="4" thickBot="1" x14ac:dyDescent="0.3">
      <c r="G1581" s="7" t="s">
        <v>1138</v>
      </c>
    </row>
    <row r="1582" spans="6:7" ht="14.45" customHeight="1" outlineLevel="4" thickBot="1" x14ac:dyDescent="0.3">
      <c r="G1582" s="7" t="s">
        <v>1139</v>
      </c>
    </row>
    <row r="1583" spans="6:7" ht="14.45" customHeight="1" outlineLevel="3" thickBot="1" x14ac:dyDescent="0.3">
      <c r="F1583" s="28" t="s">
        <v>1140</v>
      </c>
    </row>
    <row r="1584" spans="6:7" ht="14.45" customHeight="1" outlineLevel="4" thickBot="1" x14ac:dyDescent="0.3">
      <c r="G1584" s="7" t="s">
        <v>1141</v>
      </c>
    </row>
    <row r="1585" spans="4:7" ht="14.45" customHeight="1" outlineLevel="4" thickBot="1" x14ac:dyDescent="0.3">
      <c r="G1585" s="7" t="s">
        <v>1142</v>
      </c>
    </row>
    <row r="1586" spans="4:7" ht="14.45" customHeight="1" outlineLevel="4" thickBot="1" x14ac:dyDescent="0.3">
      <c r="G1586" s="7" t="s">
        <v>1143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6" t="s">
        <v>52</v>
      </c>
      <c r="E1589" s="26"/>
    </row>
    <row r="1590" spans="4:7" ht="14.45" customHeight="1" outlineLevel="2" thickBot="1" x14ac:dyDescent="0.3">
      <c r="E1590" s="27" t="s">
        <v>1144</v>
      </c>
    </row>
    <row r="1591" spans="4:7" ht="14.45" customHeight="1" outlineLevel="3" thickBot="1" x14ac:dyDescent="0.3">
      <c r="F1591" s="28" t="s">
        <v>338</v>
      </c>
    </row>
    <row r="1592" spans="4:7" ht="14.45" customHeight="1" outlineLevel="4" thickBot="1" x14ac:dyDescent="0.3">
      <c r="G1592" s="7" t="s">
        <v>339</v>
      </c>
    </row>
    <row r="1593" spans="4:7" ht="14.45" customHeight="1" outlineLevel="4" thickBot="1" x14ac:dyDescent="0.3">
      <c r="G1593" s="7" t="s">
        <v>340</v>
      </c>
    </row>
    <row r="1594" spans="4:7" ht="14.45" customHeight="1" outlineLevel="3" thickBot="1" x14ac:dyDescent="0.3">
      <c r="F1594" s="28" t="s">
        <v>1145</v>
      </c>
    </row>
    <row r="1595" spans="4:7" ht="14.45" customHeight="1" outlineLevel="4" thickBot="1" x14ac:dyDescent="0.3">
      <c r="G1595" s="7" t="s">
        <v>449</v>
      </c>
    </row>
    <row r="1596" spans="4:7" ht="14.45" customHeight="1" outlineLevel="4" thickBot="1" x14ac:dyDescent="0.3">
      <c r="G1596" s="7" t="s">
        <v>450</v>
      </c>
    </row>
    <row r="1597" spans="4:7" ht="14.45" customHeight="1" outlineLevel="4" thickBot="1" x14ac:dyDescent="0.3">
      <c r="G1597" s="7" t="s">
        <v>451</v>
      </c>
    </row>
    <row r="1598" spans="4:7" ht="14.45" customHeight="1" outlineLevel="3" thickBot="1" x14ac:dyDescent="0.3">
      <c r="F1598" s="28" t="s">
        <v>1146</v>
      </c>
    </row>
    <row r="1599" spans="4:7" ht="14.45" customHeight="1" outlineLevel="4" thickBot="1" x14ac:dyDescent="0.3"/>
    <row r="1600" spans="4:7" ht="14.45" customHeight="1" outlineLevel="3" thickBot="1" x14ac:dyDescent="0.3">
      <c r="F1600" s="28" t="s">
        <v>1147</v>
      </c>
    </row>
    <row r="1601" spans="5:7" ht="14.45" customHeight="1" outlineLevel="4" thickBot="1" x14ac:dyDescent="0.3">
      <c r="G1601" s="7" t="s">
        <v>1148</v>
      </c>
    </row>
    <row r="1602" spans="5:7" ht="14.45" customHeight="1" outlineLevel="4" thickBot="1" x14ac:dyDescent="0.3">
      <c r="G1602" s="7" t="s">
        <v>1149</v>
      </c>
    </row>
    <row r="1603" spans="5:7" ht="14.45" customHeight="1" outlineLevel="3" thickBot="1" x14ac:dyDescent="0.3"/>
    <row r="1604" spans="5:7" ht="14.45" customHeight="1" outlineLevel="2" thickBot="1" x14ac:dyDescent="0.3">
      <c r="E1604" s="27" t="s">
        <v>1150</v>
      </c>
    </row>
    <row r="1605" spans="5:7" ht="14.45" customHeight="1" outlineLevel="3" thickBot="1" x14ac:dyDescent="0.3">
      <c r="F1605" s="28" t="s">
        <v>338</v>
      </c>
    </row>
    <row r="1606" spans="5:7" ht="14.45" customHeight="1" outlineLevel="4" thickBot="1" x14ac:dyDescent="0.3">
      <c r="G1606" s="7" t="s">
        <v>339</v>
      </c>
    </row>
    <row r="1607" spans="5:7" ht="14.45" customHeight="1" outlineLevel="4" thickBot="1" x14ac:dyDescent="0.3">
      <c r="G1607" s="7" t="s">
        <v>340</v>
      </c>
    </row>
    <row r="1608" spans="5:7" ht="14.45" customHeight="1" outlineLevel="4" thickBot="1" x14ac:dyDescent="0.3">
      <c r="G1608" s="7" t="s">
        <v>1151</v>
      </c>
    </row>
    <row r="1609" spans="5:7" ht="14.45" customHeight="1" outlineLevel="3" thickBot="1" x14ac:dyDescent="0.3">
      <c r="F1609" s="28" t="s">
        <v>1152</v>
      </c>
    </row>
    <row r="1610" spans="5:7" ht="14.45" customHeight="1" outlineLevel="4" thickBot="1" x14ac:dyDescent="0.3">
      <c r="G1610" s="7" t="s">
        <v>339</v>
      </c>
    </row>
    <row r="1611" spans="5:7" ht="14.45" customHeight="1" outlineLevel="4" thickBot="1" x14ac:dyDescent="0.3">
      <c r="G1611" s="7" t="s">
        <v>1049</v>
      </c>
    </row>
    <row r="1612" spans="5:7" ht="14.45" customHeight="1" outlineLevel="4" thickBot="1" x14ac:dyDescent="0.3">
      <c r="G1612" s="7" t="s">
        <v>1153</v>
      </c>
    </row>
    <row r="1613" spans="5:7" ht="14.45" customHeight="1" outlineLevel="4" thickBot="1" x14ac:dyDescent="0.3">
      <c r="G1613" s="7" t="s">
        <v>1154</v>
      </c>
    </row>
    <row r="1614" spans="5:7" ht="14.45" customHeight="1" outlineLevel="3" thickBot="1" x14ac:dyDescent="0.3">
      <c r="F1614" s="28" t="s">
        <v>1155</v>
      </c>
    </row>
    <row r="1615" spans="5:7" ht="14.45" customHeight="1" outlineLevel="4" thickBot="1" x14ac:dyDescent="0.3">
      <c r="G1615" s="7" t="s">
        <v>339</v>
      </c>
    </row>
    <row r="1616" spans="5:7" ht="14.45" customHeight="1" outlineLevel="4" thickBot="1" x14ac:dyDescent="0.3">
      <c r="G1616" s="7" t="s">
        <v>696</v>
      </c>
    </row>
    <row r="1617" spans="3:7" ht="14.45" customHeight="1" outlineLevel="4" thickBot="1" x14ac:dyDescent="0.3">
      <c r="G1617" s="7" t="s">
        <v>1156</v>
      </c>
    </row>
    <row r="1618" spans="3:7" ht="14.45" customHeight="1" outlineLevel="4" thickBot="1" x14ac:dyDescent="0.3">
      <c r="G1618" s="7" t="s">
        <v>1157</v>
      </c>
    </row>
    <row r="1619" spans="3:7" ht="14.45" customHeight="1" outlineLevel="3" thickBot="1" x14ac:dyDescent="0.3">
      <c r="F1619" s="28" t="s">
        <v>1158</v>
      </c>
    </row>
    <row r="1620" spans="3:7" ht="14.45" customHeight="1" outlineLevel="4" thickBot="1" x14ac:dyDescent="0.3">
      <c r="G1620" s="7" t="s">
        <v>1159</v>
      </c>
    </row>
    <row r="1621" spans="3:7" ht="14.45" customHeight="1" outlineLevel="4" thickBot="1" x14ac:dyDescent="0.3">
      <c r="G1621" s="7" t="s">
        <v>1160</v>
      </c>
    </row>
    <row r="1622" spans="3:7" ht="14.45" customHeight="1" outlineLevel="4" thickBot="1" x14ac:dyDescent="0.3">
      <c r="G1622" s="7" t="s">
        <v>1161</v>
      </c>
    </row>
    <row r="1623" spans="3:7" ht="14.45" customHeight="1" outlineLevel="4" thickBot="1" x14ac:dyDescent="0.3">
      <c r="G1623" s="7" t="s">
        <v>1162</v>
      </c>
    </row>
    <row r="1624" spans="3:7" ht="14.45" customHeight="1" outlineLevel="3" thickBot="1" x14ac:dyDescent="0.3">
      <c r="F1624" s="28" t="s">
        <v>1163</v>
      </c>
    </row>
    <row r="1625" spans="3:7" ht="14.45" customHeight="1" outlineLevel="4" thickBot="1" x14ac:dyDescent="0.3">
      <c r="G1625" s="7" t="s">
        <v>1164</v>
      </c>
    </row>
    <row r="1626" spans="3:7" ht="14.45" customHeight="1" outlineLevel="4" thickBot="1" x14ac:dyDescent="0.3">
      <c r="G1626" s="7" t="s">
        <v>1165</v>
      </c>
    </row>
    <row r="1627" spans="3:7" ht="14.45" customHeight="1" outlineLevel="4" thickBot="1" x14ac:dyDescent="0.3">
      <c r="G1627" s="7" t="s">
        <v>1166</v>
      </c>
    </row>
    <row r="1628" spans="3:7" ht="14.45" customHeight="1" outlineLevel="4" thickBot="1" x14ac:dyDescent="0.3">
      <c r="G1628" s="7" t="s">
        <v>1167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5" t="s">
        <v>1168</v>
      </c>
      <c r="D1632" s="25"/>
    </row>
    <row r="1633" spans="4:6" ht="14.45" customHeight="1" outlineLevel="1" thickBot="1" x14ac:dyDescent="0.3">
      <c r="D1633" s="26" t="s">
        <v>53</v>
      </c>
      <c r="E1633" s="26"/>
    </row>
    <row r="1634" spans="4:6" ht="14.45" customHeight="1" outlineLevel="2" thickBot="1" x14ac:dyDescent="0.3">
      <c r="E1634" s="27" t="s">
        <v>1169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7" t="s">
        <v>1170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6" t="s">
        <v>54</v>
      </c>
      <c r="E1641" s="26"/>
    </row>
    <row r="1642" spans="4:6" ht="14.45" customHeight="1" outlineLevel="2" thickBot="1" x14ac:dyDescent="0.3">
      <c r="E1642" s="27" t="s">
        <v>1171</v>
      </c>
    </row>
    <row r="1643" spans="4:6" ht="14.45" customHeight="1" outlineLevel="3" thickBot="1" x14ac:dyDescent="0.3">
      <c r="F1643" s="28" t="s">
        <v>1172</v>
      </c>
    </row>
    <row r="1644" spans="4:6" ht="14.45" customHeight="1" outlineLevel="4" thickBot="1" x14ac:dyDescent="0.3"/>
    <row r="1645" spans="4:6" ht="14.45" customHeight="1" outlineLevel="3" thickBot="1" x14ac:dyDescent="0.3">
      <c r="F1645" s="28" t="s">
        <v>1173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7" t="s">
        <v>1174</v>
      </c>
    </row>
    <row r="1649" spans="5:6" ht="14.45" customHeight="1" outlineLevel="3" thickBot="1" x14ac:dyDescent="0.3">
      <c r="F1649" s="28" t="s">
        <v>1175</v>
      </c>
    </row>
    <row r="1650" spans="5:6" ht="14.45" customHeight="1" outlineLevel="4" thickBot="1" x14ac:dyDescent="0.3"/>
    <row r="1651" spans="5:6" ht="14.45" customHeight="1" outlineLevel="3" thickBot="1" x14ac:dyDescent="0.3">
      <c r="F1651" s="28" t="s">
        <v>1176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7" t="s">
        <v>1177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7" t="s">
        <v>1178</v>
      </c>
    </row>
    <row r="1658" spans="5:6" ht="14.45" customHeight="1" outlineLevel="3" thickBot="1" x14ac:dyDescent="0.3">
      <c r="F1658" s="28" t="s">
        <v>292</v>
      </c>
    </row>
    <row r="1659" spans="5:6" ht="14.45" customHeight="1" outlineLevel="4" thickBot="1" x14ac:dyDescent="0.3"/>
    <row r="1660" spans="5:6" ht="14.45" customHeight="1" outlineLevel="3" thickBot="1" x14ac:dyDescent="0.3">
      <c r="F1660" s="28" t="s">
        <v>1179</v>
      </c>
    </row>
    <row r="1661" spans="5:6" ht="14.45" customHeight="1" outlineLevel="4" thickBot="1" x14ac:dyDescent="0.3"/>
    <row r="1662" spans="5:6" ht="14.45" customHeight="1" outlineLevel="3" thickBot="1" x14ac:dyDescent="0.3">
      <c r="F1662" s="28" t="s">
        <v>1180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7" t="s">
        <v>1181</v>
      </c>
    </row>
    <row r="1666" spans="4:6" ht="14.45" customHeight="1" outlineLevel="3" thickBot="1" x14ac:dyDescent="0.3">
      <c r="F1666" s="28" t="s">
        <v>1182</v>
      </c>
    </row>
    <row r="1667" spans="4:6" ht="14.45" customHeight="1" outlineLevel="4" thickBot="1" x14ac:dyDescent="0.3"/>
    <row r="1668" spans="4:6" ht="14.45" customHeight="1" outlineLevel="3" thickBot="1" x14ac:dyDescent="0.3">
      <c r="F1668" s="28" t="s">
        <v>1183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7" t="s">
        <v>1184</v>
      </c>
    </row>
    <row r="1672" spans="4:6" ht="14.45" customHeight="1" outlineLevel="3" thickBot="1" x14ac:dyDescent="0.3">
      <c r="F1672" s="28" t="s">
        <v>1185</v>
      </c>
    </row>
    <row r="1673" spans="4:6" ht="14.45" customHeight="1" outlineLevel="4" thickBot="1" x14ac:dyDescent="0.3"/>
    <row r="1674" spans="4:6" ht="14.45" customHeight="1" outlineLevel="3" thickBot="1" x14ac:dyDescent="0.3">
      <c r="F1674" s="28" t="s">
        <v>1186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6" t="s">
        <v>55</v>
      </c>
      <c r="E1678" s="26"/>
    </row>
    <row r="1679" spans="4:6" ht="14.45" customHeight="1" outlineLevel="2" thickBot="1" x14ac:dyDescent="0.3">
      <c r="E1679" s="27" t="s">
        <v>1187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7" t="s">
        <v>1188</v>
      </c>
    </row>
    <row r="1683" spans="5:6" ht="14.45" customHeight="1" outlineLevel="3" thickBot="1" x14ac:dyDescent="0.3">
      <c r="F1683" s="28" t="s">
        <v>292</v>
      </c>
    </row>
    <row r="1684" spans="5:6" ht="14.45" customHeight="1" outlineLevel="4" thickBot="1" x14ac:dyDescent="0.3"/>
    <row r="1685" spans="5:6" ht="14.45" customHeight="1" outlineLevel="3" thickBot="1" x14ac:dyDescent="0.3">
      <c r="F1685" s="28" t="s">
        <v>1189</v>
      </c>
    </row>
    <row r="1686" spans="5:6" ht="14.45" customHeight="1" outlineLevel="4" thickBot="1" x14ac:dyDescent="0.3"/>
    <row r="1687" spans="5:6" ht="14.45" customHeight="1" outlineLevel="3" thickBot="1" x14ac:dyDescent="0.3">
      <c r="F1687" s="28" t="s">
        <v>1190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7" t="s">
        <v>1191</v>
      </c>
    </row>
    <row r="1691" spans="5:6" ht="14.45" customHeight="1" outlineLevel="3" thickBot="1" x14ac:dyDescent="0.3">
      <c r="F1691" s="28" t="s">
        <v>292</v>
      </c>
    </row>
    <row r="1692" spans="5:6" ht="14.45" customHeight="1" outlineLevel="4" thickBot="1" x14ac:dyDescent="0.3"/>
    <row r="1693" spans="5:6" ht="14.45" customHeight="1" outlineLevel="3" thickBot="1" x14ac:dyDescent="0.3">
      <c r="F1693" s="28" t="s">
        <v>1192</v>
      </c>
    </row>
    <row r="1694" spans="5:6" ht="14.45" customHeight="1" outlineLevel="4" thickBot="1" x14ac:dyDescent="0.3"/>
    <row r="1695" spans="5:6" ht="14.45" customHeight="1" outlineLevel="3" thickBot="1" x14ac:dyDescent="0.3">
      <c r="F1695" s="28" t="s">
        <v>1193</v>
      </c>
    </row>
    <row r="1696" spans="5:6" ht="14.45" customHeight="1" outlineLevel="4" thickBot="1" x14ac:dyDescent="0.3"/>
    <row r="1697" spans="3:6" ht="14.45" customHeight="1" outlineLevel="3" thickBot="1" x14ac:dyDescent="0.3">
      <c r="F1697" s="28" t="s">
        <v>1194</v>
      </c>
    </row>
    <row r="1698" spans="3:6" ht="14.45" customHeight="1" outlineLevel="4" thickBot="1" x14ac:dyDescent="0.3"/>
    <row r="1699" spans="3:6" ht="14.45" customHeight="1" outlineLevel="3" thickBot="1" x14ac:dyDescent="0.3">
      <c r="F1699" s="28" t="s">
        <v>1195</v>
      </c>
    </row>
    <row r="1700" spans="3:6" ht="14.45" customHeight="1" outlineLevel="4" thickBot="1" x14ac:dyDescent="0.3"/>
    <row r="1701" spans="3:6" ht="14.45" customHeight="1" outlineLevel="3" thickBot="1" x14ac:dyDescent="0.3">
      <c r="F1701" s="28" t="s">
        <v>1196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5" t="s">
        <v>1197</v>
      </c>
      <c r="D1706" s="25"/>
    </row>
    <row r="1707" spans="3:6" ht="14.45" customHeight="1" outlineLevel="1" thickBot="1" x14ac:dyDescent="0.3">
      <c r="D1707" s="26" t="s">
        <v>56</v>
      </c>
      <c r="E1707" s="26"/>
    </row>
    <row r="1708" spans="3:6" ht="14.45" customHeight="1" outlineLevel="2" thickBot="1" x14ac:dyDescent="0.3">
      <c r="E1708" s="27" t="s">
        <v>1198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7" t="s">
        <v>1199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6" t="s">
        <v>57</v>
      </c>
      <c r="E1715" s="26"/>
    </row>
    <row r="1716" spans="4:6" ht="14.45" customHeight="1" outlineLevel="2" thickBot="1" x14ac:dyDescent="0.3">
      <c r="E1716" s="27" t="s">
        <v>1200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7" t="s">
        <v>1201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7" t="s">
        <v>1202</v>
      </c>
    </row>
    <row r="1723" spans="4:6" ht="14.45" customHeight="1" outlineLevel="3" thickBot="1" x14ac:dyDescent="0.3">
      <c r="F1723" s="28" t="s">
        <v>1203</v>
      </c>
    </row>
    <row r="1724" spans="4:6" ht="14.45" customHeight="1" outlineLevel="4" thickBot="1" x14ac:dyDescent="0.3"/>
    <row r="1725" spans="4:6" ht="14.45" customHeight="1" outlineLevel="3" thickBot="1" x14ac:dyDescent="0.3">
      <c r="F1725" s="28" t="s">
        <v>362</v>
      </c>
    </row>
    <row r="1726" spans="4:6" ht="14.45" customHeight="1" outlineLevel="4" thickBot="1" x14ac:dyDescent="0.3"/>
    <row r="1727" spans="4:6" ht="14.45" customHeight="1" outlineLevel="3" thickBot="1" x14ac:dyDescent="0.3">
      <c r="F1727" s="28" t="s">
        <v>542</v>
      </c>
    </row>
    <row r="1728" spans="4:6" ht="14.45" customHeight="1" outlineLevel="4" thickBot="1" x14ac:dyDescent="0.3"/>
    <row r="1729" spans="5:6" ht="14.45" customHeight="1" outlineLevel="3" thickBot="1" x14ac:dyDescent="0.3">
      <c r="F1729" s="28" t="s">
        <v>1204</v>
      </c>
    </row>
    <row r="1730" spans="5:6" ht="14.45" customHeight="1" outlineLevel="4" thickBot="1" x14ac:dyDescent="0.3"/>
    <row r="1731" spans="5:6" ht="14.45" customHeight="1" outlineLevel="3" thickBot="1" x14ac:dyDescent="0.3">
      <c r="F1731" s="28" t="s">
        <v>1205</v>
      </c>
    </row>
    <row r="1732" spans="5:6" ht="14.45" customHeight="1" outlineLevel="4" thickBot="1" x14ac:dyDescent="0.3"/>
    <row r="1733" spans="5:6" ht="14.45" customHeight="1" outlineLevel="3" thickBot="1" x14ac:dyDescent="0.3">
      <c r="F1733" s="28" t="s">
        <v>1206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7" t="s">
        <v>1207</v>
      </c>
    </row>
    <row r="1737" spans="5:6" ht="14.45" customHeight="1" outlineLevel="3" thickBot="1" x14ac:dyDescent="0.3">
      <c r="F1737" s="28" t="s">
        <v>1208</v>
      </c>
    </row>
    <row r="1738" spans="5:6" ht="14.45" customHeight="1" outlineLevel="4" thickBot="1" x14ac:dyDescent="0.3"/>
    <row r="1739" spans="5:6" ht="14.45" customHeight="1" outlineLevel="3" thickBot="1" x14ac:dyDescent="0.3">
      <c r="F1739" s="28" t="s">
        <v>1209</v>
      </c>
    </row>
    <row r="1740" spans="5:6" ht="14.45" customHeight="1" outlineLevel="4" thickBot="1" x14ac:dyDescent="0.3"/>
    <row r="1741" spans="5:6" ht="14.45" customHeight="1" outlineLevel="3" thickBot="1" x14ac:dyDescent="0.3">
      <c r="F1741" s="28" t="s">
        <v>1210</v>
      </c>
    </row>
    <row r="1742" spans="5:6" ht="14.45" customHeight="1" outlineLevel="4" thickBot="1" x14ac:dyDescent="0.3"/>
    <row r="1743" spans="5:6" ht="14.45" customHeight="1" outlineLevel="3" thickBot="1" x14ac:dyDescent="0.3">
      <c r="F1743" s="28" t="s">
        <v>1211</v>
      </c>
    </row>
    <row r="1744" spans="5:6" ht="14.45" customHeight="1" outlineLevel="4" thickBot="1" x14ac:dyDescent="0.3"/>
    <row r="1745" spans="4:6" ht="14.45" customHeight="1" outlineLevel="3" thickBot="1" x14ac:dyDescent="0.3">
      <c r="F1745" s="28" t="s">
        <v>1212</v>
      </c>
    </row>
    <row r="1746" spans="4:6" ht="14.45" customHeight="1" outlineLevel="4" thickBot="1" x14ac:dyDescent="0.3"/>
    <row r="1747" spans="4:6" ht="14.45" customHeight="1" outlineLevel="3" thickBot="1" x14ac:dyDescent="0.3">
      <c r="F1747" s="28" t="s">
        <v>1213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6" t="s">
        <v>58</v>
      </c>
      <c r="E1751" s="26"/>
    </row>
    <row r="1752" spans="4:6" ht="14.45" customHeight="1" outlineLevel="2" thickBot="1" x14ac:dyDescent="0.3">
      <c r="E1752" s="27" t="s">
        <v>1214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7" t="s">
        <v>1215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6" t="s">
        <v>59</v>
      </c>
      <c r="E1759" s="26"/>
    </row>
    <row r="1760" spans="4:6" ht="14.45" customHeight="1" outlineLevel="2" thickBot="1" x14ac:dyDescent="0.3">
      <c r="E1760" s="27" t="s">
        <v>1216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7" t="s">
        <v>1217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7" t="s">
        <v>1218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7" t="s">
        <v>1219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7" t="s">
        <v>1220</v>
      </c>
    </row>
    <row r="1773" spans="5:6" ht="14.45" customHeight="1" outlineLevel="3" thickBot="1" x14ac:dyDescent="0.3">
      <c r="F1773" s="28" t="s">
        <v>1221</v>
      </c>
    </row>
    <row r="1774" spans="5:6" ht="14.45" customHeight="1" outlineLevel="4" thickBot="1" x14ac:dyDescent="0.3"/>
    <row r="1775" spans="5:6" ht="14.45" customHeight="1" outlineLevel="3" thickBot="1" x14ac:dyDescent="0.3">
      <c r="F1775" s="28" t="s">
        <v>1222</v>
      </c>
    </row>
    <row r="1776" spans="5:6" ht="14.45" customHeight="1" outlineLevel="4" thickBot="1" x14ac:dyDescent="0.3"/>
    <row r="1777" spans="3:6" ht="14.45" customHeight="1" outlineLevel="3" thickBot="1" x14ac:dyDescent="0.3">
      <c r="F1777" s="28" t="s">
        <v>1223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5" t="s">
        <v>1224</v>
      </c>
      <c r="D1782" s="25"/>
    </row>
    <row r="1783" spans="3:6" ht="14.45" customHeight="1" outlineLevel="1" thickBot="1" x14ac:dyDescent="0.3">
      <c r="D1783" s="26" t="s">
        <v>60</v>
      </c>
      <c r="E1783" s="26"/>
    </row>
    <row r="1784" spans="3:6" ht="14.45" customHeight="1" outlineLevel="2" thickBot="1" x14ac:dyDescent="0.3">
      <c r="E1784" s="27" t="s">
        <v>1169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7" t="s">
        <v>1225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6" t="s">
        <v>61</v>
      </c>
      <c r="E1791" s="26"/>
    </row>
    <row r="1792" spans="3:6" ht="14.45" customHeight="1" outlineLevel="2" thickBot="1" x14ac:dyDescent="0.3">
      <c r="E1792" s="27" t="s">
        <v>1226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7" t="s">
        <v>1227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7" t="s">
        <v>1228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6" t="s">
        <v>1229</v>
      </c>
      <c r="E1802" s="2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6" t="s">
        <v>62</v>
      </c>
      <c r="E1806" s="26"/>
    </row>
    <row r="1807" spans="4:5" ht="14.45" customHeight="1" outlineLevel="2" thickBot="1" x14ac:dyDescent="0.3">
      <c r="E1807" s="27" t="s">
        <v>1230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7" t="s">
        <v>1231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7" t="s">
        <v>1232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7" t="s">
        <v>1233</v>
      </c>
    </row>
    <row r="1817" spans="5:6" ht="14.45" customHeight="1" outlineLevel="3" thickBot="1" x14ac:dyDescent="0.3">
      <c r="F1817" s="28" t="s">
        <v>1234</v>
      </c>
    </row>
    <row r="1818" spans="5:6" ht="14.45" customHeight="1" outlineLevel="4" thickBot="1" x14ac:dyDescent="0.3"/>
    <row r="1819" spans="5:6" ht="14.45" customHeight="1" outlineLevel="3" thickBot="1" x14ac:dyDescent="0.3">
      <c r="F1819" s="28" t="s">
        <v>1235</v>
      </c>
    </row>
    <row r="1820" spans="5:6" ht="14.45" customHeight="1" outlineLevel="4" thickBot="1" x14ac:dyDescent="0.3"/>
    <row r="1821" spans="5:6" ht="14.45" customHeight="1" outlineLevel="3" thickBot="1" x14ac:dyDescent="0.3">
      <c r="F1821" s="28" t="s">
        <v>1236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5" t="s">
        <v>1237</v>
      </c>
      <c r="D1826" s="25"/>
    </row>
    <row r="1827" spans="3:6" ht="14.45" customHeight="1" outlineLevel="1" thickBot="1" x14ac:dyDescent="0.3">
      <c r="D1827" s="26" t="s">
        <v>63</v>
      </c>
      <c r="E1827" s="26"/>
    </row>
    <row r="1828" spans="3:6" ht="14.45" customHeight="1" outlineLevel="2" thickBot="1" x14ac:dyDescent="0.3">
      <c r="E1828" s="27" t="s">
        <v>1238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7" t="s">
        <v>1239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7" t="s">
        <v>1240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6" t="s">
        <v>64</v>
      </c>
      <c r="E1838" s="26"/>
    </row>
    <row r="1839" spans="3:6" ht="14.45" customHeight="1" outlineLevel="2" thickBot="1" x14ac:dyDescent="0.3">
      <c r="E1839" s="27" t="s">
        <v>1241</v>
      </c>
    </row>
    <row r="1840" spans="3:6" ht="14.45" customHeight="1" outlineLevel="3" thickBot="1" x14ac:dyDescent="0.3">
      <c r="F1840" s="28" t="s">
        <v>1242</v>
      </c>
    </row>
    <row r="1841" spans="3:6" ht="14.45" customHeight="1" outlineLevel="4" thickBot="1" x14ac:dyDescent="0.3"/>
    <row r="1842" spans="3:6" ht="14.45" customHeight="1" outlineLevel="3" thickBot="1" x14ac:dyDescent="0.3">
      <c r="F1842" s="28" t="s">
        <v>1243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7" t="s">
        <v>1244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7" t="s">
        <v>1245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5" t="s">
        <v>1246</v>
      </c>
      <c r="D1853" s="25"/>
    </row>
    <row r="1854" spans="3:6" ht="14.45" customHeight="1" outlineLevel="1" thickBot="1" x14ac:dyDescent="0.3">
      <c r="D1854" s="26" t="s">
        <v>65</v>
      </c>
      <c r="E1854" s="26"/>
    </row>
    <row r="1855" spans="3:6" ht="14.45" customHeight="1" outlineLevel="2" thickBot="1" x14ac:dyDescent="0.3">
      <c r="E1855" s="27" t="s">
        <v>1247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7" t="s">
        <v>1248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6" t="s">
        <v>66</v>
      </c>
      <c r="E1862" s="26"/>
    </row>
    <row r="1863" spans="4:6" ht="14.45" customHeight="1" outlineLevel="2" thickBot="1" x14ac:dyDescent="0.3">
      <c r="E1863" s="27" t="s">
        <v>1249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7" t="s">
        <v>1250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6" t="s">
        <v>67</v>
      </c>
      <c r="E1870" s="26"/>
    </row>
    <row r="1871" spans="4:6" ht="14.45" customHeight="1" outlineLevel="2" thickBot="1" x14ac:dyDescent="0.3">
      <c r="E1871" s="27" t="s">
        <v>1251</v>
      </c>
    </row>
    <row r="1872" spans="4:6" ht="14.45" customHeight="1" outlineLevel="3" thickBot="1" x14ac:dyDescent="0.3">
      <c r="F1872" s="28" t="s">
        <v>1252</v>
      </c>
    </row>
    <row r="1873" spans="5:6" ht="14.45" customHeight="1" outlineLevel="4" thickBot="1" x14ac:dyDescent="0.3"/>
    <row r="1874" spans="5:6" ht="14.45" customHeight="1" outlineLevel="3" thickBot="1" x14ac:dyDescent="0.3">
      <c r="F1874" s="28" t="s">
        <v>1253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7" t="s">
        <v>1254</v>
      </c>
    </row>
    <row r="1878" spans="5:6" ht="14.45" customHeight="1" outlineLevel="3" thickBot="1" x14ac:dyDescent="0.3">
      <c r="F1878" s="28" t="s">
        <v>1255</v>
      </c>
    </row>
    <row r="1879" spans="5:6" ht="14.45" customHeight="1" outlineLevel="4" thickBot="1" x14ac:dyDescent="0.3"/>
    <row r="1880" spans="5:6" ht="14.45" customHeight="1" outlineLevel="3" thickBot="1" x14ac:dyDescent="0.3">
      <c r="F1880" s="28" t="s">
        <v>1256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7" t="s">
        <v>1257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7" t="s">
        <v>1258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7" t="s">
        <v>1259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7" t="s">
        <v>1260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7" t="s">
        <v>1261</v>
      </c>
    </row>
    <row r="1896" spans="4:6" ht="14.45" customHeight="1" outlineLevel="3" thickBot="1" x14ac:dyDescent="0.3">
      <c r="F1896" s="28" t="s">
        <v>268</v>
      </c>
    </row>
    <row r="1897" spans="4:6" ht="14.45" customHeight="1" outlineLevel="4" thickBot="1" x14ac:dyDescent="0.3"/>
    <row r="1898" spans="4:6" ht="14.45" customHeight="1" outlineLevel="3" thickBot="1" x14ac:dyDescent="0.3">
      <c r="F1898" s="28" t="s">
        <v>1262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6" t="s">
        <v>68</v>
      </c>
      <c r="E1902" s="26"/>
    </row>
    <row r="1903" spans="4:6" ht="14.45" customHeight="1" outlineLevel="2" thickBot="1" x14ac:dyDescent="0.3">
      <c r="E1903" s="27" t="s">
        <v>1263</v>
      </c>
    </row>
    <row r="1904" spans="4:6" ht="14.45" customHeight="1" outlineLevel="3" thickBot="1" x14ac:dyDescent="0.3">
      <c r="F1904" s="28" t="s">
        <v>1264</v>
      </c>
    </row>
    <row r="1905" spans="5:6" ht="14.45" customHeight="1" outlineLevel="4" thickBot="1" x14ac:dyDescent="0.3"/>
    <row r="1906" spans="5:6" ht="14.45" customHeight="1" outlineLevel="3" thickBot="1" x14ac:dyDescent="0.3">
      <c r="F1906" s="28" t="s">
        <v>1265</v>
      </c>
    </row>
    <row r="1907" spans="5:6" ht="14.45" customHeight="1" outlineLevel="4" thickBot="1" x14ac:dyDescent="0.3"/>
    <row r="1908" spans="5:6" ht="14.45" customHeight="1" outlineLevel="3" thickBot="1" x14ac:dyDescent="0.3">
      <c r="F1908" s="28" t="s">
        <v>1266</v>
      </c>
    </row>
    <row r="1909" spans="5:6" ht="14.45" customHeight="1" outlineLevel="4" thickBot="1" x14ac:dyDescent="0.3"/>
    <row r="1910" spans="5:6" ht="14.45" customHeight="1" outlineLevel="3" thickBot="1" x14ac:dyDescent="0.3">
      <c r="F1910" s="28" t="s">
        <v>1267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7" t="s">
        <v>1268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7" t="s">
        <v>1269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7" t="s">
        <v>1270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6" t="s">
        <v>69</v>
      </c>
      <c r="E1923" s="26"/>
    </row>
    <row r="1924" spans="4:5" ht="14.45" customHeight="1" outlineLevel="2" thickBot="1" x14ac:dyDescent="0.3">
      <c r="E1924" s="27" t="s">
        <v>1271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7" t="s">
        <v>1272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15" activePane="bottomLeft" state="frozen"/>
      <selection pane="bottomLeft" activeCell="E140" sqref="E140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83" t="s">
        <v>2</v>
      </c>
      <c r="C2" s="284"/>
      <c r="D2" s="285"/>
      <c r="E2" s="38" t="s">
        <v>3</v>
      </c>
      <c r="F2" s="47"/>
      <c r="G2" s="39" t="s">
        <v>4</v>
      </c>
    </row>
    <row r="3" spans="2:7" ht="14.45" customHeight="1" thickBot="1" x14ac:dyDescent="0.25">
      <c r="B3" s="37" t="s">
        <v>1514</v>
      </c>
      <c r="C3" s="52" t="s">
        <v>0</v>
      </c>
      <c r="D3" s="51" t="s">
        <v>1</v>
      </c>
      <c r="E3" s="182"/>
      <c r="F3" s="183"/>
      <c r="G3" s="184"/>
    </row>
    <row r="4" spans="2:7" ht="14.45" customHeight="1" x14ac:dyDescent="0.2">
      <c r="B4" s="174" t="s">
        <v>2600</v>
      </c>
      <c r="C4" s="172" t="s">
        <v>2518</v>
      </c>
      <c r="D4" s="179" t="s">
        <v>3630</v>
      </c>
      <c r="E4" s="185" t="s">
        <v>1377</v>
      </c>
      <c r="F4" s="186"/>
      <c r="G4" s="164" t="s">
        <v>1411</v>
      </c>
    </row>
    <row r="5" spans="2:7" ht="14.45" customHeight="1" x14ac:dyDescent="0.2">
      <c r="B5" s="175" t="s">
        <v>2538</v>
      </c>
      <c r="C5" s="177" t="s">
        <v>2518</v>
      </c>
      <c r="D5" s="180" t="s">
        <v>3630</v>
      </c>
      <c r="E5" s="187" t="s">
        <v>1412</v>
      </c>
      <c r="F5" s="188"/>
      <c r="G5" s="151" t="s">
        <v>1413</v>
      </c>
    </row>
    <row r="6" spans="2:7" ht="14.45" customHeight="1" x14ac:dyDescent="0.2">
      <c r="B6" s="175" t="s">
        <v>2538</v>
      </c>
      <c r="C6" s="177" t="s">
        <v>2518</v>
      </c>
      <c r="D6" s="180" t="s">
        <v>3630</v>
      </c>
      <c r="E6" s="187" t="s">
        <v>1415</v>
      </c>
      <c r="F6" s="188"/>
      <c r="G6" s="151" t="s">
        <v>1414</v>
      </c>
    </row>
    <row r="7" spans="2:7" ht="14.45" customHeight="1" x14ac:dyDescent="0.2">
      <c r="B7" s="175" t="s">
        <v>2538</v>
      </c>
      <c r="C7" s="177" t="s">
        <v>2518</v>
      </c>
      <c r="D7" s="180" t="s">
        <v>3630</v>
      </c>
      <c r="E7" s="187" t="s">
        <v>1378</v>
      </c>
      <c r="F7" s="188"/>
      <c r="G7" s="151" t="s">
        <v>1416</v>
      </c>
    </row>
    <row r="8" spans="2:7" ht="14.45" customHeight="1" x14ac:dyDescent="0.2">
      <c r="B8" s="175" t="s">
        <v>2538</v>
      </c>
      <c r="C8" s="177" t="s">
        <v>2518</v>
      </c>
      <c r="D8" s="180" t="s">
        <v>3630</v>
      </c>
      <c r="E8" s="187" t="s">
        <v>1417</v>
      </c>
      <c r="F8" s="188"/>
      <c r="G8" s="151" t="s">
        <v>1418</v>
      </c>
    </row>
    <row r="9" spans="2:7" ht="14.45" customHeight="1" x14ac:dyDescent="0.2">
      <c r="B9" s="175" t="s">
        <v>2538</v>
      </c>
      <c r="C9" s="177" t="s">
        <v>2518</v>
      </c>
      <c r="D9" s="180" t="s">
        <v>3630</v>
      </c>
      <c r="E9" s="187" t="s">
        <v>1379</v>
      </c>
      <c r="F9" s="188"/>
      <c r="G9" s="151" t="s">
        <v>1419</v>
      </c>
    </row>
    <row r="10" spans="2:7" ht="14.45" customHeight="1" x14ac:dyDescent="0.2">
      <c r="B10" s="175" t="s">
        <v>2538</v>
      </c>
      <c r="C10" s="177" t="s">
        <v>2518</v>
      </c>
      <c r="D10" s="180" t="s">
        <v>3630</v>
      </c>
      <c r="E10" s="187" t="s">
        <v>1380</v>
      </c>
      <c r="F10" s="188"/>
      <c r="G10" s="151" t="s">
        <v>1420</v>
      </c>
    </row>
    <row r="11" spans="2:7" ht="14.45" customHeight="1" x14ac:dyDescent="0.2">
      <c r="B11" s="175" t="s">
        <v>2538</v>
      </c>
      <c r="C11" s="177" t="s">
        <v>2518</v>
      </c>
      <c r="D11" s="180" t="s">
        <v>3630</v>
      </c>
      <c r="E11" s="187" t="s">
        <v>1381</v>
      </c>
      <c r="F11" s="188"/>
      <c r="G11" s="151" t="s">
        <v>1421</v>
      </c>
    </row>
    <row r="12" spans="2:7" ht="14.45" customHeight="1" x14ac:dyDescent="0.2">
      <c r="B12" s="175" t="s">
        <v>2538</v>
      </c>
      <c r="C12" s="177" t="s">
        <v>2518</v>
      </c>
      <c r="D12" s="180" t="s">
        <v>3630</v>
      </c>
      <c r="E12" s="187" t="s">
        <v>1382</v>
      </c>
      <c r="F12" s="188"/>
      <c r="G12" s="151" t="s">
        <v>1422</v>
      </c>
    </row>
    <row r="13" spans="2:7" ht="14.45" customHeight="1" x14ac:dyDescent="0.2">
      <c r="B13" s="175" t="s">
        <v>2538</v>
      </c>
      <c r="C13" s="177" t="s">
        <v>2518</v>
      </c>
      <c r="D13" s="180" t="s">
        <v>3630</v>
      </c>
      <c r="E13" s="187" t="s">
        <v>1383</v>
      </c>
      <c r="F13" s="188"/>
      <c r="G13" s="151" t="s">
        <v>1423</v>
      </c>
    </row>
    <row r="14" spans="2:7" ht="14.45" customHeight="1" x14ac:dyDescent="0.2">
      <c r="B14" s="175" t="s">
        <v>2538</v>
      </c>
      <c r="C14" s="177" t="s">
        <v>2518</v>
      </c>
      <c r="D14" s="180" t="s">
        <v>3630</v>
      </c>
      <c r="E14" s="187" t="s">
        <v>1384</v>
      </c>
      <c r="F14" s="188"/>
      <c r="G14" s="151" t="s">
        <v>1429</v>
      </c>
    </row>
    <row r="15" spans="2:7" ht="14.45" customHeight="1" x14ac:dyDescent="0.2">
      <c r="B15" s="175" t="s">
        <v>2538</v>
      </c>
      <c r="C15" s="177" t="s">
        <v>2518</v>
      </c>
      <c r="D15" s="180" t="s">
        <v>3630</v>
      </c>
      <c r="E15" s="187" t="s">
        <v>1385</v>
      </c>
      <c r="F15" s="188"/>
      <c r="G15" s="151" t="s">
        <v>1430</v>
      </c>
    </row>
    <row r="16" spans="2:7" ht="14.45" customHeight="1" x14ac:dyDescent="0.2">
      <c r="B16" s="175" t="s">
        <v>2538</v>
      </c>
      <c r="C16" s="177" t="s">
        <v>2518</v>
      </c>
      <c r="D16" s="180" t="s">
        <v>3630</v>
      </c>
      <c r="E16" s="187" t="s">
        <v>1386</v>
      </c>
      <c r="F16" s="188"/>
      <c r="G16" s="151" t="s">
        <v>1431</v>
      </c>
    </row>
    <row r="17" spans="2:7" ht="14.45" customHeight="1" x14ac:dyDescent="0.2">
      <c r="B17" s="175" t="s">
        <v>2538</v>
      </c>
      <c r="C17" s="177" t="s">
        <v>2518</v>
      </c>
      <c r="D17" s="180" t="s">
        <v>3630</v>
      </c>
      <c r="E17" s="187" t="s">
        <v>1502</v>
      </c>
      <c r="F17" s="188"/>
      <c r="G17" s="151" t="s">
        <v>1577</v>
      </c>
    </row>
    <row r="18" spans="2:7" ht="14.45" customHeight="1" x14ac:dyDescent="0.2">
      <c r="B18" s="175" t="s">
        <v>2538</v>
      </c>
      <c r="C18" s="177" t="s">
        <v>2518</v>
      </c>
      <c r="D18" s="180" t="s">
        <v>3630</v>
      </c>
      <c r="E18" s="187" t="s">
        <v>1504</v>
      </c>
      <c r="F18" s="188"/>
      <c r="G18" s="151" t="s">
        <v>1503</v>
      </c>
    </row>
    <row r="19" spans="2:7" ht="14.45" customHeight="1" x14ac:dyDescent="0.2">
      <c r="B19" s="175" t="s">
        <v>2538</v>
      </c>
      <c r="C19" s="177" t="s">
        <v>2518</v>
      </c>
      <c r="D19" s="180" t="s">
        <v>3630</v>
      </c>
      <c r="E19" s="187" t="s">
        <v>1505</v>
      </c>
      <c r="F19" s="188"/>
      <c r="G19" s="151" t="s">
        <v>1578</v>
      </c>
    </row>
    <row r="20" spans="2:7" ht="14.45" customHeight="1" x14ac:dyDescent="0.2">
      <c r="B20" s="175" t="s">
        <v>2538</v>
      </c>
      <c r="C20" s="177" t="s">
        <v>2518</v>
      </c>
      <c r="D20" s="180" t="s">
        <v>3630</v>
      </c>
      <c r="E20" s="187" t="s">
        <v>1506</v>
      </c>
      <c r="F20" s="188"/>
      <c r="G20" s="151" t="s">
        <v>1507</v>
      </c>
    </row>
    <row r="21" spans="2:7" ht="14.45" customHeight="1" x14ac:dyDescent="0.2">
      <c r="B21" s="175" t="s">
        <v>2538</v>
      </c>
      <c r="C21" s="177" t="s">
        <v>2518</v>
      </c>
      <c r="D21" s="180" t="s">
        <v>3630</v>
      </c>
      <c r="E21" s="187" t="s">
        <v>1508</v>
      </c>
      <c r="F21" s="188"/>
      <c r="G21" s="151" t="s">
        <v>1509</v>
      </c>
    </row>
    <row r="22" spans="2:7" ht="14.45" customHeight="1" x14ac:dyDescent="0.2">
      <c r="B22" s="175" t="s">
        <v>2538</v>
      </c>
      <c r="C22" s="177" t="s">
        <v>2518</v>
      </c>
      <c r="D22" s="180" t="s">
        <v>3630</v>
      </c>
      <c r="E22" s="187" t="s">
        <v>1510</v>
      </c>
      <c r="F22" s="188"/>
      <c r="G22" s="151" t="s">
        <v>1512</v>
      </c>
    </row>
    <row r="23" spans="2:7" ht="14.45" customHeight="1" x14ac:dyDescent="0.2">
      <c r="B23" s="175" t="s">
        <v>2538</v>
      </c>
      <c r="C23" s="177" t="s">
        <v>2518</v>
      </c>
      <c r="D23" s="180" t="s">
        <v>3630</v>
      </c>
      <c r="E23" s="187" t="s">
        <v>1511</v>
      </c>
      <c r="F23" s="188"/>
      <c r="G23" s="151" t="s">
        <v>1513</v>
      </c>
    </row>
    <row r="24" spans="2:7" ht="14.45" customHeight="1" x14ac:dyDescent="0.2">
      <c r="B24" s="175" t="s">
        <v>2538</v>
      </c>
      <c r="C24" s="177" t="s">
        <v>2518</v>
      </c>
      <c r="D24" s="180" t="s">
        <v>3630</v>
      </c>
      <c r="E24" s="187" t="s">
        <v>1387</v>
      </c>
      <c r="F24" s="188"/>
      <c r="G24" s="151" t="s">
        <v>1432</v>
      </c>
    </row>
    <row r="25" spans="2:7" ht="14.45" customHeight="1" x14ac:dyDescent="0.2">
      <c r="B25" s="175" t="s">
        <v>2538</v>
      </c>
      <c r="C25" s="177" t="s">
        <v>2518</v>
      </c>
      <c r="D25" s="180" t="s">
        <v>3630</v>
      </c>
      <c r="E25" s="187" t="s">
        <v>1388</v>
      </c>
      <c r="F25" s="188"/>
      <c r="G25" s="151" t="s">
        <v>1433</v>
      </c>
    </row>
    <row r="26" spans="2:7" ht="14.45" customHeight="1" x14ac:dyDescent="0.2">
      <c r="B26" s="175" t="s">
        <v>2538</v>
      </c>
      <c r="C26" s="177" t="s">
        <v>2518</v>
      </c>
      <c r="D26" s="180" t="s">
        <v>3630</v>
      </c>
      <c r="E26" s="187" t="s">
        <v>1389</v>
      </c>
      <c r="F26" s="188"/>
      <c r="G26" s="151" t="s">
        <v>1434</v>
      </c>
    </row>
    <row r="27" spans="2:7" ht="14.45" customHeight="1" x14ac:dyDescent="0.2">
      <c r="B27" s="175" t="s">
        <v>2538</v>
      </c>
      <c r="C27" s="177" t="s">
        <v>2518</v>
      </c>
      <c r="D27" s="180" t="s">
        <v>3630</v>
      </c>
      <c r="E27" s="187" t="s">
        <v>1390</v>
      </c>
      <c r="F27" s="188"/>
      <c r="G27" s="151" t="s">
        <v>1435</v>
      </c>
    </row>
    <row r="28" spans="2:7" ht="14.45" customHeight="1" x14ac:dyDescent="0.2">
      <c r="B28" s="175" t="s">
        <v>2538</v>
      </c>
      <c r="C28" s="177" t="s">
        <v>2518</v>
      </c>
      <c r="D28" s="180" t="s">
        <v>3630</v>
      </c>
      <c r="E28" s="187" t="s">
        <v>1391</v>
      </c>
      <c r="F28" s="188"/>
      <c r="G28" s="151" t="s">
        <v>1436</v>
      </c>
    </row>
    <row r="29" spans="2:7" ht="14.45" customHeight="1" x14ac:dyDescent="0.2">
      <c r="B29" s="175" t="s">
        <v>2538</v>
      </c>
      <c r="C29" s="177" t="s">
        <v>2518</v>
      </c>
      <c r="D29" s="180" t="s">
        <v>3630</v>
      </c>
      <c r="E29" s="187" t="s">
        <v>1392</v>
      </c>
      <c r="F29" s="188"/>
      <c r="G29" s="151" t="s">
        <v>1437</v>
      </c>
    </row>
    <row r="30" spans="2:7" ht="14.45" customHeight="1" x14ac:dyDescent="0.2">
      <c r="B30" s="175" t="s">
        <v>2538</v>
      </c>
      <c r="C30" s="177" t="s">
        <v>2518</v>
      </c>
      <c r="D30" s="180" t="s">
        <v>3630</v>
      </c>
      <c r="E30" s="187" t="s">
        <v>1393</v>
      </c>
      <c r="F30" s="188"/>
      <c r="G30" s="151" t="s">
        <v>1438</v>
      </c>
    </row>
    <row r="31" spans="2:7" ht="14.45" customHeight="1" x14ac:dyDescent="0.2">
      <c r="B31" s="175" t="s">
        <v>2538</v>
      </c>
      <c r="C31" s="177" t="s">
        <v>2518</v>
      </c>
      <c r="D31" s="180" t="s">
        <v>3630</v>
      </c>
      <c r="E31" s="187" t="s">
        <v>1394</v>
      </c>
      <c r="F31" s="188"/>
      <c r="G31" s="151" t="s">
        <v>1439</v>
      </c>
    </row>
    <row r="32" spans="2:7" ht="14.45" customHeight="1" x14ac:dyDescent="0.2">
      <c r="B32" s="175" t="s">
        <v>2538</v>
      </c>
      <c r="C32" s="177" t="s">
        <v>2518</v>
      </c>
      <c r="D32" s="180" t="s">
        <v>3630</v>
      </c>
      <c r="E32" s="187" t="s">
        <v>1395</v>
      </c>
      <c r="F32" s="188"/>
      <c r="G32" s="151" t="s">
        <v>1440</v>
      </c>
    </row>
    <row r="33" spans="2:7" ht="14.45" customHeight="1" x14ac:dyDescent="0.2">
      <c r="B33" s="175" t="s">
        <v>2538</v>
      </c>
      <c r="C33" s="177" t="s">
        <v>2518</v>
      </c>
      <c r="D33" s="180" t="s">
        <v>3630</v>
      </c>
      <c r="E33" s="187" t="s">
        <v>1396</v>
      </c>
      <c r="F33" s="188"/>
      <c r="G33" s="151" t="s">
        <v>1591</v>
      </c>
    </row>
    <row r="34" spans="2:7" ht="14.45" customHeight="1" x14ac:dyDescent="0.2">
      <c r="B34" s="175" t="s">
        <v>2538</v>
      </c>
      <c r="C34" s="177" t="s">
        <v>2518</v>
      </c>
      <c r="D34" s="180" t="s">
        <v>3630</v>
      </c>
      <c r="E34" s="187" t="s">
        <v>1397</v>
      </c>
      <c r="F34" s="188"/>
      <c r="G34" s="151" t="s">
        <v>1441</v>
      </c>
    </row>
    <row r="35" spans="2:7" ht="14.45" customHeight="1" x14ac:dyDescent="0.2">
      <c r="B35" s="175" t="s">
        <v>2538</v>
      </c>
      <c r="C35" s="177" t="s">
        <v>2518</v>
      </c>
      <c r="D35" s="180" t="s">
        <v>3630</v>
      </c>
      <c r="E35" s="187" t="s">
        <v>1398</v>
      </c>
      <c r="F35" s="188"/>
      <c r="G35" s="151" t="s">
        <v>1442</v>
      </c>
    </row>
    <row r="36" spans="2:7" ht="14.45" customHeight="1" x14ac:dyDescent="0.2">
      <c r="B36" s="175" t="s">
        <v>2538</v>
      </c>
      <c r="C36" s="177" t="s">
        <v>2518</v>
      </c>
      <c r="D36" s="180" t="s">
        <v>3630</v>
      </c>
      <c r="E36" s="187" t="s">
        <v>1399</v>
      </c>
      <c r="F36" s="188"/>
      <c r="G36" s="151" t="s">
        <v>1443</v>
      </c>
    </row>
    <row r="37" spans="2:7" ht="14.45" customHeight="1" x14ac:dyDescent="0.2">
      <c r="B37" s="175" t="s">
        <v>2538</v>
      </c>
      <c r="C37" s="177" t="s">
        <v>2518</v>
      </c>
      <c r="D37" s="180" t="s">
        <v>3630</v>
      </c>
      <c r="E37" s="187" t="s">
        <v>1400</v>
      </c>
      <c r="F37" s="188"/>
      <c r="G37" s="151" t="s">
        <v>1444</v>
      </c>
    </row>
    <row r="38" spans="2:7" ht="14.45" customHeight="1" x14ac:dyDescent="0.2">
      <c r="B38" s="175" t="s">
        <v>2538</v>
      </c>
      <c r="C38" s="177" t="s">
        <v>2518</v>
      </c>
      <c r="D38" s="180" t="s">
        <v>3630</v>
      </c>
      <c r="E38" s="187" t="s">
        <v>1401</v>
      </c>
      <c r="F38" s="188"/>
      <c r="G38" s="151" t="s">
        <v>1445</v>
      </c>
    </row>
    <row r="39" spans="2:7" ht="14.45" customHeight="1" x14ac:dyDescent="0.2">
      <c r="B39" s="175" t="s">
        <v>2538</v>
      </c>
      <c r="C39" s="177" t="s">
        <v>2518</v>
      </c>
      <c r="D39" s="180" t="s">
        <v>3630</v>
      </c>
      <c r="E39" s="187" t="s">
        <v>1402</v>
      </c>
      <c r="F39" s="188"/>
      <c r="G39" s="151" t="s">
        <v>1446</v>
      </c>
    </row>
    <row r="40" spans="2:7" ht="14.45" customHeight="1" x14ac:dyDescent="0.2">
      <c r="B40" s="175" t="s">
        <v>2538</v>
      </c>
      <c r="C40" s="177" t="s">
        <v>2518</v>
      </c>
      <c r="D40" s="180" t="s">
        <v>3630</v>
      </c>
      <c r="E40" s="187" t="s">
        <v>1403</v>
      </c>
      <c r="F40" s="188"/>
      <c r="G40" s="151" t="s">
        <v>1447</v>
      </c>
    </row>
    <row r="41" spans="2:7" ht="14.45" customHeight="1" x14ac:dyDescent="0.2">
      <c r="B41" s="175" t="s">
        <v>2538</v>
      </c>
      <c r="C41" s="177" t="s">
        <v>2518</v>
      </c>
      <c r="D41" s="180" t="s">
        <v>3630</v>
      </c>
      <c r="E41" s="187" t="s">
        <v>1404</v>
      </c>
      <c r="F41" s="188"/>
      <c r="G41" s="151" t="s">
        <v>1448</v>
      </c>
    </row>
    <row r="42" spans="2:7" ht="14.45" customHeight="1" x14ac:dyDescent="0.2">
      <c r="B42" s="175" t="s">
        <v>2538</v>
      </c>
      <c r="C42" s="177" t="s">
        <v>2518</v>
      </c>
      <c r="D42" s="181" t="s">
        <v>3630</v>
      </c>
      <c r="E42" s="190" t="s">
        <v>1405</v>
      </c>
      <c r="F42" s="191"/>
      <c r="G42" s="143" t="s">
        <v>1449</v>
      </c>
    </row>
    <row r="43" spans="2:7" ht="14.45" customHeight="1" x14ac:dyDescent="0.2">
      <c r="B43" s="175" t="s">
        <v>2538</v>
      </c>
      <c r="C43" s="177" t="s">
        <v>2518</v>
      </c>
      <c r="D43" s="189" t="s">
        <v>3473</v>
      </c>
      <c r="E43" s="192" t="s">
        <v>1406</v>
      </c>
      <c r="F43" s="193"/>
      <c r="G43" s="165" t="s">
        <v>1450</v>
      </c>
    </row>
    <row r="44" spans="2:7" ht="14.45" customHeight="1" x14ac:dyDescent="0.2">
      <c r="B44" s="175" t="s">
        <v>2538</v>
      </c>
      <c r="C44" s="177" t="s">
        <v>2518</v>
      </c>
      <c r="D44" s="180" t="s">
        <v>3473</v>
      </c>
      <c r="E44" s="187" t="s">
        <v>1407</v>
      </c>
      <c r="F44" s="188"/>
      <c r="G44" s="151" t="s">
        <v>1451</v>
      </c>
    </row>
    <row r="45" spans="2:7" ht="14.45" customHeight="1" x14ac:dyDescent="0.2">
      <c r="B45" s="175" t="s">
        <v>2538</v>
      </c>
      <c r="C45" s="177" t="s">
        <v>2518</v>
      </c>
      <c r="D45" s="180" t="s">
        <v>3473</v>
      </c>
      <c r="E45" s="187" t="s">
        <v>1408</v>
      </c>
      <c r="F45" s="188"/>
      <c r="G45" s="151" t="s">
        <v>1452</v>
      </c>
    </row>
    <row r="46" spans="2:7" ht="14.45" customHeight="1" x14ac:dyDescent="0.2">
      <c r="B46" s="175" t="s">
        <v>2538</v>
      </c>
      <c r="C46" s="177" t="s">
        <v>2518</v>
      </c>
      <c r="D46" s="180" t="s">
        <v>3473</v>
      </c>
      <c r="E46" s="187" t="s">
        <v>1454</v>
      </c>
      <c r="F46" s="188"/>
      <c r="G46" s="151" t="s">
        <v>1453</v>
      </c>
    </row>
    <row r="47" spans="2:7" ht="14.45" customHeight="1" x14ac:dyDescent="0.2">
      <c r="B47" s="175" t="s">
        <v>2538</v>
      </c>
      <c r="C47" s="177" t="s">
        <v>2518</v>
      </c>
      <c r="D47" s="180" t="s">
        <v>3473</v>
      </c>
      <c r="E47" s="187" t="s">
        <v>1458</v>
      </c>
      <c r="F47" s="188"/>
      <c r="G47" s="151" t="s">
        <v>1459</v>
      </c>
    </row>
    <row r="48" spans="2:7" ht="14.45" customHeight="1" x14ac:dyDescent="0.2">
      <c r="B48" s="175" t="s">
        <v>2538</v>
      </c>
      <c r="C48" s="177" t="s">
        <v>2518</v>
      </c>
      <c r="D48" s="180" t="s">
        <v>3473</v>
      </c>
      <c r="E48" s="187" t="s">
        <v>1457</v>
      </c>
      <c r="F48" s="188"/>
      <c r="G48" s="151" t="s">
        <v>1460</v>
      </c>
    </row>
    <row r="49" spans="2:7" ht="14.45" customHeight="1" x14ac:dyDescent="0.2">
      <c r="B49" s="175" t="s">
        <v>2538</v>
      </c>
      <c r="C49" s="177" t="s">
        <v>2518</v>
      </c>
      <c r="D49" s="180" t="s">
        <v>3473</v>
      </c>
      <c r="E49" s="187" t="s">
        <v>1409</v>
      </c>
      <c r="F49" s="188"/>
      <c r="G49" s="151" t="s">
        <v>1455</v>
      </c>
    </row>
    <row r="50" spans="2:7" ht="14.45" customHeight="1" x14ac:dyDescent="0.2">
      <c r="B50" s="175" t="s">
        <v>2538</v>
      </c>
      <c r="C50" s="177" t="s">
        <v>2518</v>
      </c>
      <c r="D50" s="181" t="s">
        <v>3473</v>
      </c>
      <c r="E50" s="190" t="s">
        <v>1410</v>
      </c>
      <c r="F50" s="191"/>
      <c r="G50" s="143" t="s">
        <v>1456</v>
      </c>
    </row>
    <row r="51" spans="2:7" ht="14.45" customHeight="1" x14ac:dyDescent="0.2">
      <c r="B51" s="175" t="s">
        <v>2538</v>
      </c>
      <c r="C51" s="177" t="s">
        <v>2518</v>
      </c>
      <c r="D51" s="189" t="s">
        <v>3414</v>
      </c>
      <c r="E51" s="192" t="s">
        <v>1424</v>
      </c>
      <c r="F51" s="193"/>
      <c r="G51" s="165" t="s">
        <v>1802</v>
      </c>
    </row>
    <row r="52" spans="2:7" ht="14.45" customHeight="1" x14ac:dyDescent="0.2">
      <c r="B52" s="175" t="s">
        <v>2538</v>
      </c>
      <c r="C52" s="177" t="s">
        <v>2518</v>
      </c>
      <c r="D52" s="180" t="s">
        <v>3414</v>
      </c>
      <c r="E52" s="187" t="s">
        <v>1803</v>
      </c>
      <c r="F52" s="188"/>
      <c r="G52" s="151" t="s">
        <v>1804</v>
      </c>
    </row>
    <row r="53" spans="2:7" ht="14.45" customHeight="1" x14ac:dyDescent="0.2">
      <c r="B53" s="175" t="s">
        <v>2538</v>
      </c>
      <c r="C53" s="177" t="s">
        <v>2518</v>
      </c>
      <c r="D53" s="180" t="s">
        <v>3414</v>
      </c>
      <c r="E53" s="187" t="s">
        <v>1805</v>
      </c>
      <c r="F53" s="188"/>
      <c r="G53" s="151" t="s">
        <v>1807</v>
      </c>
    </row>
    <row r="54" spans="2:7" ht="14.45" customHeight="1" x14ac:dyDescent="0.2">
      <c r="B54" s="175" t="s">
        <v>2538</v>
      </c>
      <c r="C54" s="177" t="s">
        <v>2518</v>
      </c>
      <c r="D54" s="180" t="s">
        <v>3414</v>
      </c>
      <c r="E54" s="187" t="s">
        <v>1806</v>
      </c>
      <c r="F54" s="188"/>
      <c r="G54" s="151" t="s">
        <v>1808</v>
      </c>
    </row>
    <row r="55" spans="2:7" ht="14.45" customHeight="1" x14ac:dyDescent="0.2">
      <c r="B55" s="175" t="s">
        <v>2538</v>
      </c>
      <c r="C55" s="177" t="s">
        <v>2518</v>
      </c>
      <c r="D55" s="180" t="s">
        <v>3414</v>
      </c>
      <c r="E55" s="187" t="s">
        <v>1412</v>
      </c>
      <c r="F55" s="188"/>
      <c r="G55" s="151" t="s">
        <v>1809</v>
      </c>
    </row>
    <row r="56" spans="2:7" ht="14.45" customHeight="1" x14ac:dyDescent="0.2">
      <c r="B56" s="175" t="s">
        <v>2538</v>
      </c>
      <c r="C56" s="177" t="s">
        <v>2518</v>
      </c>
      <c r="D56" s="180" t="s">
        <v>3414</v>
      </c>
      <c r="E56" s="187" t="s">
        <v>1425</v>
      </c>
      <c r="F56" s="188"/>
      <c r="G56" s="151" t="s">
        <v>1810</v>
      </c>
    </row>
    <row r="57" spans="2:7" ht="14.45" customHeight="1" x14ac:dyDescent="0.2">
      <c r="B57" s="175" t="s">
        <v>2538</v>
      </c>
      <c r="C57" s="177" t="s">
        <v>2518</v>
      </c>
      <c r="D57" s="180" t="s">
        <v>3414</v>
      </c>
      <c r="E57" s="187" t="s">
        <v>1426</v>
      </c>
      <c r="F57" s="188"/>
      <c r="G57" s="151" t="s">
        <v>1811</v>
      </c>
    </row>
    <row r="58" spans="2:7" ht="14.45" customHeight="1" x14ac:dyDescent="0.2">
      <c r="B58" s="175" t="s">
        <v>2538</v>
      </c>
      <c r="C58" s="177" t="s">
        <v>2518</v>
      </c>
      <c r="D58" s="180" t="s">
        <v>3414</v>
      </c>
      <c r="E58" s="187" t="s">
        <v>1427</v>
      </c>
      <c r="F58" s="188"/>
      <c r="G58" s="151" t="s">
        <v>2222</v>
      </c>
    </row>
    <row r="59" spans="2:7" ht="14.45" customHeight="1" thickBot="1" x14ac:dyDescent="0.25">
      <c r="B59" s="175" t="s">
        <v>2538</v>
      </c>
      <c r="C59" s="178" t="s">
        <v>2518</v>
      </c>
      <c r="D59" s="194" t="s">
        <v>3414</v>
      </c>
      <c r="E59" s="190" t="s">
        <v>1428</v>
      </c>
      <c r="F59" s="191"/>
      <c r="G59" s="143" t="s">
        <v>1812</v>
      </c>
    </row>
    <row r="60" spans="2:7" ht="14.45" customHeight="1" x14ac:dyDescent="0.2">
      <c r="B60" s="175" t="s">
        <v>2538</v>
      </c>
      <c r="C60" s="172" t="s">
        <v>2520</v>
      </c>
      <c r="D60" s="195" t="s">
        <v>3475</v>
      </c>
      <c r="E60" s="196" t="s">
        <v>1376</v>
      </c>
      <c r="F60" s="197"/>
      <c r="G60" s="198" t="s">
        <v>1813</v>
      </c>
    </row>
    <row r="61" spans="2:7" ht="14.45" customHeight="1" x14ac:dyDescent="0.2">
      <c r="B61" s="175" t="s">
        <v>2538</v>
      </c>
      <c r="C61" s="177" t="s">
        <v>2520</v>
      </c>
      <c r="D61" s="189" t="s">
        <v>3477</v>
      </c>
      <c r="E61" s="192" t="s">
        <v>1461</v>
      </c>
      <c r="F61" s="193"/>
      <c r="G61" s="165" t="s">
        <v>1814</v>
      </c>
    </row>
    <row r="62" spans="2:7" ht="14.45" customHeight="1" x14ac:dyDescent="0.2">
      <c r="B62" s="175" t="s">
        <v>2538</v>
      </c>
      <c r="C62" s="177" t="s">
        <v>2520</v>
      </c>
      <c r="D62" s="180" t="s">
        <v>3477</v>
      </c>
      <c r="E62" s="187" t="s">
        <v>1462</v>
      </c>
      <c r="F62" s="188"/>
      <c r="G62" s="151" t="s">
        <v>1815</v>
      </c>
    </row>
    <row r="63" spans="2:7" ht="14.45" customHeight="1" x14ac:dyDescent="0.2">
      <c r="B63" s="175" t="s">
        <v>2538</v>
      </c>
      <c r="C63" s="177" t="s">
        <v>2520</v>
      </c>
      <c r="D63" s="180" t="s">
        <v>3477</v>
      </c>
      <c r="E63" s="187" t="s">
        <v>1463</v>
      </c>
      <c r="F63" s="188"/>
      <c r="G63" s="151" t="s">
        <v>1816</v>
      </c>
    </row>
    <row r="64" spans="2:7" ht="14.45" customHeight="1" x14ac:dyDescent="0.2">
      <c r="B64" s="175" t="s">
        <v>2538</v>
      </c>
      <c r="C64" s="177" t="s">
        <v>2520</v>
      </c>
      <c r="D64" s="180" t="s">
        <v>3477</v>
      </c>
      <c r="E64" s="187" t="s">
        <v>1464</v>
      </c>
      <c r="F64" s="188"/>
      <c r="G64" s="151" t="s">
        <v>1817</v>
      </c>
    </row>
    <row r="65" spans="2:7" ht="14.45" customHeight="1" thickBot="1" x14ac:dyDescent="0.25">
      <c r="B65" s="176" t="s">
        <v>2538</v>
      </c>
      <c r="C65" s="178" t="s">
        <v>2520</v>
      </c>
      <c r="D65" s="194" t="s">
        <v>3477</v>
      </c>
      <c r="E65" s="190" t="s">
        <v>1465</v>
      </c>
      <c r="F65" s="191"/>
      <c r="G65" s="143" t="s">
        <v>1818</v>
      </c>
    </row>
    <row r="66" spans="2:7" ht="14.45" customHeight="1" x14ac:dyDescent="0.2">
      <c r="B66" s="174" t="s">
        <v>2601</v>
      </c>
      <c r="C66" s="172" t="s">
        <v>2522</v>
      </c>
      <c r="D66" s="179" t="s">
        <v>3479</v>
      </c>
      <c r="E66" s="185" t="s">
        <v>1466</v>
      </c>
      <c r="F66" s="186"/>
      <c r="G66" s="164" t="s">
        <v>1819</v>
      </c>
    </row>
    <row r="67" spans="2:7" ht="14.45" customHeight="1" x14ac:dyDescent="0.2">
      <c r="B67" s="175" t="s">
        <v>2539</v>
      </c>
      <c r="C67" s="177" t="s">
        <v>2522</v>
      </c>
      <c r="D67" s="180" t="s">
        <v>3479</v>
      </c>
      <c r="E67" s="187" t="s">
        <v>1467</v>
      </c>
      <c r="F67" s="188"/>
      <c r="G67" s="151" t="s">
        <v>2127</v>
      </c>
    </row>
    <row r="68" spans="2:7" ht="14.45" customHeight="1" x14ac:dyDescent="0.2">
      <c r="B68" s="175" t="s">
        <v>2539</v>
      </c>
      <c r="C68" s="177" t="s">
        <v>2522</v>
      </c>
      <c r="D68" s="180" t="s">
        <v>3479</v>
      </c>
      <c r="E68" s="187" t="s">
        <v>1820</v>
      </c>
      <c r="F68" s="188"/>
      <c r="G68" s="151" t="s">
        <v>1821</v>
      </c>
    </row>
    <row r="69" spans="2:7" ht="14.45" customHeight="1" x14ac:dyDescent="0.2">
      <c r="B69" s="175" t="s">
        <v>2539</v>
      </c>
      <c r="C69" s="177" t="s">
        <v>2522</v>
      </c>
      <c r="D69" s="181" t="s">
        <v>3479</v>
      </c>
      <c r="E69" s="190" t="s">
        <v>1468</v>
      </c>
      <c r="F69" s="191"/>
      <c r="G69" s="143" t="s">
        <v>1822</v>
      </c>
    </row>
    <row r="70" spans="2:7" ht="14.45" customHeight="1" x14ac:dyDescent="0.2">
      <c r="B70" s="175" t="s">
        <v>2539</v>
      </c>
      <c r="C70" s="177" t="s">
        <v>2522</v>
      </c>
      <c r="D70" s="189" t="s">
        <v>1347</v>
      </c>
      <c r="E70" s="192" t="s">
        <v>1469</v>
      </c>
      <c r="F70" s="193"/>
      <c r="G70" s="165" t="s">
        <v>1823</v>
      </c>
    </row>
    <row r="71" spans="2:7" ht="14.45" customHeight="1" x14ac:dyDescent="0.2">
      <c r="B71" s="175" t="s">
        <v>2539</v>
      </c>
      <c r="C71" s="177" t="s">
        <v>2522</v>
      </c>
      <c r="D71" s="180" t="s">
        <v>1347</v>
      </c>
      <c r="E71" s="187" t="s">
        <v>1470</v>
      </c>
      <c r="F71" s="188"/>
      <c r="G71" s="151" t="s">
        <v>1824</v>
      </c>
    </row>
    <row r="72" spans="2:7" ht="14.45" customHeight="1" x14ac:dyDescent="0.2">
      <c r="B72" s="175" t="s">
        <v>2539</v>
      </c>
      <c r="C72" s="177" t="s">
        <v>2522</v>
      </c>
      <c r="D72" s="180" t="s">
        <v>1347</v>
      </c>
      <c r="E72" s="187" t="s">
        <v>1472</v>
      </c>
      <c r="F72" s="188"/>
      <c r="G72" s="151" t="s">
        <v>1825</v>
      </c>
    </row>
    <row r="73" spans="2:7" ht="14.45" customHeight="1" x14ac:dyDescent="0.2">
      <c r="B73" s="175" t="s">
        <v>2539</v>
      </c>
      <c r="C73" s="177" t="s">
        <v>2522</v>
      </c>
      <c r="D73" s="181" t="s">
        <v>1347</v>
      </c>
      <c r="E73" s="190" t="s">
        <v>1471</v>
      </c>
      <c r="F73" s="191"/>
      <c r="G73" s="143" t="s">
        <v>1826</v>
      </c>
    </row>
    <row r="74" spans="2:7" ht="14.45" customHeight="1" x14ac:dyDescent="0.2">
      <c r="B74" s="175" t="s">
        <v>2539</v>
      </c>
      <c r="C74" s="177" t="s">
        <v>2522</v>
      </c>
      <c r="D74" s="83" t="s">
        <v>3416</v>
      </c>
      <c r="E74" s="192" t="s">
        <v>1415</v>
      </c>
      <c r="F74" s="193"/>
      <c r="G74" s="165" t="s">
        <v>1484</v>
      </c>
    </row>
    <row r="75" spans="2:7" ht="14.45" customHeight="1" x14ac:dyDescent="0.2">
      <c r="B75" s="175" t="s">
        <v>2539</v>
      </c>
      <c r="C75" s="177" t="s">
        <v>2522</v>
      </c>
      <c r="D75" s="199" t="s">
        <v>3416</v>
      </c>
      <c r="E75" s="187" t="s">
        <v>1378</v>
      </c>
      <c r="F75" s="188"/>
      <c r="G75" s="151" t="s">
        <v>1486</v>
      </c>
    </row>
    <row r="76" spans="2:7" ht="14.45" customHeight="1" x14ac:dyDescent="0.2">
      <c r="B76" s="175" t="s">
        <v>2539</v>
      </c>
      <c r="C76" s="177" t="s">
        <v>2522</v>
      </c>
      <c r="D76" s="199" t="s">
        <v>3416</v>
      </c>
      <c r="E76" s="187" t="s">
        <v>1473</v>
      </c>
      <c r="F76" s="188"/>
      <c r="G76" s="151" t="s">
        <v>1485</v>
      </c>
    </row>
    <row r="77" spans="2:7" ht="14.45" customHeight="1" x14ac:dyDescent="0.2">
      <c r="B77" s="175" t="s">
        <v>2539</v>
      </c>
      <c r="C77" s="177" t="s">
        <v>2522</v>
      </c>
      <c r="D77" s="199" t="s">
        <v>3416</v>
      </c>
      <c r="E77" s="187" t="s">
        <v>1474</v>
      </c>
      <c r="F77" s="188"/>
      <c r="G77" s="151" t="s">
        <v>1487</v>
      </c>
    </row>
    <row r="78" spans="2:7" ht="14.45" customHeight="1" x14ac:dyDescent="0.2">
      <c r="B78" s="175" t="s">
        <v>2539</v>
      </c>
      <c r="C78" s="177" t="s">
        <v>2522</v>
      </c>
      <c r="D78" s="199" t="s">
        <v>3416</v>
      </c>
      <c r="E78" s="187" t="s">
        <v>1475</v>
      </c>
      <c r="F78" s="188"/>
      <c r="G78" s="151" t="s">
        <v>1488</v>
      </c>
    </row>
    <row r="79" spans="2:7" ht="14.45" customHeight="1" x14ac:dyDescent="0.2">
      <c r="B79" s="175" t="s">
        <v>2539</v>
      </c>
      <c r="C79" s="177" t="s">
        <v>2522</v>
      </c>
      <c r="D79" s="199" t="s">
        <v>3416</v>
      </c>
      <c r="E79" s="187" t="s">
        <v>2072</v>
      </c>
      <c r="F79" s="188"/>
      <c r="G79" s="151" t="s">
        <v>1482</v>
      </c>
    </row>
    <row r="80" spans="2:7" ht="14.45" customHeight="1" x14ac:dyDescent="0.2">
      <c r="B80" s="175" t="s">
        <v>2539</v>
      </c>
      <c r="C80" s="177" t="s">
        <v>2522</v>
      </c>
      <c r="D80" s="199" t="s">
        <v>3416</v>
      </c>
      <c r="E80" s="187" t="s">
        <v>1489</v>
      </c>
      <c r="F80" s="188"/>
      <c r="G80" s="151" t="s">
        <v>1490</v>
      </c>
    </row>
    <row r="81" spans="2:7" ht="14.45" customHeight="1" x14ac:dyDescent="0.2">
      <c r="B81" s="175" t="s">
        <v>2539</v>
      </c>
      <c r="C81" s="177" t="s">
        <v>2522</v>
      </c>
      <c r="D81" s="199" t="s">
        <v>3416</v>
      </c>
      <c r="E81" s="187" t="s">
        <v>1479</v>
      </c>
      <c r="F81" s="188"/>
      <c r="G81" s="151" t="s">
        <v>1491</v>
      </c>
    </row>
    <row r="82" spans="2:7" ht="14.45" customHeight="1" x14ac:dyDescent="0.2">
      <c r="B82" s="175" t="s">
        <v>2539</v>
      </c>
      <c r="C82" s="177" t="s">
        <v>2522</v>
      </c>
      <c r="D82" s="199" t="s">
        <v>3416</v>
      </c>
      <c r="E82" s="187" t="s">
        <v>1480</v>
      </c>
      <c r="F82" s="188"/>
      <c r="G82" s="151" t="s">
        <v>2128</v>
      </c>
    </row>
    <row r="83" spans="2:7" ht="14.45" customHeight="1" x14ac:dyDescent="0.2">
      <c r="B83" s="175" t="s">
        <v>2539</v>
      </c>
      <c r="C83" s="177" t="s">
        <v>2522</v>
      </c>
      <c r="D83" s="199" t="s">
        <v>3416</v>
      </c>
      <c r="E83" s="187" t="s">
        <v>1417</v>
      </c>
      <c r="F83" s="188"/>
      <c r="G83" s="151" t="s">
        <v>1492</v>
      </c>
    </row>
    <row r="84" spans="2:7" ht="14.45" customHeight="1" x14ac:dyDescent="0.2">
      <c r="B84" s="175" t="s">
        <v>2539</v>
      </c>
      <c r="C84" s="177" t="s">
        <v>2522</v>
      </c>
      <c r="D84" s="199" t="s">
        <v>3416</v>
      </c>
      <c r="E84" s="187" t="s">
        <v>1481</v>
      </c>
      <c r="F84" s="188"/>
      <c r="G84" s="151" t="s">
        <v>1497</v>
      </c>
    </row>
    <row r="85" spans="2:7" ht="14.45" customHeight="1" x14ac:dyDescent="0.2">
      <c r="B85" s="175" t="s">
        <v>2539</v>
      </c>
      <c r="C85" s="177" t="s">
        <v>2522</v>
      </c>
      <c r="D85" s="199" t="s">
        <v>3416</v>
      </c>
      <c r="E85" s="187" t="s">
        <v>1476</v>
      </c>
      <c r="F85" s="188"/>
      <c r="G85" s="151" t="s">
        <v>1496</v>
      </c>
    </row>
    <row r="86" spans="2:7" ht="14.45" customHeight="1" x14ac:dyDescent="0.2">
      <c r="B86" s="175" t="s">
        <v>2539</v>
      </c>
      <c r="C86" s="177" t="s">
        <v>2522</v>
      </c>
      <c r="D86" s="199" t="s">
        <v>3416</v>
      </c>
      <c r="E86" s="187" t="s">
        <v>1493</v>
      </c>
      <c r="F86" s="188"/>
      <c r="G86" s="151" t="s">
        <v>1498</v>
      </c>
    </row>
    <row r="87" spans="2:7" ht="14.45" customHeight="1" x14ac:dyDescent="0.2">
      <c r="B87" s="175" t="s">
        <v>2539</v>
      </c>
      <c r="C87" s="177" t="s">
        <v>2522</v>
      </c>
      <c r="D87" s="199" t="s">
        <v>3416</v>
      </c>
      <c r="E87" s="187" t="s">
        <v>1494</v>
      </c>
      <c r="F87" s="188"/>
      <c r="G87" s="151" t="s">
        <v>1499</v>
      </c>
    </row>
    <row r="88" spans="2:7" ht="14.45" customHeight="1" x14ac:dyDescent="0.2">
      <c r="B88" s="175" t="s">
        <v>2539</v>
      </c>
      <c r="C88" s="177" t="s">
        <v>2522</v>
      </c>
      <c r="D88" s="199" t="s">
        <v>3416</v>
      </c>
      <c r="E88" s="187" t="s">
        <v>1483</v>
      </c>
      <c r="F88" s="188"/>
      <c r="G88" s="151" t="s">
        <v>1495</v>
      </c>
    </row>
    <row r="89" spans="2:7" ht="14.45" customHeight="1" x14ac:dyDescent="0.2">
      <c r="B89" s="175" t="s">
        <v>2539</v>
      </c>
      <c r="C89" s="177" t="s">
        <v>2522</v>
      </c>
      <c r="D89" s="199" t="s">
        <v>3416</v>
      </c>
      <c r="E89" s="187" t="s">
        <v>1477</v>
      </c>
      <c r="F89" s="188"/>
      <c r="G89" s="151" t="s">
        <v>1501</v>
      </c>
    </row>
    <row r="90" spans="2:7" ht="14.45" customHeight="1" x14ac:dyDescent="0.2">
      <c r="B90" s="175" t="s">
        <v>2539</v>
      </c>
      <c r="C90" s="177" t="s">
        <v>2522</v>
      </c>
      <c r="D90" s="199" t="s">
        <v>3416</v>
      </c>
      <c r="E90" s="187" t="s">
        <v>1478</v>
      </c>
      <c r="F90" s="188"/>
      <c r="G90" s="151" t="s">
        <v>1500</v>
      </c>
    </row>
    <row r="91" spans="2:7" ht="14.45" customHeight="1" x14ac:dyDescent="0.2">
      <c r="B91" s="175" t="s">
        <v>2539</v>
      </c>
      <c r="C91" s="177" t="s">
        <v>2522</v>
      </c>
      <c r="D91" s="199" t="s">
        <v>3416</v>
      </c>
      <c r="E91" s="187" t="s">
        <v>1729</v>
      </c>
      <c r="F91" s="188"/>
      <c r="G91" s="151" t="s">
        <v>1756</v>
      </c>
    </row>
    <row r="92" spans="2:7" ht="14.45" customHeight="1" x14ac:dyDescent="0.2">
      <c r="B92" s="175" t="s">
        <v>2539</v>
      </c>
      <c r="C92" s="177" t="s">
        <v>2522</v>
      </c>
      <c r="D92" s="199" t="s">
        <v>3416</v>
      </c>
      <c r="E92" s="187" t="s">
        <v>1730</v>
      </c>
      <c r="F92" s="188"/>
      <c r="G92" s="151" t="s">
        <v>1757</v>
      </c>
    </row>
    <row r="93" spans="2:7" ht="14.45" customHeight="1" thickBot="1" x14ac:dyDescent="0.25">
      <c r="B93" s="175" t="s">
        <v>2539</v>
      </c>
      <c r="C93" s="178" t="s">
        <v>2522</v>
      </c>
      <c r="D93" s="200" t="s">
        <v>3416</v>
      </c>
      <c r="E93" s="190" t="s">
        <v>1731</v>
      </c>
      <c r="F93" s="191"/>
      <c r="G93" s="143" t="s">
        <v>1758</v>
      </c>
    </row>
    <row r="94" spans="2:7" ht="14.45" customHeight="1" x14ac:dyDescent="0.2">
      <c r="B94" s="175" t="s">
        <v>2539</v>
      </c>
      <c r="C94" s="172" t="s">
        <v>2525</v>
      </c>
      <c r="D94" s="179" t="s">
        <v>3417</v>
      </c>
      <c r="E94" s="185" t="s">
        <v>1554</v>
      </c>
      <c r="F94" s="186"/>
      <c r="G94" s="164" t="s">
        <v>1576</v>
      </c>
    </row>
    <row r="95" spans="2:7" ht="14.45" customHeight="1" x14ac:dyDescent="0.2">
      <c r="B95" s="175" t="s">
        <v>2539</v>
      </c>
      <c r="C95" s="177" t="s">
        <v>2524</v>
      </c>
      <c r="D95" s="180" t="s">
        <v>3417</v>
      </c>
      <c r="E95" s="187" t="s">
        <v>1555</v>
      </c>
      <c r="F95" s="188"/>
      <c r="G95" s="151" t="s">
        <v>1579</v>
      </c>
    </row>
    <row r="96" spans="2:7" ht="14.45" customHeight="1" x14ac:dyDescent="0.2">
      <c r="B96" s="175" t="s">
        <v>2539</v>
      </c>
      <c r="C96" s="177" t="s">
        <v>2524</v>
      </c>
      <c r="D96" s="180" t="s">
        <v>3417</v>
      </c>
      <c r="E96" s="187" t="s">
        <v>1556</v>
      </c>
      <c r="F96" s="188"/>
      <c r="G96" s="151" t="s">
        <v>1580</v>
      </c>
    </row>
    <row r="97" spans="2:7" ht="14.45" customHeight="1" x14ac:dyDescent="0.2">
      <c r="B97" s="175" t="s">
        <v>2539</v>
      </c>
      <c r="C97" s="177" t="s">
        <v>2524</v>
      </c>
      <c r="D97" s="180" t="s">
        <v>3417</v>
      </c>
      <c r="E97" s="187" t="s">
        <v>1557</v>
      </c>
      <c r="F97" s="188"/>
      <c r="G97" s="151" t="s">
        <v>1581</v>
      </c>
    </row>
    <row r="98" spans="2:7" ht="14.45" customHeight="1" x14ac:dyDescent="0.2">
      <c r="B98" s="175" t="s">
        <v>2539</v>
      </c>
      <c r="C98" s="177" t="s">
        <v>2524</v>
      </c>
      <c r="D98" s="180" t="s">
        <v>3417</v>
      </c>
      <c r="E98" s="187" t="s">
        <v>1558</v>
      </c>
      <c r="F98" s="188"/>
      <c r="G98" s="151" t="s">
        <v>1582</v>
      </c>
    </row>
    <row r="99" spans="2:7" ht="14.45" customHeight="1" x14ac:dyDescent="0.2">
      <c r="B99" s="175" t="s">
        <v>2539</v>
      </c>
      <c r="C99" s="177" t="s">
        <v>2524</v>
      </c>
      <c r="D99" s="180" t="s">
        <v>3417</v>
      </c>
      <c r="E99" s="187" t="s">
        <v>1559</v>
      </c>
      <c r="F99" s="188"/>
      <c r="G99" s="151" t="s">
        <v>1827</v>
      </c>
    </row>
    <row r="100" spans="2:7" ht="14.45" customHeight="1" x14ac:dyDescent="0.2">
      <c r="B100" s="175" t="s">
        <v>2539</v>
      </c>
      <c r="C100" s="177" t="s">
        <v>2524</v>
      </c>
      <c r="D100" s="180" t="s">
        <v>3417</v>
      </c>
      <c r="E100" s="187" t="s">
        <v>1560</v>
      </c>
      <c r="F100" s="188"/>
      <c r="G100" s="151" t="s">
        <v>1828</v>
      </c>
    </row>
    <row r="101" spans="2:7" ht="14.45" customHeight="1" x14ac:dyDescent="0.2">
      <c r="B101" s="175" t="s">
        <v>2539</v>
      </c>
      <c r="C101" s="177" t="s">
        <v>2524</v>
      </c>
      <c r="D101" s="180" t="s">
        <v>3417</v>
      </c>
      <c r="E101" s="187" t="s">
        <v>1561</v>
      </c>
      <c r="F101" s="188"/>
      <c r="G101" s="151" t="s">
        <v>1562</v>
      </c>
    </row>
    <row r="102" spans="2:7" ht="14.45" customHeight="1" x14ac:dyDescent="0.2">
      <c r="B102" s="175" t="s">
        <v>2539</v>
      </c>
      <c r="C102" s="177" t="s">
        <v>2524</v>
      </c>
      <c r="D102" s="181" t="s">
        <v>3417</v>
      </c>
      <c r="E102" s="190" t="s">
        <v>1563</v>
      </c>
      <c r="F102" s="191"/>
      <c r="G102" s="143" t="s">
        <v>1829</v>
      </c>
    </row>
    <row r="103" spans="2:7" ht="14.45" customHeight="1" x14ac:dyDescent="0.2">
      <c r="B103" s="175" t="s">
        <v>2539</v>
      </c>
      <c r="C103" s="177" t="s">
        <v>2524</v>
      </c>
      <c r="D103" s="189" t="s">
        <v>3415</v>
      </c>
      <c r="E103" s="192" t="s">
        <v>1384</v>
      </c>
      <c r="F103" s="193"/>
      <c r="G103" s="165" t="s">
        <v>1830</v>
      </c>
    </row>
    <row r="104" spans="2:7" ht="14.45" customHeight="1" x14ac:dyDescent="0.2">
      <c r="B104" s="175" t="s">
        <v>2539</v>
      </c>
      <c r="C104" s="177" t="s">
        <v>2524</v>
      </c>
      <c r="D104" s="180" t="s">
        <v>3415</v>
      </c>
      <c r="E104" s="187" t="s">
        <v>1386</v>
      </c>
      <c r="F104" s="188"/>
      <c r="G104" s="151" t="s">
        <v>1831</v>
      </c>
    </row>
    <row r="105" spans="2:7" ht="14.45" customHeight="1" x14ac:dyDescent="0.2">
      <c r="B105" s="175" t="s">
        <v>2539</v>
      </c>
      <c r="C105" s="177" t="s">
        <v>2524</v>
      </c>
      <c r="D105" s="180" t="s">
        <v>3415</v>
      </c>
      <c r="E105" s="187" t="s">
        <v>1564</v>
      </c>
      <c r="F105" s="188"/>
      <c r="G105" s="151" t="s">
        <v>3514</v>
      </c>
    </row>
    <row r="106" spans="2:7" ht="14.45" customHeight="1" x14ac:dyDescent="0.2">
      <c r="B106" s="175" t="s">
        <v>2539</v>
      </c>
      <c r="C106" s="177" t="s">
        <v>2524</v>
      </c>
      <c r="D106" s="180" t="s">
        <v>3415</v>
      </c>
      <c r="E106" s="187" t="s">
        <v>1385</v>
      </c>
      <c r="F106" s="188"/>
      <c r="G106" s="151" t="s">
        <v>1832</v>
      </c>
    </row>
    <row r="107" spans="2:7" ht="14.45" customHeight="1" x14ac:dyDescent="0.2">
      <c r="B107" s="175" t="s">
        <v>2539</v>
      </c>
      <c r="C107" s="177" t="s">
        <v>2524</v>
      </c>
      <c r="D107" s="181" t="s">
        <v>3415</v>
      </c>
      <c r="E107" s="190" t="s">
        <v>1565</v>
      </c>
      <c r="F107" s="191"/>
      <c r="G107" s="143" t="s">
        <v>1833</v>
      </c>
    </row>
    <row r="108" spans="2:7" ht="14.45" customHeight="1" x14ac:dyDescent="0.2">
      <c r="B108" s="175" t="s">
        <v>2539</v>
      </c>
      <c r="C108" s="177" t="s">
        <v>2524</v>
      </c>
      <c r="D108" s="83" t="s">
        <v>3418</v>
      </c>
      <c r="E108" s="192" t="s">
        <v>1566</v>
      </c>
      <c r="F108" s="193"/>
      <c r="G108" s="165" t="s">
        <v>1834</v>
      </c>
    </row>
    <row r="109" spans="2:7" ht="14.45" customHeight="1" x14ac:dyDescent="0.2">
      <c r="B109" s="175" t="s">
        <v>2539</v>
      </c>
      <c r="C109" s="177" t="s">
        <v>2524</v>
      </c>
      <c r="D109" s="199" t="s">
        <v>3418</v>
      </c>
      <c r="E109" s="187" t="s">
        <v>1835</v>
      </c>
      <c r="F109" s="188"/>
      <c r="G109" s="151" t="s">
        <v>1838</v>
      </c>
    </row>
    <row r="110" spans="2:7" ht="14.45" customHeight="1" x14ac:dyDescent="0.2">
      <c r="B110" s="175" t="s">
        <v>2539</v>
      </c>
      <c r="C110" s="177" t="s">
        <v>2524</v>
      </c>
      <c r="D110" s="199" t="s">
        <v>3418</v>
      </c>
      <c r="E110" s="187" t="s">
        <v>1836</v>
      </c>
      <c r="F110" s="188"/>
      <c r="G110" s="151" t="s">
        <v>1839</v>
      </c>
    </row>
    <row r="111" spans="2:7" ht="14.45" customHeight="1" x14ac:dyDescent="0.2">
      <c r="B111" s="175" t="s">
        <v>2539</v>
      </c>
      <c r="C111" s="177" t="s">
        <v>2524</v>
      </c>
      <c r="D111" s="199" t="s">
        <v>3418</v>
      </c>
      <c r="E111" s="187" t="s">
        <v>1837</v>
      </c>
      <c r="F111" s="188"/>
      <c r="G111" s="151" t="s">
        <v>1840</v>
      </c>
    </row>
    <row r="112" spans="2:7" ht="14.45" customHeight="1" x14ac:dyDescent="0.2">
      <c r="B112" s="175" t="s">
        <v>2539</v>
      </c>
      <c r="C112" s="177" t="s">
        <v>2524</v>
      </c>
      <c r="D112" s="199" t="s">
        <v>3418</v>
      </c>
      <c r="E112" s="187" t="s">
        <v>1567</v>
      </c>
      <c r="F112" s="188"/>
      <c r="G112" s="151" t="s">
        <v>1841</v>
      </c>
    </row>
    <row r="113" spans="2:7" ht="14.45" customHeight="1" thickBot="1" x14ac:dyDescent="0.25">
      <c r="B113" s="176" t="s">
        <v>2539</v>
      </c>
      <c r="C113" s="178" t="s">
        <v>2524</v>
      </c>
      <c r="D113" s="200" t="s">
        <v>3418</v>
      </c>
      <c r="E113" s="190" t="s">
        <v>3515</v>
      </c>
      <c r="F113" s="191"/>
      <c r="G113" s="143" t="s">
        <v>3516</v>
      </c>
    </row>
    <row r="114" spans="2:7" ht="14.45" customHeight="1" x14ac:dyDescent="0.2">
      <c r="B114" s="174" t="s">
        <v>2602</v>
      </c>
      <c r="C114" s="172" t="s">
        <v>3463</v>
      </c>
      <c r="D114" s="179" t="s">
        <v>3481</v>
      </c>
      <c r="E114" s="185" t="s">
        <v>1583</v>
      </c>
      <c r="F114" s="186"/>
      <c r="G114" s="164" t="s">
        <v>1584</v>
      </c>
    </row>
    <row r="115" spans="2:7" ht="14.45" customHeight="1" x14ac:dyDescent="0.2">
      <c r="B115" s="175" t="s">
        <v>2540</v>
      </c>
      <c r="C115" s="177" t="s">
        <v>2564</v>
      </c>
      <c r="D115" s="180" t="s">
        <v>3481</v>
      </c>
      <c r="E115" s="187" t="s">
        <v>1387</v>
      </c>
      <c r="F115" s="188"/>
      <c r="G115" s="151" t="s">
        <v>2289</v>
      </c>
    </row>
    <row r="116" spans="2:7" ht="14.45" customHeight="1" x14ac:dyDescent="0.2">
      <c r="B116" s="175" t="s">
        <v>2540</v>
      </c>
      <c r="C116" s="177" t="s">
        <v>2564</v>
      </c>
      <c r="D116" s="180" t="s">
        <v>3481</v>
      </c>
      <c r="E116" s="187" t="s">
        <v>3632</v>
      </c>
      <c r="F116" s="188"/>
      <c r="G116" s="151" t="s">
        <v>2420</v>
      </c>
    </row>
    <row r="117" spans="2:7" ht="14.45" customHeight="1" x14ac:dyDescent="0.2">
      <c r="B117" s="175" t="s">
        <v>2540</v>
      </c>
      <c r="C117" s="177" t="s">
        <v>2564</v>
      </c>
      <c r="D117" s="180" t="s">
        <v>3481</v>
      </c>
      <c r="E117" s="187" t="s">
        <v>2397</v>
      </c>
      <c r="F117" s="188" t="s">
        <v>2593</v>
      </c>
      <c r="G117" s="151" t="s">
        <v>3644</v>
      </c>
    </row>
    <row r="118" spans="2:7" ht="14.45" customHeight="1" x14ac:dyDescent="0.2">
      <c r="B118" s="175" t="s">
        <v>2540</v>
      </c>
      <c r="C118" s="177" t="s">
        <v>2564</v>
      </c>
      <c r="D118" s="180" t="s">
        <v>3481</v>
      </c>
      <c r="E118" s="187" t="s">
        <v>2398</v>
      </c>
      <c r="F118" s="188" t="s">
        <v>2593</v>
      </c>
      <c r="G118" s="151" t="s">
        <v>3645</v>
      </c>
    </row>
    <row r="119" spans="2:7" ht="14.45" customHeight="1" x14ac:dyDescent="0.2">
      <c r="B119" s="175" t="s">
        <v>2540</v>
      </c>
      <c r="C119" s="177" t="s">
        <v>2564</v>
      </c>
      <c r="D119" s="180" t="s">
        <v>3481</v>
      </c>
      <c r="E119" s="187" t="s">
        <v>2399</v>
      </c>
      <c r="F119" s="188" t="s">
        <v>2593</v>
      </c>
      <c r="G119" s="151" t="s">
        <v>3643</v>
      </c>
    </row>
    <row r="120" spans="2:7" ht="14.45" customHeight="1" x14ac:dyDescent="0.2">
      <c r="B120" s="175" t="s">
        <v>2540</v>
      </c>
      <c r="C120" s="177" t="s">
        <v>2564</v>
      </c>
      <c r="D120" s="180" t="s">
        <v>3481</v>
      </c>
      <c r="E120" s="187" t="s">
        <v>2400</v>
      </c>
      <c r="F120" s="188"/>
      <c r="G120" s="151" t="s">
        <v>2418</v>
      </c>
    </row>
    <row r="121" spans="2:7" ht="14.45" customHeight="1" x14ac:dyDescent="0.2">
      <c r="B121" s="175" t="s">
        <v>2540</v>
      </c>
      <c r="C121" s="177" t="s">
        <v>2564</v>
      </c>
      <c r="D121" s="180" t="s">
        <v>3481</v>
      </c>
      <c r="E121" s="187" t="s">
        <v>2401</v>
      </c>
      <c r="F121" s="188"/>
      <c r="G121" s="151" t="s">
        <v>2411</v>
      </c>
    </row>
    <row r="122" spans="2:7" ht="14.45" customHeight="1" x14ac:dyDescent="0.2">
      <c r="B122" s="175" t="s">
        <v>2540</v>
      </c>
      <c r="C122" s="177" t="s">
        <v>2564</v>
      </c>
      <c r="D122" s="180" t="s">
        <v>3481</v>
      </c>
      <c r="E122" s="187" t="s">
        <v>2402</v>
      </c>
      <c r="F122" s="188"/>
      <c r="G122" s="151" t="s">
        <v>2421</v>
      </c>
    </row>
    <row r="123" spans="2:7" ht="14.45" customHeight="1" x14ac:dyDescent="0.2">
      <c r="B123" s="175" t="s">
        <v>2540</v>
      </c>
      <c r="C123" s="177" t="s">
        <v>2564</v>
      </c>
      <c r="D123" s="180" t="s">
        <v>3481</v>
      </c>
      <c r="E123" s="187" t="s">
        <v>2403</v>
      </c>
      <c r="F123" s="188"/>
      <c r="G123" s="151" t="s">
        <v>2412</v>
      </c>
    </row>
    <row r="124" spans="2:7" ht="14.45" customHeight="1" x14ac:dyDescent="0.2">
      <c r="B124" s="175" t="s">
        <v>2540</v>
      </c>
      <c r="C124" s="177" t="s">
        <v>2564</v>
      </c>
      <c r="D124" s="180" t="s">
        <v>3481</v>
      </c>
      <c r="E124" s="187" t="s">
        <v>2404</v>
      </c>
      <c r="F124" s="188"/>
      <c r="G124" s="151" t="s">
        <v>2422</v>
      </c>
    </row>
    <row r="125" spans="2:7" ht="14.45" customHeight="1" x14ac:dyDescent="0.2">
      <c r="B125" s="175" t="s">
        <v>2540</v>
      </c>
      <c r="C125" s="177" t="s">
        <v>2564</v>
      </c>
      <c r="D125" s="180" t="s">
        <v>3481</v>
      </c>
      <c r="E125" s="187" t="s">
        <v>2405</v>
      </c>
      <c r="F125" s="188"/>
      <c r="G125" s="151" t="s">
        <v>2413</v>
      </c>
    </row>
    <row r="126" spans="2:7" ht="14.45" customHeight="1" x14ac:dyDescent="0.2">
      <c r="B126" s="175" t="s">
        <v>2540</v>
      </c>
      <c r="C126" s="177" t="s">
        <v>2564</v>
      </c>
      <c r="D126" s="180" t="s">
        <v>3481</v>
      </c>
      <c r="E126" s="187" t="s">
        <v>2406</v>
      </c>
      <c r="F126" s="188"/>
      <c r="G126" s="151" t="s">
        <v>2419</v>
      </c>
    </row>
    <row r="127" spans="2:7" ht="14.45" customHeight="1" x14ac:dyDescent="0.2">
      <c r="B127" s="175" t="s">
        <v>2540</v>
      </c>
      <c r="C127" s="177" t="s">
        <v>2564</v>
      </c>
      <c r="D127" s="180" t="s">
        <v>3481</v>
      </c>
      <c r="E127" s="187" t="s">
        <v>2407</v>
      </c>
      <c r="F127" s="188"/>
      <c r="G127" s="151" t="s">
        <v>2414</v>
      </c>
    </row>
    <row r="128" spans="2:7" ht="14.45" customHeight="1" x14ac:dyDescent="0.2">
      <c r="B128" s="175" t="s">
        <v>2540</v>
      </c>
      <c r="C128" s="177" t="s">
        <v>2564</v>
      </c>
      <c r="D128" s="180" t="s">
        <v>3481</v>
      </c>
      <c r="E128" s="187" t="s">
        <v>2408</v>
      </c>
      <c r="F128" s="188"/>
      <c r="G128" s="151" t="s">
        <v>2415</v>
      </c>
    </row>
    <row r="129" spans="2:7" ht="14.45" customHeight="1" x14ac:dyDescent="0.2">
      <c r="B129" s="175" t="s">
        <v>2540</v>
      </c>
      <c r="C129" s="177" t="s">
        <v>2564</v>
      </c>
      <c r="D129" s="180" t="s">
        <v>3481</v>
      </c>
      <c r="E129" s="187" t="s">
        <v>2409</v>
      </c>
      <c r="F129" s="188"/>
      <c r="G129" s="151" t="s">
        <v>2416</v>
      </c>
    </row>
    <row r="130" spans="2:7" ht="14.45" customHeight="1" x14ac:dyDescent="0.2">
      <c r="B130" s="175" t="s">
        <v>2540</v>
      </c>
      <c r="C130" s="177" t="s">
        <v>2564</v>
      </c>
      <c r="D130" s="181" t="s">
        <v>3481</v>
      </c>
      <c r="E130" s="190" t="s">
        <v>2410</v>
      </c>
      <c r="F130" s="191"/>
      <c r="G130" s="143" t="s">
        <v>2417</v>
      </c>
    </row>
    <row r="131" spans="2:7" ht="14.45" customHeight="1" x14ac:dyDescent="0.2">
      <c r="B131" s="175" t="s">
        <v>2540</v>
      </c>
      <c r="C131" s="177" t="s">
        <v>2564</v>
      </c>
      <c r="D131" s="189" t="s">
        <v>3432</v>
      </c>
      <c r="E131" s="192" t="s">
        <v>1587</v>
      </c>
      <c r="F131" s="193"/>
      <c r="G131" s="165" t="s">
        <v>2129</v>
      </c>
    </row>
    <row r="132" spans="2:7" ht="14.45" customHeight="1" x14ac:dyDescent="0.2">
      <c r="B132" s="175" t="s">
        <v>2540</v>
      </c>
      <c r="C132" s="177" t="s">
        <v>2564</v>
      </c>
      <c r="D132" s="180" t="s">
        <v>3432</v>
      </c>
      <c r="E132" s="187" t="s">
        <v>1588</v>
      </c>
      <c r="F132" s="188"/>
      <c r="G132" s="151" t="s">
        <v>2130</v>
      </c>
    </row>
    <row r="133" spans="2:7" ht="14.45" customHeight="1" x14ac:dyDescent="0.2">
      <c r="B133" s="175" t="s">
        <v>2540</v>
      </c>
      <c r="C133" s="177" t="s">
        <v>2564</v>
      </c>
      <c r="D133" s="180" t="s">
        <v>3432</v>
      </c>
      <c r="E133" s="187" t="s">
        <v>1589</v>
      </c>
      <c r="F133" s="188"/>
      <c r="G133" s="201" t="s">
        <v>1590</v>
      </c>
    </row>
    <row r="134" spans="2:7" ht="14.45" customHeight="1" x14ac:dyDescent="0.2">
      <c r="B134" s="175" t="s">
        <v>2540</v>
      </c>
      <c r="C134" s="177" t="s">
        <v>2564</v>
      </c>
      <c r="D134" s="181" t="s">
        <v>3432</v>
      </c>
      <c r="E134" s="190" t="s">
        <v>1510</v>
      </c>
      <c r="F134" s="191"/>
      <c r="G134" s="143" t="s">
        <v>1842</v>
      </c>
    </row>
    <row r="135" spans="2:7" ht="14.45" customHeight="1" x14ac:dyDescent="0.2">
      <c r="B135" s="175" t="s">
        <v>2540</v>
      </c>
      <c r="C135" s="177" t="s">
        <v>2564</v>
      </c>
      <c r="D135" s="189" t="s">
        <v>3419</v>
      </c>
      <c r="E135" s="192" t="s">
        <v>1592</v>
      </c>
      <c r="F135" s="193"/>
      <c r="G135" s="165" t="s">
        <v>1843</v>
      </c>
    </row>
    <row r="136" spans="2:7" ht="14.45" customHeight="1" x14ac:dyDescent="0.2">
      <c r="B136" s="175" t="s">
        <v>2540</v>
      </c>
      <c r="C136" s="177" t="s">
        <v>2564</v>
      </c>
      <c r="D136" s="180" t="s">
        <v>3419</v>
      </c>
      <c r="E136" s="187" t="s">
        <v>1593</v>
      </c>
      <c r="F136" s="188"/>
      <c r="G136" s="151" t="s">
        <v>1845</v>
      </c>
    </row>
    <row r="137" spans="2:7" ht="14.45" customHeight="1" x14ac:dyDescent="0.2">
      <c r="B137" s="175" t="s">
        <v>2540</v>
      </c>
      <c r="C137" s="177" t="s">
        <v>2564</v>
      </c>
      <c r="D137" s="180" t="s">
        <v>3419</v>
      </c>
      <c r="E137" s="187" t="s">
        <v>1596</v>
      </c>
      <c r="F137" s="188"/>
      <c r="G137" s="151" t="s">
        <v>1844</v>
      </c>
    </row>
    <row r="138" spans="2:7" ht="14.45" customHeight="1" x14ac:dyDescent="0.2">
      <c r="B138" s="175" t="s">
        <v>2540</v>
      </c>
      <c r="C138" s="177" t="s">
        <v>2564</v>
      </c>
      <c r="D138" s="180" t="s">
        <v>3419</v>
      </c>
      <c r="E138" s="187" t="s">
        <v>1594</v>
      </c>
      <c r="F138" s="188"/>
      <c r="G138" s="151" t="s">
        <v>1846</v>
      </c>
    </row>
    <row r="139" spans="2:7" ht="14.45" customHeight="1" x14ac:dyDescent="0.2">
      <c r="B139" s="175" t="s">
        <v>2540</v>
      </c>
      <c r="C139" s="177" t="s">
        <v>2564</v>
      </c>
      <c r="D139" s="181" t="s">
        <v>3419</v>
      </c>
      <c r="E139" s="190" t="s">
        <v>1595</v>
      </c>
      <c r="F139" s="191"/>
      <c r="G139" s="143" t="s">
        <v>1847</v>
      </c>
    </row>
    <row r="140" spans="2:7" ht="14.45" customHeight="1" x14ac:dyDescent="0.2">
      <c r="B140" s="175" t="s">
        <v>2540</v>
      </c>
      <c r="C140" s="177" t="s">
        <v>2564</v>
      </c>
      <c r="D140" s="189" t="s">
        <v>3433</v>
      </c>
      <c r="E140" s="192" t="s">
        <v>1598</v>
      </c>
      <c r="F140" s="193"/>
      <c r="G140" s="165" t="s">
        <v>1848</v>
      </c>
    </row>
    <row r="141" spans="2:7" ht="14.45" customHeight="1" x14ac:dyDescent="0.2">
      <c r="B141" s="175" t="s">
        <v>2540</v>
      </c>
      <c r="C141" s="177" t="s">
        <v>2564</v>
      </c>
      <c r="D141" s="180" t="s">
        <v>3433</v>
      </c>
      <c r="E141" s="187" t="s">
        <v>1599</v>
      </c>
      <c r="F141" s="188"/>
      <c r="G141" s="151" t="s">
        <v>1849</v>
      </c>
    </row>
    <row r="142" spans="2:7" ht="14.45" customHeight="1" x14ac:dyDescent="0.2">
      <c r="B142" s="175" t="s">
        <v>2540</v>
      </c>
      <c r="C142" s="177" t="s">
        <v>2564</v>
      </c>
      <c r="D142" s="180" t="s">
        <v>3433</v>
      </c>
      <c r="E142" s="187" t="s">
        <v>1600</v>
      </c>
      <c r="F142" s="188"/>
      <c r="G142" s="151" t="s">
        <v>1850</v>
      </c>
    </row>
    <row r="143" spans="2:7" ht="14.45" customHeight="1" x14ac:dyDescent="0.2">
      <c r="B143" s="175" t="s">
        <v>2540</v>
      </c>
      <c r="C143" s="177" t="s">
        <v>2564</v>
      </c>
      <c r="D143" s="180" t="s">
        <v>3433</v>
      </c>
      <c r="E143" s="187" t="s">
        <v>1603</v>
      </c>
      <c r="F143" s="188"/>
      <c r="G143" s="151" t="s">
        <v>1851</v>
      </c>
    </row>
    <row r="144" spans="2:7" ht="14.45" customHeight="1" x14ac:dyDescent="0.2">
      <c r="B144" s="175" t="s">
        <v>2540</v>
      </c>
      <c r="C144" s="177" t="s">
        <v>2564</v>
      </c>
      <c r="D144" s="180" t="s">
        <v>3433</v>
      </c>
      <c r="E144" s="187" t="s">
        <v>1601</v>
      </c>
      <c r="F144" s="188"/>
      <c r="G144" s="151" t="s">
        <v>1852</v>
      </c>
    </row>
    <row r="145" spans="2:7" ht="14.45" customHeight="1" x14ac:dyDescent="0.2">
      <c r="B145" s="175" t="s">
        <v>2540</v>
      </c>
      <c r="C145" s="177" t="s">
        <v>2564</v>
      </c>
      <c r="D145" s="181" t="s">
        <v>3433</v>
      </c>
      <c r="E145" s="190" t="s">
        <v>1602</v>
      </c>
      <c r="F145" s="191"/>
      <c r="G145" s="143" t="s">
        <v>1853</v>
      </c>
    </row>
    <row r="146" spans="2:7" ht="14.45" customHeight="1" x14ac:dyDescent="0.2">
      <c r="B146" s="175" t="s">
        <v>2540</v>
      </c>
      <c r="C146" s="177" t="s">
        <v>2564</v>
      </c>
      <c r="D146" s="189" t="s">
        <v>3434</v>
      </c>
      <c r="E146" s="192" t="s">
        <v>1604</v>
      </c>
      <c r="F146" s="193"/>
      <c r="G146" s="165" t="s">
        <v>1605</v>
      </c>
    </row>
    <row r="147" spans="2:7" ht="14.45" customHeight="1" x14ac:dyDescent="0.2">
      <c r="B147" s="175" t="s">
        <v>2540</v>
      </c>
      <c r="C147" s="177" t="s">
        <v>2564</v>
      </c>
      <c r="D147" s="180" t="s">
        <v>3434</v>
      </c>
      <c r="E147" s="187" t="s">
        <v>1606</v>
      </c>
      <c r="F147" s="188"/>
      <c r="G147" s="151" t="s">
        <v>1854</v>
      </c>
    </row>
    <row r="148" spans="2:7" ht="14.45" customHeight="1" x14ac:dyDescent="0.2">
      <c r="B148" s="175" t="s">
        <v>2540</v>
      </c>
      <c r="C148" s="177" t="s">
        <v>2564</v>
      </c>
      <c r="D148" s="180" t="s">
        <v>3434</v>
      </c>
      <c r="E148" s="187" t="s">
        <v>1607</v>
      </c>
      <c r="F148" s="188"/>
      <c r="G148" s="151" t="s">
        <v>1608</v>
      </c>
    </row>
    <row r="149" spans="2:7" ht="14.45" customHeight="1" x14ac:dyDescent="0.2">
      <c r="B149" s="175" t="s">
        <v>2540</v>
      </c>
      <c r="C149" s="177" t="s">
        <v>2564</v>
      </c>
      <c r="D149" s="180" t="s">
        <v>3434</v>
      </c>
      <c r="E149" s="187" t="s">
        <v>1609</v>
      </c>
      <c r="F149" s="188"/>
      <c r="G149" s="151" t="s">
        <v>2131</v>
      </c>
    </row>
    <row r="150" spans="2:7" ht="14.45" customHeight="1" x14ac:dyDescent="0.2">
      <c r="B150" s="175" t="s">
        <v>2540</v>
      </c>
      <c r="C150" s="177" t="s">
        <v>2564</v>
      </c>
      <c r="D150" s="180" t="s">
        <v>3434</v>
      </c>
      <c r="E150" s="187" t="s">
        <v>1610</v>
      </c>
      <c r="F150" s="188"/>
      <c r="G150" s="151" t="s">
        <v>2132</v>
      </c>
    </row>
    <row r="151" spans="2:7" ht="14.45" customHeight="1" x14ac:dyDescent="0.2">
      <c r="B151" s="175" t="s">
        <v>2540</v>
      </c>
      <c r="C151" s="177" t="s">
        <v>2564</v>
      </c>
      <c r="D151" s="180" t="s">
        <v>3434</v>
      </c>
      <c r="E151" s="187" t="s">
        <v>1611</v>
      </c>
      <c r="F151" s="188"/>
      <c r="G151" s="151" t="s">
        <v>1855</v>
      </c>
    </row>
    <row r="152" spans="2:7" ht="14.45" customHeight="1" x14ac:dyDescent="0.2">
      <c r="B152" s="175" t="s">
        <v>2540</v>
      </c>
      <c r="C152" s="177" t="s">
        <v>2564</v>
      </c>
      <c r="D152" s="180" t="s">
        <v>3434</v>
      </c>
      <c r="E152" s="187" t="s">
        <v>1612</v>
      </c>
      <c r="F152" s="188"/>
      <c r="G152" s="151" t="s">
        <v>1856</v>
      </c>
    </row>
    <row r="153" spans="2:7" ht="14.45" customHeight="1" x14ac:dyDescent="0.2">
      <c r="B153" s="175" t="s">
        <v>2540</v>
      </c>
      <c r="C153" s="177" t="s">
        <v>2564</v>
      </c>
      <c r="D153" s="180" t="s">
        <v>3434</v>
      </c>
      <c r="E153" s="187" t="s">
        <v>1613</v>
      </c>
      <c r="F153" s="188"/>
      <c r="G153" s="151" t="s">
        <v>1857</v>
      </c>
    </row>
    <row r="154" spans="2:7" ht="14.45" customHeight="1" x14ac:dyDescent="0.2">
      <c r="B154" s="175" t="s">
        <v>2540</v>
      </c>
      <c r="C154" s="177" t="s">
        <v>2564</v>
      </c>
      <c r="D154" s="181" t="s">
        <v>3434</v>
      </c>
      <c r="E154" s="190" t="s">
        <v>1614</v>
      </c>
      <c r="F154" s="191"/>
      <c r="G154" s="143" t="s">
        <v>1858</v>
      </c>
    </row>
    <row r="155" spans="2:7" ht="14.45" customHeight="1" x14ac:dyDescent="0.2">
      <c r="B155" s="175" t="s">
        <v>2540</v>
      </c>
      <c r="C155" s="177" t="s">
        <v>2564</v>
      </c>
      <c r="D155" s="189" t="s">
        <v>3435</v>
      </c>
      <c r="E155" s="192" t="s">
        <v>1615</v>
      </c>
      <c r="F155" s="193"/>
      <c r="G155" s="165" t="s">
        <v>1859</v>
      </c>
    </row>
    <row r="156" spans="2:7" ht="14.45" customHeight="1" x14ac:dyDescent="0.2">
      <c r="B156" s="175" t="s">
        <v>2540</v>
      </c>
      <c r="C156" s="177" t="s">
        <v>2564</v>
      </c>
      <c r="D156" s="181" t="s">
        <v>3435</v>
      </c>
      <c r="E156" s="190" t="s">
        <v>1616</v>
      </c>
      <c r="F156" s="191"/>
      <c r="G156" s="143" t="s">
        <v>1860</v>
      </c>
    </row>
    <row r="157" spans="2:7" ht="14.45" customHeight="1" x14ac:dyDescent="0.2">
      <c r="B157" s="175" t="s">
        <v>2540</v>
      </c>
      <c r="C157" s="177" t="s">
        <v>2564</v>
      </c>
      <c r="D157" s="189" t="s">
        <v>3423</v>
      </c>
      <c r="E157" s="192" t="s">
        <v>1617</v>
      </c>
      <c r="F157" s="193"/>
      <c r="G157" s="165" t="s">
        <v>1861</v>
      </c>
    </row>
    <row r="158" spans="2:7" ht="14.45" customHeight="1" x14ac:dyDescent="0.2">
      <c r="B158" s="175" t="s">
        <v>2540</v>
      </c>
      <c r="C158" s="177" t="s">
        <v>2564</v>
      </c>
      <c r="D158" s="180" t="s">
        <v>3423</v>
      </c>
      <c r="E158" s="187" t="s">
        <v>1618</v>
      </c>
      <c r="F158" s="188"/>
      <c r="G158" s="151" t="s">
        <v>1862</v>
      </c>
    </row>
    <row r="159" spans="2:7" ht="14.45" customHeight="1" x14ac:dyDescent="0.2">
      <c r="B159" s="175" t="s">
        <v>2540</v>
      </c>
      <c r="C159" s="177" t="s">
        <v>2564</v>
      </c>
      <c r="D159" s="181" t="s">
        <v>3423</v>
      </c>
      <c r="E159" s="190" t="s">
        <v>1619</v>
      </c>
      <c r="F159" s="191"/>
      <c r="G159" s="143" t="s">
        <v>2157</v>
      </c>
    </row>
    <row r="160" spans="2:7" ht="14.45" customHeight="1" thickBot="1" x14ac:dyDescent="0.25">
      <c r="B160" s="175" t="s">
        <v>2540</v>
      </c>
      <c r="C160" s="177" t="s">
        <v>2564</v>
      </c>
      <c r="D160" s="202" t="s">
        <v>3429</v>
      </c>
      <c r="E160" s="203" t="s">
        <v>1597</v>
      </c>
      <c r="F160" s="204"/>
      <c r="G160" s="205" t="s">
        <v>1863</v>
      </c>
    </row>
    <row r="161" spans="2:7" ht="14.45" customHeight="1" x14ac:dyDescent="0.2">
      <c r="B161" s="175" t="s">
        <v>2540</v>
      </c>
      <c r="C161" s="172" t="s">
        <v>2527</v>
      </c>
      <c r="D161" s="179" t="s">
        <v>3483</v>
      </c>
      <c r="E161" s="185" t="s">
        <v>1620</v>
      </c>
      <c r="F161" s="186"/>
      <c r="G161" s="164" t="s">
        <v>1864</v>
      </c>
    </row>
    <row r="162" spans="2:7" ht="14.45" customHeight="1" x14ac:dyDescent="0.2">
      <c r="B162" s="175" t="s">
        <v>2540</v>
      </c>
      <c r="C162" s="177" t="s">
        <v>2526</v>
      </c>
      <c r="D162" s="180" t="s">
        <v>3483</v>
      </c>
      <c r="E162" s="187" t="s">
        <v>1865</v>
      </c>
      <c r="F162" s="188"/>
      <c r="G162" s="151" t="s">
        <v>2133</v>
      </c>
    </row>
    <row r="163" spans="2:7" ht="14.45" customHeight="1" x14ac:dyDescent="0.2">
      <c r="B163" s="175" t="s">
        <v>2540</v>
      </c>
      <c r="C163" s="177" t="s">
        <v>2526</v>
      </c>
      <c r="D163" s="181" t="s">
        <v>3483</v>
      </c>
      <c r="E163" s="190" t="s">
        <v>1866</v>
      </c>
      <c r="F163" s="191"/>
      <c r="G163" s="143" t="s">
        <v>2134</v>
      </c>
    </row>
    <row r="164" spans="2:7" ht="14.45" customHeight="1" x14ac:dyDescent="0.2">
      <c r="B164" s="175" t="s">
        <v>2540</v>
      </c>
      <c r="C164" s="177" t="s">
        <v>2526</v>
      </c>
      <c r="D164" s="189" t="s">
        <v>3426</v>
      </c>
      <c r="E164" s="192" t="s">
        <v>1621</v>
      </c>
      <c r="F164" s="193"/>
      <c r="G164" s="165" t="s">
        <v>2135</v>
      </c>
    </row>
    <row r="165" spans="2:7" ht="14.45" customHeight="1" x14ac:dyDescent="0.2">
      <c r="B165" s="175" t="s">
        <v>2540</v>
      </c>
      <c r="C165" s="177" t="s">
        <v>2526</v>
      </c>
      <c r="D165" s="180" t="s">
        <v>3426</v>
      </c>
      <c r="E165" s="187" t="s">
        <v>1387</v>
      </c>
      <c r="F165" s="188" t="s">
        <v>2593</v>
      </c>
      <c r="G165" s="151" t="s">
        <v>2290</v>
      </c>
    </row>
    <row r="166" spans="2:7" ht="14.45" customHeight="1" x14ac:dyDescent="0.2">
      <c r="B166" s="175" t="s">
        <v>2540</v>
      </c>
      <c r="C166" s="177" t="s">
        <v>2526</v>
      </c>
      <c r="D166" s="180" t="s">
        <v>3426</v>
      </c>
      <c r="E166" s="187" t="s">
        <v>1388</v>
      </c>
      <c r="F166" s="188" t="s">
        <v>2593</v>
      </c>
      <c r="G166" s="151" t="s">
        <v>1625</v>
      </c>
    </row>
    <row r="167" spans="2:7" ht="14.45" customHeight="1" x14ac:dyDescent="0.2">
      <c r="B167" s="175" t="s">
        <v>2540</v>
      </c>
      <c r="C167" s="177" t="s">
        <v>2526</v>
      </c>
      <c r="D167" s="180" t="s">
        <v>3426</v>
      </c>
      <c r="E167" s="187" t="s">
        <v>1622</v>
      </c>
      <c r="F167" s="188"/>
      <c r="G167" s="151" t="s">
        <v>2136</v>
      </c>
    </row>
    <row r="168" spans="2:7" ht="14.45" customHeight="1" x14ac:dyDescent="0.2">
      <c r="B168" s="175" t="s">
        <v>2540</v>
      </c>
      <c r="C168" s="177" t="s">
        <v>2526</v>
      </c>
      <c r="D168" s="180" t="s">
        <v>3426</v>
      </c>
      <c r="E168" s="187" t="s">
        <v>1623</v>
      </c>
      <c r="F168" s="188"/>
      <c r="G168" s="151" t="s">
        <v>1867</v>
      </c>
    </row>
    <row r="169" spans="2:7" ht="14.45" customHeight="1" x14ac:dyDescent="0.2">
      <c r="B169" s="175" t="s">
        <v>2540</v>
      </c>
      <c r="C169" s="177" t="s">
        <v>2526</v>
      </c>
      <c r="D169" s="181" t="s">
        <v>3426</v>
      </c>
      <c r="E169" s="190" t="s">
        <v>1624</v>
      </c>
      <c r="F169" s="191"/>
      <c r="G169" s="143" t="s">
        <v>2137</v>
      </c>
    </row>
    <row r="170" spans="2:7" ht="14.45" customHeight="1" x14ac:dyDescent="0.2">
      <c r="B170" s="175" t="s">
        <v>2540</v>
      </c>
      <c r="C170" s="177" t="s">
        <v>2526</v>
      </c>
      <c r="D170" s="189" t="s">
        <v>3430</v>
      </c>
      <c r="E170" s="192" t="s">
        <v>1626</v>
      </c>
      <c r="F170" s="193"/>
      <c r="G170" s="165" t="s">
        <v>1868</v>
      </c>
    </row>
    <row r="171" spans="2:7" ht="14.45" customHeight="1" x14ac:dyDescent="0.2">
      <c r="B171" s="175" t="s">
        <v>2540</v>
      </c>
      <c r="C171" s="177" t="s">
        <v>2526</v>
      </c>
      <c r="D171" s="181" t="s">
        <v>3430</v>
      </c>
      <c r="E171" s="190" t="s">
        <v>1627</v>
      </c>
      <c r="F171" s="191"/>
      <c r="G171" s="143" t="s">
        <v>1869</v>
      </c>
    </row>
    <row r="172" spans="2:7" ht="14.45" customHeight="1" x14ac:dyDescent="0.2">
      <c r="B172" s="175" t="s">
        <v>2540</v>
      </c>
      <c r="C172" s="177" t="s">
        <v>2526</v>
      </c>
      <c r="D172" s="189" t="s">
        <v>3424</v>
      </c>
      <c r="E172" s="192" t="s">
        <v>1628</v>
      </c>
      <c r="F172" s="193"/>
      <c r="G172" s="165" t="s">
        <v>1870</v>
      </c>
    </row>
    <row r="173" spans="2:7" ht="14.45" customHeight="1" x14ac:dyDescent="0.2">
      <c r="B173" s="175" t="s">
        <v>2540</v>
      </c>
      <c r="C173" s="177" t="s">
        <v>2526</v>
      </c>
      <c r="D173" s="180" t="s">
        <v>3424</v>
      </c>
      <c r="E173" s="187" t="s">
        <v>1629</v>
      </c>
      <c r="F173" s="188"/>
      <c r="G173" s="151" t="s">
        <v>1871</v>
      </c>
    </row>
    <row r="174" spans="2:7" ht="14.45" customHeight="1" x14ac:dyDescent="0.2">
      <c r="B174" s="175" t="s">
        <v>2540</v>
      </c>
      <c r="C174" s="177" t="s">
        <v>2526</v>
      </c>
      <c r="D174" s="180" t="s">
        <v>3424</v>
      </c>
      <c r="E174" s="187" t="s">
        <v>1630</v>
      </c>
      <c r="F174" s="188"/>
      <c r="G174" s="151" t="s">
        <v>1872</v>
      </c>
    </row>
    <row r="175" spans="2:7" ht="14.45" customHeight="1" x14ac:dyDescent="0.2">
      <c r="B175" s="175" t="s">
        <v>2540</v>
      </c>
      <c r="C175" s="177" t="s">
        <v>2526</v>
      </c>
      <c r="D175" s="180" t="s">
        <v>3424</v>
      </c>
      <c r="E175" s="187" t="s">
        <v>1631</v>
      </c>
      <c r="F175" s="188"/>
      <c r="G175" s="151" t="s">
        <v>1873</v>
      </c>
    </row>
    <row r="176" spans="2:7" ht="14.45" customHeight="1" x14ac:dyDescent="0.2">
      <c r="B176" s="175" t="s">
        <v>2540</v>
      </c>
      <c r="C176" s="177" t="s">
        <v>2526</v>
      </c>
      <c r="D176" s="180" t="s">
        <v>3424</v>
      </c>
      <c r="E176" s="187" t="s">
        <v>1632</v>
      </c>
      <c r="F176" s="188"/>
      <c r="G176" s="151" t="s">
        <v>1874</v>
      </c>
    </row>
    <row r="177" spans="2:7" ht="14.45" customHeight="1" x14ac:dyDescent="0.2">
      <c r="B177" s="175" t="s">
        <v>2540</v>
      </c>
      <c r="C177" s="177" t="s">
        <v>2526</v>
      </c>
      <c r="D177" s="180" t="s">
        <v>3424</v>
      </c>
      <c r="E177" s="187" t="s">
        <v>1633</v>
      </c>
      <c r="F177" s="188"/>
      <c r="G177" s="151" t="s">
        <v>1875</v>
      </c>
    </row>
    <row r="178" spans="2:7" ht="14.45" customHeight="1" x14ac:dyDescent="0.2">
      <c r="B178" s="175" t="s">
        <v>2540</v>
      </c>
      <c r="C178" s="177" t="s">
        <v>2526</v>
      </c>
      <c r="D178" s="180" t="s">
        <v>3424</v>
      </c>
      <c r="E178" s="187" t="s">
        <v>1634</v>
      </c>
      <c r="F178" s="188"/>
      <c r="G178" s="151" t="s">
        <v>1876</v>
      </c>
    </row>
    <row r="179" spans="2:7" ht="14.45" customHeight="1" x14ac:dyDescent="0.2">
      <c r="B179" s="175" t="s">
        <v>2540</v>
      </c>
      <c r="C179" s="177" t="s">
        <v>2526</v>
      </c>
      <c r="D179" s="180" t="s">
        <v>3424</v>
      </c>
      <c r="E179" s="187" t="s">
        <v>1635</v>
      </c>
      <c r="F179" s="188"/>
      <c r="G179" s="151" t="s">
        <v>1877</v>
      </c>
    </row>
    <row r="180" spans="2:7" ht="14.45" customHeight="1" x14ac:dyDescent="0.2">
      <c r="B180" s="175" t="s">
        <v>2540</v>
      </c>
      <c r="C180" s="177" t="s">
        <v>2526</v>
      </c>
      <c r="D180" s="180" t="s">
        <v>3424</v>
      </c>
      <c r="E180" s="187" t="s">
        <v>1636</v>
      </c>
      <c r="F180" s="188"/>
      <c r="G180" s="151" t="s">
        <v>1637</v>
      </c>
    </row>
    <row r="181" spans="2:7" ht="14.45" customHeight="1" x14ac:dyDescent="0.2">
      <c r="B181" s="175" t="s">
        <v>2540</v>
      </c>
      <c r="C181" s="177" t="s">
        <v>2526</v>
      </c>
      <c r="D181" s="180" t="s">
        <v>3424</v>
      </c>
      <c r="E181" s="187" t="s">
        <v>1638</v>
      </c>
      <c r="F181" s="188"/>
      <c r="G181" s="151" t="s">
        <v>1878</v>
      </c>
    </row>
    <row r="182" spans="2:7" ht="14.45" customHeight="1" x14ac:dyDescent="0.2">
      <c r="B182" s="175" t="s">
        <v>2540</v>
      </c>
      <c r="C182" s="177" t="s">
        <v>2526</v>
      </c>
      <c r="D182" s="181" t="s">
        <v>3424</v>
      </c>
      <c r="E182" s="190" t="s">
        <v>1639</v>
      </c>
      <c r="F182" s="191"/>
      <c r="G182" s="143" t="s">
        <v>1879</v>
      </c>
    </row>
    <row r="183" spans="2:7" ht="14.45" customHeight="1" x14ac:dyDescent="0.2">
      <c r="B183" s="175" t="s">
        <v>2540</v>
      </c>
      <c r="C183" s="177" t="s">
        <v>2526</v>
      </c>
      <c r="D183" s="189" t="s">
        <v>3501</v>
      </c>
      <c r="E183" s="192" t="s">
        <v>1640</v>
      </c>
      <c r="F183" s="193"/>
      <c r="G183" s="165" t="s">
        <v>1880</v>
      </c>
    </row>
    <row r="184" spans="2:7" ht="14.45" customHeight="1" x14ac:dyDescent="0.2">
      <c r="B184" s="175" t="s">
        <v>2540</v>
      </c>
      <c r="C184" s="177" t="s">
        <v>2526</v>
      </c>
      <c r="D184" s="181" t="s">
        <v>3501</v>
      </c>
      <c r="E184" s="190" t="s">
        <v>1641</v>
      </c>
      <c r="F184" s="191"/>
      <c r="G184" s="143" t="s">
        <v>1642</v>
      </c>
    </row>
    <row r="185" spans="2:7" ht="14.45" customHeight="1" x14ac:dyDescent="0.2">
      <c r="B185" s="175" t="s">
        <v>2540</v>
      </c>
      <c r="C185" s="177" t="s">
        <v>2526</v>
      </c>
      <c r="D185" s="83" t="s">
        <v>3428</v>
      </c>
      <c r="E185" s="192" t="s">
        <v>1643</v>
      </c>
      <c r="F185" s="193"/>
      <c r="G185" s="165" t="s">
        <v>1881</v>
      </c>
    </row>
    <row r="186" spans="2:7" ht="14.45" customHeight="1" x14ac:dyDescent="0.2">
      <c r="B186" s="175" t="s">
        <v>2540</v>
      </c>
      <c r="C186" s="177" t="s">
        <v>2526</v>
      </c>
      <c r="D186" s="199" t="s">
        <v>3428</v>
      </c>
      <c r="E186" s="187" t="s">
        <v>1883</v>
      </c>
      <c r="F186" s="188"/>
      <c r="G186" s="151" t="s">
        <v>1887</v>
      </c>
    </row>
    <row r="187" spans="2:7" ht="14.45" customHeight="1" x14ac:dyDescent="0.2">
      <c r="B187" s="175" t="s">
        <v>2540</v>
      </c>
      <c r="C187" s="177" t="s">
        <v>2526</v>
      </c>
      <c r="D187" s="199" t="s">
        <v>3428</v>
      </c>
      <c r="E187" s="187" t="s">
        <v>1884</v>
      </c>
      <c r="F187" s="188"/>
      <c r="G187" s="151" t="s">
        <v>1882</v>
      </c>
    </row>
    <row r="188" spans="2:7" ht="14.45" customHeight="1" x14ac:dyDescent="0.2">
      <c r="B188" s="175" t="s">
        <v>2540</v>
      </c>
      <c r="C188" s="177" t="s">
        <v>2526</v>
      </c>
      <c r="D188" s="199" t="s">
        <v>3428</v>
      </c>
      <c r="E188" s="187" t="s">
        <v>1885</v>
      </c>
      <c r="F188" s="188"/>
      <c r="G188" s="151" t="s">
        <v>1888</v>
      </c>
    </row>
    <row r="189" spans="2:7" ht="14.45" customHeight="1" x14ac:dyDescent="0.2">
      <c r="B189" s="175" t="s">
        <v>2540</v>
      </c>
      <c r="C189" s="177" t="s">
        <v>2526</v>
      </c>
      <c r="D189" s="199" t="s">
        <v>3428</v>
      </c>
      <c r="E189" s="190" t="s">
        <v>1886</v>
      </c>
      <c r="F189" s="191"/>
      <c r="G189" s="143" t="s">
        <v>1889</v>
      </c>
    </row>
    <row r="190" spans="2:7" ht="14.45" customHeight="1" x14ac:dyDescent="0.2">
      <c r="B190" s="175" t="s">
        <v>2540</v>
      </c>
      <c r="C190" s="177" t="s">
        <v>2526</v>
      </c>
      <c r="D190" s="189" t="s">
        <v>3422</v>
      </c>
      <c r="E190" s="192" t="s">
        <v>1645</v>
      </c>
      <c r="F190" s="193"/>
      <c r="G190" s="165" t="s">
        <v>1890</v>
      </c>
    </row>
    <row r="191" spans="2:7" ht="14.45" customHeight="1" x14ac:dyDescent="0.2">
      <c r="B191" s="175" t="s">
        <v>2540</v>
      </c>
      <c r="C191" s="177" t="s">
        <v>2526</v>
      </c>
      <c r="D191" s="180" t="s">
        <v>3422</v>
      </c>
      <c r="E191" s="187" t="s">
        <v>1646</v>
      </c>
      <c r="F191" s="188"/>
      <c r="G191" s="151" t="s">
        <v>1891</v>
      </c>
    </row>
    <row r="192" spans="2:7" ht="14.45" customHeight="1" x14ac:dyDescent="0.2">
      <c r="B192" s="175" t="s">
        <v>2540</v>
      </c>
      <c r="C192" s="177" t="s">
        <v>2526</v>
      </c>
      <c r="D192" s="180" t="s">
        <v>3422</v>
      </c>
      <c r="E192" s="187" t="s">
        <v>1647</v>
      </c>
      <c r="F192" s="188"/>
      <c r="G192" s="151" t="s">
        <v>1892</v>
      </c>
    </row>
    <row r="193" spans="2:7" ht="14.45" customHeight="1" x14ac:dyDescent="0.2">
      <c r="B193" s="175" t="s">
        <v>2540</v>
      </c>
      <c r="C193" s="177" t="s">
        <v>2526</v>
      </c>
      <c r="D193" s="180" t="s">
        <v>3422</v>
      </c>
      <c r="E193" s="187" t="s">
        <v>1648</v>
      </c>
      <c r="F193" s="188"/>
      <c r="G193" s="151" t="s">
        <v>1893</v>
      </c>
    </row>
    <row r="194" spans="2:7" ht="14.45" customHeight="1" x14ac:dyDescent="0.2">
      <c r="B194" s="175" t="s">
        <v>2540</v>
      </c>
      <c r="C194" s="177" t="s">
        <v>2526</v>
      </c>
      <c r="D194" s="180" t="s">
        <v>3422</v>
      </c>
      <c r="E194" s="187" t="s">
        <v>1649</v>
      </c>
      <c r="F194" s="188"/>
      <c r="G194" s="151" t="s">
        <v>1894</v>
      </c>
    </row>
    <row r="195" spans="2:7" ht="14.45" customHeight="1" x14ac:dyDescent="0.2">
      <c r="B195" s="175" t="s">
        <v>2540</v>
      </c>
      <c r="C195" s="177" t="s">
        <v>2526</v>
      </c>
      <c r="D195" s="180" t="s">
        <v>3422</v>
      </c>
      <c r="E195" s="187" t="s">
        <v>1650</v>
      </c>
      <c r="F195" s="188"/>
      <c r="G195" s="151" t="s">
        <v>1895</v>
      </c>
    </row>
    <row r="196" spans="2:7" ht="14.45" customHeight="1" x14ac:dyDescent="0.2">
      <c r="B196" s="175" t="s">
        <v>2540</v>
      </c>
      <c r="C196" s="177" t="s">
        <v>2526</v>
      </c>
      <c r="D196" s="180" t="s">
        <v>3422</v>
      </c>
      <c r="E196" s="187" t="s">
        <v>1651</v>
      </c>
      <c r="F196" s="188"/>
      <c r="G196" s="151" t="s">
        <v>1896</v>
      </c>
    </row>
    <row r="197" spans="2:7" ht="14.45" customHeight="1" x14ac:dyDescent="0.2">
      <c r="B197" s="175" t="s">
        <v>2540</v>
      </c>
      <c r="C197" s="177" t="s">
        <v>2526</v>
      </c>
      <c r="D197" s="180" t="s">
        <v>3422</v>
      </c>
      <c r="E197" s="187" t="s">
        <v>1652</v>
      </c>
      <c r="F197" s="188"/>
      <c r="G197" s="151" t="s">
        <v>1897</v>
      </c>
    </row>
    <row r="198" spans="2:7" ht="14.45" customHeight="1" x14ac:dyDescent="0.2">
      <c r="B198" s="175" t="s">
        <v>2540</v>
      </c>
      <c r="C198" s="177" t="s">
        <v>2526</v>
      </c>
      <c r="D198" s="180" t="s">
        <v>3422</v>
      </c>
      <c r="E198" s="187" t="s">
        <v>1653</v>
      </c>
      <c r="F198" s="188"/>
      <c r="G198" s="151" t="s">
        <v>1898</v>
      </c>
    </row>
    <row r="199" spans="2:7" ht="14.45" customHeight="1" x14ac:dyDescent="0.2">
      <c r="B199" s="175" t="s">
        <v>2540</v>
      </c>
      <c r="C199" s="177" t="s">
        <v>2526</v>
      </c>
      <c r="D199" s="180" t="s">
        <v>3422</v>
      </c>
      <c r="E199" s="187" t="s">
        <v>1654</v>
      </c>
      <c r="F199" s="188"/>
      <c r="G199" s="151" t="s">
        <v>1899</v>
      </c>
    </row>
    <row r="200" spans="2:7" ht="14.45" customHeight="1" x14ac:dyDescent="0.2">
      <c r="B200" s="175" t="s">
        <v>2540</v>
      </c>
      <c r="C200" s="177" t="s">
        <v>2526</v>
      </c>
      <c r="D200" s="180" t="s">
        <v>3422</v>
      </c>
      <c r="E200" s="187" t="s">
        <v>1655</v>
      </c>
      <c r="F200" s="188"/>
      <c r="G200" s="151" t="s">
        <v>1900</v>
      </c>
    </row>
    <row r="201" spans="2:7" ht="14.45" customHeight="1" x14ac:dyDescent="0.2">
      <c r="B201" s="175" t="s">
        <v>2540</v>
      </c>
      <c r="C201" s="177" t="s">
        <v>2526</v>
      </c>
      <c r="D201" s="180" t="s">
        <v>3422</v>
      </c>
      <c r="E201" s="187" t="s">
        <v>1656</v>
      </c>
      <c r="F201" s="188"/>
      <c r="G201" s="151" t="s">
        <v>1901</v>
      </c>
    </row>
    <row r="202" spans="2:7" ht="14.45" customHeight="1" x14ac:dyDescent="0.2">
      <c r="B202" s="175" t="s">
        <v>2540</v>
      </c>
      <c r="C202" s="177" t="s">
        <v>2526</v>
      </c>
      <c r="D202" s="181" t="s">
        <v>3422</v>
      </c>
      <c r="E202" s="190" t="s">
        <v>1657</v>
      </c>
      <c r="F202" s="191"/>
      <c r="G202" s="143" t="s">
        <v>2158</v>
      </c>
    </row>
    <row r="203" spans="2:7" ht="14.45" customHeight="1" x14ac:dyDescent="0.2">
      <c r="B203" s="175" t="s">
        <v>2540</v>
      </c>
      <c r="C203" s="177" t="s">
        <v>2526</v>
      </c>
      <c r="D203" s="189" t="s">
        <v>3436</v>
      </c>
      <c r="E203" s="192" t="s">
        <v>1658</v>
      </c>
      <c r="F203" s="193"/>
      <c r="G203" s="165" t="s">
        <v>1902</v>
      </c>
    </row>
    <row r="204" spans="2:7" ht="14.45" customHeight="1" x14ac:dyDescent="0.2">
      <c r="B204" s="175" t="s">
        <v>2540</v>
      </c>
      <c r="C204" s="177" t="s">
        <v>2526</v>
      </c>
      <c r="D204" s="180" t="s">
        <v>3436</v>
      </c>
      <c r="E204" s="187" t="s">
        <v>1659</v>
      </c>
      <c r="F204" s="188"/>
      <c r="G204" s="151" t="s">
        <v>1905</v>
      </c>
    </row>
    <row r="205" spans="2:7" ht="14.45" customHeight="1" x14ac:dyDescent="0.2">
      <c r="B205" s="175" t="s">
        <v>2540</v>
      </c>
      <c r="C205" s="177" t="s">
        <v>2526</v>
      </c>
      <c r="D205" s="180" t="s">
        <v>3436</v>
      </c>
      <c r="E205" s="187" t="s">
        <v>1660</v>
      </c>
      <c r="F205" s="188"/>
      <c r="G205" s="151" t="s">
        <v>1906</v>
      </c>
    </row>
    <row r="206" spans="2:7" ht="14.45" customHeight="1" x14ac:dyDescent="0.2">
      <c r="B206" s="175" t="s">
        <v>2540</v>
      </c>
      <c r="C206" s="177" t="s">
        <v>2526</v>
      </c>
      <c r="D206" s="180" t="s">
        <v>3436</v>
      </c>
      <c r="E206" s="187" t="s">
        <v>1661</v>
      </c>
      <c r="F206" s="188"/>
      <c r="G206" s="151" t="s">
        <v>1903</v>
      </c>
    </row>
    <row r="207" spans="2:7" ht="14.45" customHeight="1" x14ac:dyDescent="0.2">
      <c r="B207" s="175" t="s">
        <v>2540</v>
      </c>
      <c r="C207" s="177" t="s">
        <v>2526</v>
      </c>
      <c r="D207" s="180" t="s">
        <v>3436</v>
      </c>
      <c r="E207" s="187" t="s">
        <v>1662</v>
      </c>
      <c r="F207" s="188"/>
      <c r="G207" s="151" t="s">
        <v>1907</v>
      </c>
    </row>
    <row r="208" spans="2:7" ht="14.45" customHeight="1" x14ac:dyDescent="0.2">
      <c r="B208" s="175" t="s">
        <v>2540</v>
      </c>
      <c r="C208" s="177" t="s">
        <v>2526</v>
      </c>
      <c r="D208" s="180" t="s">
        <v>3436</v>
      </c>
      <c r="E208" s="187" t="s">
        <v>1663</v>
      </c>
      <c r="F208" s="188"/>
      <c r="G208" s="151" t="s">
        <v>1908</v>
      </c>
    </row>
    <row r="209" spans="2:7" ht="14.45" customHeight="1" x14ac:dyDescent="0.2">
      <c r="B209" s="175" t="s">
        <v>2540</v>
      </c>
      <c r="C209" s="177" t="s">
        <v>2526</v>
      </c>
      <c r="D209" s="180" t="s">
        <v>3436</v>
      </c>
      <c r="E209" s="187" t="s">
        <v>1664</v>
      </c>
      <c r="F209" s="188"/>
      <c r="G209" s="151" t="s">
        <v>1904</v>
      </c>
    </row>
    <row r="210" spans="2:7" ht="14.45" customHeight="1" x14ac:dyDescent="0.2">
      <c r="B210" s="175" t="s">
        <v>2540</v>
      </c>
      <c r="C210" s="177" t="s">
        <v>2526</v>
      </c>
      <c r="D210" s="180" t="s">
        <v>3436</v>
      </c>
      <c r="E210" s="187" t="s">
        <v>1665</v>
      </c>
      <c r="F210" s="188"/>
      <c r="G210" s="151" t="s">
        <v>1909</v>
      </c>
    </row>
    <row r="211" spans="2:7" ht="14.45" customHeight="1" thickBot="1" x14ac:dyDescent="0.25">
      <c r="B211" s="175" t="s">
        <v>2540</v>
      </c>
      <c r="C211" s="178" t="s">
        <v>2526</v>
      </c>
      <c r="D211" s="194" t="s">
        <v>3436</v>
      </c>
      <c r="E211" s="190" t="s">
        <v>1666</v>
      </c>
      <c r="F211" s="191"/>
      <c r="G211" s="143" t="s">
        <v>2159</v>
      </c>
    </row>
    <row r="212" spans="2:7" ht="14.45" customHeight="1" x14ac:dyDescent="0.2">
      <c r="B212" s="175" t="s">
        <v>2540</v>
      </c>
      <c r="C212" s="172" t="s">
        <v>2529</v>
      </c>
      <c r="D212" s="179" t="s">
        <v>3420</v>
      </c>
      <c r="E212" s="185" t="s">
        <v>1670</v>
      </c>
      <c r="F212" s="186"/>
      <c r="G212" s="164" t="s">
        <v>2160</v>
      </c>
    </row>
    <row r="213" spans="2:7" ht="14.45" customHeight="1" x14ac:dyDescent="0.2">
      <c r="B213" s="175" t="s">
        <v>2540</v>
      </c>
      <c r="C213" s="177" t="s">
        <v>2528</v>
      </c>
      <c r="D213" s="180" t="s">
        <v>3420</v>
      </c>
      <c r="E213" s="187" t="s">
        <v>1612</v>
      </c>
      <c r="F213" s="188"/>
      <c r="G213" s="151" t="s">
        <v>1910</v>
      </c>
    </row>
    <row r="214" spans="2:7" ht="14.45" customHeight="1" x14ac:dyDescent="0.2">
      <c r="B214" s="175" t="s">
        <v>2540</v>
      </c>
      <c r="C214" s="177" t="s">
        <v>2528</v>
      </c>
      <c r="D214" s="180" t="s">
        <v>3420</v>
      </c>
      <c r="E214" s="187" t="s">
        <v>1671</v>
      </c>
      <c r="F214" s="188"/>
      <c r="G214" s="151" t="s">
        <v>1911</v>
      </c>
    </row>
    <row r="215" spans="2:7" ht="14.45" customHeight="1" x14ac:dyDescent="0.2">
      <c r="B215" s="175" t="s">
        <v>2540</v>
      </c>
      <c r="C215" s="177" t="s">
        <v>2528</v>
      </c>
      <c r="D215" s="180" t="s">
        <v>3420</v>
      </c>
      <c r="E215" s="187" t="s">
        <v>1672</v>
      </c>
      <c r="F215" s="188"/>
      <c r="G215" s="151" t="s">
        <v>1714</v>
      </c>
    </row>
    <row r="216" spans="2:7" ht="14.45" customHeight="1" x14ac:dyDescent="0.2">
      <c r="B216" s="175" t="s">
        <v>2540</v>
      </c>
      <c r="C216" s="177" t="s">
        <v>2528</v>
      </c>
      <c r="D216" s="180" t="s">
        <v>3420</v>
      </c>
      <c r="E216" s="187" t="s">
        <v>1673</v>
      </c>
      <c r="F216" s="188"/>
      <c r="G216" s="151" t="s">
        <v>1912</v>
      </c>
    </row>
    <row r="217" spans="2:7" ht="14.45" customHeight="1" x14ac:dyDescent="0.2">
      <c r="B217" s="175" t="s">
        <v>2540</v>
      </c>
      <c r="C217" s="177" t="s">
        <v>2528</v>
      </c>
      <c r="D217" s="180" t="s">
        <v>3420</v>
      </c>
      <c r="E217" s="187" t="s">
        <v>1674</v>
      </c>
      <c r="F217" s="188"/>
      <c r="G217" s="151" t="s">
        <v>2138</v>
      </c>
    </row>
    <row r="218" spans="2:7" ht="14.45" customHeight="1" x14ac:dyDescent="0.2">
      <c r="B218" s="175" t="s">
        <v>2540</v>
      </c>
      <c r="C218" s="177" t="s">
        <v>2528</v>
      </c>
      <c r="D218" s="180" t="s">
        <v>3420</v>
      </c>
      <c r="E218" s="187" t="s">
        <v>1675</v>
      </c>
      <c r="F218" s="188"/>
      <c r="G218" s="151" t="s">
        <v>1913</v>
      </c>
    </row>
    <row r="219" spans="2:7" ht="14.45" customHeight="1" x14ac:dyDescent="0.2">
      <c r="B219" s="175" t="s">
        <v>2540</v>
      </c>
      <c r="C219" s="177" t="s">
        <v>2528</v>
      </c>
      <c r="D219" s="180" t="s">
        <v>3420</v>
      </c>
      <c r="E219" s="187" t="s">
        <v>1676</v>
      </c>
      <c r="F219" s="188"/>
      <c r="G219" s="151" t="s">
        <v>1914</v>
      </c>
    </row>
    <row r="220" spans="2:7" ht="14.45" customHeight="1" x14ac:dyDescent="0.2">
      <c r="B220" s="175" t="s">
        <v>2540</v>
      </c>
      <c r="C220" s="177" t="s">
        <v>2528</v>
      </c>
      <c r="D220" s="180" t="s">
        <v>3420</v>
      </c>
      <c r="E220" s="187" t="s">
        <v>1677</v>
      </c>
      <c r="F220" s="188"/>
      <c r="G220" s="151" t="s">
        <v>1915</v>
      </c>
    </row>
    <row r="221" spans="2:7" ht="14.45" customHeight="1" x14ac:dyDescent="0.2">
      <c r="B221" s="175" t="s">
        <v>2540</v>
      </c>
      <c r="C221" s="177" t="s">
        <v>2528</v>
      </c>
      <c r="D221" s="180" t="s">
        <v>3420</v>
      </c>
      <c r="E221" s="187" t="s">
        <v>1678</v>
      </c>
      <c r="F221" s="188"/>
      <c r="G221" s="151" t="s">
        <v>1916</v>
      </c>
    </row>
    <row r="222" spans="2:7" ht="14.45" customHeight="1" x14ac:dyDescent="0.2">
      <c r="B222" s="175" t="s">
        <v>2540</v>
      </c>
      <c r="C222" s="177" t="s">
        <v>2528</v>
      </c>
      <c r="D222" s="180" t="s">
        <v>3420</v>
      </c>
      <c r="E222" s="187" t="s">
        <v>1679</v>
      </c>
      <c r="F222" s="188"/>
      <c r="G222" s="151" t="s">
        <v>1917</v>
      </c>
    </row>
    <row r="223" spans="2:7" ht="14.45" customHeight="1" x14ac:dyDescent="0.2">
      <c r="B223" s="175" t="s">
        <v>2540</v>
      </c>
      <c r="C223" s="177" t="s">
        <v>2528</v>
      </c>
      <c r="D223" s="180" t="s">
        <v>3420</v>
      </c>
      <c r="E223" s="187" t="s">
        <v>1680</v>
      </c>
      <c r="F223" s="188"/>
      <c r="G223" s="151" t="s">
        <v>1918</v>
      </c>
    </row>
    <row r="224" spans="2:7" ht="14.45" customHeight="1" x14ac:dyDescent="0.2">
      <c r="B224" s="175" t="s">
        <v>2540</v>
      </c>
      <c r="C224" s="177" t="s">
        <v>2528</v>
      </c>
      <c r="D224" s="181" t="s">
        <v>3420</v>
      </c>
      <c r="E224" s="190" t="s">
        <v>1681</v>
      </c>
      <c r="F224" s="191"/>
      <c r="G224" s="143" t="s">
        <v>2139</v>
      </c>
    </row>
    <row r="225" spans="2:7" ht="14.45" customHeight="1" x14ac:dyDescent="0.2">
      <c r="B225" s="175" t="s">
        <v>2540</v>
      </c>
      <c r="C225" s="177" t="s">
        <v>2528</v>
      </c>
      <c r="D225" s="189" t="s">
        <v>3437</v>
      </c>
      <c r="E225" s="192" t="s">
        <v>1682</v>
      </c>
      <c r="F225" s="193"/>
      <c r="G225" s="165" t="s">
        <v>2140</v>
      </c>
    </row>
    <row r="226" spans="2:7" ht="14.45" customHeight="1" x14ac:dyDescent="0.2">
      <c r="B226" s="175" t="s">
        <v>2540</v>
      </c>
      <c r="C226" s="177" t="s">
        <v>2528</v>
      </c>
      <c r="D226" s="180" t="s">
        <v>3437</v>
      </c>
      <c r="E226" s="187" t="s">
        <v>1683</v>
      </c>
      <c r="F226" s="188"/>
      <c r="G226" s="151" t="s">
        <v>1919</v>
      </c>
    </row>
    <row r="227" spans="2:7" ht="14.45" customHeight="1" x14ac:dyDescent="0.2">
      <c r="B227" s="175" t="s">
        <v>2540</v>
      </c>
      <c r="C227" s="177" t="s">
        <v>2528</v>
      </c>
      <c r="D227" s="180" t="s">
        <v>3437</v>
      </c>
      <c r="E227" s="187" t="s">
        <v>1684</v>
      </c>
      <c r="F227" s="188"/>
      <c r="G227" s="151" t="s">
        <v>1920</v>
      </c>
    </row>
    <row r="228" spans="2:7" ht="14.45" customHeight="1" x14ac:dyDescent="0.2">
      <c r="B228" s="175" t="s">
        <v>2540</v>
      </c>
      <c r="C228" s="177" t="s">
        <v>2528</v>
      </c>
      <c r="D228" s="180" t="s">
        <v>3437</v>
      </c>
      <c r="E228" s="187" t="s">
        <v>1685</v>
      </c>
      <c r="F228" s="188"/>
      <c r="G228" s="151" t="s">
        <v>1921</v>
      </c>
    </row>
    <row r="229" spans="2:7" ht="14.45" customHeight="1" x14ac:dyDescent="0.2">
      <c r="B229" s="175" t="s">
        <v>2540</v>
      </c>
      <c r="C229" s="177" t="s">
        <v>2528</v>
      </c>
      <c r="D229" s="180" t="s">
        <v>3437</v>
      </c>
      <c r="E229" s="187" t="s">
        <v>1686</v>
      </c>
      <c r="F229" s="188"/>
      <c r="G229" s="151" t="s">
        <v>1922</v>
      </c>
    </row>
    <row r="230" spans="2:7" ht="14.45" customHeight="1" x14ac:dyDescent="0.2">
      <c r="B230" s="175" t="s">
        <v>2540</v>
      </c>
      <c r="C230" s="177" t="s">
        <v>2528</v>
      </c>
      <c r="D230" s="180" t="s">
        <v>3437</v>
      </c>
      <c r="E230" s="187" t="s">
        <v>1687</v>
      </c>
      <c r="F230" s="188"/>
      <c r="G230" s="151" t="s">
        <v>1923</v>
      </c>
    </row>
    <row r="231" spans="2:7" ht="14.45" customHeight="1" x14ac:dyDescent="0.2">
      <c r="B231" s="175" t="s">
        <v>2540</v>
      </c>
      <c r="C231" s="177" t="s">
        <v>2528</v>
      </c>
      <c r="D231" s="181" t="s">
        <v>3437</v>
      </c>
      <c r="E231" s="190" t="s">
        <v>1688</v>
      </c>
      <c r="F231" s="191"/>
      <c r="G231" s="143" t="s">
        <v>1924</v>
      </c>
    </row>
    <row r="232" spans="2:7" ht="14.45" customHeight="1" x14ac:dyDescent="0.2">
      <c r="B232" s="175" t="s">
        <v>2540</v>
      </c>
      <c r="C232" s="177" t="s">
        <v>2528</v>
      </c>
      <c r="D232" s="189" t="s">
        <v>3425</v>
      </c>
      <c r="E232" s="192" t="s">
        <v>1689</v>
      </c>
      <c r="F232" s="193"/>
      <c r="G232" s="165" t="s">
        <v>1925</v>
      </c>
    </row>
    <row r="233" spans="2:7" ht="14.45" customHeight="1" x14ac:dyDescent="0.2">
      <c r="B233" s="175" t="s">
        <v>2540</v>
      </c>
      <c r="C233" s="177" t="s">
        <v>2528</v>
      </c>
      <c r="D233" s="180" t="s">
        <v>3425</v>
      </c>
      <c r="E233" s="187" t="s">
        <v>1690</v>
      </c>
      <c r="F233" s="188"/>
      <c r="G233" s="151" t="s">
        <v>1926</v>
      </c>
    </row>
    <row r="234" spans="2:7" ht="14.45" customHeight="1" x14ac:dyDescent="0.2">
      <c r="B234" s="175" t="s">
        <v>2540</v>
      </c>
      <c r="C234" s="177" t="s">
        <v>2528</v>
      </c>
      <c r="D234" s="180" t="s">
        <v>3425</v>
      </c>
      <c r="E234" s="187" t="s">
        <v>1691</v>
      </c>
      <c r="F234" s="188"/>
      <c r="G234" s="151" t="s">
        <v>1927</v>
      </c>
    </row>
    <row r="235" spans="2:7" ht="14.45" customHeight="1" x14ac:dyDescent="0.2">
      <c r="B235" s="175" t="s">
        <v>2540</v>
      </c>
      <c r="C235" s="177" t="s">
        <v>2528</v>
      </c>
      <c r="D235" s="180" t="s">
        <v>3425</v>
      </c>
      <c r="E235" s="187" t="s">
        <v>1692</v>
      </c>
      <c r="F235" s="188"/>
      <c r="G235" s="151" t="s">
        <v>1928</v>
      </c>
    </row>
    <row r="236" spans="2:7" ht="14.45" customHeight="1" x14ac:dyDescent="0.2">
      <c r="B236" s="175" t="s">
        <v>2540</v>
      </c>
      <c r="C236" s="177" t="s">
        <v>2528</v>
      </c>
      <c r="D236" s="180" t="s">
        <v>3425</v>
      </c>
      <c r="E236" s="187" t="s">
        <v>3400</v>
      </c>
      <c r="F236" s="188"/>
      <c r="G236" s="151" t="s">
        <v>3401</v>
      </c>
    </row>
    <row r="237" spans="2:7" ht="14.45" customHeight="1" x14ac:dyDescent="0.2">
      <c r="B237" s="175" t="s">
        <v>2540</v>
      </c>
      <c r="C237" s="177" t="s">
        <v>2528</v>
      </c>
      <c r="D237" s="180" t="s">
        <v>3425</v>
      </c>
      <c r="E237" s="187" t="s">
        <v>1644</v>
      </c>
      <c r="F237" s="188"/>
      <c r="G237" s="151" t="s">
        <v>1929</v>
      </c>
    </row>
    <row r="238" spans="2:7" ht="14.45" customHeight="1" x14ac:dyDescent="0.2">
      <c r="B238" s="175" t="s">
        <v>2540</v>
      </c>
      <c r="C238" s="177" t="s">
        <v>2528</v>
      </c>
      <c r="D238" s="180" t="s">
        <v>3425</v>
      </c>
      <c r="E238" s="187" t="s">
        <v>1693</v>
      </c>
      <c r="F238" s="188"/>
      <c r="G238" s="151" t="s">
        <v>1930</v>
      </c>
    </row>
    <row r="239" spans="2:7" ht="14.45" customHeight="1" x14ac:dyDescent="0.2">
      <c r="B239" s="175" t="s">
        <v>2540</v>
      </c>
      <c r="C239" s="177" t="s">
        <v>2528</v>
      </c>
      <c r="D239" s="180" t="s">
        <v>3425</v>
      </c>
      <c r="E239" s="187" t="s">
        <v>1694</v>
      </c>
      <c r="F239" s="188"/>
      <c r="G239" s="151" t="s">
        <v>1931</v>
      </c>
    </row>
    <row r="240" spans="2:7" ht="14.45" customHeight="1" x14ac:dyDescent="0.2">
      <c r="B240" s="175" t="s">
        <v>2540</v>
      </c>
      <c r="C240" s="177" t="s">
        <v>2528</v>
      </c>
      <c r="D240" s="181" t="s">
        <v>3425</v>
      </c>
      <c r="E240" s="190" t="s">
        <v>1695</v>
      </c>
      <c r="F240" s="191"/>
      <c r="G240" s="143" t="s">
        <v>1932</v>
      </c>
    </row>
    <row r="241" spans="2:7" ht="14.45" customHeight="1" x14ac:dyDescent="0.2">
      <c r="B241" s="175" t="s">
        <v>2540</v>
      </c>
      <c r="C241" s="177" t="s">
        <v>2528</v>
      </c>
      <c r="D241" s="189" t="s">
        <v>3427</v>
      </c>
      <c r="E241" s="192" t="s">
        <v>1632</v>
      </c>
      <c r="F241" s="193"/>
      <c r="G241" s="165" t="s">
        <v>1934</v>
      </c>
    </row>
    <row r="242" spans="2:7" ht="14.45" customHeight="1" x14ac:dyDescent="0.2">
      <c r="B242" s="175" t="s">
        <v>2540</v>
      </c>
      <c r="C242" s="177" t="s">
        <v>2528</v>
      </c>
      <c r="D242" s="180" t="s">
        <v>3427</v>
      </c>
      <c r="E242" s="187" t="s">
        <v>1696</v>
      </c>
      <c r="F242" s="188"/>
      <c r="G242" s="151" t="s">
        <v>1935</v>
      </c>
    </row>
    <row r="243" spans="2:7" ht="14.45" customHeight="1" x14ac:dyDescent="0.2">
      <c r="B243" s="175" t="s">
        <v>2540</v>
      </c>
      <c r="C243" s="177" t="s">
        <v>2528</v>
      </c>
      <c r="D243" s="180" t="s">
        <v>3427</v>
      </c>
      <c r="E243" s="187" t="s">
        <v>1938</v>
      </c>
      <c r="F243" s="188"/>
      <c r="G243" s="151" t="s">
        <v>1936</v>
      </c>
    </row>
    <row r="244" spans="2:7" ht="14.45" customHeight="1" x14ac:dyDescent="0.2">
      <c r="B244" s="175" t="s">
        <v>2540</v>
      </c>
      <c r="C244" s="177" t="s">
        <v>2528</v>
      </c>
      <c r="D244" s="180" t="s">
        <v>3427</v>
      </c>
      <c r="E244" s="187" t="s">
        <v>1939</v>
      </c>
      <c r="F244" s="188"/>
      <c r="G244" s="151" t="s">
        <v>1937</v>
      </c>
    </row>
    <row r="245" spans="2:7" ht="14.45" customHeight="1" x14ac:dyDescent="0.2">
      <c r="B245" s="175" t="s">
        <v>2540</v>
      </c>
      <c r="C245" s="177" t="s">
        <v>2528</v>
      </c>
      <c r="D245" s="180" t="s">
        <v>3427</v>
      </c>
      <c r="E245" s="187" t="s">
        <v>1940</v>
      </c>
      <c r="F245" s="188"/>
      <c r="G245" s="151" t="s">
        <v>1944</v>
      </c>
    </row>
    <row r="246" spans="2:7" ht="14.45" customHeight="1" x14ac:dyDescent="0.2">
      <c r="B246" s="175" t="s">
        <v>2540</v>
      </c>
      <c r="C246" s="177" t="s">
        <v>2528</v>
      </c>
      <c r="D246" s="180" t="s">
        <v>3427</v>
      </c>
      <c r="E246" s="187" t="s">
        <v>1941</v>
      </c>
      <c r="F246" s="188"/>
      <c r="G246" s="151" t="s">
        <v>1945</v>
      </c>
    </row>
    <row r="247" spans="2:7" ht="14.45" customHeight="1" x14ac:dyDescent="0.2">
      <c r="B247" s="175" t="s">
        <v>2540</v>
      </c>
      <c r="C247" s="177" t="s">
        <v>2528</v>
      </c>
      <c r="D247" s="180" t="s">
        <v>3427</v>
      </c>
      <c r="E247" s="187" t="s">
        <v>1942</v>
      </c>
      <c r="F247" s="188"/>
      <c r="G247" s="151" t="s">
        <v>1946</v>
      </c>
    </row>
    <row r="248" spans="2:7" ht="14.45" customHeight="1" x14ac:dyDescent="0.2">
      <c r="B248" s="175" t="s">
        <v>2540</v>
      </c>
      <c r="C248" s="177" t="s">
        <v>2528</v>
      </c>
      <c r="D248" s="181" t="s">
        <v>3427</v>
      </c>
      <c r="E248" s="190" t="s">
        <v>1943</v>
      </c>
      <c r="F248" s="191"/>
      <c r="G248" s="143" t="s">
        <v>1947</v>
      </c>
    </row>
    <row r="249" spans="2:7" ht="14.45" customHeight="1" x14ac:dyDescent="0.2">
      <c r="B249" s="175" t="s">
        <v>2540</v>
      </c>
      <c r="C249" s="177" t="s">
        <v>2528</v>
      </c>
      <c r="D249" s="189" t="s">
        <v>3431</v>
      </c>
      <c r="E249" s="192" t="s">
        <v>1675</v>
      </c>
      <c r="F249" s="193"/>
      <c r="G249" s="165" t="s">
        <v>1933</v>
      </c>
    </row>
    <row r="250" spans="2:7" ht="14.45" customHeight="1" x14ac:dyDescent="0.2">
      <c r="B250" s="175" t="s">
        <v>2540</v>
      </c>
      <c r="C250" s="177" t="s">
        <v>2528</v>
      </c>
      <c r="D250" s="180" t="s">
        <v>3431</v>
      </c>
      <c r="E250" s="187" t="s">
        <v>1697</v>
      </c>
      <c r="F250" s="188"/>
      <c r="G250" s="151" t="s">
        <v>1713</v>
      </c>
    </row>
    <row r="251" spans="2:7" ht="14.45" customHeight="1" x14ac:dyDescent="0.2">
      <c r="B251" s="175" t="s">
        <v>2540</v>
      </c>
      <c r="C251" s="177" t="s">
        <v>2528</v>
      </c>
      <c r="D251" s="180" t="s">
        <v>3431</v>
      </c>
      <c r="E251" s="187" t="s">
        <v>1949</v>
      </c>
      <c r="F251" s="188"/>
      <c r="G251" s="151" t="s">
        <v>1948</v>
      </c>
    </row>
    <row r="252" spans="2:7" ht="14.45" customHeight="1" x14ac:dyDescent="0.2">
      <c r="B252" s="175" t="s">
        <v>2540</v>
      </c>
      <c r="C252" s="177" t="s">
        <v>2528</v>
      </c>
      <c r="D252" s="180" t="s">
        <v>3431</v>
      </c>
      <c r="E252" s="187" t="s">
        <v>1698</v>
      </c>
      <c r="F252" s="188"/>
      <c r="G252" s="151" t="s">
        <v>1950</v>
      </c>
    </row>
    <row r="253" spans="2:7" ht="14.45" customHeight="1" x14ac:dyDescent="0.2">
      <c r="B253" s="175" t="s">
        <v>2540</v>
      </c>
      <c r="C253" s="177" t="s">
        <v>2528</v>
      </c>
      <c r="D253" s="180" t="s">
        <v>3431</v>
      </c>
      <c r="E253" s="187" t="s">
        <v>1699</v>
      </c>
      <c r="F253" s="188"/>
      <c r="G253" s="151" t="s">
        <v>1951</v>
      </c>
    </row>
    <row r="254" spans="2:7" ht="14.45" customHeight="1" x14ac:dyDescent="0.2">
      <c r="B254" s="175" t="s">
        <v>2540</v>
      </c>
      <c r="C254" s="177" t="s">
        <v>2528</v>
      </c>
      <c r="D254" s="180" t="s">
        <v>3431</v>
      </c>
      <c r="E254" s="187" t="s">
        <v>1687</v>
      </c>
      <c r="F254" s="188"/>
      <c r="G254" s="151" t="s">
        <v>1952</v>
      </c>
    </row>
    <row r="255" spans="2:7" ht="14.45" customHeight="1" x14ac:dyDescent="0.2">
      <c r="B255" s="175" t="s">
        <v>2540</v>
      </c>
      <c r="C255" s="177" t="s">
        <v>2528</v>
      </c>
      <c r="D255" s="180" t="s">
        <v>3431</v>
      </c>
      <c r="E255" s="187" t="s">
        <v>3399</v>
      </c>
      <c r="F255" s="188"/>
      <c r="G255" s="151" t="s">
        <v>3398</v>
      </c>
    </row>
    <row r="256" spans="2:7" ht="14.45" customHeight="1" x14ac:dyDescent="0.2">
      <c r="B256" s="175" t="s">
        <v>2540</v>
      </c>
      <c r="C256" s="177" t="s">
        <v>2528</v>
      </c>
      <c r="D256" s="180" t="s">
        <v>3431</v>
      </c>
      <c r="E256" s="187" t="s">
        <v>1700</v>
      </c>
      <c r="F256" s="188"/>
      <c r="G256" s="151" t="s">
        <v>1953</v>
      </c>
    </row>
    <row r="257" spans="2:7" ht="14.45" customHeight="1" x14ac:dyDescent="0.2">
      <c r="B257" s="175" t="s">
        <v>2540</v>
      </c>
      <c r="C257" s="177" t="s">
        <v>2528</v>
      </c>
      <c r="D257" s="180" t="s">
        <v>3431</v>
      </c>
      <c r="E257" s="187" t="s">
        <v>1701</v>
      </c>
      <c r="F257" s="188"/>
      <c r="G257" s="151" t="s">
        <v>1954</v>
      </c>
    </row>
    <row r="258" spans="2:7" ht="14.45" customHeight="1" x14ac:dyDescent="0.2">
      <c r="B258" s="175" t="s">
        <v>2540</v>
      </c>
      <c r="C258" s="177" t="s">
        <v>2528</v>
      </c>
      <c r="D258" s="181" t="s">
        <v>3431</v>
      </c>
      <c r="E258" s="190" t="s">
        <v>1702</v>
      </c>
      <c r="F258" s="191"/>
      <c r="G258" s="143" t="s">
        <v>1955</v>
      </c>
    </row>
    <row r="259" spans="2:7" ht="14.45" customHeight="1" x14ac:dyDescent="0.2">
      <c r="B259" s="175" t="s">
        <v>2540</v>
      </c>
      <c r="C259" s="177" t="s">
        <v>2528</v>
      </c>
      <c r="D259" s="83" t="s">
        <v>3421</v>
      </c>
      <c r="E259" s="192" t="s">
        <v>1703</v>
      </c>
      <c r="F259" s="193"/>
      <c r="G259" s="165" t="s">
        <v>2141</v>
      </c>
    </row>
    <row r="260" spans="2:7" ht="14.45" customHeight="1" x14ac:dyDescent="0.2">
      <c r="B260" s="175" t="s">
        <v>2540</v>
      </c>
      <c r="C260" s="177" t="s">
        <v>2528</v>
      </c>
      <c r="D260" s="199" t="s">
        <v>3421</v>
      </c>
      <c r="E260" s="187" t="s">
        <v>1704</v>
      </c>
      <c r="F260" s="188"/>
      <c r="G260" s="151" t="s">
        <v>1956</v>
      </c>
    </row>
    <row r="261" spans="2:7" ht="14.45" customHeight="1" x14ac:dyDescent="0.2">
      <c r="B261" s="175" t="s">
        <v>2540</v>
      </c>
      <c r="C261" s="177" t="s">
        <v>2528</v>
      </c>
      <c r="D261" s="199" t="s">
        <v>3421</v>
      </c>
      <c r="E261" s="187" t="s">
        <v>1959</v>
      </c>
      <c r="F261" s="188"/>
      <c r="G261" s="151" t="s">
        <v>1958</v>
      </c>
    </row>
    <row r="262" spans="2:7" ht="14.45" customHeight="1" x14ac:dyDescent="0.2">
      <c r="B262" s="175" t="s">
        <v>2540</v>
      </c>
      <c r="C262" s="177" t="s">
        <v>2528</v>
      </c>
      <c r="D262" s="199" t="s">
        <v>3421</v>
      </c>
      <c r="E262" s="187" t="s">
        <v>1676</v>
      </c>
      <c r="F262" s="188"/>
      <c r="G262" s="151" t="s">
        <v>1960</v>
      </c>
    </row>
    <row r="263" spans="2:7" ht="14.45" customHeight="1" x14ac:dyDescent="0.2">
      <c r="B263" s="175" t="s">
        <v>2540</v>
      </c>
      <c r="C263" s="177" t="s">
        <v>2528</v>
      </c>
      <c r="D263" s="199" t="s">
        <v>3421</v>
      </c>
      <c r="E263" s="187" t="s">
        <v>1677</v>
      </c>
      <c r="F263" s="188"/>
      <c r="G263" s="151" t="s">
        <v>1961</v>
      </c>
    </row>
    <row r="264" spans="2:7" ht="14.45" customHeight="1" x14ac:dyDescent="0.2">
      <c r="B264" s="175" t="s">
        <v>2540</v>
      </c>
      <c r="C264" s="177" t="s">
        <v>2528</v>
      </c>
      <c r="D264" s="199" t="s">
        <v>3421</v>
      </c>
      <c r="E264" s="187" t="s">
        <v>1705</v>
      </c>
      <c r="F264" s="188"/>
      <c r="G264" s="151" t="s">
        <v>1957</v>
      </c>
    </row>
    <row r="265" spans="2:7" ht="14.45" customHeight="1" x14ac:dyDescent="0.2">
      <c r="B265" s="175" t="s">
        <v>2540</v>
      </c>
      <c r="C265" s="177" t="s">
        <v>2528</v>
      </c>
      <c r="D265" s="199" t="s">
        <v>3421</v>
      </c>
      <c r="E265" s="187" t="s">
        <v>1706</v>
      </c>
      <c r="F265" s="188"/>
      <c r="G265" s="151" t="s">
        <v>1962</v>
      </c>
    </row>
    <row r="266" spans="2:7" ht="14.45" customHeight="1" x14ac:dyDescent="0.2">
      <c r="B266" s="175" t="s">
        <v>2540</v>
      </c>
      <c r="C266" s="177" t="s">
        <v>2528</v>
      </c>
      <c r="D266" s="199" t="s">
        <v>3421</v>
      </c>
      <c r="E266" s="187" t="s">
        <v>1707</v>
      </c>
      <c r="F266" s="188"/>
      <c r="G266" s="151" t="s">
        <v>2142</v>
      </c>
    </row>
    <row r="267" spans="2:7" ht="14.45" customHeight="1" x14ac:dyDescent="0.2">
      <c r="B267" s="175" t="s">
        <v>2540</v>
      </c>
      <c r="C267" s="177" t="s">
        <v>2528</v>
      </c>
      <c r="D267" s="199" t="s">
        <v>3421</v>
      </c>
      <c r="E267" s="187" t="s">
        <v>1964</v>
      </c>
      <c r="F267" s="188"/>
      <c r="G267" s="151" t="s">
        <v>1963</v>
      </c>
    </row>
    <row r="268" spans="2:7" ht="14.45" customHeight="1" x14ac:dyDescent="0.2">
      <c r="B268" s="175" t="s">
        <v>2540</v>
      </c>
      <c r="C268" s="177" t="s">
        <v>2528</v>
      </c>
      <c r="D268" s="199" t="s">
        <v>3421</v>
      </c>
      <c r="E268" s="187" t="s">
        <v>1708</v>
      </c>
      <c r="F268" s="188"/>
      <c r="G268" s="151" t="s">
        <v>1965</v>
      </c>
    </row>
    <row r="269" spans="2:7" ht="14.45" customHeight="1" x14ac:dyDescent="0.2">
      <c r="B269" s="175" t="s">
        <v>2540</v>
      </c>
      <c r="C269" s="177" t="s">
        <v>2528</v>
      </c>
      <c r="D269" s="199" t="s">
        <v>3421</v>
      </c>
      <c r="E269" s="187" t="s">
        <v>1709</v>
      </c>
      <c r="F269" s="188"/>
      <c r="G269" s="151" t="s">
        <v>1966</v>
      </c>
    </row>
    <row r="270" spans="2:7" ht="14.45" customHeight="1" x14ac:dyDescent="0.2">
      <c r="B270" s="175" t="s">
        <v>2540</v>
      </c>
      <c r="C270" s="177" t="s">
        <v>2528</v>
      </c>
      <c r="D270" s="199" t="s">
        <v>3421</v>
      </c>
      <c r="E270" s="187" t="s">
        <v>1710</v>
      </c>
      <c r="F270" s="188"/>
      <c r="G270" s="151" t="s">
        <v>2163</v>
      </c>
    </row>
    <row r="271" spans="2:7" ht="14.45" customHeight="1" x14ac:dyDescent="0.2">
      <c r="B271" s="175" t="s">
        <v>2540</v>
      </c>
      <c r="C271" s="177" t="s">
        <v>2528</v>
      </c>
      <c r="D271" s="199" t="s">
        <v>3421</v>
      </c>
      <c r="E271" s="187" t="s">
        <v>1711</v>
      </c>
      <c r="F271" s="188"/>
      <c r="G271" s="151" t="s">
        <v>1967</v>
      </c>
    </row>
    <row r="272" spans="2:7" ht="14.45" customHeight="1" x14ac:dyDescent="0.2">
      <c r="B272" s="175" t="s">
        <v>2540</v>
      </c>
      <c r="C272" s="177" t="s">
        <v>2528</v>
      </c>
      <c r="D272" s="199" t="s">
        <v>3421</v>
      </c>
      <c r="E272" s="187" t="s">
        <v>1712</v>
      </c>
      <c r="F272" s="188"/>
      <c r="G272" s="151" t="s">
        <v>1968</v>
      </c>
    </row>
    <row r="273" spans="2:7" ht="14.45" customHeight="1" thickBot="1" x14ac:dyDescent="0.25">
      <c r="B273" s="176" t="s">
        <v>2540</v>
      </c>
      <c r="C273" s="178" t="s">
        <v>2528</v>
      </c>
      <c r="D273" s="200" t="s">
        <v>3421</v>
      </c>
      <c r="E273" s="190" t="s">
        <v>1969</v>
      </c>
      <c r="F273" s="191"/>
      <c r="G273" s="143" t="s">
        <v>1970</v>
      </c>
    </row>
    <row r="274" spans="2:7" ht="14.45" customHeight="1" x14ac:dyDescent="0.2">
      <c r="B274" s="174" t="s">
        <v>2603</v>
      </c>
      <c r="C274" s="172" t="s">
        <v>2531</v>
      </c>
      <c r="D274" s="179" t="s">
        <v>3499</v>
      </c>
      <c r="E274" s="185" t="s">
        <v>1715</v>
      </c>
      <c r="F274" s="186"/>
      <c r="G274" s="164" t="s">
        <v>1971</v>
      </c>
    </row>
    <row r="275" spans="2:7" ht="14.45" customHeight="1" x14ac:dyDescent="0.2">
      <c r="B275" s="175" t="s">
        <v>2541</v>
      </c>
      <c r="C275" s="177" t="s">
        <v>2530</v>
      </c>
      <c r="D275" s="180" t="s">
        <v>3499</v>
      </c>
      <c r="E275" s="187" t="s">
        <v>1716</v>
      </c>
      <c r="F275" s="188"/>
      <c r="G275" s="151" t="s">
        <v>1972</v>
      </c>
    </row>
    <row r="276" spans="2:7" ht="14.45" customHeight="1" x14ac:dyDescent="0.2">
      <c r="B276" s="175" t="s">
        <v>2541</v>
      </c>
      <c r="C276" s="177" t="s">
        <v>2530</v>
      </c>
      <c r="D276" s="180" t="s">
        <v>3499</v>
      </c>
      <c r="E276" s="187" t="s">
        <v>1717</v>
      </c>
      <c r="F276" s="188"/>
      <c r="G276" s="151" t="s">
        <v>1973</v>
      </c>
    </row>
    <row r="277" spans="2:7" ht="14.45" customHeight="1" x14ac:dyDescent="0.2">
      <c r="B277" s="175" t="s">
        <v>2541</v>
      </c>
      <c r="C277" s="177" t="s">
        <v>2530</v>
      </c>
      <c r="D277" s="180" t="s">
        <v>3499</v>
      </c>
      <c r="E277" s="187" t="s">
        <v>1718</v>
      </c>
      <c r="F277" s="188"/>
      <c r="G277" s="151" t="s">
        <v>1974</v>
      </c>
    </row>
    <row r="278" spans="2:7" ht="14.45" customHeight="1" x14ac:dyDescent="0.2">
      <c r="B278" s="175" t="s">
        <v>2541</v>
      </c>
      <c r="C278" s="177" t="s">
        <v>2530</v>
      </c>
      <c r="D278" s="180" t="s">
        <v>3499</v>
      </c>
      <c r="E278" s="187" t="s">
        <v>1719</v>
      </c>
      <c r="F278" s="188"/>
      <c r="G278" s="151" t="s">
        <v>1975</v>
      </c>
    </row>
    <row r="279" spans="2:7" ht="14.45" customHeight="1" x14ac:dyDescent="0.2">
      <c r="B279" s="175" t="s">
        <v>2541</v>
      </c>
      <c r="C279" s="177" t="s">
        <v>2530</v>
      </c>
      <c r="D279" s="180" t="s">
        <v>3499</v>
      </c>
      <c r="E279" s="187" t="s">
        <v>1720</v>
      </c>
      <c r="F279" s="188"/>
      <c r="G279" s="151" t="s">
        <v>1976</v>
      </c>
    </row>
    <row r="280" spans="2:7" ht="14.45" customHeight="1" x14ac:dyDescent="0.2">
      <c r="B280" s="175" t="s">
        <v>2541</v>
      </c>
      <c r="C280" s="177" t="s">
        <v>2530</v>
      </c>
      <c r="D280" s="180" t="s">
        <v>3499</v>
      </c>
      <c r="E280" s="187" t="s">
        <v>1721</v>
      </c>
      <c r="F280" s="188"/>
      <c r="G280" s="151" t="s">
        <v>1977</v>
      </c>
    </row>
    <row r="281" spans="2:7" ht="14.45" customHeight="1" x14ac:dyDescent="0.2">
      <c r="B281" s="175" t="s">
        <v>2541</v>
      </c>
      <c r="C281" s="177" t="s">
        <v>2530</v>
      </c>
      <c r="D281" s="181" t="s">
        <v>3499</v>
      </c>
      <c r="E281" s="190" t="s">
        <v>1722</v>
      </c>
      <c r="F281" s="191"/>
      <c r="G281" s="143" t="s">
        <v>1978</v>
      </c>
    </row>
    <row r="282" spans="2:7" ht="14.45" customHeight="1" x14ac:dyDescent="0.2">
      <c r="B282" s="175" t="s">
        <v>2541</v>
      </c>
      <c r="C282" s="177" t="s">
        <v>2530</v>
      </c>
      <c r="D282" s="189" t="s">
        <v>3500</v>
      </c>
      <c r="E282" s="192" t="s">
        <v>1723</v>
      </c>
      <c r="F282" s="193"/>
      <c r="G282" s="165" t="s">
        <v>1979</v>
      </c>
    </row>
    <row r="283" spans="2:7" ht="14.45" customHeight="1" thickBot="1" x14ac:dyDescent="0.25">
      <c r="B283" s="175" t="s">
        <v>2541</v>
      </c>
      <c r="C283" s="178" t="s">
        <v>2530</v>
      </c>
      <c r="D283" s="180" t="s">
        <v>3500</v>
      </c>
      <c r="E283" s="190" t="s">
        <v>1724</v>
      </c>
      <c r="F283" s="191"/>
      <c r="G283" s="143" t="s">
        <v>1980</v>
      </c>
    </row>
    <row r="284" spans="2:7" ht="14.45" customHeight="1" x14ac:dyDescent="0.2">
      <c r="B284" s="175" t="s">
        <v>2541</v>
      </c>
      <c r="C284" s="172" t="s">
        <v>2546</v>
      </c>
      <c r="D284" s="179" t="s">
        <v>3438</v>
      </c>
      <c r="E284" s="185" t="s">
        <v>1716</v>
      </c>
      <c r="F284" s="186"/>
      <c r="G284" s="164" t="s">
        <v>1981</v>
      </c>
    </row>
    <row r="285" spans="2:7" ht="14.45" customHeight="1" x14ac:dyDescent="0.2">
      <c r="B285" s="175" t="s">
        <v>2541</v>
      </c>
      <c r="C285" s="177" t="s">
        <v>2545</v>
      </c>
      <c r="D285" s="180" t="s">
        <v>3438</v>
      </c>
      <c r="E285" s="187" t="s">
        <v>1725</v>
      </c>
      <c r="F285" s="188"/>
      <c r="G285" s="151" t="s">
        <v>1982</v>
      </c>
    </row>
    <row r="286" spans="2:7" ht="14.45" customHeight="1" x14ac:dyDescent="0.2">
      <c r="B286" s="175" t="s">
        <v>2541</v>
      </c>
      <c r="C286" s="177" t="s">
        <v>2545</v>
      </c>
      <c r="D286" s="181" t="s">
        <v>3438</v>
      </c>
      <c r="E286" s="190" t="s">
        <v>1726</v>
      </c>
      <c r="F286" s="191"/>
      <c r="G286" s="143" t="s">
        <v>1983</v>
      </c>
    </row>
    <row r="287" spans="2:7" ht="14.45" customHeight="1" x14ac:dyDescent="0.2">
      <c r="B287" s="175" t="s">
        <v>2541</v>
      </c>
      <c r="C287" s="177" t="s">
        <v>2545</v>
      </c>
      <c r="D287" s="189" t="s">
        <v>3441</v>
      </c>
      <c r="E287" s="192" t="s">
        <v>1717</v>
      </c>
      <c r="F287" s="193"/>
      <c r="G287" s="165" t="s">
        <v>1984</v>
      </c>
    </row>
    <row r="288" spans="2:7" ht="14.45" customHeight="1" x14ac:dyDescent="0.2">
      <c r="B288" s="175" t="s">
        <v>2541</v>
      </c>
      <c r="C288" s="177" t="s">
        <v>2545</v>
      </c>
      <c r="D288" s="181" t="s">
        <v>3441</v>
      </c>
      <c r="E288" s="190" t="s">
        <v>1718</v>
      </c>
      <c r="F288" s="191"/>
      <c r="G288" s="143" t="s">
        <v>1985</v>
      </c>
    </row>
    <row r="289" spans="2:7" ht="14.45" customHeight="1" x14ac:dyDescent="0.2">
      <c r="B289" s="175" t="s">
        <v>2541</v>
      </c>
      <c r="C289" s="177" t="s">
        <v>2545</v>
      </c>
      <c r="D289" s="189" t="s">
        <v>3440</v>
      </c>
      <c r="E289" s="192" t="s">
        <v>1727</v>
      </c>
      <c r="F289" s="193"/>
      <c r="G289" s="165" t="s">
        <v>1986</v>
      </c>
    </row>
    <row r="290" spans="2:7" ht="14.45" customHeight="1" x14ac:dyDescent="0.2">
      <c r="B290" s="175" t="s">
        <v>2541</v>
      </c>
      <c r="C290" s="177" t="s">
        <v>2545</v>
      </c>
      <c r="D290" s="180" t="s">
        <v>3440</v>
      </c>
      <c r="E290" s="187" t="s">
        <v>1728</v>
      </c>
      <c r="F290" s="188"/>
      <c r="G290" s="151" t="s">
        <v>1987</v>
      </c>
    </row>
    <row r="291" spans="2:7" ht="14.45" customHeight="1" thickBot="1" x14ac:dyDescent="0.25">
      <c r="B291" s="175" t="s">
        <v>2541</v>
      </c>
      <c r="C291" s="177" t="s">
        <v>2545</v>
      </c>
      <c r="D291" s="180" t="s">
        <v>3440</v>
      </c>
      <c r="E291" s="190" t="s">
        <v>1732</v>
      </c>
      <c r="F291" s="191"/>
      <c r="G291" s="143" t="s">
        <v>1988</v>
      </c>
    </row>
    <row r="292" spans="2:7" ht="14.45" customHeight="1" x14ac:dyDescent="0.2">
      <c r="B292" s="175" t="s">
        <v>2541</v>
      </c>
      <c r="C292" s="172" t="s">
        <v>2548</v>
      </c>
      <c r="D292" s="179" t="s">
        <v>3485</v>
      </c>
      <c r="E292" s="185" t="s">
        <v>239</v>
      </c>
      <c r="F292" s="186"/>
      <c r="G292" s="164" t="s">
        <v>1989</v>
      </c>
    </row>
    <row r="293" spans="2:7" ht="14.45" customHeight="1" x14ac:dyDescent="0.2">
      <c r="B293" s="175" t="s">
        <v>2541</v>
      </c>
      <c r="C293" s="177" t="s">
        <v>2547</v>
      </c>
      <c r="D293" s="180" t="s">
        <v>3485</v>
      </c>
      <c r="E293" s="187" t="s">
        <v>1991</v>
      </c>
      <c r="F293" s="188"/>
      <c r="G293" s="151" t="s">
        <v>1990</v>
      </c>
    </row>
    <row r="294" spans="2:7" ht="14.45" customHeight="1" x14ac:dyDescent="0.2">
      <c r="B294" s="175" t="s">
        <v>2541</v>
      </c>
      <c r="C294" s="177" t="s">
        <v>2547</v>
      </c>
      <c r="D294" s="180" t="s">
        <v>3485</v>
      </c>
      <c r="E294" s="187" t="s">
        <v>1992</v>
      </c>
      <c r="F294" s="188"/>
      <c r="G294" s="151" t="s">
        <v>1993</v>
      </c>
    </row>
    <row r="295" spans="2:7" ht="14.45" customHeight="1" x14ac:dyDescent="0.2">
      <c r="B295" s="175" t="s">
        <v>2541</v>
      </c>
      <c r="C295" s="177" t="s">
        <v>2547</v>
      </c>
      <c r="D295" s="180" t="s">
        <v>3485</v>
      </c>
      <c r="E295" s="187" t="s">
        <v>1996</v>
      </c>
      <c r="F295" s="188"/>
      <c r="G295" s="151" t="s">
        <v>1994</v>
      </c>
    </row>
    <row r="296" spans="2:7" ht="14.45" customHeight="1" x14ac:dyDescent="0.2">
      <c r="B296" s="175" t="s">
        <v>2541</v>
      </c>
      <c r="C296" s="177" t="s">
        <v>2547</v>
      </c>
      <c r="D296" s="180" t="s">
        <v>3485</v>
      </c>
      <c r="E296" s="187" t="s">
        <v>1997</v>
      </c>
      <c r="F296" s="188"/>
      <c r="G296" s="151" t="s">
        <v>1995</v>
      </c>
    </row>
    <row r="297" spans="2:7" ht="14.45" customHeight="1" x14ac:dyDescent="0.2">
      <c r="B297" s="175" t="s">
        <v>2541</v>
      </c>
      <c r="C297" s="177" t="s">
        <v>2547</v>
      </c>
      <c r="D297" s="180" t="s">
        <v>3485</v>
      </c>
      <c r="E297" s="187" t="s">
        <v>1734</v>
      </c>
      <c r="F297" s="188"/>
      <c r="G297" s="151" t="s">
        <v>1998</v>
      </c>
    </row>
    <row r="298" spans="2:7" ht="14.45" customHeight="1" x14ac:dyDescent="0.2">
      <c r="B298" s="175" t="s">
        <v>2541</v>
      </c>
      <c r="C298" s="177" t="s">
        <v>2547</v>
      </c>
      <c r="D298" s="180" t="s">
        <v>3485</v>
      </c>
      <c r="E298" s="187" t="s">
        <v>1733</v>
      </c>
      <c r="F298" s="188"/>
      <c r="G298" s="151" t="s">
        <v>1999</v>
      </c>
    </row>
    <row r="299" spans="2:7" ht="14.45" customHeight="1" x14ac:dyDescent="0.2">
      <c r="B299" s="175" t="s">
        <v>2541</v>
      </c>
      <c r="C299" s="177" t="s">
        <v>2547</v>
      </c>
      <c r="D299" s="180" t="s">
        <v>3485</v>
      </c>
      <c r="E299" s="187" t="s">
        <v>1735</v>
      </c>
      <c r="F299" s="188"/>
      <c r="G299" s="151" t="s">
        <v>2000</v>
      </c>
    </row>
    <row r="300" spans="2:7" ht="14.45" customHeight="1" x14ac:dyDescent="0.2">
      <c r="B300" s="175" t="s">
        <v>2541</v>
      </c>
      <c r="C300" s="177" t="s">
        <v>2547</v>
      </c>
      <c r="D300" s="180" t="s">
        <v>3485</v>
      </c>
      <c r="E300" s="187" t="s">
        <v>1736</v>
      </c>
      <c r="F300" s="188"/>
      <c r="G300" s="151" t="s">
        <v>2001</v>
      </c>
    </row>
    <row r="301" spans="2:7" ht="14.45" customHeight="1" x14ac:dyDescent="0.2">
      <c r="B301" s="175" t="s">
        <v>2541</v>
      </c>
      <c r="C301" s="177" t="s">
        <v>2547</v>
      </c>
      <c r="D301" s="180" t="s">
        <v>3485</v>
      </c>
      <c r="E301" s="187" t="s">
        <v>1737</v>
      </c>
      <c r="F301" s="188"/>
      <c r="G301" s="151" t="s">
        <v>2002</v>
      </c>
    </row>
    <row r="302" spans="2:7" ht="14.45" customHeight="1" x14ac:dyDescent="0.2">
      <c r="B302" s="175" t="s">
        <v>2541</v>
      </c>
      <c r="C302" s="177" t="s">
        <v>2547</v>
      </c>
      <c r="D302" s="180" t="s">
        <v>3485</v>
      </c>
      <c r="E302" s="187" t="s">
        <v>1720</v>
      </c>
      <c r="F302" s="188"/>
      <c r="G302" s="151" t="s">
        <v>2003</v>
      </c>
    </row>
    <row r="303" spans="2:7" ht="14.45" customHeight="1" x14ac:dyDescent="0.2">
      <c r="B303" s="175" t="s">
        <v>2541</v>
      </c>
      <c r="C303" s="177" t="s">
        <v>2547</v>
      </c>
      <c r="D303" s="180" t="s">
        <v>3485</v>
      </c>
      <c r="E303" s="187" t="s">
        <v>1738</v>
      </c>
      <c r="F303" s="188"/>
      <c r="G303" s="151" t="s">
        <v>2004</v>
      </c>
    </row>
    <row r="304" spans="2:7" ht="14.45" customHeight="1" x14ac:dyDescent="0.2">
      <c r="B304" s="175" t="s">
        <v>2541</v>
      </c>
      <c r="C304" s="177" t="s">
        <v>2547</v>
      </c>
      <c r="D304" s="180" t="s">
        <v>3485</v>
      </c>
      <c r="E304" s="187" t="s">
        <v>1739</v>
      </c>
      <c r="F304" s="188"/>
      <c r="G304" s="151" t="s">
        <v>2005</v>
      </c>
    </row>
    <row r="305" spans="2:7" ht="14.45" customHeight="1" x14ac:dyDescent="0.2">
      <c r="B305" s="175" t="s">
        <v>2541</v>
      </c>
      <c r="C305" s="177" t="s">
        <v>2547</v>
      </c>
      <c r="D305" s="181" t="s">
        <v>3485</v>
      </c>
      <c r="E305" s="190" t="s">
        <v>1740</v>
      </c>
      <c r="F305" s="191"/>
      <c r="G305" s="143" t="s">
        <v>2006</v>
      </c>
    </row>
    <row r="306" spans="2:7" ht="14.45" customHeight="1" x14ac:dyDescent="0.2">
      <c r="B306" s="175" t="s">
        <v>2541</v>
      </c>
      <c r="C306" s="177" t="s">
        <v>2547</v>
      </c>
      <c r="D306" s="189" t="s">
        <v>3439</v>
      </c>
      <c r="E306" s="192" t="s">
        <v>1738</v>
      </c>
      <c r="F306" s="193"/>
      <c r="G306" s="165" t="s">
        <v>2007</v>
      </c>
    </row>
    <row r="307" spans="2:7" ht="14.45" customHeight="1" x14ac:dyDescent="0.2">
      <c r="B307" s="175" t="s">
        <v>2541</v>
      </c>
      <c r="C307" s="177" t="s">
        <v>2547</v>
      </c>
      <c r="D307" s="180" t="s">
        <v>3439</v>
      </c>
      <c r="E307" s="187" t="s">
        <v>1720</v>
      </c>
      <c r="F307" s="188"/>
      <c r="G307" s="151" t="s">
        <v>2008</v>
      </c>
    </row>
    <row r="308" spans="2:7" ht="14.45" customHeight="1" x14ac:dyDescent="0.2">
      <c r="B308" s="175" t="s">
        <v>2541</v>
      </c>
      <c r="C308" s="177" t="s">
        <v>2547</v>
      </c>
      <c r="D308" s="180" t="s">
        <v>3439</v>
      </c>
      <c r="E308" s="187" t="s">
        <v>1396</v>
      </c>
      <c r="F308" s="188"/>
      <c r="G308" s="151" t="s">
        <v>1742</v>
      </c>
    </row>
    <row r="309" spans="2:7" ht="14.45" customHeight="1" thickBot="1" x14ac:dyDescent="0.25">
      <c r="B309" s="176" t="s">
        <v>2541</v>
      </c>
      <c r="C309" s="178" t="s">
        <v>2547</v>
      </c>
      <c r="D309" s="194" t="s">
        <v>3439</v>
      </c>
      <c r="E309" s="190" t="s">
        <v>1741</v>
      </c>
      <c r="F309" s="191"/>
      <c r="G309" s="143" t="s">
        <v>2009</v>
      </c>
    </row>
    <row r="310" spans="2:7" ht="14.45" customHeight="1" x14ac:dyDescent="0.2">
      <c r="B310" s="174" t="s">
        <v>2604</v>
      </c>
      <c r="C310" s="172" t="s">
        <v>2550</v>
      </c>
      <c r="D310" s="179" t="s">
        <v>3442</v>
      </c>
      <c r="E310" s="185" t="s">
        <v>1760</v>
      </c>
      <c r="F310" s="186"/>
      <c r="G310" s="164" t="s">
        <v>2010</v>
      </c>
    </row>
    <row r="311" spans="2:7" ht="14.45" customHeight="1" x14ac:dyDescent="0.2">
      <c r="B311" s="175" t="s">
        <v>2542</v>
      </c>
      <c r="C311" s="177" t="s">
        <v>2549</v>
      </c>
      <c r="D311" s="180" t="s">
        <v>3442</v>
      </c>
      <c r="E311" s="187" t="s">
        <v>1743</v>
      </c>
      <c r="F311" s="188"/>
      <c r="G311" s="151" t="s">
        <v>2011</v>
      </c>
    </row>
    <row r="312" spans="2:7" ht="14.45" customHeight="1" x14ac:dyDescent="0.2">
      <c r="B312" s="175" t="s">
        <v>2542</v>
      </c>
      <c r="C312" s="177" t="s">
        <v>2549</v>
      </c>
      <c r="D312" s="180" t="s">
        <v>3442</v>
      </c>
      <c r="E312" s="187" t="s">
        <v>1744</v>
      </c>
      <c r="F312" s="188"/>
      <c r="G312" s="151" t="s">
        <v>2012</v>
      </c>
    </row>
    <row r="313" spans="2:7" ht="14.45" customHeight="1" x14ac:dyDescent="0.2">
      <c r="B313" s="175" t="s">
        <v>2542</v>
      </c>
      <c r="C313" s="177" t="s">
        <v>2549</v>
      </c>
      <c r="D313" s="180" t="s">
        <v>3442</v>
      </c>
      <c r="E313" s="187" t="s">
        <v>1745</v>
      </c>
      <c r="F313" s="188"/>
      <c r="G313" s="151" t="s">
        <v>2013</v>
      </c>
    </row>
    <row r="314" spans="2:7" ht="14.45" customHeight="1" x14ac:dyDescent="0.2">
      <c r="B314" s="175" t="s">
        <v>2542</v>
      </c>
      <c r="C314" s="177" t="s">
        <v>2549</v>
      </c>
      <c r="D314" s="180" t="s">
        <v>3442</v>
      </c>
      <c r="E314" s="187" t="s">
        <v>1746</v>
      </c>
      <c r="F314" s="188"/>
      <c r="G314" s="151" t="s">
        <v>2014</v>
      </c>
    </row>
    <row r="315" spans="2:7" ht="14.45" customHeight="1" x14ac:dyDescent="0.2">
      <c r="B315" s="175" t="s">
        <v>2542</v>
      </c>
      <c r="C315" s="177" t="s">
        <v>2549</v>
      </c>
      <c r="D315" s="180" t="s">
        <v>3442</v>
      </c>
      <c r="E315" s="187" t="s">
        <v>1747</v>
      </c>
      <c r="F315" s="188"/>
      <c r="G315" s="151" t="s">
        <v>2015</v>
      </c>
    </row>
    <row r="316" spans="2:7" ht="14.45" customHeight="1" x14ac:dyDescent="0.2">
      <c r="B316" s="175" t="s">
        <v>2542</v>
      </c>
      <c r="C316" s="177" t="s">
        <v>2549</v>
      </c>
      <c r="D316" s="181" t="s">
        <v>3442</v>
      </c>
      <c r="E316" s="190" t="s">
        <v>1748</v>
      </c>
      <c r="F316" s="191"/>
      <c r="G316" s="143" t="s">
        <v>2016</v>
      </c>
    </row>
    <row r="317" spans="2:7" ht="14.45" customHeight="1" x14ac:dyDescent="0.2">
      <c r="B317" s="175" t="s">
        <v>2542</v>
      </c>
      <c r="C317" s="177" t="s">
        <v>2549</v>
      </c>
      <c r="D317" s="189" t="s">
        <v>3444</v>
      </c>
      <c r="E317" s="192" t="s">
        <v>1585</v>
      </c>
      <c r="F317" s="193"/>
      <c r="G317" s="165" t="s">
        <v>2017</v>
      </c>
    </row>
    <row r="318" spans="2:7" ht="14.45" customHeight="1" x14ac:dyDescent="0.2">
      <c r="B318" s="175" t="s">
        <v>2542</v>
      </c>
      <c r="C318" s="177" t="s">
        <v>2549</v>
      </c>
      <c r="D318" s="180" t="s">
        <v>3444</v>
      </c>
      <c r="E318" s="187" t="s">
        <v>1749</v>
      </c>
      <c r="F318" s="188"/>
      <c r="G318" s="151" t="s">
        <v>2143</v>
      </c>
    </row>
    <row r="319" spans="2:7" ht="14.45" customHeight="1" x14ac:dyDescent="0.2">
      <c r="B319" s="175" t="s">
        <v>2542</v>
      </c>
      <c r="C319" s="177" t="s">
        <v>2549</v>
      </c>
      <c r="D319" s="180" t="s">
        <v>3444</v>
      </c>
      <c r="E319" s="187" t="s">
        <v>1750</v>
      </c>
      <c r="F319" s="188"/>
      <c r="G319" s="151" t="s">
        <v>2144</v>
      </c>
    </row>
    <row r="320" spans="2:7" ht="14.45" customHeight="1" x14ac:dyDescent="0.2">
      <c r="B320" s="175" t="s">
        <v>2542</v>
      </c>
      <c r="C320" s="177" t="s">
        <v>2549</v>
      </c>
      <c r="D320" s="180" t="s">
        <v>3444</v>
      </c>
      <c r="E320" s="187" t="s">
        <v>1751</v>
      </c>
      <c r="F320" s="188"/>
      <c r="G320" s="151" t="s">
        <v>2018</v>
      </c>
    </row>
    <row r="321" spans="2:7" ht="14.45" customHeight="1" x14ac:dyDescent="0.2">
      <c r="B321" s="175" t="s">
        <v>2542</v>
      </c>
      <c r="C321" s="177" t="s">
        <v>2549</v>
      </c>
      <c r="D321" s="180" t="s">
        <v>3444</v>
      </c>
      <c r="E321" s="187" t="s">
        <v>1752</v>
      </c>
      <c r="F321" s="188"/>
      <c r="G321" s="151" t="s">
        <v>2019</v>
      </c>
    </row>
    <row r="322" spans="2:7" ht="14.45" customHeight="1" x14ac:dyDescent="0.2">
      <c r="B322" s="175" t="s">
        <v>2542</v>
      </c>
      <c r="C322" s="177" t="s">
        <v>2549</v>
      </c>
      <c r="D322" s="180" t="s">
        <v>3444</v>
      </c>
      <c r="E322" s="187" t="s">
        <v>1753</v>
      </c>
      <c r="F322" s="188"/>
      <c r="G322" s="151" t="s">
        <v>2020</v>
      </c>
    </row>
    <row r="323" spans="2:7" ht="14.45" customHeight="1" x14ac:dyDescent="0.2">
      <c r="B323" s="175" t="s">
        <v>2542</v>
      </c>
      <c r="C323" s="177" t="s">
        <v>2549</v>
      </c>
      <c r="D323" s="180" t="s">
        <v>3444</v>
      </c>
      <c r="E323" s="187" t="s">
        <v>1586</v>
      </c>
      <c r="F323" s="188"/>
      <c r="G323" s="151" t="s">
        <v>2021</v>
      </c>
    </row>
    <row r="324" spans="2:7" ht="14.45" customHeight="1" x14ac:dyDescent="0.2">
      <c r="B324" s="175" t="s">
        <v>2542</v>
      </c>
      <c r="C324" s="177" t="s">
        <v>2549</v>
      </c>
      <c r="D324" s="180" t="s">
        <v>3444</v>
      </c>
      <c r="E324" s="187" t="s">
        <v>1754</v>
      </c>
      <c r="F324" s="188"/>
      <c r="G324" s="151" t="s">
        <v>2022</v>
      </c>
    </row>
    <row r="325" spans="2:7" ht="14.45" customHeight="1" thickBot="1" x14ac:dyDescent="0.25">
      <c r="B325" s="175" t="s">
        <v>2542</v>
      </c>
      <c r="C325" s="177" t="s">
        <v>2549</v>
      </c>
      <c r="D325" s="180" t="s">
        <v>3444</v>
      </c>
      <c r="E325" s="190" t="s">
        <v>1755</v>
      </c>
      <c r="F325" s="191"/>
      <c r="G325" s="143" t="s">
        <v>2023</v>
      </c>
    </row>
    <row r="326" spans="2:7" ht="14.45" customHeight="1" x14ac:dyDescent="0.2">
      <c r="B326" s="175" t="s">
        <v>2542</v>
      </c>
      <c r="C326" s="172" t="s">
        <v>3629</v>
      </c>
      <c r="D326" s="179" t="s">
        <v>3443</v>
      </c>
      <c r="E326" s="185" t="s">
        <v>1759</v>
      </c>
      <c r="F326" s="186"/>
      <c r="G326" s="164" t="s">
        <v>2024</v>
      </c>
    </row>
    <row r="327" spans="2:7" ht="14.45" customHeight="1" x14ac:dyDescent="0.2">
      <c r="B327" s="175" t="s">
        <v>2542</v>
      </c>
      <c r="C327" s="177" t="s">
        <v>3628</v>
      </c>
      <c r="D327" s="180" t="s">
        <v>3443</v>
      </c>
      <c r="E327" s="187" t="s">
        <v>1761</v>
      </c>
      <c r="F327" s="188"/>
      <c r="G327" s="151" t="s">
        <v>1762</v>
      </c>
    </row>
    <row r="328" spans="2:7" ht="14.45" customHeight="1" x14ac:dyDescent="0.2">
      <c r="B328" s="175" t="s">
        <v>2542</v>
      </c>
      <c r="C328" s="177" t="s">
        <v>3628</v>
      </c>
      <c r="D328" s="180" t="s">
        <v>3443</v>
      </c>
      <c r="E328" s="187" t="s">
        <v>1763</v>
      </c>
      <c r="F328" s="188"/>
      <c r="G328" s="151" t="s">
        <v>2145</v>
      </c>
    </row>
    <row r="329" spans="2:7" ht="14.45" customHeight="1" x14ac:dyDescent="0.2">
      <c r="B329" s="175" t="s">
        <v>2542</v>
      </c>
      <c r="C329" s="177" t="s">
        <v>3628</v>
      </c>
      <c r="D329" s="180" t="s">
        <v>3443</v>
      </c>
      <c r="E329" s="187" t="s">
        <v>1764</v>
      </c>
      <c r="F329" s="188"/>
      <c r="G329" s="151" t="s">
        <v>2025</v>
      </c>
    </row>
    <row r="330" spans="2:7" ht="14.45" customHeight="1" x14ac:dyDescent="0.2">
      <c r="B330" s="175" t="s">
        <v>2542</v>
      </c>
      <c r="C330" s="177" t="s">
        <v>3628</v>
      </c>
      <c r="D330" s="180" t="s">
        <v>3443</v>
      </c>
      <c r="E330" s="187" t="s">
        <v>1765</v>
      </c>
      <c r="F330" s="188"/>
      <c r="G330" s="151" t="s">
        <v>2026</v>
      </c>
    </row>
    <row r="331" spans="2:7" ht="14.45" customHeight="1" x14ac:dyDescent="0.2">
      <c r="B331" s="175" t="s">
        <v>2542</v>
      </c>
      <c r="C331" s="177" t="s">
        <v>3628</v>
      </c>
      <c r="D331" s="180" t="s">
        <v>3443</v>
      </c>
      <c r="E331" s="187" t="s">
        <v>1766</v>
      </c>
      <c r="F331" s="188"/>
      <c r="G331" s="151" t="s">
        <v>2027</v>
      </c>
    </row>
    <row r="332" spans="2:7" ht="14.45" customHeight="1" x14ac:dyDescent="0.2">
      <c r="B332" s="175" t="s">
        <v>2542</v>
      </c>
      <c r="C332" s="177" t="s">
        <v>3628</v>
      </c>
      <c r="D332" s="180" t="s">
        <v>3443</v>
      </c>
      <c r="E332" s="187" t="s">
        <v>1402</v>
      </c>
      <c r="F332" s="188"/>
      <c r="G332" s="151" t="s">
        <v>2146</v>
      </c>
    </row>
    <row r="333" spans="2:7" ht="14.45" customHeight="1" x14ac:dyDescent="0.2">
      <c r="B333" s="175" t="s">
        <v>2542</v>
      </c>
      <c r="C333" s="177" t="s">
        <v>3628</v>
      </c>
      <c r="D333" s="180" t="s">
        <v>3443</v>
      </c>
      <c r="E333" s="187" t="s">
        <v>1767</v>
      </c>
      <c r="F333" s="188"/>
      <c r="G333" s="151" t="s">
        <v>2028</v>
      </c>
    </row>
    <row r="334" spans="2:7" ht="14.45" customHeight="1" x14ac:dyDescent="0.2">
      <c r="B334" s="175" t="s">
        <v>2542</v>
      </c>
      <c r="C334" s="177" t="s">
        <v>3628</v>
      </c>
      <c r="D334" s="180" t="s">
        <v>3443</v>
      </c>
      <c r="E334" s="187" t="s">
        <v>1768</v>
      </c>
      <c r="F334" s="188"/>
      <c r="G334" s="151" t="s">
        <v>2029</v>
      </c>
    </row>
    <row r="335" spans="2:7" ht="14.45" customHeight="1" x14ac:dyDescent="0.2">
      <c r="B335" s="175" t="s">
        <v>2542</v>
      </c>
      <c r="C335" s="177" t="s">
        <v>3628</v>
      </c>
      <c r="D335" s="180" t="s">
        <v>3443</v>
      </c>
      <c r="E335" s="187" t="s">
        <v>1769</v>
      </c>
      <c r="F335" s="188"/>
      <c r="G335" s="151" t="s">
        <v>2030</v>
      </c>
    </row>
    <row r="336" spans="2:7" ht="14.45" customHeight="1" x14ac:dyDescent="0.2">
      <c r="B336" s="175" t="s">
        <v>2542</v>
      </c>
      <c r="C336" s="177" t="s">
        <v>3628</v>
      </c>
      <c r="D336" s="180" t="s">
        <v>3443</v>
      </c>
      <c r="E336" s="187" t="s">
        <v>1770</v>
      </c>
      <c r="F336" s="188"/>
      <c r="G336" s="151" t="s">
        <v>2031</v>
      </c>
    </row>
    <row r="337" spans="2:7" ht="14.45" customHeight="1" x14ac:dyDescent="0.2">
      <c r="B337" s="175" t="s">
        <v>2542</v>
      </c>
      <c r="C337" s="177" t="s">
        <v>3628</v>
      </c>
      <c r="D337" s="180" t="s">
        <v>3443</v>
      </c>
      <c r="E337" s="187" t="s">
        <v>1771</v>
      </c>
      <c r="F337" s="188"/>
      <c r="G337" s="151" t="s">
        <v>2032</v>
      </c>
    </row>
    <row r="338" spans="2:7" ht="14.45" customHeight="1" x14ac:dyDescent="0.2">
      <c r="B338" s="175" t="s">
        <v>2542</v>
      </c>
      <c r="C338" s="177" t="s">
        <v>3628</v>
      </c>
      <c r="D338" s="180" t="s">
        <v>3443</v>
      </c>
      <c r="E338" s="187" t="s">
        <v>1772</v>
      </c>
      <c r="F338" s="188"/>
      <c r="G338" s="151" t="s">
        <v>2033</v>
      </c>
    </row>
    <row r="339" spans="2:7" ht="14.45" customHeight="1" x14ac:dyDescent="0.2">
      <c r="B339" s="175" t="s">
        <v>2542</v>
      </c>
      <c r="C339" s="177" t="s">
        <v>3628</v>
      </c>
      <c r="D339" s="180" t="s">
        <v>3443</v>
      </c>
      <c r="E339" s="187" t="s">
        <v>1773</v>
      </c>
      <c r="F339" s="188"/>
      <c r="G339" s="151" t="s">
        <v>2034</v>
      </c>
    </row>
    <row r="340" spans="2:7" ht="14.45" customHeight="1" x14ac:dyDescent="0.2">
      <c r="B340" s="175" t="s">
        <v>2542</v>
      </c>
      <c r="C340" s="177" t="s">
        <v>3628</v>
      </c>
      <c r="D340" s="180" t="s">
        <v>3443</v>
      </c>
      <c r="E340" s="187" t="s">
        <v>1774</v>
      </c>
      <c r="F340" s="188"/>
      <c r="G340" s="151" t="s">
        <v>2036</v>
      </c>
    </row>
    <row r="341" spans="2:7" ht="14.45" customHeight="1" x14ac:dyDescent="0.2">
      <c r="B341" s="175" t="s">
        <v>2542</v>
      </c>
      <c r="C341" s="177" t="s">
        <v>3628</v>
      </c>
      <c r="D341" s="180" t="s">
        <v>3443</v>
      </c>
      <c r="E341" s="187" t="s">
        <v>1775</v>
      </c>
      <c r="F341" s="188"/>
      <c r="G341" s="151" t="s">
        <v>2035</v>
      </c>
    </row>
    <row r="342" spans="2:7" ht="14.45" customHeight="1" x14ac:dyDescent="0.2">
      <c r="B342" s="175" t="s">
        <v>2542</v>
      </c>
      <c r="C342" s="177" t="s">
        <v>3628</v>
      </c>
      <c r="D342" s="180" t="s">
        <v>3443</v>
      </c>
      <c r="E342" s="187" t="s">
        <v>1776</v>
      </c>
      <c r="F342" s="188"/>
      <c r="G342" s="151" t="s">
        <v>2037</v>
      </c>
    </row>
    <row r="343" spans="2:7" ht="14.45" customHeight="1" x14ac:dyDescent="0.2">
      <c r="B343" s="175" t="s">
        <v>2542</v>
      </c>
      <c r="C343" s="177" t="s">
        <v>3628</v>
      </c>
      <c r="D343" s="180" t="s">
        <v>3443</v>
      </c>
      <c r="E343" s="187" t="s">
        <v>1777</v>
      </c>
      <c r="F343" s="188"/>
      <c r="G343" s="151" t="s">
        <v>2038</v>
      </c>
    </row>
    <row r="344" spans="2:7" ht="14.45" customHeight="1" x14ac:dyDescent="0.2">
      <c r="B344" s="175" t="s">
        <v>2542</v>
      </c>
      <c r="C344" s="177" t="s">
        <v>3628</v>
      </c>
      <c r="D344" s="181" t="s">
        <v>3443</v>
      </c>
      <c r="E344" s="190" t="s">
        <v>1778</v>
      </c>
      <c r="F344" s="191"/>
      <c r="G344" s="143" t="s">
        <v>2039</v>
      </c>
    </row>
    <row r="345" spans="2:7" ht="14.45" customHeight="1" x14ac:dyDescent="0.2">
      <c r="B345" s="175" t="s">
        <v>2542</v>
      </c>
      <c r="C345" s="177" t="s">
        <v>3628</v>
      </c>
      <c r="D345" s="189" t="s">
        <v>3445</v>
      </c>
      <c r="E345" s="192" t="s">
        <v>1403</v>
      </c>
      <c r="F345" s="193"/>
      <c r="G345" s="165" t="s">
        <v>2040</v>
      </c>
    </row>
    <row r="346" spans="2:7" ht="14.45" customHeight="1" x14ac:dyDescent="0.2">
      <c r="B346" s="175" t="s">
        <v>2542</v>
      </c>
      <c r="C346" s="177" t="s">
        <v>3628</v>
      </c>
      <c r="D346" s="180" t="s">
        <v>3445</v>
      </c>
      <c r="E346" s="187" t="s">
        <v>1779</v>
      </c>
      <c r="F346" s="188"/>
      <c r="G346" s="151" t="s">
        <v>2041</v>
      </c>
    </row>
    <row r="347" spans="2:7" ht="14.45" customHeight="1" x14ac:dyDescent="0.2">
      <c r="B347" s="175" t="s">
        <v>2542</v>
      </c>
      <c r="C347" s="177" t="s">
        <v>3628</v>
      </c>
      <c r="D347" s="180" t="s">
        <v>3445</v>
      </c>
      <c r="E347" s="187" t="s">
        <v>1780</v>
      </c>
      <c r="F347" s="188"/>
      <c r="G347" s="151" t="s">
        <v>2042</v>
      </c>
    </row>
    <row r="348" spans="2:7" ht="14.45" customHeight="1" x14ac:dyDescent="0.2">
      <c r="B348" s="175" t="s">
        <v>2542</v>
      </c>
      <c r="C348" s="177" t="s">
        <v>3628</v>
      </c>
      <c r="D348" s="180" t="s">
        <v>3445</v>
      </c>
      <c r="E348" s="187" t="s">
        <v>1781</v>
      </c>
      <c r="F348" s="188"/>
      <c r="G348" s="151" t="s">
        <v>2043</v>
      </c>
    </row>
    <row r="349" spans="2:7" ht="14.45" customHeight="1" x14ac:dyDescent="0.2">
      <c r="B349" s="175" t="s">
        <v>2542</v>
      </c>
      <c r="C349" s="177" t="s">
        <v>3628</v>
      </c>
      <c r="D349" s="180" t="s">
        <v>3445</v>
      </c>
      <c r="E349" s="187" t="s">
        <v>1782</v>
      </c>
      <c r="F349" s="188"/>
      <c r="G349" s="151" t="s">
        <v>2044</v>
      </c>
    </row>
    <row r="350" spans="2:7" ht="14.45" customHeight="1" x14ac:dyDescent="0.2">
      <c r="B350" s="175" t="s">
        <v>2542</v>
      </c>
      <c r="C350" s="177" t="s">
        <v>3628</v>
      </c>
      <c r="D350" s="180" t="s">
        <v>3445</v>
      </c>
      <c r="E350" s="187" t="s">
        <v>1783</v>
      </c>
      <c r="F350" s="188"/>
      <c r="G350" s="151" t="s">
        <v>2046</v>
      </c>
    </row>
    <row r="351" spans="2:7" ht="14.45" customHeight="1" x14ac:dyDescent="0.2">
      <c r="B351" s="175" t="s">
        <v>2542</v>
      </c>
      <c r="C351" s="177" t="s">
        <v>3628</v>
      </c>
      <c r="D351" s="181" t="s">
        <v>3445</v>
      </c>
      <c r="E351" s="190" t="s">
        <v>1784</v>
      </c>
      <c r="F351" s="191"/>
      <c r="G351" s="143" t="s">
        <v>2045</v>
      </c>
    </row>
    <row r="352" spans="2:7" ht="14.45" customHeight="1" x14ac:dyDescent="0.2">
      <c r="B352" s="175" t="s">
        <v>2542</v>
      </c>
      <c r="C352" s="177" t="s">
        <v>3628</v>
      </c>
      <c r="D352" s="189" t="s">
        <v>3446</v>
      </c>
      <c r="E352" s="192" t="s">
        <v>1785</v>
      </c>
      <c r="F352" s="193"/>
      <c r="G352" s="165" t="s">
        <v>2047</v>
      </c>
    </row>
    <row r="353" spans="2:7" ht="14.45" customHeight="1" x14ac:dyDescent="0.2">
      <c r="B353" s="175" t="s">
        <v>2542</v>
      </c>
      <c r="C353" s="177" t="s">
        <v>3628</v>
      </c>
      <c r="D353" s="180" t="s">
        <v>3446</v>
      </c>
      <c r="E353" s="187" t="s">
        <v>1786</v>
      </c>
      <c r="F353" s="188"/>
      <c r="G353" s="151" t="s">
        <v>2048</v>
      </c>
    </row>
    <row r="354" spans="2:7" ht="14.45" customHeight="1" x14ac:dyDescent="0.2">
      <c r="B354" s="175" t="s">
        <v>2542</v>
      </c>
      <c r="C354" s="177" t="s">
        <v>3628</v>
      </c>
      <c r="D354" s="180" t="s">
        <v>3446</v>
      </c>
      <c r="E354" s="187" t="s">
        <v>1787</v>
      </c>
      <c r="F354" s="188"/>
      <c r="G354" s="151" t="s">
        <v>2049</v>
      </c>
    </row>
    <row r="355" spans="2:7" ht="14.45" customHeight="1" x14ac:dyDescent="0.2">
      <c r="B355" s="175" t="s">
        <v>2542</v>
      </c>
      <c r="C355" s="177" t="s">
        <v>3628</v>
      </c>
      <c r="D355" s="180" t="s">
        <v>3446</v>
      </c>
      <c r="E355" s="187" t="s">
        <v>1788</v>
      </c>
      <c r="F355" s="188"/>
      <c r="G355" s="151" t="s">
        <v>2050</v>
      </c>
    </row>
    <row r="356" spans="2:7" ht="14.45" customHeight="1" x14ac:dyDescent="0.2">
      <c r="B356" s="175" t="s">
        <v>2542</v>
      </c>
      <c r="C356" s="177" t="s">
        <v>3628</v>
      </c>
      <c r="D356" s="180" t="s">
        <v>3446</v>
      </c>
      <c r="E356" s="187" t="s">
        <v>1789</v>
      </c>
      <c r="F356" s="188"/>
      <c r="G356" s="151" t="s">
        <v>2051</v>
      </c>
    </row>
    <row r="357" spans="2:7" ht="14.45" customHeight="1" thickBot="1" x14ac:dyDescent="0.25">
      <c r="B357" s="176" t="s">
        <v>2542</v>
      </c>
      <c r="C357" s="178" t="s">
        <v>3628</v>
      </c>
      <c r="D357" s="194" t="s">
        <v>3446</v>
      </c>
      <c r="E357" s="190" t="s">
        <v>1790</v>
      </c>
      <c r="F357" s="191"/>
      <c r="G357" s="143" t="s">
        <v>2052</v>
      </c>
    </row>
    <row r="358" spans="2:7" ht="14.45" customHeight="1" x14ac:dyDescent="0.2">
      <c r="B358" s="174" t="s">
        <v>3397</v>
      </c>
      <c r="C358" s="172" t="s">
        <v>2554</v>
      </c>
      <c r="D358" s="179" t="s">
        <v>3487</v>
      </c>
      <c r="E358" s="185" t="s">
        <v>1791</v>
      </c>
      <c r="F358" s="186"/>
      <c r="G358" s="164" t="s">
        <v>2053</v>
      </c>
    </row>
    <row r="359" spans="2:7" ht="14.45" customHeight="1" x14ac:dyDescent="0.2">
      <c r="B359" s="175" t="s">
        <v>2543</v>
      </c>
      <c r="C359" s="177" t="s">
        <v>2553</v>
      </c>
      <c r="D359" s="180" t="s">
        <v>3487</v>
      </c>
      <c r="E359" s="187" t="s">
        <v>1792</v>
      </c>
      <c r="F359" s="188"/>
      <c r="G359" s="151" t="s">
        <v>2054</v>
      </c>
    </row>
    <row r="360" spans="2:7" ht="14.45" customHeight="1" x14ac:dyDescent="0.2">
      <c r="B360" s="175" t="s">
        <v>2543</v>
      </c>
      <c r="C360" s="177" t="s">
        <v>2553</v>
      </c>
      <c r="D360" s="180" t="s">
        <v>3487</v>
      </c>
      <c r="E360" s="187" t="s">
        <v>1793</v>
      </c>
      <c r="F360" s="188"/>
      <c r="G360" s="151" t="s">
        <v>2055</v>
      </c>
    </row>
    <row r="361" spans="2:7" ht="14.45" customHeight="1" x14ac:dyDescent="0.2">
      <c r="B361" s="175" t="s">
        <v>2543</v>
      </c>
      <c r="C361" s="177" t="s">
        <v>2553</v>
      </c>
      <c r="D361" s="180" t="s">
        <v>3487</v>
      </c>
      <c r="E361" s="187" t="s">
        <v>1794</v>
      </c>
      <c r="F361" s="188"/>
      <c r="G361" s="151" t="s">
        <v>2056</v>
      </c>
    </row>
    <row r="362" spans="2:7" ht="14.45" customHeight="1" x14ac:dyDescent="0.2">
      <c r="B362" s="175" t="s">
        <v>2543</v>
      </c>
      <c r="C362" s="177" t="s">
        <v>2553</v>
      </c>
      <c r="D362" s="180" t="s">
        <v>3487</v>
      </c>
      <c r="E362" s="187" t="s">
        <v>1569</v>
      </c>
      <c r="F362" s="188"/>
      <c r="G362" s="151" t="s">
        <v>2147</v>
      </c>
    </row>
    <row r="363" spans="2:7" ht="14.45" customHeight="1" x14ac:dyDescent="0.2">
      <c r="B363" s="175" t="s">
        <v>2543</v>
      </c>
      <c r="C363" s="177" t="s">
        <v>2553</v>
      </c>
      <c r="D363" s="180" t="s">
        <v>3487</v>
      </c>
      <c r="E363" s="187" t="s">
        <v>1795</v>
      </c>
      <c r="F363" s="188"/>
      <c r="G363" s="151" t="s">
        <v>2057</v>
      </c>
    </row>
    <row r="364" spans="2:7" ht="14.45" customHeight="1" x14ac:dyDescent="0.2">
      <c r="B364" s="175" t="s">
        <v>2543</v>
      </c>
      <c r="C364" s="177" t="s">
        <v>2553</v>
      </c>
      <c r="D364" s="181" t="s">
        <v>3487</v>
      </c>
      <c r="E364" s="190" t="s">
        <v>1796</v>
      </c>
      <c r="F364" s="191"/>
      <c r="G364" s="143" t="s">
        <v>2148</v>
      </c>
    </row>
    <row r="365" spans="2:7" ht="14.45" customHeight="1" x14ac:dyDescent="0.2">
      <c r="B365" s="175" t="s">
        <v>2543</v>
      </c>
      <c r="C365" s="177" t="s">
        <v>2553</v>
      </c>
      <c r="D365" s="189" t="s">
        <v>3449</v>
      </c>
      <c r="E365" s="192" t="s">
        <v>1797</v>
      </c>
      <c r="F365" s="193"/>
      <c r="G365" s="165" t="s">
        <v>2058</v>
      </c>
    </row>
    <row r="366" spans="2:7" ht="14.45" customHeight="1" x14ac:dyDescent="0.2">
      <c r="B366" s="175" t="s">
        <v>2543</v>
      </c>
      <c r="C366" s="177" t="s">
        <v>2553</v>
      </c>
      <c r="D366" s="180" t="s">
        <v>3449</v>
      </c>
      <c r="E366" s="187" t="s">
        <v>1798</v>
      </c>
      <c r="F366" s="188"/>
      <c r="G366" s="151" t="s">
        <v>2059</v>
      </c>
    </row>
    <row r="367" spans="2:7" ht="14.45" customHeight="1" x14ac:dyDescent="0.2">
      <c r="B367" s="175" t="s">
        <v>2543</v>
      </c>
      <c r="C367" s="177" t="s">
        <v>2553</v>
      </c>
      <c r="D367" s="180" t="s">
        <v>3449</v>
      </c>
      <c r="E367" s="187" t="s">
        <v>1799</v>
      </c>
      <c r="F367" s="188"/>
      <c r="G367" s="151" t="s">
        <v>2060</v>
      </c>
    </row>
    <row r="368" spans="2:7" ht="14.45" customHeight="1" x14ac:dyDescent="0.2">
      <c r="B368" s="175" t="s">
        <v>2543</v>
      </c>
      <c r="C368" s="177" t="s">
        <v>2553</v>
      </c>
      <c r="D368" s="181" t="s">
        <v>3449</v>
      </c>
      <c r="E368" s="190" t="s">
        <v>1800</v>
      </c>
      <c r="F368" s="191"/>
      <c r="G368" s="143" t="s">
        <v>2061</v>
      </c>
    </row>
    <row r="369" spans="2:7" ht="14.45" customHeight="1" x14ac:dyDescent="0.2">
      <c r="B369" s="175" t="s">
        <v>2543</v>
      </c>
      <c r="C369" s="177" t="s">
        <v>2553</v>
      </c>
      <c r="D369" s="189" t="s">
        <v>3447</v>
      </c>
      <c r="E369" s="192" t="s">
        <v>1518</v>
      </c>
      <c r="F369" s="193"/>
      <c r="G369" s="165" t="s">
        <v>1801</v>
      </c>
    </row>
    <row r="370" spans="2:7" ht="14.45" customHeight="1" x14ac:dyDescent="0.2">
      <c r="B370" s="175" t="s">
        <v>2543</v>
      </c>
      <c r="C370" s="177" t="s">
        <v>2553</v>
      </c>
      <c r="D370" s="180" t="s">
        <v>3447</v>
      </c>
      <c r="E370" s="187" t="s">
        <v>1517</v>
      </c>
      <c r="F370" s="188"/>
      <c r="G370" s="151" t="s">
        <v>2062</v>
      </c>
    </row>
    <row r="371" spans="2:7" ht="14.45" customHeight="1" x14ac:dyDescent="0.2">
      <c r="B371" s="175" t="s">
        <v>2543</v>
      </c>
      <c r="C371" s="177" t="s">
        <v>2553</v>
      </c>
      <c r="D371" s="180" t="s">
        <v>3447</v>
      </c>
      <c r="E371" s="187" t="s">
        <v>1524</v>
      </c>
      <c r="F371" s="188"/>
      <c r="G371" s="151" t="s">
        <v>2063</v>
      </c>
    </row>
    <row r="372" spans="2:7" ht="14.45" customHeight="1" thickBot="1" x14ac:dyDescent="0.25">
      <c r="B372" s="175" t="s">
        <v>2543</v>
      </c>
      <c r="C372" s="178" t="s">
        <v>2553</v>
      </c>
      <c r="D372" s="194" t="s">
        <v>3447</v>
      </c>
      <c r="E372" s="190" t="s">
        <v>1525</v>
      </c>
      <c r="F372" s="191"/>
      <c r="G372" s="143" t="s">
        <v>2064</v>
      </c>
    </row>
    <row r="373" spans="2:7" ht="14.45" customHeight="1" x14ac:dyDescent="0.2">
      <c r="B373" s="175" t="s">
        <v>2543</v>
      </c>
      <c r="C373" s="172" t="s">
        <v>2556</v>
      </c>
      <c r="D373" s="179" t="s">
        <v>3489</v>
      </c>
      <c r="E373" s="185" t="s">
        <v>1516</v>
      </c>
      <c r="F373" s="186"/>
      <c r="G373" s="164" t="s">
        <v>2065</v>
      </c>
    </row>
    <row r="374" spans="2:7" ht="14.45" customHeight="1" x14ac:dyDescent="0.2">
      <c r="B374" s="175" t="s">
        <v>2543</v>
      </c>
      <c r="C374" s="177" t="s">
        <v>2555</v>
      </c>
      <c r="D374" s="180" t="s">
        <v>3489</v>
      </c>
      <c r="E374" s="187" t="s">
        <v>1517</v>
      </c>
      <c r="F374" s="188"/>
      <c r="G374" s="151" t="s">
        <v>2066</v>
      </c>
    </row>
    <row r="375" spans="2:7" ht="14.45" customHeight="1" x14ac:dyDescent="0.2">
      <c r="B375" s="175" t="s">
        <v>2543</v>
      </c>
      <c r="C375" s="177" t="s">
        <v>2555</v>
      </c>
      <c r="D375" s="180" t="s">
        <v>3489</v>
      </c>
      <c r="E375" s="187" t="s">
        <v>1518</v>
      </c>
      <c r="F375" s="188"/>
      <c r="G375" s="151" t="s">
        <v>2067</v>
      </c>
    </row>
    <row r="376" spans="2:7" ht="14.45" customHeight="1" x14ac:dyDescent="0.2">
      <c r="B376" s="175" t="s">
        <v>2543</v>
      </c>
      <c r="C376" s="177" t="s">
        <v>2555</v>
      </c>
      <c r="D376" s="180" t="s">
        <v>3489</v>
      </c>
      <c r="E376" s="187" t="s">
        <v>1519</v>
      </c>
      <c r="F376" s="188"/>
      <c r="G376" s="151" t="s">
        <v>2149</v>
      </c>
    </row>
    <row r="377" spans="2:7" ht="14.45" customHeight="1" x14ac:dyDescent="0.2">
      <c r="B377" s="175" t="s">
        <v>2543</v>
      </c>
      <c r="C377" s="177" t="s">
        <v>2555</v>
      </c>
      <c r="D377" s="180" t="s">
        <v>3489</v>
      </c>
      <c r="E377" s="187" t="s">
        <v>1520</v>
      </c>
      <c r="F377" s="188"/>
      <c r="G377" s="151" t="s">
        <v>2150</v>
      </c>
    </row>
    <row r="378" spans="2:7" ht="14.45" customHeight="1" x14ac:dyDescent="0.2">
      <c r="B378" s="175" t="s">
        <v>2543</v>
      </c>
      <c r="C378" s="177" t="s">
        <v>2555</v>
      </c>
      <c r="D378" s="181" t="s">
        <v>3489</v>
      </c>
      <c r="E378" s="190" t="s">
        <v>1521</v>
      </c>
      <c r="F378" s="191"/>
      <c r="G378" s="143" t="s">
        <v>2068</v>
      </c>
    </row>
    <row r="379" spans="2:7" ht="14.45" customHeight="1" x14ac:dyDescent="0.2">
      <c r="B379" s="175" t="s">
        <v>2543</v>
      </c>
      <c r="C379" s="177" t="s">
        <v>2555</v>
      </c>
      <c r="D379" s="189" t="s">
        <v>3448</v>
      </c>
      <c r="E379" s="192" t="s">
        <v>1522</v>
      </c>
      <c r="F379" s="193"/>
      <c r="G379" s="165" t="s">
        <v>2161</v>
      </c>
    </row>
    <row r="380" spans="2:7" ht="14.45" customHeight="1" x14ac:dyDescent="0.2">
      <c r="B380" s="175" t="s">
        <v>2543</v>
      </c>
      <c r="C380" s="177" t="s">
        <v>2555</v>
      </c>
      <c r="D380" s="180" t="s">
        <v>3448</v>
      </c>
      <c r="E380" s="187" t="s">
        <v>2071</v>
      </c>
      <c r="F380" s="188"/>
      <c r="G380" s="206" t="s">
        <v>2069</v>
      </c>
    </row>
    <row r="381" spans="2:7" ht="14.45" customHeight="1" x14ac:dyDescent="0.2">
      <c r="B381" s="175" t="s">
        <v>2543</v>
      </c>
      <c r="C381" s="177" t="s">
        <v>2555</v>
      </c>
      <c r="D381" s="181" t="s">
        <v>3448</v>
      </c>
      <c r="E381" s="190" t="s">
        <v>1405</v>
      </c>
      <c r="F381" s="191"/>
      <c r="G381" s="143" t="s">
        <v>2070</v>
      </c>
    </row>
    <row r="382" spans="2:7" ht="14.45" customHeight="1" x14ac:dyDescent="0.2">
      <c r="B382" s="175" t="s">
        <v>2543</v>
      </c>
      <c r="C382" s="177" t="s">
        <v>2555</v>
      </c>
      <c r="D382" s="189" t="s">
        <v>3450</v>
      </c>
      <c r="E382" s="192" t="s">
        <v>1523</v>
      </c>
      <c r="F382" s="193"/>
      <c r="G382" s="165" t="s">
        <v>2073</v>
      </c>
    </row>
    <row r="383" spans="2:7" ht="14.45" customHeight="1" x14ac:dyDescent="0.2">
      <c r="B383" s="175" t="s">
        <v>2543</v>
      </c>
      <c r="C383" s="177" t="s">
        <v>2555</v>
      </c>
      <c r="D383" s="180" t="s">
        <v>3450</v>
      </c>
      <c r="E383" s="187" t="s">
        <v>1524</v>
      </c>
      <c r="F383" s="188"/>
      <c r="G383" s="151" t="s">
        <v>2074</v>
      </c>
    </row>
    <row r="384" spans="2:7" ht="14.45" customHeight="1" x14ac:dyDescent="0.2">
      <c r="B384" s="175" t="s">
        <v>2543</v>
      </c>
      <c r="C384" s="177" t="s">
        <v>2555</v>
      </c>
      <c r="D384" s="181" t="s">
        <v>3450</v>
      </c>
      <c r="E384" s="190" t="s">
        <v>1525</v>
      </c>
      <c r="F384" s="191"/>
      <c r="G384" s="143" t="s">
        <v>2075</v>
      </c>
    </row>
    <row r="385" spans="2:7" ht="14.45" customHeight="1" x14ac:dyDescent="0.2">
      <c r="B385" s="175" t="s">
        <v>2543</v>
      </c>
      <c r="C385" s="177" t="s">
        <v>2555</v>
      </c>
      <c r="D385" s="189" t="s">
        <v>3451</v>
      </c>
      <c r="E385" s="192" t="s">
        <v>1534</v>
      </c>
      <c r="F385" s="193"/>
      <c r="G385" s="165" t="s">
        <v>2076</v>
      </c>
    </row>
    <row r="386" spans="2:7" ht="14.45" customHeight="1" x14ac:dyDescent="0.2">
      <c r="B386" s="175" t="s">
        <v>2543</v>
      </c>
      <c r="C386" s="177" t="s">
        <v>2555</v>
      </c>
      <c r="D386" s="180" t="s">
        <v>3451</v>
      </c>
      <c r="E386" s="187" t="s">
        <v>1526</v>
      </c>
      <c r="F386" s="188"/>
      <c r="G386" s="151" t="s">
        <v>2080</v>
      </c>
    </row>
    <row r="387" spans="2:7" ht="14.45" customHeight="1" x14ac:dyDescent="0.2">
      <c r="B387" s="175" t="s">
        <v>2543</v>
      </c>
      <c r="C387" s="177" t="s">
        <v>2555</v>
      </c>
      <c r="D387" s="180" t="s">
        <v>3451</v>
      </c>
      <c r="E387" s="187" t="s">
        <v>2077</v>
      </c>
      <c r="F387" s="188"/>
      <c r="G387" s="151" t="s">
        <v>2079</v>
      </c>
    </row>
    <row r="388" spans="2:7" ht="14.45" customHeight="1" x14ac:dyDescent="0.2">
      <c r="B388" s="175" t="s">
        <v>2543</v>
      </c>
      <c r="C388" s="177" t="s">
        <v>2555</v>
      </c>
      <c r="D388" s="180" t="s">
        <v>3451</v>
      </c>
      <c r="E388" s="187" t="s">
        <v>2078</v>
      </c>
      <c r="F388" s="188"/>
      <c r="G388" s="151" t="s">
        <v>2081</v>
      </c>
    </row>
    <row r="389" spans="2:7" ht="14.45" customHeight="1" x14ac:dyDescent="0.2">
      <c r="B389" s="175" t="s">
        <v>2543</v>
      </c>
      <c r="C389" s="177" t="s">
        <v>2555</v>
      </c>
      <c r="D389" s="180" t="s">
        <v>3451</v>
      </c>
      <c r="E389" s="187" t="s">
        <v>2083</v>
      </c>
      <c r="F389" s="188"/>
      <c r="G389" s="151" t="s">
        <v>2082</v>
      </c>
    </row>
    <row r="390" spans="2:7" ht="14.45" customHeight="1" thickBot="1" x14ac:dyDescent="0.25">
      <c r="B390" s="175" t="s">
        <v>2543</v>
      </c>
      <c r="C390" s="178" t="s">
        <v>2555</v>
      </c>
      <c r="D390" s="194" t="s">
        <v>3451</v>
      </c>
      <c r="E390" s="190" t="s">
        <v>1527</v>
      </c>
      <c r="F390" s="191"/>
      <c r="G390" s="143" t="s">
        <v>2084</v>
      </c>
    </row>
    <row r="391" spans="2:7" ht="14.45" customHeight="1" x14ac:dyDescent="0.2">
      <c r="B391" s="175" t="s">
        <v>2543</v>
      </c>
      <c r="C391" s="172" t="s">
        <v>2558</v>
      </c>
      <c r="D391" s="179" t="s">
        <v>3491</v>
      </c>
      <c r="E391" s="185" t="s">
        <v>1528</v>
      </c>
      <c r="F391" s="186"/>
      <c r="G391" s="164" t="s">
        <v>2085</v>
      </c>
    </row>
    <row r="392" spans="2:7" ht="14.45" customHeight="1" x14ac:dyDescent="0.2">
      <c r="B392" s="175" t="s">
        <v>2543</v>
      </c>
      <c r="C392" s="177" t="s">
        <v>2557</v>
      </c>
      <c r="D392" s="180" t="s">
        <v>3491</v>
      </c>
      <c r="E392" s="187" t="s">
        <v>1529</v>
      </c>
      <c r="F392" s="188"/>
      <c r="G392" s="151" t="s">
        <v>1530</v>
      </c>
    </row>
    <row r="393" spans="2:7" ht="14.45" customHeight="1" x14ac:dyDescent="0.2">
      <c r="B393" s="175" t="s">
        <v>2543</v>
      </c>
      <c r="C393" s="177" t="s">
        <v>2557</v>
      </c>
      <c r="D393" s="181" t="s">
        <v>3491</v>
      </c>
      <c r="E393" s="190" t="s">
        <v>1531</v>
      </c>
      <c r="F393" s="191"/>
      <c r="G393" s="143" t="s">
        <v>2098</v>
      </c>
    </row>
    <row r="394" spans="2:7" ht="14.45" customHeight="1" x14ac:dyDescent="0.2">
      <c r="B394" s="175" t="s">
        <v>2543</v>
      </c>
      <c r="C394" s="177" t="s">
        <v>2557</v>
      </c>
      <c r="D394" s="189" t="s">
        <v>3452</v>
      </c>
      <c r="E394" s="192" t="s">
        <v>1532</v>
      </c>
      <c r="F394" s="193"/>
      <c r="G394" s="165" t="s">
        <v>2086</v>
      </c>
    </row>
    <row r="395" spans="2:7" ht="14.45" customHeight="1" x14ac:dyDescent="0.2">
      <c r="B395" s="175" t="s">
        <v>2543</v>
      </c>
      <c r="C395" s="177" t="s">
        <v>2557</v>
      </c>
      <c r="D395" s="180" t="s">
        <v>3452</v>
      </c>
      <c r="E395" s="187" t="s">
        <v>2087</v>
      </c>
      <c r="F395" s="188"/>
      <c r="G395" s="151" t="s">
        <v>2089</v>
      </c>
    </row>
    <row r="396" spans="2:7" ht="14.45" customHeight="1" x14ac:dyDescent="0.2">
      <c r="B396" s="175" t="s">
        <v>2543</v>
      </c>
      <c r="C396" s="177" t="s">
        <v>2557</v>
      </c>
      <c r="D396" s="180" t="s">
        <v>3452</v>
      </c>
      <c r="E396" s="187" t="s">
        <v>2088</v>
      </c>
      <c r="F396" s="188"/>
      <c r="G396" s="151" t="s">
        <v>2090</v>
      </c>
    </row>
    <row r="397" spans="2:7" ht="14.45" customHeight="1" x14ac:dyDescent="0.2">
      <c r="B397" s="175" t="s">
        <v>2543</v>
      </c>
      <c r="C397" s="177" t="s">
        <v>2557</v>
      </c>
      <c r="D397" s="181" t="s">
        <v>3452</v>
      </c>
      <c r="E397" s="190" t="s">
        <v>1533</v>
      </c>
      <c r="F397" s="191"/>
      <c r="G397" s="143" t="s">
        <v>2091</v>
      </c>
    </row>
    <row r="398" spans="2:7" ht="14.45" customHeight="1" x14ac:dyDescent="0.2">
      <c r="B398" s="175" t="s">
        <v>2543</v>
      </c>
      <c r="C398" s="177" t="s">
        <v>2557</v>
      </c>
      <c r="D398" s="83" t="s">
        <v>3453</v>
      </c>
      <c r="E398" s="192" t="s">
        <v>1529</v>
      </c>
      <c r="F398" s="193"/>
      <c r="G398" s="165" t="s">
        <v>2151</v>
      </c>
    </row>
    <row r="399" spans="2:7" ht="14.45" customHeight="1" x14ac:dyDescent="0.2">
      <c r="B399" s="175" t="s">
        <v>2543</v>
      </c>
      <c r="C399" s="177" t="s">
        <v>2557</v>
      </c>
      <c r="D399" s="199" t="s">
        <v>3453</v>
      </c>
      <c r="E399" s="187" t="s">
        <v>2093</v>
      </c>
      <c r="F399" s="188"/>
      <c r="G399" s="151" t="s">
        <v>2092</v>
      </c>
    </row>
    <row r="400" spans="2:7" ht="14.45" customHeight="1" x14ac:dyDescent="0.2">
      <c r="B400" s="175" t="s">
        <v>2543</v>
      </c>
      <c r="C400" s="177" t="s">
        <v>2557</v>
      </c>
      <c r="D400" s="199" t="s">
        <v>3453</v>
      </c>
      <c r="E400" s="187" t="s">
        <v>2094</v>
      </c>
      <c r="F400" s="188"/>
      <c r="G400" s="151" t="s">
        <v>2152</v>
      </c>
    </row>
    <row r="401" spans="2:7" ht="14.45" customHeight="1" x14ac:dyDescent="0.2">
      <c r="B401" s="175" t="s">
        <v>2543</v>
      </c>
      <c r="C401" s="177" t="s">
        <v>2557</v>
      </c>
      <c r="D401" s="199" t="s">
        <v>3453</v>
      </c>
      <c r="E401" s="187" t="s">
        <v>2095</v>
      </c>
      <c r="F401" s="188"/>
      <c r="G401" s="151" t="s">
        <v>2096</v>
      </c>
    </row>
    <row r="402" spans="2:7" ht="14.45" customHeight="1" x14ac:dyDescent="0.2">
      <c r="B402" s="175" t="s">
        <v>2543</v>
      </c>
      <c r="C402" s="177" t="s">
        <v>2557</v>
      </c>
      <c r="D402" s="207" t="s">
        <v>3453</v>
      </c>
      <c r="E402" s="190" t="s">
        <v>1531</v>
      </c>
      <c r="F402" s="191"/>
      <c r="G402" s="143" t="s">
        <v>2097</v>
      </c>
    </row>
    <row r="403" spans="2:7" ht="14.45" customHeight="1" x14ac:dyDescent="0.2">
      <c r="B403" s="175" t="s">
        <v>2543</v>
      </c>
      <c r="C403" s="177" t="s">
        <v>2557</v>
      </c>
      <c r="D403" s="189" t="s">
        <v>3454</v>
      </c>
      <c r="E403" s="192" t="s">
        <v>2099</v>
      </c>
      <c r="F403" s="193"/>
      <c r="G403" s="165" t="s">
        <v>2101</v>
      </c>
    </row>
    <row r="404" spans="2:7" ht="14.45" customHeight="1" x14ac:dyDescent="0.2">
      <c r="B404" s="175" t="s">
        <v>2543</v>
      </c>
      <c r="C404" s="177" t="s">
        <v>2557</v>
      </c>
      <c r="D404" s="180" t="s">
        <v>3454</v>
      </c>
      <c r="E404" s="187" t="s">
        <v>2100</v>
      </c>
      <c r="F404" s="188"/>
      <c r="G404" s="151" t="s">
        <v>2102</v>
      </c>
    </row>
    <row r="405" spans="2:7" ht="14.45" customHeight="1" x14ac:dyDescent="0.2">
      <c r="B405" s="175" t="s">
        <v>2543</v>
      </c>
      <c r="C405" s="177" t="s">
        <v>2557</v>
      </c>
      <c r="D405" s="180" t="s">
        <v>3454</v>
      </c>
      <c r="E405" s="187" t="s">
        <v>1535</v>
      </c>
      <c r="F405" s="188"/>
      <c r="G405" s="151" t="s">
        <v>2103</v>
      </c>
    </row>
    <row r="406" spans="2:7" ht="14.45" customHeight="1" x14ac:dyDescent="0.2">
      <c r="B406" s="175" t="s">
        <v>2543</v>
      </c>
      <c r="C406" s="177" t="s">
        <v>2557</v>
      </c>
      <c r="D406" s="180" t="s">
        <v>3454</v>
      </c>
      <c r="E406" s="187" t="s">
        <v>1536</v>
      </c>
      <c r="F406" s="188"/>
      <c r="G406" s="151" t="s">
        <v>2104</v>
      </c>
    </row>
    <row r="407" spans="2:7" ht="14.45" customHeight="1" x14ac:dyDescent="0.2">
      <c r="B407" s="175" t="s">
        <v>2543</v>
      </c>
      <c r="C407" s="177" t="s">
        <v>2557</v>
      </c>
      <c r="D407" s="180" t="s">
        <v>3454</v>
      </c>
      <c r="E407" s="187" t="s">
        <v>1537</v>
      </c>
      <c r="F407" s="188"/>
      <c r="G407" s="151" t="s">
        <v>2105</v>
      </c>
    </row>
    <row r="408" spans="2:7" ht="14.45" customHeight="1" x14ac:dyDescent="0.2">
      <c r="B408" s="175" t="s">
        <v>2543</v>
      </c>
      <c r="C408" s="177" t="s">
        <v>2557</v>
      </c>
      <c r="D408" s="180" t="s">
        <v>3454</v>
      </c>
      <c r="E408" s="187" t="s">
        <v>1538</v>
      </c>
      <c r="F408" s="188"/>
      <c r="G408" s="151" t="s">
        <v>2107</v>
      </c>
    </row>
    <row r="409" spans="2:7" ht="14.45" customHeight="1" x14ac:dyDescent="0.2">
      <c r="B409" s="175" t="s">
        <v>2543</v>
      </c>
      <c r="C409" s="177" t="s">
        <v>2557</v>
      </c>
      <c r="D409" s="180" t="s">
        <v>3454</v>
      </c>
      <c r="E409" s="187" t="s">
        <v>1539</v>
      </c>
      <c r="F409" s="188"/>
      <c r="G409" s="151" t="s">
        <v>2106</v>
      </c>
    </row>
    <row r="410" spans="2:7" ht="14.45" customHeight="1" x14ac:dyDescent="0.2">
      <c r="B410" s="175" t="s">
        <v>2543</v>
      </c>
      <c r="C410" s="177" t="s">
        <v>2557</v>
      </c>
      <c r="D410" s="180" t="s">
        <v>3454</v>
      </c>
      <c r="E410" s="187" t="s">
        <v>1540</v>
      </c>
      <c r="F410" s="188"/>
      <c r="G410" s="151" t="s">
        <v>2108</v>
      </c>
    </row>
    <row r="411" spans="2:7" ht="14.45" customHeight="1" thickBot="1" x14ac:dyDescent="0.25">
      <c r="B411" s="175" t="s">
        <v>2543</v>
      </c>
      <c r="C411" s="178" t="s">
        <v>2557</v>
      </c>
      <c r="D411" s="194" t="s">
        <v>3454</v>
      </c>
      <c r="E411" s="190" t="s">
        <v>1541</v>
      </c>
      <c r="F411" s="191"/>
      <c r="G411" s="143" t="s">
        <v>2109</v>
      </c>
    </row>
    <row r="412" spans="2:7" ht="14.45" customHeight="1" x14ac:dyDescent="0.2">
      <c r="B412" s="175" t="s">
        <v>2543</v>
      </c>
      <c r="C412" s="172" t="s">
        <v>2560</v>
      </c>
      <c r="D412" s="179" t="s">
        <v>3493</v>
      </c>
      <c r="E412" s="185" t="s">
        <v>1568</v>
      </c>
      <c r="F412" s="186"/>
      <c r="G412" s="164" t="s">
        <v>2153</v>
      </c>
    </row>
    <row r="413" spans="2:7" ht="14.45" customHeight="1" x14ac:dyDescent="0.2">
      <c r="B413" s="175" t="s">
        <v>2543</v>
      </c>
      <c r="C413" s="177" t="s">
        <v>2559</v>
      </c>
      <c r="D413" s="180" t="s">
        <v>3493</v>
      </c>
      <c r="E413" s="187" t="s">
        <v>2111</v>
      </c>
      <c r="F413" s="188"/>
      <c r="G413" s="151" t="s">
        <v>2110</v>
      </c>
    </row>
    <row r="414" spans="2:7" ht="14.45" customHeight="1" x14ac:dyDescent="0.2">
      <c r="B414" s="175" t="s">
        <v>2543</v>
      </c>
      <c r="C414" s="177" t="s">
        <v>2559</v>
      </c>
      <c r="D414" s="180" t="s">
        <v>3493</v>
      </c>
      <c r="E414" s="187" t="s">
        <v>2112</v>
      </c>
      <c r="F414" s="188"/>
      <c r="G414" s="151" t="s">
        <v>2115</v>
      </c>
    </row>
    <row r="415" spans="2:7" ht="14.45" customHeight="1" x14ac:dyDescent="0.2">
      <c r="B415" s="175" t="s">
        <v>2543</v>
      </c>
      <c r="C415" s="177" t="s">
        <v>2559</v>
      </c>
      <c r="D415" s="180" t="s">
        <v>3493</v>
      </c>
      <c r="E415" s="187" t="s">
        <v>2113</v>
      </c>
      <c r="F415" s="188"/>
      <c r="G415" s="151" t="s">
        <v>2116</v>
      </c>
    </row>
    <row r="416" spans="2:7" ht="14.45" customHeight="1" x14ac:dyDescent="0.2">
      <c r="B416" s="175" t="s">
        <v>2543</v>
      </c>
      <c r="C416" s="177" t="s">
        <v>2559</v>
      </c>
      <c r="D416" s="181" t="s">
        <v>3493</v>
      </c>
      <c r="E416" s="190" t="s">
        <v>2114</v>
      </c>
      <c r="F416" s="191"/>
      <c r="G416" s="143" t="s">
        <v>2117</v>
      </c>
    </row>
    <row r="417" spans="2:7" ht="14.45" customHeight="1" x14ac:dyDescent="0.2">
      <c r="B417" s="175" t="s">
        <v>2543</v>
      </c>
      <c r="C417" s="177" t="s">
        <v>2559</v>
      </c>
      <c r="D417" s="189" t="s">
        <v>3455</v>
      </c>
      <c r="E417" s="192" t="s">
        <v>1545</v>
      </c>
      <c r="F417" s="193"/>
      <c r="G417" s="165" t="s">
        <v>1546</v>
      </c>
    </row>
    <row r="418" spans="2:7" ht="14.45" customHeight="1" thickBot="1" x14ac:dyDescent="0.25">
      <c r="B418" s="176" t="s">
        <v>2543</v>
      </c>
      <c r="C418" s="178" t="s">
        <v>2559</v>
      </c>
      <c r="D418" s="194" t="s">
        <v>3455</v>
      </c>
      <c r="E418" s="190" t="s">
        <v>1544</v>
      </c>
      <c r="F418" s="191"/>
      <c r="G418" s="143" t="s">
        <v>1547</v>
      </c>
    </row>
    <row r="419" spans="2:7" ht="14.45" customHeight="1" x14ac:dyDescent="0.2">
      <c r="B419" s="174" t="s">
        <v>2599</v>
      </c>
      <c r="C419" s="172" t="s">
        <v>2562</v>
      </c>
      <c r="D419" s="195" t="s">
        <v>3495</v>
      </c>
      <c r="E419" s="196" t="s">
        <v>1569</v>
      </c>
      <c r="F419" s="197"/>
      <c r="G419" s="198" t="s">
        <v>2118</v>
      </c>
    </row>
    <row r="420" spans="2:7" ht="14.45" customHeight="1" x14ac:dyDescent="0.2">
      <c r="B420" s="175" t="s">
        <v>2544</v>
      </c>
      <c r="C420" s="177" t="s">
        <v>2561</v>
      </c>
      <c r="D420" s="83" t="s">
        <v>3456</v>
      </c>
      <c r="E420" s="192" t="s">
        <v>2123</v>
      </c>
      <c r="F420" s="193"/>
      <c r="G420" s="165" t="s">
        <v>2122</v>
      </c>
    </row>
    <row r="421" spans="2:7" ht="14.45" customHeight="1" x14ac:dyDescent="0.2">
      <c r="B421" s="175" t="s">
        <v>2544</v>
      </c>
      <c r="C421" s="177" t="s">
        <v>2561</v>
      </c>
      <c r="D421" s="199" t="s">
        <v>3456</v>
      </c>
      <c r="E421" s="187" t="s">
        <v>2124</v>
      </c>
      <c r="F421" s="188"/>
      <c r="G421" s="151" t="s">
        <v>2125</v>
      </c>
    </row>
    <row r="422" spans="2:7" ht="14.45" customHeight="1" x14ac:dyDescent="0.2">
      <c r="B422" s="175" t="s">
        <v>2544</v>
      </c>
      <c r="C422" s="177" t="s">
        <v>2561</v>
      </c>
      <c r="D422" s="199" t="s">
        <v>3456</v>
      </c>
      <c r="E422" s="187" t="s">
        <v>1571</v>
      </c>
      <c r="F422" s="188"/>
      <c r="G422" s="151" t="s">
        <v>2119</v>
      </c>
    </row>
    <row r="423" spans="2:7" ht="14.45" customHeight="1" x14ac:dyDescent="0.2">
      <c r="B423" s="175" t="s">
        <v>2544</v>
      </c>
      <c r="C423" s="177" t="s">
        <v>2561</v>
      </c>
      <c r="D423" s="199" t="s">
        <v>3456</v>
      </c>
      <c r="E423" s="187" t="s">
        <v>1570</v>
      </c>
      <c r="F423" s="188"/>
      <c r="G423" s="151" t="s">
        <v>2120</v>
      </c>
    </row>
    <row r="424" spans="2:7" ht="14.45" customHeight="1" x14ac:dyDescent="0.2">
      <c r="B424" s="175" t="s">
        <v>2544</v>
      </c>
      <c r="C424" s="177" t="s">
        <v>2561</v>
      </c>
      <c r="D424" s="199" t="s">
        <v>3456</v>
      </c>
      <c r="E424" s="187" t="s">
        <v>1572</v>
      </c>
      <c r="F424" s="188"/>
      <c r="G424" s="151" t="s">
        <v>2121</v>
      </c>
    </row>
    <row r="425" spans="2:7" ht="14.45" customHeight="1" x14ac:dyDescent="0.2">
      <c r="B425" s="175" t="s">
        <v>2544</v>
      </c>
      <c r="C425" s="177" t="s">
        <v>2561</v>
      </c>
      <c r="D425" s="207" t="s">
        <v>3456</v>
      </c>
      <c r="E425" s="190" t="s">
        <v>2126</v>
      </c>
      <c r="F425" s="191"/>
      <c r="G425" s="143" t="s">
        <v>2154</v>
      </c>
    </row>
    <row r="426" spans="2:7" ht="14.45" customHeight="1" x14ac:dyDescent="0.2">
      <c r="B426" s="175" t="s">
        <v>2544</v>
      </c>
      <c r="C426" s="177" t="s">
        <v>2561</v>
      </c>
      <c r="D426" s="189" t="s">
        <v>3457</v>
      </c>
      <c r="E426" s="192" t="s">
        <v>1573</v>
      </c>
      <c r="F426" s="193"/>
      <c r="G426" s="165" t="s">
        <v>2155</v>
      </c>
    </row>
    <row r="427" spans="2:7" ht="14.45" customHeight="1" x14ac:dyDescent="0.2">
      <c r="B427" s="175" t="s">
        <v>2544</v>
      </c>
      <c r="C427" s="177" t="s">
        <v>2561</v>
      </c>
      <c r="D427" s="181" t="s">
        <v>3457</v>
      </c>
      <c r="E427" s="190" t="s">
        <v>1574</v>
      </c>
      <c r="F427" s="191"/>
      <c r="G427" s="143" t="s">
        <v>2162</v>
      </c>
    </row>
    <row r="428" spans="2:7" ht="14.45" customHeight="1" x14ac:dyDescent="0.2">
      <c r="B428" s="175" t="s">
        <v>2544</v>
      </c>
      <c r="C428" s="177" t="s">
        <v>2561</v>
      </c>
      <c r="D428" s="208" t="s">
        <v>3458</v>
      </c>
      <c r="E428" s="203"/>
      <c r="F428" s="204"/>
      <c r="G428" s="205"/>
    </row>
    <row r="429" spans="2:7" ht="14.45" customHeight="1" thickBot="1" x14ac:dyDescent="0.25">
      <c r="B429" s="176" t="s">
        <v>2544</v>
      </c>
      <c r="C429" s="178" t="s">
        <v>2561</v>
      </c>
      <c r="D429" s="209" t="s">
        <v>3459</v>
      </c>
      <c r="E429" s="48" t="s">
        <v>1575</v>
      </c>
      <c r="F429" s="62"/>
      <c r="G429" s="49" t="s">
        <v>2156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2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86" t="s">
        <v>1373</v>
      </c>
      <c r="C2" s="287"/>
      <c r="D2" s="30" t="s">
        <v>1374</v>
      </c>
    </row>
    <row r="3" spans="2:12" ht="14.45" customHeight="1" thickBot="1" x14ac:dyDescent="0.3">
      <c r="B3" s="40" t="s">
        <v>1376</v>
      </c>
      <c r="C3" s="41" t="s">
        <v>1375</v>
      </c>
      <c r="D3" s="44" t="s">
        <v>3620</v>
      </c>
    </row>
    <row r="4" spans="2:12" ht="14.45" customHeight="1" thickBot="1" x14ac:dyDescent="0.3">
      <c r="B4" s="166" t="s">
        <v>3622</v>
      </c>
      <c r="C4" s="167" t="s">
        <v>3623</v>
      </c>
      <c r="D4" s="168" t="s">
        <v>3621</v>
      </c>
    </row>
    <row r="5" spans="2:12" ht="14.45" customHeight="1" x14ac:dyDescent="0.25">
      <c r="B5" s="172" t="s">
        <v>1542</v>
      </c>
      <c r="C5" s="42" t="s">
        <v>1375</v>
      </c>
      <c r="D5" s="45" t="s">
        <v>3625</v>
      </c>
    </row>
    <row r="6" spans="2:12" ht="14.45" customHeight="1" thickBot="1" x14ac:dyDescent="0.3">
      <c r="B6" s="173" t="s">
        <v>1542</v>
      </c>
      <c r="C6" s="43" t="s">
        <v>1543</v>
      </c>
      <c r="D6" s="46" t="s">
        <v>3624</v>
      </c>
    </row>
    <row r="7" spans="2:12" ht="14.45" customHeight="1" x14ac:dyDescent="0.2">
      <c r="L7" s="50"/>
    </row>
    <row r="8" spans="2:12" ht="14.45" customHeight="1" x14ac:dyDescent="0.2">
      <c r="B8" s="31"/>
    </row>
    <row r="9" spans="2:12" ht="14.45" customHeight="1" x14ac:dyDescent="0.2">
      <c r="B9" s="53"/>
    </row>
    <row r="13" spans="2:12" ht="14.45" customHeight="1" x14ac:dyDescent="0.2">
      <c r="B13" s="4"/>
    </row>
    <row r="27" spans="2:2" ht="14.45" customHeight="1" x14ac:dyDescent="0.2">
      <c r="B27" s="31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29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3412</v>
      </c>
    </row>
    <row r="3" spans="2:10" ht="14.45" customHeight="1" x14ac:dyDescent="0.2">
      <c r="B3" s="34" t="s">
        <v>1514</v>
      </c>
      <c r="C3" s="63" t="s">
        <v>0</v>
      </c>
      <c r="D3" s="68" t="s">
        <v>1</v>
      </c>
      <c r="E3" s="288" t="s">
        <v>3522</v>
      </c>
      <c r="F3" s="289"/>
      <c r="G3" s="288" t="s">
        <v>3518</v>
      </c>
      <c r="H3" s="289"/>
      <c r="I3" s="103" t="s">
        <v>1277</v>
      </c>
      <c r="J3" s="34" t="s">
        <v>3538</v>
      </c>
    </row>
    <row r="4" spans="2:10" ht="14.45" customHeight="1" thickBot="1" x14ac:dyDescent="0.25">
      <c r="B4" s="35"/>
      <c r="C4" s="105"/>
      <c r="D4" s="106"/>
      <c r="E4" s="107" t="s">
        <v>3520</v>
      </c>
      <c r="F4" s="107" t="s">
        <v>3521</v>
      </c>
      <c r="G4" s="107" t="s">
        <v>3520</v>
      </c>
      <c r="H4" s="107" t="s">
        <v>3521</v>
      </c>
      <c r="I4" s="104"/>
      <c r="J4" s="35"/>
    </row>
    <row r="5" spans="2:10" ht="14.45" customHeight="1" x14ac:dyDescent="0.2">
      <c r="B5" s="74" t="s">
        <v>3413</v>
      </c>
      <c r="C5" s="70" t="s">
        <v>2518</v>
      </c>
      <c r="D5" s="66" t="s">
        <v>1345</v>
      </c>
      <c r="E5" s="67">
        <f>COUNTIFS(문제목록!J:J,기출빈도!D5,문제목록!N:N,"기출")</f>
        <v>0</v>
      </c>
      <c r="F5" s="100">
        <f>_xlfn.MAXIFS(문제목록!C:C,문제목록!J:J,기출빈도!D5,문제목록!N:N,"기출")</f>
        <v>0</v>
      </c>
      <c r="G5" s="100">
        <f>COUNTIFS(문제목록!J:J,기출빈도!D5,문제목록!N:N,"기출",문제목록!O:O,"개념 문제")</f>
        <v>0</v>
      </c>
      <c r="H5" s="100">
        <f>_xlfn.MAXIFS(문제목록!C:C,문제목록!J:J,기출빈도!D5,문제목록!N:N,"기출",문제목록!O:O,"개념 문제")</f>
        <v>0</v>
      </c>
      <c r="I5" s="95"/>
      <c r="J5" s="130" t="s">
        <v>2224</v>
      </c>
    </row>
    <row r="6" spans="2:10" ht="14.45" customHeight="1" x14ac:dyDescent="0.2">
      <c r="B6" s="75" t="s">
        <v>3413</v>
      </c>
      <c r="C6" s="71" t="s">
        <v>2518</v>
      </c>
      <c r="D6" s="19" t="s">
        <v>3474</v>
      </c>
      <c r="E6" s="65">
        <f>COUNTIFS(문제목록!J:J,기출빈도!D6,문제목록!N:N,"기출")</f>
        <v>0</v>
      </c>
      <c r="F6" s="101">
        <f>_xlfn.MAXIFS(문제목록!C:C,문제목록!J:J,기출빈도!D6,문제목록!N:N,"기출")</f>
        <v>0</v>
      </c>
      <c r="G6" s="101">
        <f>COUNTIFS(문제목록!J:J,기출빈도!D6,문제목록!N:N,"기출",문제목록!O:O,"개념 문제")</f>
        <v>0</v>
      </c>
      <c r="H6" s="101">
        <f>_xlfn.MAXIFS(문제목록!C:C,문제목록!J:J,기출빈도!D6,문제목록!N:N,"기출",문제목록!O:O,"개념 문제")</f>
        <v>0</v>
      </c>
      <c r="I6" s="96"/>
      <c r="J6" s="131" t="s">
        <v>2225</v>
      </c>
    </row>
    <row r="7" spans="2:10" ht="14.45" customHeight="1" x14ac:dyDescent="0.2">
      <c r="B7" s="75" t="s">
        <v>3413</v>
      </c>
      <c r="C7" s="71" t="s">
        <v>2518</v>
      </c>
      <c r="D7" s="19" t="s">
        <v>3414</v>
      </c>
      <c r="E7" s="65">
        <f>COUNTIFS(문제목록!J:J,기출빈도!D7,문제목록!N:N,"기출")</f>
        <v>1</v>
      </c>
      <c r="F7" s="102">
        <f>_xlfn.MAXIFS(문제목록!C:C,문제목록!J:J,기출빈도!D7,문제목록!N:N,"기출")</f>
        <v>2014</v>
      </c>
      <c r="G7" s="102">
        <f>COUNTIFS(문제목록!J:J,기출빈도!D7,문제목록!N:N,"기출",문제목록!O:O,"개념 문제")</f>
        <v>0</v>
      </c>
      <c r="H7" s="111">
        <f>_xlfn.MAXIFS(문제목록!C:C,문제목록!J:J,기출빈도!D7,문제목록!N:N,"기출",문제목록!O:O,"개념 문제")</f>
        <v>0</v>
      </c>
      <c r="I7" s="96" t="s">
        <v>3504</v>
      </c>
      <c r="J7" s="132" t="s">
        <v>2226</v>
      </c>
    </row>
    <row r="8" spans="2:10" ht="14.45" customHeight="1" thickBot="1" x14ac:dyDescent="0.25">
      <c r="B8" s="75" t="s">
        <v>3413</v>
      </c>
      <c r="C8" s="72" t="s">
        <v>2518</v>
      </c>
      <c r="D8" s="73" t="s">
        <v>3497</v>
      </c>
      <c r="E8" s="69">
        <f>SUM(E5:E7)</f>
        <v>1</v>
      </c>
      <c r="F8" s="93">
        <f>MAX(F5:F7)</f>
        <v>2014</v>
      </c>
      <c r="G8" s="93">
        <f>SUM(G5:G7)</f>
        <v>0</v>
      </c>
      <c r="H8" s="93">
        <f>MAX(H5:H7)</f>
        <v>0</v>
      </c>
      <c r="I8" s="97"/>
      <c r="J8" s="133"/>
    </row>
    <row r="9" spans="2:10" ht="14.45" customHeight="1" x14ac:dyDescent="0.2">
      <c r="B9" s="75" t="s">
        <v>3413</v>
      </c>
      <c r="C9" s="70" t="s">
        <v>2521</v>
      </c>
      <c r="D9" s="66" t="s">
        <v>3476</v>
      </c>
      <c r="E9" s="67">
        <f>COUNTIFS(문제목록!J:J,기출빈도!D9,문제목록!N:N,"기출")</f>
        <v>0</v>
      </c>
      <c r="F9" s="100">
        <f>_xlfn.MAXIFS(문제목록!C:C,문제목록!J:J,기출빈도!D9,문제목록!N:N,"기출")</f>
        <v>0</v>
      </c>
      <c r="G9" s="100">
        <f>COUNTIFS(문제목록!J:J,기출빈도!D9,문제목록!N:N,"기출",문제목록!O:O,"개념 문제")</f>
        <v>0</v>
      </c>
      <c r="H9" s="100">
        <f>_xlfn.MAXIFS(문제목록!C:C,문제목록!J:J,기출빈도!D9,문제목록!N:N,"기출",문제목록!O:O,"개념 문제")</f>
        <v>0</v>
      </c>
      <c r="I9" s="95"/>
      <c r="J9" s="130" t="s">
        <v>2227</v>
      </c>
    </row>
    <row r="10" spans="2:10" ht="14.45" customHeight="1" x14ac:dyDescent="0.2">
      <c r="B10" s="75" t="s">
        <v>3413</v>
      </c>
      <c r="C10" s="71" t="s">
        <v>2521</v>
      </c>
      <c r="D10" s="19" t="s">
        <v>3478</v>
      </c>
      <c r="E10" s="65">
        <f>COUNTIFS(문제목록!J:J,기출빈도!D10,문제목록!N:N,"기출")</f>
        <v>0</v>
      </c>
      <c r="F10" s="101">
        <f>_xlfn.MAXIFS(문제목록!C:C,문제목록!J:J,기출빈도!D10,문제목록!N:N,"기출")</f>
        <v>0</v>
      </c>
      <c r="G10" s="101">
        <f>COUNTIFS(문제목록!J:J,기출빈도!D10,문제목록!N:N,"기출",문제목록!O:O,"개념 문제")</f>
        <v>0</v>
      </c>
      <c r="H10" s="101">
        <f>_xlfn.MAXIFS(문제목록!C:C,문제목록!J:J,기출빈도!D10,문제목록!N:N,"기출",문제목록!O:O,"개념 문제")</f>
        <v>0</v>
      </c>
      <c r="I10" s="96"/>
      <c r="J10" s="131" t="s">
        <v>2228</v>
      </c>
    </row>
    <row r="11" spans="2:10" ht="14.45" customHeight="1" thickBot="1" x14ac:dyDescent="0.25">
      <c r="B11" s="75" t="s">
        <v>3413</v>
      </c>
      <c r="C11" s="72" t="s">
        <v>2521</v>
      </c>
      <c r="D11" s="73" t="s">
        <v>3497</v>
      </c>
      <c r="E11" s="69">
        <f>SUM(E9:E10)</f>
        <v>0</v>
      </c>
      <c r="F11" s="93">
        <f>MAX(F9:F10)</f>
        <v>0</v>
      </c>
      <c r="G11" s="93">
        <f>SUM(G9:G10)</f>
        <v>0</v>
      </c>
      <c r="H11" s="93">
        <f>MAX(H9:H10)</f>
        <v>0</v>
      </c>
      <c r="I11" s="97"/>
      <c r="J11" s="133"/>
    </row>
    <row r="12" spans="2:10" ht="14.45" customHeight="1" thickBot="1" x14ac:dyDescent="0.25">
      <c r="B12" s="112" t="s">
        <v>3413</v>
      </c>
      <c r="C12" s="113" t="s">
        <v>3497</v>
      </c>
      <c r="D12" s="114"/>
      <c r="E12" s="115">
        <f>SUM(E8,E11)</f>
        <v>1</v>
      </c>
      <c r="F12" s="116">
        <f>MAX(F8,F11)</f>
        <v>2014</v>
      </c>
      <c r="G12" s="116">
        <f>SUM(G8,G11)</f>
        <v>0</v>
      </c>
      <c r="H12" s="116">
        <f>MAX(H8,H11)</f>
        <v>0</v>
      </c>
      <c r="I12" s="117"/>
      <c r="J12" s="134"/>
    </row>
    <row r="13" spans="2:10" ht="14.45" customHeight="1" x14ac:dyDescent="0.2">
      <c r="B13" s="74" t="s">
        <v>2533</v>
      </c>
      <c r="C13" s="70" t="s">
        <v>2522</v>
      </c>
      <c r="D13" s="66" t="s">
        <v>3480</v>
      </c>
      <c r="E13" s="67">
        <f>COUNTIFS(문제목록!J:J,기출빈도!D13,문제목록!N:N,"기출")</f>
        <v>0</v>
      </c>
      <c r="F13" s="100">
        <f>_xlfn.MAXIFS(문제목록!C:C,문제목록!J:J,기출빈도!D13,문제목록!N:N,"기출")</f>
        <v>0</v>
      </c>
      <c r="G13" s="100">
        <f>COUNTIFS(문제목록!J:J,기출빈도!D13,문제목록!N:N,"기출",문제목록!O:O,"개념 문제")</f>
        <v>0</v>
      </c>
      <c r="H13" s="100">
        <f>_xlfn.MAXIFS(문제목록!C:C,문제목록!J:J,기출빈도!D13,문제목록!N:N,"기출",문제목록!O:O,"개념 문제")</f>
        <v>0</v>
      </c>
      <c r="I13" s="95"/>
      <c r="J13" s="130" t="s">
        <v>2229</v>
      </c>
    </row>
    <row r="14" spans="2:10" ht="14.45" customHeight="1" x14ac:dyDescent="0.2">
      <c r="B14" s="75" t="s">
        <v>2533</v>
      </c>
      <c r="C14" s="71" t="s">
        <v>2522</v>
      </c>
      <c r="D14" s="19" t="s">
        <v>1347</v>
      </c>
      <c r="E14" s="65">
        <f>COUNTIFS(문제목록!J:J,기출빈도!D14,문제목록!N:N,"기출")</f>
        <v>0</v>
      </c>
      <c r="F14" s="101">
        <f>_xlfn.MAXIFS(문제목록!C:C,문제목록!J:J,기출빈도!D14,문제목록!N:N,"기출")</f>
        <v>0</v>
      </c>
      <c r="G14" s="101">
        <f>COUNTIFS(문제목록!J:J,기출빈도!D14,문제목록!N:N,"기출",문제목록!O:O,"개념 문제")</f>
        <v>0</v>
      </c>
      <c r="H14" s="101">
        <f>_xlfn.MAXIFS(문제목록!C:C,문제목록!J:J,기출빈도!D14,문제목록!N:N,"기출",문제목록!O:O,"개념 문제")</f>
        <v>0</v>
      </c>
      <c r="I14" s="96"/>
      <c r="J14" s="131" t="s">
        <v>2230</v>
      </c>
    </row>
    <row r="15" spans="2:10" ht="14.45" customHeight="1" x14ac:dyDescent="0.2">
      <c r="B15" s="75" t="s">
        <v>2533</v>
      </c>
      <c r="C15" s="71" t="s">
        <v>2522</v>
      </c>
      <c r="D15" s="19" t="s">
        <v>3416</v>
      </c>
      <c r="E15" s="65">
        <f>COUNTIFS(문제목록!J:J,기출빈도!D15,문제목록!N:N,"기출")</f>
        <v>3</v>
      </c>
      <c r="F15" s="102">
        <f>_xlfn.MAXIFS(문제목록!C:C,문제목록!J:J,기출빈도!D15,문제목록!N:N,"기출")</f>
        <v>2020</v>
      </c>
      <c r="G15" s="102">
        <f>COUNTIFS(문제목록!J:J,기출빈도!D15,문제목록!N:N,"기출",문제목록!O:O,"개념 문제")</f>
        <v>2</v>
      </c>
      <c r="H15" s="111">
        <f>_xlfn.MAXIFS(문제목록!C:C,문제목록!J:J,기출빈도!D15,문제목록!N:N,"기출",문제목록!O:O,"개념 문제")</f>
        <v>2019</v>
      </c>
      <c r="I15" s="96" t="s">
        <v>3523</v>
      </c>
      <c r="J15" s="132" t="s">
        <v>2231</v>
      </c>
    </row>
    <row r="16" spans="2:10" ht="14.45" customHeight="1" thickBot="1" x14ac:dyDescent="0.25">
      <c r="B16" s="75" t="s">
        <v>2533</v>
      </c>
      <c r="C16" s="72" t="s">
        <v>2522</v>
      </c>
      <c r="D16" s="73" t="s">
        <v>3497</v>
      </c>
      <c r="E16" s="69">
        <f>SUM(E13:E15)</f>
        <v>3</v>
      </c>
      <c r="F16" s="93">
        <f>MAX(F13:F15)</f>
        <v>2020</v>
      </c>
      <c r="G16" s="93">
        <f>SUM(G13:G15)</f>
        <v>2</v>
      </c>
      <c r="H16" s="93">
        <f>MAX(H13:H15)</f>
        <v>2019</v>
      </c>
      <c r="I16" s="97"/>
      <c r="J16" s="133"/>
    </row>
    <row r="17" spans="2:10" ht="14.45" customHeight="1" x14ac:dyDescent="0.2">
      <c r="B17" s="75" t="s">
        <v>2533</v>
      </c>
      <c r="C17" s="70" t="s">
        <v>2524</v>
      </c>
      <c r="D17" s="66" t="s">
        <v>3417</v>
      </c>
      <c r="E17" s="67">
        <f>COUNTIFS(문제목록!J:J,기출빈도!D17,문제목록!N:N,"기출")</f>
        <v>1</v>
      </c>
      <c r="F17" s="100">
        <f>_xlfn.MAXIFS(문제목록!C:C,문제목록!J:J,기출빈도!D17,문제목록!N:N,"기출")</f>
        <v>2020</v>
      </c>
      <c r="G17" s="100">
        <f>COUNTIFS(문제목록!J:J,기출빈도!D17,문제목록!N:N,"기출",문제목록!O:O,"개념 문제")</f>
        <v>0</v>
      </c>
      <c r="H17" s="100">
        <f>_xlfn.MAXIFS(문제목록!C:C,문제목록!J:J,기출빈도!D17,문제목록!N:N,"기출",문제목록!O:O,"개념 문제")</f>
        <v>0</v>
      </c>
      <c r="I17" s="95"/>
      <c r="J17" s="130" t="s">
        <v>2232</v>
      </c>
    </row>
    <row r="18" spans="2:10" ht="14.45" customHeight="1" x14ac:dyDescent="0.2">
      <c r="B18" s="75" t="s">
        <v>2533</v>
      </c>
      <c r="C18" s="71" t="s">
        <v>2524</v>
      </c>
      <c r="D18" s="19" t="s">
        <v>3415</v>
      </c>
      <c r="E18" s="65">
        <f>COUNTIFS(문제목록!J:J,기출빈도!D18,문제목록!N:N,"기출")</f>
        <v>5</v>
      </c>
      <c r="F18" s="101">
        <f>_xlfn.MAXIFS(문제목록!C:C,문제목록!J:J,기출빈도!D18,문제목록!N:N,"기출")</f>
        <v>2021</v>
      </c>
      <c r="G18" s="101">
        <f>COUNTIFS(문제목록!J:J,기출빈도!D18,문제목록!N:N,"기출",문제목록!O:O,"개념 문제")</f>
        <v>2</v>
      </c>
      <c r="H18" s="101">
        <f>_xlfn.MAXIFS(문제목록!C:C,문제목록!J:J,기출빈도!D18,문제목록!N:N,"기출",문제목록!O:O,"개념 문제")</f>
        <v>2021</v>
      </c>
      <c r="I18" s="96" t="s">
        <v>3524</v>
      </c>
      <c r="J18" s="131" t="s">
        <v>2233</v>
      </c>
    </row>
    <row r="19" spans="2:10" ht="14.45" customHeight="1" x14ac:dyDescent="0.2">
      <c r="B19" s="75" t="s">
        <v>2533</v>
      </c>
      <c r="C19" s="71" t="s">
        <v>2524</v>
      </c>
      <c r="D19" s="19" t="s">
        <v>3418</v>
      </c>
      <c r="E19" s="65">
        <f>COUNTIFS(문제목록!J:J,기출빈도!D19,문제목록!N:N,"기출")</f>
        <v>3</v>
      </c>
      <c r="F19" s="102">
        <f>_xlfn.MAXIFS(문제목록!C:C,문제목록!J:J,기출빈도!D19,문제목록!N:N,"기출")</f>
        <v>2018</v>
      </c>
      <c r="G19" s="102">
        <f>COUNTIFS(문제목록!J:J,기출빈도!D19,문제목록!N:N,"기출",문제목록!O:O,"개념 문제")</f>
        <v>0</v>
      </c>
      <c r="H19" s="111">
        <f>_xlfn.MAXIFS(문제목록!C:C,문제목록!J:J,기출빈도!D19,문제목록!N:N,"기출",문제목록!O:O,"개념 문제")</f>
        <v>0</v>
      </c>
      <c r="I19" s="96"/>
      <c r="J19" s="132" t="s">
        <v>2234</v>
      </c>
    </row>
    <row r="20" spans="2:10" ht="14.45" customHeight="1" thickBot="1" x14ac:dyDescent="0.25">
      <c r="B20" s="75" t="s">
        <v>2533</v>
      </c>
      <c r="C20" s="72" t="s">
        <v>2524</v>
      </c>
      <c r="D20" s="73" t="s">
        <v>3497</v>
      </c>
      <c r="E20" s="69">
        <f>SUM(E17:E19)</f>
        <v>9</v>
      </c>
      <c r="F20" s="93">
        <f>MAX(F17:F19)</f>
        <v>2021</v>
      </c>
      <c r="G20" s="93">
        <f>SUM(G17:G19)</f>
        <v>2</v>
      </c>
      <c r="H20" s="93">
        <f>MAX(H17:H19)</f>
        <v>2021</v>
      </c>
      <c r="I20" s="97"/>
      <c r="J20" s="133"/>
    </row>
    <row r="21" spans="2:10" ht="14.45" customHeight="1" thickBot="1" x14ac:dyDescent="0.25">
      <c r="B21" s="112" t="s">
        <v>2533</v>
      </c>
      <c r="C21" s="113" t="s">
        <v>3497</v>
      </c>
      <c r="D21" s="114"/>
      <c r="E21" s="115">
        <f>SUM(E16,E20)</f>
        <v>12</v>
      </c>
      <c r="F21" s="116">
        <f>MAX(F16,F20)</f>
        <v>2021</v>
      </c>
      <c r="G21" s="116">
        <f>SUM(G16,G20)</f>
        <v>4</v>
      </c>
      <c r="H21" s="116">
        <f>MAX(H16,H20)</f>
        <v>2021</v>
      </c>
      <c r="I21" s="117"/>
      <c r="J21" s="134"/>
    </row>
    <row r="22" spans="2:10" ht="14.45" customHeight="1" x14ac:dyDescent="0.2">
      <c r="B22" s="74" t="s">
        <v>2579</v>
      </c>
      <c r="C22" s="70" t="s">
        <v>2564</v>
      </c>
      <c r="D22" s="66" t="s">
        <v>3482</v>
      </c>
      <c r="E22" s="67">
        <f>COUNTIFS(문제목록!J:J,기출빈도!D22,문제목록!N:N,"기출")</f>
        <v>0</v>
      </c>
      <c r="F22" s="100">
        <f>_xlfn.MAXIFS(문제목록!C:C,문제목록!J:J,기출빈도!D22,문제목록!N:N,"기출")</f>
        <v>0</v>
      </c>
      <c r="G22" s="100">
        <f>COUNTIFS(문제목록!J:J,기출빈도!D22,문제목록!N:N,"기출",문제목록!O:O,"개념 문제")</f>
        <v>0</v>
      </c>
      <c r="H22" s="100">
        <f>_xlfn.MAXIFS(문제목록!C:C,문제목록!J:J,기출빈도!D22,문제목록!N:N,"기출",문제목록!O:O,"개념 문제")</f>
        <v>0</v>
      </c>
      <c r="I22" s="95"/>
      <c r="J22" s="130" t="s">
        <v>2267</v>
      </c>
    </row>
    <row r="23" spans="2:10" ht="14.45" customHeight="1" x14ac:dyDescent="0.2">
      <c r="B23" s="75" t="s">
        <v>2579</v>
      </c>
      <c r="C23" s="71" t="s">
        <v>2564</v>
      </c>
      <c r="D23" s="19" t="s">
        <v>3432</v>
      </c>
      <c r="E23" s="65">
        <f>COUNTIFS(문제목록!J:J,기출빈도!D23,문제목록!N:N,"기출")</f>
        <v>0</v>
      </c>
      <c r="F23" s="101">
        <f>_xlfn.MAXIFS(문제목록!C:C,문제목록!J:J,기출빈도!D23,문제목록!N:N,"기출")</f>
        <v>0</v>
      </c>
      <c r="G23" s="101">
        <f>COUNTIFS(문제목록!J:J,기출빈도!D23,문제목록!N:N,"기출",문제목록!O:O,"개념 문제")</f>
        <v>0</v>
      </c>
      <c r="H23" s="101">
        <f>_xlfn.MAXIFS(문제목록!C:C,문제목록!J:J,기출빈도!D23,문제목록!N:N,"기출",문제목록!O:O,"개념 문제")</f>
        <v>0</v>
      </c>
      <c r="I23" s="96"/>
      <c r="J23" s="131" t="s">
        <v>3540</v>
      </c>
    </row>
    <row r="24" spans="2:10" ht="14.45" customHeight="1" x14ac:dyDescent="0.2">
      <c r="B24" s="75" t="s">
        <v>2579</v>
      </c>
      <c r="C24" s="71" t="s">
        <v>2564</v>
      </c>
      <c r="D24" s="19" t="s">
        <v>3419</v>
      </c>
      <c r="E24" s="65">
        <f>COUNTIFS(문제목록!J:J,기출빈도!D24,문제목록!N:N,"기출")</f>
        <v>3</v>
      </c>
      <c r="F24" s="101">
        <f>_xlfn.MAXIFS(문제목록!C:C,문제목록!J:J,기출빈도!D24,문제목록!N:N,"기출")</f>
        <v>2025</v>
      </c>
      <c r="G24" s="101">
        <f>COUNTIFS(문제목록!J:J,기출빈도!D24,문제목록!N:N,"기출",문제목록!O:O,"개념 문제")</f>
        <v>2</v>
      </c>
      <c r="H24" s="101">
        <f>_xlfn.MAXIFS(문제목록!C:C,문제목록!J:J,기출빈도!D24,문제목록!N:N,"기출",문제목록!O:O,"개념 문제")</f>
        <v>2025</v>
      </c>
      <c r="I24" s="96" t="s">
        <v>3525</v>
      </c>
      <c r="J24" s="131" t="s">
        <v>2268</v>
      </c>
    </row>
    <row r="25" spans="2:10" ht="14.45" customHeight="1" x14ac:dyDescent="0.2">
      <c r="B25" s="75" t="s">
        <v>2579</v>
      </c>
      <c r="C25" s="71" t="s">
        <v>2564</v>
      </c>
      <c r="D25" s="19" t="s">
        <v>3433</v>
      </c>
      <c r="E25" s="65">
        <f>COUNTIFS(문제목록!J:J,기출빈도!D25,문제목록!N:N,"기출")</f>
        <v>0</v>
      </c>
      <c r="F25" s="101">
        <f>_xlfn.MAXIFS(문제목록!C:C,문제목록!J:J,기출빈도!D25,문제목록!N:N,"기출")</f>
        <v>0</v>
      </c>
      <c r="G25" s="101">
        <f>COUNTIFS(문제목록!J:J,기출빈도!D25,문제목록!N:N,"기출",문제목록!O:O,"개념 문제")</f>
        <v>0</v>
      </c>
      <c r="H25" s="101">
        <f>_xlfn.MAXIFS(문제목록!C:C,문제목록!J:J,기출빈도!D25,문제목록!N:N,"기출",문제목록!O:O,"개념 문제")</f>
        <v>0</v>
      </c>
      <c r="I25" s="96"/>
      <c r="J25" s="131" t="s">
        <v>2269</v>
      </c>
    </row>
    <row r="26" spans="2:10" ht="14.45" customHeight="1" x14ac:dyDescent="0.2">
      <c r="B26" s="75" t="s">
        <v>2579</v>
      </c>
      <c r="C26" s="71" t="s">
        <v>2564</v>
      </c>
      <c r="D26" s="19" t="s">
        <v>3434</v>
      </c>
      <c r="E26" s="65">
        <f>COUNTIFS(문제목록!J:J,기출빈도!D26,문제목록!N:N,"기출")</f>
        <v>0</v>
      </c>
      <c r="F26" s="101">
        <f>_xlfn.MAXIFS(문제목록!C:C,문제목록!J:J,기출빈도!D26,문제목록!N:N,"기출")</f>
        <v>0</v>
      </c>
      <c r="G26" s="101">
        <f>COUNTIFS(문제목록!J:J,기출빈도!D26,문제목록!N:N,"기출",문제목록!O:O,"개념 문제")</f>
        <v>0</v>
      </c>
      <c r="H26" s="101">
        <f>_xlfn.MAXIFS(문제목록!C:C,문제목록!J:J,기출빈도!D26,문제목록!N:N,"기출",문제목록!O:O,"개념 문제")</f>
        <v>0</v>
      </c>
      <c r="I26" s="96"/>
      <c r="J26" s="131" t="s">
        <v>2270</v>
      </c>
    </row>
    <row r="27" spans="2:10" ht="14.45" customHeight="1" x14ac:dyDescent="0.2">
      <c r="B27" s="75" t="s">
        <v>2579</v>
      </c>
      <c r="C27" s="71" t="s">
        <v>2564</v>
      </c>
      <c r="D27" s="19" t="s">
        <v>3435</v>
      </c>
      <c r="E27" s="65">
        <f>COUNTIFS(문제목록!J:J,기출빈도!D27,문제목록!N:N,"기출")</f>
        <v>0</v>
      </c>
      <c r="F27" s="101">
        <f>_xlfn.MAXIFS(문제목록!C:C,문제목록!J:J,기출빈도!D27,문제목록!N:N,"기출")</f>
        <v>0</v>
      </c>
      <c r="G27" s="101">
        <f>COUNTIFS(문제목록!J:J,기출빈도!D27,문제목록!N:N,"기출",문제목록!O:O,"개념 문제")</f>
        <v>0</v>
      </c>
      <c r="H27" s="101">
        <f>_xlfn.MAXIFS(문제목록!C:C,문제목록!J:J,기출빈도!D27,문제목록!N:N,"기출",문제목록!O:O,"개념 문제")</f>
        <v>0</v>
      </c>
      <c r="I27" s="96"/>
      <c r="J27" s="131" t="s">
        <v>2271</v>
      </c>
    </row>
    <row r="28" spans="2:10" ht="14.45" customHeight="1" x14ac:dyDescent="0.2">
      <c r="B28" s="75" t="s">
        <v>2579</v>
      </c>
      <c r="C28" s="71" t="s">
        <v>2564</v>
      </c>
      <c r="D28" s="19" t="s">
        <v>3423</v>
      </c>
      <c r="E28" s="65">
        <f>COUNTIFS(문제목록!J:J,기출빈도!D28,문제목록!N:N,"기출")</f>
        <v>2</v>
      </c>
      <c r="F28" s="101">
        <f>_xlfn.MAXIFS(문제목록!C:C,문제목록!J:J,기출빈도!D28,문제목록!N:N,"기출")</f>
        <v>2023</v>
      </c>
      <c r="G28" s="101">
        <f>COUNTIFS(문제목록!J:J,기출빈도!D28,문제목록!N:N,"기출",문제목록!O:O,"개념 문제")</f>
        <v>1</v>
      </c>
      <c r="H28" s="101">
        <f>_xlfn.MAXIFS(문제목록!C:C,문제목록!J:J,기출빈도!D28,문제목록!N:N,"기출",문제목록!O:O,"개념 문제")</f>
        <v>2014</v>
      </c>
      <c r="I28" s="96" t="s">
        <v>3526</v>
      </c>
      <c r="J28" s="131" t="s">
        <v>2272</v>
      </c>
    </row>
    <row r="29" spans="2:10" ht="14.45" customHeight="1" x14ac:dyDescent="0.2">
      <c r="B29" s="75" t="s">
        <v>2579</v>
      </c>
      <c r="C29" s="71" t="s">
        <v>2564</v>
      </c>
      <c r="D29" s="19" t="s">
        <v>3429</v>
      </c>
      <c r="E29" s="65">
        <f>COUNTIFS(문제목록!J:J,기출빈도!D29,문제목록!N:N,"기출")</f>
        <v>1</v>
      </c>
      <c r="F29" s="102">
        <f>_xlfn.MAXIFS(문제목록!C:C,문제목록!J:J,기출빈도!D29,문제목록!N:N,"기출")</f>
        <v>2012</v>
      </c>
      <c r="G29" s="102">
        <f>COUNTIFS(문제목록!J:J,기출빈도!D29,문제목록!N:N,"기출",문제목록!O:O,"개념 문제")</f>
        <v>0</v>
      </c>
      <c r="H29" s="111">
        <f>_xlfn.MAXIFS(문제목록!C:C,문제목록!J:J,기출빈도!D29,문제목록!N:N,"기출",문제목록!O:O,"개념 문제")</f>
        <v>0</v>
      </c>
      <c r="I29" s="96"/>
      <c r="J29" s="132" t="s">
        <v>2273</v>
      </c>
    </row>
    <row r="30" spans="2:10" ht="14.45" customHeight="1" thickBot="1" x14ac:dyDescent="0.25">
      <c r="B30" s="75" t="s">
        <v>2579</v>
      </c>
      <c r="C30" s="72" t="s">
        <v>2564</v>
      </c>
      <c r="D30" s="73" t="s">
        <v>3497</v>
      </c>
      <c r="E30" s="69">
        <f>SUM(E22:E29)</f>
        <v>6</v>
      </c>
      <c r="F30" s="93">
        <f>MAX(F22:F29)</f>
        <v>2025</v>
      </c>
      <c r="G30" s="93">
        <f>SUM(G22:G29)</f>
        <v>3</v>
      </c>
      <c r="H30" s="93">
        <f>MAX(H22:H29)</f>
        <v>2025</v>
      </c>
      <c r="I30" s="97"/>
      <c r="J30" s="133"/>
    </row>
    <row r="31" spans="2:10" ht="14.45" customHeight="1" x14ac:dyDescent="0.2">
      <c r="B31" s="75" t="s">
        <v>2579</v>
      </c>
      <c r="C31" s="70" t="s">
        <v>2526</v>
      </c>
      <c r="D31" s="66" t="s">
        <v>3484</v>
      </c>
      <c r="E31" s="67">
        <f>COUNTIFS(문제목록!J:J,기출빈도!D31,문제목록!N:N,"기출")</f>
        <v>0</v>
      </c>
      <c r="F31" s="100">
        <f>_xlfn.MAXIFS(문제목록!C:C,문제목록!J:J,기출빈도!D31,문제목록!N:N,"기출")</f>
        <v>0</v>
      </c>
      <c r="G31" s="100">
        <f>COUNTIFS(문제목록!J:J,기출빈도!D31,문제목록!N:N,"기출",문제목록!O:O,"개념 문제")</f>
        <v>0</v>
      </c>
      <c r="H31" s="100">
        <f>_xlfn.MAXIFS(문제목록!C:C,문제목록!J:J,기출빈도!D31,문제목록!N:N,"기출",문제목록!O:O,"개념 문제")</f>
        <v>0</v>
      </c>
      <c r="I31" s="95"/>
      <c r="J31" s="130" t="s">
        <v>2274</v>
      </c>
    </row>
    <row r="32" spans="2:10" ht="14.45" customHeight="1" x14ac:dyDescent="0.2">
      <c r="B32" s="75" t="s">
        <v>2579</v>
      </c>
      <c r="C32" s="71" t="s">
        <v>2526</v>
      </c>
      <c r="D32" s="19" t="s">
        <v>3426</v>
      </c>
      <c r="E32" s="65">
        <f>COUNTIFS(문제목록!J:J,기출빈도!D32,문제목록!N:N,"기출")</f>
        <v>4</v>
      </c>
      <c r="F32" s="101">
        <f>_xlfn.MAXIFS(문제목록!C:C,문제목록!J:J,기출빈도!D32,문제목록!N:N,"기출")</f>
        <v>2020</v>
      </c>
      <c r="G32" s="101">
        <f>COUNTIFS(문제목록!J:J,기출빈도!D32,문제목록!N:N,"기출",문제목록!O:O,"개념 문제")</f>
        <v>1</v>
      </c>
      <c r="H32" s="101">
        <f>_xlfn.MAXIFS(문제목록!C:C,문제목록!J:J,기출빈도!D32,문제목록!N:N,"기출",문제목록!O:O,"개념 문제")</f>
        <v>2020</v>
      </c>
      <c r="I32" s="96" t="s">
        <v>3527</v>
      </c>
      <c r="J32" s="131" t="s">
        <v>2275</v>
      </c>
    </row>
    <row r="33" spans="2:10" ht="14.45" customHeight="1" x14ac:dyDescent="0.2">
      <c r="B33" s="75" t="s">
        <v>2579</v>
      </c>
      <c r="C33" s="71" t="s">
        <v>2526</v>
      </c>
      <c r="D33" s="19" t="s">
        <v>3430</v>
      </c>
      <c r="E33" s="65">
        <f>COUNTIFS(문제목록!J:J,기출빈도!D33,문제목록!N:N,"기출")</f>
        <v>1</v>
      </c>
      <c r="F33" s="101">
        <f>_xlfn.MAXIFS(문제목록!C:C,문제목록!J:J,기출빈도!D33,문제목록!N:N,"기출")</f>
        <v>2012</v>
      </c>
      <c r="G33" s="101">
        <f>COUNTIFS(문제목록!J:J,기출빈도!D33,문제목록!N:N,"기출",문제목록!O:O,"개념 문제")</f>
        <v>1</v>
      </c>
      <c r="H33" s="101">
        <f>_xlfn.MAXIFS(문제목록!C:C,문제목록!J:J,기출빈도!D33,문제목록!N:N,"기출",문제목록!O:O,"개념 문제")</f>
        <v>2012</v>
      </c>
      <c r="I33" s="96" t="s">
        <v>3528</v>
      </c>
      <c r="J33" s="131" t="s">
        <v>2276</v>
      </c>
    </row>
    <row r="34" spans="2:10" ht="14.45" customHeight="1" x14ac:dyDescent="0.2">
      <c r="B34" s="75" t="s">
        <v>2579</v>
      </c>
      <c r="C34" s="71" t="s">
        <v>2526</v>
      </c>
      <c r="D34" s="19" t="s">
        <v>3424</v>
      </c>
      <c r="E34" s="65">
        <f>COUNTIFS(문제목록!J:J,기출빈도!D34,문제목록!N:N,"기출")</f>
        <v>1</v>
      </c>
      <c r="F34" s="101">
        <f>_xlfn.MAXIFS(문제목록!C:C,문제목록!J:J,기출빈도!D34,문제목록!N:N,"기출")</f>
        <v>2022</v>
      </c>
      <c r="G34" s="101">
        <f>COUNTIFS(문제목록!J:J,기출빈도!D34,문제목록!N:N,"기출",문제목록!O:O,"개념 문제")</f>
        <v>1</v>
      </c>
      <c r="H34" s="101">
        <f>_xlfn.MAXIFS(문제목록!C:C,문제목록!J:J,기출빈도!D34,문제목록!N:N,"기출",문제목록!O:O,"개념 문제")</f>
        <v>2022</v>
      </c>
      <c r="I34" s="96" t="s">
        <v>3529</v>
      </c>
      <c r="J34" s="131" t="s">
        <v>2277</v>
      </c>
    </row>
    <row r="35" spans="2:10" ht="14.45" customHeight="1" x14ac:dyDescent="0.2">
      <c r="B35" s="75"/>
      <c r="C35" s="71" t="s">
        <v>3541</v>
      </c>
      <c r="D35" s="19" t="s">
        <v>3539</v>
      </c>
      <c r="E35" s="65">
        <f>COUNTIFS(문제목록!J:J,기출빈도!D35,문제목록!N:N,"기출")</f>
        <v>0</v>
      </c>
      <c r="F35" s="101">
        <f>_xlfn.MAXIFS(문제목록!C:C,문제목록!J:J,기출빈도!D35,문제목록!N:N,"기출")</f>
        <v>0</v>
      </c>
      <c r="G35" s="101">
        <f>COUNTIFS(문제목록!J:J,기출빈도!D35,문제목록!N:N,"기출",문제목록!O:O,"개념 문제")</f>
        <v>0</v>
      </c>
      <c r="H35" s="101">
        <f>_xlfn.MAXIFS(문제목록!C:C,문제목록!J:J,기출빈도!D35,문제목록!N:N,"기출",문제목록!O:O,"개념 문제")</f>
        <v>0</v>
      </c>
      <c r="I35" s="96"/>
      <c r="J35" s="131" t="s">
        <v>2278</v>
      </c>
    </row>
    <row r="36" spans="2:10" ht="14.45" customHeight="1" x14ac:dyDescent="0.2">
      <c r="B36" s="75" t="s">
        <v>2579</v>
      </c>
      <c r="C36" s="71" t="s">
        <v>2526</v>
      </c>
      <c r="D36" s="19" t="s">
        <v>3428</v>
      </c>
      <c r="E36" s="65">
        <f>COUNTIFS(문제목록!J:J,기출빈도!D36,문제목록!N:N,"기출")</f>
        <v>1</v>
      </c>
      <c r="F36" s="101">
        <f>_xlfn.MAXIFS(문제목록!C:C,문제목록!J:J,기출빈도!D36,문제목록!N:N,"기출")</f>
        <v>2017</v>
      </c>
      <c r="G36" s="101">
        <f>COUNTIFS(문제목록!J:J,기출빈도!D36,문제목록!N:N,"기출",문제목록!O:O,"개념 문제")</f>
        <v>1</v>
      </c>
      <c r="H36" s="101">
        <f>_xlfn.MAXIFS(문제목록!C:C,문제목록!J:J,기출빈도!D36,문제목록!N:N,"기출",문제목록!O:O,"개념 문제")</f>
        <v>2017</v>
      </c>
      <c r="I36" s="96" t="s">
        <v>3530</v>
      </c>
      <c r="J36" s="131" t="s">
        <v>2279</v>
      </c>
    </row>
    <row r="37" spans="2:10" ht="14.45" customHeight="1" x14ac:dyDescent="0.2">
      <c r="B37" s="75" t="s">
        <v>2579</v>
      </c>
      <c r="C37" s="71" t="s">
        <v>2526</v>
      </c>
      <c r="D37" s="19" t="s">
        <v>3422</v>
      </c>
      <c r="E37" s="65">
        <f>COUNTIFS(문제목록!J:J,기출빈도!D37,문제목록!N:N,"기출")</f>
        <v>3</v>
      </c>
      <c r="F37" s="101">
        <f>_xlfn.MAXIFS(문제목록!C:C,문제목록!J:J,기출빈도!D37,문제목록!N:N,"기출")</f>
        <v>2024</v>
      </c>
      <c r="G37" s="101">
        <f>COUNTIFS(문제목록!J:J,기출빈도!D37,문제목록!N:N,"기출",문제목록!O:O,"개념 문제")</f>
        <v>2</v>
      </c>
      <c r="H37" s="101">
        <f>_xlfn.MAXIFS(문제목록!C:C,문제목록!J:J,기출빈도!D37,문제목록!N:N,"기출",문제목록!O:O,"개념 문제")</f>
        <v>2024</v>
      </c>
      <c r="I37" s="96" t="s">
        <v>3531</v>
      </c>
      <c r="J37" s="131" t="s">
        <v>2280</v>
      </c>
    </row>
    <row r="38" spans="2:10" ht="14.45" customHeight="1" x14ac:dyDescent="0.2">
      <c r="B38" s="75" t="s">
        <v>2579</v>
      </c>
      <c r="C38" s="71" t="s">
        <v>2526</v>
      </c>
      <c r="D38" s="19" t="s">
        <v>3436</v>
      </c>
      <c r="E38" s="65">
        <f>COUNTIFS(문제목록!J:J,기출빈도!D38,문제목록!N:N,"기출")</f>
        <v>0</v>
      </c>
      <c r="F38" s="102">
        <f>_xlfn.MAXIFS(문제목록!C:C,문제목록!J:J,기출빈도!D38,문제목록!N:N,"기출")</f>
        <v>0</v>
      </c>
      <c r="G38" s="102">
        <f>COUNTIFS(문제목록!J:J,기출빈도!D38,문제목록!N:N,"기출",문제목록!O:O,"개념 문제")</f>
        <v>0</v>
      </c>
      <c r="H38" s="111">
        <f>_xlfn.MAXIFS(문제목록!C:C,문제목록!J:J,기출빈도!D38,문제목록!N:N,"기출",문제목록!O:O,"개념 문제")</f>
        <v>0</v>
      </c>
      <c r="I38" s="96"/>
      <c r="J38" s="132" t="s">
        <v>2281</v>
      </c>
    </row>
    <row r="39" spans="2:10" ht="14.45" customHeight="1" thickBot="1" x14ac:dyDescent="0.25">
      <c r="B39" s="75" t="s">
        <v>2579</v>
      </c>
      <c r="C39" s="72" t="s">
        <v>2526</v>
      </c>
      <c r="D39" s="73" t="s">
        <v>3497</v>
      </c>
      <c r="E39" s="69">
        <f>SUM(E31:E38)</f>
        <v>10</v>
      </c>
      <c r="F39" s="93">
        <f>MAX(F31:F38)</f>
        <v>2024</v>
      </c>
      <c r="G39" s="93">
        <f>SUM(G31:G38)</f>
        <v>6</v>
      </c>
      <c r="H39" s="93">
        <f>MAX(H31:H38)</f>
        <v>2024</v>
      </c>
      <c r="I39" s="97"/>
      <c r="J39" s="133"/>
    </row>
    <row r="40" spans="2:10" ht="14.45" customHeight="1" x14ac:dyDescent="0.2">
      <c r="B40" s="75" t="s">
        <v>2579</v>
      </c>
      <c r="C40" s="70" t="s">
        <v>2528</v>
      </c>
      <c r="D40" s="66" t="s">
        <v>3420</v>
      </c>
      <c r="E40" s="67">
        <f>COUNTIFS(문제목록!J:J,기출빈도!D40,문제목록!N:N,"기출")</f>
        <v>1</v>
      </c>
      <c r="F40" s="100">
        <f>_xlfn.MAXIFS(문제목록!C:C,문제목록!J:J,기출빈도!D40,문제목록!N:N,"기출")</f>
        <v>2025</v>
      </c>
      <c r="G40" s="100">
        <f>COUNTIFS(문제목록!J:J,기출빈도!D40,문제목록!N:N,"기출",문제목록!O:O,"개념 문제")</f>
        <v>0</v>
      </c>
      <c r="H40" s="100">
        <f>_xlfn.MAXIFS(문제목록!C:C,문제목록!J:J,기출빈도!D40,문제목록!N:N,"기출",문제목록!O:O,"개념 문제")</f>
        <v>0</v>
      </c>
      <c r="I40" s="95"/>
      <c r="J40" s="130" t="s">
        <v>2282</v>
      </c>
    </row>
    <row r="41" spans="2:10" ht="14.45" customHeight="1" x14ac:dyDescent="0.2">
      <c r="B41" s="75" t="s">
        <v>2579</v>
      </c>
      <c r="C41" s="71" t="s">
        <v>2528</v>
      </c>
      <c r="D41" s="19" t="s">
        <v>3437</v>
      </c>
      <c r="E41" s="65">
        <f>COUNTIFS(문제목록!J:J,기출빈도!D41,문제목록!N:N,"기출")</f>
        <v>0</v>
      </c>
      <c r="F41" s="101">
        <f>_xlfn.MAXIFS(문제목록!C:C,문제목록!J:J,기출빈도!D41,문제목록!N:N,"기출")</f>
        <v>0</v>
      </c>
      <c r="G41" s="101">
        <f>COUNTIFS(문제목록!J:J,기출빈도!D41,문제목록!N:N,"기출",문제목록!O:O,"개념 문제")</f>
        <v>0</v>
      </c>
      <c r="H41" s="101">
        <f>_xlfn.MAXIFS(문제목록!C:C,문제목록!J:J,기출빈도!D41,문제목록!N:N,"기출",문제목록!O:O,"개념 문제")</f>
        <v>0</v>
      </c>
      <c r="I41" s="96"/>
      <c r="J41" s="131" t="s">
        <v>2283</v>
      </c>
    </row>
    <row r="42" spans="2:10" ht="14.45" customHeight="1" x14ac:dyDescent="0.2">
      <c r="B42" s="75" t="s">
        <v>2579</v>
      </c>
      <c r="C42" s="71" t="s">
        <v>2528</v>
      </c>
      <c r="D42" s="19" t="s">
        <v>3425</v>
      </c>
      <c r="E42" s="65">
        <f>COUNTIFS(문제목록!J:J,기출빈도!D42,문제목록!N:N,"기출")</f>
        <v>3</v>
      </c>
      <c r="F42" s="101">
        <f>_xlfn.MAXIFS(문제목록!C:C,문제목록!J:J,기출빈도!D42,문제목록!N:N,"기출")</f>
        <v>2021</v>
      </c>
      <c r="G42" s="101">
        <f>COUNTIFS(문제목록!J:J,기출빈도!D42,문제목록!N:N,"기출",문제목록!O:O,"개념 문제")</f>
        <v>2</v>
      </c>
      <c r="H42" s="101">
        <f>_xlfn.MAXIFS(문제목록!C:C,문제목록!J:J,기출빈도!D42,문제목록!N:N,"기출",문제목록!O:O,"개념 문제")</f>
        <v>2017</v>
      </c>
      <c r="I42" s="96" t="s">
        <v>3532</v>
      </c>
      <c r="J42" s="131" t="s">
        <v>2284</v>
      </c>
    </row>
    <row r="43" spans="2:10" ht="14.45" customHeight="1" x14ac:dyDescent="0.2">
      <c r="B43" s="75" t="s">
        <v>2579</v>
      </c>
      <c r="C43" s="71" t="s">
        <v>2528</v>
      </c>
      <c r="D43" s="19" t="s">
        <v>3427</v>
      </c>
      <c r="E43" s="65">
        <f>COUNTIFS(문제목록!J:J,기출빈도!D43,문제목록!N:N,"기출")</f>
        <v>2</v>
      </c>
      <c r="F43" s="101">
        <f>_xlfn.MAXIFS(문제목록!C:C,문제목록!J:J,기출빈도!D43,문제목록!N:N,"기출")</f>
        <v>2018</v>
      </c>
      <c r="G43" s="101">
        <f>COUNTIFS(문제목록!J:J,기출빈도!D43,문제목록!N:N,"기출",문제목록!O:O,"개념 문제")</f>
        <v>2</v>
      </c>
      <c r="H43" s="101">
        <f>_xlfn.MAXIFS(문제목록!C:C,문제목록!J:J,기출빈도!D43,문제목록!N:N,"기출",문제목록!O:O,"개념 문제")</f>
        <v>2018</v>
      </c>
      <c r="I43" s="96" t="s">
        <v>3533</v>
      </c>
      <c r="J43" s="131" t="s">
        <v>2285</v>
      </c>
    </row>
    <row r="44" spans="2:10" ht="14.45" customHeight="1" x14ac:dyDescent="0.2">
      <c r="B44" s="75" t="s">
        <v>2579</v>
      </c>
      <c r="C44" s="71" t="s">
        <v>2528</v>
      </c>
      <c r="D44" s="19" t="s">
        <v>3431</v>
      </c>
      <c r="E44" s="65">
        <f>COUNTIFS(문제목록!J:J,기출빈도!D44,문제목록!N:N,"기출")</f>
        <v>1</v>
      </c>
      <c r="F44" s="101">
        <f>_xlfn.MAXIFS(문제목록!C:C,문제목록!J:J,기출빈도!D44,문제목록!N:N,"기출")</f>
        <v>2010</v>
      </c>
      <c r="G44" s="101">
        <f>COUNTIFS(문제목록!J:J,기출빈도!D44,문제목록!N:N,"기출",문제목록!O:O,"개념 문제")</f>
        <v>1</v>
      </c>
      <c r="H44" s="101">
        <f>_xlfn.MAXIFS(문제목록!C:C,문제목록!J:J,기출빈도!D44,문제목록!N:N,"기출",문제목록!O:O,"개념 문제")</f>
        <v>2010</v>
      </c>
      <c r="I44" s="96" t="s">
        <v>3534</v>
      </c>
      <c r="J44" s="131" t="s">
        <v>2286</v>
      </c>
    </row>
    <row r="45" spans="2:10" ht="14.45" customHeight="1" x14ac:dyDescent="0.2">
      <c r="B45" s="75" t="s">
        <v>2579</v>
      </c>
      <c r="C45" s="71" t="s">
        <v>2528</v>
      </c>
      <c r="D45" s="19" t="s">
        <v>3421</v>
      </c>
      <c r="E45" s="65">
        <f>COUNTIFS(문제목록!J:J,기출빈도!D45,문제목록!N:N,"기출")</f>
        <v>1</v>
      </c>
      <c r="F45" s="102">
        <f>_xlfn.MAXIFS(문제목록!C:C,문제목록!J:J,기출빈도!D45,문제목록!N:N,"기출")</f>
        <v>2025</v>
      </c>
      <c r="G45" s="102">
        <f>COUNTIFS(문제목록!J:J,기출빈도!D45,문제목록!N:N,"기출",문제목록!O:O,"개념 문제")</f>
        <v>0</v>
      </c>
      <c r="H45" s="111">
        <f>_xlfn.MAXIFS(문제목록!C:C,문제목록!J:J,기출빈도!D45,문제목록!N:N,"기출",문제목록!O:O,"개념 문제")</f>
        <v>0</v>
      </c>
      <c r="I45" s="96"/>
      <c r="J45" s="132" t="s">
        <v>2287</v>
      </c>
    </row>
    <row r="46" spans="2:10" ht="14.45" customHeight="1" thickBot="1" x14ac:dyDescent="0.25">
      <c r="B46" s="75" t="s">
        <v>2579</v>
      </c>
      <c r="C46" s="72" t="s">
        <v>2528</v>
      </c>
      <c r="D46" s="73" t="s">
        <v>3497</v>
      </c>
      <c r="E46" s="69">
        <f>SUM(E40:E45)</f>
        <v>8</v>
      </c>
      <c r="F46" s="93">
        <f>MAX(F40:F45)</f>
        <v>2025</v>
      </c>
      <c r="G46" s="93">
        <f>SUM(G40:G45)</f>
        <v>5</v>
      </c>
      <c r="H46" s="93">
        <f>MAX(H40:H45)</f>
        <v>2018</v>
      </c>
      <c r="I46" s="97"/>
      <c r="J46" s="133"/>
    </row>
    <row r="47" spans="2:10" ht="14.45" customHeight="1" thickBot="1" x14ac:dyDescent="0.25">
      <c r="B47" s="76" t="s">
        <v>2579</v>
      </c>
      <c r="C47" s="113" t="s">
        <v>3497</v>
      </c>
      <c r="D47" s="114"/>
      <c r="E47" s="115">
        <f>SUM(E30,E39,E46)</f>
        <v>24</v>
      </c>
      <c r="F47" s="116">
        <f>MAX(F30,F39,F46)</f>
        <v>2025</v>
      </c>
      <c r="G47" s="116">
        <f>SUM(G30,G39,G46)</f>
        <v>14</v>
      </c>
      <c r="H47" s="116">
        <f>MAX(H30,H39,H46)</f>
        <v>2025</v>
      </c>
      <c r="I47" s="117"/>
      <c r="J47" s="134"/>
    </row>
    <row r="48" spans="2:10" ht="14.45" customHeight="1" x14ac:dyDescent="0.2">
      <c r="B48" s="121" t="s">
        <v>3535</v>
      </c>
      <c r="C48" s="123" t="s">
        <v>3536</v>
      </c>
      <c r="D48" s="66" t="s">
        <v>3499</v>
      </c>
      <c r="E48" s="67">
        <f>COUNTIFS(문제목록!J:J,기출빈도!D48,문제목록!N:N,"기출")</f>
        <v>0</v>
      </c>
      <c r="F48" s="124">
        <f>_xlfn.MAXIFS(문제목록!C:C,문제목록!J:J,기출빈도!D48,문제목록!N:N,"기출")</f>
        <v>0</v>
      </c>
      <c r="G48" s="124">
        <f>COUNTIFS(문제목록!J:J,기출빈도!D48,문제목록!N:N,"기출",문제목록!O:O,"개념 문제")</f>
        <v>0</v>
      </c>
      <c r="H48" s="124">
        <f>_xlfn.MAXIFS(문제목록!C:C,문제목록!J:J,기출빈도!D48,문제목록!N:N,"기출",문제목록!O:O,"개념 문제")</f>
        <v>0</v>
      </c>
      <c r="I48" s="95"/>
      <c r="J48" s="135" t="s">
        <v>2235</v>
      </c>
    </row>
    <row r="49" spans="2:10" ht="14.45" customHeight="1" x14ac:dyDescent="0.2">
      <c r="B49" s="75" t="s">
        <v>3535</v>
      </c>
      <c r="C49" s="129" t="s">
        <v>3536</v>
      </c>
      <c r="D49" s="19" t="s">
        <v>3500</v>
      </c>
      <c r="E49" s="65">
        <f>COUNTIFS(문제목록!J:J,기출빈도!D49,문제목록!N:N,"기출")</f>
        <v>0</v>
      </c>
      <c r="F49" s="101">
        <f>_xlfn.MAXIFS(문제목록!C:C,문제목록!J:J,기출빈도!D49,문제목록!N:N,"기출")</f>
        <v>0</v>
      </c>
      <c r="G49" s="101">
        <f>COUNTIFS(문제목록!J:J,기출빈도!D49,문제목록!N:N,"기출",문제목록!O:O,"개념 문제")</f>
        <v>0</v>
      </c>
      <c r="H49" s="101">
        <f>_xlfn.MAXIFS(문제목록!C:C,문제목록!J:J,기출빈도!D49,문제목록!N:N,"기출",문제목록!O:O,"개념 문제")</f>
        <v>0</v>
      </c>
      <c r="I49" s="96"/>
      <c r="J49" s="131" t="s">
        <v>2236</v>
      </c>
    </row>
    <row r="50" spans="2:10" ht="14.45" customHeight="1" thickBot="1" x14ac:dyDescent="0.25">
      <c r="B50" s="75" t="s">
        <v>3535</v>
      </c>
      <c r="C50" s="122"/>
      <c r="D50" s="125" t="s">
        <v>3537</v>
      </c>
      <c r="E50" s="126">
        <f>SUM(E48:E49)</f>
        <v>0</v>
      </c>
      <c r="F50" s="127">
        <f>MAX(F48:F49)</f>
        <v>0</v>
      </c>
      <c r="G50" s="127">
        <f>SUM(G48:G49)</f>
        <v>0</v>
      </c>
      <c r="H50" s="127">
        <f>MAX(H48:H49)</f>
        <v>0</v>
      </c>
      <c r="I50" s="128"/>
      <c r="J50" s="136"/>
    </row>
    <row r="51" spans="2:10" ht="14.45" customHeight="1" x14ac:dyDescent="0.2">
      <c r="B51" s="75" t="s">
        <v>3535</v>
      </c>
      <c r="C51" s="118" t="s">
        <v>2545</v>
      </c>
      <c r="D51" s="66" t="s">
        <v>3438</v>
      </c>
      <c r="E51" s="67">
        <f>COUNTIFS(문제목록!J:J,기출빈도!D51,문제목록!N:N,"기출")</f>
        <v>3</v>
      </c>
      <c r="F51" s="100">
        <f>_xlfn.MAXIFS(문제목록!C:C,문제목록!J:J,기출빈도!D51,문제목록!N:N,"기출")</f>
        <v>2025</v>
      </c>
      <c r="G51" s="100">
        <f>COUNTIFS(문제목록!J:J,기출빈도!D51,문제목록!N:N,"기출",문제목록!O:O,"개념 문제")</f>
        <v>3</v>
      </c>
      <c r="H51" s="100">
        <f>_xlfn.MAXIFS(문제목록!C:C,문제목록!J:J,기출빈도!D51,문제목록!N:N,"기출",문제목록!O:O,"개념 문제")</f>
        <v>2025</v>
      </c>
      <c r="I51" s="95"/>
      <c r="J51" s="130" t="s">
        <v>2237</v>
      </c>
    </row>
    <row r="52" spans="2:10" ht="14.45" customHeight="1" x14ac:dyDescent="0.2">
      <c r="B52" s="75" t="s">
        <v>2534</v>
      </c>
      <c r="C52" s="119" t="s">
        <v>2545</v>
      </c>
      <c r="D52" s="19" t="s">
        <v>3441</v>
      </c>
      <c r="E52" s="65">
        <f>COUNTIFS(문제목록!J:J,기출빈도!D52,문제목록!N:N,"기출")</f>
        <v>0</v>
      </c>
      <c r="F52" s="101">
        <f>_xlfn.MAXIFS(문제목록!C:C,문제목록!J:J,기출빈도!D52,문제목록!N:N,"기출")</f>
        <v>0</v>
      </c>
      <c r="G52" s="101">
        <f>COUNTIFS(문제목록!J:J,기출빈도!D52,문제목록!N:N,"기출",문제목록!O:O,"개념 문제")</f>
        <v>0</v>
      </c>
      <c r="H52" s="101">
        <f>_xlfn.MAXIFS(문제목록!C:C,문제목록!J:J,기출빈도!D52,문제목록!N:N,"기출",문제목록!O:O,"개념 문제")</f>
        <v>0</v>
      </c>
      <c r="I52" s="96"/>
      <c r="J52" s="131" t="s">
        <v>2238</v>
      </c>
    </row>
    <row r="53" spans="2:10" ht="14.45" customHeight="1" x14ac:dyDescent="0.2">
      <c r="B53" s="75" t="s">
        <v>2534</v>
      </c>
      <c r="C53" s="119" t="s">
        <v>2545</v>
      </c>
      <c r="D53" s="19" t="s">
        <v>3440</v>
      </c>
      <c r="E53" s="65">
        <f>COUNTIFS(문제목록!J:J,기출빈도!D53,문제목록!N:N,"기출")</f>
        <v>1</v>
      </c>
      <c r="F53" s="102">
        <f>_xlfn.MAXIFS(문제목록!C:C,문제목록!J:J,기출빈도!D53,문제목록!N:N,"기출")</f>
        <v>2013</v>
      </c>
      <c r="G53" s="102">
        <f>COUNTIFS(문제목록!J:J,기출빈도!D53,문제목록!N:N,"기출",문제목록!O:O,"개념 문제")</f>
        <v>1</v>
      </c>
      <c r="H53" s="111">
        <f>_xlfn.MAXIFS(문제목록!C:C,문제목록!J:J,기출빈도!D53,문제목록!N:N,"기출",문제목록!O:O,"개념 문제")</f>
        <v>2013</v>
      </c>
      <c r="I53" s="96"/>
      <c r="J53" s="132" t="s">
        <v>2239</v>
      </c>
    </row>
    <row r="54" spans="2:10" ht="14.45" customHeight="1" thickBot="1" x14ac:dyDescent="0.25">
      <c r="B54" s="75" t="s">
        <v>2534</v>
      </c>
      <c r="C54" s="120" t="s">
        <v>2545</v>
      </c>
      <c r="D54" s="73" t="s">
        <v>3497</v>
      </c>
      <c r="E54" s="69">
        <f>SUM(E51:E53)</f>
        <v>4</v>
      </c>
      <c r="F54" s="93">
        <f>MAX(F51:F53)</f>
        <v>2025</v>
      </c>
      <c r="G54" s="93">
        <f>SUM(G51:G53)</f>
        <v>4</v>
      </c>
      <c r="H54" s="93">
        <f>MAX(H51:H53)</f>
        <v>2025</v>
      </c>
      <c r="I54" s="97"/>
      <c r="J54" s="133"/>
    </row>
    <row r="55" spans="2:10" ht="14.45" customHeight="1" x14ac:dyDescent="0.2">
      <c r="B55" s="75" t="s">
        <v>2534</v>
      </c>
      <c r="C55" s="118" t="s">
        <v>2547</v>
      </c>
      <c r="D55" s="66" t="s">
        <v>3486</v>
      </c>
      <c r="E55" s="67">
        <f>COUNTIFS(문제목록!J:J,기출빈도!D55,문제목록!N:N,"기출")</f>
        <v>0</v>
      </c>
      <c r="F55" s="100">
        <f>_xlfn.MAXIFS(문제목록!C:C,문제목록!J:J,기출빈도!D55,문제목록!N:N,"기출")</f>
        <v>0</v>
      </c>
      <c r="G55" s="100">
        <f>COUNTIFS(문제목록!J:J,기출빈도!D55,문제목록!N:N,"기출",문제목록!O:O,"개념 문제")</f>
        <v>0</v>
      </c>
      <c r="H55" s="100">
        <f>_xlfn.MAXIFS(문제목록!C:C,문제목록!J:J,기출빈도!D55,문제목록!N:N,"기출",문제목록!O:O,"개념 문제")</f>
        <v>0</v>
      </c>
      <c r="I55" s="95"/>
      <c r="J55" s="130" t="s">
        <v>2240</v>
      </c>
    </row>
    <row r="56" spans="2:10" ht="14.45" customHeight="1" x14ac:dyDescent="0.2">
      <c r="B56" s="75" t="s">
        <v>2534</v>
      </c>
      <c r="C56" s="119" t="s">
        <v>2547</v>
      </c>
      <c r="D56" s="19" t="s">
        <v>3439</v>
      </c>
      <c r="E56" s="65">
        <f>COUNTIFS(문제목록!J:J,기출빈도!D56,문제목록!N:N,"기출")</f>
        <v>4</v>
      </c>
      <c r="F56" s="101">
        <f>_xlfn.MAXIFS(문제목록!C:C,문제목록!J:J,기출빈도!D56,문제목록!N:N,"기출")</f>
        <v>2023</v>
      </c>
      <c r="G56" s="101">
        <f>COUNTIFS(문제목록!J:J,기출빈도!D56,문제목록!N:N,"기출",문제목록!O:O,"개념 문제")</f>
        <v>2</v>
      </c>
      <c r="H56" s="101">
        <f>_xlfn.MAXIFS(문제목록!C:C,문제목록!J:J,기출빈도!D56,문제목록!N:N,"기출",문제목록!O:O,"개념 문제")</f>
        <v>2022</v>
      </c>
      <c r="I56" s="96"/>
      <c r="J56" s="131" t="s">
        <v>2241</v>
      </c>
    </row>
    <row r="57" spans="2:10" ht="14.45" customHeight="1" thickBot="1" x14ac:dyDescent="0.25">
      <c r="B57" s="75" t="s">
        <v>2534</v>
      </c>
      <c r="C57" s="120" t="s">
        <v>2547</v>
      </c>
      <c r="D57" s="73" t="s">
        <v>3497</v>
      </c>
      <c r="E57" s="69">
        <f>SUM(E55:E56)</f>
        <v>4</v>
      </c>
      <c r="F57" s="93">
        <f>MAX(F55:F56)</f>
        <v>2023</v>
      </c>
      <c r="G57" s="93">
        <f>SUM(G55:G56)</f>
        <v>2</v>
      </c>
      <c r="H57" s="93">
        <f>MAX(H55:H56)</f>
        <v>2022</v>
      </c>
      <c r="I57" s="97"/>
      <c r="J57" s="133"/>
    </row>
    <row r="58" spans="2:10" ht="14.45" customHeight="1" thickBot="1" x14ac:dyDescent="0.25">
      <c r="B58" s="112" t="s">
        <v>2534</v>
      </c>
      <c r="C58" s="113" t="s">
        <v>3497</v>
      </c>
      <c r="D58" s="114"/>
      <c r="E58" s="115">
        <f>SUM(E50,E54,E57)</f>
        <v>8</v>
      </c>
      <c r="F58" s="116">
        <f>MAX(F50,F54,F57)</f>
        <v>2025</v>
      </c>
      <c r="G58" s="116">
        <f>SUM(G50,G54,G57)</f>
        <v>6</v>
      </c>
      <c r="H58" s="116">
        <f>MAX(H50,H54,H57)</f>
        <v>2025</v>
      </c>
      <c r="I58" s="117"/>
      <c r="J58" s="134"/>
    </row>
    <row r="59" spans="2:10" ht="14.45" customHeight="1" x14ac:dyDescent="0.2">
      <c r="B59" s="74" t="s">
        <v>2535</v>
      </c>
      <c r="C59" s="70" t="s">
        <v>2549</v>
      </c>
      <c r="D59" s="66" t="s">
        <v>3442</v>
      </c>
      <c r="E59" s="67">
        <f>COUNTIFS(문제목록!J:J,기출빈도!D59,문제목록!N:N,"기출")</f>
        <v>3</v>
      </c>
      <c r="F59" s="100">
        <f>_xlfn.MAXIFS(문제목록!C:C,문제목록!J:J,기출빈도!D59,문제목록!N:N,"기출")</f>
        <v>2025</v>
      </c>
      <c r="G59" s="100">
        <f>COUNTIFS(문제목록!J:J,기출빈도!D59,문제목록!N:N,"기출",문제목록!O:O,"개념 문제")</f>
        <v>1</v>
      </c>
      <c r="H59" s="100">
        <f>_xlfn.MAXIFS(문제목록!C:C,문제목록!J:J,기출빈도!D59,문제목록!N:N,"기출",문제목록!O:O,"개념 문제")</f>
        <v>2016</v>
      </c>
      <c r="I59" s="95"/>
      <c r="J59" s="130" t="s">
        <v>2242</v>
      </c>
    </row>
    <row r="60" spans="2:10" ht="14.45" customHeight="1" x14ac:dyDescent="0.2">
      <c r="B60" s="75" t="s">
        <v>2535</v>
      </c>
      <c r="C60" s="71" t="s">
        <v>2549</v>
      </c>
      <c r="D60" s="19" t="s">
        <v>3444</v>
      </c>
      <c r="E60" s="65">
        <f>COUNTIFS(문제목록!J:J,기출빈도!D60,문제목록!N:N,"기출")</f>
        <v>2</v>
      </c>
      <c r="F60" s="101">
        <f>_xlfn.MAXIFS(문제목록!C:C,문제목록!J:J,기출빈도!D60,문제목록!N:N,"기출")</f>
        <v>2021</v>
      </c>
      <c r="G60" s="101">
        <f>COUNTIFS(문제목록!J:J,기출빈도!D60,문제목록!N:N,"기출",문제목록!O:O,"개념 문제")</f>
        <v>2</v>
      </c>
      <c r="H60" s="101">
        <f>_xlfn.MAXIFS(문제목록!C:C,문제목록!J:J,기출빈도!D60,문제목록!N:N,"기출",문제목록!O:O,"개념 문제")</f>
        <v>2021</v>
      </c>
      <c r="I60" s="96"/>
      <c r="J60" s="131" t="s">
        <v>2243</v>
      </c>
    </row>
    <row r="61" spans="2:10" ht="14.45" customHeight="1" thickBot="1" x14ac:dyDescent="0.25">
      <c r="B61" s="75" t="s">
        <v>2535</v>
      </c>
      <c r="C61" s="72" t="s">
        <v>2549</v>
      </c>
      <c r="D61" s="73" t="s">
        <v>3497</v>
      </c>
      <c r="E61" s="69">
        <f>SUM(E59:E60)</f>
        <v>5</v>
      </c>
      <c r="F61" s="93">
        <f>MAX(F59:F60)</f>
        <v>2025</v>
      </c>
      <c r="G61" s="93">
        <f>SUM(G59:G60)</f>
        <v>3</v>
      </c>
      <c r="H61" s="93">
        <f>MAX(H59:H60)</f>
        <v>2021</v>
      </c>
      <c r="I61" s="97"/>
      <c r="J61" s="133"/>
    </row>
    <row r="62" spans="2:10" ht="14.45" customHeight="1" x14ac:dyDescent="0.2">
      <c r="B62" s="75" t="s">
        <v>2535</v>
      </c>
      <c r="C62" s="70" t="s">
        <v>2551</v>
      </c>
      <c r="D62" s="66" t="s">
        <v>3443</v>
      </c>
      <c r="E62" s="67">
        <f>COUNTIFS(문제목록!J:J,기출빈도!D62,문제목록!N:N,"기출")</f>
        <v>8</v>
      </c>
      <c r="F62" s="100">
        <f>_xlfn.MAXIFS(문제목록!C:C,문제목록!J:J,기출빈도!D62,문제목록!N:N,"기출")</f>
        <v>2024</v>
      </c>
      <c r="G62" s="100">
        <f>COUNTIFS(문제목록!J:J,기출빈도!D62,문제목록!N:N,"기출",문제목록!O:O,"개념 문제")</f>
        <v>2</v>
      </c>
      <c r="H62" s="100">
        <f>_xlfn.MAXIFS(문제목록!C:C,문제목록!J:J,기출빈도!D62,문제목록!N:N,"기출",문제목록!O:O,"개념 문제")</f>
        <v>2020</v>
      </c>
      <c r="I62" s="95"/>
      <c r="J62" s="130" t="s">
        <v>2244</v>
      </c>
    </row>
    <row r="63" spans="2:10" ht="14.45" customHeight="1" x14ac:dyDescent="0.2">
      <c r="B63" s="75" t="s">
        <v>2535</v>
      </c>
      <c r="C63" s="71" t="s">
        <v>2551</v>
      </c>
      <c r="D63" s="19" t="s">
        <v>3445</v>
      </c>
      <c r="E63" s="65">
        <f>COUNTIFS(문제목록!J:J,기출빈도!D63,문제목록!N:N,"기출")</f>
        <v>4</v>
      </c>
      <c r="F63" s="101">
        <f>_xlfn.MAXIFS(문제목록!C:C,문제목록!J:J,기출빈도!D63,문제목록!N:N,"기출")</f>
        <v>2019</v>
      </c>
      <c r="G63" s="101">
        <f>COUNTIFS(문제목록!J:J,기출빈도!D63,문제목록!N:N,"기출",문제목록!O:O,"개념 문제")</f>
        <v>3</v>
      </c>
      <c r="H63" s="101">
        <f>_xlfn.MAXIFS(문제목록!C:C,문제목록!J:J,기출빈도!D63,문제목록!N:N,"기출",문제목록!O:O,"개념 문제")</f>
        <v>2019</v>
      </c>
      <c r="I63" s="96"/>
      <c r="J63" s="131" t="s">
        <v>2245</v>
      </c>
    </row>
    <row r="64" spans="2:10" ht="14.45" customHeight="1" x14ac:dyDescent="0.2">
      <c r="B64" s="75" t="s">
        <v>2535</v>
      </c>
      <c r="C64" s="71" t="s">
        <v>2551</v>
      </c>
      <c r="D64" s="19" t="s">
        <v>3446</v>
      </c>
      <c r="E64" s="65">
        <f>COUNTIFS(문제목록!J:J,기출빈도!D64,문제목록!N:N,"기출")</f>
        <v>1</v>
      </c>
      <c r="F64" s="102">
        <f>_xlfn.MAXIFS(문제목록!C:C,문제목록!J:J,기출빈도!D64,문제목록!N:N,"기출")</f>
        <v>2017</v>
      </c>
      <c r="G64" s="102">
        <f>COUNTIFS(문제목록!J:J,기출빈도!D64,문제목록!N:N,"기출",문제목록!O:O,"개념 문제")</f>
        <v>0</v>
      </c>
      <c r="H64" s="111">
        <f>_xlfn.MAXIFS(문제목록!C:C,문제목록!J:J,기출빈도!D64,문제목록!N:N,"기출",문제목록!O:O,"개념 문제")</f>
        <v>0</v>
      </c>
      <c r="I64" s="96"/>
      <c r="J64" s="132" t="s">
        <v>2246</v>
      </c>
    </row>
    <row r="65" spans="2:10" ht="14.45" customHeight="1" thickBot="1" x14ac:dyDescent="0.25">
      <c r="B65" s="75" t="s">
        <v>2535</v>
      </c>
      <c r="C65" s="72" t="s">
        <v>2551</v>
      </c>
      <c r="D65" s="73" t="s">
        <v>3497</v>
      </c>
      <c r="E65" s="69">
        <f>SUM(E62:E64)</f>
        <v>13</v>
      </c>
      <c r="F65" s="93">
        <f>MAX(F62:F64)</f>
        <v>2024</v>
      </c>
      <c r="G65" s="93">
        <f>SUM(G62:G64)</f>
        <v>5</v>
      </c>
      <c r="H65" s="93">
        <f>MAX(H62:H64)</f>
        <v>2020</v>
      </c>
      <c r="I65" s="97"/>
      <c r="J65" s="133"/>
    </row>
    <row r="66" spans="2:10" ht="14.45" customHeight="1" thickBot="1" x14ac:dyDescent="0.25">
      <c r="B66" s="112" t="s">
        <v>2535</v>
      </c>
      <c r="C66" s="113" t="s">
        <v>3497</v>
      </c>
      <c r="D66" s="114"/>
      <c r="E66" s="115">
        <f>SUM(E61,E65)</f>
        <v>18</v>
      </c>
      <c r="F66" s="116">
        <f>MAX(F61,F65)</f>
        <v>2025</v>
      </c>
      <c r="G66" s="116">
        <f>SUM(G61,G65)</f>
        <v>8</v>
      </c>
      <c r="H66" s="116">
        <f>MAX(H61,H65)</f>
        <v>2021</v>
      </c>
      <c r="I66" s="117"/>
      <c r="J66" s="134"/>
    </row>
    <row r="67" spans="2:10" ht="14.45" customHeight="1" x14ac:dyDescent="0.2">
      <c r="B67" s="74" t="s">
        <v>2536</v>
      </c>
      <c r="C67" s="70" t="s">
        <v>2553</v>
      </c>
      <c r="D67" s="66" t="s">
        <v>3488</v>
      </c>
      <c r="E67" s="67">
        <f>COUNTIFS(문제목록!J:J,기출빈도!D67,문제목록!N:N,"기출")</f>
        <v>0</v>
      </c>
      <c r="F67" s="100">
        <f>_xlfn.MAXIFS(문제목록!C:C,문제목록!J:J,기출빈도!D67,문제목록!N:N,"기출")</f>
        <v>0</v>
      </c>
      <c r="G67" s="100">
        <f>COUNTIFS(문제목록!J:J,기출빈도!D67,문제목록!N:N,"기출",문제목록!O:O,"개념 문제")</f>
        <v>0</v>
      </c>
      <c r="H67" s="100">
        <f>_xlfn.MAXIFS(문제목록!C:C,문제목록!J:J,기출빈도!D67,문제목록!N:N,"기출",문제목록!O:O,"개념 문제")</f>
        <v>0</v>
      </c>
      <c r="I67" s="95"/>
      <c r="J67" s="130" t="s">
        <v>2247</v>
      </c>
    </row>
    <row r="68" spans="2:10" ht="14.45" customHeight="1" x14ac:dyDescent="0.2">
      <c r="B68" s="75" t="s">
        <v>2536</v>
      </c>
      <c r="C68" s="71" t="s">
        <v>2553</v>
      </c>
      <c r="D68" s="19" t="s">
        <v>3449</v>
      </c>
      <c r="E68" s="65">
        <f>COUNTIFS(문제목록!J:J,기출빈도!D68,문제목록!N:N,"기출")</f>
        <v>0</v>
      </c>
      <c r="F68" s="101">
        <f>_xlfn.MAXIFS(문제목록!C:C,문제목록!J:J,기출빈도!D68,문제목록!N:N,"기출")</f>
        <v>0</v>
      </c>
      <c r="G68" s="101">
        <f>COUNTIFS(문제목록!J:J,기출빈도!D68,문제목록!N:N,"기출",문제목록!O:O,"개념 문제")</f>
        <v>0</v>
      </c>
      <c r="H68" s="101">
        <f>_xlfn.MAXIFS(문제목록!C:C,문제목록!J:J,기출빈도!D68,문제목록!N:N,"기출",문제목록!O:O,"개념 문제")</f>
        <v>0</v>
      </c>
      <c r="I68" s="96"/>
      <c r="J68" s="131" t="s">
        <v>2248</v>
      </c>
    </row>
    <row r="69" spans="2:10" ht="14.45" customHeight="1" x14ac:dyDescent="0.2">
      <c r="B69" s="75" t="s">
        <v>2536</v>
      </c>
      <c r="C69" s="71" t="s">
        <v>2553</v>
      </c>
      <c r="D69" s="19" t="s">
        <v>3447</v>
      </c>
      <c r="E69" s="65">
        <f>COUNTIFS(문제목록!J:J,기출빈도!D69,문제목록!N:N,"기출")</f>
        <v>1</v>
      </c>
      <c r="F69" s="102">
        <f>_xlfn.MAXIFS(문제목록!C:C,문제목록!J:J,기출빈도!D69,문제목록!N:N,"기출")</f>
        <v>2024</v>
      </c>
      <c r="G69" s="102">
        <f>COUNTIFS(문제목록!J:J,기출빈도!D69,문제목록!N:N,"기출",문제목록!O:O,"개념 문제")</f>
        <v>0</v>
      </c>
      <c r="H69" s="111">
        <f>_xlfn.MAXIFS(문제목록!C:C,문제목록!J:J,기출빈도!D69,문제목록!N:N,"기출",문제목록!O:O,"개념 문제")</f>
        <v>0</v>
      </c>
      <c r="I69" s="96"/>
      <c r="J69" s="132" t="s">
        <v>2249</v>
      </c>
    </row>
    <row r="70" spans="2:10" ht="14.45" customHeight="1" thickBot="1" x14ac:dyDescent="0.25">
      <c r="B70" s="75" t="s">
        <v>2536</v>
      </c>
      <c r="C70" s="72" t="s">
        <v>2553</v>
      </c>
      <c r="D70" s="73" t="s">
        <v>3497</v>
      </c>
      <c r="E70" s="69">
        <f>SUM(E67:E69)</f>
        <v>1</v>
      </c>
      <c r="F70" s="93">
        <f>MAX(F67:F69)</f>
        <v>2024</v>
      </c>
      <c r="G70" s="93">
        <f>SUM(G67:G69)</f>
        <v>0</v>
      </c>
      <c r="H70" s="93">
        <f>MAX(H67:H69)</f>
        <v>0</v>
      </c>
      <c r="I70" s="97"/>
      <c r="J70" s="133"/>
    </row>
    <row r="71" spans="2:10" ht="14.45" customHeight="1" x14ac:dyDescent="0.2">
      <c r="B71" s="75" t="s">
        <v>2536</v>
      </c>
      <c r="C71" s="70" t="s">
        <v>2555</v>
      </c>
      <c r="D71" s="66" t="s">
        <v>3490</v>
      </c>
      <c r="E71" s="67">
        <f>COUNTIFS(문제목록!J:J,기출빈도!D71,문제목록!N:N,"기출")</f>
        <v>0</v>
      </c>
      <c r="F71" s="100">
        <f>_xlfn.MAXIFS(문제목록!C:C,문제목록!J:J,기출빈도!D71,문제목록!N:N,"기출")</f>
        <v>0</v>
      </c>
      <c r="G71" s="100">
        <f>COUNTIFS(문제목록!J:J,기출빈도!D71,문제목록!N:N,"기출",문제목록!O:O,"개념 문제")</f>
        <v>0</v>
      </c>
      <c r="H71" s="100">
        <f>_xlfn.MAXIFS(문제목록!C:C,문제목록!J:J,기출빈도!D71,문제목록!N:N,"기출",문제목록!O:O,"개념 문제")</f>
        <v>0</v>
      </c>
      <c r="I71" s="95"/>
      <c r="J71" s="130" t="s">
        <v>2250</v>
      </c>
    </row>
    <row r="72" spans="2:10" ht="14.45" customHeight="1" x14ac:dyDescent="0.2">
      <c r="B72" s="75" t="s">
        <v>2536</v>
      </c>
      <c r="C72" s="71" t="s">
        <v>2555</v>
      </c>
      <c r="D72" s="19" t="s">
        <v>3448</v>
      </c>
      <c r="E72" s="65">
        <f>COUNTIFS(문제목록!J:J,기출빈도!D72,문제목록!N:N,"기출")</f>
        <v>1</v>
      </c>
      <c r="F72" s="101">
        <f>_xlfn.MAXIFS(문제목록!C:C,문제목록!J:J,기출빈도!D72,문제목록!N:N,"기출")</f>
        <v>2023</v>
      </c>
      <c r="G72" s="101">
        <f>COUNTIFS(문제목록!J:J,기출빈도!D72,문제목록!N:N,"기출",문제목록!O:O,"개념 문제")</f>
        <v>1</v>
      </c>
      <c r="H72" s="101">
        <f>_xlfn.MAXIFS(문제목록!C:C,문제목록!J:J,기출빈도!D72,문제목록!N:N,"기출",문제목록!O:O,"개념 문제")</f>
        <v>2023</v>
      </c>
      <c r="I72" s="96"/>
      <c r="J72" s="131" t="s">
        <v>2251</v>
      </c>
    </row>
    <row r="73" spans="2:10" ht="14.45" customHeight="1" x14ac:dyDescent="0.2">
      <c r="B73" s="75" t="s">
        <v>2536</v>
      </c>
      <c r="C73" s="71" t="s">
        <v>2555</v>
      </c>
      <c r="D73" s="19" t="s">
        <v>3450</v>
      </c>
      <c r="E73" s="65">
        <f>COUNTIFS(문제목록!J:J,기출빈도!D73,문제목록!N:N,"기출")</f>
        <v>0</v>
      </c>
      <c r="F73" s="101">
        <f>_xlfn.MAXIFS(문제목록!C:C,문제목록!J:J,기출빈도!D73,문제목록!N:N,"기출")</f>
        <v>0</v>
      </c>
      <c r="G73" s="101">
        <f>COUNTIFS(문제목록!J:J,기출빈도!D73,문제목록!N:N,"기출",문제목록!O:O,"개념 문제")</f>
        <v>0</v>
      </c>
      <c r="H73" s="101">
        <f>_xlfn.MAXIFS(문제목록!C:C,문제목록!J:J,기출빈도!D73,문제목록!N:N,"기출",문제목록!O:O,"개념 문제")</f>
        <v>0</v>
      </c>
      <c r="I73" s="96"/>
      <c r="J73" s="131" t="s">
        <v>2252</v>
      </c>
    </row>
    <row r="74" spans="2:10" ht="14.45" customHeight="1" x14ac:dyDescent="0.2">
      <c r="B74" s="75" t="s">
        <v>2536</v>
      </c>
      <c r="C74" s="71" t="s">
        <v>2555</v>
      </c>
      <c r="D74" s="19" t="s">
        <v>3451</v>
      </c>
      <c r="E74" s="65">
        <f>COUNTIFS(문제목록!J:J,기출빈도!D74,문제목록!N:N,"기출")</f>
        <v>0</v>
      </c>
      <c r="F74" s="102">
        <f>_xlfn.MAXIFS(문제목록!C:C,문제목록!J:J,기출빈도!D74,문제목록!N:N,"기출")</f>
        <v>0</v>
      </c>
      <c r="G74" s="102">
        <f>COUNTIFS(문제목록!J:J,기출빈도!D74,문제목록!N:N,"기출",문제목록!O:O,"개념 문제")</f>
        <v>0</v>
      </c>
      <c r="H74" s="111">
        <f>_xlfn.MAXIFS(문제목록!C:C,문제목록!J:J,기출빈도!D74,문제목록!N:N,"기출",문제목록!O:O,"개념 문제")</f>
        <v>0</v>
      </c>
      <c r="I74" s="96"/>
      <c r="J74" s="132" t="s">
        <v>2253</v>
      </c>
    </row>
    <row r="75" spans="2:10" ht="14.45" customHeight="1" thickBot="1" x14ac:dyDescent="0.25">
      <c r="B75" s="75" t="s">
        <v>2536</v>
      </c>
      <c r="C75" s="72" t="s">
        <v>2555</v>
      </c>
      <c r="D75" s="73" t="s">
        <v>3497</v>
      </c>
      <c r="E75" s="69">
        <f>SUM(E71:E74)</f>
        <v>1</v>
      </c>
      <c r="F75" s="93">
        <f>MAX(F71:F74)</f>
        <v>2023</v>
      </c>
      <c r="G75" s="93">
        <f>SUM(G71:G74)</f>
        <v>1</v>
      </c>
      <c r="H75" s="93">
        <f>MAX(H71:H74)</f>
        <v>2023</v>
      </c>
      <c r="I75" s="97"/>
      <c r="J75" s="133"/>
    </row>
    <row r="76" spans="2:10" ht="14.45" customHeight="1" x14ac:dyDescent="0.2">
      <c r="B76" s="75" t="s">
        <v>2536</v>
      </c>
      <c r="C76" s="70" t="s">
        <v>2557</v>
      </c>
      <c r="D76" s="66" t="s">
        <v>3492</v>
      </c>
      <c r="E76" s="67">
        <f>COUNTIFS(문제목록!J:J,기출빈도!D76,문제목록!N:N,"기출")</f>
        <v>0</v>
      </c>
      <c r="F76" s="100">
        <f>_xlfn.MAXIFS(문제목록!C:C,문제목록!J:J,기출빈도!D76,문제목록!N:N,"기출")</f>
        <v>0</v>
      </c>
      <c r="G76" s="100">
        <f>COUNTIFS(문제목록!J:J,기출빈도!D76,문제목록!N:N,"기출",문제목록!O:O,"개념 문제")</f>
        <v>0</v>
      </c>
      <c r="H76" s="100">
        <f>_xlfn.MAXIFS(문제목록!C:C,문제목록!J:J,기출빈도!D76,문제목록!N:N,"기출",문제목록!O:O,"개념 문제")</f>
        <v>0</v>
      </c>
      <c r="I76" s="95"/>
      <c r="J76" s="130" t="s">
        <v>2254</v>
      </c>
    </row>
    <row r="77" spans="2:10" ht="14.45" customHeight="1" x14ac:dyDescent="0.2">
      <c r="B77" s="75" t="s">
        <v>2536</v>
      </c>
      <c r="C77" s="71" t="s">
        <v>2557</v>
      </c>
      <c r="D77" s="19" t="s">
        <v>3452</v>
      </c>
      <c r="E77" s="65">
        <f>COUNTIFS(문제목록!J:J,기출빈도!D77,문제목록!N:N,"기출")</f>
        <v>0</v>
      </c>
      <c r="F77" s="101">
        <f>_xlfn.MAXIFS(문제목록!C:C,문제목록!J:J,기출빈도!D77,문제목록!N:N,"기출")</f>
        <v>0</v>
      </c>
      <c r="G77" s="101">
        <f>COUNTIFS(문제목록!J:J,기출빈도!D77,문제목록!N:N,"기출",문제목록!O:O,"개념 문제")</f>
        <v>0</v>
      </c>
      <c r="H77" s="101">
        <f>_xlfn.MAXIFS(문제목록!C:C,문제목록!J:J,기출빈도!D77,문제목록!N:N,"기출",문제목록!O:O,"개념 문제")</f>
        <v>0</v>
      </c>
      <c r="I77" s="96"/>
      <c r="J77" s="131" t="s">
        <v>2255</v>
      </c>
    </row>
    <row r="78" spans="2:10" ht="14.45" customHeight="1" x14ac:dyDescent="0.2">
      <c r="B78" s="75" t="s">
        <v>2536</v>
      </c>
      <c r="C78" s="71" t="s">
        <v>2557</v>
      </c>
      <c r="D78" s="19" t="s">
        <v>3453</v>
      </c>
      <c r="E78" s="65">
        <f>COUNTIFS(문제목록!J:J,기출빈도!D78,문제목록!N:N,"기출")</f>
        <v>0</v>
      </c>
      <c r="F78" s="101">
        <f>_xlfn.MAXIFS(문제목록!C:C,문제목록!J:J,기출빈도!D78,문제목록!N:N,"기출")</f>
        <v>0</v>
      </c>
      <c r="G78" s="101">
        <f>COUNTIFS(문제목록!J:J,기출빈도!D78,문제목록!N:N,"기출",문제목록!O:O,"개념 문제")</f>
        <v>0</v>
      </c>
      <c r="H78" s="101">
        <f>_xlfn.MAXIFS(문제목록!C:C,문제목록!J:J,기출빈도!D78,문제목록!N:N,"기출",문제목록!O:O,"개념 문제")</f>
        <v>0</v>
      </c>
      <c r="I78" s="96"/>
      <c r="J78" s="131" t="s">
        <v>2256</v>
      </c>
    </row>
    <row r="79" spans="2:10" ht="14.45" customHeight="1" x14ac:dyDescent="0.2">
      <c r="B79" s="75" t="s">
        <v>2536</v>
      </c>
      <c r="C79" s="71" t="s">
        <v>2557</v>
      </c>
      <c r="D79" s="19" t="s">
        <v>3454</v>
      </c>
      <c r="E79" s="65">
        <f>COUNTIFS(문제목록!J:J,기출빈도!D79,문제목록!N:N,"기출")</f>
        <v>0</v>
      </c>
      <c r="F79" s="102">
        <f>_xlfn.MAXIFS(문제목록!C:C,문제목록!J:J,기출빈도!D79,문제목록!N:N,"기출")</f>
        <v>0</v>
      </c>
      <c r="G79" s="102">
        <f>COUNTIFS(문제목록!J:J,기출빈도!D79,문제목록!N:N,"기출",문제목록!O:O,"개념 문제")</f>
        <v>0</v>
      </c>
      <c r="H79" s="111">
        <f>_xlfn.MAXIFS(문제목록!C:C,문제목록!J:J,기출빈도!D79,문제목록!N:N,"기출",문제목록!O:O,"개념 문제")</f>
        <v>0</v>
      </c>
      <c r="I79" s="96"/>
      <c r="J79" s="132" t="s">
        <v>2257</v>
      </c>
    </row>
    <row r="80" spans="2:10" ht="14.45" customHeight="1" thickBot="1" x14ac:dyDescent="0.25">
      <c r="B80" s="75" t="s">
        <v>2536</v>
      </c>
      <c r="C80" s="72" t="s">
        <v>2557</v>
      </c>
      <c r="D80" s="73" t="s">
        <v>3497</v>
      </c>
      <c r="E80" s="69">
        <f>SUM(E76:E79)</f>
        <v>0</v>
      </c>
      <c r="F80" s="93">
        <f>MAX(F76:F79)</f>
        <v>0</v>
      </c>
      <c r="G80" s="93">
        <f>SUM(G76:G79)</f>
        <v>0</v>
      </c>
      <c r="H80" s="93">
        <f>MAX(H76:H79)</f>
        <v>0</v>
      </c>
      <c r="I80" s="97"/>
      <c r="J80" s="133"/>
    </row>
    <row r="81" spans="2:10" ht="14.45" customHeight="1" x14ac:dyDescent="0.2">
      <c r="B81" s="75" t="s">
        <v>2536</v>
      </c>
      <c r="C81" s="70" t="s">
        <v>2559</v>
      </c>
      <c r="D81" s="66" t="s">
        <v>3494</v>
      </c>
      <c r="E81" s="67">
        <f>COUNTIFS(문제목록!J:J,기출빈도!D81,문제목록!N:N,"기출")</f>
        <v>0</v>
      </c>
      <c r="F81" s="100">
        <f>_xlfn.MAXIFS(문제목록!C:C,문제목록!J:J,기출빈도!D81,문제목록!N:N,"기출")</f>
        <v>0</v>
      </c>
      <c r="G81" s="100">
        <f>COUNTIFS(문제목록!J:J,기출빈도!D81,문제목록!N:N,"기출",문제목록!O:O,"개념 문제")</f>
        <v>0</v>
      </c>
      <c r="H81" s="100">
        <f>_xlfn.MAXIFS(문제목록!C:C,문제목록!J:J,기출빈도!D81,문제목록!N:N,"기출",문제목록!O:O,"개념 문제")</f>
        <v>0</v>
      </c>
      <c r="I81" s="95"/>
      <c r="J81" s="130" t="s">
        <v>2258</v>
      </c>
    </row>
    <row r="82" spans="2:10" ht="14.45" customHeight="1" x14ac:dyDescent="0.2">
      <c r="B82" s="75" t="s">
        <v>2536</v>
      </c>
      <c r="C82" s="71" t="s">
        <v>2559</v>
      </c>
      <c r="D82" s="19" t="s">
        <v>3455</v>
      </c>
      <c r="E82" s="65">
        <f>COUNTIFS(문제목록!J:J,기출빈도!D82,문제목록!N:N,"기출")</f>
        <v>0</v>
      </c>
      <c r="F82" s="101">
        <f>_xlfn.MAXIFS(문제목록!C:C,문제목록!J:J,기출빈도!D82,문제목록!N:N,"기출")</f>
        <v>0</v>
      </c>
      <c r="G82" s="101">
        <f>COUNTIFS(문제목록!J:J,기출빈도!D82,문제목록!N:N,"기출",문제목록!O:O,"개념 문제")</f>
        <v>0</v>
      </c>
      <c r="H82" s="101">
        <f>_xlfn.MAXIFS(문제목록!C:C,문제목록!J:J,기출빈도!D82,문제목록!N:N,"기출",문제목록!O:O,"개념 문제")</f>
        <v>0</v>
      </c>
      <c r="I82" s="96"/>
      <c r="J82" s="131" t="s">
        <v>2259</v>
      </c>
    </row>
    <row r="83" spans="2:10" ht="14.45" customHeight="1" thickBot="1" x14ac:dyDescent="0.25">
      <c r="B83" s="75" t="s">
        <v>2536</v>
      </c>
      <c r="C83" s="72" t="s">
        <v>2559</v>
      </c>
      <c r="D83" s="73" t="s">
        <v>3497</v>
      </c>
      <c r="E83" s="69">
        <f>SUM(E81:E82)</f>
        <v>0</v>
      </c>
      <c r="F83" s="93">
        <f>MAX(F81:F82)</f>
        <v>0</v>
      </c>
      <c r="G83" s="93">
        <f>SUM(G81:G82)</f>
        <v>0</v>
      </c>
      <c r="H83" s="93">
        <f>MAX(H81:H82)</f>
        <v>0</v>
      </c>
      <c r="I83" s="97"/>
      <c r="J83" s="133"/>
    </row>
    <row r="84" spans="2:10" ht="14.45" customHeight="1" thickBot="1" x14ac:dyDescent="0.25">
      <c r="B84" s="112" t="s">
        <v>2536</v>
      </c>
      <c r="C84" s="113" t="s">
        <v>3497</v>
      </c>
      <c r="D84" s="114"/>
      <c r="E84" s="115">
        <f>SUM(E70,E75,E80,E83)</f>
        <v>2</v>
      </c>
      <c r="F84" s="116">
        <f>MAX(F70,F75,F80,F83)</f>
        <v>2024</v>
      </c>
      <c r="G84" s="116">
        <f>SUM(G70,G75,G80,G83)</f>
        <v>1</v>
      </c>
      <c r="H84" s="116">
        <f>MAX(H70,H75,H80,H83)</f>
        <v>2023</v>
      </c>
      <c r="I84" s="117"/>
      <c r="J84" s="134"/>
    </row>
    <row r="85" spans="2:10" ht="14.45" customHeight="1" x14ac:dyDescent="0.2">
      <c r="B85" s="74" t="s">
        <v>2537</v>
      </c>
      <c r="C85" s="70" t="s">
        <v>2561</v>
      </c>
      <c r="D85" s="66" t="s">
        <v>3496</v>
      </c>
      <c r="E85" s="67">
        <f>COUNTIFS(문제목록!J:J,기출빈도!D85,문제목록!N:N,"기출")</f>
        <v>0</v>
      </c>
      <c r="F85" s="100">
        <f>_xlfn.MAXIFS(문제목록!C:C,문제목록!J:J,기출빈도!D85,문제목록!N:N,"기출")</f>
        <v>0</v>
      </c>
      <c r="G85" s="100">
        <f>COUNTIFS(문제목록!J:J,기출빈도!D85,문제목록!N:N,"기출",문제목록!O:O,"개념 문제")</f>
        <v>0</v>
      </c>
      <c r="H85" s="100">
        <f>_xlfn.MAXIFS(문제목록!C:C,문제목록!J:J,기출빈도!D85,문제목록!N:N,"기출",문제목록!O:O,"개념 문제")</f>
        <v>0</v>
      </c>
      <c r="I85" s="95"/>
      <c r="J85" s="130" t="s">
        <v>2260</v>
      </c>
    </row>
    <row r="86" spans="2:10" ht="14.45" customHeight="1" x14ac:dyDescent="0.2">
      <c r="B86" s="75" t="s">
        <v>2537</v>
      </c>
      <c r="C86" s="71" t="s">
        <v>2561</v>
      </c>
      <c r="D86" s="19" t="s">
        <v>3456</v>
      </c>
      <c r="E86" s="65">
        <f>COUNTIFS(문제목록!J:J,기출빈도!D86,문제목록!N:N,"기출")</f>
        <v>0</v>
      </c>
      <c r="F86" s="101">
        <f>_xlfn.MAXIFS(문제목록!C:C,문제목록!J:J,기출빈도!D86,문제목록!N:N,"기출")</f>
        <v>0</v>
      </c>
      <c r="G86" s="101">
        <f>COUNTIFS(문제목록!J:J,기출빈도!D86,문제목록!N:N,"기출",문제목록!O:O,"개념 문제")</f>
        <v>0</v>
      </c>
      <c r="H86" s="101">
        <f>_xlfn.MAXIFS(문제목록!C:C,문제목록!J:J,기출빈도!D86,문제목록!N:N,"기출",문제목록!O:O,"개념 문제")</f>
        <v>0</v>
      </c>
      <c r="I86" s="96"/>
      <c r="J86" s="131" t="s">
        <v>2261</v>
      </c>
    </row>
    <row r="87" spans="2:10" ht="14.45" customHeight="1" x14ac:dyDescent="0.2">
      <c r="B87" s="75" t="s">
        <v>2537</v>
      </c>
      <c r="C87" s="71" t="s">
        <v>2561</v>
      </c>
      <c r="D87" s="19" t="s">
        <v>3457</v>
      </c>
      <c r="E87" s="65">
        <f>COUNTIFS(문제목록!J:J,기출빈도!D87,문제목록!N:N,"기출")</f>
        <v>0</v>
      </c>
      <c r="F87" s="101">
        <f>_xlfn.MAXIFS(문제목록!C:C,문제목록!J:J,기출빈도!D87,문제목록!N:N,"기출")</f>
        <v>0</v>
      </c>
      <c r="G87" s="101">
        <f>COUNTIFS(문제목록!J:J,기출빈도!D87,문제목록!N:N,"기출",문제목록!O:O,"개념 문제")</f>
        <v>0</v>
      </c>
      <c r="H87" s="101">
        <f>_xlfn.MAXIFS(문제목록!C:C,문제목록!J:J,기출빈도!D87,문제목록!N:N,"기출",문제목록!O:O,"개념 문제")</f>
        <v>0</v>
      </c>
      <c r="I87" s="96"/>
      <c r="J87" s="131" t="s">
        <v>2262</v>
      </c>
    </row>
    <row r="88" spans="2:10" ht="14.45" customHeight="1" x14ac:dyDescent="0.2">
      <c r="B88" s="75" t="s">
        <v>2537</v>
      </c>
      <c r="C88" s="71" t="s">
        <v>2561</v>
      </c>
      <c r="D88" s="19" t="s">
        <v>3458</v>
      </c>
      <c r="E88" s="65">
        <f>COUNTIFS(문제목록!J:J,기출빈도!D88,문제목록!N:N,"기출")</f>
        <v>0</v>
      </c>
      <c r="F88" s="101">
        <f>_xlfn.MAXIFS(문제목록!C:C,문제목록!J:J,기출빈도!D88,문제목록!N:N,"기출")</f>
        <v>0</v>
      </c>
      <c r="G88" s="101">
        <f>COUNTIFS(문제목록!J:J,기출빈도!D88,문제목록!N:N,"기출",문제목록!O:O,"개념 문제")</f>
        <v>0</v>
      </c>
      <c r="H88" s="101">
        <f>_xlfn.MAXIFS(문제목록!C:C,문제목록!J:J,기출빈도!D88,문제목록!N:N,"기출",문제목록!O:O,"개념 문제")</f>
        <v>0</v>
      </c>
      <c r="I88" s="96"/>
      <c r="J88" s="131" t="s">
        <v>2263</v>
      </c>
    </row>
    <row r="89" spans="2:10" ht="14.45" customHeight="1" x14ac:dyDescent="0.2">
      <c r="B89" s="75" t="s">
        <v>2537</v>
      </c>
      <c r="C89" s="71" t="s">
        <v>2561</v>
      </c>
      <c r="D89" s="19" t="s">
        <v>3459</v>
      </c>
      <c r="E89" s="65">
        <f>COUNTIFS(문제목록!J:J,기출빈도!D89,문제목록!N:N,"기출")</f>
        <v>0</v>
      </c>
      <c r="F89" s="102">
        <f>_xlfn.MAXIFS(문제목록!C:C,문제목록!J:J,기출빈도!D89,문제목록!N:N,"기출")</f>
        <v>0</v>
      </c>
      <c r="G89" s="102">
        <f>COUNTIFS(문제목록!J:J,기출빈도!D89,문제목록!N:N,"기출",문제목록!O:O,"개념 문제")</f>
        <v>0</v>
      </c>
      <c r="H89" s="111">
        <f>_xlfn.MAXIFS(문제목록!C:C,문제목록!J:J,기출빈도!D89,문제목록!N:N,"기출",문제목록!O:O,"개념 문제")</f>
        <v>0</v>
      </c>
      <c r="I89" s="96"/>
      <c r="J89" s="132" t="s">
        <v>2264</v>
      </c>
    </row>
    <row r="90" spans="2:10" ht="14.45" customHeight="1" thickBot="1" x14ac:dyDescent="0.25">
      <c r="B90" s="75" t="s">
        <v>2537</v>
      </c>
      <c r="C90" s="72" t="s">
        <v>2561</v>
      </c>
      <c r="D90" s="73" t="s">
        <v>3497</v>
      </c>
      <c r="E90" s="69">
        <f>SUM(E85:E89)</f>
        <v>0</v>
      </c>
      <c r="F90" s="93">
        <f>MAX(F85:F89)</f>
        <v>0</v>
      </c>
      <c r="G90" s="93">
        <f>SUM(G85:G89)</f>
        <v>0</v>
      </c>
      <c r="H90" s="93">
        <f>MAX(H85:H89)</f>
        <v>0</v>
      </c>
      <c r="I90" s="97"/>
      <c r="J90" s="133"/>
    </row>
    <row r="91" spans="2:10" ht="14.45" customHeight="1" thickBot="1" x14ac:dyDescent="0.25">
      <c r="B91" s="76" t="s">
        <v>2537</v>
      </c>
      <c r="C91" s="77" t="s">
        <v>3497</v>
      </c>
      <c r="D91" s="78"/>
      <c r="E91" s="79">
        <f>SUM(E90)</f>
        <v>0</v>
      </c>
      <c r="F91" s="94">
        <f>MAX(F90)</f>
        <v>0</v>
      </c>
      <c r="G91" s="94">
        <f>SUM(G90)</f>
        <v>0</v>
      </c>
      <c r="H91" s="94">
        <f>MAX(H90)</f>
        <v>0</v>
      </c>
      <c r="I91" s="98"/>
      <c r="J91" s="137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22"/>
  <sheetViews>
    <sheetView workbookViewId="0">
      <pane ySplit="3" topLeftCell="A16" activePane="bottomLeft" state="frozen"/>
      <selection pane="bottomLeft" activeCell="M36" sqref="M36"/>
    </sheetView>
  </sheetViews>
  <sheetFormatPr defaultRowHeight="14.45" customHeight="1" x14ac:dyDescent="0.2"/>
  <cols>
    <col min="1" max="1" width="1.7109375" style="16" customWidth="1"/>
    <col min="2" max="2" width="3.7109375" style="21" customWidth="1"/>
    <col min="3" max="4" width="5.7109375" style="22" customWidth="1"/>
    <col min="5" max="5" width="3.7109375" style="22" customWidth="1"/>
    <col min="6" max="6" width="20.28515625" style="16" customWidth="1"/>
    <col min="7" max="7" width="3.7109375" style="21" customWidth="1"/>
    <col min="8" max="8" width="27.7109375" style="16" customWidth="1"/>
    <col min="9" max="9" width="3.7109375" style="16" customWidth="1"/>
    <col min="10" max="10" width="36.7109375" style="16" customWidth="1"/>
    <col min="11" max="11" width="3.7109375" style="16" customWidth="1"/>
    <col min="12" max="12" width="91.7109375" style="16" customWidth="1"/>
    <col min="13" max="14" width="4.42578125" style="16" customWidth="1"/>
    <col min="15" max="15" width="16" style="16" customWidth="1"/>
    <col min="16" max="20" width="6.7109375" style="16" customWidth="1"/>
    <col min="21" max="16384" width="9.140625" style="16"/>
  </cols>
  <sheetData>
    <row r="1" spans="2:20" ht="14.45" customHeight="1" x14ac:dyDescent="0.2">
      <c r="B1" s="2"/>
      <c r="C1" s="15"/>
      <c r="D1" s="15"/>
      <c r="E1" s="1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1273</v>
      </c>
      <c r="C2" s="55" t="s">
        <v>1274</v>
      </c>
      <c r="D2" s="291" t="s">
        <v>1275</v>
      </c>
      <c r="E2" s="292"/>
      <c r="F2" s="290" t="s">
        <v>2</v>
      </c>
      <c r="G2" s="290"/>
      <c r="H2" s="290"/>
      <c r="I2" s="290"/>
      <c r="J2" s="290"/>
      <c r="K2" s="290"/>
      <c r="L2" s="5" t="s">
        <v>1276</v>
      </c>
      <c r="M2" s="5" t="s">
        <v>2332</v>
      </c>
      <c r="N2" s="5" t="s">
        <v>2333</v>
      </c>
      <c r="O2" s="5" t="s">
        <v>1277</v>
      </c>
      <c r="P2" s="290" t="s">
        <v>1278</v>
      </c>
      <c r="Q2" s="290"/>
      <c r="R2" s="290"/>
      <c r="S2" s="290"/>
      <c r="T2" s="290"/>
    </row>
    <row r="3" spans="2:20" ht="14.45" customHeight="1" x14ac:dyDescent="0.2">
      <c r="B3" s="54"/>
      <c r="C3" s="108"/>
      <c r="D3" s="293"/>
      <c r="E3" s="294"/>
      <c r="F3" s="295" t="s">
        <v>1514</v>
      </c>
      <c r="G3" s="296"/>
      <c r="H3" s="295" t="s">
        <v>2563</v>
      </c>
      <c r="I3" s="296"/>
      <c r="J3" s="290" t="s">
        <v>1</v>
      </c>
      <c r="K3" s="290"/>
      <c r="L3" s="54"/>
      <c r="M3" s="54"/>
      <c r="N3" s="54"/>
      <c r="O3" s="54"/>
      <c r="P3" s="59" t="s">
        <v>2565</v>
      </c>
      <c r="Q3" s="59" t="s">
        <v>2429</v>
      </c>
      <c r="R3" s="59" t="s">
        <v>2430</v>
      </c>
      <c r="S3" s="59" t="s">
        <v>1279</v>
      </c>
      <c r="T3" s="59" t="s">
        <v>1280</v>
      </c>
    </row>
    <row r="4" spans="2:20" ht="14.45" customHeight="1" x14ac:dyDescent="0.2">
      <c r="B4" s="24">
        <f t="shared" ref="B4:B35" si="0">ROW()-3</f>
        <v>1</v>
      </c>
      <c r="C4" s="110">
        <v>9.02</v>
      </c>
      <c r="D4" s="18" t="s">
        <v>1346</v>
      </c>
      <c r="E4" s="18" t="s">
        <v>1289</v>
      </c>
      <c r="F4" s="19" t="s">
        <v>2534</v>
      </c>
      <c r="G4" s="60" t="s">
        <v>2588</v>
      </c>
      <c r="H4" s="19" t="s">
        <v>2545</v>
      </c>
      <c r="I4" s="18" t="s">
        <v>1325</v>
      </c>
      <c r="J4" s="20" t="s">
        <v>1354</v>
      </c>
      <c r="K4" s="18" t="s">
        <v>1283</v>
      </c>
      <c r="L4" s="23" t="s">
        <v>218</v>
      </c>
      <c r="M4" s="56" t="s">
        <v>2188</v>
      </c>
      <c r="N4" s="56" t="s">
        <v>2334</v>
      </c>
      <c r="O4" s="99"/>
      <c r="P4" s="57" t="str">
        <f t="shared" ref="P4:P35" si="1">F4&amp;"&gt;"&amp;G4&amp;"&gt;"&amp;D4&amp;"&gt;"&amp;N4</f>
        <v>제04편 소송의 종료&gt;09&gt;1&gt;예상</v>
      </c>
      <c r="Q4" s="57" t="str">
        <f t="shared" ref="Q4:Q35" si="2">H4&amp;"&gt;"&amp;I4&amp;"&gt;"&amp;D4&amp;"&gt;"&amp;N4</f>
        <v>제09장 당사자 행위에 의한 종료&gt;05&gt;1&gt;예상</v>
      </c>
      <c r="R4" s="57" t="str">
        <f t="shared" ref="R4:R35" si="3">H4&amp;"&gt;"&amp;J4&amp;"&gt;"&amp;K4</f>
        <v>제09장 당사자 행위에 의한 종료&gt;제02절 청구의 포기・인낙&gt;01</v>
      </c>
      <c r="S4" s="57" t="str">
        <f t="shared" ref="S4:S35" si="4">N4&amp;"&gt;"&amp;C4&amp;"&gt;"&amp;E4</f>
        <v>예상&gt;9.02&gt;2</v>
      </c>
      <c r="T4" s="57" t="str">
        <f t="shared" ref="T4:T35" si="5">N4&amp;"&gt;"&amp;C4&amp;"&gt;"&amp;D4</f>
        <v>예상&gt;9.02&gt;1</v>
      </c>
    </row>
    <row r="5" spans="2:20" ht="14.45" customHeight="1" x14ac:dyDescent="0.2">
      <c r="B5" s="24">
        <f t="shared" si="0"/>
        <v>2</v>
      </c>
      <c r="C5" s="110">
        <v>9.02</v>
      </c>
      <c r="D5" s="18" t="s">
        <v>1328</v>
      </c>
      <c r="E5" s="18" t="s">
        <v>1291</v>
      </c>
      <c r="F5" s="19" t="s">
        <v>2534</v>
      </c>
      <c r="G5" s="60">
        <v>10</v>
      </c>
      <c r="H5" s="19" t="s">
        <v>2545</v>
      </c>
      <c r="I5" s="18" t="s">
        <v>1331</v>
      </c>
      <c r="J5" s="20" t="s">
        <v>1354</v>
      </c>
      <c r="K5" s="18" t="s">
        <v>1295</v>
      </c>
      <c r="L5" s="23" t="s">
        <v>219</v>
      </c>
      <c r="M5" s="56" t="s">
        <v>2189</v>
      </c>
      <c r="N5" s="56" t="s">
        <v>2334</v>
      </c>
      <c r="O5" s="99"/>
      <c r="P5" s="57" t="str">
        <f t="shared" si="1"/>
        <v>제04편 소송의 종료&gt;10&gt;2&gt;예상</v>
      </c>
      <c r="Q5" s="57" t="str">
        <f t="shared" si="2"/>
        <v>제09장 당사자 행위에 의한 종료&gt;06&gt;2&gt;예상</v>
      </c>
      <c r="R5" s="57" t="str">
        <f t="shared" si="3"/>
        <v>제09장 당사자 행위에 의한 종료&gt;제02절 청구의 포기・인낙&gt;02</v>
      </c>
      <c r="S5" s="57" t="str">
        <f t="shared" si="4"/>
        <v>예상&gt;9.02&gt;1</v>
      </c>
      <c r="T5" s="57" t="str">
        <f t="shared" si="5"/>
        <v>예상&gt;9.02&gt;2</v>
      </c>
    </row>
    <row r="6" spans="2:20" ht="14.45" customHeight="1" x14ac:dyDescent="0.2">
      <c r="B6" s="24">
        <f t="shared" si="0"/>
        <v>3</v>
      </c>
      <c r="C6" s="110">
        <v>7.06</v>
      </c>
      <c r="D6" s="18" t="s">
        <v>3593</v>
      </c>
      <c r="E6" s="18" t="s">
        <v>3593</v>
      </c>
      <c r="F6" s="19" t="s">
        <v>3600</v>
      </c>
      <c r="G6" s="60">
        <v>40</v>
      </c>
      <c r="H6" s="19" t="s">
        <v>3601</v>
      </c>
      <c r="I6" s="18" t="s">
        <v>3612</v>
      </c>
      <c r="J6" s="20" t="s">
        <v>1285</v>
      </c>
      <c r="K6" s="18" t="s">
        <v>3606</v>
      </c>
      <c r="L6" s="19" t="s">
        <v>3577</v>
      </c>
      <c r="M6" s="57" t="s">
        <v>3586</v>
      </c>
      <c r="N6" s="56" t="s">
        <v>3594</v>
      </c>
      <c r="O6" s="99" t="s">
        <v>3573</v>
      </c>
      <c r="P6" s="57" t="str">
        <f t="shared" si="1"/>
        <v>제03편 제1심 소송절차&gt;40&gt;1&gt;예상</v>
      </c>
      <c r="Q6" s="57" t="str">
        <f t="shared" si="2"/>
        <v>제07장 증거&gt;11&gt;1&gt;예상</v>
      </c>
      <c r="R6" s="57" t="str">
        <f t="shared" si="3"/>
        <v>제07장 증거&gt;제06절 증명책임&gt;02</v>
      </c>
      <c r="S6" s="57" t="str">
        <f t="shared" si="4"/>
        <v>예상&gt;7.06&gt;1</v>
      </c>
      <c r="T6" s="57" t="str">
        <f t="shared" si="5"/>
        <v>예상&gt;7.06&gt;1</v>
      </c>
    </row>
    <row r="7" spans="2:20" ht="14.45" customHeight="1" x14ac:dyDescent="0.2">
      <c r="B7" s="24">
        <f t="shared" si="0"/>
        <v>4</v>
      </c>
      <c r="C7" s="110">
        <v>7.02</v>
      </c>
      <c r="D7" s="18" t="s">
        <v>1346</v>
      </c>
      <c r="E7" s="18" t="s">
        <v>1289</v>
      </c>
      <c r="F7" s="19" t="s">
        <v>2579</v>
      </c>
      <c r="G7" s="58">
        <v>38</v>
      </c>
      <c r="H7" s="19" t="s">
        <v>2528</v>
      </c>
      <c r="I7" s="18" t="s">
        <v>1366</v>
      </c>
      <c r="J7" s="20" t="s">
        <v>1353</v>
      </c>
      <c r="K7" s="18" t="s">
        <v>1283</v>
      </c>
      <c r="L7" s="23" t="s">
        <v>215</v>
      </c>
      <c r="M7" s="56" t="s">
        <v>2183</v>
      </c>
      <c r="N7" s="56" t="s">
        <v>2334</v>
      </c>
      <c r="O7" s="99"/>
      <c r="P7" s="57" t="str">
        <f t="shared" si="1"/>
        <v>제03편 제1심 소송절차&gt;38&gt;1&gt;예상</v>
      </c>
      <c r="Q7" s="57" t="str">
        <f t="shared" si="2"/>
        <v>제07장 증거&gt;09&gt;1&gt;예상</v>
      </c>
      <c r="R7" s="57" t="str">
        <f t="shared" si="3"/>
        <v>제07장 증거&gt;제02절 증명의 대상&gt;01</v>
      </c>
      <c r="S7" s="57" t="str">
        <f t="shared" si="4"/>
        <v>예상&gt;7.02&gt;2</v>
      </c>
      <c r="T7" s="57" t="str">
        <f t="shared" si="5"/>
        <v>예상&gt;7.02&gt;1</v>
      </c>
    </row>
    <row r="8" spans="2:20" ht="14.45" customHeight="1" x14ac:dyDescent="0.2">
      <c r="B8" s="24">
        <f t="shared" si="0"/>
        <v>5</v>
      </c>
      <c r="C8" s="110">
        <v>7.02</v>
      </c>
      <c r="D8" s="18" t="s">
        <v>1328</v>
      </c>
      <c r="E8" s="18" t="s">
        <v>1291</v>
      </c>
      <c r="F8" s="19" t="s">
        <v>2579</v>
      </c>
      <c r="G8" s="58">
        <v>39</v>
      </c>
      <c r="H8" s="19" t="s">
        <v>2528</v>
      </c>
      <c r="I8" s="18" t="s">
        <v>1367</v>
      </c>
      <c r="J8" s="20" t="s">
        <v>1353</v>
      </c>
      <c r="K8" s="18" t="s">
        <v>1295</v>
      </c>
      <c r="L8" s="23" t="s">
        <v>216</v>
      </c>
      <c r="M8" s="56" t="s">
        <v>2184</v>
      </c>
      <c r="N8" s="56" t="s">
        <v>2334</v>
      </c>
      <c r="O8" s="99"/>
      <c r="P8" s="57" t="str">
        <f t="shared" si="1"/>
        <v>제03편 제1심 소송절차&gt;39&gt;2&gt;예상</v>
      </c>
      <c r="Q8" s="57" t="str">
        <f t="shared" si="2"/>
        <v>제07장 증거&gt;10&gt;2&gt;예상</v>
      </c>
      <c r="R8" s="57" t="str">
        <f t="shared" si="3"/>
        <v>제07장 증거&gt;제02절 증명의 대상&gt;02</v>
      </c>
      <c r="S8" s="57" t="str">
        <f t="shared" si="4"/>
        <v>예상&gt;7.02&gt;1</v>
      </c>
      <c r="T8" s="57" t="str">
        <f t="shared" si="5"/>
        <v>예상&gt;7.02&gt;2</v>
      </c>
    </row>
    <row r="9" spans="2:20" ht="14.45" customHeight="1" x14ac:dyDescent="0.2">
      <c r="B9" s="24">
        <f t="shared" si="0"/>
        <v>6</v>
      </c>
      <c r="C9" s="110">
        <v>6.08</v>
      </c>
      <c r="D9" s="18" t="s">
        <v>1346</v>
      </c>
      <c r="E9" s="18" t="s">
        <v>1289</v>
      </c>
      <c r="F9" s="19" t="s">
        <v>2579</v>
      </c>
      <c r="G9" s="58">
        <v>36</v>
      </c>
      <c r="H9" s="19" t="s">
        <v>2526</v>
      </c>
      <c r="I9" s="18" t="s">
        <v>1370</v>
      </c>
      <c r="J9" s="20" t="s">
        <v>1352</v>
      </c>
      <c r="K9" s="18" t="s">
        <v>1283</v>
      </c>
      <c r="L9" s="23" t="s">
        <v>213</v>
      </c>
      <c r="M9" s="56" t="s">
        <v>2181</v>
      </c>
      <c r="N9" s="56" t="s">
        <v>2334</v>
      </c>
      <c r="O9" s="99"/>
      <c r="P9" s="57" t="str">
        <f t="shared" si="1"/>
        <v>제03편 제1심 소송절차&gt;36&gt;1&gt;예상</v>
      </c>
      <c r="Q9" s="57" t="str">
        <f t="shared" si="2"/>
        <v>제06장 변론&gt;13&gt;1&gt;예상</v>
      </c>
      <c r="R9" s="57" t="str">
        <f t="shared" si="3"/>
        <v>제06장 변론&gt;제08절 소송절차의 정지&gt;01</v>
      </c>
      <c r="S9" s="57" t="str">
        <f t="shared" si="4"/>
        <v>예상&gt;6.08&gt;2</v>
      </c>
      <c r="T9" s="57" t="str">
        <f t="shared" si="5"/>
        <v>예상&gt;6.08&gt;1</v>
      </c>
    </row>
    <row r="10" spans="2:20" ht="14.45" customHeight="1" x14ac:dyDescent="0.2">
      <c r="B10" s="24">
        <f t="shared" si="0"/>
        <v>7</v>
      </c>
      <c r="C10" s="110">
        <v>6.08</v>
      </c>
      <c r="D10" s="18" t="s">
        <v>1328</v>
      </c>
      <c r="E10" s="18" t="s">
        <v>1291</v>
      </c>
      <c r="F10" s="19" t="s">
        <v>2579</v>
      </c>
      <c r="G10" s="58">
        <v>37</v>
      </c>
      <c r="H10" s="19" t="s">
        <v>2526</v>
      </c>
      <c r="I10" s="18" t="s">
        <v>1371</v>
      </c>
      <c r="J10" s="20" t="s">
        <v>1352</v>
      </c>
      <c r="K10" s="18" t="s">
        <v>1295</v>
      </c>
      <c r="L10" s="23" t="s">
        <v>214</v>
      </c>
      <c r="M10" s="56" t="s">
        <v>2182</v>
      </c>
      <c r="N10" s="56" t="s">
        <v>2334</v>
      </c>
      <c r="O10" s="99"/>
      <c r="P10" s="57" t="str">
        <f t="shared" si="1"/>
        <v>제03편 제1심 소송절차&gt;37&gt;2&gt;예상</v>
      </c>
      <c r="Q10" s="57" t="str">
        <f t="shared" si="2"/>
        <v>제06장 변론&gt;14&gt;2&gt;예상</v>
      </c>
      <c r="R10" s="57" t="str">
        <f t="shared" si="3"/>
        <v>제06장 변론&gt;제08절 소송절차의 정지&gt;02</v>
      </c>
      <c r="S10" s="57" t="str">
        <f t="shared" si="4"/>
        <v>예상&gt;6.08&gt;1</v>
      </c>
      <c r="T10" s="57" t="str">
        <f t="shared" si="5"/>
        <v>예상&gt;6.08&gt;2</v>
      </c>
    </row>
    <row r="11" spans="2:20" ht="14.45" customHeight="1" x14ac:dyDescent="0.2">
      <c r="B11" s="24">
        <f t="shared" si="0"/>
        <v>8</v>
      </c>
      <c r="C11" s="110">
        <v>6.02</v>
      </c>
      <c r="D11" s="18" t="s">
        <v>3593</v>
      </c>
      <c r="E11" s="18" t="s">
        <v>3599</v>
      </c>
      <c r="F11" s="19" t="s">
        <v>3600</v>
      </c>
      <c r="G11" s="58">
        <v>34</v>
      </c>
      <c r="H11" s="19" t="s">
        <v>2527</v>
      </c>
      <c r="I11" s="18" t="s">
        <v>3612</v>
      </c>
      <c r="J11" s="20" t="s">
        <v>1311</v>
      </c>
      <c r="K11" s="18" t="s">
        <v>3613</v>
      </c>
      <c r="L11" s="19" t="s">
        <v>3575</v>
      </c>
      <c r="M11" s="57" t="s">
        <v>3584</v>
      </c>
      <c r="N11" s="56" t="s">
        <v>3594</v>
      </c>
      <c r="O11" s="99" t="s">
        <v>3518</v>
      </c>
      <c r="P11" s="57" t="str">
        <f t="shared" si="1"/>
        <v>제03편 제1심 소송절차&gt;34&gt;1&gt;예상</v>
      </c>
      <c r="Q11" s="57" t="str">
        <f t="shared" si="2"/>
        <v>제06장 변론&gt;11&gt;1&gt;예상</v>
      </c>
      <c r="R11" s="57" t="str">
        <f t="shared" si="3"/>
        <v>제06장 변론&gt;제02절 심리에 관한 제 원칙&gt;05</v>
      </c>
      <c r="S11" s="57" t="str">
        <f t="shared" si="4"/>
        <v>예상&gt;6.02&gt;2</v>
      </c>
      <c r="T11" s="57" t="str">
        <f t="shared" si="5"/>
        <v>예상&gt;6.02&gt;1</v>
      </c>
    </row>
    <row r="12" spans="2:20" ht="14.45" customHeight="1" x14ac:dyDescent="0.2">
      <c r="B12" s="24">
        <f t="shared" si="0"/>
        <v>9</v>
      </c>
      <c r="C12" s="110">
        <v>6.02</v>
      </c>
      <c r="D12" s="18" t="s">
        <v>3599</v>
      </c>
      <c r="E12" s="18" t="s">
        <v>3593</v>
      </c>
      <c r="F12" s="19" t="s">
        <v>3600</v>
      </c>
      <c r="G12" s="58">
        <v>35</v>
      </c>
      <c r="H12" s="19" t="s">
        <v>2527</v>
      </c>
      <c r="I12" s="18" t="s">
        <v>3610</v>
      </c>
      <c r="J12" s="20" t="s">
        <v>1311</v>
      </c>
      <c r="K12" s="18" t="s">
        <v>3614</v>
      </c>
      <c r="L12" s="19" t="s">
        <v>3576</v>
      </c>
      <c r="M12" s="57" t="s">
        <v>3585</v>
      </c>
      <c r="N12" s="56" t="s">
        <v>3594</v>
      </c>
      <c r="O12" s="99" t="s">
        <v>3518</v>
      </c>
      <c r="P12" s="57" t="str">
        <f t="shared" si="1"/>
        <v>제03편 제1심 소송절차&gt;35&gt;2&gt;예상</v>
      </c>
      <c r="Q12" s="57" t="str">
        <f t="shared" si="2"/>
        <v>제06장 변론&gt;12&gt;2&gt;예상</v>
      </c>
      <c r="R12" s="57" t="str">
        <f t="shared" si="3"/>
        <v>제06장 변론&gt;제02절 심리에 관한 제 원칙&gt;06</v>
      </c>
      <c r="S12" s="57" t="str">
        <f t="shared" si="4"/>
        <v>예상&gt;6.02&gt;1</v>
      </c>
      <c r="T12" s="57" t="str">
        <f t="shared" si="5"/>
        <v>예상&gt;6.02&gt;2</v>
      </c>
    </row>
    <row r="13" spans="2:20" ht="14.45" customHeight="1" x14ac:dyDescent="0.2">
      <c r="B13" s="24">
        <f t="shared" si="0"/>
        <v>10</v>
      </c>
      <c r="C13" s="110">
        <v>5.0599999999999996</v>
      </c>
      <c r="D13" s="18" t="s">
        <v>1346</v>
      </c>
      <c r="E13" s="18" t="s">
        <v>1289</v>
      </c>
      <c r="F13" s="19" t="s">
        <v>2579</v>
      </c>
      <c r="G13" s="58">
        <v>32</v>
      </c>
      <c r="H13" s="19" t="s">
        <v>2564</v>
      </c>
      <c r="I13" s="18" t="s">
        <v>1371</v>
      </c>
      <c r="J13" s="20" t="s">
        <v>1351</v>
      </c>
      <c r="K13" s="18" t="s">
        <v>1283</v>
      </c>
      <c r="L13" s="23" t="s">
        <v>211</v>
      </c>
      <c r="M13" s="56" t="s">
        <v>2175</v>
      </c>
      <c r="N13" s="56" t="s">
        <v>2334</v>
      </c>
      <c r="O13" s="99"/>
      <c r="P13" s="57" t="str">
        <f t="shared" si="1"/>
        <v>제03편 제1심 소송절차&gt;32&gt;1&gt;예상</v>
      </c>
      <c r="Q13" s="57" t="str">
        <f t="shared" si="2"/>
        <v>제05장 소송 개시와 심리 대상&gt;14&gt;1&gt;예상</v>
      </c>
      <c r="R13" s="57" t="str">
        <f t="shared" si="3"/>
        <v>제05장 소송 개시와 심리 대상&gt;제06절 재판장의 소장심사와 그 후의 조치&gt;01</v>
      </c>
      <c r="S13" s="57" t="str">
        <f t="shared" si="4"/>
        <v>예상&gt;5.06&gt;2</v>
      </c>
      <c r="T13" s="57" t="str">
        <f t="shared" si="5"/>
        <v>예상&gt;5.06&gt;1</v>
      </c>
    </row>
    <row r="14" spans="2:20" ht="14.45" customHeight="1" x14ac:dyDescent="0.2">
      <c r="B14" s="24">
        <f t="shared" si="0"/>
        <v>11</v>
      </c>
      <c r="C14" s="110">
        <v>5.0599999999999996</v>
      </c>
      <c r="D14" s="18" t="s">
        <v>1328</v>
      </c>
      <c r="E14" s="18" t="s">
        <v>1291</v>
      </c>
      <c r="F14" s="19" t="s">
        <v>2579</v>
      </c>
      <c r="G14" s="58">
        <v>33</v>
      </c>
      <c r="H14" s="19" t="s">
        <v>2564</v>
      </c>
      <c r="I14" s="18" t="s">
        <v>3616</v>
      </c>
      <c r="J14" s="20" t="s">
        <v>1351</v>
      </c>
      <c r="K14" s="18" t="s">
        <v>1295</v>
      </c>
      <c r="L14" s="23" t="s">
        <v>212</v>
      </c>
      <c r="M14" s="56" t="s">
        <v>2176</v>
      </c>
      <c r="N14" s="56" t="s">
        <v>2334</v>
      </c>
      <c r="O14" s="99"/>
      <c r="P14" s="57" t="str">
        <f t="shared" si="1"/>
        <v>제03편 제1심 소송절차&gt;33&gt;2&gt;예상</v>
      </c>
      <c r="Q14" s="57" t="str">
        <f t="shared" si="2"/>
        <v>제05장 소송 개시와 심리 대상&gt;15&gt;2&gt;예상</v>
      </c>
      <c r="R14" s="57" t="str">
        <f t="shared" si="3"/>
        <v>제05장 소송 개시와 심리 대상&gt;제06절 재판장의 소장심사와 그 후의 조치&gt;02</v>
      </c>
      <c r="S14" s="57" t="str">
        <f t="shared" si="4"/>
        <v>예상&gt;5.06&gt;1</v>
      </c>
      <c r="T14" s="57" t="str">
        <f t="shared" si="5"/>
        <v>예상&gt;5.06&gt;2</v>
      </c>
    </row>
    <row r="15" spans="2:20" ht="14.45" customHeight="1" x14ac:dyDescent="0.2">
      <c r="B15" s="24">
        <f t="shared" si="0"/>
        <v>12</v>
      </c>
      <c r="C15" s="110">
        <v>5.05</v>
      </c>
      <c r="D15" s="18" t="s">
        <v>1346</v>
      </c>
      <c r="E15" s="18" t="s">
        <v>1289</v>
      </c>
      <c r="F15" s="19" t="s">
        <v>2579</v>
      </c>
      <c r="G15" s="58">
        <v>30</v>
      </c>
      <c r="H15" s="19" t="s">
        <v>2564</v>
      </c>
      <c r="I15" s="18" t="s">
        <v>1369</v>
      </c>
      <c r="J15" s="20" t="s">
        <v>1350</v>
      </c>
      <c r="K15" s="18" t="s">
        <v>1283</v>
      </c>
      <c r="L15" s="23" t="s">
        <v>209</v>
      </c>
      <c r="M15" s="56" t="s">
        <v>2173</v>
      </c>
      <c r="N15" s="56" t="s">
        <v>2334</v>
      </c>
      <c r="O15" s="99"/>
      <c r="P15" s="57" t="str">
        <f t="shared" si="1"/>
        <v>제03편 제1심 소송절차&gt;30&gt;1&gt;예상</v>
      </c>
      <c r="Q15" s="57" t="str">
        <f t="shared" si="2"/>
        <v>제05장 소송 개시와 심리 대상&gt;12&gt;1&gt;예상</v>
      </c>
      <c r="R15" s="57" t="str">
        <f t="shared" si="3"/>
        <v>제05장 소송 개시와 심리 대상&gt;제05절 소의 제기&gt;01</v>
      </c>
      <c r="S15" s="57" t="str">
        <f t="shared" si="4"/>
        <v>예상&gt;5.05&gt;2</v>
      </c>
      <c r="T15" s="57" t="str">
        <f t="shared" si="5"/>
        <v>예상&gt;5.05&gt;1</v>
      </c>
    </row>
    <row r="16" spans="2:20" ht="14.45" customHeight="1" x14ac:dyDescent="0.2">
      <c r="B16" s="24">
        <f t="shared" si="0"/>
        <v>13</v>
      </c>
      <c r="C16" s="110">
        <v>5.05</v>
      </c>
      <c r="D16" s="18" t="s">
        <v>1328</v>
      </c>
      <c r="E16" s="18" t="s">
        <v>1291</v>
      </c>
      <c r="F16" s="19" t="s">
        <v>2579</v>
      </c>
      <c r="G16" s="58">
        <v>31</v>
      </c>
      <c r="H16" s="19" t="s">
        <v>2564</v>
      </c>
      <c r="I16" s="18" t="s">
        <v>1370</v>
      </c>
      <c r="J16" s="20" t="s">
        <v>1350</v>
      </c>
      <c r="K16" s="18" t="s">
        <v>1295</v>
      </c>
      <c r="L16" s="23" t="s">
        <v>210</v>
      </c>
      <c r="M16" s="56" t="s">
        <v>2174</v>
      </c>
      <c r="N16" s="56" t="s">
        <v>2334</v>
      </c>
      <c r="O16" s="99"/>
      <c r="P16" s="57" t="str">
        <f t="shared" si="1"/>
        <v>제03편 제1심 소송절차&gt;31&gt;2&gt;예상</v>
      </c>
      <c r="Q16" s="57" t="str">
        <f t="shared" si="2"/>
        <v>제05장 소송 개시와 심리 대상&gt;13&gt;2&gt;예상</v>
      </c>
      <c r="R16" s="57" t="str">
        <f t="shared" si="3"/>
        <v>제05장 소송 개시와 심리 대상&gt;제05절 소의 제기&gt;02</v>
      </c>
      <c r="S16" s="57" t="str">
        <f t="shared" si="4"/>
        <v>예상&gt;5.05&gt;1</v>
      </c>
      <c r="T16" s="57" t="str">
        <f t="shared" si="5"/>
        <v>예상&gt;5.05&gt;2</v>
      </c>
    </row>
    <row r="17" spans="2:20" ht="14.45" customHeight="1" x14ac:dyDescent="0.2">
      <c r="B17" s="24">
        <f t="shared" si="0"/>
        <v>14</v>
      </c>
      <c r="C17" s="110">
        <v>5.04</v>
      </c>
      <c r="D17" s="18" t="s">
        <v>1346</v>
      </c>
      <c r="E17" s="18" t="s">
        <v>1289</v>
      </c>
      <c r="F17" s="19" t="s">
        <v>2579</v>
      </c>
      <c r="G17" s="58">
        <v>28</v>
      </c>
      <c r="H17" s="19" t="s">
        <v>2564</v>
      </c>
      <c r="I17" s="18" t="s">
        <v>1367</v>
      </c>
      <c r="J17" s="20" t="s">
        <v>2596</v>
      </c>
      <c r="K17" s="18" t="s">
        <v>1283</v>
      </c>
      <c r="L17" s="23" t="s">
        <v>207</v>
      </c>
      <c r="M17" s="56" t="s">
        <v>2171</v>
      </c>
      <c r="N17" s="56" t="s">
        <v>2334</v>
      </c>
      <c r="O17" s="99"/>
      <c r="P17" s="57" t="str">
        <f t="shared" si="1"/>
        <v>제03편 제1심 소송절차&gt;28&gt;1&gt;예상</v>
      </c>
      <c r="Q17" s="57" t="str">
        <f t="shared" si="2"/>
        <v>제05장 소송 개시와 심리 대상&gt;10&gt;1&gt;예상</v>
      </c>
      <c r="R17" s="57" t="str">
        <f t="shared" si="3"/>
        <v>제05장 소송 개시와 심리 대상&gt;제04절 소송물&gt;01</v>
      </c>
      <c r="S17" s="57" t="str">
        <f t="shared" si="4"/>
        <v>예상&gt;5.04&gt;2</v>
      </c>
      <c r="T17" s="57" t="str">
        <f t="shared" si="5"/>
        <v>예상&gt;5.04&gt;1</v>
      </c>
    </row>
    <row r="18" spans="2:20" ht="14.45" customHeight="1" x14ac:dyDescent="0.2">
      <c r="B18" s="24">
        <f t="shared" si="0"/>
        <v>15</v>
      </c>
      <c r="C18" s="110">
        <v>5.04</v>
      </c>
      <c r="D18" s="18" t="s">
        <v>1328</v>
      </c>
      <c r="E18" s="18" t="s">
        <v>1291</v>
      </c>
      <c r="F18" s="19" t="s">
        <v>2579</v>
      </c>
      <c r="G18" s="58">
        <v>29</v>
      </c>
      <c r="H18" s="19" t="s">
        <v>2564</v>
      </c>
      <c r="I18" s="18" t="s">
        <v>1368</v>
      </c>
      <c r="J18" s="20" t="s">
        <v>2596</v>
      </c>
      <c r="K18" s="18" t="s">
        <v>1295</v>
      </c>
      <c r="L18" s="23" t="s">
        <v>208</v>
      </c>
      <c r="M18" s="56" t="s">
        <v>2172</v>
      </c>
      <c r="N18" s="56" t="s">
        <v>2334</v>
      </c>
      <c r="O18" s="99"/>
      <c r="P18" s="57" t="str">
        <f t="shared" si="1"/>
        <v>제03편 제1심 소송절차&gt;29&gt;2&gt;예상</v>
      </c>
      <c r="Q18" s="57" t="str">
        <f t="shared" si="2"/>
        <v>제05장 소송 개시와 심리 대상&gt;11&gt;2&gt;예상</v>
      </c>
      <c r="R18" s="57" t="str">
        <f t="shared" si="3"/>
        <v>제05장 소송 개시와 심리 대상&gt;제04절 소송물&gt;02</v>
      </c>
      <c r="S18" s="57" t="str">
        <f t="shared" si="4"/>
        <v>예상&gt;5.04&gt;1</v>
      </c>
      <c r="T18" s="57" t="str">
        <f t="shared" si="5"/>
        <v>예상&gt;5.04&gt;2</v>
      </c>
    </row>
    <row r="19" spans="2:20" ht="14.45" customHeight="1" x14ac:dyDescent="0.2">
      <c r="B19" s="24">
        <f t="shared" si="0"/>
        <v>16</v>
      </c>
      <c r="C19" s="110">
        <v>5.0199999999999996</v>
      </c>
      <c r="D19" s="18" t="s">
        <v>1346</v>
      </c>
      <c r="E19" s="18" t="s">
        <v>1287</v>
      </c>
      <c r="F19" s="19" t="s">
        <v>2579</v>
      </c>
      <c r="G19" s="58">
        <v>25</v>
      </c>
      <c r="H19" s="19" t="s">
        <v>2564</v>
      </c>
      <c r="I19" s="18" t="s">
        <v>1332</v>
      </c>
      <c r="J19" s="20" t="s">
        <v>1349</v>
      </c>
      <c r="K19" s="18" t="s">
        <v>1283</v>
      </c>
      <c r="L19" s="23" t="s">
        <v>2291</v>
      </c>
      <c r="M19" s="56" t="s">
        <v>2392</v>
      </c>
      <c r="N19" s="56" t="s">
        <v>2334</v>
      </c>
      <c r="O19" s="99"/>
      <c r="P19" s="57" t="str">
        <f t="shared" si="1"/>
        <v>제03편 제1심 소송절차&gt;25&gt;1&gt;예상</v>
      </c>
      <c r="Q19" s="57" t="str">
        <f t="shared" si="2"/>
        <v>제05장 소송 개시와 심리 대상&gt;07&gt;1&gt;예상</v>
      </c>
      <c r="R19" s="57" t="str">
        <f t="shared" si="3"/>
        <v>제05장 소송 개시와 심리 대상&gt;제02절 소송요건&gt;01</v>
      </c>
      <c r="S19" s="57" t="str">
        <f t="shared" si="4"/>
        <v>예상&gt;5.02&gt;3</v>
      </c>
      <c r="T19" s="57" t="str">
        <f t="shared" si="5"/>
        <v>예상&gt;5.02&gt;1</v>
      </c>
    </row>
    <row r="20" spans="2:20" ht="14.45" customHeight="1" x14ac:dyDescent="0.2">
      <c r="B20" s="24">
        <f t="shared" si="0"/>
        <v>17</v>
      </c>
      <c r="C20" s="110">
        <v>5.0199999999999996</v>
      </c>
      <c r="D20" s="18" t="s">
        <v>1328</v>
      </c>
      <c r="E20" s="18" t="s">
        <v>1289</v>
      </c>
      <c r="F20" s="19" t="s">
        <v>2579</v>
      </c>
      <c r="G20" s="58">
        <v>26</v>
      </c>
      <c r="H20" s="19" t="s">
        <v>2564</v>
      </c>
      <c r="I20" s="18" t="s">
        <v>1343</v>
      </c>
      <c r="J20" s="20" t="s">
        <v>1349</v>
      </c>
      <c r="K20" s="18" t="s">
        <v>1295</v>
      </c>
      <c r="L20" s="23" t="s">
        <v>2293</v>
      </c>
      <c r="M20" s="56" t="s">
        <v>2393</v>
      </c>
      <c r="N20" s="56" t="s">
        <v>2334</v>
      </c>
      <c r="O20" s="99"/>
      <c r="P20" s="57" t="str">
        <f t="shared" si="1"/>
        <v>제03편 제1심 소송절차&gt;26&gt;2&gt;예상</v>
      </c>
      <c r="Q20" s="57" t="str">
        <f t="shared" si="2"/>
        <v>제05장 소송 개시와 심리 대상&gt;08&gt;2&gt;예상</v>
      </c>
      <c r="R20" s="57" t="str">
        <f t="shared" si="3"/>
        <v>제05장 소송 개시와 심리 대상&gt;제02절 소송요건&gt;02</v>
      </c>
      <c r="S20" s="57" t="str">
        <f t="shared" si="4"/>
        <v>예상&gt;5.02&gt;2</v>
      </c>
      <c r="T20" s="57" t="str">
        <f t="shared" si="5"/>
        <v>예상&gt;5.02&gt;2</v>
      </c>
    </row>
    <row r="21" spans="2:20" ht="14.45" customHeight="1" x14ac:dyDescent="0.2">
      <c r="B21" s="24">
        <f t="shared" si="0"/>
        <v>18</v>
      </c>
      <c r="C21" s="110">
        <v>5.0199999999999996</v>
      </c>
      <c r="D21" s="18" t="s">
        <v>3638</v>
      </c>
      <c r="E21" s="18" t="s">
        <v>3639</v>
      </c>
      <c r="F21" s="19" t="s">
        <v>2579</v>
      </c>
      <c r="G21" s="58">
        <v>27</v>
      </c>
      <c r="H21" s="19" t="s">
        <v>2564</v>
      </c>
      <c r="I21" s="18" t="s">
        <v>3640</v>
      </c>
      <c r="J21" s="20" t="s">
        <v>3432</v>
      </c>
      <c r="K21" s="18" t="s">
        <v>3641</v>
      </c>
      <c r="L21" s="23" t="s">
        <v>3642</v>
      </c>
      <c r="M21" s="56" t="s">
        <v>3636</v>
      </c>
      <c r="N21" s="56" t="s">
        <v>3637</v>
      </c>
      <c r="O21" s="99" t="s">
        <v>3635</v>
      </c>
      <c r="P21" s="57" t="str">
        <f t="shared" si="1"/>
        <v>제03편 제1심 소송절차&gt;27&gt;3&gt;예상</v>
      </c>
      <c r="Q21" s="57" t="str">
        <f t="shared" si="2"/>
        <v>제05장 소송 개시와 심리 대상&gt;09&gt;3&gt;예상</v>
      </c>
      <c r="R21" s="57" t="str">
        <f t="shared" si="3"/>
        <v>제05장 소송 개시와 심리 대상&gt;제02절 소송요건&gt;03</v>
      </c>
      <c r="S21" s="57" t="str">
        <f t="shared" si="4"/>
        <v>예상&gt;5.02&gt;1</v>
      </c>
      <c r="T21" s="57" t="str">
        <f t="shared" si="5"/>
        <v>예상&gt;5.02&gt;3</v>
      </c>
    </row>
    <row r="22" spans="2:20" ht="14.45" customHeight="1" x14ac:dyDescent="0.2">
      <c r="B22" s="24">
        <f t="shared" si="0"/>
        <v>19</v>
      </c>
      <c r="C22" s="110">
        <v>4.03</v>
      </c>
      <c r="D22" s="18" t="s">
        <v>3593</v>
      </c>
      <c r="E22" s="18" t="s">
        <v>3593</v>
      </c>
      <c r="F22" s="19" t="s">
        <v>3597</v>
      </c>
      <c r="G22" s="58">
        <v>20</v>
      </c>
      <c r="H22" s="19" t="s">
        <v>2525</v>
      </c>
      <c r="I22" s="18" t="s">
        <v>3619</v>
      </c>
      <c r="J22" s="20" t="s">
        <v>1317</v>
      </c>
      <c r="K22" s="18" t="s">
        <v>3609</v>
      </c>
      <c r="L22" s="19" t="s">
        <v>3574</v>
      </c>
      <c r="M22" s="57" t="s">
        <v>3583</v>
      </c>
      <c r="N22" s="56" t="s">
        <v>3594</v>
      </c>
      <c r="O22" s="99" t="s">
        <v>3518</v>
      </c>
      <c r="P22" s="57" t="str">
        <f t="shared" si="1"/>
        <v>제02편 소송의 주체&gt;20&gt;1&gt;예상</v>
      </c>
      <c r="Q22" s="57" t="str">
        <f t="shared" si="2"/>
        <v>제04장 당사자&gt;13&gt;1&gt;예상</v>
      </c>
      <c r="R22" s="57" t="str">
        <f t="shared" si="3"/>
        <v>제04장 당사자&gt;제03절 소송상의 대리인&gt;04</v>
      </c>
      <c r="S22" s="57" t="str">
        <f t="shared" si="4"/>
        <v>예상&gt;4.03&gt;1</v>
      </c>
      <c r="T22" s="57" t="str">
        <f t="shared" si="5"/>
        <v>예상&gt;4.03&gt;1</v>
      </c>
    </row>
    <row r="23" spans="2:20" ht="14.45" customHeight="1" x14ac:dyDescent="0.2">
      <c r="B23" s="24">
        <f t="shared" si="0"/>
        <v>20</v>
      </c>
      <c r="C23" s="110">
        <v>4.0199999999999996</v>
      </c>
      <c r="D23" s="18" t="s">
        <v>3599</v>
      </c>
      <c r="E23" s="18" t="s">
        <v>3599</v>
      </c>
      <c r="F23" s="19" t="s">
        <v>3597</v>
      </c>
      <c r="G23" s="58">
        <v>19</v>
      </c>
      <c r="H23" s="19" t="s">
        <v>2525</v>
      </c>
      <c r="I23" s="18" t="s">
        <v>3610</v>
      </c>
      <c r="J23" s="20" t="s">
        <v>1307</v>
      </c>
      <c r="K23" s="18" t="s">
        <v>3608</v>
      </c>
      <c r="L23" s="19" t="s">
        <v>3578</v>
      </c>
      <c r="M23" s="57" t="s">
        <v>3582</v>
      </c>
      <c r="N23" s="56" t="s">
        <v>3594</v>
      </c>
      <c r="O23" s="99" t="s">
        <v>3518</v>
      </c>
      <c r="P23" s="57" t="str">
        <f t="shared" si="1"/>
        <v>제02편 소송의 주체&gt;19&gt;2&gt;예상</v>
      </c>
      <c r="Q23" s="57" t="str">
        <f t="shared" si="2"/>
        <v>제04장 당사자&gt;12&gt;2&gt;예상</v>
      </c>
      <c r="R23" s="57" t="str">
        <f t="shared" si="3"/>
        <v>제04장 당사자&gt;제02절 당사자의 자격&gt;07</v>
      </c>
      <c r="S23" s="57" t="str">
        <f t="shared" si="4"/>
        <v>예상&gt;4.02&gt;2</v>
      </c>
      <c r="T23" s="57" t="str">
        <f t="shared" si="5"/>
        <v>예상&gt;4.02&gt;2</v>
      </c>
    </row>
    <row r="24" spans="2:20" ht="14.45" customHeight="1" x14ac:dyDescent="0.2">
      <c r="B24" s="24">
        <f t="shared" si="0"/>
        <v>21</v>
      </c>
      <c r="C24" s="110">
        <v>4.0199999999999996</v>
      </c>
      <c r="D24" s="18" t="s">
        <v>2376</v>
      </c>
      <c r="E24" s="18" t="s">
        <v>2376</v>
      </c>
      <c r="F24" s="19" t="s">
        <v>2533</v>
      </c>
      <c r="G24" s="58">
        <v>18</v>
      </c>
      <c r="H24" s="19" t="s">
        <v>2524</v>
      </c>
      <c r="I24" s="18" t="s">
        <v>2382</v>
      </c>
      <c r="J24" s="20" t="s">
        <v>1307</v>
      </c>
      <c r="K24" s="18" t="s">
        <v>2378</v>
      </c>
      <c r="L24" s="19" t="s">
        <v>3508</v>
      </c>
      <c r="M24" s="57" t="s">
        <v>3509</v>
      </c>
      <c r="N24" s="56" t="s">
        <v>2334</v>
      </c>
      <c r="O24" s="99"/>
      <c r="P24" s="57" t="str">
        <f t="shared" si="1"/>
        <v>제02편 소송의 주체&gt;18&gt;1&gt;예상</v>
      </c>
      <c r="Q24" s="57" t="str">
        <f t="shared" si="2"/>
        <v>제04장 당사자&gt;11&gt;1&gt;예상</v>
      </c>
      <c r="R24" s="57" t="str">
        <f t="shared" si="3"/>
        <v>제04장 당사자&gt;제02절 당사자의 자격&gt;06</v>
      </c>
      <c r="S24" s="57" t="str">
        <f t="shared" si="4"/>
        <v>예상&gt;4.02&gt;1</v>
      </c>
      <c r="T24" s="57" t="str">
        <f t="shared" si="5"/>
        <v>예상&gt;4.02&gt;1</v>
      </c>
    </row>
    <row r="25" spans="2:20" ht="14.45" customHeight="1" x14ac:dyDescent="0.2">
      <c r="B25" s="24">
        <f t="shared" si="0"/>
        <v>22</v>
      </c>
      <c r="C25" s="110">
        <v>4.01</v>
      </c>
      <c r="D25" s="18" t="s">
        <v>2376</v>
      </c>
      <c r="E25" s="18" t="s">
        <v>2376</v>
      </c>
      <c r="F25" s="19" t="s">
        <v>2533</v>
      </c>
      <c r="G25" s="58">
        <v>17</v>
      </c>
      <c r="H25" s="19" t="s">
        <v>2524</v>
      </c>
      <c r="I25" s="18" t="s">
        <v>2377</v>
      </c>
      <c r="J25" s="20" t="s">
        <v>1669</v>
      </c>
      <c r="K25" s="18" t="s">
        <v>2379</v>
      </c>
      <c r="L25" s="19" t="s">
        <v>2381</v>
      </c>
      <c r="M25" s="57" t="s">
        <v>2388</v>
      </c>
      <c r="N25" s="56" t="s">
        <v>2334</v>
      </c>
      <c r="O25" s="99"/>
      <c r="P25" s="57" t="str">
        <f t="shared" si="1"/>
        <v>제02편 소송의 주체&gt;17&gt;1&gt;예상</v>
      </c>
      <c r="Q25" s="57" t="str">
        <f t="shared" si="2"/>
        <v>제04장 당사자&gt;10&gt;1&gt;예상</v>
      </c>
      <c r="R25" s="57" t="str">
        <f t="shared" si="3"/>
        <v>제04장 당사자&gt;제01절 당사자의 개관&gt;02</v>
      </c>
      <c r="S25" s="57" t="str">
        <f t="shared" si="4"/>
        <v>예상&gt;4.01&gt;1</v>
      </c>
      <c r="T25" s="57" t="str">
        <f t="shared" si="5"/>
        <v>예상&gt;4.01&gt;1</v>
      </c>
    </row>
    <row r="26" spans="2:20" ht="14.45" customHeight="1" x14ac:dyDescent="0.2">
      <c r="B26" s="24">
        <f t="shared" si="0"/>
        <v>23</v>
      </c>
      <c r="C26" s="110">
        <v>3.02</v>
      </c>
      <c r="D26" s="18" t="s">
        <v>1346</v>
      </c>
      <c r="E26" s="18" t="s">
        <v>1284</v>
      </c>
      <c r="F26" s="19" t="s">
        <v>2533</v>
      </c>
      <c r="G26" s="58">
        <v>13</v>
      </c>
      <c r="H26" s="19" t="s">
        <v>2522</v>
      </c>
      <c r="I26" s="18" t="s">
        <v>1312</v>
      </c>
      <c r="J26" s="20" t="s">
        <v>1348</v>
      </c>
      <c r="K26" s="18" t="s">
        <v>1283</v>
      </c>
      <c r="L26" s="23" t="s">
        <v>2295</v>
      </c>
      <c r="M26" s="56" t="s">
        <v>2387</v>
      </c>
      <c r="N26" s="56" t="s">
        <v>2334</v>
      </c>
      <c r="O26" s="99"/>
      <c r="P26" s="57" t="str">
        <f t="shared" si="1"/>
        <v>제02편 소송의 주체&gt;13&gt;1&gt;예상</v>
      </c>
      <c r="Q26" s="57" t="str">
        <f t="shared" si="2"/>
        <v>제03장 법원&gt;04&gt;1&gt;예상</v>
      </c>
      <c r="R26" s="57" t="str">
        <f t="shared" si="3"/>
        <v>제03장 법원&gt;제02절 법관의 제척・기피・회피&gt;01</v>
      </c>
      <c r="S26" s="57" t="str">
        <f t="shared" si="4"/>
        <v>예상&gt;3.02&gt;4</v>
      </c>
      <c r="T26" s="57" t="str">
        <f t="shared" si="5"/>
        <v>예상&gt;3.02&gt;1</v>
      </c>
    </row>
    <row r="27" spans="2:20" ht="14.45" customHeight="1" x14ac:dyDescent="0.2">
      <c r="B27" s="24">
        <f t="shared" si="0"/>
        <v>24</v>
      </c>
      <c r="C27" s="110">
        <v>3.02</v>
      </c>
      <c r="D27" s="18" t="s">
        <v>1328</v>
      </c>
      <c r="E27" s="18" t="s">
        <v>1287</v>
      </c>
      <c r="F27" s="19" t="s">
        <v>2533</v>
      </c>
      <c r="G27" s="58">
        <v>14</v>
      </c>
      <c r="H27" s="19" t="s">
        <v>2522</v>
      </c>
      <c r="I27" s="18" t="s">
        <v>1325</v>
      </c>
      <c r="J27" s="20" t="s">
        <v>1347</v>
      </c>
      <c r="K27" s="18" t="s">
        <v>1295</v>
      </c>
      <c r="L27" s="23" t="s">
        <v>205</v>
      </c>
      <c r="M27" s="56" t="s">
        <v>2165</v>
      </c>
      <c r="N27" s="56" t="s">
        <v>2334</v>
      </c>
      <c r="O27" s="99"/>
      <c r="P27" s="57" t="str">
        <f t="shared" si="1"/>
        <v>제02편 소송의 주체&gt;14&gt;2&gt;예상</v>
      </c>
      <c r="Q27" s="57" t="str">
        <f t="shared" si="2"/>
        <v>제03장 법원&gt;05&gt;2&gt;예상</v>
      </c>
      <c r="R27" s="57" t="str">
        <f t="shared" si="3"/>
        <v>제03장 법원&gt;제02절 법관의 제척・기피・회피&gt;02</v>
      </c>
      <c r="S27" s="57" t="str">
        <f t="shared" si="4"/>
        <v>예상&gt;3.02&gt;3</v>
      </c>
      <c r="T27" s="57" t="str">
        <f t="shared" si="5"/>
        <v>예상&gt;3.02&gt;2</v>
      </c>
    </row>
    <row r="28" spans="2:20" ht="14.45" customHeight="1" x14ac:dyDescent="0.2">
      <c r="B28" s="24">
        <f t="shared" si="0"/>
        <v>25</v>
      </c>
      <c r="C28" s="110">
        <v>3.02</v>
      </c>
      <c r="D28" s="18" t="s">
        <v>1329</v>
      </c>
      <c r="E28" s="18" t="s">
        <v>1289</v>
      </c>
      <c r="F28" s="19" t="s">
        <v>2533</v>
      </c>
      <c r="G28" s="58">
        <v>15</v>
      </c>
      <c r="H28" s="19" t="s">
        <v>2522</v>
      </c>
      <c r="I28" s="18" t="s">
        <v>1331</v>
      </c>
      <c r="J28" s="20" t="s">
        <v>1347</v>
      </c>
      <c r="K28" s="18" t="s">
        <v>1305</v>
      </c>
      <c r="L28" s="23" t="s">
        <v>206</v>
      </c>
      <c r="M28" s="56" t="s">
        <v>2166</v>
      </c>
      <c r="N28" s="56" t="s">
        <v>2334</v>
      </c>
      <c r="O28" s="99"/>
      <c r="P28" s="57" t="str">
        <f t="shared" si="1"/>
        <v>제02편 소송의 주체&gt;15&gt;3&gt;예상</v>
      </c>
      <c r="Q28" s="57" t="str">
        <f t="shared" si="2"/>
        <v>제03장 법원&gt;06&gt;3&gt;예상</v>
      </c>
      <c r="R28" s="57" t="str">
        <f t="shared" si="3"/>
        <v>제03장 법원&gt;제02절 법관의 제척・기피・회피&gt;03</v>
      </c>
      <c r="S28" s="57" t="str">
        <f t="shared" si="4"/>
        <v>예상&gt;3.02&gt;2</v>
      </c>
      <c r="T28" s="57" t="str">
        <f t="shared" si="5"/>
        <v>예상&gt;3.02&gt;3</v>
      </c>
    </row>
    <row r="29" spans="2:20" ht="14.45" customHeight="1" x14ac:dyDescent="0.2">
      <c r="B29" s="24">
        <f t="shared" si="0"/>
        <v>26</v>
      </c>
      <c r="C29" s="110">
        <v>3.02</v>
      </c>
      <c r="D29" s="18" t="s">
        <v>3596</v>
      </c>
      <c r="E29" s="18" t="s">
        <v>3593</v>
      </c>
      <c r="F29" s="19" t="s">
        <v>3597</v>
      </c>
      <c r="G29" s="58">
        <v>16</v>
      </c>
      <c r="H29" s="19" t="s">
        <v>3598</v>
      </c>
      <c r="I29" s="18" t="s">
        <v>3608</v>
      </c>
      <c r="J29" s="20" t="s">
        <v>1348</v>
      </c>
      <c r="K29" s="18" t="s">
        <v>3609</v>
      </c>
      <c r="L29" s="23" t="s">
        <v>3572</v>
      </c>
      <c r="M29" s="56" t="s">
        <v>3581</v>
      </c>
      <c r="N29" s="56" t="s">
        <v>3594</v>
      </c>
      <c r="O29" s="99" t="s">
        <v>3518</v>
      </c>
      <c r="P29" s="57" t="str">
        <f t="shared" si="1"/>
        <v>제02편 소송의 주체&gt;16&gt;4&gt;예상</v>
      </c>
      <c r="Q29" s="57" t="str">
        <f t="shared" si="2"/>
        <v>제03장 법원&gt;07&gt;4&gt;예상</v>
      </c>
      <c r="R29" s="57" t="str">
        <f t="shared" si="3"/>
        <v>제03장 법원&gt;제02절 법관의 제척・기피・회피&gt;04</v>
      </c>
      <c r="S29" s="57" t="str">
        <f t="shared" si="4"/>
        <v>예상&gt;3.02&gt;1</v>
      </c>
      <c r="T29" s="57" t="str">
        <f t="shared" si="5"/>
        <v>예상&gt;3.02&gt;4</v>
      </c>
    </row>
    <row r="30" spans="2:20" ht="14.45" customHeight="1" x14ac:dyDescent="0.2">
      <c r="B30" s="24">
        <f t="shared" si="0"/>
        <v>27</v>
      </c>
      <c r="C30" s="110">
        <v>17.05</v>
      </c>
      <c r="D30" s="18" t="s">
        <v>1346</v>
      </c>
      <c r="E30" s="18" t="s">
        <v>1289</v>
      </c>
      <c r="F30" s="19" t="s">
        <v>2537</v>
      </c>
      <c r="G30" s="60" t="s">
        <v>3617</v>
      </c>
      <c r="H30" s="19" t="s">
        <v>2561</v>
      </c>
      <c r="I30" s="18" t="s">
        <v>1343</v>
      </c>
      <c r="J30" s="20" t="s">
        <v>1365</v>
      </c>
      <c r="K30" s="18" t="s">
        <v>1283</v>
      </c>
      <c r="L30" s="23" t="s">
        <v>238</v>
      </c>
      <c r="M30" s="56" t="s">
        <v>2219</v>
      </c>
      <c r="N30" s="56" t="s">
        <v>2334</v>
      </c>
      <c r="O30" s="99"/>
      <c r="P30" s="57" t="str">
        <f t="shared" si="1"/>
        <v>제07편 재심절차&gt;08&gt;1&gt;예상</v>
      </c>
      <c r="Q30" s="57" t="str">
        <f t="shared" si="2"/>
        <v>제17장 재심&gt;08&gt;1&gt;예상</v>
      </c>
      <c r="R30" s="57" t="str">
        <f t="shared" si="3"/>
        <v>제17장 재심&gt;제05절 준재심&gt;01</v>
      </c>
      <c r="S30" s="57" t="str">
        <f t="shared" si="4"/>
        <v>예상&gt;17.05&gt;2</v>
      </c>
      <c r="T30" s="57" t="str">
        <f t="shared" si="5"/>
        <v>예상&gt;17.05&gt;1</v>
      </c>
    </row>
    <row r="31" spans="2:20" ht="14.45" customHeight="1" x14ac:dyDescent="0.2">
      <c r="B31" s="24">
        <f t="shared" si="0"/>
        <v>28</v>
      </c>
      <c r="C31" s="110">
        <v>17.05</v>
      </c>
      <c r="D31" s="18" t="s">
        <v>1328</v>
      </c>
      <c r="E31" s="18" t="s">
        <v>1291</v>
      </c>
      <c r="F31" s="19" t="s">
        <v>2537</v>
      </c>
      <c r="G31" s="60" t="s">
        <v>3618</v>
      </c>
      <c r="H31" s="19" t="s">
        <v>2561</v>
      </c>
      <c r="I31" s="18" t="s">
        <v>1366</v>
      </c>
      <c r="J31" s="20" t="s">
        <v>1365</v>
      </c>
      <c r="K31" s="18" t="s">
        <v>1295</v>
      </c>
      <c r="L31" s="23" t="s">
        <v>2591</v>
      </c>
      <c r="M31" s="56" t="s">
        <v>2592</v>
      </c>
      <c r="N31" s="56" t="s">
        <v>2334</v>
      </c>
      <c r="O31" s="99"/>
      <c r="P31" s="57" t="str">
        <f t="shared" si="1"/>
        <v>제07편 재심절차&gt;09&gt;2&gt;예상</v>
      </c>
      <c r="Q31" s="57" t="str">
        <f t="shared" si="2"/>
        <v>제17장 재심&gt;09&gt;2&gt;예상</v>
      </c>
      <c r="R31" s="57" t="str">
        <f t="shared" si="3"/>
        <v>제17장 재심&gt;제05절 준재심&gt;02</v>
      </c>
      <c r="S31" s="57" t="str">
        <f t="shared" si="4"/>
        <v>예상&gt;17.05&gt;1</v>
      </c>
      <c r="T31" s="57" t="str">
        <f t="shared" si="5"/>
        <v>예상&gt;17.05&gt;2</v>
      </c>
    </row>
    <row r="32" spans="2:20" ht="14.45" customHeight="1" x14ac:dyDescent="0.2">
      <c r="B32" s="24">
        <f t="shared" si="0"/>
        <v>29</v>
      </c>
      <c r="C32" s="110">
        <v>17.04</v>
      </c>
      <c r="D32" s="18" t="s">
        <v>1346</v>
      </c>
      <c r="E32" s="18" t="s">
        <v>1289</v>
      </c>
      <c r="F32" s="19" t="s">
        <v>2537</v>
      </c>
      <c r="G32" s="60" t="s">
        <v>3614</v>
      </c>
      <c r="H32" s="19" t="s">
        <v>2561</v>
      </c>
      <c r="I32" s="18" t="s">
        <v>1331</v>
      </c>
      <c r="J32" s="20" t="s">
        <v>1364</v>
      </c>
      <c r="K32" s="18" t="s">
        <v>1283</v>
      </c>
      <c r="L32" s="23" t="s">
        <v>236</v>
      </c>
      <c r="M32" s="56" t="s">
        <v>2217</v>
      </c>
      <c r="N32" s="56" t="s">
        <v>2334</v>
      </c>
      <c r="O32" s="99"/>
      <c r="P32" s="57" t="str">
        <f t="shared" si="1"/>
        <v>제07편 재심절차&gt;06&gt;1&gt;예상</v>
      </c>
      <c r="Q32" s="57" t="str">
        <f t="shared" si="2"/>
        <v>제17장 재심&gt;06&gt;1&gt;예상</v>
      </c>
      <c r="R32" s="57" t="str">
        <f t="shared" si="3"/>
        <v>제17장 재심&gt;제04절 재심절차&gt;01</v>
      </c>
      <c r="S32" s="57" t="str">
        <f t="shared" si="4"/>
        <v>예상&gt;17.04&gt;2</v>
      </c>
      <c r="T32" s="57" t="str">
        <f t="shared" si="5"/>
        <v>예상&gt;17.04&gt;1</v>
      </c>
    </row>
    <row r="33" spans="2:20" ht="14.45" customHeight="1" x14ac:dyDescent="0.2">
      <c r="B33" s="24">
        <f t="shared" si="0"/>
        <v>30</v>
      </c>
      <c r="C33" s="110">
        <v>17.04</v>
      </c>
      <c r="D33" s="18" t="s">
        <v>1328</v>
      </c>
      <c r="E33" s="18" t="s">
        <v>1291</v>
      </c>
      <c r="F33" s="19" t="s">
        <v>2537</v>
      </c>
      <c r="G33" s="60" t="s">
        <v>3608</v>
      </c>
      <c r="H33" s="19" t="s">
        <v>2561</v>
      </c>
      <c r="I33" s="18" t="s">
        <v>1332</v>
      </c>
      <c r="J33" s="20" t="s">
        <v>1364</v>
      </c>
      <c r="K33" s="18" t="s">
        <v>1295</v>
      </c>
      <c r="L33" s="23" t="s">
        <v>237</v>
      </c>
      <c r="M33" s="56" t="s">
        <v>2218</v>
      </c>
      <c r="N33" s="56" t="s">
        <v>2334</v>
      </c>
      <c r="O33" s="99"/>
      <c r="P33" s="57" t="str">
        <f t="shared" si="1"/>
        <v>제07편 재심절차&gt;07&gt;2&gt;예상</v>
      </c>
      <c r="Q33" s="57" t="str">
        <f t="shared" si="2"/>
        <v>제17장 재심&gt;07&gt;2&gt;예상</v>
      </c>
      <c r="R33" s="57" t="str">
        <f t="shared" si="3"/>
        <v>제17장 재심&gt;제04절 재심절차&gt;02</v>
      </c>
      <c r="S33" s="57" t="str">
        <f t="shared" si="4"/>
        <v>예상&gt;17.04&gt;1</v>
      </c>
      <c r="T33" s="57" t="str">
        <f t="shared" si="5"/>
        <v>예상&gt;17.04&gt;2</v>
      </c>
    </row>
    <row r="34" spans="2:20" ht="14.45" customHeight="1" x14ac:dyDescent="0.2">
      <c r="B34" s="24">
        <f t="shared" si="0"/>
        <v>31</v>
      </c>
      <c r="C34" s="110">
        <v>17.03</v>
      </c>
      <c r="D34" s="18" t="s">
        <v>1346</v>
      </c>
      <c r="E34" s="18" t="s">
        <v>1287</v>
      </c>
      <c r="F34" s="19" t="s">
        <v>2537</v>
      </c>
      <c r="G34" s="58" t="s">
        <v>2568</v>
      </c>
      <c r="H34" s="19" t="s">
        <v>2561</v>
      </c>
      <c r="I34" s="18" t="s">
        <v>1305</v>
      </c>
      <c r="J34" s="20" t="s">
        <v>1363</v>
      </c>
      <c r="K34" s="18" t="s">
        <v>1283</v>
      </c>
      <c r="L34" s="23" t="s">
        <v>234</v>
      </c>
      <c r="M34" s="56" t="s">
        <v>2215</v>
      </c>
      <c r="N34" s="56" t="s">
        <v>2334</v>
      </c>
      <c r="O34" s="99"/>
      <c r="P34" s="57" t="str">
        <f t="shared" si="1"/>
        <v>제07편 재심절차&gt;03&gt;1&gt;예상</v>
      </c>
      <c r="Q34" s="57" t="str">
        <f t="shared" si="2"/>
        <v>제17장 재심&gt;03&gt;1&gt;예상</v>
      </c>
      <c r="R34" s="57" t="str">
        <f t="shared" si="3"/>
        <v>제17장 재심&gt;제03절 적법요건&gt;01</v>
      </c>
      <c r="S34" s="57" t="str">
        <f t="shared" si="4"/>
        <v>예상&gt;17.03&gt;3</v>
      </c>
      <c r="T34" s="57" t="str">
        <f t="shared" si="5"/>
        <v>예상&gt;17.03&gt;1</v>
      </c>
    </row>
    <row r="35" spans="2:20" ht="14.45" customHeight="1" x14ac:dyDescent="0.2">
      <c r="B35" s="24">
        <f t="shared" si="0"/>
        <v>32</v>
      </c>
      <c r="C35" s="110">
        <v>17.03</v>
      </c>
      <c r="D35" s="18" t="s">
        <v>1328</v>
      </c>
      <c r="E35" s="18" t="s">
        <v>1289</v>
      </c>
      <c r="F35" s="19" t="s">
        <v>2537</v>
      </c>
      <c r="G35" s="58" t="s">
        <v>2569</v>
      </c>
      <c r="H35" s="19" t="s">
        <v>2561</v>
      </c>
      <c r="I35" s="18" t="s">
        <v>1312</v>
      </c>
      <c r="J35" s="20" t="s">
        <v>1363</v>
      </c>
      <c r="K35" s="18" t="s">
        <v>1295</v>
      </c>
      <c r="L35" s="23" t="s">
        <v>235</v>
      </c>
      <c r="M35" s="56" t="s">
        <v>2216</v>
      </c>
      <c r="N35" s="56" t="s">
        <v>2334</v>
      </c>
      <c r="O35" s="99"/>
      <c r="P35" s="57" t="str">
        <f t="shared" si="1"/>
        <v>제07편 재심절차&gt;04&gt;2&gt;예상</v>
      </c>
      <c r="Q35" s="57" t="str">
        <f t="shared" si="2"/>
        <v>제17장 재심&gt;04&gt;2&gt;예상</v>
      </c>
      <c r="R35" s="57" t="str">
        <f t="shared" si="3"/>
        <v>제17장 재심&gt;제03절 적법요건&gt;02</v>
      </c>
      <c r="S35" s="57" t="str">
        <f t="shared" si="4"/>
        <v>예상&gt;17.03&gt;2</v>
      </c>
      <c r="T35" s="57" t="str">
        <f t="shared" si="5"/>
        <v>예상&gt;17.03&gt;2</v>
      </c>
    </row>
    <row r="36" spans="2:20" ht="14.45" customHeight="1" x14ac:dyDescent="0.2">
      <c r="B36" s="24">
        <f t="shared" ref="B36:B67" si="6">ROW()-3</f>
        <v>33</v>
      </c>
      <c r="C36" s="110">
        <v>17.03</v>
      </c>
      <c r="D36" s="18" t="s">
        <v>3611</v>
      </c>
      <c r="E36" s="18" t="s">
        <v>3593</v>
      </c>
      <c r="F36" s="19" t="s">
        <v>3603</v>
      </c>
      <c r="G36" s="60" t="s">
        <v>3613</v>
      </c>
      <c r="H36" s="19" t="s">
        <v>3604</v>
      </c>
      <c r="I36" s="18" t="s">
        <v>3613</v>
      </c>
      <c r="J36" s="20" t="s">
        <v>3605</v>
      </c>
      <c r="K36" s="18" t="s">
        <v>3607</v>
      </c>
      <c r="L36" s="23" t="s">
        <v>3591</v>
      </c>
      <c r="M36" s="56" t="s">
        <v>3592</v>
      </c>
      <c r="N36" s="56" t="s">
        <v>3594</v>
      </c>
      <c r="O36" s="99" t="s">
        <v>3518</v>
      </c>
      <c r="P36" s="57" t="str">
        <f t="shared" ref="P36:P67" si="7">F36&amp;"&gt;"&amp;G36&amp;"&gt;"&amp;D36&amp;"&gt;"&amp;N36</f>
        <v>제07편 재심절차&gt;05&gt;3&gt;예상</v>
      </c>
      <c r="Q36" s="57" t="str">
        <f t="shared" ref="Q36:Q67" si="8">H36&amp;"&gt;"&amp;I36&amp;"&gt;"&amp;D36&amp;"&gt;"&amp;N36</f>
        <v>제17장 재심&gt;05&gt;3&gt;예상</v>
      </c>
      <c r="R36" s="57" t="str">
        <f t="shared" ref="R36:R67" si="9">H36&amp;"&gt;"&amp;J36&amp;"&gt;"&amp;K36</f>
        <v>제17장 재심&gt;제03절 적법요건&gt;03</v>
      </c>
      <c r="S36" s="57" t="str">
        <f t="shared" ref="S36:S67" si="10">N36&amp;"&gt;"&amp;C36&amp;"&gt;"&amp;E36</f>
        <v>예상&gt;17.03&gt;1</v>
      </c>
      <c r="T36" s="57" t="str">
        <f t="shared" ref="T36:T67" si="11">N36&amp;"&gt;"&amp;C36&amp;"&gt;"&amp;D36</f>
        <v>예상&gt;17.03&gt;3</v>
      </c>
    </row>
    <row r="37" spans="2:20" ht="14.45" customHeight="1" x14ac:dyDescent="0.2">
      <c r="B37" s="24">
        <f t="shared" si="6"/>
        <v>34</v>
      </c>
      <c r="C37" s="110">
        <v>17.02</v>
      </c>
      <c r="D37" s="18" t="s">
        <v>1346</v>
      </c>
      <c r="E37" s="18" t="s">
        <v>1289</v>
      </c>
      <c r="F37" s="19" t="s">
        <v>2537</v>
      </c>
      <c r="G37" s="58" t="s">
        <v>2566</v>
      </c>
      <c r="H37" s="19" t="s">
        <v>2561</v>
      </c>
      <c r="I37" s="18" t="s">
        <v>1283</v>
      </c>
      <c r="J37" s="20" t="s">
        <v>1362</v>
      </c>
      <c r="K37" s="18" t="s">
        <v>1283</v>
      </c>
      <c r="L37" s="23" t="s">
        <v>232</v>
      </c>
      <c r="M37" s="56" t="s">
        <v>2213</v>
      </c>
      <c r="N37" s="56" t="s">
        <v>2334</v>
      </c>
      <c r="O37" s="99"/>
      <c r="P37" s="57" t="str">
        <f t="shared" si="7"/>
        <v>제07편 재심절차&gt;01&gt;1&gt;예상</v>
      </c>
      <c r="Q37" s="57" t="str">
        <f t="shared" si="8"/>
        <v>제17장 재심&gt;01&gt;1&gt;예상</v>
      </c>
      <c r="R37" s="57" t="str">
        <f t="shared" si="9"/>
        <v>제17장 재심&gt;제02절 재심의 소송물&gt;01</v>
      </c>
      <c r="S37" s="57" t="str">
        <f t="shared" si="10"/>
        <v>예상&gt;17.02&gt;2</v>
      </c>
      <c r="T37" s="57" t="str">
        <f t="shared" si="11"/>
        <v>예상&gt;17.02&gt;1</v>
      </c>
    </row>
    <row r="38" spans="2:20" ht="14.45" customHeight="1" x14ac:dyDescent="0.2">
      <c r="B38" s="24">
        <f t="shared" si="6"/>
        <v>35</v>
      </c>
      <c r="C38" s="110">
        <v>17.02</v>
      </c>
      <c r="D38" s="18" t="s">
        <v>1328</v>
      </c>
      <c r="E38" s="18" t="s">
        <v>1291</v>
      </c>
      <c r="F38" s="19" t="s">
        <v>2537</v>
      </c>
      <c r="G38" s="58" t="s">
        <v>2567</v>
      </c>
      <c r="H38" s="19" t="s">
        <v>2561</v>
      </c>
      <c r="I38" s="18" t="s">
        <v>1295</v>
      </c>
      <c r="J38" s="20" t="s">
        <v>1362</v>
      </c>
      <c r="K38" s="18" t="s">
        <v>1295</v>
      </c>
      <c r="L38" s="23" t="s">
        <v>233</v>
      </c>
      <c r="M38" s="56" t="s">
        <v>2214</v>
      </c>
      <c r="N38" s="56" t="s">
        <v>2334</v>
      </c>
      <c r="O38" s="99"/>
      <c r="P38" s="57" t="str">
        <f t="shared" si="7"/>
        <v>제07편 재심절차&gt;02&gt;2&gt;예상</v>
      </c>
      <c r="Q38" s="57" t="str">
        <f t="shared" si="8"/>
        <v>제17장 재심&gt;02&gt;2&gt;예상</v>
      </c>
      <c r="R38" s="57" t="str">
        <f t="shared" si="9"/>
        <v>제17장 재심&gt;제02절 재심의 소송물&gt;02</v>
      </c>
      <c r="S38" s="57" t="str">
        <f t="shared" si="10"/>
        <v>예상&gt;17.02&gt;1</v>
      </c>
      <c r="T38" s="57" t="str">
        <f t="shared" si="11"/>
        <v>예상&gt;17.02&gt;2</v>
      </c>
    </row>
    <row r="39" spans="2:20" ht="14.45" customHeight="1" x14ac:dyDescent="0.2">
      <c r="B39" s="24">
        <f t="shared" si="6"/>
        <v>36</v>
      </c>
      <c r="C39" s="110">
        <v>16.02</v>
      </c>
      <c r="D39" s="18" t="s">
        <v>1346</v>
      </c>
      <c r="E39" s="18" t="s">
        <v>1289</v>
      </c>
      <c r="F39" s="19" t="s">
        <v>2536</v>
      </c>
      <c r="G39" s="58">
        <v>15</v>
      </c>
      <c r="H39" s="19" t="s">
        <v>2559</v>
      </c>
      <c r="I39" s="18" t="s">
        <v>1283</v>
      </c>
      <c r="J39" s="20" t="s">
        <v>1361</v>
      </c>
      <c r="K39" s="18" t="s">
        <v>1283</v>
      </c>
      <c r="L39" s="23" t="s">
        <v>230</v>
      </c>
      <c r="M39" s="56" t="s">
        <v>2211</v>
      </c>
      <c r="N39" s="56" t="s">
        <v>2334</v>
      </c>
      <c r="O39" s="99"/>
      <c r="P39" s="57" t="str">
        <f t="shared" si="7"/>
        <v>제06편 상소심절차&gt;15&gt;1&gt;예상</v>
      </c>
      <c r="Q39" s="57" t="str">
        <f t="shared" si="8"/>
        <v>제16장 항고&gt;01&gt;1&gt;예상</v>
      </c>
      <c r="R39" s="57" t="str">
        <f t="shared" si="9"/>
        <v>제16장 항고&gt;제02절 항고의 절차&gt;01</v>
      </c>
      <c r="S39" s="57" t="str">
        <f t="shared" si="10"/>
        <v>예상&gt;16.02&gt;2</v>
      </c>
      <c r="T39" s="57" t="str">
        <f t="shared" si="11"/>
        <v>예상&gt;16.02&gt;1</v>
      </c>
    </row>
    <row r="40" spans="2:20" ht="14.45" customHeight="1" x14ac:dyDescent="0.2">
      <c r="B40" s="24">
        <f t="shared" si="6"/>
        <v>37</v>
      </c>
      <c r="C40" s="110">
        <v>16.02</v>
      </c>
      <c r="D40" s="18" t="s">
        <v>1328</v>
      </c>
      <c r="E40" s="18" t="s">
        <v>1291</v>
      </c>
      <c r="F40" s="19" t="s">
        <v>2536</v>
      </c>
      <c r="G40" s="58">
        <v>16</v>
      </c>
      <c r="H40" s="19" t="s">
        <v>2559</v>
      </c>
      <c r="I40" s="18" t="s">
        <v>1295</v>
      </c>
      <c r="J40" s="20" t="s">
        <v>1361</v>
      </c>
      <c r="K40" s="18" t="s">
        <v>1295</v>
      </c>
      <c r="L40" s="23" t="s">
        <v>231</v>
      </c>
      <c r="M40" s="56" t="s">
        <v>2212</v>
      </c>
      <c r="N40" s="56" t="s">
        <v>2334</v>
      </c>
      <c r="O40" s="99"/>
      <c r="P40" s="57" t="str">
        <f t="shared" si="7"/>
        <v>제06편 상소심절차&gt;16&gt;2&gt;예상</v>
      </c>
      <c r="Q40" s="57" t="str">
        <f t="shared" si="8"/>
        <v>제16장 항고&gt;02&gt;2&gt;예상</v>
      </c>
      <c r="R40" s="57" t="str">
        <f t="shared" si="9"/>
        <v>제16장 항고&gt;제02절 항고의 절차&gt;02</v>
      </c>
      <c r="S40" s="57" t="str">
        <f t="shared" si="10"/>
        <v>예상&gt;16.02&gt;1</v>
      </c>
      <c r="T40" s="57" t="str">
        <f t="shared" si="11"/>
        <v>예상&gt;16.02&gt;2</v>
      </c>
    </row>
    <row r="41" spans="2:20" ht="14.45" customHeight="1" x14ac:dyDescent="0.2">
      <c r="B41" s="24">
        <f t="shared" si="6"/>
        <v>38</v>
      </c>
      <c r="C41" s="110">
        <v>15.04</v>
      </c>
      <c r="D41" s="18" t="s">
        <v>1346</v>
      </c>
      <c r="E41" s="18" t="s">
        <v>1289</v>
      </c>
      <c r="F41" s="19" t="s">
        <v>2536</v>
      </c>
      <c r="G41" s="58">
        <v>13</v>
      </c>
      <c r="H41" s="19" t="s">
        <v>2557</v>
      </c>
      <c r="I41" s="18" t="s">
        <v>1325</v>
      </c>
      <c r="J41" s="20" t="s">
        <v>1360</v>
      </c>
      <c r="K41" s="18" t="s">
        <v>1283</v>
      </c>
      <c r="L41" s="23" t="s">
        <v>228</v>
      </c>
      <c r="M41" s="56" t="s">
        <v>2209</v>
      </c>
      <c r="N41" s="56" t="s">
        <v>2334</v>
      </c>
      <c r="O41" s="99"/>
      <c r="P41" s="57" t="str">
        <f t="shared" si="7"/>
        <v>제06편 상소심절차&gt;13&gt;1&gt;예상</v>
      </c>
      <c r="Q41" s="57" t="str">
        <f t="shared" si="8"/>
        <v>제15장 상고&gt;05&gt;1&gt;예상</v>
      </c>
      <c r="R41" s="57" t="str">
        <f t="shared" si="9"/>
        <v>제15장 상고&gt;제04절 상고심의 종국재판&gt;01</v>
      </c>
      <c r="S41" s="57" t="str">
        <f t="shared" si="10"/>
        <v>예상&gt;15.04&gt;2</v>
      </c>
      <c r="T41" s="57" t="str">
        <f t="shared" si="11"/>
        <v>예상&gt;15.04&gt;1</v>
      </c>
    </row>
    <row r="42" spans="2:20" ht="14.45" customHeight="1" x14ac:dyDescent="0.2">
      <c r="B42" s="24">
        <f t="shared" si="6"/>
        <v>39</v>
      </c>
      <c r="C42" s="110">
        <v>15.04</v>
      </c>
      <c r="D42" s="18" t="s">
        <v>1328</v>
      </c>
      <c r="E42" s="18" t="s">
        <v>1291</v>
      </c>
      <c r="F42" s="19" t="s">
        <v>2536</v>
      </c>
      <c r="G42" s="58">
        <v>14</v>
      </c>
      <c r="H42" s="19" t="s">
        <v>2557</v>
      </c>
      <c r="I42" s="18" t="s">
        <v>1331</v>
      </c>
      <c r="J42" s="20" t="s">
        <v>1360</v>
      </c>
      <c r="K42" s="18" t="s">
        <v>1295</v>
      </c>
      <c r="L42" s="23" t="s">
        <v>229</v>
      </c>
      <c r="M42" s="56" t="s">
        <v>2210</v>
      </c>
      <c r="N42" s="56" t="s">
        <v>2334</v>
      </c>
      <c r="O42" s="99"/>
      <c r="P42" s="57" t="str">
        <f t="shared" si="7"/>
        <v>제06편 상소심절차&gt;14&gt;2&gt;예상</v>
      </c>
      <c r="Q42" s="57" t="str">
        <f t="shared" si="8"/>
        <v>제15장 상고&gt;06&gt;2&gt;예상</v>
      </c>
      <c r="R42" s="57" t="str">
        <f t="shared" si="9"/>
        <v>제15장 상고&gt;제04절 상고심의 종국재판&gt;02</v>
      </c>
      <c r="S42" s="57" t="str">
        <f t="shared" si="10"/>
        <v>예상&gt;15.04&gt;1</v>
      </c>
      <c r="T42" s="57" t="str">
        <f t="shared" si="11"/>
        <v>예상&gt;15.04&gt;2</v>
      </c>
    </row>
    <row r="43" spans="2:20" ht="14.45" customHeight="1" x14ac:dyDescent="0.2">
      <c r="B43" s="24">
        <f t="shared" si="6"/>
        <v>40</v>
      </c>
      <c r="C43" s="110">
        <v>15.03</v>
      </c>
      <c r="D43" s="18" t="s">
        <v>1346</v>
      </c>
      <c r="E43" s="18" t="s">
        <v>1289</v>
      </c>
      <c r="F43" s="19" t="s">
        <v>2536</v>
      </c>
      <c r="G43" s="58">
        <v>11</v>
      </c>
      <c r="H43" s="19" t="s">
        <v>2557</v>
      </c>
      <c r="I43" s="18" t="s">
        <v>1305</v>
      </c>
      <c r="J43" s="20" t="s">
        <v>1359</v>
      </c>
      <c r="K43" s="18" t="s">
        <v>1283</v>
      </c>
      <c r="L43" s="23" t="s">
        <v>226</v>
      </c>
      <c r="M43" s="56" t="s">
        <v>2207</v>
      </c>
      <c r="N43" s="56" t="s">
        <v>2334</v>
      </c>
      <c r="O43" s="99"/>
      <c r="P43" s="57" t="str">
        <f t="shared" si="7"/>
        <v>제06편 상소심절차&gt;11&gt;1&gt;예상</v>
      </c>
      <c r="Q43" s="57" t="str">
        <f t="shared" si="8"/>
        <v>제15장 상고&gt;03&gt;1&gt;예상</v>
      </c>
      <c r="R43" s="57" t="str">
        <f t="shared" si="9"/>
        <v>제15장 상고&gt;제03절 상고심절차의 개시와 심리&gt;01</v>
      </c>
      <c r="S43" s="57" t="str">
        <f t="shared" si="10"/>
        <v>예상&gt;15.03&gt;2</v>
      </c>
      <c r="T43" s="57" t="str">
        <f t="shared" si="11"/>
        <v>예상&gt;15.03&gt;1</v>
      </c>
    </row>
    <row r="44" spans="2:20" ht="14.45" customHeight="1" x14ac:dyDescent="0.2">
      <c r="B44" s="24">
        <f t="shared" si="6"/>
        <v>41</v>
      </c>
      <c r="C44" s="110">
        <v>15.03</v>
      </c>
      <c r="D44" s="18" t="s">
        <v>1328</v>
      </c>
      <c r="E44" s="18" t="s">
        <v>1291</v>
      </c>
      <c r="F44" s="19" t="s">
        <v>2536</v>
      </c>
      <c r="G44" s="58">
        <v>12</v>
      </c>
      <c r="H44" s="19" t="s">
        <v>2557</v>
      </c>
      <c r="I44" s="18" t="s">
        <v>1312</v>
      </c>
      <c r="J44" s="20" t="s">
        <v>1359</v>
      </c>
      <c r="K44" s="18" t="s">
        <v>1295</v>
      </c>
      <c r="L44" s="23" t="s">
        <v>227</v>
      </c>
      <c r="M44" s="56" t="s">
        <v>2208</v>
      </c>
      <c r="N44" s="56" t="s">
        <v>2334</v>
      </c>
      <c r="O44" s="99"/>
      <c r="P44" s="57" t="str">
        <f t="shared" si="7"/>
        <v>제06편 상소심절차&gt;12&gt;2&gt;예상</v>
      </c>
      <c r="Q44" s="57" t="str">
        <f t="shared" si="8"/>
        <v>제15장 상고&gt;04&gt;2&gt;예상</v>
      </c>
      <c r="R44" s="57" t="str">
        <f t="shared" si="9"/>
        <v>제15장 상고&gt;제03절 상고심절차의 개시와 심리&gt;02</v>
      </c>
      <c r="S44" s="57" t="str">
        <f t="shared" si="10"/>
        <v>예상&gt;15.03&gt;1</v>
      </c>
      <c r="T44" s="57" t="str">
        <f t="shared" si="11"/>
        <v>예상&gt;15.03&gt;2</v>
      </c>
    </row>
    <row r="45" spans="2:20" ht="14.45" customHeight="1" x14ac:dyDescent="0.2">
      <c r="B45" s="24">
        <f t="shared" si="6"/>
        <v>42</v>
      </c>
      <c r="C45" s="110">
        <v>15.02</v>
      </c>
      <c r="D45" s="18" t="s">
        <v>1346</v>
      </c>
      <c r="E45" s="18" t="s">
        <v>1289</v>
      </c>
      <c r="F45" s="19" t="s">
        <v>2536</v>
      </c>
      <c r="G45" s="60" t="s">
        <v>2588</v>
      </c>
      <c r="H45" s="19" t="s">
        <v>2557</v>
      </c>
      <c r="I45" s="18" t="s">
        <v>1283</v>
      </c>
      <c r="J45" s="20" t="s">
        <v>1358</v>
      </c>
      <c r="K45" s="18" t="s">
        <v>1283</v>
      </c>
      <c r="L45" s="23" t="s">
        <v>225</v>
      </c>
      <c r="M45" s="56" t="s">
        <v>2206</v>
      </c>
      <c r="N45" s="56" t="s">
        <v>2334</v>
      </c>
      <c r="O45" s="99"/>
      <c r="P45" s="57" t="str">
        <f t="shared" si="7"/>
        <v>제06편 상소심절차&gt;09&gt;1&gt;예상</v>
      </c>
      <c r="Q45" s="57" t="str">
        <f t="shared" si="8"/>
        <v>제15장 상고&gt;01&gt;1&gt;예상</v>
      </c>
      <c r="R45" s="57" t="str">
        <f t="shared" si="9"/>
        <v>제15장 상고&gt;제02절 상고이유&gt;01</v>
      </c>
      <c r="S45" s="57" t="str">
        <f t="shared" si="10"/>
        <v>예상&gt;15.02&gt;2</v>
      </c>
      <c r="T45" s="57" t="str">
        <f t="shared" si="11"/>
        <v>예상&gt;15.02&gt;1</v>
      </c>
    </row>
    <row r="46" spans="2:20" ht="14.45" customHeight="1" x14ac:dyDescent="0.2">
      <c r="B46" s="24">
        <f t="shared" si="6"/>
        <v>43</v>
      </c>
      <c r="C46" s="110">
        <v>15.02</v>
      </c>
      <c r="D46" s="18" t="s">
        <v>1328</v>
      </c>
      <c r="E46" s="18" t="s">
        <v>1291</v>
      </c>
      <c r="F46" s="19" t="s">
        <v>2536</v>
      </c>
      <c r="G46" s="58">
        <v>10</v>
      </c>
      <c r="H46" s="19" t="s">
        <v>2557</v>
      </c>
      <c r="I46" s="18" t="s">
        <v>1295</v>
      </c>
      <c r="J46" s="20" t="s">
        <v>1358</v>
      </c>
      <c r="K46" s="18" t="s">
        <v>1295</v>
      </c>
      <c r="L46" s="23" t="s">
        <v>2597</v>
      </c>
      <c r="M46" s="56" t="s">
        <v>2598</v>
      </c>
      <c r="N46" s="56" t="s">
        <v>2334</v>
      </c>
      <c r="O46" s="99"/>
      <c r="P46" s="57" t="str">
        <f t="shared" si="7"/>
        <v>제06편 상소심절차&gt;10&gt;2&gt;예상</v>
      </c>
      <c r="Q46" s="57" t="str">
        <f t="shared" si="8"/>
        <v>제15장 상고&gt;02&gt;2&gt;예상</v>
      </c>
      <c r="R46" s="57" t="str">
        <f t="shared" si="9"/>
        <v>제15장 상고&gt;제02절 상고이유&gt;02</v>
      </c>
      <c r="S46" s="57" t="str">
        <f t="shared" si="10"/>
        <v>예상&gt;15.02&gt;1</v>
      </c>
      <c r="T46" s="57" t="str">
        <f t="shared" si="11"/>
        <v>예상&gt;15.02&gt;2</v>
      </c>
    </row>
    <row r="47" spans="2:20" ht="14.45" customHeight="1" x14ac:dyDescent="0.2">
      <c r="B47" s="24">
        <f t="shared" si="6"/>
        <v>44</v>
      </c>
      <c r="C47" s="110">
        <v>14.04</v>
      </c>
      <c r="D47" s="18" t="s">
        <v>1346</v>
      </c>
      <c r="E47" s="18" t="s">
        <v>1289</v>
      </c>
      <c r="F47" s="19" t="s">
        <v>2536</v>
      </c>
      <c r="G47" s="60" t="s">
        <v>2586</v>
      </c>
      <c r="H47" s="19" t="s">
        <v>2555</v>
      </c>
      <c r="I47" s="18" t="s">
        <v>1312</v>
      </c>
      <c r="J47" s="20" t="s">
        <v>1357</v>
      </c>
      <c r="K47" s="18" t="s">
        <v>1283</v>
      </c>
      <c r="L47" s="23" t="s">
        <v>2369</v>
      </c>
      <c r="M47" s="56" t="s">
        <v>2370</v>
      </c>
      <c r="N47" s="56" t="s">
        <v>2334</v>
      </c>
      <c r="O47" s="99"/>
      <c r="P47" s="57" t="str">
        <f t="shared" si="7"/>
        <v>제06편 상소심절차&gt;07&gt;1&gt;예상</v>
      </c>
      <c r="Q47" s="57" t="str">
        <f t="shared" si="8"/>
        <v>제14장 항소&gt;04&gt;1&gt;예상</v>
      </c>
      <c r="R47" s="57" t="str">
        <f t="shared" si="9"/>
        <v>제14장 항소&gt;제04절 항소심의 종국재판&gt;01</v>
      </c>
      <c r="S47" s="57" t="str">
        <f t="shared" si="10"/>
        <v>예상&gt;14.04&gt;2</v>
      </c>
      <c r="T47" s="57" t="str">
        <f t="shared" si="11"/>
        <v>예상&gt;14.04&gt;1</v>
      </c>
    </row>
    <row r="48" spans="2:20" ht="14.45" customHeight="1" x14ac:dyDescent="0.2">
      <c r="B48" s="24">
        <f t="shared" si="6"/>
        <v>45</v>
      </c>
      <c r="C48" s="110">
        <v>14.04</v>
      </c>
      <c r="D48" s="18" t="s">
        <v>1328</v>
      </c>
      <c r="E48" s="18" t="s">
        <v>1291</v>
      </c>
      <c r="F48" s="19" t="s">
        <v>2536</v>
      </c>
      <c r="G48" s="60" t="s">
        <v>2587</v>
      </c>
      <c r="H48" s="19" t="s">
        <v>2555</v>
      </c>
      <c r="I48" s="18" t="s">
        <v>1325</v>
      </c>
      <c r="J48" s="20" t="s">
        <v>1357</v>
      </c>
      <c r="K48" s="18" t="s">
        <v>1295</v>
      </c>
      <c r="L48" s="23" t="s">
        <v>224</v>
      </c>
      <c r="M48" s="56" t="s">
        <v>2205</v>
      </c>
      <c r="N48" s="56" t="s">
        <v>2334</v>
      </c>
      <c r="O48" s="99"/>
      <c r="P48" s="57" t="str">
        <f t="shared" si="7"/>
        <v>제06편 상소심절차&gt;08&gt;2&gt;예상</v>
      </c>
      <c r="Q48" s="57" t="str">
        <f t="shared" si="8"/>
        <v>제14장 항소&gt;05&gt;2&gt;예상</v>
      </c>
      <c r="R48" s="57" t="str">
        <f t="shared" si="9"/>
        <v>제14장 항소&gt;제04절 항소심의 종국재판&gt;02</v>
      </c>
      <c r="S48" s="57" t="str">
        <f t="shared" si="10"/>
        <v>예상&gt;14.04&gt;1</v>
      </c>
      <c r="T48" s="57" t="str">
        <f t="shared" si="11"/>
        <v>예상&gt;14.04&gt;2</v>
      </c>
    </row>
    <row r="49" spans="2:20" ht="14.45" customHeight="1" x14ac:dyDescent="0.2">
      <c r="B49" s="24">
        <f t="shared" si="6"/>
        <v>46</v>
      </c>
      <c r="C49" s="110">
        <v>14.03</v>
      </c>
      <c r="D49" s="18" t="s">
        <v>1346</v>
      </c>
      <c r="E49" s="18" t="s">
        <v>1289</v>
      </c>
      <c r="F49" s="19" t="s">
        <v>2536</v>
      </c>
      <c r="G49" s="60" t="s">
        <v>2584</v>
      </c>
      <c r="H49" s="19" t="s">
        <v>2555</v>
      </c>
      <c r="I49" s="18" t="s">
        <v>1295</v>
      </c>
      <c r="J49" s="20" t="s">
        <v>1356</v>
      </c>
      <c r="K49" s="18" t="s">
        <v>1283</v>
      </c>
      <c r="L49" s="23" t="s">
        <v>222</v>
      </c>
      <c r="M49" s="56" t="s">
        <v>2203</v>
      </c>
      <c r="N49" s="56" t="s">
        <v>2334</v>
      </c>
      <c r="O49" s="99"/>
      <c r="P49" s="57" t="str">
        <f t="shared" si="7"/>
        <v>제06편 상소심절차&gt;05&gt;1&gt;예상</v>
      </c>
      <c r="Q49" s="57" t="str">
        <f t="shared" si="8"/>
        <v>제14장 항소&gt;02&gt;1&gt;예상</v>
      </c>
      <c r="R49" s="57" t="str">
        <f t="shared" si="9"/>
        <v>제14장 항소&gt;제03절 항소심의 심리&gt;01</v>
      </c>
      <c r="S49" s="57" t="str">
        <f t="shared" si="10"/>
        <v>예상&gt;14.03&gt;2</v>
      </c>
      <c r="T49" s="57" t="str">
        <f t="shared" si="11"/>
        <v>예상&gt;14.03&gt;1</v>
      </c>
    </row>
    <row r="50" spans="2:20" ht="14.45" customHeight="1" x14ac:dyDescent="0.2">
      <c r="B50" s="24">
        <f t="shared" si="6"/>
        <v>47</v>
      </c>
      <c r="C50" s="110">
        <v>14.03</v>
      </c>
      <c r="D50" s="18" t="s">
        <v>1328</v>
      </c>
      <c r="E50" s="18" t="s">
        <v>1291</v>
      </c>
      <c r="F50" s="19" t="s">
        <v>2536</v>
      </c>
      <c r="G50" s="60" t="s">
        <v>2585</v>
      </c>
      <c r="H50" s="19" t="s">
        <v>2555</v>
      </c>
      <c r="I50" s="18" t="s">
        <v>1305</v>
      </c>
      <c r="J50" s="20" t="s">
        <v>1356</v>
      </c>
      <c r="K50" s="18" t="s">
        <v>1295</v>
      </c>
      <c r="L50" s="23" t="s">
        <v>223</v>
      </c>
      <c r="M50" s="56" t="s">
        <v>2204</v>
      </c>
      <c r="N50" s="56" t="s">
        <v>2334</v>
      </c>
      <c r="O50" s="99"/>
      <c r="P50" s="57" t="str">
        <f t="shared" si="7"/>
        <v>제06편 상소심절차&gt;06&gt;2&gt;예상</v>
      </c>
      <c r="Q50" s="57" t="str">
        <f t="shared" si="8"/>
        <v>제14장 항소&gt;03&gt;2&gt;예상</v>
      </c>
      <c r="R50" s="57" t="str">
        <f t="shared" si="9"/>
        <v>제14장 항소&gt;제03절 항소심의 심리&gt;02</v>
      </c>
      <c r="S50" s="57" t="str">
        <f t="shared" si="10"/>
        <v>예상&gt;14.03&gt;1</v>
      </c>
      <c r="T50" s="57" t="str">
        <f t="shared" si="11"/>
        <v>예상&gt;14.03&gt;2</v>
      </c>
    </row>
    <row r="51" spans="2:20" ht="14.45" customHeight="1" x14ac:dyDescent="0.2">
      <c r="B51" s="24">
        <f t="shared" si="6"/>
        <v>48</v>
      </c>
      <c r="C51" s="110">
        <v>13.02</v>
      </c>
      <c r="D51" s="18" t="s">
        <v>1346</v>
      </c>
      <c r="E51" s="18" t="s">
        <v>1289</v>
      </c>
      <c r="F51" s="19" t="s">
        <v>2536</v>
      </c>
      <c r="G51" s="60" t="s">
        <v>2581</v>
      </c>
      <c r="H51" s="19" t="s">
        <v>2553</v>
      </c>
      <c r="I51" s="18" t="s">
        <v>1295</v>
      </c>
      <c r="J51" s="20" t="s">
        <v>1355</v>
      </c>
      <c r="K51" s="18" t="s">
        <v>1283</v>
      </c>
      <c r="L51" s="23" t="s">
        <v>220</v>
      </c>
      <c r="M51" s="56" t="s">
        <v>2200</v>
      </c>
      <c r="N51" s="56" t="s">
        <v>2334</v>
      </c>
      <c r="O51" s="99"/>
      <c r="P51" s="57" t="str">
        <f t="shared" si="7"/>
        <v>제06편 상소심절차&gt;03&gt;1&gt;예상</v>
      </c>
      <c r="Q51" s="57" t="str">
        <f t="shared" si="8"/>
        <v>제13장 총설&gt;02&gt;1&gt;예상</v>
      </c>
      <c r="R51" s="57" t="str">
        <f t="shared" si="9"/>
        <v>제13장 총설&gt;제02절 상소의 적법요건&gt;01</v>
      </c>
      <c r="S51" s="57" t="str">
        <f t="shared" si="10"/>
        <v>예상&gt;13.02&gt;2</v>
      </c>
      <c r="T51" s="57" t="str">
        <f t="shared" si="11"/>
        <v>예상&gt;13.02&gt;1</v>
      </c>
    </row>
    <row r="52" spans="2:20" ht="14.45" customHeight="1" x14ac:dyDescent="0.2">
      <c r="B52" s="24">
        <f t="shared" si="6"/>
        <v>49</v>
      </c>
      <c r="C52" s="110">
        <v>13.02</v>
      </c>
      <c r="D52" s="18" t="s">
        <v>1328</v>
      </c>
      <c r="E52" s="18" t="s">
        <v>1291</v>
      </c>
      <c r="F52" s="19" t="s">
        <v>2536</v>
      </c>
      <c r="G52" s="60" t="s">
        <v>2583</v>
      </c>
      <c r="H52" s="19" t="s">
        <v>2553</v>
      </c>
      <c r="I52" s="18" t="s">
        <v>1305</v>
      </c>
      <c r="J52" s="20" t="s">
        <v>1355</v>
      </c>
      <c r="K52" s="18" t="s">
        <v>1295</v>
      </c>
      <c r="L52" s="23" t="s">
        <v>221</v>
      </c>
      <c r="M52" s="56" t="s">
        <v>2201</v>
      </c>
      <c r="N52" s="56" t="s">
        <v>2334</v>
      </c>
      <c r="O52" s="99"/>
      <c r="P52" s="57" t="str">
        <f t="shared" si="7"/>
        <v>제06편 상소심절차&gt;04&gt;2&gt;예상</v>
      </c>
      <c r="Q52" s="57" t="str">
        <f t="shared" si="8"/>
        <v>제13장 총설&gt;03&gt;2&gt;예상</v>
      </c>
      <c r="R52" s="57" t="str">
        <f t="shared" si="9"/>
        <v>제13장 총설&gt;제02절 상소의 적법요건&gt;02</v>
      </c>
      <c r="S52" s="57" t="str">
        <f t="shared" si="10"/>
        <v>예상&gt;13.02&gt;1</v>
      </c>
      <c r="T52" s="57" t="str">
        <f t="shared" si="11"/>
        <v>예상&gt;13.02&gt;2</v>
      </c>
    </row>
    <row r="53" spans="2:20" ht="14.45" customHeight="1" x14ac:dyDescent="0.2">
      <c r="B53" s="24">
        <f t="shared" si="6"/>
        <v>50</v>
      </c>
      <c r="C53" s="110">
        <v>12.01</v>
      </c>
      <c r="D53" s="18" t="s">
        <v>2376</v>
      </c>
      <c r="E53" s="18" t="s">
        <v>1289</v>
      </c>
      <c r="F53" s="19" t="s">
        <v>2535</v>
      </c>
      <c r="G53" s="58">
        <v>20</v>
      </c>
      <c r="H53" s="19" t="s">
        <v>2551</v>
      </c>
      <c r="I53" s="18" t="s">
        <v>2396</v>
      </c>
      <c r="J53" s="20" t="s">
        <v>2383</v>
      </c>
      <c r="K53" s="18" t="s">
        <v>2395</v>
      </c>
      <c r="L53" s="19" t="s">
        <v>2385</v>
      </c>
      <c r="M53" s="57" t="s">
        <v>2394</v>
      </c>
      <c r="N53" s="56" t="s">
        <v>2334</v>
      </c>
      <c r="O53" s="99"/>
      <c r="P53" s="57" t="str">
        <f t="shared" si="7"/>
        <v>제05편 병합소송&gt;20&gt;1&gt;예상</v>
      </c>
      <c r="Q53" s="57" t="str">
        <f t="shared" si="8"/>
        <v>제12장 다수당사자소송&gt;14&gt;1&gt;예상</v>
      </c>
      <c r="R53" s="57" t="str">
        <f t="shared" si="9"/>
        <v>제12장 다수당사자소송&gt;제01절 공동소송&gt;09</v>
      </c>
      <c r="S53" s="57" t="str">
        <f t="shared" si="10"/>
        <v>예상&gt;12.01&gt;2</v>
      </c>
      <c r="T53" s="57" t="str">
        <f t="shared" si="11"/>
        <v>예상&gt;12.01&gt;1</v>
      </c>
    </row>
    <row r="54" spans="2:20" ht="14.45" customHeight="1" x14ac:dyDescent="0.2">
      <c r="B54" s="24">
        <f t="shared" si="6"/>
        <v>51</v>
      </c>
      <c r="C54" s="110">
        <v>12.01</v>
      </c>
      <c r="D54" s="18" t="s">
        <v>3599</v>
      </c>
      <c r="E54" s="18" t="s">
        <v>3593</v>
      </c>
      <c r="F54" s="19" t="s">
        <v>3602</v>
      </c>
      <c r="G54" s="58">
        <v>21</v>
      </c>
      <c r="H54" s="19" t="s">
        <v>2552</v>
      </c>
      <c r="I54" s="18" t="s">
        <v>3616</v>
      </c>
      <c r="J54" s="20" t="s">
        <v>1293</v>
      </c>
      <c r="K54" s="18" t="s">
        <v>3615</v>
      </c>
      <c r="L54" s="19" t="s">
        <v>3580</v>
      </c>
      <c r="M54" s="57" t="s">
        <v>3588</v>
      </c>
      <c r="N54" s="56" t="s">
        <v>3594</v>
      </c>
      <c r="O54" s="99" t="s">
        <v>3518</v>
      </c>
      <c r="P54" s="57" t="str">
        <f t="shared" si="7"/>
        <v>제05편 병합소송&gt;21&gt;2&gt;예상</v>
      </c>
      <c r="Q54" s="57" t="str">
        <f t="shared" si="8"/>
        <v>제12장 다수당사자소송&gt;15&gt;2&gt;예상</v>
      </c>
      <c r="R54" s="57" t="str">
        <f t="shared" si="9"/>
        <v>제12장 다수당사자소송&gt;제01절 공동소송&gt;10</v>
      </c>
      <c r="S54" s="57" t="str">
        <f t="shared" si="10"/>
        <v>예상&gt;12.01&gt;1</v>
      </c>
      <c r="T54" s="57" t="str">
        <f t="shared" si="11"/>
        <v>예상&gt;12.01&gt;2</v>
      </c>
    </row>
    <row r="55" spans="2:20" ht="14.45" customHeight="1" x14ac:dyDescent="0.2">
      <c r="B55" s="24">
        <f t="shared" si="6"/>
        <v>52</v>
      </c>
      <c r="C55" s="110">
        <v>11.02</v>
      </c>
      <c r="D55" s="18" t="s">
        <v>3593</v>
      </c>
      <c r="E55" s="18" t="s">
        <v>3593</v>
      </c>
      <c r="F55" s="19" t="s">
        <v>3602</v>
      </c>
      <c r="G55" s="58">
        <v>19</v>
      </c>
      <c r="H55" s="19" t="s">
        <v>2550</v>
      </c>
      <c r="I55" s="18" t="s">
        <v>3614</v>
      </c>
      <c r="J55" s="20" t="s">
        <v>1308</v>
      </c>
      <c r="K55" s="18" t="s">
        <v>3607</v>
      </c>
      <c r="L55" s="19" t="s">
        <v>3579</v>
      </c>
      <c r="M55" s="57" t="s">
        <v>3587</v>
      </c>
      <c r="N55" s="56" t="s">
        <v>3594</v>
      </c>
      <c r="O55" s="99" t="s">
        <v>3518</v>
      </c>
      <c r="P55" s="57" t="str">
        <f t="shared" si="7"/>
        <v>제05편 병합소송&gt;19&gt;1&gt;예상</v>
      </c>
      <c r="Q55" s="57" t="str">
        <f t="shared" si="8"/>
        <v>제11장 병합청구소송&gt;06&gt;1&gt;예상</v>
      </c>
      <c r="R55" s="57" t="str">
        <f t="shared" si="9"/>
        <v>제11장 병합청구소송&gt;제02절 청구의 후발적 병합&gt;03</v>
      </c>
      <c r="S55" s="57" t="str">
        <f t="shared" si="10"/>
        <v>예상&gt;11.02&gt;1</v>
      </c>
      <c r="T55" s="57" t="str">
        <f t="shared" si="11"/>
        <v>예상&gt;11.02&gt;1</v>
      </c>
    </row>
    <row r="56" spans="2:20" ht="14.45" customHeight="1" x14ac:dyDescent="0.2">
      <c r="B56" s="24">
        <f t="shared" si="6"/>
        <v>53</v>
      </c>
      <c r="C56" s="110">
        <v>1.03</v>
      </c>
      <c r="D56" s="18" t="s">
        <v>3593</v>
      </c>
      <c r="E56" s="18" t="s">
        <v>3593</v>
      </c>
      <c r="F56" s="19" t="s">
        <v>2532</v>
      </c>
      <c r="G56" s="60" t="s">
        <v>3607</v>
      </c>
      <c r="H56" s="19" t="s">
        <v>3595</v>
      </c>
      <c r="I56" s="18" t="s">
        <v>3607</v>
      </c>
      <c r="J56" s="20" t="s">
        <v>1330</v>
      </c>
      <c r="K56" s="18" t="s">
        <v>3606</v>
      </c>
      <c r="L56" s="19" t="s">
        <v>3589</v>
      </c>
      <c r="M56" s="57" t="s">
        <v>3590</v>
      </c>
      <c r="N56" s="56" t="s">
        <v>3594</v>
      </c>
      <c r="O56" s="99" t="s">
        <v>3518</v>
      </c>
      <c r="P56" s="57" t="str">
        <f t="shared" si="7"/>
        <v>제01편 총설&gt;03&gt;1&gt;예상</v>
      </c>
      <c r="Q56" s="57" t="str">
        <f t="shared" si="8"/>
        <v>제01장 민사소송&gt;03&gt;1&gt;예상</v>
      </c>
      <c r="R56" s="57" t="str">
        <f t="shared" si="9"/>
        <v>제01장 민사소송&gt;제03절 민사소송의 이상과 신의성실의 원칙&gt;02</v>
      </c>
      <c r="S56" s="57" t="str">
        <f t="shared" si="10"/>
        <v>예상&gt;1.03&gt;1</v>
      </c>
      <c r="T56" s="57" t="str">
        <f t="shared" si="11"/>
        <v>예상&gt;1.03&gt;1</v>
      </c>
    </row>
    <row r="57" spans="2:20" ht="14.45" customHeight="1" x14ac:dyDescent="0.2">
      <c r="B57" s="24">
        <f t="shared" si="6"/>
        <v>54</v>
      </c>
      <c r="C57" s="110">
        <v>1.01</v>
      </c>
      <c r="D57" s="18">
        <v>1</v>
      </c>
      <c r="E57" s="18" t="s">
        <v>1291</v>
      </c>
      <c r="F57" s="19" t="s">
        <v>2532</v>
      </c>
      <c r="G57" s="58" t="s">
        <v>2567</v>
      </c>
      <c r="H57" s="19" t="s">
        <v>2518</v>
      </c>
      <c r="I57" s="18" t="s">
        <v>1295</v>
      </c>
      <c r="J57" s="20" t="s">
        <v>1345</v>
      </c>
      <c r="K57" s="18" t="s">
        <v>1283</v>
      </c>
      <c r="L57" s="23" t="s">
        <v>242</v>
      </c>
      <c r="M57" s="56" t="s">
        <v>2386</v>
      </c>
      <c r="N57" s="56" t="s">
        <v>2334</v>
      </c>
      <c r="O57" s="99"/>
      <c r="P57" s="57" t="str">
        <f t="shared" si="7"/>
        <v>제01편 총설&gt;02&gt;1&gt;예상</v>
      </c>
      <c r="Q57" s="57" t="str">
        <f t="shared" si="8"/>
        <v>제01장 민사소송&gt;02&gt;1&gt;예상</v>
      </c>
      <c r="R57" s="57" t="str">
        <f t="shared" si="9"/>
        <v>제01장 민사소송&gt;제01절 개관&gt;01</v>
      </c>
      <c r="S57" s="57" t="str">
        <f t="shared" si="10"/>
        <v>예상&gt;1.01&gt;1</v>
      </c>
      <c r="T57" s="57" t="str">
        <f t="shared" si="11"/>
        <v>예상&gt;1.01&gt;1</v>
      </c>
    </row>
    <row r="58" spans="2:20" ht="14.45" hidden="1" customHeight="1" x14ac:dyDescent="0.2">
      <c r="B58" s="24">
        <f>ROW()-3</f>
        <v>55</v>
      </c>
      <c r="C58" s="109">
        <v>2010</v>
      </c>
      <c r="D58" s="18" t="s">
        <v>1291</v>
      </c>
      <c r="E58" s="18" t="s">
        <v>1287</v>
      </c>
      <c r="F58" s="19" t="s">
        <v>2579</v>
      </c>
      <c r="G58" s="58">
        <v>24</v>
      </c>
      <c r="H58" s="19" t="s">
        <v>2528</v>
      </c>
      <c r="I58" s="18" t="s">
        <v>1343</v>
      </c>
      <c r="J58" s="20" t="s">
        <v>1342</v>
      </c>
      <c r="K58" s="18" t="s">
        <v>1283</v>
      </c>
      <c r="L58" s="19" t="s">
        <v>176</v>
      </c>
      <c r="M58" s="57" t="s">
        <v>2187</v>
      </c>
      <c r="N58" s="56" t="s">
        <v>2335</v>
      </c>
      <c r="O58" s="99" t="s">
        <v>3518</v>
      </c>
      <c r="P58" s="57" t="str">
        <f>F58&amp;"&gt;"&amp;G58&amp;"&gt;"&amp;D58&amp;"&gt;"&amp;N58</f>
        <v>제03편 제1심 소송절차&gt;24&gt;1&gt;기출</v>
      </c>
      <c r="Q58" s="57" t="str">
        <f>H58&amp;"&gt;"&amp;I58&amp;"&gt;"&amp;D58&amp;"&gt;"&amp;N58</f>
        <v>제07장 증거&gt;08&gt;1&gt;기출</v>
      </c>
      <c r="R58" s="57" t="str">
        <f>H58&amp;"&gt;"&amp;J58&amp;"&gt;"&amp;K58</f>
        <v>제07장 증거&gt;제05절 자유심증주의&gt;01</v>
      </c>
      <c r="S58" s="57" t="str">
        <f>N58&amp;"&gt;"&amp;C58&amp;"&gt;"&amp;E58</f>
        <v>기출&gt;2010&gt;3</v>
      </c>
      <c r="T58" s="57" t="str">
        <f>N58&amp;"&gt;"&amp;C58&amp;"&gt;"&amp;D58</f>
        <v>기출&gt;2010&gt;1</v>
      </c>
    </row>
    <row r="59" spans="2:20" ht="14.45" hidden="1" customHeight="1" x14ac:dyDescent="0.2">
      <c r="B59" s="24">
        <f>ROW()-3</f>
        <v>56</v>
      </c>
      <c r="C59" s="109">
        <v>2010</v>
      </c>
      <c r="D59" s="18" t="s">
        <v>1338</v>
      </c>
      <c r="E59" s="18" t="s">
        <v>1289</v>
      </c>
      <c r="F59" s="19" t="s">
        <v>2533</v>
      </c>
      <c r="G59" s="58">
        <v>12</v>
      </c>
      <c r="H59" s="19" t="s">
        <v>2524</v>
      </c>
      <c r="I59" s="18" t="s">
        <v>1366</v>
      </c>
      <c r="J59" s="20" t="s">
        <v>1307</v>
      </c>
      <c r="K59" s="18" t="s">
        <v>1325</v>
      </c>
      <c r="L59" s="19" t="s">
        <v>2436</v>
      </c>
      <c r="M59" s="57" t="s">
        <v>2437</v>
      </c>
      <c r="N59" s="56" t="s">
        <v>2335</v>
      </c>
      <c r="O59" s="99" t="s">
        <v>3518</v>
      </c>
      <c r="P59" s="57" t="str">
        <f>F59&amp;"&gt;"&amp;G59&amp;"&gt;"&amp;D59&amp;"&gt;"&amp;N59</f>
        <v>제02편 소송의 주체&gt;12&gt;2-1&gt;기출</v>
      </c>
      <c r="Q59" s="57" t="str">
        <f>H59&amp;"&gt;"&amp;I59&amp;"&gt;"&amp;D59&amp;"&gt;"&amp;N59</f>
        <v>제04장 당사자&gt;09&gt;2-1&gt;기출</v>
      </c>
      <c r="R59" s="57" t="str">
        <f>H59&amp;"&gt;"&amp;J59&amp;"&gt;"&amp;K59</f>
        <v>제04장 당사자&gt;제02절 당사자의 자격&gt;05</v>
      </c>
      <c r="S59" s="57" t="str">
        <f>N59&amp;"&gt;"&amp;C59&amp;"&gt;"&amp;E59</f>
        <v>기출&gt;2010&gt;2</v>
      </c>
      <c r="T59" s="57" t="str">
        <f>N59&amp;"&gt;"&amp;C59&amp;"&gt;"&amp;D59</f>
        <v>기출&gt;2010&gt;2-1</v>
      </c>
    </row>
    <row r="60" spans="2:20" ht="14.45" hidden="1" customHeight="1" x14ac:dyDescent="0.2">
      <c r="B60" s="24">
        <f>ROW()-3</f>
        <v>57</v>
      </c>
      <c r="C60" s="109">
        <v>2010</v>
      </c>
      <c r="D60" s="18" t="s">
        <v>1340</v>
      </c>
      <c r="E60" s="18" t="s">
        <v>1291</v>
      </c>
      <c r="F60" s="19" t="s">
        <v>2535</v>
      </c>
      <c r="G60" s="58">
        <v>18</v>
      </c>
      <c r="H60" s="19" t="s">
        <v>2551</v>
      </c>
      <c r="I60" s="18" t="s">
        <v>1370</v>
      </c>
      <c r="J60" s="20" t="s">
        <v>1293</v>
      </c>
      <c r="K60" s="18" t="s">
        <v>1343</v>
      </c>
      <c r="L60" s="19" t="s">
        <v>1344</v>
      </c>
      <c r="M60" s="57" t="s">
        <v>2197</v>
      </c>
      <c r="N60" s="56" t="s">
        <v>2335</v>
      </c>
      <c r="O60" s="99" t="s">
        <v>3518</v>
      </c>
      <c r="P60" s="57" t="str">
        <f>F60&amp;"&gt;"&amp;G60&amp;"&gt;"&amp;D60&amp;"&gt;"&amp;N60</f>
        <v>제05편 병합소송&gt;18&gt;2-2&gt;기출</v>
      </c>
      <c r="Q60" s="57" t="str">
        <f>H60&amp;"&gt;"&amp;I60&amp;"&gt;"&amp;D60&amp;"&gt;"&amp;N60</f>
        <v>제12장 다수당사자소송&gt;13&gt;2-2&gt;기출</v>
      </c>
      <c r="R60" s="57" t="str">
        <f>H60&amp;"&gt;"&amp;J60&amp;"&gt;"&amp;K60</f>
        <v>제12장 다수당사자소송&gt;제01절 공동소송&gt;08</v>
      </c>
      <c r="S60" s="57" t="str">
        <f>N60&amp;"&gt;"&amp;C60&amp;"&gt;"&amp;E60</f>
        <v>기출&gt;2010&gt;1</v>
      </c>
      <c r="T60" s="57" t="str">
        <f>N60&amp;"&gt;"&amp;C60&amp;"&gt;"&amp;D60</f>
        <v>기출&gt;2010&gt;2-2</v>
      </c>
    </row>
    <row r="61" spans="2:20" ht="14.45" hidden="1" customHeight="1" x14ac:dyDescent="0.2">
      <c r="B61" s="24">
        <f>ROW()-3</f>
        <v>58</v>
      </c>
      <c r="C61" s="109">
        <v>2011</v>
      </c>
      <c r="D61" s="18" t="s">
        <v>1291</v>
      </c>
      <c r="E61" s="18" t="s">
        <v>1287</v>
      </c>
      <c r="F61" s="19" t="s">
        <v>2579</v>
      </c>
      <c r="G61" s="58">
        <v>22</v>
      </c>
      <c r="H61" s="19" t="s">
        <v>2526</v>
      </c>
      <c r="I61" s="18" t="s">
        <v>1367</v>
      </c>
      <c r="J61" s="20" t="s">
        <v>1311</v>
      </c>
      <c r="K61" s="18" t="s">
        <v>1312</v>
      </c>
      <c r="L61" s="19" t="s">
        <v>1337</v>
      </c>
      <c r="M61" s="57" t="s">
        <v>2178</v>
      </c>
      <c r="N61" s="56" t="s">
        <v>2335</v>
      </c>
      <c r="O61" s="99"/>
      <c r="P61" s="57" t="str">
        <f>F61&amp;"&gt;"&amp;G61&amp;"&gt;"&amp;D61&amp;"&gt;"&amp;N61</f>
        <v>제03편 제1심 소송절차&gt;22&gt;1&gt;기출</v>
      </c>
      <c r="Q61" s="57" t="str">
        <f>H61&amp;"&gt;"&amp;I61&amp;"&gt;"&amp;D61&amp;"&gt;"&amp;N61</f>
        <v>제06장 변론&gt;10&gt;1&gt;기출</v>
      </c>
      <c r="R61" s="57" t="str">
        <f>H61&amp;"&gt;"&amp;J61&amp;"&gt;"&amp;K61</f>
        <v>제06장 변론&gt;제02절 심리에 관한 제 원칙&gt;04</v>
      </c>
      <c r="S61" s="57" t="str">
        <f>N61&amp;"&gt;"&amp;C61&amp;"&gt;"&amp;E61</f>
        <v>기출&gt;2011&gt;3</v>
      </c>
      <c r="T61" s="57" t="str">
        <f>N61&amp;"&gt;"&amp;C61&amp;"&gt;"&amp;D61</f>
        <v>기출&gt;2011&gt;1</v>
      </c>
    </row>
    <row r="62" spans="2:20" ht="14.45" hidden="1" customHeight="1" x14ac:dyDescent="0.2">
      <c r="B62" s="24">
        <f>ROW()-3</f>
        <v>59</v>
      </c>
      <c r="C62" s="109">
        <v>2011</v>
      </c>
      <c r="D62" s="18" t="s">
        <v>1338</v>
      </c>
      <c r="E62" s="18" t="s">
        <v>1289</v>
      </c>
      <c r="F62" s="19" t="s">
        <v>2535</v>
      </c>
      <c r="G62" s="58">
        <v>17</v>
      </c>
      <c r="H62" s="19" t="s">
        <v>2551</v>
      </c>
      <c r="I62" s="18" t="s">
        <v>1369</v>
      </c>
      <c r="J62" s="20" t="s">
        <v>1315</v>
      </c>
      <c r="K62" s="18" t="s">
        <v>1312</v>
      </c>
      <c r="L62" s="19" t="s">
        <v>1339</v>
      </c>
      <c r="M62" s="57" t="s">
        <v>2199</v>
      </c>
      <c r="N62" s="56" t="s">
        <v>2335</v>
      </c>
      <c r="O62" s="99" t="s">
        <v>3518</v>
      </c>
      <c r="P62" s="57" t="str">
        <f>F62&amp;"&gt;"&amp;G62&amp;"&gt;"&amp;D62&amp;"&gt;"&amp;N62</f>
        <v>제05편 병합소송&gt;17&gt;2-1&gt;기출</v>
      </c>
      <c r="Q62" s="57" t="str">
        <f>H62&amp;"&gt;"&amp;I62&amp;"&gt;"&amp;D62&amp;"&gt;"&amp;N62</f>
        <v>제12장 다수당사자소송&gt;12&gt;2-1&gt;기출</v>
      </c>
      <c r="R62" s="57" t="str">
        <f>H62&amp;"&gt;"&amp;J62&amp;"&gt;"&amp;K62</f>
        <v>제12장 다수당사자소송&gt;제02절 제3자의 소송참가&gt;04</v>
      </c>
      <c r="S62" s="57" t="str">
        <f>N62&amp;"&gt;"&amp;C62&amp;"&gt;"&amp;E62</f>
        <v>기출&gt;2011&gt;2</v>
      </c>
      <c r="T62" s="57" t="str">
        <f>N62&amp;"&gt;"&amp;C62&amp;"&gt;"&amp;D62</f>
        <v>기출&gt;2011&gt;2-1</v>
      </c>
    </row>
    <row r="63" spans="2:20" ht="14.45" hidden="1" customHeight="1" x14ac:dyDescent="0.2">
      <c r="B63" s="24">
        <f>ROW()-3</f>
        <v>60</v>
      </c>
      <c r="C63" s="109">
        <v>2011</v>
      </c>
      <c r="D63" s="18" t="s">
        <v>1340</v>
      </c>
      <c r="E63" s="18" t="s">
        <v>1291</v>
      </c>
      <c r="F63" s="19" t="s">
        <v>2579</v>
      </c>
      <c r="G63" s="58">
        <v>23</v>
      </c>
      <c r="H63" s="19" t="s">
        <v>2528</v>
      </c>
      <c r="I63" s="18" t="s">
        <v>1332</v>
      </c>
      <c r="J63" s="20" t="s">
        <v>1303</v>
      </c>
      <c r="K63" s="18" t="s">
        <v>1305</v>
      </c>
      <c r="L63" s="19" t="s">
        <v>1341</v>
      </c>
      <c r="M63" s="57" t="s">
        <v>2186</v>
      </c>
      <c r="N63" s="56" t="s">
        <v>2335</v>
      </c>
      <c r="O63" s="99" t="s">
        <v>3518</v>
      </c>
      <c r="P63" s="57" t="str">
        <f>F63&amp;"&gt;"&amp;G63&amp;"&gt;"&amp;D63&amp;"&gt;"&amp;N63</f>
        <v>제03편 제1심 소송절차&gt;23&gt;2-2&gt;기출</v>
      </c>
      <c r="Q63" s="57" t="str">
        <f>H63&amp;"&gt;"&amp;I63&amp;"&gt;"&amp;D63&amp;"&gt;"&amp;N63</f>
        <v>제07장 증거&gt;07&gt;2-2&gt;기출</v>
      </c>
      <c r="R63" s="57" t="str">
        <f>H63&amp;"&gt;"&amp;J63&amp;"&gt;"&amp;K63</f>
        <v>제07장 증거&gt;제03절 불요증사실&gt;03</v>
      </c>
      <c r="S63" s="57" t="str">
        <f>N63&amp;"&gt;"&amp;C63&amp;"&gt;"&amp;E63</f>
        <v>기출&gt;2011&gt;1</v>
      </c>
      <c r="T63" s="57" t="str">
        <f>N63&amp;"&gt;"&amp;C63&amp;"&gt;"&amp;D63</f>
        <v>기출&gt;2011&gt;2-2</v>
      </c>
    </row>
    <row r="64" spans="2:20" ht="14.45" hidden="1" customHeight="1" x14ac:dyDescent="0.2">
      <c r="B64" s="24">
        <f>ROW()-3</f>
        <v>61</v>
      </c>
      <c r="C64" s="109">
        <v>2012</v>
      </c>
      <c r="D64" s="18" t="s">
        <v>1291</v>
      </c>
      <c r="E64" s="18" t="s">
        <v>1287</v>
      </c>
      <c r="F64" s="19" t="s">
        <v>2579</v>
      </c>
      <c r="G64" s="58">
        <v>20</v>
      </c>
      <c r="H64" s="19" t="s">
        <v>2564</v>
      </c>
      <c r="I64" s="18" t="s">
        <v>1331</v>
      </c>
      <c r="J64" s="20" t="s">
        <v>1335</v>
      </c>
      <c r="K64" s="18" t="s">
        <v>1283</v>
      </c>
      <c r="L64" s="19" t="s">
        <v>162</v>
      </c>
      <c r="M64" s="57" t="s">
        <v>2177</v>
      </c>
      <c r="N64" s="56" t="s">
        <v>2335</v>
      </c>
      <c r="O64" s="99"/>
      <c r="P64" s="57" t="str">
        <f>F64&amp;"&gt;"&amp;G64&amp;"&gt;"&amp;D64&amp;"&gt;"&amp;N64</f>
        <v>제03편 제1심 소송절차&gt;20&gt;1&gt;기출</v>
      </c>
      <c r="Q64" s="57" t="str">
        <f>H64&amp;"&gt;"&amp;I64&amp;"&gt;"&amp;D64&amp;"&gt;"&amp;N64</f>
        <v>제05장 소송 개시와 심리 대상&gt;06&gt;1&gt;기출</v>
      </c>
      <c r="R64" s="57" t="str">
        <f>H64&amp;"&gt;"&amp;J64&amp;"&gt;"&amp;K64</f>
        <v>제05장 소송 개시와 심리 대상&gt;제08절 채권자대위소송에 대한 주요논점&gt;01</v>
      </c>
      <c r="S64" s="57" t="str">
        <f>N64&amp;"&gt;"&amp;C64&amp;"&gt;"&amp;E64</f>
        <v>기출&gt;2012&gt;3</v>
      </c>
      <c r="T64" s="57" t="str">
        <f>N64&amp;"&gt;"&amp;C64&amp;"&gt;"&amp;D64</f>
        <v>기출&gt;2012&gt;1</v>
      </c>
    </row>
    <row r="65" spans="2:20" ht="14.45" hidden="1" customHeight="1" x14ac:dyDescent="0.2">
      <c r="B65" s="24">
        <f>ROW()-3</f>
        <v>62</v>
      </c>
      <c r="C65" s="109">
        <v>2012</v>
      </c>
      <c r="D65" s="18" t="s">
        <v>1289</v>
      </c>
      <c r="E65" s="18" t="s">
        <v>1289</v>
      </c>
      <c r="F65" s="19" t="s">
        <v>2579</v>
      </c>
      <c r="G65" s="58">
        <v>21</v>
      </c>
      <c r="H65" s="19" t="s">
        <v>2526</v>
      </c>
      <c r="I65" s="18" t="s">
        <v>1366</v>
      </c>
      <c r="J65" s="20" t="s">
        <v>1336</v>
      </c>
      <c r="K65" s="18" t="s">
        <v>1283</v>
      </c>
      <c r="L65" s="19" t="s">
        <v>166</v>
      </c>
      <c r="M65" s="57" t="s">
        <v>2179</v>
      </c>
      <c r="N65" s="56" t="s">
        <v>2335</v>
      </c>
      <c r="O65" s="99" t="s">
        <v>3518</v>
      </c>
      <c r="P65" s="57" t="str">
        <f>F65&amp;"&gt;"&amp;G65&amp;"&gt;"&amp;D65&amp;"&gt;"&amp;N65</f>
        <v>제03편 제1심 소송절차&gt;21&gt;2&gt;기출</v>
      </c>
      <c r="Q65" s="57" t="str">
        <f>H65&amp;"&gt;"&amp;I65&amp;"&gt;"&amp;D65&amp;"&gt;"&amp;N65</f>
        <v>제06장 변론&gt;09&gt;2&gt;기출</v>
      </c>
      <c r="R65" s="57" t="str">
        <f>H65&amp;"&gt;"&amp;J65&amp;"&gt;"&amp;K65</f>
        <v>제06장 변론&gt;제03절 변론의 준비&gt;01</v>
      </c>
      <c r="S65" s="57" t="str">
        <f>N65&amp;"&gt;"&amp;C65&amp;"&gt;"&amp;E65</f>
        <v>기출&gt;2012&gt;2</v>
      </c>
      <c r="T65" s="57" t="str">
        <f>N65&amp;"&gt;"&amp;C65&amp;"&gt;"&amp;D65</f>
        <v>기출&gt;2012&gt;2</v>
      </c>
    </row>
    <row r="66" spans="2:20" ht="14.45" hidden="1" customHeight="1" x14ac:dyDescent="0.2">
      <c r="B66" s="24">
        <f>ROW()-3</f>
        <v>63</v>
      </c>
      <c r="C66" s="109">
        <v>2012</v>
      </c>
      <c r="D66" s="18" t="s">
        <v>1287</v>
      </c>
      <c r="E66" s="18" t="s">
        <v>1291</v>
      </c>
      <c r="F66" s="19" t="s">
        <v>2535</v>
      </c>
      <c r="G66" s="58">
        <v>16</v>
      </c>
      <c r="H66" s="19" t="s">
        <v>2549</v>
      </c>
      <c r="I66" s="18" t="s">
        <v>1325</v>
      </c>
      <c r="J66" s="20" t="s">
        <v>1308</v>
      </c>
      <c r="K66" s="18" t="s">
        <v>1295</v>
      </c>
      <c r="L66" s="19" t="s">
        <v>2508</v>
      </c>
      <c r="M66" s="57" t="s">
        <v>2507</v>
      </c>
      <c r="N66" s="56" t="s">
        <v>2335</v>
      </c>
      <c r="O66" s="99" t="s">
        <v>3518</v>
      </c>
      <c r="P66" s="57" t="str">
        <f>F66&amp;"&gt;"&amp;G66&amp;"&gt;"&amp;D66&amp;"&gt;"&amp;N66</f>
        <v>제05편 병합소송&gt;16&gt;3&gt;기출</v>
      </c>
      <c r="Q66" s="57" t="str">
        <f>H66&amp;"&gt;"&amp;I66&amp;"&gt;"&amp;D66&amp;"&gt;"&amp;N66</f>
        <v>제11장 병합청구소송&gt;05&gt;3&gt;기출</v>
      </c>
      <c r="R66" s="57" t="str">
        <f>H66&amp;"&gt;"&amp;J66&amp;"&gt;"&amp;K66</f>
        <v>제11장 병합청구소송&gt;제02절 청구의 후발적 병합&gt;02</v>
      </c>
      <c r="S66" s="57" t="str">
        <f>N66&amp;"&gt;"&amp;C66&amp;"&gt;"&amp;E66</f>
        <v>기출&gt;2012&gt;1</v>
      </c>
      <c r="T66" s="57" t="str">
        <f>N66&amp;"&gt;"&amp;C66&amp;"&gt;"&amp;D66</f>
        <v>기출&gt;2012&gt;3</v>
      </c>
    </row>
    <row r="67" spans="2:20" ht="14.45" hidden="1" customHeight="1" x14ac:dyDescent="0.2">
      <c r="B67" s="24">
        <f>ROW()-3</f>
        <v>64</v>
      </c>
      <c r="C67" s="109">
        <v>2013</v>
      </c>
      <c r="D67" s="18" t="s">
        <v>1324</v>
      </c>
      <c r="E67" s="18" t="s">
        <v>1282</v>
      </c>
      <c r="F67" s="19" t="s">
        <v>2533</v>
      </c>
      <c r="G67" s="58">
        <v>11</v>
      </c>
      <c r="H67" s="19" t="s">
        <v>2524</v>
      </c>
      <c r="I67" s="18" t="s">
        <v>1343</v>
      </c>
      <c r="J67" s="20" t="s">
        <v>1317</v>
      </c>
      <c r="K67" s="18" t="s">
        <v>1305</v>
      </c>
      <c r="L67" s="19" t="s">
        <v>2439</v>
      </c>
      <c r="M67" s="57" t="s">
        <v>2440</v>
      </c>
      <c r="N67" s="56" t="s">
        <v>2335</v>
      </c>
      <c r="O67" s="99"/>
      <c r="P67" s="57" t="str">
        <f>F67&amp;"&gt;"&amp;G67&amp;"&gt;"&amp;D67&amp;"&gt;"&amp;N67</f>
        <v>제02편 소송의 주체&gt;11&gt;1-1&gt;기출</v>
      </c>
      <c r="Q67" s="57" t="str">
        <f>H67&amp;"&gt;"&amp;I67&amp;"&gt;"&amp;D67&amp;"&gt;"&amp;N67</f>
        <v>제04장 당사자&gt;08&gt;1-1&gt;기출</v>
      </c>
      <c r="R67" s="57" t="str">
        <f>H67&amp;"&gt;"&amp;J67&amp;"&gt;"&amp;K67</f>
        <v>제04장 당사자&gt;제03절 소송상의 대리인&gt;03</v>
      </c>
      <c r="S67" s="57" t="str">
        <f>N67&amp;"&gt;"&amp;C67&amp;"&gt;"&amp;E67</f>
        <v>기출&gt;2013&gt;5</v>
      </c>
      <c r="T67" s="57" t="str">
        <f>N67&amp;"&gt;"&amp;C67&amp;"&gt;"&amp;D67</f>
        <v>기출&gt;2013&gt;1-1</v>
      </c>
    </row>
    <row r="68" spans="2:20" ht="14.45" hidden="1" customHeight="1" x14ac:dyDescent="0.2">
      <c r="B68" s="24">
        <f>ROW()-3</f>
        <v>65</v>
      </c>
      <c r="C68" s="109">
        <v>2013</v>
      </c>
      <c r="D68" s="18" t="s">
        <v>1324</v>
      </c>
      <c r="E68" s="18" t="s">
        <v>1284</v>
      </c>
      <c r="F68" s="19" t="s">
        <v>2535</v>
      </c>
      <c r="G68" s="58">
        <v>14</v>
      </c>
      <c r="H68" s="19" t="s">
        <v>2551</v>
      </c>
      <c r="I68" s="18" t="s">
        <v>1367</v>
      </c>
      <c r="J68" s="20" t="s">
        <v>1293</v>
      </c>
      <c r="K68" s="18" t="s">
        <v>1331</v>
      </c>
      <c r="L68" s="19" t="s">
        <v>2439</v>
      </c>
      <c r="M68" s="57" t="s">
        <v>2438</v>
      </c>
      <c r="N68" s="56" t="s">
        <v>2335</v>
      </c>
      <c r="O68" s="99"/>
      <c r="P68" s="57" t="str">
        <f>F68&amp;"&gt;"&amp;G68&amp;"&gt;"&amp;D68&amp;"&gt;"&amp;N68</f>
        <v>제05편 병합소송&gt;14&gt;1-1&gt;기출</v>
      </c>
      <c r="Q68" s="57" t="str">
        <f>H68&amp;"&gt;"&amp;I68&amp;"&gt;"&amp;D68&amp;"&gt;"&amp;N68</f>
        <v>제12장 다수당사자소송&gt;10&gt;1-1&gt;기출</v>
      </c>
      <c r="R68" s="57" t="str">
        <f>H68&amp;"&gt;"&amp;J68&amp;"&gt;"&amp;K68</f>
        <v>제12장 다수당사자소송&gt;제01절 공동소송&gt;06</v>
      </c>
      <c r="S68" s="57" t="str">
        <f>N68&amp;"&gt;"&amp;C68&amp;"&gt;"&amp;E68</f>
        <v>기출&gt;2013&gt;4</v>
      </c>
      <c r="T68" s="57" t="str">
        <f>N68&amp;"&gt;"&amp;C68&amp;"&gt;"&amp;D68</f>
        <v>기출&gt;2013&gt;1-1</v>
      </c>
    </row>
    <row r="69" spans="2:20" ht="14.45" hidden="1" customHeight="1" x14ac:dyDescent="0.2">
      <c r="B69" s="24">
        <f>ROW()-3</f>
        <v>66</v>
      </c>
      <c r="C69" s="109">
        <v>2013</v>
      </c>
      <c r="D69" s="18" t="s">
        <v>1327</v>
      </c>
      <c r="E69" s="18" t="s">
        <v>1287</v>
      </c>
      <c r="F69" s="19" t="s">
        <v>2535</v>
      </c>
      <c r="G69" s="58">
        <v>15</v>
      </c>
      <c r="H69" s="19" t="s">
        <v>2551</v>
      </c>
      <c r="I69" s="18" t="s">
        <v>1368</v>
      </c>
      <c r="J69" s="20" t="s">
        <v>1293</v>
      </c>
      <c r="K69" s="18" t="s">
        <v>1332</v>
      </c>
      <c r="L69" s="19" t="s">
        <v>1333</v>
      </c>
      <c r="M69" s="57" t="s">
        <v>2196</v>
      </c>
      <c r="N69" s="56" t="s">
        <v>2335</v>
      </c>
      <c r="O69" s="99"/>
      <c r="P69" s="57" t="str">
        <f>F69&amp;"&gt;"&amp;G69&amp;"&gt;"&amp;D69&amp;"&gt;"&amp;N69</f>
        <v>제05편 병합소송&gt;15&gt;1-2&gt;기출</v>
      </c>
      <c r="Q69" s="57" t="str">
        <f>H69&amp;"&gt;"&amp;I69&amp;"&gt;"&amp;D69&amp;"&gt;"&amp;N69</f>
        <v>제12장 다수당사자소송&gt;11&gt;1-2&gt;기출</v>
      </c>
      <c r="R69" s="57" t="str">
        <f>H69&amp;"&gt;"&amp;J69&amp;"&gt;"&amp;K69</f>
        <v>제12장 다수당사자소송&gt;제01절 공동소송&gt;07</v>
      </c>
      <c r="S69" s="57" t="str">
        <f>N69&amp;"&gt;"&amp;C69&amp;"&gt;"&amp;E69</f>
        <v>기출&gt;2013&gt;3</v>
      </c>
      <c r="T69" s="57" t="str">
        <f>N69&amp;"&gt;"&amp;C69&amp;"&gt;"&amp;D69</f>
        <v>기출&gt;2013&gt;1-2</v>
      </c>
    </row>
    <row r="70" spans="2:20" ht="14.45" hidden="1" customHeight="1" x14ac:dyDescent="0.2">
      <c r="B70" s="24">
        <f>ROW()-3</f>
        <v>67</v>
      </c>
      <c r="C70" s="109">
        <v>2013</v>
      </c>
      <c r="D70" s="18" t="s">
        <v>1328</v>
      </c>
      <c r="E70" s="18" t="s">
        <v>1289</v>
      </c>
      <c r="F70" s="19" t="s">
        <v>2534</v>
      </c>
      <c r="G70" s="60" t="s">
        <v>2587</v>
      </c>
      <c r="H70" s="19" t="s">
        <v>2545</v>
      </c>
      <c r="I70" s="18" t="s">
        <v>1312</v>
      </c>
      <c r="J70" s="20" t="s">
        <v>1334</v>
      </c>
      <c r="K70" s="18" t="s">
        <v>1283</v>
      </c>
      <c r="L70" s="19" t="s">
        <v>2465</v>
      </c>
      <c r="M70" s="57" t="s">
        <v>2466</v>
      </c>
      <c r="N70" s="56" t="s">
        <v>2335</v>
      </c>
      <c r="O70" s="99" t="s">
        <v>3518</v>
      </c>
      <c r="P70" s="57" t="str">
        <f>F70&amp;"&gt;"&amp;G70&amp;"&gt;"&amp;D70&amp;"&gt;"&amp;N70</f>
        <v>제04편 소송의 종료&gt;08&gt;2&gt;기출</v>
      </c>
      <c r="Q70" s="57" t="str">
        <f>H70&amp;"&gt;"&amp;I70&amp;"&gt;"&amp;D70&amp;"&gt;"&amp;N70</f>
        <v>제09장 당사자 행위에 의한 종료&gt;04&gt;2&gt;기출</v>
      </c>
      <c r="R70" s="57" t="str">
        <f>H70&amp;"&gt;"&amp;J70&amp;"&gt;"&amp;K70</f>
        <v>제09장 당사자 행위에 의한 종료&gt;제03절 재판상 화해&gt;01</v>
      </c>
      <c r="S70" s="57" t="str">
        <f>N70&amp;"&gt;"&amp;C70&amp;"&gt;"&amp;E70</f>
        <v>기출&gt;2013&gt;2</v>
      </c>
      <c r="T70" s="57" t="str">
        <f>N70&amp;"&gt;"&amp;C70&amp;"&gt;"&amp;D70</f>
        <v>기출&gt;2013&gt;2</v>
      </c>
    </row>
    <row r="71" spans="2:20" ht="14.45" hidden="1" customHeight="1" x14ac:dyDescent="0.2">
      <c r="B71" s="24">
        <f>ROW()-3</f>
        <v>68</v>
      </c>
      <c r="C71" s="109">
        <v>2013</v>
      </c>
      <c r="D71" s="18" t="s">
        <v>1329</v>
      </c>
      <c r="E71" s="18" t="s">
        <v>1291</v>
      </c>
      <c r="F71" s="19" t="s">
        <v>2579</v>
      </c>
      <c r="G71" s="58">
        <v>19</v>
      </c>
      <c r="H71" s="19" t="s">
        <v>2528</v>
      </c>
      <c r="I71" s="18" t="s">
        <v>1331</v>
      </c>
      <c r="J71" s="20" t="s">
        <v>1319</v>
      </c>
      <c r="K71" s="18" t="s">
        <v>1295</v>
      </c>
      <c r="L71" s="19" t="s">
        <v>2488</v>
      </c>
      <c r="M71" s="57" t="s">
        <v>2487</v>
      </c>
      <c r="N71" s="56" t="s">
        <v>2335</v>
      </c>
      <c r="O71" s="99" t="s">
        <v>3518</v>
      </c>
      <c r="P71" s="57" t="str">
        <f>F71&amp;"&gt;"&amp;G71&amp;"&gt;"&amp;D71&amp;"&gt;"&amp;N71</f>
        <v>제03편 제1심 소송절차&gt;19&gt;3&gt;기출</v>
      </c>
      <c r="Q71" s="57" t="str">
        <f>H71&amp;"&gt;"&amp;I71&amp;"&gt;"&amp;D71&amp;"&gt;"&amp;N71</f>
        <v>제07장 증거&gt;06&gt;3&gt;기출</v>
      </c>
      <c r="R71" s="57" t="str">
        <f>H71&amp;"&gt;"&amp;J71&amp;"&gt;"&amp;K71</f>
        <v>제07장 증거&gt;제04절 증거조사의 개시와 실시&gt;02</v>
      </c>
      <c r="S71" s="57" t="str">
        <f>N71&amp;"&gt;"&amp;C71&amp;"&gt;"&amp;E71</f>
        <v>기출&gt;2013&gt;1</v>
      </c>
      <c r="T71" s="57" t="str">
        <f>N71&amp;"&gt;"&amp;C71&amp;"&gt;"&amp;D71</f>
        <v>기출&gt;2013&gt;3</v>
      </c>
    </row>
    <row r="72" spans="2:20" ht="14.45" hidden="1" customHeight="1" x14ac:dyDescent="0.2">
      <c r="B72" s="24">
        <f>ROW()-3</f>
        <v>69</v>
      </c>
      <c r="C72" s="109">
        <v>2014</v>
      </c>
      <c r="D72" s="18" t="s">
        <v>1324</v>
      </c>
      <c r="E72" s="18" t="s">
        <v>1284</v>
      </c>
      <c r="F72" s="19" t="s">
        <v>2533</v>
      </c>
      <c r="G72" s="60">
        <v>10</v>
      </c>
      <c r="H72" s="19" t="s">
        <v>2524</v>
      </c>
      <c r="I72" s="18" t="s">
        <v>1332</v>
      </c>
      <c r="J72" s="20" t="s">
        <v>1307</v>
      </c>
      <c r="K72" s="18" t="s">
        <v>1312</v>
      </c>
      <c r="L72" s="19" t="s">
        <v>2301</v>
      </c>
      <c r="M72" s="57" t="s">
        <v>2390</v>
      </c>
      <c r="N72" s="56" t="s">
        <v>2335</v>
      </c>
      <c r="O72" s="99"/>
      <c r="P72" s="57" t="str">
        <f>F72&amp;"&gt;"&amp;G72&amp;"&gt;"&amp;D72&amp;"&gt;"&amp;N72</f>
        <v>제02편 소송의 주체&gt;10&gt;1-1&gt;기출</v>
      </c>
      <c r="Q72" s="57" t="str">
        <f>H72&amp;"&gt;"&amp;I72&amp;"&gt;"&amp;D72&amp;"&gt;"&amp;N72</f>
        <v>제04장 당사자&gt;07&gt;1-1&gt;기출</v>
      </c>
      <c r="R72" s="57" t="str">
        <f>H72&amp;"&gt;"&amp;J72&amp;"&gt;"&amp;K72</f>
        <v>제04장 당사자&gt;제02절 당사자의 자격&gt;04</v>
      </c>
      <c r="S72" s="57" t="str">
        <f>N72&amp;"&gt;"&amp;C72&amp;"&gt;"&amp;E72</f>
        <v>기출&gt;2014&gt;4</v>
      </c>
      <c r="T72" s="57" t="str">
        <f>N72&amp;"&gt;"&amp;C72&amp;"&gt;"&amp;D72</f>
        <v>기출&gt;2014&gt;1-1</v>
      </c>
    </row>
    <row r="73" spans="2:20" ht="14.45" hidden="1" customHeight="1" x14ac:dyDescent="0.2">
      <c r="B73" s="24">
        <f>ROW()-3</f>
        <v>70</v>
      </c>
      <c r="C73" s="109">
        <v>2014</v>
      </c>
      <c r="D73" s="18" t="s">
        <v>1327</v>
      </c>
      <c r="E73" s="18" t="s">
        <v>1287</v>
      </c>
      <c r="F73" s="19" t="s">
        <v>2579</v>
      </c>
      <c r="G73" s="58">
        <v>17</v>
      </c>
      <c r="H73" s="19" t="s">
        <v>2526</v>
      </c>
      <c r="I73" s="18" t="s">
        <v>1343</v>
      </c>
      <c r="J73" s="20" t="s">
        <v>1311</v>
      </c>
      <c r="K73" s="18" t="s">
        <v>1305</v>
      </c>
      <c r="L73" s="19" t="s">
        <v>2372</v>
      </c>
      <c r="M73" s="57" t="s">
        <v>2358</v>
      </c>
      <c r="N73" s="56" t="s">
        <v>2335</v>
      </c>
      <c r="O73" s="99"/>
      <c r="P73" s="57" t="str">
        <f>F73&amp;"&gt;"&amp;G73&amp;"&gt;"&amp;D73&amp;"&gt;"&amp;N73</f>
        <v>제03편 제1심 소송절차&gt;17&gt;1-2&gt;기출</v>
      </c>
      <c r="Q73" s="57" t="str">
        <f>H73&amp;"&gt;"&amp;I73&amp;"&gt;"&amp;D73&amp;"&gt;"&amp;N73</f>
        <v>제06장 변론&gt;08&gt;1-2&gt;기출</v>
      </c>
      <c r="R73" s="57" t="str">
        <f>H73&amp;"&gt;"&amp;J73&amp;"&gt;"&amp;K73</f>
        <v>제06장 변론&gt;제02절 심리에 관한 제 원칙&gt;03</v>
      </c>
      <c r="S73" s="57" t="str">
        <f>N73&amp;"&gt;"&amp;C73&amp;"&gt;"&amp;E73</f>
        <v>기출&gt;2014&gt;3</v>
      </c>
      <c r="T73" s="57" t="str">
        <f>N73&amp;"&gt;"&amp;C73&amp;"&gt;"&amp;D73</f>
        <v>기출&gt;2014&gt;1-2</v>
      </c>
    </row>
    <row r="74" spans="2:20" ht="14.45" hidden="1" customHeight="1" x14ac:dyDescent="0.2">
      <c r="B74" s="24">
        <f>ROW()-3</f>
        <v>71</v>
      </c>
      <c r="C74" s="109">
        <v>2014</v>
      </c>
      <c r="D74" s="18" t="s">
        <v>1328</v>
      </c>
      <c r="E74" s="18" t="s">
        <v>1289</v>
      </c>
      <c r="F74" s="19" t="s">
        <v>2532</v>
      </c>
      <c r="G74" s="58" t="s">
        <v>2566</v>
      </c>
      <c r="H74" s="19" t="s">
        <v>3460</v>
      </c>
      <c r="I74" s="18" t="s">
        <v>1283</v>
      </c>
      <c r="J74" s="20" t="s">
        <v>1330</v>
      </c>
      <c r="K74" s="18" t="s">
        <v>1283</v>
      </c>
      <c r="L74" s="19" t="s">
        <v>145</v>
      </c>
      <c r="M74" s="57" t="s">
        <v>2164</v>
      </c>
      <c r="N74" s="56" t="s">
        <v>2335</v>
      </c>
      <c r="O74" s="99"/>
      <c r="P74" s="57" t="str">
        <f>F74&amp;"&gt;"&amp;G74&amp;"&gt;"&amp;D74&amp;"&gt;"&amp;N74</f>
        <v>제01편 총설&gt;01&gt;2&gt;기출</v>
      </c>
      <c r="Q74" s="57" t="str">
        <f>H74&amp;"&gt;"&amp;I74&amp;"&gt;"&amp;D74&amp;"&gt;"&amp;N74</f>
        <v>제01장 민사소송&gt;01&gt;2&gt;기출</v>
      </c>
      <c r="R74" s="57" t="str">
        <f>H74&amp;"&gt;"&amp;J74&amp;"&gt;"&amp;K74</f>
        <v>제01장 민사소송&gt;제03절 민사소송의 이상과 신의성실의 원칙&gt;01</v>
      </c>
      <c r="S74" s="57" t="str">
        <f>N74&amp;"&gt;"&amp;C74&amp;"&gt;"&amp;E74</f>
        <v>기출&gt;2014&gt;2</v>
      </c>
      <c r="T74" s="57" t="str">
        <f>N74&amp;"&gt;"&amp;C74&amp;"&gt;"&amp;D74</f>
        <v>기출&gt;2014&gt;2</v>
      </c>
    </row>
    <row r="75" spans="2:20" ht="14.45" hidden="1" customHeight="1" x14ac:dyDescent="0.2">
      <c r="B75" s="24">
        <f>ROW()-3</f>
        <v>72</v>
      </c>
      <c r="C75" s="109">
        <v>2014</v>
      </c>
      <c r="D75" s="18" t="s">
        <v>1329</v>
      </c>
      <c r="E75" s="18" t="s">
        <v>1291</v>
      </c>
      <c r="F75" s="19" t="s">
        <v>2579</v>
      </c>
      <c r="G75" s="58">
        <v>18</v>
      </c>
      <c r="H75" s="19" t="s">
        <v>2564</v>
      </c>
      <c r="I75" s="18" t="s">
        <v>1325</v>
      </c>
      <c r="J75" s="20" t="s">
        <v>1297</v>
      </c>
      <c r="K75" s="18" t="s">
        <v>1295</v>
      </c>
      <c r="L75" s="19" t="s">
        <v>2455</v>
      </c>
      <c r="M75" s="57" t="s">
        <v>2454</v>
      </c>
      <c r="N75" s="56" t="s">
        <v>2335</v>
      </c>
      <c r="O75" s="99" t="s">
        <v>3518</v>
      </c>
      <c r="P75" s="57" t="str">
        <f>F75&amp;"&gt;"&amp;G75&amp;"&gt;"&amp;D75&amp;"&gt;"&amp;N75</f>
        <v>제03편 제1심 소송절차&gt;18&gt;3&gt;기출</v>
      </c>
      <c r="Q75" s="57" t="str">
        <f>H75&amp;"&gt;"&amp;I75&amp;"&gt;"&amp;D75&amp;"&gt;"&amp;N75</f>
        <v>제05장 소송 개시와 심리 대상&gt;05&gt;3&gt;기출</v>
      </c>
      <c r="R75" s="57" t="str">
        <f>H75&amp;"&gt;"&amp;J75&amp;"&gt;"&amp;K75</f>
        <v>제05장 소송 개시와 심리 대상&gt;제07절 소제기의 효과&gt;02</v>
      </c>
      <c r="S75" s="57" t="str">
        <f>N75&amp;"&gt;"&amp;C75&amp;"&gt;"&amp;E75</f>
        <v>기출&gt;2014&gt;1</v>
      </c>
      <c r="T75" s="57" t="str">
        <f>N75&amp;"&gt;"&amp;C75&amp;"&gt;"&amp;D75</f>
        <v>기출&gt;2014&gt;3</v>
      </c>
    </row>
    <row r="76" spans="2:20" ht="14.45" hidden="1" customHeight="1" x14ac:dyDescent="0.2">
      <c r="B76" s="24">
        <f>ROW()-3</f>
        <v>73</v>
      </c>
      <c r="C76" s="109">
        <v>2015</v>
      </c>
      <c r="D76" s="18" t="s">
        <v>1324</v>
      </c>
      <c r="E76" s="18" t="s">
        <v>1284</v>
      </c>
      <c r="F76" s="19" t="s">
        <v>2535</v>
      </c>
      <c r="G76" s="58">
        <v>13</v>
      </c>
      <c r="H76" s="19" t="s">
        <v>2551</v>
      </c>
      <c r="I76" s="18" t="s">
        <v>1366</v>
      </c>
      <c r="J76" s="20" t="s">
        <v>1293</v>
      </c>
      <c r="K76" s="18" t="s">
        <v>1325</v>
      </c>
      <c r="L76" s="19" t="s">
        <v>1326</v>
      </c>
      <c r="M76" s="57" t="s">
        <v>2195</v>
      </c>
      <c r="N76" s="56" t="s">
        <v>2335</v>
      </c>
      <c r="O76" s="99"/>
      <c r="P76" s="57" t="str">
        <f>F76&amp;"&gt;"&amp;G76&amp;"&gt;"&amp;D76&amp;"&gt;"&amp;N76</f>
        <v>제05편 병합소송&gt;13&gt;1-1&gt;기출</v>
      </c>
      <c r="Q76" s="57" t="str">
        <f>H76&amp;"&gt;"&amp;I76&amp;"&gt;"&amp;D76&amp;"&gt;"&amp;N76</f>
        <v>제12장 다수당사자소송&gt;09&gt;1-1&gt;기출</v>
      </c>
      <c r="R76" s="57" t="str">
        <f>H76&amp;"&gt;"&amp;J76&amp;"&gt;"&amp;K76</f>
        <v>제12장 다수당사자소송&gt;제01절 공동소송&gt;05</v>
      </c>
      <c r="S76" s="57" t="str">
        <f>N76&amp;"&gt;"&amp;C76&amp;"&gt;"&amp;E76</f>
        <v>기출&gt;2015&gt;4</v>
      </c>
      <c r="T76" s="57" t="str">
        <f>N76&amp;"&gt;"&amp;C76&amp;"&gt;"&amp;D76</f>
        <v>기출&gt;2015&gt;1-1</v>
      </c>
    </row>
    <row r="77" spans="2:20" ht="14.45" hidden="1" customHeight="1" x14ac:dyDescent="0.2">
      <c r="B77" s="24">
        <f>ROW()-3</f>
        <v>74</v>
      </c>
      <c r="C77" s="109">
        <v>2015</v>
      </c>
      <c r="D77" s="18" t="s">
        <v>1327</v>
      </c>
      <c r="E77" s="18" t="s">
        <v>1287</v>
      </c>
      <c r="F77" s="19" t="s">
        <v>2579</v>
      </c>
      <c r="G77" s="58">
        <v>16</v>
      </c>
      <c r="H77" s="19" t="s">
        <v>2526</v>
      </c>
      <c r="I77" s="18" t="s">
        <v>1332</v>
      </c>
      <c r="J77" s="20" t="s">
        <v>1296</v>
      </c>
      <c r="K77" s="18" t="s">
        <v>1305</v>
      </c>
      <c r="L77" s="19" t="s">
        <v>2373</v>
      </c>
      <c r="M77" s="57" t="s">
        <v>2361</v>
      </c>
      <c r="N77" s="56" t="s">
        <v>2335</v>
      </c>
      <c r="O77" s="99"/>
      <c r="P77" s="57" t="str">
        <f>F77&amp;"&gt;"&amp;G77&amp;"&gt;"&amp;D77&amp;"&gt;"&amp;N77</f>
        <v>제03편 제1심 소송절차&gt;16&gt;1-2&gt;기출</v>
      </c>
      <c r="Q77" s="57" t="str">
        <f>H77&amp;"&gt;"&amp;I77&amp;"&gt;"&amp;D77&amp;"&gt;"&amp;N77</f>
        <v>제06장 변론&gt;07&gt;1-2&gt;기출</v>
      </c>
      <c r="R77" s="57" t="str">
        <f>H77&amp;"&gt;"&amp;J77&amp;"&gt;"&amp;K77</f>
        <v>제06장 변론&gt;제07절 기일・기간 및 송달&gt;03</v>
      </c>
      <c r="S77" s="57" t="str">
        <f>N77&amp;"&gt;"&amp;C77&amp;"&gt;"&amp;E77</f>
        <v>기출&gt;2015&gt;3</v>
      </c>
      <c r="T77" s="57" t="str">
        <f>N77&amp;"&gt;"&amp;C77&amp;"&gt;"&amp;D77</f>
        <v>기출&gt;2015&gt;1-2</v>
      </c>
    </row>
    <row r="78" spans="2:20" ht="14.45" hidden="1" customHeight="1" x14ac:dyDescent="0.2">
      <c r="B78" s="24">
        <f>ROW()-3</f>
        <v>75</v>
      </c>
      <c r="C78" s="109">
        <v>2015</v>
      </c>
      <c r="D78" s="18" t="s">
        <v>1328</v>
      </c>
      <c r="E78" s="18" t="s">
        <v>1289</v>
      </c>
      <c r="F78" s="19" t="s">
        <v>2533</v>
      </c>
      <c r="G78" s="60" t="s">
        <v>2578</v>
      </c>
      <c r="H78" s="19" t="s">
        <v>2522</v>
      </c>
      <c r="I78" s="18" t="s">
        <v>1305</v>
      </c>
      <c r="J78" s="20" t="s">
        <v>1309</v>
      </c>
      <c r="K78" s="18" t="s">
        <v>1305</v>
      </c>
      <c r="L78" s="19" t="s">
        <v>2433</v>
      </c>
      <c r="M78" s="57" t="s">
        <v>2432</v>
      </c>
      <c r="N78" s="56" t="s">
        <v>2335</v>
      </c>
      <c r="O78" s="99" t="s">
        <v>3518</v>
      </c>
      <c r="P78" s="57" t="str">
        <f>F78&amp;"&gt;"&amp;G78&amp;"&gt;"&amp;D78&amp;"&gt;"&amp;N78</f>
        <v>제02편 소송의 주체&gt;09&gt;2&gt;기출</v>
      </c>
      <c r="Q78" s="57" t="str">
        <f>H78&amp;"&gt;"&amp;I78&amp;"&gt;"&amp;D78&amp;"&gt;"&amp;N78</f>
        <v>제03장 법원&gt;03&gt;2&gt;기출</v>
      </c>
      <c r="R78" s="57" t="str">
        <f>H78&amp;"&gt;"&amp;J78&amp;"&gt;"&amp;K78</f>
        <v>제03장 법원&gt;제03절 관할&gt;03</v>
      </c>
      <c r="S78" s="57" t="str">
        <f>N78&amp;"&gt;"&amp;C78&amp;"&gt;"&amp;E78</f>
        <v>기출&gt;2015&gt;2</v>
      </c>
      <c r="T78" s="57" t="str">
        <f>N78&amp;"&gt;"&amp;C78&amp;"&gt;"&amp;D78</f>
        <v>기출&gt;2015&gt;2</v>
      </c>
    </row>
    <row r="79" spans="2:20" ht="14.45" hidden="1" customHeight="1" x14ac:dyDescent="0.2">
      <c r="B79" s="24">
        <f>ROW()-3</f>
        <v>76</v>
      </c>
      <c r="C79" s="109">
        <v>2015</v>
      </c>
      <c r="D79" s="18" t="s">
        <v>1329</v>
      </c>
      <c r="E79" s="18" t="s">
        <v>1291</v>
      </c>
      <c r="F79" s="19" t="s">
        <v>2534</v>
      </c>
      <c r="G79" s="60" t="s">
        <v>2586</v>
      </c>
      <c r="H79" s="19" t="s">
        <v>2545</v>
      </c>
      <c r="I79" s="18" t="s">
        <v>1305</v>
      </c>
      <c r="J79" s="20" t="s">
        <v>1292</v>
      </c>
      <c r="K79" s="18" t="s">
        <v>1305</v>
      </c>
      <c r="L79" s="19" t="s">
        <v>2464</v>
      </c>
      <c r="M79" s="57" t="s">
        <v>2463</v>
      </c>
      <c r="N79" s="56" t="s">
        <v>2335</v>
      </c>
      <c r="O79" s="99" t="s">
        <v>3518</v>
      </c>
      <c r="P79" s="57" t="str">
        <f>F79&amp;"&gt;"&amp;G79&amp;"&gt;"&amp;D79&amp;"&gt;"&amp;N79</f>
        <v>제04편 소송의 종료&gt;07&gt;3&gt;기출</v>
      </c>
      <c r="Q79" s="57" t="str">
        <f>H79&amp;"&gt;"&amp;I79&amp;"&gt;"&amp;D79&amp;"&gt;"&amp;N79</f>
        <v>제09장 당사자 행위에 의한 종료&gt;03&gt;3&gt;기출</v>
      </c>
      <c r="R79" s="57" t="str">
        <f>H79&amp;"&gt;"&amp;J79&amp;"&gt;"&amp;K79</f>
        <v>제09장 당사자 행위에 의한 종료&gt;제01절 소의 취하와 재소금지&gt;03</v>
      </c>
      <c r="S79" s="57" t="str">
        <f>N79&amp;"&gt;"&amp;C79&amp;"&gt;"&amp;E79</f>
        <v>기출&gt;2015&gt;1</v>
      </c>
      <c r="T79" s="57" t="str">
        <f>N79&amp;"&gt;"&amp;C79&amp;"&gt;"&amp;D79</f>
        <v>기출&gt;2015&gt;3</v>
      </c>
    </row>
    <row r="80" spans="2:20" ht="14.45" hidden="1" customHeight="1" x14ac:dyDescent="0.2">
      <c r="B80" s="24">
        <f>ROW()-3</f>
        <v>77</v>
      </c>
      <c r="C80" s="109">
        <v>2016</v>
      </c>
      <c r="D80" s="18" t="s">
        <v>1281</v>
      </c>
      <c r="E80" s="18" t="s">
        <v>1284</v>
      </c>
      <c r="F80" s="19" t="s">
        <v>2533</v>
      </c>
      <c r="G80" s="60" t="s">
        <v>2576</v>
      </c>
      <c r="H80" s="19" t="s">
        <v>2524</v>
      </c>
      <c r="I80" s="18" t="s">
        <v>1325</v>
      </c>
      <c r="J80" s="20" t="s">
        <v>1307</v>
      </c>
      <c r="K80" s="18" t="s">
        <v>1305</v>
      </c>
      <c r="L80" s="19" t="s">
        <v>2297</v>
      </c>
      <c r="M80" s="57" t="s">
        <v>2389</v>
      </c>
      <c r="N80" s="56" t="s">
        <v>2335</v>
      </c>
      <c r="O80" s="99"/>
      <c r="P80" s="57" t="str">
        <f>F80&amp;"&gt;"&amp;G80&amp;"&gt;"&amp;D80&amp;"&gt;"&amp;N80</f>
        <v>제02편 소송의 주체&gt;07&gt;1-1&gt;기출</v>
      </c>
      <c r="Q80" s="57" t="str">
        <f>H80&amp;"&gt;"&amp;I80&amp;"&gt;"&amp;D80&amp;"&gt;"&amp;N80</f>
        <v>제04장 당사자&gt;05&gt;1-1&gt;기출</v>
      </c>
      <c r="R80" s="57" t="str">
        <f>H80&amp;"&gt;"&amp;J80&amp;"&gt;"&amp;K80</f>
        <v>제04장 당사자&gt;제02절 당사자의 자격&gt;03</v>
      </c>
      <c r="S80" s="57" t="str">
        <f>N80&amp;"&gt;"&amp;C80&amp;"&gt;"&amp;E80</f>
        <v>기출&gt;2016&gt;4</v>
      </c>
      <c r="T80" s="57" t="str">
        <f>N80&amp;"&gt;"&amp;C80&amp;"&gt;"&amp;D80</f>
        <v>기출&gt;2016&gt;1-1</v>
      </c>
    </row>
    <row r="81" spans="2:20" ht="14.45" hidden="1" customHeight="1" x14ac:dyDescent="0.2">
      <c r="B81" s="24">
        <f>ROW()-3</f>
        <v>78</v>
      </c>
      <c r="C81" s="109">
        <v>2016</v>
      </c>
      <c r="D81" s="18" t="s">
        <v>1286</v>
      </c>
      <c r="E81" s="18" t="s">
        <v>1287</v>
      </c>
      <c r="F81" s="19" t="s">
        <v>2533</v>
      </c>
      <c r="G81" s="60" t="s">
        <v>2577</v>
      </c>
      <c r="H81" s="19" t="s">
        <v>2524</v>
      </c>
      <c r="I81" s="18" t="s">
        <v>1331</v>
      </c>
      <c r="J81" s="20" t="s">
        <v>1317</v>
      </c>
      <c r="K81" s="18" t="s">
        <v>1295</v>
      </c>
      <c r="L81" s="19" t="s">
        <v>2299</v>
      </c>
      <c r="M81" s="57" t="s">
        <v>2391</v>
      </c>
      <c r="N81" s="56" t="s">
        <v>2335</v>
      </c>
      <c r="O81" s="99"/>
      <c r="P81" s="57" t="str">
        <f>F81&amp;"&gt;"&amp;G81&amp;"&gt;"&amp;D81&amp;"&gt;"&amp;N81</f>
        <v>제02편 소송의 주체&gt;08&gt;1-2&gt;기출</v>
      </c>
      <c r="Q81" s="57" t="str">
        <f>H81&amp;"&gt;"&amp;I81&amp;"&gt;"&amp;D81&amp;"&gt;"&amp;N81</f>
        <v>제04장 당사자&gt;06&gt;1-2&gt;기출</v>
      </c>
      <c r="R81" s="57" t="str">
        <f>H81&amp;"&gt;"&amp;J81&amp;"&gt;"&amp;K81</f>
        <v>제04장 당사자&gt;제03절 소송상의 대리인&gt;02</v>
      </c>
      <c r="S81" s="57" t="str">
        <f>N81&amp;"&gt;"&amp;C81&amp;"&gt;"&amp;E81</f>
        <v>기출&gt;2016&gt;3</v>
      </c>
      <c r="T81" s="57" t="str">
        <f>N81&amp;"&gt;"&amp;C81&amp;"&gt;"&amp;D81</f>
        <v>기출&gt;2016&gt;1-2</v>
      </c>
    </row>
    <row r="82" spans="2:20" ht="14.45" hidden="1" customHeight="1" x14ac:dyDescent="0.2">
      <c r="B82" s="24">
        <f>ROW()-3</f>
        <v>79</v>
      </c>
      <c r="C82" s="109">
        <v>2016</v>
      </c>
      <c r="D82" s="18" t="s">
        <v>1289</v>
      </c>
      <c r="E82" s="18" t="s">
        <v>1289</v>
      </c>
      <c r="F82" s="19" t="s">
        <v>2579</v>
      </c>
      <c r="G82" s="58">
        <v>15</v>
      </c>
      <c r="H82" s="19" t="s">
        <v>2526</v>
      </c>
      <c r="I82" s="18" t="s">
        <v>1331</v>
      </c>
      <c r="J82" s="20" t="s">
        <v>1296</v>
      </c>
      <c r="K82" s="18" t="s">
        <v>1295</v>
      </c>
      <c r="L82" s="19" t="s">
        <v>1323</v>
      </c>
      <c r="M82" s="57" t="s">
        <v>2180</v>
      </c>
      <c r="N82" s="56" t="s">
        <v>2335</v>
      </c>
      <c r="O82" s="99" t="s">
        <v>3518</v>
      </c>
      <c r="P82" s="57" t="str">
        <f>F82&amp;"&gt;"&amp;G82&amp;"&gt;"&amp;D82&amp;"&gt;"&amp;N82</f>
        <v>제03편 제1심 소송절차&gt;15&gt;2&gt;기출</v>
      </c>
      <c r="Q82" s="57" t="str">
        <f>H82&amp;"&gt;"&amp;I82&amp;"&gt;"&amp;D82&amp;"&gt;"&amp;N82</f>
        <v>제06장 변론&gt;06&gt;2&gt;기출</v>
      </c>
      <c r="R82" s="57" t="str">
        <f>H82&amp;"&gt;"&amp;J82&amp;"&gt;"&amp;K82</f>
        <v>제06장 변론&gt;제07절 기일・기간 및 송달&gt;02</v>
      </c>
      <c r="S82" s="57" t="str">
        <f>N82&amp;"&gt;"&amp;C82&amp;"&gt;"&amp;E82</f>
        <v>기출&gt;2016&gt;2</v>
      </c>
      <c r="T82" s="57" t="str">
        <f>N82&amp;"&gt;"&amp;C82&amp;"&gt;"&amp;D82</f>
        <v>기출&gt;2016&gt;2</v>
      </c>
    </row>
    <row r="83" spans="2:20" ht="14.45" hidden="1" customHeight="1" x14ac:dyDescent="0.2">
      <c r="B83" s="24">
        <f>ROW()-3</f>
        <v>80</v>
      </c>
      <c r="C83" s="109">
        <v>2016</v>
      </c>
      <c r="D83" s="18" t="s">
        <v>1287</v>
      </c>
      <c r="E83" s="18" t="s">
        <v>1291</v>
      </c>
      <c r="F83" s="19" t="s">
        <v>2535</v>
      </c>
      <c r="G83" s="58">
        <v>12</v>
      </c>
      <c r="H83" s="19" t="s">
        <v>2549</v>
      </c>
      <c r="I83" s="18" t="s">
        <v>1312</v>
      </c>
      <c r="J83" s="20" t="s">
        <v>1288</v>
      </c>
      <c r="K83" s="18" t="s">
        <v>1305</v>
      </c>
      <c r="L83" s="19" t="s">
        <v>2502</v>
      </c>
      <c r="M83" s="57" t="s">
        <v>2501</v>
      </c>
      <c r="N83" s="56" t="s">
        <v>2335</v>
      </c>
      <c r="O83" s="99" t="s">
        <v>3518</v>
      </c>
      <c r="P83" s="57" t="str">
        <f>F83&amp;"&gt;"&amp;G83&amp;"&gt;"&amp;D83&amp;"&gt;"&amp;N83</f>
        <v>제05편 병합소송&gt;12&gt;3&gt;기출</v>
      </c>
      <c r="Q83" s="57" t="str">
        <f>H83&amp;"&gt;"&amp;I83&amp;"&gt;"&amp;D83&amp;"&gt;"&amp;N83</f>
        <v>제11장 병합청구소송&gt;04&gt;3&gt;기출</v>
      </c>
      <c r="R83" s="57" t="str">
        <f>H83&amp;"&gt;"&amp;J83&amp;"&gt;"&amp;K83</f>
        <v>제11장 병합청구소송&gt;제01절 청구의 원시적 병합&gt;03</v>
      </c>
      <c r="S83" s="57" t="str">
        <f>N83&amp;"&gt;"&amp;C83&amp;"&gt;"&amp;E83</f>
        <v>기출&gt;2016&gt;1</v>
      </c>
      <c r="T83" s="57" t="str">
        <f>N83&amp;"&gt;"&amp;C83&amp;"&gt;"&amp;D83</f>
        <v>기출&gt;2016&gt;3</v>
      </c>
    </row>
    <row r="84" spans="2:20" ht="14.45" hidden="1" customHeight="1" x14ac:dyDescent="0.2">
      <c r="B84" s="24">
        <f>ROW()-3</f>
        <v>81</v>
      </c>
      <c r="C84" s="109">
        <v>2017</v>
      </c>
      <c r="D84" s="18" t="s">
        <v>1281</v>
      </c>
      <c r="E84" s="18" t="s">
        <v>3505</v>
      </c>
      <c r="F84" s="19" t="s">
        <v>2535</v>
      </c>
      <c r="G84" s="58">
        <v>10</v>
      </c>
      <c r="H84" s="19" t="s">
        <v>2551</v>
      </c>
      <c r="I84" s="18" t="s">
        <v>1332</v>
      </c>
      <c r="J84" s="20" t="s">
        <v>1315</v>
      </c>
      <c r="K84" s="18" t="s">
        <v>1305</v>
      </c>
      <c r="L84" s="19" t="s">
        <v>2375</v>
      </c>
      <c r="M84" s="57" t="s">
        <v>2367</v>
      </c>
      <c r="N84" s="56" t="s">
        <v>2335</v>
      </c>
      <c r="O84" s="99"/>
      <c r="P84" s="57" t="str">
        <f>F84&amp;"&gt;"&amp;G84&amp;"&gt;"&amp;D84&amp;"&gt;"&amp;N84</f>
        <v>제05편 병합소송&gt;10&gt;1-1&gt;기출</v>
      </c>
      <c r="Q84" s="57" t="str">
        <f>H84&amp;"&gt;"&amp;I84&amp;"&gt;"&amp;D84&amp;"&gt;"&amp;N84</f>
        <v>제12장 다수당사자소송&gt;07&gt;1-1&gt;기출</v>
      </c>
      <c r="R84" s="57" t="str">
        <f>H84&amp;"&gt;"&amp;J84&amp;"&gt;"&amp;K84</f>
        <v>제12장 다수당사자소송&gt;제02절 제3자의 소송참가&gt;03</v>
      </c>
      <c r="S84" s="57" t="str">
        <f>N84&amp;"&gt;"&amp;C84&amp;"&gt;"&amp;E84</f>
        <v>기출&gt;2017&gt;6</v>
      </c>
      <c r="T84" s="57" t="str">
        <f>N84&amp;"&gt;"&amp;C84&amp;"&gt;"&amp;D84</f>
        <v>기출&gt;2017&gt;1-1</v>
      </c>
    </row>
    <row r="85" spans="2:20" ht="14.45" hidden="1" customHeight="1" x14ac:dyDescent="0.2">
      <c r="B85" s="24">
        <f>ROW()-3</f>
        <v>82</v>
      </c>
      <c r="C85" s="109">
        <v>2017</v>
      </c>
      <c r="D85" s="18" t="s">
        <v>1286</v>
      </c>
      <c r="E85" s="18" t="s">
        <v>1282</v>
      </c>
      <c r="F85" s="19" t="s">
        <v>2533</v>
      </c>
      <c r="G85" s="60" t="s">
        <v>2575</v>
      </c>
      <c r="H85" s="19" t="s">
        <v>2524</v>
      </c>
      <c r="I85" s="18" t="s">
        <v>1312</v>
      </c>
      <c r="J85" s="20" t="s">
        <v>1307</v>
      </c>
      <c r="K85" s="18" t="s">
        <v>1295</v>
      </c>
      <c r="L85" s="19" t="s">
        <v>1320</v>
      </c>
      <c r="M85" s="57" t="s">
        <v>2169</v>
      </c>
      <c r="N85" s="56" t="s">
        <v>2335</v>
      </c>
      <c r="O85" s="99"/>
      <c r="P85" s="57" t="str">
        <f>F85&amp;"&gt;"&amp;G85&amp;"&gt;"&amp;D85&amp;"&gt;"&amp;N85</f>
        <v>제02편 소송의 주체&gt;06&gt;1-2&gt;기출</v>
      </c>
      <c r="Q85" s="57" t="str">
        <f>H85&amp;"&gt;"&amp;I85&amp;"&gt;"&amp;D85&amp;"&gt;"&amp;N85</f>
        <v>제04장 당사자&gt;04&gt;1-2&gt;기출</v>
      </c>
      <c r="R85" s="57" t="str">
        <f>H85&amp;"&gt;"&amp;J85&amp;"&gt;"&amp;K85</f>
        <v>제04장 당사자&gt;제02절 당사자의 자격&gt;02</v>
      </c>
      <c r="S85" s="57" t="str">
        <f>N85&amp;"&gt;"&amp;C85&amp;"&gt;"&amp;E85</f>
        <v>기출&gt;2017&gt;5</v>
      </c>
      <c r="T85" s="57" t="str">
        <f>N85&amp;"&gt;"&amp;C85&amp;"&gt;"&amp;D85</f>
        <v>기출&gt;2017&gt;1-2</v>
      </c>
    </row>
    <row r="86" spans="2:20" ht="14.45" hidden="1" customHeight="1" x14ac:dyDescent="0.2">
      <c r="B86" s="24">
        <f>ROW()-3</f>
        <v>83</v>
      </c>
      <c r="C86" s="109">
        <v>2017</v>
      </c>
      <c r="D86" s="18" t="s">
        <v>1286</v>
      </c>
      <c r="E86" s="18" t="s">
        <v>1284</v>
      </c>
      <c r="F86" s="19" t="s">
        <v>2535</v>
      </c>
      <c r="G86" s="58">
        <v>11</v>
      </c>
      <c r="H86" s="19" t="s">
        <v>2551</v>
      </c>
      <c r="I86" s="18" t="s">
        <v>1343</v>
      </c>
      <c r="J86" s="20" t="s">
        <v>1321</v>
      </c>
      <c r="K86" s="18" t="s">
        <v>1283</v>
      </c>
      <c r="L86" s="19" t="s">
        <v>1320</v>
      </c>
      <c r="M86" s="57" t="s">
        <v>2169</v>
      </c>
      <c r="N86" s="56" t="s">
        <v>2335</v>
      </c>
      <c r="O86" s="99"/>
      <c r="P86" s="57" t="str">
        <f>F86&amp;"&gt;"&amp;G86&amp;"&gt;"&amp;D86&amp;"&gt;"&amp;N86</f>
        <v>제05편 병합소송&gt;11&gt;1-2&gt;기출</v>
      </c>
      <c r="Q86" s="57" t="str">
        <f>H86&amp;"&gt;"&amp;I86&amp;"&gt;"&amp;D86&amp;"&gt;"&amp;N86</f>
        <v>제12장 다수당사자소송&gt;08&gt;1-2&gt;기출</v>
      </c>
      <c r="R86" s="57" t="str">
        <f>H86&amp;"&gt;"&amp;J86&amp;"&gt;"&amp;K86</f>
        <v>제12장 다수당사자소송&gt;제03절 당사자의 변경&gt;01</v>
      </c>
      <c r="S86" s="57" t="str">
        <f>N86&amp;"&gt;"&amp;C86&amp;"&gt;"&amp;E86</f>
        <v>기출&gt;2017&gt;4</v>
      </c>
      <c r="T86" s="57" t="str">
        <f>N86&amp;"&gt;"&amp;C86&amp;"&gt;"&amp;D86</f>
        <v>기출&gt;2017&gt;1-2</v>
      </c>
    </row>
    <row r="87" spans="2:20" ht="14.45" hidden="1" customHeight="1" x14ac:dyDescent="0.2">
      <c r="B87" s="24">
        <f>ROW()-3</f>
        <v>84</v>
      </c>
      <c r="C87" s="109">
        <v>2017</v>
      </c>
      <c r="D87" s="18" t="s">
        <v>1289</v>
      </c>
      <c r="E87" s="18" t="s">
        <v>1287</v>
      </c>
      <c r="F87" s="19" t="s">
        <v>2579</v>
      </c>
      <c r="G87" s="58">
        <v>13</v>
      </c>
      <c r="H87" s="19" t="s">
        <v>2526</v>
      </c>
      <c r="I87" s="18" t="s">
        <v>1325</v>
      </c>
      <c r="J87" s="20" t="s">
        <v>1322</v>
      </c>
      <c r="K87" s="18" t="s">
        <v>1283</v>
      </c>
      <c r="L87" s="19" t="s">
        <v>2478</v>
      </c>
      <c r="M87" s="57" t="s">
        <v>2479</v>
      </c>
      <c r="N87" s="56" t="s">
        <v>2335</v>
      </c>
      <c r="O87" s="99" t="s">
        <v>3518</v>
      </c>
      <c r="P87" s="57" t="str">
        <f>F87&amp;"&gt;"&amp;G87&amp;"&gt;"&amp;D87&amp;"&gt;"&amp;N87</f>
        <v>제03편 제1심 소송절차&gt;13&gt;2&gt;기출</v>
      </c>
      <c r="Q87" s="57" t="str">
        <f>H87&amp;"&gt;"&amp;I87&amp;"&gt;"&amp;D87&amp;"&gt;"&amp;N87</f>
        <v>제06장 변론&gt;05&gt;2&gt;기출</v>
      </c>
      <c r="R87" s="57" t="str">
        <f>H87&amp;"&gt;"&amp;J87&amp;"&gt;"&amp;K87</f>
        <v>제06장 변론&gt;제06절 변론기일에서의 당사자의 결석&gt;01</v>
      </c>
      <c r="S87" s="57" t="str">
        <f>N87&amp;"&gt;"&amp;C87&amp;"&gt;"&amp;E87</f>
        <v>기출&gt;2017&gt;3</v>
      </c>
      <c r="T87" s="57" t="str">
        <f>N87&amp;"&gt;"&amp;C87&amp;"&gt;"&amp;D87</f>
        <v>기출&gt;2017&gt;2</v>
      </c>
    </row>
    <row r="88" spans="2:20" ht="14.45" hidden="1" customHeight="1" x14ac:dyDescent="0.2">
      <c r="B88" s="24">
        <f>ROW()-3</f>
        <v>85</v>
      </c>
      <c r="C88" s="109">
        <v>2017</v>
      </c>
      <c r="D88" s="18" t="s">
        <v>1289</v>
      </c>
      <c r="E88" s="18" t="s">
        <v>1289</v>
      </c>
      <c r="F88" s="19" t="s">
        <v>2579</v>
      </c>
      <c r="G88" s="58">
        <v>14</v>
      </c>
      <c r="H88" s="19" t="s">
        <v>2528</v>
      </c>
      <c r="I88" s="18" t="s">
        <v>1325</v>
      </c>
      <c r="J88" s="20" t="s">
        <v>1303</v>
      </c>
      <c r="K88" s="18" t="s">
        <v>1295</v>
      </c>
      <c r="L88" s="19" t="s">
        <v>2478</v>
      </c>
      <c r="M88" s="57" t="s">
        <v>2479</v>
      </c>
      <c r="N88" s="56" t="s">
        <v>2335</v>
      </c>
      <c r="O88" s="99" t="s">
        <v>3518</v>
      </c>
      <c r="P88" s="57" t="str">
        <f>F88&amp;"&gt;"&amp;G88&amp;"&gt;"&amp;D88&amp;"&gt;"&amp;N88</f>
        <v>제03편 제1심 소송절차&gt;14&gt;2&gt;기출</v>
      </c>
      <c r="Q88" s="57" t="str">
        <f>H88&amp;"&gt;"&amp;I88&amp;"&gt;"&amp;D88&amp;"&gt;"&amp;N88</f>
        <v>제07장 증거&gt;05&gt;2&gt;기출</v>
      </c>
      <c r="R88" s="57" t="str">
        <f>H88&amp;"&gt;"&amp;J88&amp;"&gt;"&amp;K88</f>
        <v>제07장 증거&gt;제03절 불요증사실&gt;02</v>
      </c>
      <c r="S88" s="57" t="str">
        <f>N88&amp;"&gt;"&amp;C88&amp;"&gt;"&amp;E88</f>
        <v>기출&gt;2017&gt;2</v>
      </c>
      <c r="T88" s="57" t="str">
        <f>N88&amp;"&gt;"&amp;C88&amp;"&gt;"&amp;D88</f>
        <v>기출&gt;2017&gt;2</v>
      </c>
    </row>
    <row r="89" spans="2:20" ht="14.45" hidden="1" customHeight="1" x14ac:dyDescent="0.2">
      <c r="B89" s="24">
        <f>ROW()-3</f>
        <v>86</v>
      </c>
      <c r="C89" s="109">
        <v>2017</v>
      </c>
      <c r="D89" s="18" t="s">
        <v>1287</v>
      </c>
      <c r="E89" s="18" t="s">
        <v>1291</v>
      </c>
      <c r="F89" s="19" t="s">
        <v>2534</v>
      </c>
      <c r="G89" s="60" t="s">
        <v>2585</v>
      </c>
      <c r="H89" s="19" t="s">
        <v>2547</v>
      </c>
      <c r="I89" s="18" t="s">
        <v>1312</v>
      </c>
      <c r="J89" s="20" t="s">
        <v>1298</v>
      </c>
      <c r="K89" s="18" t="s">
        <v>1312</v>
      </c>
      <c r="L89" s="19" t="s">
        <v>2499</v>
      </c>
      <c r="M89" s="57" t="s">
        <v>2498</v>
      </c>
      <c r="N89" s="56" t="s">
        <v>2335</v>
      </c>
      <c r="O89" s="99" t="s">
        <v>3518</v>
      </c>
      <c r="P89" s="57" t="str">
        <f>F89&amp;"&gt;"&amp;G89&amp;"&gt;"&amp;D89&amp;"&gt;"&amp;N89</f>
        <v>제04편 소송의 종료&gt;06&gt;3&gt;기출</v>
      </c>
      <c r="Q89" s="57" t="str">
        <f>H89&amp;"&gt;"&amp;I89&amp;"&gt;"&amp;D89&amp;"&gt;"&amp;N89</f>
        <v>제10장 종국판결에 의한 종료&gt;04&gt;3&gt;기출</v>
      </c>
      <c r="R89" s="57" t="str">
        <f>H89&amp;"&gt;"&amp;J89&amp;"&gt;"&amp;K89</f>
        <v>제10장 종국판결에 의한 종료&gt;제02절 판결&gt;04</v>
      </c>
      <c r="S89" s="57" t="str">
        <f>N89&amp;"&gt;"&amp;C89&amp;"&gt;"&amp;E89</f>
        <v>기출&gt;2017&gt;1</v>
      </c>
      <c r="T89" s="57" t="str">
        <f>N89&amp;"&gt;"&amp;C89&amp;"&gt;"&amp;D89</f>
        <v>기출&gt;2017&gt;3</v>
      </c>
    </row>
    <row r="90" spans="2:20" ht="14.45" hidden="1" customHeight="1" x14ac:dyDescent="0.2">
      <c r="B90" s="24">
        <f>ROW()-3</f>
        <v>87</v>
      </c>
      <c r="C90" s="109">
        <v>2018</v>
      </c>
      <c r="D90" s="18" t="s">
        <v>1281</v>
      </c>
      <c r="E90" s="18" t="s">
        <v>1284</v>
      </c>
      <c r="F90" s="19" t="s">
        <v>2579</v>
      </c>
      <c r="G90" s="58">
        <v>11</v>
      </c>
      <c r="H90" s="19" t="s">
        <v>2564</v>
      </c>
      <c r="I90" s="18" t="s">
        <v>1312</v>
      </c>
      <c r="J90" s="20" t="s">
        <v>1290</v>
      </c>
      <c r="K90" s="18" t="s">
        <v>1305</v>
      </c>
      <c r="L90" s="19" t="s">
        <v>2449</v>
      </c>
      <c r="M90" s="57" t="s">
        <v>2448</v>
      </c>
      <c r="N90" s="56" t="s">
        <v>2335</v>
      </c>
      <c r="O90" s="99"/>
      <c r="P90" s="57" t="str">
        <f>F90&amp;"&gt;"&amp;G90&amp;"&gt;"&amp;D90&amp;"&gt;"&amp;N90</f>
        <v>제03편 제1심 소송절차&gt;11&gt;1-1&gt;기출</v>
      </c>
      <c r="Q90" s="57" t="str">
        <f>H90&amp;"&gt;"&amp;I90&amp;"&gt;"&amp;D90&amp;"&gt;"&amp;N90</f>
        <v>제05장 소송 개시와 심리 대상&gt;04&gt;1-1&gt;기출</v>
      </c>
      <c r="R90" s="57" t="str">
        <f>H90&amp;"&gt;"&amp;J90&amp;"&gt;"&amp;K90</f>
        <v>제05장 소송 개시와 심리 대상&gt;제03절 소의 이익&gt;03</v>
      </c>
      <c r="S90" s="57" t="str">
        <f>N90&amp;"&gt;"&amp;C90&amp;"&gt;"&amp;E90</f>
        <v>기출&gt;2018&gt;4</v>
      </c>
      <c r="T90" s="57" t="str">
        <f>N90&amp;"&gt;"&amp;C90&amp;"&gt;"&amp;D90</f>
        <v>기출&gt;2018&gt;1-1</v>
      </c>
    </row>
    <row r="91" spans="2:20" ht="14.45" hidden="1" customHeight="1" x14ac:dyDescent="0.2">
      <c r="B91" s="24">
        <f>ROW()-3</f>
        <v>88</v>
      </c>
      <c r="C91" s="109">
        <v>2018</v>
      </c>
      <c r="D91" s="18" t="s">
        <v>1286</v>
      </c>
      <c r="E91" s="18" t="s">
        <v>1287</v>
      </c>
      <c r="F91" s="19" t="s">
        <v>2533</v>
      </c>
      <c r="G91" s="60" t="s">
        <v>2574</v>
      </c>
      <c r="H91" s="19" t="s">
        <v>2524</v>
      </c>
      <c r="I91" s="18" t="s">
        <v>1305</v>
      </c>
      <c r="J91" s="20" t="s">
        <v>1317</v>
      </c>
      <c r="K91" s="18" t="s">
        <v>1283</v>
      </c>
      <c r="L91" s="19" t="s">
        <v>1318</v>
      </c>
      <c r="M91" s="57" t="s">
        <v>2170</v>
      </c>
      <c r="N91" s="56" t="s">
        <v>2335</v>
      </c>
      <c r="O91" s="99"/>
      <c r="P91" s="57" t="str">
        <f>F91&amp;"&gt;"&amp;G91&amp;"&gt;"&amp;D91&amp;"&gt;"&amp;N91</f>
        <v>제02편 소송의 주체&gt;05&gt;1-2&gt;기출</v>
      </c>
      <c r="Q91" s="57" t="str">
        <f>H91&amp;"&gt;"&amp;I91&amp;"&gt;"&amp;D91&amp;"&gt;"&amp;N91</f>
        <v>제04장 당사자&gt;03&gt;1-2&gt;기출</v>
      </c>
      <c r="R91" s="57" t="str">
        <f>H91&amp;"&gt;"&amp;J91&amp;"&gt;"&amp;K91</f>
        <v>제04장 당사자&gt;제03절 소송상의 대리인&gt;01</v>
      </c>
      <c r="S91" s="57" t="str">
        <f>N91&amp;"&gt;"&amp;C91&amp;"&gt;"&amp;E91</f>
        <v>기출&gt;2018&gt;3</v>
      </c>
      <c r="T91" s="57" t="str">
        <f>N91&amp;"&gt;"&amp;C91&amp;"&gt;"&amp;D91</f>
        <v>기출&gt;2018&gt;1-2</v>
      </c>
    </row>
    <row r="92" spans="2:20" ht="14.45" hidden="1" customHeight="1" x14ac:dyDescent="0.2">
      <c r="B92" s="24">
        <f>ROW()-3</f>
        <v>89</v>
      </c>
      <c r="C92" s="109">
        <v>2018</v>
      </c>
      <c r="D92" s="18" t="s">
        <v>1289</v>
      </c>
      <c r="E92" s="18" t="s">
        <v>1289</v>
      </c>
      <c r="F92" s="19" t="s">
        <v>2535</v>
      </c>
      <c r="G92" s="60" t="s">
        <v>2588</v>
      </c>
      <c r="H92" s="19" t="s">
        <v>2551</v>
      </c>
      <c r="I92" s="18" t="s">
        <v>1331</v>
      </c>
      <c r="J92" s="20" t="s">
        <v>1315</v>
      </c>
      <c r="K92" s="18" t="s">
        <v>1295</v>
      </c>
      <c r="L92" s="19" t="s">
        <v>2472</v>
      </c>
      <c r="M92" s="57" t="s">
        <v>2471</v>
      </c>
      <c r="N92" s="56" t="s">
        <v>2335</v>
      </c>
      <c r="O92" s="99" t="s">
        <v>3518</v>
      </c>
      <c r="P92" s="57" t="str">
        <f>F92&amp;"&gt;"&amp;G92&amp;"&gt;"&amp;D92&amp;"&gt;"&amp;N92</f>
        <v>제05편 병합소송&gt;09&gt;2&gt;기출</v>
      </c>
      <c r="Q92" s="57" t="str">
        <f>H92&amp;"&gt;"&amp;I92&amp;"&gt;"&amp;D92&amp;"&gt;"&amp;N92</f>
        <v>제12장 다수당사자소송&gt;06&gt;2&gt;기출</v>
      </c>
      <c r="R92" s="57" t="str">
        <f>H92&amp;"&gt;"&amp;J92&amp;"&gt;"&amp;K92</f>
        <v>제12장 다수당사자소송&gt;제02절 제3자의 소송참가&gt;02</v>
      </c>
      <c r="S92" s="57" t="str">
        <f>N92&amp;"&gt;"&amp;C92&amp;"&gt;"&amp;E92</f>
        <v>기출&gt;2018&gt;2</v>
      </c>
      <c r="T92" s="57" t="str">
        <f>N92&amp;"&gt;"&amp;C92&amp;"&gt;"&amp;D92</f>
        <v>기출&gt;2018&gt;2</v>
      </c>
    </row>
    <row r="93" spans="2:20" ht="14.45" hidden="1" customHeight="1" x14ac:dyDescent="0.2">
      <c r="B93" s="24">
        <f>ROW()-3</f>
        <v>90</v>
      </c>
      <c r="C93" s="109">
        <v>2018</v>
      </c>
      <c r="D93" s="18" t="s">
        <v>1287</v>
      </c>
      <c r="E93" s="18" t="s">
        <v>1291</v>
      </c>
      <c r="F93" s="19" t="s">
        <v>2579</v>
      </c>
      <c r="G93" s="58">
        <v>12</v>
      </c>
      <c r="H93" s="19" t="s">
        <v>2528</v>
      </c>
      <c r="I93" s="18" t="s">
        <v>1312</v>
      </c>
      <c r="J93" s="20" t="s">
        <v>1319</v>
      </c>
      <c r="K93" s="18" t="s">
        <v>1283</v>
      </c>
      <c r="L93" s="19" t="s">
        <v>2485</v>
      </c>
      <c r="M93" s="57" t="s">
        <v>2484</v>
      </c>
      <c r="N93" s="56" t="s">
        <v>2335</v>
      </c>
      <c r="O93" s="99" t="s">
        <v>3518</v>
      </c>
      <c r="P93" s="57" t="str">
        <f>F93&amp;"&gt;"&amp;G93&amp;"&gt;"&amp;D93&amp;"&gt;"&amp;N93</f>
        <v>제03편 제1심 소송절차&gt;12&gt;3&gt;기출</v>
      </c>
      <c r="Q93" s="57" t="str">
        <f>H93&amp;"&gt;"&amp;I93&amp;"&gt;"&amp;D93&amp;"&gt;"&amp;N93</f>
        <v>제07장 증거&gt;04&gt;3&gt;기출</v>
      </c>
      <c r="R93" s="57" t="str">
        <f>H93&amp;"&gt;"&amp;J93&amp;"&gt;"&amp;K93</f>
        <v>제07장 증거&gt;제04절 증거조사의 개시와 실시&gt;01</v>
      </c>
      <c r="S93" s="57" t="str">
        <f>N93&amp;"&gt;"&amp;C93&amp;"&gt;"&amp;E93</f>
        <v>기출&gt;2018&gt;1</v>
      </c>
      <c r="T93" s="57" t="str">
        <f>N93&amp;"&gt;"&amp;C93&amp;"&gt;"&amp;D93</f>
        <v>기출&gt;2018&gt;3</v>
      </c>
    </row>
    <row r="94" spans="2:20" ht="14.45" hidden="1" customHeight="1" x14ac:dyDescent="0.2">
      <c r="B94" s="24">
        <f>ROW()-3</f>
        <v>91</v>
      </c>
      <c r="C94" s="109">
        <v>2019</v>
      </c>
      <c r="D94" s="18" t="s">
        <v>1281</v>
      </c>
      <c r="E94" s="18" t="s">
        <v>1284</v>
      </c>
      <c r="F94" s="19" t="s">
        <v>2579</v>
      </c>
      <c r="G94" s="58">
        <v>10</v>
      </c>
      <c r="H94" s="19" t="s">
        <v>2526</v>
      </c>
      <c r="I94" s="18" t="s">
        <v>1312</v>
      </c>
      <c r="J94" s="20" t="s">
        <v>1311</v>
      </c>
      <c r="K94" s="18" t="s">
        <v>1295</v>
      </c>
      <c r="L94" s="19" t="s">
        <v>2458</v>
      </c>
      <c r="M94" s="57" t="s">
        <v>2459</v>
      </c>
      <c r="N94" s="56" t="s">
        <v>2335</v>
      </c>
      <c r="O94" s="99"/>
      <c r="P94" s="57" t="str">
        <f>F94&amp;"&gt;"&amp;G94&amp;"&gt;"&amp;D94&amp;"&gt;"&amp;N94</f>
        <v>제03편 제1심 소송절차&gt;10&gt;1-1&gt;기출</v>
      </c>
      <c r="Q94" s="57" t="str">
        <f>H94&amp;"&gt;"&amp;I94&amp;"&gt;"&amp;D94&amp;"&gt;"&amp;N94</f>
        <v>제06장 변론&gt;04&gt;1-1&gt;기출</v>
      </c>
      <c r="R94" s="57" t="str">
        <f>H94&amp;"&gt;"&amp;J94&amp;"&gt;"&amp;K94</f>
        <v>제06장 변론&gt;제02절 심리에 관한 제 원칙&gt;02</v>
      </c>
      <c r="S94" s="57" t="str">
        <f>N94&amp;"&gt;"&amp;C94&amp;"&gt;"&amp;E94</f>
        <v>기출&gt;2019&gt;4</v>
      </c>
      <c r="T94" s="57" t="str">
        <f>N94&amp;"&gt;"&amp;C94&amp;"&gt;"&amp;D94</f>
        <v>기출&gt;2019&gt;1-1</v>
      </c>
    </row>
    <row r="95" spans="2:20" ht="14.45" hidden="1" customHeight="1" x14ac:dyDescent="0.2">
      <c r="B95" s="24">
        <f>ROW()-3</f>
        <v>92</v>
      </c>
      <c r="C95" s="109">
        <v>2019</v>
      </c>
      <c r="D95" s="18" t="s">
        <v>1286</v>
      </c>
      <c r="E95" s="18" t="s">
        <v>1287</v>
      </c>
      <c r="F95" s="19" t="s">
        <v>2534</v>
      </c>
      <c r="G95" s="60" t="s">
        <v>2584</v>
      </c>
      <c r="H95" s="19" t="s">
        <v>2547</v>
      </c>
      <c r="I95" s="18" t="s">
        <v>1305</v>
      </c>
      <c r="J95" s="20" t="s">
        <v>1298</v>
      </c>
      <c r="K95" s="18" t="s">
        <v>1305</v>
      </c>
      <c r="L95" s="19" t="s">
        <v>1314</v>
      </c>
      <c r="M95" s="57" t="s">
        <v>2190</v>
      </c>
      <c r="N95" s="56" t="s">
        <v>2335</v>
      </c>
      <c r="O95" s="99"/>
      <c r="P95" s="57" t="str">
        <f>F95&amp;"&gt;"&amp;G95&amp;"&gt;"&amp;D95&amp;"&gt;"&amp;N95</f>
        <v>제04편 소송의 종료&gt;05&gt;1-2&gt;기출</v>
      </c>
      <c r="Q95" s="57" t="str">
        <f>H95&amp;"&gt;"&amp;I95&amp;"&gt;"&amp;D95&amp;"&gt;"&amp;N95</f>
        <v>제10장 종국판결에 의한 종료&gt;03&gt;1-2&gt;기출</v>
      </c>
      <c r="R95" s="57" t="str">
        <f>H95&amp;"&gt;"&amp;J95&amp;"&gt;"&amp;K95</f>
        <v>제10장 종국판결에 의한 종료&gt;제02절 판결&gt;03</v>
      </c>
      <c r="S95" s="57" t="str">
        <f>N95&amp;"&gt;"&amp;C95&amp;"&gt;"&amp;E95</f>
        <v>기출&gt;2019&gt;3</v>
      </c>
      <c r="T95" s="57" t="str">
        <f>N95&amp;"&gt;"&amp;C95&amp;"&gt;"&amp;D95</f>
        <v>기출&gt;2019&gt;1-2</v>
      </c>
    </row>
    <row r="96" spans="2:20" ht="14.45" hidden="1" customHeight="1" x14ac:dyDescent="0.2">
      <c r="B96" s="24">
        <f>ROW()-3</f>
        <v>93</v>
      </c>
      <c r="C96" s="109">
        <v>2019</v>
      </c>
      <c r="D96" s="18" t="s">
        <v>1289</v>
      </c>
      <c r="E96" s="18" t="s">
        <v>1289</v>
      </c>
      <c r="F96" s="19" t="s">
        <v>2533</v>
      </c>
      <c r="G96" s="60" t="s">
        <v>2573</v>
      </c>
      <c r="H96" s="19" t="s">
        <v>3461</v>
      </c>
      <c r="I96" s="18" t="s">
        <v>1295</v>
      </c>
      <c r="J96" s="20" t="s">
        <v>1309</v>
      </c>
      <c r="K96" s="18" t="s">
        <v>1295</v>
      </c>
      <c r="L96" s="19" t="s">
        <v>2427</v>
      </c>
      <c r="M96" s="57" t="s">
        <v>2428</v>
      </c>
      <c r="N96" s="56" t="s">
        <v>2335</v>
      </c>
      <c r="O96" s="99" t="s">
        <v>3518</v>
      </c>
      <c r="P96" s="57" t="str">
        <f>F96&amp;"&gt;"&amp;G96&amp;"&gt;"&amp;D96&amp;"&gt;"&amp;N96</f>
        <v>제02편 소송의 주체&gt;04&gt;2&gt;기출</v>
      </c>
      <c r="Q96" s="57" t="str">
        <f>H96&amp;"&gt;"&amp;I96&amp;"&gt;"&amp;D96&amp;"&gt;"&amp;N96</f>
        <v>제03장 법원&gt;02&gt;2&gt;기출</v>
      </c>
      <c r="R96" s="57" t="str">
        <f>H96&amp;"&gt;"&amp;J96&amp;"&gt;"&amp;K96</f>
        <v>제03장 법원&gt;제03절 관할&gt;02</v>
      </c>
      <c r="S96" s="57" t="str">
        <f>N96&amp;"&gt;"&amp;C96&amp;"&gt;"&amp;E96</f>
        <v>기출&gt;2019&gt;2</v>
      </c>
      <c r="T96" s="57" t="str">
        <f>N96&amp;"&gt;"&amp;C96&amp;"&gt;"&amp;D96</f>
        <v>기출&gt;2019&gt;2</v>
      </c>
    </row>
    <row r="97" spans="2:20" ht="14.45" hidden="1" customHeight="1" x14ac:dyDescent="0.2">
      <c r="B97" s="24">
        <f>ROW()-3</f>
        <v>94</v>
      </c>
      <c r="C97" s="109">
        <v>2019</v>
      </c>
      <c r="D97" s="18" t="s">
        <v>1287</v>
      </c>
      <c r="E97" s="18" t="s">
        <v>1291</v>
      </c>
      <c r="F97" s="19" t="s">
        <v>2535</v>
      </c>
      <c r="G97" s="60" t="s">
        <v>2587</v>
      </c>
      <c r="H97" s="19" t="s">
        <v>2551</v>
      </c>
      <c r="I97" s="18" t="s">
        <v>1325</v>
      </c>
      <c r="J97" s="20" t="s">
        <v>1315</v>
      </c>
      <c r="K97" s="18" t="s">
        <v>1283</v>
      </c>
      <c r="L97" s="19" t="s">
        <v>1316</v>
      </c>
      <c r="M97" s="57" t="s">
        <v>2198</v>
      </c>
      <c r="N97" s="56" t="s">
        <v>2335</v>
      </c>
      <c r="O97" s="99" t="s">
        <v>3518</v>
      </c>
      <c r="P97" s="57" t="str">
        <f>F97&amp;"&gt;"&amp;G97&amp;"&gt;"&amp;D97&amp;"&gt;"&amp;N97</f>
        <v>제05편 병합소송&gt;08&gt;3&gt;기출</v>
      </c>
      <c r="Q97" s="57" t="str">
        <f>H97&amp;"&gt;"&amp;I97&amp;"&gt;"&amp;D97&amp;"&gt;"&amp;N97</f>
        <v>제12장 다수당사자소송&gt;05&gt;3&gt;기출</v>
      </c>
      <c r="R97" s="57" t="str">
        <f>H97&amp;"&gt;"&amp;J97&amp;"&gt;"&amp;K97</f>
        <v>제12장 다수당사자소송&gt;제02절 제3자의 소송참가&gt;01</v>
      </c>
      <c r="S97" s="57" t="str">
        <f>N97&amp;"&gt;"&amp;C97&amp;"&gt;"&amp;E97</f>
        <v>기출&gt;2019&gt;1</v>
      </c>
      <c r="T97" s="57" t="str">
        <f>N97&amp;"&gt;"&amp;C97&amp;"&gt;"&amp;D97</f>
        <v>기출&gt;2019&gt;3</v>
      </c>
    </row>
    <row r="98" spans="2:20" ht="14.45" hidden="1" customHeight="1" x14ac:dyDescent="0.2">
      <c r="B98" s="24">
        <f>ROW()-3</f>
        <v>95</v>
      </c>
      <c r="C98" s="109">
        <v>2020</v>
      </c>
      <c r="D98" s="18" t="s">
        <v>1281</v>
      </c>
      <c r="E98" s="18" t="s">
        <v>1284</v>
      </c>
      <c r="F98" s="19" t="s">
        <v>2533</v>
      </c>
      <c r="G98" s="60" t="s">
        <v>2572</v>
      </c>
      <c r="H98" s="19" t="s">
        <v>3461</v>
      </c>
      <c r="I98" s="18" t="s">
        <v>1283</v>
      </c>
      <c r="J98" s="20" t="s">
        <v>1309</v>
      </c>
      <c r="K98" s="18" t="s">
        <v>1283</v>
      </c>
      <c r="L98" s="19" t="s">
        <v>1310</v>
      </c>
      <c r="M98" s="57" t="s">
        <v>2167</v>
      </c>
      <c r="N98" s="56" t="s">
        <v>2335</v>
      </c>
      <c r="O98" s="99"/>
      <c r="P98" s="57" t="str">
        <f>F98&amp;"&gt;"&amp;G98&amp;"&gt;"&amp;D98&amp;"&gt;"&amp;N98</f>
        <v>제02편 소송의 주체&gt;02&gt;1-1&gt;기출</v>
      </c>
      <c r="Q98" s="57" t="str">
        <f>H98&amp;"&gt;"&amp;I98&amp;"&gt;"&amp;D98&amp;"&gt;"&amp;N98</f>
        <v>제03장 법원&gt;01&gt;1-1&gt;기출</v>
      </c>
      <c r="R98" s="57" t="str">
        <f>H98&amp;"&gt;"&amp;J98&amp;"&gt;"&amp;K98</f>
        <v>제03장 법원&gt;제03절 관할&gt;01</v>
      </c>
      <c r="S98" s="57" t="str">
        <f>N98&amp;"&gt;"&amp;C98&amp;"&gt;"&amp;E98</f>
        <v>기출&gt;2020&gt;4</v>
      </c>
      <c r="T98" s="57" t="str">
        <f>N98&amp;"&gt;"&amp;C98&amp;"&gt;"&amp;D98</f>
        <v>기출&gt;2020&gt;1-1</v>
      </c>
    </row>
    <row r="99" spans="2:20" ht="14.45" hidden="1" customHeight="1" x14ac:dyDescent="0.2">
      <c r="B99" s="24">
        <f>ROW()-3</f>
        <v>96</v>
      </c>
      <c r="C99" s="109">
        <v>2020</v>
      </c>
      <c r="D99" s="18" t="s">
        <v>1286</v>
      </c>
      <c r="E99" s="18" t="s">
        <v>1287</v>
      </c>
      <c r="F99" s="19" t="s">
        <v>2533</v>
      </c>
      <c r="G99" s="60" t="s">
        <v>2571</v>
      </c>
      <c r="H99" s="19" t="s">
        <v>3462</v>
      </c>
      <c r="I99" s="18" t="s">
        <v>1295</v>
      </c>
      <c r="J99" s="20" t="s">
        <v>1669</v>
      </c>
      <c r="K99" s="18" t="s">
        <v>1283</v>
      </c>
      <c r="L99" s="19" t="s">
        <v>149</v>
      </c>
      <c r="M99" s="57" t="s">
        <v>2168</v>
      </c>
      <c r="N99" s="56" t="s">
        <v>2335</v>
      </c>
      <c r="O99" s="99"/>
      <c r="P99" s="57" t="str">
        <f>F99&amp;"&gt;"&amp;G99&amp;"&gt;"&amp;D99&amp;"&gt;"&amp;N99</f>
        <v>제02편 소송의 주체&gt;03&gt;1-2&gt;기출</v>
      </c>
      <c r="Q99" s="57" t="str">
        <f>H99&amp;"&gt;"&amp;I99&amp;"&gt;"&amp;D99&amp;"&gt;"&amp;N99</f>
        <v>제04장 당사자&gt;02&gt;1-2&gt;기출</v>
      </c>
      <c r="R99" s="57" t="str">
        <f>H99&amp;"&gt;"&amp;J99&amp;"&gt;"&amp;K99</f>
        <v>제04장 당사자&gt;제01절 당사자의 개관&gt;01</v>
      </c>
      <c r="S99" s="57" t="str">
        <f>N99&amp;"&gt;"&amp;C99&amp;"&gt;"&amp;E99</f>
        <v>기출&gt;2020&gt;3</v>
      </c>
      <c r="T99" s="57" t="str">
        <f>N99&amp;"&gt;"&amp;C99&amp;"&gt;"&amp;D99</f>
        <v>기출&gt;2020&gt;1-2</v>
      </c>
    </row>
    <row r="100" spans="2:20" ht="14.45" hidden="1" customHeight="1" x14ac:dyDescent="0.2">
      <c r="B100" s="24">
        <f>ROW()-3</f>
        <v>97</v>
      </c>
      <c r="C100" s="109">
        <v>2020</v>
      </c>
      <c r="D100" s="18" t="s">
        <v>1289</v>
      </c>
      <c r="E100" s="18" t="s">
        <v>1289</v>
      </c>
      <c r="F100" s="19" t="s">
        <v>2579</v>
      </c>
      <c r="G100" s="60" t="s">
        <v>2588</v>
      </c>
      <c r="H100" s="19" t="s">
        <v>3464</v>
      </c>
      <c r="I100" s="18" t="s">
        <v>1305</v>
      </c>
      <c r="J100" s="20" t="s">
        <v>1311</v>
      </c>
      <c r="K100" s="18" t="s">
        <v>1283</v>
      </c>
      <c r="L100" s="19" t="s">
        <v>2475</v>
      </c>
      <c r="M100" s="57" t="s">
        <v>2474</v>
      </c>
      <c r="N100" s="56" t="s">
        <v>2335</v>
      </c>
      <c r="O100" s="99" t="s">
        <v>3518</v>
      </c>
      <c r="P100" s="57" t="str">
        <f>F100&amp;"&gt;"&amp;G100&amp;"&gt;"&amp;D100&amp;"&gt;"&amp;N100</f>
        <v>제03편 제1심 소송절차&gt;09&gt;2&gt;기출</v>
      </c>
      <c r="Q100" s="57" t="str">
        <f>H100&amp;"&gt;"&amp;I100&amp;"&gt;"&amp;D100&amp;"&gt;"&amp;N100</f>
        <v>제06장 변론&gt;03&gt;2&gt;기출</v>
      </c>
      <c r="R100" s="57" t="str">
        <f>H100&amp;"&gt;"&amp;J100&amp;"&gt;"&amp;K100</f>
        <v>제06장 변론&gt;제02절 심리에 관한 제 원칙&gt;01</v>
      </c>
      <c r="S100" s="57" t="str">
        <f>N100&amp;"&gt;"&amp;C100&amp;"&gt;"&amp;E100</f>
        <v>기출&gt;2020&gt;2</v>
      </c>
      <c r="T100" s="57" t="str">
        <f>N100&amp;"&gt;"&amp;C100&amp;"&gt;"&amp;D100</f>
        <v>기출&gt;2020&gt;2</v>
      </c>
    </row>
    <row r="101" spans="2:20" ht="14.45" hidden="1" customHeight="1" x14ac:dyDescent="0.2">
      <c r="B101" s="24">
        <f>ROW()-3</f>
        <v>98</v>
      </c>
      <c r="C101" s="109">
        <v>2020</v>
      </c>
      <c r="D101" s="18" t="s">
        <v>1287</v>
      </c>
      <c r="E101" s="18" t="s">
        <v>1291</v>
      </c>
      <c r="F101" s="19" t="s">
        <v>2535</v>
      </c>
      <c r="G101" s="60" t="s">
        <v>2586</v>
      </c>
      <c r="H101" s="19" t="s">
        <v>2551</v>
      </c>
      <c r="I101" s="18" t="s">
        <v>1312</v>
      </c>
      <c r="J101" s="20" t="s">
        <v>1293</v>
      </c>
      <c r="K101" s="18" t="s">
        <v>1312</v>
      </c>
      <c r="L101" s="19" t="s">
        <v>1313</v>
      </c>
      <c r="M101" s="57" t="s">
        <v>2194</v>
      </c>
      <c r="N101" s="56" t="s">
        <v>2335</v>
      </c>
      <c r="O101" s="99" t="s">
        <v>3518</v>
      </c>
      <c r="P101" s="57" t="str">
        <f>F101&amp;"&gt;"&amp;G101&amp;"&gt;"&amp;D101&amp;"&gt;"&amp;N101</f>
        <v>제05편 병합소송&gt;07&gt;3&gt;기출</v>
      </c>
      <c r="Q101" s="57" t="str">
        <f>H101&amp;"&gt;"&amp;I101&amp;"&gt;"&amp;D101&amp;"&gt;"&amp;N101</f>
        <v>제12장 다수당사자소송&gt;04&gt;3&gt;기출</v>
      </c>
      <c r="R101" s="57" t="str">
        <f>H101&amp;"&gt;"&amp;J101&amp;"&gt;"&amp;K101</f>
        <v>제12장 다수당사자소송&gt;제01절 공동소송&gt;04</v>
      </c>
      <c r="S101" s="57" t="str">
        <f>N101&amp;"&gt;"&amp;C101&amp;"&gt;"&amp;E101</f>
        <v>기출&gt;2020&gt;1</v>
      </c>
      <c r="T101" s="57" t="str">
        <f>N101&amp;"&gt;"&amp;C101&amp;"&gt;"&amp;D101</f>
        <v>기출&gt;2020&gt;3</v>
      </c>
    </row>
    <row r="102" spans="2:20" ht="14.45" hidden="1" customHeight="1" x14ac:dyDescent="0.2">
      <c r="B102" s="24">
        <f>ROW()-3</f>
        <v>99</v>
      </c>
      <c r="C102" s="109">
        <v>2021</v>
      </c>
      <c r="D102" s="18" t="s">
        <v>1281</v>
      </c>
      <c r="E102" s="18" t="s">
        <v>1284</v>
      </c>
      <c r="F102" s="19" t="s">
        <v>2579</v>
      </c>
      <c r="G102" s="60" t="s">
        <v>2587</v>
      </c>
      <c r="H102" s="19" t="s">
        <v>2528</v>
      </c>
      <c r="I102" s="18" t="s">
        <v>1305</v>
      </c>
      <c r="J102" s="20" t="s">
        <v>1303</v>
      </c>
      <c r="K102" s="18" t="s">
        <v>1283</v>
      </c>
      <c r="L102" s="19" t="s">
        <v>1304</v>
      </c>
      <c r="M102" s="57" t="s">
        <v>2185</v>
      </c>
      <c r="N102" s="56" t="s">
        <v>2335</v>
      </c>
      <c r="O102" s="99"/>
      <c r="P102" s="57" t="str">
        <f>F102&amp;"&gt;"&amp;G102&amp;"&gt;"&amp;D102&amp;"&gt;"&amp;N102</f>
        <v>제03편 제1심 소송절차&gt;08&gt;1-1&gt;기출</v>
      </c>
      <c r="Q102" s="57" t="str">
        <f>H102&amp;"&gt;"&amp;I102&amp;"&gt;"&amp;D102&amp;"&gt;"&amp;N102</f>
        <v>제07장 증거&gt;03&gt;1-1&gt;기출</v>
      </c>
      <c r="R102" s="57" t="str">
        <f>H102&amp;"&gt;"&amp;J102&amp;"&gt;"&amp;K102</f>
        <v>제07장 증거&gt;제03절 불요증사실&gt;01</v>
      </c>
      <c r="S102" s="57" t="str">
        <f>N102&amp;"&gt;"&amp;C102&amp;"&gt;"&amp;E102</f>
        <v>기출&gt;2021&gt;4</v>
      </c>
      <c r="T102" s="57" t="str">
        <f>N102&amp;"&gt;"&amp;C102&amp;"&gt;"&amp;D102</f>
        <v>기출&gt;2021&gt;1-1</v>
      </c>
    </row>
    <row r="103" spans="2:20" ht="14.45" hidden="1" customHeight="1" x14ac:dyDescent="0.2">
      <c r="B103" s="24">
        <f>ROW()-3</f>
        <v>100</v>
      </c>
      <c r="C103" s="109">
        <v>2021</v>
      </c>
      <c r="D103" s="18" t="s">
        <v>1286</v>
      </c>
      <c r="E103" s="18" t="s">
        <v>1287</v>
      </c>
      <c r="F103" s="19" t="s">
        <v>2535</v>
      </c>
      <c r="G103" s="60" t="s">
        <v>2584</v>
      </c>
      <c r="H103" s="19" t="s">
        <v>2551</v>
      </c>
      <c r="I103" s="18" t="s">
        <v>1305</v>
      </c>
      <c r="J103" s="20" t="s">
        <v>1293</v>
      </c>
      <c r="K103" s="18" t="s">
        <v>1305</v>
      </c>
      <c r="L103" s="19" t="s">
        <v>1306</v>
      </c>
      <c r="M103" s="57" t="s">
        <v>2193</v>
      </c>
      <c r="N103" s="56" t="s">
        <v>2335</v>
      </c>
      <c r="O103" s="99"/>
      <c r="P103" s="57" t="str">
        <f>F103&amp;"&gt;"&amp;G103&amp;"&gt;"&amp;D103&amp;"&gt;"&amp;N103</f>
        <v>제05편 병합소송&gt;05&gt;1-2&gt;기출</v>
      </c>
      <c r="Q103" s="57" t="str">
        <f>H103&amp;"&gt;"&amp;I103&amp;"&gt;"&amp;D103&amp;"&gt;"&amp;N103</f>
        <v>제12장 다수당사자소송&gt;03&gt;1-2&gt;기출</v>
      </c>
      <c r="R103" s="57" t="str">
        <f>H103&amp;"&gt;"&amp;J103&amp;"&gt;"&amp;K103</f>
        <v>제12장 다수당사자소송&gt;제01절 공동소송&gt;03</v>
      </c>
      <c r="S103" s="57" t="str">
        <f>N103&amp;"&gt;"&amp;C103&amp;"&gt;"&amp;E103</f>
        <v>기출&gt;2021&gt;3</v>
      </c>
      <c r="T103" s="57" t="str">
        <f>N103&amp;"&gt;"&amp;C103&amp;"&gt;"&amp;D103</f>
        <v>기출&gt;2021&gt;1-2</v>
      </c>
    </row>
    <row r="104" spans="2:20" ht="14.45" hidden="1" customHeight="1" x14ac:dyDescent="0.2">
      <c r="B104" s="24">
        <f>ROW()-3</f>
        <v>101</v>
      </c>
      <c r="C104" s="109">
        <v>2021</v>
      </c>
      <c r="D104" s="18" t="s">
        <v>1289</v>
      </c>
      <c r="E104" s="18" t="s">
        <v>1289</v>
      </c>
      <c r="F104" s="19" t="s">
        <v>2533</v>
      </c>
      <c r="G104" s="60" t="s">
        <v>2570</v>
      </c>
      <c r="H104" s="19" t="s">
        <v>2524</v>
      </c>
      <c r="I104" s="18" t="s">
        <v>1283</v>
      </c>
      <c r="J104" s="20" t="s">
        <v>1307</v>
      </c>
      <c r="K104" s="18" t="s">
        <v>1283</v>
      </c>
      <c r="L104" s="19" t="s">
        <v>3512</v>
      </c>
      <c r="M104" s="57" t="s">
        <v>3513</v>
      </c>
      <c r="N104" s="56" t="s">
        <v>2335</v>
      </c>
      <c r="O104" s="99" t="s">
        <v>3518</v>
      </c>
      <c r="P104" s="57" t="str">
        <f>F104&amp;"&gt;"&amp;G104&amp;"&gt;"&amp;D104&amp;"&gt;"&amp;N104</f>
        <v>제02편 소송의 주체&gt;01&gt;2&gt;기출</v>
      </c>
      <c r="Q104" s="57" t="str">
        <f>H104&amp;"&gt;"&amp;I104&amp;"&gt;"&amp;D104&amp;"&gt;"&amp;N104</f>
        <v>제04장 당사자&gt;01&gt;2&gt;기출</v>
      </c>
      <c r="R104" s="57" t="str">
        <f>H104&amp;"&gt;"&amp;J104&amp;"&gt;"&amp;K104</f>
        <v>제04장 당사자&gt;제02절 당사자의 자격&gt;01</v>
      </c>
      <c r="S104" s="57" t="str">
        <f>N104&amp;"&gt;"&amp;C104&amp;"&gt;"&amp;E104</f>
        <v>기출&gt;2021&gt;2</v>
      </c>
      <c r="T104" s="57" t="str">
        <f>N104&amp;"&gt;"&amp;C104&amp;"&gt;"&amp;D104</f>
        <v>기출&gt;2021&gt;2</v>
      </c>
    </row>
    <row r="105" spans="2:20" ht="14.45" hidden="1" customHeight="1" x14ac:dyDescent="0.2">
      <c r="B105" s="24">
        <f>ROW()-3</f>
        <v>102</v>
      </c>
      <c r="C105" s="109">
        <v>2021</v>
      </c>
      <c r="D105" s="18" t="s">
        <v>1287</v>
      </c>
      <c r="E105" s="18" t="s">
        <v>1291</v>
      </c>
      <c r="F105" s="19" t="s">
        <v>2535</v>
      </c>
      <c r="G105" s="60" t="s">
        <v>2585</v>
      </c>
      <c r="H105" s="19" t="s">
        <v>2549</v>
      </c>
      <c r="I105" s="18" t="s">
        <v>1305</v>
      </c>
      <c r="J105" s="20" t="s">
        <v>1308</v>
      </c>
      <c r="K105" s="18" t="s">
        <v>1283</v>
      </c>
      <c r="L105" s="19" t="s">
        <v>2505</v>
      </c>
      <c r="M105" s="57" t="s">
        <v>2504</v>
      </c>
      <c r="N105" s="56" t="s">
        <v>2335</v>
      </c>
      <c r="O105" s="99" t="s">
        <v>3518</v>
      </c>
      <c r="P105" s="57" t="str">
        <f>F105&amp;"&gt;"&amp;G105&amp;"&gt;"&amp;D105&amp;"&gt;"&amp;N105</f>
        <v>제05편 병합소송&gt;06&gt;3&gt;기출</v>
      </c>
      <c r="Q105" s="57" t="str">
        <f>H105&amp;"&gt;"&amp;I105&amp;"&gt;"&amp;D105&amp;"&gt;"&amp;N105</f>
        <v>제11장 병합청구소송&gt;03&gt;3&gt;기출</v>
      </c>
      <c r="R105" s="57" t="str">
        <f>H105&amp;"&gt;"&amp;J105&amp;"&gt;"&amp;K105</f>
        <v>제11장 병합청구소송&gt;제02절 청구의 후발적 병합&gt;01</v>
      </c>
      <c r="S105" s="57" t="str">
        <f>N105&amp;"&gt;"&amp;C105&amp;"&gt;"&amp;E105</f>
        <v>기출&gt;2021&gt;1</v>
      </c>
      <c r="T105" s="57" t="str">
        <f>N105&amp;"&gt;"&amp;C105&amp;"&gt;"&amp;D105</f>
        <v>기출&gt;2021&gt;3</v>
      </c>
    </row>
    <row r="106" spans="2:20" ht="14.45" hidden="1" customHeight="1" x14ac:dyDescent="0.2">
      <c r="B106" s="24">
        <f>ROW()-3</f>
        <v>103</v>
      </c>
      <c r="C106" s="109">
        <v>2022</v>
      </c>
      <c r="D106" s="18" t="s">
        <v>1281</v>
      </c>
      <c r="E106" s="18" t="s">
        <v>1284</v>
      </c>
      <c r="F106" s="19" t="s">
        <v>2535</v>
      </c>
      <c r="G106" s="60" t="s">
        <v>2581</v>
      </c>
      <c r="H106" s="19" t="s">
        <v>2549</v>
      </c>
      <c r="I106" s="18" t="s">
        <v>1295</v>
      </c>
      <c r="J106" s="20" t="s">
        <v>1288</v>
      </c>
      <c r="K106" s="18" t="s">
        <v>1295</v>
      </c>
      <c r="L106" s="19" t="s">
        <v>1300</v>
      </c>
      <c r="M106" s="57" t="s">
        <v>2191</v>
      </c>
      <c r="N106" s="56" t="s">
        <v>2335</v>
      </c>
      <c r="O106" s="99"/>
      <c r="P106" s="57" t="str">
        <f>F106&amp;"&gt;"&amp;G106&amp;"&gt;"&amp;D106&amp;"&gt;"&amp;N106</f>
        <v>제05편 병합소송&gt;03&gt;1-1&gt;기출</v>
      </c>
      <c r="Q106" s="57" t="str">
        <f>H106&amp;"&gt;"&amp;I106&amp;"&gt;"&amp;D106&amp;"&gt;"&amp;N106</f>
        <v>제11장 병합청구소송&gt;02&gt;1-1&gt;기출</v>
      </c>
      <c r="R106" s="57" t="str">
        <f>H106&amp;"&gt;"&amp;J106&amp;"&gt;"&amp;K106</f>
        <v>제11장 병합청구소송&gt;제01절 청구의 원시적 병합&gt;02</v>
      </c>
      <c r="S106" s="57" t="str">
        <f>N106&amp;"&gt;"&amp;C106&amp;"&gt;"&amp;E106</f>
        <v>기출&gt;2022&gt;4</v>
      </c>
      <c r="T106" s="57" t="str">
        <f>N106&amp;"&gt;"&amp;C106&amp;"&gt;"&amp;D106</f>
        <v>기출&gt;2022&gt;1-1</v>
      </c>
    </row>
    <row r="107" spans="2:20" ht="14.45" hidden="1" customHeight="1" x14ac:dyDescent="0.2">
      <c r="B107" s="24">
        <f>ROW()-3</f>
        <v>104</v>
      </c>
      <c r="C107" s="109">
        <v>2022</v>
      </c>
      <c r="D107" s="18" t="s">
        <v>1286</v>
      </c>
      <c r="E107" s="18" t="s">
        <v>1287</v>
      </c>
      <c r="F107" s="19" t="s">
        <v>2535</v>
      </c>
      <c r="G107" s="60" t="s">
        <v>2583</v>
      </c>
      <c r="H107" s="19" t="s">
        <v>2551</v>
      </c>
      <c r="I107" s="18" t="s">
        <v>1295</v>
      </c>
      <c r="J107" s="20" t="s">
        <v>1293</v>
      </c>
      <c r="K107" s="18" t="s">
        <v>1295</v>
      </c>
      <c r="L107" s="19" t="s">
        <v>1301</v>
      </c>
      <c r="M107" s="57" t="s">
        <v>2192</v>
      </c>
      <c r="N107" s="56" t="s">
        <v>2335</v>
      </c>
      <c r="O107" s="99"/>
      <c r="P107" s="57" t="str">
        <f>F107&amp;"&gt;"&amp;G107&amp;"&gt;"&amp;D107&amp;"&gt;"&amp;N107</f>
        <v>제05편 병합소송&gt;04&gt;1-2&gt;기출</v>
      </c>
      <c r="Q107" s="57" t="str">
        <f>H107&amp;"&gt;"&amp;I107&amp;"&gt;"&amp;D107&amp;"&gt;"&amp;N107</f>
        <v>제12장 다수당사자소송&gt;02&gt;1-2&gt;기출</v>
      </c>
      <c r="R107" s="57" t="str">
        <f>H107&amp;"&gt;"&amp;J107&amp;"&gt;"&amp;K107</f>
        <v>제12장 다수당사자소송&gt;제01절 공동소송&gt;02</v>
      </c>
      <c r="S107" s="57" t="str">
        <f>N107&amp;"&gt;"&amp;C107&amp;"&gt;"&amp;E107</f>
        <v>기출&gt;2022&gt;3</v>
      </c>
      <c r="T107" s="57" t="str">
        <f>N107&amp;"&gt;"&amp;C107&amp;"&gt;"&amp;D107</f>
        <v>기출&gt;2022&gt;1-2</v>
      </c>
    </row>
    <row r="108" spans="2:20" ht="14.45" hidden="1" customHeight="1" x14ac:dyDescent="0.2">
      <c r="B108" s="24">
        <f>ROW()-3</f>
        <v>105</v>
      </c>
      <c r="C108" s="109">
        <v>2022</v>
      </c>
      <c r="D108" s="18" t="s">
        <v>1289</v>
      </c>
      <c r="E108" s="18" t="s">
        <v>1289</v>
      </c>
      <c r="F108" s="19" t="s">
        <v>2579</v>
      </c>
      <c r="G108" s="60" t="s">
        <v>2586</v>
      </c>
      <c r="H108" s="19" t="s">
        <v>2526</v>
      </c>
      <c r="I108" s="18" t="s">
        <v>1295</v>
      </c>
      <c r="J108" s="20" t="s">
        <v>1302</v>
      </c>
      <c r="K108" s="18" t="s">
        <v>1283</v>
      </c>
      <c r="L108" s="19" t="s">
        <v>2476</v>
      </c>
      <c r="M108" s="57" t="s">
        <v>2477</v>
      </c>
      <c r="N108" s="56" t="s">
        <v>2335</v>
      </c>
      <c r="O108" s="99" t="s">
        <v>3518</v>
      </c>
      <c r="P108" s="57" t="str">
        <f>F108&amp;"&gt;"&amp;G108&amp;"&gt;"&amp;D108&amp;"&gt;"&amp;N108</f>
        <v>제03편 제1심 소송절차&gt;07&gt;2&gt;기출</v>
      </c>
      <c r="Q108" s="57" t="str">
        <f>H108&amp;"&gt;"&amp;I108&amp;"&gt;"&amp;D108&amp;"&gt;"&amp;N108</f>
        <v>제06장 변론&gt;02&gt;2&gt;기출</v>
      </c>
      <c r="R108" s="57" t="str">
        <f>H108&amp;"&gt;"&amp;J108&amp;"&gt;"&amp;K108</f>
        <v>제06장 변론&gt;제04절 변론&gt;01</v>
      </c>
      <c r="S108" s="57" t="str">
        <f>N108&amp;"&gt;"&amp;C108&amp;"&gt;"&amp;E108</f>
        <v>기출&gt;2022&gt;2</v>
      </c>
      <c r="T108" s="57" t="str">
        <f>N108&amp;"&gt;"&amp;C108&amp;"&gt;"&amp;D108</f>
        <v>기출&gt;2022&gt;2</v>
      </c>
    </row>
    <row r="109" spans="2:20" ht="14.45" hidden="1" customHeight="1" x14ac:dyDescent="0.2">
      <c r="B109" s="24">
        <f>ROW()-3</f>
        <v>106</v>
      </c>
      <c r="C109" s="109">
        <v>2022</v>
      </c>
      <c r="D109" s="18" t="s">
        <v>1287</v>
      </c>
      <c r="E109" s="18" t="s">
        <v>1291</v>
      </c>
      <c r="F109" s="19" t="s">
        <v>2534</v>
      </c>
      <c r="G109" s="60" t="s">
        <v>2583</v>
      </c>
      <c r="H109" s="19" t="s">
        <v>2547</v>
      </c>
      <c r="I109" s="18" t="s">
        <v>1295</v>
      </c>
      <c r="J109" s="20" t="s">
        <v>1298</v>
      </c>
      <c r="K109" s="18" t="s">
        <v>1295</v>
      </c>
      <c r="L109" s="19" t="s">
        <v>2496</v>
      </c>
      <c r="M109" s="57" t="s">
        <v>2495</v>
      </c>
      <c r="N109" s="56" t="s">
        <v>2335</v>
      </c>
      <c r="O109" s="99" t="s">
        <v>3518</v>
      </c>
      <c r="P109" s="57" t="str">
        <f>F109&amp;"&gt;"&amp;G109&amp;"&gt;"&amp;D109&amp;"&gt;"&amp;N109</f>
        <v>제04편 소송의 종료&gt;04&gt;3&gt;기출</v>
      </c>
      <c r="Q109" s="57" t="str">
        <f>H109&amp;"&gt;"&amp;I109&amp;"&gt;"&amp;D109&amp;"&gt;"&amp;N109</f>
        <v>제10장 종국판결에 의한 종료&gt;02&gt;3&gt;기출</v>
      </c>
      <c r="R109" s="57" t="str">
        <f>H109&amp;"&gt;"&amp;J109&amp;"&gt;"&amp;K109</f>
        <v>제10장 종국판결에 의한 종료&gt;제02절 판결&gt;02</v>
      </c>
      <c r="S109" s="57" t="str">
        <f>N109&amp;"&gt;"&amp;C109&amp;"&gt;"&amp;E109</f>
        <v>기출&gt;2022&gt;1</v>
      </c>
      <c r="T109" s="57" t="str">
        <f>N109&amp;"&gt;"&amp;C109&amp;"&gt;"&amp;D109</f>
        <v>기출&gt;2022&gt;3</v>
      </c>
    </row>
    <row r="110" spans="2:20" ht="14.45" hidden="1" customHeight="1" x14ac:dyDescent="0.2">
      <c r="B110" s="24">
        <f>ROW()-3</f>
        <v>107</v>
      </c>
      <c r="C110" s="109">
        <v>2023</v>
      </c>
      <c r="D110" s="18" t="s">
        <v>1281</v>
      </c>
      <c r="E110" s="18" t="s">
        <v>1284</v>
      </c>
      <c r="F110" s="19" t="s">
        <v>2579</v>
      </c>
      <c r="G110" s="60" t="s">
        <v>2584</v>
      </c>
      <c r="H110" s="19" t="s">
        <v>2564</v>
      </c>
      <c r="I110" s="18" t="s">
        <v>1295</v>
      </c>
      <c r="J110" s="20" t="s">
        <v>1297</v>
      </c>
      <c r="K110" s="18" t="s">
        <v>1283</v>
      </c>
      <c r="L110" s="19" t="s">
        <v>2589</v>
      </c>
      <c r="M110" s="57" t="s">
        <v>2590</v>
      </c>
      <c r="N110" s="56" t="s">
        <v>2335</v>
      </c>
      <c r="O110" s="99"/>
      <c r="P110" s="57" t="str">
        <f>F110&amp;"&gt;"&amp;G110&amp;"&gt;"&amp;D110&amp;"&gt;"&amp;N110</f>
        <v>제03편 제1심 소송절차&gt;05&gt;1-1&gt;기출</v>
      </c>
      <c r="Q110" s="57" t="str">
        <f>H110&amp;"&gt;"&amp;I110&amp;"&gt;"&amp;D110&amp;"&gt;"&amp;N110</f>
        <v>제05장 소송 개시와 심리 대상&gt;02&gt;1-1&gt;기출</v>
      </c>
      <c r="R110" s="57" t="str">
        <f>H110&amp;"&gt;"&amp;J110&amp;"&gt;"&amp;K110</f>
        <v>제05장 소송 개시와 심리 대상&gt;제07절 소제기의 효과&gt;01</v>
      </c>
      <c r="S110" s="57" t="str">
        <f>N110&amp;"&gt;"&amp;C110&amp;"&gt;"&amp;E110</f>
        <v>기출&gt;2023&gt;4</v>
      </c>
      <c r="T110" s="57" t="str">
        <f>N110&amp;"&gt;"&amp;C110&amp;"&gt;"&amp;D110</f>
        <v>기출&gt;2023&gt;1-1</v>
      </c>
    </row>
    <row r="111" spans="2:20" ht="14.45" hidden="1" customHeight="1" x14ac:dyDescent="0.2">
      <c r="B111" s="24">
        <f>ROW()-3</f>
        <v>108</v>
      </c>
      <c r="C111" s="109">
        <v>2023</v>
      </c>
      <c r="D111" s="18" t="s">
        <v>1286</v>
      </c>
      <c r="E111" s="18" t="s">
        <v>1287</v>
      </c>
      <c r="F111" s="19" t="s">
        <v>2534</v>
      </c>
      <c r="G111" s="60" t="s">
        <v>2581</v>
      </c>
      <c r="H111" s="19" t="s">
        <v>3467</v>
      </c>
      <c r="I111" s="18" t="s">
        <v>1283</v>
      </c>
      <c r="J111" s="20" t="s">
        <v>1298</v>
      </c>
      <c r="K111" s="18" t="s">
        <v>1283</v>
      </c>
      <c r="L111" s="19" t="s">
        <v>2452</v>
      </c>
      <c r="M111" s="57" t="s">
        <v>2451</v>
      </c>
      <c r="N111" s="56" t="s">
        <v>2335</v>
      </c>
      <c r="O111" s="99"/>
      <c r="P111" s="57" t="str">
        <f>F111&amp;"&gt;"&amp;G111&amp;"&gt;"&amp;D111&amp;"&gt;"&amp;N111</f>
        <v>제04편 소송의 종료&gt;03&gt;1-2&gt;기출</v>
      </c>
      <c r="Q111" s="57" t="str">
        <f>H111&amp;"&gt;"&amp;I111&amp;"&gt;"&amp;D111&amp;"&gt;"&amp;N111</f>
        <v>제10장 종국판결에 의한 종료&gt;01&gt;1-2&gt;기출</v>
      </c>
      <c r="R111" s="57" t="str">
        <f>H111&amp;"&gt;"&amp;J111&amp;"&gt;"&amp;K111</f>
        <v>제10장 종국판결에 의한 종료&gt;제02절 판결&gt;01</v>
      </c>
      <c r="S111" s="57" t="str">
        <f>N111&amp;"&gt;"&amp;C111&amp;"&gt;"&amp;E111</f>
        <v>기출&gt;2023&gt;3</v>
      </c>
      <c r="T111" s="57" t="str">
        <f>N111&amp;"&gt;"&amp;C111&amp;"&gt;"&amp;D111</f>
        <v>기출&gt;2023&gt;1-2</v>
      </c>
    </row>
    <row r="112" spans="2:20" ht="14.45" hidden="1" customHeight="1" x14ac:dyDescent="0.2">
      <c r="B112" s="24">
        <f>ROW()-3</f>
        <v>109</v>
      </c>
      <c r="C112" s="109">
        <v>2023</v>
      </c>
      <c r="D112" s="18" t="s">
        <v>1289</v>
      </c>
      <c r="E112" s="18" t="s">
        <v>1289</v>
      </c>
      <c r="F112" s="19" t="s">
        <v>2579</v>
      </c>
      <c r="G112" s="60" t="s">
        <v>2585</v>
      </c>
      <c r="H112" s="19" t="s">
        <v>2564</v>
      </c>
      <c r="I112" s="18" t="s">
        <v>1305</v>
      </c>
      <c r="J112" s="20" t="s">
        <v>1290</v>
      </c>
      <c r="K112" s="18" t="s">
        <v>1295</v>
      </c>
      <c r="L112" s="19" t="s">
        <v>2446</v>
      </c>
      <c r="M112" s="57" t="s">
        <v>2445</v>
      </c>
      <c r="N112" s="56" t="s">
        <v>2335</v>
      </c>
      <c r="O112" s="99" t="s">
        <v>3518</v>
      </c>
      <c r="P112" s="57" t="str">
        <f>F112&amp;"&gt;"&amp;G112&amp;"&gt;"&amp;D112&amp;"&gt;"&amp;N112</f>
        <v>제03편 제1심 소송절차&gt;06&gt;2&gt;기출</v>
      </c>
      <c r="Q112" s="57" t="str">
        <f>H112&amp;"&gt;"&amp;I112&amp;"&gt;"&amp;D112&amp;"&gt;"&amp;N112</f>
        <v>제05장 소송 개시와 심리 대상&gt;03&gt;2&gt;기출</v>
      </c>
      <c r="R112" s="57" t="str">
        <f>H112&amp;"&gt;"&amp;J112&amp;"&gt;"&amp;K112</f>
        <v>제05장 소송 개시와 심리 대상&gt;제03절 소의 이익&gt;02</v>
      </c>
      <c r="S112" s="57" t="str">
        <f>N112&amp;"&gt;"&amp;C112&amp;"&gt;"&amp;E112</f>
        <v>기출&gt;2023&gt;2</v>
      </c>
      <c r="T112" s="57" t="str">
        <f>N112&amp;"&gt;"&amp;C112&amp;"&gt;"&amp;D112</f>
        <v>기출&gt;2023&gt;2</v>
      </c>
    </row>
    <row r="113" spans="2:20" ht="14.45" hidden="1" customHeight="1" x14ac:dyDescent="0.2">
      <c r="B113" s="24">
        <f>ROW()-3</f>
        <v>110</v>
      </c>
      <c r="C113" s="109">
        <v>2023</v>
      </c>
      <c r="D113" s="18" t="s">
        <v>1287</v>
      </c>
      <c r="E113" s="18" t="s">
        <v>1291</v>
      </c>
      <c r="F113" s="19" t="s">
        <v>2536</v>
      </c>
      <c r="G113" s="60" t="s">
        <v>2580</v>
      </c>
      <c r="H113" s="19" t="s">
        <v>3471</v>
      </c>
      <c r="I113" s="18" t="s">
        <v>1283</v>
      </c>
      <c r="J113" s="20" t="s">
        <v>1299</v>
      </c>
      <c r="K113" s="18" t="s">
        <v>1283</v>
      </c>
      <c r="L113" s="19" t="s">
        <v>2509</v>
      </c>
      <c r="M113" s="57" t="s">
        <v>2510</v>
      </c>
      <c r="N113" s="56" t="s">
        <v>2335</v>
      </c>
      <c r="O113" s="99" t="s">
        <v>3518</v>
      </c>
      <c r="P113" s="57" t="str">
        <f>F113&amp;"&gt;"&amp;G113&amp;"&gt;"&amp;D113&amp;"&gt;"&amp;N113</f>
        <v>제06편 상소심절차&gt;02&gt;3&gt;기출</v>
      </c>
      <c r="Q113" s="57" t="str">
        <f>H113&amp;"&gt;"&amp;I113&amp;"&gt;"&amp;D113&amp;"&gt;"&amp;N113</f>
        <v>제14장 항소&gt;01&gt;3&gt;기출</v>
      </c>
      <c r="R113" s="57" t="str">
        <f>H113&amp;"&gt;"&amp;J113&amp;"&gt;"&amp;K113</f>
        <v>제14장 항소&gt;제02절 항소의 제기&gt;01</v>
      </c>
      <c r="S113" s="57" t="str">
        <f>N113&amp;"&gt;"&amp;C113&amp;"&gt;"&amp;E113</f>
        <v>기출&gt;2023&gt;1</v>
      </c>
      <c r="T113" s="57" t="str">
        <f>N113&amp;"&gt;"&amp;C113&amp;"&gt;"&amp;D113</f>
        <v>기출&gt;2023&gt;3</v>
      </c>
    </row>
    <row r="114" spans="2:20" ht="14.45" hidden="1" customHeight="1" x14ac:dyDescent="0.2">
      <c r="B114" s="24">
        <f>ROW()-3</f>
        <v>111</v>
      </c>
      <c r="C114" s="109">
        <v>2024</v>
      </c>
      <c r="D114" s="18" t="s">
        <v>1281</v>
      </c>
      <c r="E114" s="18" t="s">
        <v>1284</v>
      </c>
      <c r="F114" s="19" t="s">
        <v>2535</v>
      </c>
      <c r="G114" s="60" t="s">
        <v>2580</v>
      </c>
      <c r="H114" s="19" t="s">
        <v>3469</v>
      </c>
      <c r="I114" s="18" t="s">
        <v>1283</v>
      </c>
      <c r="J114" s="20" t="s">
        <v>1293</v>
      </c>
      <c r="K114" s="18" t="s">
        <v>1283</v>
      </c>
      <c r="L114" s="19" t="s">
        <v>2374</v>
      </c>
      <c r="M114" s="57" t="s">
        <v>2364</v>
      </c>
      <c r="N114" s="56" t="s">
        <v>2335</v>
      </c>
      <c r="O114" s="99"/>
      <c r="P114" s="57" t="str">
        <f>F114&amp;"&gt;"&amp;G114&amp;"&gt;"&amp;D114&amp;"&gt;"&amp;N114</f>
        <v>제05편 병합소송&gt;02&gt;1-1&gt;기출</v>
      </c>
      <c r="Q114" s="57" t="str">
        <f>H114&amp;"&gt;"&amp;I114&amp;"&gt;"&amp;D114&amp;"&gt;"&amp;N114</f>
        <v>제12장 다수당사자소송&gt;01&gt;1-1&gt;기출</v>
      </c>
      <c r="R114" s="57" t="str">
        <f>H114&amp;"&gt;"&amp;J114&amp;"&gt;"&amp;K114</f>
        <v>제12장 다수당사자소송&gt;제01절 공동소송&gt;01</v>
      </c>
      <c r="S114" s="57" t="str">
        <f>N114&amp;"&gt;"&amp;C114&amp;"&gt;"&amp;E114</f>
        <v>기출&gt;2024&gt;4</v>
      </c>
      <c r="T114" s="57" t="str">
        <f>N114&amp;"&gt;"&amp;C114&amp;"&gt;"&amp;D114</f>
        <v>기출&gt;2024&gt;1-1</v>
      </c>
    </row>
    <row r="115" spans="2:20" ht="14.45" hidden="1" customHeight="1" x14ac:dyDescent="0.2">
      <c r="B115" s="24">
        <f>ROW()-3</f>
        <v>112</v>
      </c>
      <c r="C115" s="109">
        <v>2024</v>
      </c>
      <c r="D115" s="18" t="s">
        <v>1286</v>
      </c>
      <c r="E115" s="18" t="s">
        <v>1287</v>
      </c>
      <c r="F115" s="19" t="s">
        <v>2536</v>
      </c>
      <c r="G115" s="60" t="s">
        <v>2582</v>
      </c>
      <c r="H115" s="19" t="s">
        <v>3470</v>
      </c>
      <c r="I115" s="18" t="s">
        <v>1283</v>
      </c>
      <c r="J115" s="20" t="s">
        <v>1294</v>
      </c>
      <c r="K115" s="18" t="s">
        <v>1283</v>
      </c>
      <c r="L115" s="19" t="s">
        <v>203</v>
      </c>
      <c r="M115" s="57" t="s">
        <v>2202</v>
      </c>
      <c r="N115" s="56" t="s">
        <v>2335</v>
      </c>
      <c r="O115" s="99"/>
      <c r="P115" s="57" t="str">
        <f>F115&amp;"&gt;"&amp;G115&amp;"&gt;"&amp;D115&amp;"&gt;"&amp;N115</f>
        <v>제06편 상소심절차&gt;01&gt;1-2&gt;기출</v>
      </c>
      <c r="Q115" s="57" t="str">
        <f>H115&amp;"&gt;"&amp;I115&amp;"&gt;"&amp;D115&amp;"&gt;"&amp;N115</f>
        <v>제13장 총설&gt;01&gt;1-2&gt;기출</v>
      </c>
      <c r="R115" s="57" t="str">
        <f>H115&amp;"&gt;"&amp;J115&amp;"&gt;"&amp;K115</f>
        <v>제13장 총설&gt;제03절 상소의 효력&gt;01</v>
      </c>
      <c r="S115" s="57" t="str">
        <f>N115&amp;"&gt;"&amp;C115&amp;"&gt;"&amp;E115</f>
        <v>기출&gt;2024&gt;3</v>
      </c>
      <c r="T115" s="57" t="str">
        <f>N115&amp;"&gt;"&amp;C115&amp;"&gt;"&amp;D115</f>
        <v>기출&gt;2024&gt;1-2</v>
      </c>
    </row>
    <row r="116" spans="2:20" ht="14.45" hidden="1" customHeight="1" x14ac:dyDescent="0.2">
      <c r="B116" s="24">
        <f>ROW()-3</f>
        <v>113</v>
      </c>
      <c r="C116" s="109">
        <v>2024</v>
      </c>
      <c r="D116" s="18" t="s">
        <v>1289</v>
      </c>
      <c r="E116" s="18" t="s">
        <v>1289</v>
      </c>
      <c r="F116" s="19" t="s">
        <v>2534</v>
      </c>
      <c r="G116" s="58" t="s">
        <v>2567</v>
      </c>
      <c r="H116" s="19" t="s">
        <v>2545</v>
      </c>
      <c r="I116" s="18" t="s">
        <v>1295</v>
      </c>
      <c r="J116" s="20" t="s">
        <v>1292</v>
      </c>
      <c r="K116" s="18" t="s">
        <v>1295</v>
      </c>
      <c r="L116" s="19" t="s">
        <v>2492</v>
      </c>
      <c r="M116" s="57" t="s">
        <v>3519</v>
      </c>
      <c r="N116" s="56" t="s">
        <v>2335</v>
      </c>
      <c r="O116" s="99" t="s">
        <v>3518</v>
      </c>
      <c r="P116" s="57" t="str">
        <f>F116&amp;"&gt;"&amp;G116&amp;"&gt;"&amp;D116&amp;"&gt;"&amp;N116</f>
        <v>제04편 소송의 종료&gt;02&gt;2&gt;기출</v>
      </c>
      <c r="Q116" s="57" t="str">
        <f>H116&amp;"&gt;"&amp;I116&amp;"&gt;"&amp;D116&amp;"&gt;"&amp;N116</f>
        <v>제09장 당사자 행위에 의한 종료&gt;02&gt;2&gt;기출</v>
      </c>
      <c r="R116" s="57" t="str">
        <f>H116&amp;"&gt;"&amp;J116&amp;"&gt;"&amp;K116</f>
        <v>제09장 당사자 행위에 의한 종료&gt;제01절 소의 취하와 재소금지&gt;02</v>
      </c>
      <c r="S116" s="57" t="str">
        <f>N116&amp;"&gt;"&amp;C116&amp;"&gt;"&amp;E116</f>
        <v>기출&gt;2024&gt;2</v>
      </c>
      <c r="T116" s="57" t="str">
        <f>N116&amp;"&gt;"&amp;C116&amp;"&gt;"&amp;D116</f>
        <v>기출&gt;2024&gt;2</v>
      </c>
    </row>
    <row r="117" spans="2:20" ht="14.45" hidden="1" customHeight="1" x14ac:dyDescent="0.2">
      <c r="B117" s="24">
        <f>ROW()-3</f>
        <v>114</v>
      </c>
      <c r="C117" s="109">
        <v>2024</v>
      </c>
      <c r="D117" s="18" t="s">
        <v>1287</v>
      </c>
      <c r="E117" s="18" t="s">
        <v>1291</v>
      </c>
      <c r="F117" s="19" t="s">
        <v>2579</v>
      </c>
      <c r="G117" s="60" t="s">
        <v>2583</v>
      </c>
      <c r="H117" s="19" t="s">
        <v>2526</v>
      </c>
      <c r="I117" s="18" t="s">
        <v>1283</v>
      </c>
      <c r="J117" s="20" t="s">
        <v>1296</v>
      </c>
      <c r="K117" s="18" t="s">
        <v>1283</v>
      </c>
      <c r="L117" s="19" t="s">
        <v>2482</v>
      </c>
      <c r="M117" s="57" t="s">
        <v>2481</v>
      </c>
      <c r="N117" s="56" t="s">
        <v>2335</v>
      </c>
      <c r="O117" s="99" t="s">
        <v>3518</v>
      </c>
      <c r="P117" s="57" t="str">
        <f>F117&amp;"&gt;"&amp;G117&amp;"&gt;"&amp;D117&amp;"&gt;"&amp;N117</f>
        <v>제03편 제1심 소송절차&gt;04&gt;3&gt;기출</v>
      </c>
      <c r="Q117" s="57" t="str">
        <f>H117&amp;"&gt;"&amp;I117&amp;"&gt;"&amp;D117&amp;"&gt;"&amp;N117</f>
        <v>제06장 변론&gt;01&gt;3&gt;기출</v>
      </c>
      <c r="R117" s="57" t="str">
        <f>H117&amp;"&gt;"&amp;J117&amp;"&gt;"&amp;K117</f>
        <v>제06장 변론&gt;제07절 기일・기간 및 송달&gt;01</v>
      </c>
      <c r="S117" s="57" t="str">
        <f>N117&amp;"&gt;"&amp;C117&amp;"&gt;"&amp;E117</f>
        <v>기출&gt;2024&gt;1</v>
      </c>
      <c r="T117" s="57" t="str">
        <f>N117&amp;"&gt;"&amp;C117&amp;"&gt;"&amp;D117</f>
        <v>기출&gt;2024&gt;3</v>
      </c>
    </row>
    <row r="118" spans="2:20" ht="14.45" hidden="1" customHeight="1" x14ac:dyDescent="0.2">
      <c r="B118" s="24">
        <f>ROW()-3</f>
        <v>115</v>
      </c>
      <c r="C118" s="109">
        <v>2025</v>
      </c>
      <c r="D118" s="18" t="s">
        <v>1281</v>
      </c>
      <c r="E118" s="18" t="s">
        <v>1282</v>
      </c>
      <c r="F118" s="19" t="s">
        <v>2579</v>
      </c>
      <c r="G118" s="60" t="s">
        <v>1283</v>
      </c>
      <c r="H118" s="19" t="s">
        <v>3465</v>
      </c>
      <c r="I118" s="18" t="s">
        <v>1283</v>
      </c>
      <c r="J118" s="20" t="s">
        <v>1668</v>
      </c>
      <c r="K118" s="18" t="s">
        <v>1283</v>
      </c>
      <c r="L118" s="19" t="s">
        <v>2467</v>
      </c>
      <c r="M118" s="57" t="s">
        <v>2469</v>
      </c>
      <c r="N118" s="56" t="s">
        <v>2335</v>
      </c>
      <c r="O118" s="99"/>
      <c r="P118" s="57" t="str">
        <f>F118&amp;"&gt;"&amp;G118&amp;"&gt;"&amp;D118&amp;"&gt;"&amp;N118</f>
        <v>제03편 제1심 소송절차&gt;01&gt;1-1&gt;기출</v>
      </c>
      <c r="Q118" s="57" t="str">
        <f>H118&amp;"&gt;"&amp;I118&amp;"&gt;"&amp;D118&amp;"&gt;"&amp;N118</f>
        <v>제07장 증거&gt;01&gt;1-1&gt;기출</v>
      </c>
      <c r="R118" s="57" t="str">
        <f>H118&amp;"&gt;"&amp;J118&amp;"&gt;"&amp;K118</f>
        <v>제07장 증거&gt;제01절 증거의 총설&gt;01</v>
      </c>
      <c r="S118" s="57" t="str">
        <f>N118&amp;"&gt;"&amp;C118&amp;"&gt;"&amp;E118</f>
        <v>기출&gt;2025&gt;5</v>
      </c>
      <c r="T118" s="57" t="str">
        <f>N118&amp;"&gt;"&amp;C118&amp;"&gt;"&amp;D118</f>
        <v>기출&gt;2025&gt;1-1</v>
      </c>
    </row>
    <row r="119" spans="2:20" ht="14.45" hidden="1" customHeight="1" x14ac:dyDescent="0.2">
      <c r="B119" s="24">
        <f>ROW()-3</f>
        <v>116</v>
      </c>
      <c r="C119" s="109">
        <v>2025</v>
      </c>
      <c r="D119" s="18" t="s">
        <v>1281</v>
      </c>
      <c r="E119" s="18" t="s">
        <v>1284</v>
      </c>
      <c r="F119" s="19" t="s">
        <v>2579</v>
      </c>
      <c r="G119" s="60" t="s">
        <v>1295</v>
      </c>
      <c r="H119" s="19" t="s">
        <v>2528</v>
      </c>
      <c r="I119" s="18" t="s">
        <v>1295</v>
      </c>
      <c r="J119" s="20" t="s">
        <v>1285</v>
      </c>
      <c r="K119" s="18" t="s">
        <v>1283</v>
      </c>
      <c r="L119" s="19" t="s">
        <v>2467</v>
      </c>
      <c r="M119" s="57" t="s">
        <v>2469</v>
      </c>
      <c r="N119" s="56" t="s">
        <v>2335</v>
      </c>
      <c r="O119" s="99"/>
      <c r="P119" s="57" t="str">
        <f>F119&amp;"&gt;"&amp;G119&amp;"&gt;"&amp;D119&amp;"&gt;"&amp;N119</f>
        <v>제03편 제1심 소송절차&gt;02&gt;1-1&gt;기출</v>
      </c>
      <c r="Q119" s="57" t="str">
        <f>H119&amp;"&gt;"&amp;I119&amp;"&gt;"&amp;D119&amp;"&gt;"&amp;N119</f>
        <v>제07장 증거&gt;02&gt;1-1&gt;기출</v>
      </c>
      <c r="R119" s="57" t="str">
        <f>H119&amp;"&gt;"&amp;J119&amp;"&gt;"&amp;K119</f>
        <v>제07장 증거&gt;제06절 증명책임&gt;01</v>
      </c>
      <c r="S119" s="57" t="str">
        <f>N119&amp;"&gt;"&amp;C119&amp;"&gt;"&amp;E119</f>
        <v>기출&gt;2025&gt;4</v>
      </c>
      <c r="T119" s="57" t="str">
        <f>N119&amp;"&gt;"&amp;C119&amp;"&gt;"&amp;D119</f>
        <v>기출&gt;2025&gt;1-1</v>
      </c>
    </row>
    <row r="120" spans="2:20" ht="14.45" hidden="1" customHeight="1" x14ac:dyDescent="0.2">
      <c r="B120" s="24">
        <f>ROW()-3</f>
        <v>117</v>
      </c>
      <c r="C120" s="109">
        <v>2025</v>
      </c>
      <c r="D120" s="18" t="s">
        <v>1286</v>
      </c>
      <c r="E120" s="18" t="s">
        <v>1287</v>
      </c>
      <c r="F120" s="19" t="s">
        <v>2535</v>
      </c>
      <c r="G120" s="60" t="s">
        <v>2582</v>
      </c>
      <c r="H120" s="19" t="s">
        <v>3468</v>
      </c>
      <c r="I120" s="18" t="s">
        <v>1283</v>
      </c>
      <c r="J120" s="20" t="s">
        <v>1288</v>
      </c>
      <c r="K120" s="18" t="s">
        <v>1283</v>
      </c>
      <c r="L120" s="19" t="s">
        <v>2460</v>
      </c>
      <c r="M120" s="57" t="s">
        <v>2511</v>
      </c>
      <c r="N120" s="56" t="s">
        <v>2335</v>
      </c>
      <c r="O120" s="99"/>
      <c r="P120" s="57" t="str">
        <f>F120&amp;"&gt;"&amp;G120&amp;"&gt;"&amp;D120&amp;"&gt;"&amp;N120</f>
        <v>제05편 병합소송&gt;01&gt;1-2&gt;기출</v>
      </c>
      <c r="Q120" s="57" t="str">
        <f>H120&amp;"&gt;"&amp;I120&amp;"&gt;"&amp;D120&amp;"&gt;"&amp;N120</f>
        <v>제11장 병합청구소송&gt;01&gt;1-2&gt;기출</v>
      </c>
      <c r="R120" s="57" t="str">
        <f>H120&amp;"&gt;"&amp;J120&amp;"&gt;"&amp;K120</f>
        <v>제11장 병합청구소송&gt;제01절 청구의 원시적 병합&gt;01</v>
      </c>
      <c r="S120" s="57" t="str">
        <f>N120&amp;"&gt;"&amp;C120&amp;"&gt;"&amp;E120</f>
        <v>기출&gt;2025&gt;3</v>
      </c>
      <c r="T120" s="57" t="str">
        <f>N120&amp;"&gt;"&amp;C120&amp;"&gt;"&amp;D120</f>
        <v>기출&gt;2025&gt;1-2</v>
      </c>
    </row>
    <row r="121" spans="2:20" ht="14.45" hidden="1" customHeight="1" x14ac:dyDescent="0.2">
      <c r="B121" s="24">
        <f>ROW()-3</f>
        <v>118</v>
      </c>
      <c r="C121" s="109">
        <v>2025</v>
      </c>
      <c r="D121" s="18" t="s">
        <v>1289</v>
      </c>
      <c r="E121" s="18" t="s">
        <v>1289</v>
      </c>
      <c r="F121" s="19" t="s">
        <v>2579</v>
      </c>
      <c r="G121" s="60" t="s">
        <v>1305</v>
      </c>
      <c r="H121" s="19" t="s">
        <v>3463</v>
      </c>
      <c r="I121" s="18" t="s">
        <v>1283</v>
      </c>
      <c r="J121" s="20" t="s">
        <v>1290</v>
      </c>
      <c r="K121" s="18" t="s">
        <v>1283</v>
      </c>
      <c r="L121" s="19" t="s">
        <v>2443</v>
      </c>
      <c r="M121" s="57" t="s">
        <v>2442</v>
      </c>
      <c r="N121" s="56" t="s">
        <v>2335</v>
      </c>
      <c r="O121" s="99" t="s">
        <v>3518</v>
      </c>
      <c r="P121" s="57" t="str">
        <f>F121&amp;"&gt;"&amp;G121&amp;"&gt;"&amp;D121&amp;"&gt;"&amp;N121</f>
        <v>제03편 제1심 소송절차&gt;03&gt;2&gt;기출</v>
      </c>
      <c r="Q121" s="57" t="str">
        <f>H121&amp;"&gt;"&amp;I121&amp;"&gt;"&amp;D121&amp;"&gt;"&amp;N121</f>
        <v>제05장 소송 개시와 심리 대상&gt;01&gt;2&gt;기출</v>
      </c>
      <c r="R121" s="57" t="str">
        <f>H121&amp;"&gt;"&amp;J121&amp;"&gt;"&amp;K121</f>
        <v>제05장 소송 개시와 심리 대상&gt;제03절 소의 이익&gt;01</v>
      </c>
      <c r="S121" s="57" t="str">
        <f>N121&amp;"&gt;"&amp;C121&amp;"&gt;"&amp;E121</f>
        <v>기출&gt;2025&gt;2</v>
      </c>
      <c r="T121" s="57" t="str">
        <f>N121&amp;"&gt;"&amp;C121&amp;"&gt;"&amp;D121</f>
        <v>기출&gt;2025&gt;2</v>
      </c>
    </row>
    <row r="122" spans="2:20" ht="14.45" hidden="1" customHeight="1" x14ac:dyDescent="0.2">
      <c r="B122" s="24">
        <f>ROW()-3</f>
        <v>119</v>
      </c>
      <c r="C122" s="109">
        <v>2025</v>
      </c>
      <c r="D122" s="18" t="s">
        <v>1287</v>
      </c>
      <c r="E122" s="18" t="s">
        <v>1291</v>
      </c>
      <c r="F122" s="19" t="s">
        <v>2534</v>
      </c>
      <c r="G122" s="58" t="s">
        <v>2566</v>
      </c>
      <c r="H122" s="19" t="s">
        <v>3466</v>
      </c>
      <c r="I122" s="18" t="s">
        <v>1283</v>
      </c>
      <c r="J122" s="20" t="s">
        <v>1292</v>
      </c>
      <c r="K122" s="18" t="s">
        <v>1283</v>
      </c>
      <c r="L122" s="19" t="s">
        <v>2491</v>
      </c>
      <c r="M122" s="57" t="s">
        <v>2490</v>
      </c>
      <c r="N122" s="56" t="s">
        <v>2335</v>
      </c>
      <c r="O122" s="99" t="s">
        <v>3518</v>
      </c>
      <c r="P122" s="57" t="str">
        <f>F122&amp;"&gt;"&amp;G122&amp;"&gt;"&amp;D122&amp;"&gt;"&amp;N122</f>
        <v>제04편 소송의 종료&gt;01&gt;3&gt;기출</v>
      </c>
      <c r="Q122" s="57" t="str">
        <f>H122&amp;"&gt;"&amp;I122&amp;"&gt;"&amp;D122&amp;"&gt;"&amp;N122</f>
        <v>제09장 당사자 행위에 의한 종료&gt;01&gt;3&gt;기출</v>
      </c>
      <c r="R122" s="57" t="str">
        <f>H122&amp;"&gt;"&amp;J122&amp;"&gt;"&amp;K122</f>
        <v>제09장 당사자 행위에 의한 종료&gt;제01절 소의 취하와 재소금지&gt;01</v>
      </c>
      <c r="S122" s="57" t="str">
        <f>N122&amp;"&gt;"&amp;C122&amp;"&gt;"&amp;E122</f>
        <v>기출&gt;2025&gt;1</v>
      </c>
      <c r="T122" s="57" t="str">
        <f>N122&amp;"&gt;"&amp;C122&amp;"&gt;"&amp;D122</f>
        <v>기출&gt;2025&gt;3</v>
      </c>
    </row>
  </sheetData>
  <autoFilter ref="B3:T122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예상"/>
      </filters>
    </filterColumn>
    <sortState xmlns:xlrd2="http://schemas.microsoft.com/office/spreadsheetml/2017/richdata2" ref="B58:T122">
      <sortCondition ref="T3:T122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35E2B-4050-4F41-8B27-608C054A8228}">
  <sheetPr codeName="Sheet12">
    <pageSetUpPr fitToPage="1"/>
  </sheetPr>
  <dimension ref="B1:N584"/>
  <sheetViews>
    <sheetView showGridLines="0" tabSelected="1" zoomScaleNormal="100" workbookViewId="0">
      <pane ySplit="3" topLeftCell="A169" activePane="bottomLeft" state="frozen"/>
      <selection pane="bottomLeft" activeCell="G181" sqref="G181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35.5703125" style="1" customWidth="1"/>
    <col min="7" max="7" width="90.7109375" style="1" customWidth="1"/>
    <col min="8" max="8" width="4.42578125" style="3" customWidth="1"/>
    <col min="9" max="9" width="7.28515625" style="3" customWidth="1"/>
    <col min="10" max="11" width="5.7109375" style="2" customWidth="1"/>
    <col min="12" max="12" width="4.28515625" style="2" customWidth="1"/>
    <col min="13" max="13" width="14.7109375" style="2" customWidth="1"/>
    <col min="14" max="14" width="6.7109375" style="2" customWidth="1"/>
    <col min="15" max="16384" width="9.140625" style="1"/>
  </cols>
  <sheetData>
    <row r="1" spans="2:14" ht="14.45" customHeight="1" thickBot="1" x14ac:dyDescent="0.25">
      <c r="J1" s="3"/>
      <c r="K1" s="3"/>
      <c r="L1" s="3"/>
      <c r="M1" s="3"/>
      <c r="N1" s="3"/>
    </row>
    <row r="2" spans="2:14" ht="14.45" customHeight="1" x14ac:dyDescent="0.2">
      <c r="B2" s="274" t="s">
        <v>2</v>
      </c>
      <c r="C2" s="275"/>
      <c r="D2" s="276"/>
      <c r="E2" s="277" t="s">
        <v>5</v>
      </c>
      <c r="F2" s="278"/>
      <c r="G2" s="279"/>
      <c r="H2" s="280" t="s">
        <v>240</v>
      </c>
      <c r="I2" s="281"/>
      <c r="J2" s="274" t="s">
        <v>2517</v>
      </c>
      <c r="K2" s="282"/>
      <c r="L2" s="267" t="s">
        <v>2512</v>
      </c>
      <c r="M2" s="267" t="s">
        <v>1277</v>
      </c>
      <c r="N2" s="267" t="s">
        <v>3646</v>
      </c>
    </row>
    <row r="3" spans="2:14" ht="14.45" customHeight="1" thickBot="1" x14ac:dyDescent="0.25">
      <c r="B3" s="268" t="s">
        <v>1514</v>
      </c>
      <c r="C3" s="268" t="s">
        <v>0</v>
      </c>
      <c r="D3" s="269" t="s">
        <v>1</v>
      </c>
      <c r="E3" s="268" t="s">
        <v>6</v>
      </c>
      <c r="F3" s="36" t="s">
        <v>1549</v>
      </c>
      <c r="G3" s="270" t="s">
        <v>1550</v>
      </c>
      <c r="H3" s="271" t="s">
        <v>2331</v>
      </c>
      <c r="I3" s="270" t="s">
        <v>241</v>
      </c>
      <c r="J3" s="268" t="s">
        <v>8</v>
      </c>
      <c r="K3" s="36" t="s">
        <v>9</v>
      </c>
      <c r="L3" s="272"/>
      <c r="M3" s="272"/>
      <c r="N3" s="273"/>
    </row>
    <row r="4" spans="2:14" ht="14.45" customHeight="1" x14ac:dyDescent="0.2">
      <c r="B4" s="61" t="s">
        <v>2600</v>
      </c>
      <c r="C4" s="64" t="s">
        <v>2519</v>
      </c>
      <c r="D4" s="85" t="s">
        <v>3498</v>
      </c>
      <c r="E4" s="138" t="s">
        <v>7</v>
      </c>
      <c r="F4" s="139" t="s">
        <v>70</v>
      </c>
      <c r="G4" s="140" t="s">
        <v>2221</v>
      </c>
      <c r="H4" s="141" t="s">
        <v>2224</v>
      </c>
      <c r="I4" s="142">
        <v>3416</v>
      </c>
      <c r="J4" s="210"/>
      <c r="K4" s="211"/>
      <c r="L4" s="259" t="s">
        <v>2595</v>
      </c>
      <c r="M4" s="170"/>
      <c r="N4" s="259" t="str">
        <f>B4&amp;"-"&amp;C4&amp;"-"&amp;D4&amp;"-"&amp;IF(E4="요약",1,IF(E4="기출",2,IF(E4="예상",3,IF(E4="판례",4,5))))&amp;F4</f>
        <v>제1편 총설-제01장 민사소송-제01절 민사소송의 개관-1총설-민사소송</v>
      </c>
    </row>
    <row r="5" spans="2:14" ht="14.45" customHeight="1" x14ac:dyDescent="0.2">
      <c r="B5" s="80" t="s">
        <v>2538</v>
      </c>
      <c r="C5" s="86" t="s">
        <v>2518</v>
      </c>
      <c r="D5" s="90" t="s">
        <v>3498</v>
      </c>
      <c r="E5" s="222" t="s">
        <v>2426</v>
      </c>
      <c r="F5" s="223" t="s">
        <v>3549</v>
      </c>
      <c r="G5" s="224" t="s">
        <v>242</v>
      </c>
      <c r="H5" s="225" t="s">
        <v>2303</v>
      </c>
      <c r="I5" s="226">
        <v>1517</v>
      </c>
      <c r="J5" s="227"/>
      <c r="K5" s="228"/>
      <c r="L5" s="260" t="s">
        <v>2595</v>
      </c>
      <c r="M5" s="229"/>
      <c r="N5" s="260" t="str">
        <f>B5&amp;"-"&amp;C5&amp;"-"&amp;D5&amp;"-"&amp;IF(E5="요약",1,IF(E5="기출",2,IF(E5="예상",3,IF(E5="판례",4,5))))&amp;F5</f>
        <v>제1편 총설-제01장 민사소송-제01절 민사소송의 개관-31.01-1</v>
      </c>
    </row>
    <row r="6" spans="2:14" ht="14.45" customHeight="1" x14ac:dyDescent="0.2">
      <c r="B6" s="80" t="s">
        <v>2538</v>
      </c>
      <c r="C6" s="86" t="s">
        <v>2518</v>
      </c>
      <c r="D6" s="32" t="s">
        <v>3473</v>
      </c>
      <c r="E6" s="230" t="s">
        <v>7</v>
      </c>
      <c r="F6" s="231" t="s">
        <v>70</v>
      </c>
      <c r="G6" s="232" t="s">
        <v>3472</v>
      </c>
      <c r="H6" s="233" t="s">
        <v>2225</v>
      </c>
      <c r="I6" s="234">
        <v>2369</v>
      </c>
      <c r="J6" s="235"/>
      <c r="K6" s="236"/>
      <c r="L6" s="261" t="s">
        <v>2595</v>
      </c>
      <c r="M6" s="237"/>
      <c r="N6" s="261" t="str">
        <f>B6&amp;"-"&amp;C6&amp;"-"&amp;D6&amp;"-"&amp;IF(E6="요약",1,IF(E6="기출",2,IF(E6="예상",3,IF(E6="판례",4,5))))&amp;F6</f>
        <v>제1편 총설-제01장 민사소송-제02절 민사소송의 의의와 목적-1총설-민사소송</v>
      </c>
    </row>
    <row r="7" spans="2:14" ht="14.45" customHeight="1" x14ac:dyDescent="0.2">
      <c r="B7" s="80" t="s">
        <v>2538</v>
      </c>
      <c r="C7" s="86" t="s">
        <v>2518</v>
      </c>
      <c r="D7" s="83" t="s">
        <v>3414</v>
      </c>
      <c r="E7" s="144" t="s">
        <v>7</v>
      </c>
      <c r="F7" s="145" t="s">
        <v>70</v>
      </c>
      <c r="G7" s="146" t="s">
        <v>88</v>
      </c>
      <c r="H7" s="147" t="s">
        <v>2226</v>
      </c>
      <c r="I7" s="148">
        <v>2671</v>
      </c>
      <c r="J7" s="212"/>
      <c r="K7" s="213"/>
      <c r="L7" s="262" t="s">
        <v>2595</v>
      </c>
      <c r="M7" s="169"/>
      <c r="N7" s="262" t="str">
        <f>B7&amp;"-"&amp;C7&amp;"-"&amp;D7&amp;"-"&amp;IF(E7="요약",1,IF(E7="기출",2,IF(E7="예상",3,IF(E7="판례",4,5))))&amp;F7</f>
        <v>제1편 총설-제01장 민사소송-제03절 민사소송의 이상과 신의성실의 원칙-1총설-민사소송</v>
      </c>
    </row>
    <row r="8" spans="2:14" ht="14.45" customHeight="1" x14ac:dyDescent="0.2">
      <c r="B8" s="80" t="s">
        <v>2538</v>
      </c>
      <c r="C8" s="86" t="s">
        <v>2518</v>
      </c>
      <c r="D8" s="91" t="s">
        <v>3414</v>
      </c>
      <c r="E8" s="149" t="s">
        <v>2425</v>
      </c>
      <c r="F8" s="150" t="s">
        <v>2306</v>
      </c>
      <c r="G8" s="151" t="s">
        <v>145</v>
      </c>
      <c r="H8" s="152" t="s">
        <v>2164</v>
      </c>
      <c r="I8" s="153">
        <v>1492</v>
      </c>
      <c r="J8" s="214"/>
      <c r="K8" s="215">
        <v>46206</v>
      </c>
      <c r="L8" s="263" t="s">
        <v>2595</v>
      </c>
      <c r="M8" s="154"/>
      <c r="N8" s="263" t="str">
        <f>B8&amp;"-"&amp;C8&amp;"-"&amp;D8&amp;"-"&amp;IF(E8="요약",1,IF(E8="기출",2,IF(E8="예상",3,IF(E8="판례",4,5))))&amp;F8</f>
        <v>제1편 총설-제01장 민사소송-제03절 민사소송의 이상과 신의성실의 원칙-22014-2</v>
      </c>
    </row>
    <row r="9" spans="2:14" ht="14.45" customHeight="1" x14ac:dyDescent="0.2">
      <c r="B9" s="80" t="s">
        <v>2538</v>
      </c>
      <c r="C9" s="86" t="s">
        <v>2518</v>
      </c>
      <c r="D9" s="91" t="s">
        <v>3414</v>
      </c>
      <c r="E9" s="149" t="s">
        <v>2426</v>
      </c>
      <c r="F9" s="150" t="s">
        <v>3542</v>
      </c>
      <c r="G9" s="151" t="s">
        <v>3589</v>
      </c>
      <c r="H9" s="152" t="s">
        <v>3590</v>
      </c>
      <c r="I9" s="153">
        <v>1234</v>
      </c>
      <c r="J9" s="214"/>
      <c r="K9" s="215">
        <v>46211</v>
      </c>
      <c r="L9" s="263" t="s">
        <v>2593</v>
      </c>
      <c r="M9" s="154" t="s">
        <v>3518</v>
      </c>
      <c r="N9" s="263" t="str">
        <f>B9&amp;"-"&amp;C9&amp;"-"&amp;D9&amp;"-"&amp;IF(E9="요약",1,IF(E9="기출",2,IF(E9="예상",3,IF(E9="판례",4,5))))&amp;F9</f>
        <v>제1편 총설-제01장 민사소송-제03절 민사소송의 이상과 신의성실의 원칙-31.03-1</v>
      </c>
    </row>
    <row r="10" spans="2:14" ht="14.45" customHeight="1" x14ac:dyDescent="0.2">
      <c r="B10" s="80" t="s">
        <v>2538</v>
      </c>
      <c r="C10" s="86" t="s">
        <v>2518</v>
      </c>
      <c r="D10" s="91" t="s">
        <v>3414</v>
      </c>
      <c r="E10" s="149" t="s">
        <v>1553</v>
      </c>
      <c r="F10" s="150" t="s">
        <v>3655</v>
      </c>
      <c r="G10" s="151" t="s">
        <v>3001</v>
      </c>
      <c r="H10" s="152" t="s">
        <v>2605</v>
      </c>
      <c r="I10" s="153">
        <v>267</v>
      </c>
      <c r="J10" s="214"/>
      <c r="K10" s="215"/>
      <c r="L10" s="263" t="s">
        <v>2595</v>
      </c>
      <c r="M10" s="154"/>
      <c r="N10" s="263" t="str">
        <f>B10&amp;"-"&amp;C10&amp;"-"&amp;D10&amp;"-"&amp;IF(E10="요약",1,IF(E10="기출",2,IF(E10="예상",3,IF(E10="판례",4,5))))&amp;F10</f>
        <v>제1편 총설-제01장 민사소송-제03절 민사소송의 이상과 신의성실의 원칙-4001.대법원 2011. 9. 29.자 2011마62 결정</v>
      </c>
    </row>
    <row r="11" spans="2:14" ht="14.45" customHeight="1" x14ac:dyDescent="0.2">
      <c r="B11" s="80" t="s">
        <v>2538</v>
      </c>
      <c r="C11" s="86" t="s">
        <v>2518</v>
      </c>
      <c r="D11" s="91" t="s">
        <v>3414</v>
      </c>
      <c r="E11" s="149" t="s">
        <v>1553</v>
      </c>
      <c r="F11" s="150" t="s">
        <v>3651</v>
      </c>
      <c r="G11" s="151" t="s">
        <v>3002</v>
      </c>
      <c r="H11" s="152" t="s">
        <v>2606</v>
      </c>
      <c r="I11" s="153">
        <v>260</v>
      </c>
      <c r="J11" s="214"/>
      <c r="K11" s="215"/>
      <c r="L11" s="263" t="s">
        <v>2595</v>
      </c>
      <c r="M11" s="154"/>
      <c r="N11" s="263" t="str">
        <f>B11&amp;"-"&amp;C11&amp;"-"&amp;D11&amp;"-"&amp;IF(E11="요약",1,IF(E11="기출",2,IF(E11="예상",3,IF(E11="판례",4,5))))&amp;F11</f>
        <v>제1편 총설-제01장 민사소송-제03절 민사소송의 이상과 신의성실의 원칙-4002.대법원 1993. 5. 14. 선고 92다21760 판결</v>
      </c>
    </row>
    <row r="12" spans="2:14" ht="14.45" customHeight="1" x14ac:dyDescent="0.2">
      <c r="B12" s="80" t="s">
        <v>2538</v>
      </c>
      <c r="C12" s="86" t="s">
        <v>2518</v>
      </c>
      <c r="D12" s="91" t="s">
        <v>3414</v>
      </c>
      <c r="E12" s="149" t="s">
        <v>1553</v>
      </c>
      <c r="F12" s="150" t="s">
        <v>3652</v>
      </c>
      <c r="G12" s="151" t="s">
        <v>3003</v>
      </c>
      <c r="H12" s="152" t="s">
        <v>2607</v>
      </c>
      <c r="I12" s="153">
        <v>333</v>
      </c>
      <c r="J12" s="214"/>
      <c r="K12" s="215"/>
      <c r="L12" s="263" t="s">
        <v>2595</v>
      </c>
      <c r="M12" s="154"/>
      <c r="N12" s="263" t="str">
        <f>B12&amp;"-"&amp;C12&amp;"-"&amp;D12&amp;"-"&amp;IF(E12="요약",1,IF(E12="기출",2,IF(E12="예상",3,IF(E12="판례",4,5))))&amp;F12</f>
        <v>제1편 총설-제01장 민사소송-제03절 민사소송의 이상과 신의성실의 원칙-4003.대법원 1995. 1. 24. 선고 93다25875 판결</v>
      </c>
    </row>
    <row r="13" spans="2:14" ht="14.45" customHeight="1" x14ac:dyDescent="0.2">
      <c r="B13" s="80" t="s">
        <v>2538</v>
      </c>
      <c r="C13" s="86" t="s">
        <v>2518</v>
      </c>
      <c r="D13" s="91" t="s">
        <v>3414</v>
      </c>
      <c r="E13" s="149" t="s">
        <v>1553</v>
      </c>
      <c r="F13" s="150" t="s">
        <v>3653</v>
      </c>
      <c r="G13" s="151" t="s">
        <v>3004</v>
      </c>
      <c r="H13" s="152" t="s">
        <v>2608</v>
      </c>
      <c r="I13" s="153">
        <v>245</v>
      </c>
      <c r="J13" s="214"/>
      <c r="K13" s="215"/>
      <c r="L13" s="263" t="s">
        <v>2595</v>
      </c>
      <c r="M13" s="154"/>
      <c r="N13" s="263" t="str">
        <f>B13&amp;"-"&amp;C13&amp;"-"&amp;D13&amp;"-"&amp;IF(E13="요약",1,IF(E13="기출",2,IF(E13="예상",3,IF(E13="판례",4,5))))&amp;F13</f>
        <v>제1편 총설-제01장 민사소송-제03절 민사소송의 이상과 신의성실의 원칙-4004.대법원 1996. 7. 30. 선고 94다51840 판결</v>
      </c>
    </row>
    <row r="14" spans="2:14" ht="14.45" customHeight="1" x14ac:dyDescent="0.2">
      <c r="B14" s="80" t="s">
        <v>2538</v>
      </c>
      <c r="C14" s="86" t="s">
        <v>2518</v>
      </c>
      <c r="D14" s="91" t="s">
        <v>3414</v>
      </c>
      <c r="E14" s="149" t="s">
        <v>1553</v>
      </c>
      <c r="F14" s="150" t="s">
        <v>3649</v>
      </c>
      <c r="G14" s="151" t="s">
        <v>3005</v>
      </c>
      <c r="H14" s="152" t="s">
        <v>2609</v>
      </c>
      <c r="I14" s="153">
        <v>543</v>
      </c>
      <c r="J14" s="214"/>
      <c r="K14" s="215"/>
      <c r="L14" s="263" t="s">
        <v>2595</v>
      </c>
      <c r="M14" s="154"/>
      <c r="N14" s="263" t="str">
        <f>B14&amp;"-"&amp;C14&amp;"-"&amp;D14&amp;"-"&amp;IF(E14="요약",1,IF(E14="기출",2,IF(E14="예상",3,IF(E14="판례",4,5))))&amp;F14</f>
        <v>제1편 총설-제01장 민사소송-제03절 민사소송의 이상과 신의성실의 원칙-4005.대법원 1992. 5. 26. 선고 92다3670 판결</v>
      </c>
    </row>
    <row r="15" spans="2:14" ht="14.45" customHeight="1" x14ac:dyDescent="0.2">
      <c r="B15" s="80" t="s">
        <v>2538</v>
      </c>
      <c r="C15" s="86" t="s">
        <v>2518</v>
      </c>
      <c r="D15" s="91" t="s">
        <v>3414</v>
      </c>
      <c r="E15" s="149" t="s">
        <v>1553</v>
      </c>
      <c r="F15" s="150" t="s">
        <v>3654</v>
      </c>
      <c r="G15" s="151" t="s">
        <v>3006</v>
      </c>
      <c r="H15" s="152" t="s">
        <v>2610</v>
      </c>
      <c r="I15" s="153">
        <v>293</v>
      </c>
      <c r="J15" s="214"/>
      <c r="K15" s="215"/>
      <c r="L15" s="263" t="s">
        <v>2595</v>
      </c>
      <c r="M15" s="154"/>
      <c r="N15" s="263" t="str">
        <f>B15&amp;"-"&amp;C15&amp;"-"&amp;D15&amp;"-"&amp;IF(E15="요약",1,IF(E15="기출",2,IF(E15="예상",3,IF(E15="판례",4,5))))&amp;F15</f>
        <v>제1편 총설-제01장 민사소송-제03절 민사소송의 이상과 신의성실의 원칙-4006.대법원 1997. 12. 23. 선고 96재다226 판결</v>
      </c>
    </row>
    <row r="16" spans="2:14" ht="14.45" customHeight="1" x14ac:dyDescent="0.2">
      <c r="B16" s="80" t="s">
        <v>2538</v>
      </c>
      <c r="C16" s="86" t="s">
        <v>2518</v>
      </c>
      <c r="D16" s="91" t="s">
        <v>3414</v>
      </c>
      <c r="E16" s="149" t="s">
        <v>1553</v>
      </c>
      <c r="F16" s="150" t="s">
        <v>3647</v>
      </c>
      <c r="G16" s="151" t="s">
        <v>3007</v>
      </c>
      <c r="H16" s="152" t="s">
        <v>2611</v>
      </c>
      <c r="I16" s="153">
        <v>308</v>
      </c>
      <c r="J16" s="214"/>
      <c r="K16" s="215"/>
      <c r="L16" s="263" t="s">
        <v>2593</v>
      </c>
      <c r="M16" s="154"/>
      <c r="N16" s="263" t="str">
        <f>B16&amp;"-"&amp;C16&amp;"-"&amp;D16&amp;"-"&amp;IF(E16="요약",1,IF(E16="기출",2,IF(E16="예상",3,IF(E16="판례",4,5))))&amp;F16</f>
        <v>제1편 총설-제01장 민사소송-제03절 민사소송의 이상과 신의성실의 원칙-4007.대법원 1988. 10. 11. 선고 87다카113 판결</v>
      </c>
    </row>
    <row r="17" spans="2:14" ht="14.45" customHeight="1" x14ac:dyDescent="0.2">
      <c r="B17" s="80" t="s">
        <v>2538</v>
      </c>
      <c r="C17" s="86" t="s">
        <v>2518</v>
      </c>
      <c r="D17" s="91" t="s">
        <v>3414</v>
      </c>
      <c r="E17" s="149" t="s">
        <v>1553</v>
      </c>
      <c r="F17" s="150" t="s">
        <v>3650</v>
      </c>
      <c r="G17" s="151" t="s">
        <v>3008</v>
      </c>
      <c r="H17" s="152" t="s">
        <v>2612</v>
      </c>
      <c r="I17" s="153">
        <v>381</v>
      </c>
      <c r="J17" s="214"/>
      <c r="K17" s="215"/>
      <c r="L17" s="263" t="s">
        <v>2595</v>
      </c>
      <c r="M17" s="154"/>
      <c r="N17" s="263" t="str">
        <f>B17&amp;"-"&amp;C17&amp;"-"&amp;D17&amp;"-"&amp;IF(E17="요약",1,IF(E17="기출",2,IF(E17="예상",3,IF(E17="판례",4,5))))&amp;F17</f>
        <v>제1편 총설-제01장 민사소송-제03절 민사소송의 이상과 신의성실의 원칙-4008.대법원 1992. 7. 28. 선고 92다7726 판결</v>
      </c>
    </row>
    <row r="18" spans="2:14" ht="14.45" customHeight="1" thickBot="1" x14ac:dyDescent="0.25">
      <c r="B18" s="80" t="s">
        <v>2538</v>
      </c>
      <c r="C18" s="87" t="s">
        <v>2518</v>
      </c>
      <c r="D18" s="92" t="s">
        <v>3414</v>
      </c>
      <c r="E18" s="155" t="s">
        <v>1553</v>
      </c>
      <c r="F18" s="156" t="s">
        <v>3648</v>
      </c>
      <c r="G18" s="157" t="s">
        <v>3009</v>
      </c>
      <c r="H18" s="158" t="s">
        <v>2613</v>
      </c>
      <c r="I18" s="159">
        <v>174</v>
      </c>
      <c r="J18" s="221"/>
      <c r="K18" s="220"/>
      <c r="L18" s="264" t="s">
        <v>2595</v>
      </c>
      <c r="M18" s="171"/>
      <c r="N18" s="264" t="str">
        <f>B18&amp;"-"&amp;C18&amp;"-"&amp;D18&amp;"-"&amp;IF(E18="요약",1,IF(E18="기출",2,IF(E18="예상",3,IF(E18="판례",4,5))))&amp;F18</f>
        <v>제1편 총설-제01장 민사소송-제03절 민사소송의 이상과 신의성실의 원칙-4009.대법원 1989. 9. 29. 선고 88다카17181 판결</v>
      </c>
    </row>
    <row r="19" spans="2:14" ht="14.45" customHeight="1" x14ac:dyDescent="0.2">
      <c r="B19" s="80" t="s">
        <v>2538</v>
      </c>
      <c r="C19" s="64" t="s">
        <v>2521</v>
      </c>
      <c r="D19" s="238" t="s">
        <v>3475</v>
      </c>
      <c r="E19" s="239" t="s">
        <v>7</v>
      </c>
      <c r="F19" s="240" t="s">
        <v>71</v>
      </c>
      <c r="G19" s="241" t="s">
        <v>89</v>
      </c>
      <c r="H19" s="242" t="s">
        <v>2227</v>
      </c>
      <c r="I19" s="243">
        <v>2021</v>
      </c>
      <c r="J19" s="244"/>
      <c r="K19" s="245"/>
      <c r="L19" s="265" t="s">
        <v>2595</v>
      </c>
      <c r="M19" s="246"/>
      <c r="N19" s="265" t="str">
        <f>B19&amp;"-"&amp;C19&amp;"-"&amp;D19&amp;"-"&amp;IF(E19="요약",1,IF(E19="기출",2,IF(E19="예상",3,IF(E19="판례",4,5))))&amp;F19</f>
        <v>제1편 총설-제02장 민사소송법-제01절 민사소송법의 의의와 성격-1총설-민사소송법</v>
      </c>
    </row>
    <row r="20" spans="2:14" ht="14.45" customHeight="1" thickBot="1" x14ac:dyDescent="0.25">
      <c r="B20" s="81" t="s">
        <v>2538</v>
      </c>
      <c r="C20" s="173" t="s">
        <v>2520</v>
      </c>
      <c r="D20" s="33" t="s">
        <v>3477</v>
      </c>
      <c r="E20" s="251" t="s">
        <v>7</v>
      </c>
      <c r="F20" s="252" t="s">
        <v>71</v>
      </c>
      <c r="G20" s="253" t="s">
        <v>90</v>
      </c>
      <c r="H20" s="254" t="s">
        <v>2228</v>
      </c>
      <c r="I20" s="255">
        <v>1815</v>
      </c>
      <c r="J20" s="256"/>
      <c r="K20" s="257"/>
      <c r="L20" s="266" t="s">
        <v>2595</v>
      </c>
      <c r="M20" s="258"/>
      <c r="N20" s="266" t="str">
        <f>B20&amp;"-"&amp;C20&amp;"-"&amp;D20&amp;"-"&amp;IF(E20="요약",1,IF(E20="기출",2,IF(E20="예상",3,IF(E20="판례",4,5))))&amp;F20</f>
        <v>제1편 총설-제02장 민사소송법-제02절 민사소송법규의 종류-1총설-민사소송법</v>
      </c>
    </row>
    <row r="21" spans="2:14" ht="14.45" customHeight="1" x14ac:dyDescent="0.2">
      <c r="B21" s="61" t="s">
        <v>2601</v>
      </c>
      <c r="C21" s="64" t="s">
        <v>2523</v>
      </c>
      <c r="D21" s="238" t="s">
        <v>3479</v>
      </c>
      <c r="E21" s="239" t="s">
        <v>7</v>
      </c>
      <c r="F21" s="240" t="s">
        <v>72</v>
      </c>
      <c r="G21" s="241" t="s">
        <v>91</v>
      </c>
      <c r="H21" s="242" t="s">
        <v>2229</v>
      </c>
      <c r="I21" s="243">
        <v>2015</v>
      </c>
      <c r="J21" s="244"/>
      <c r="K21" s="245"/>
      <c r="L21" s="265" t="s">
        <v>2595</v>
      </c>
      <c r="M21" s="246"/>
      <c r="N21" s="265" t="str">
        <f>B21&amp;"-"&amp;C21&amp;"-"&amp;D21&amp;"-"&amp;IF(E21="요약",1,IF(E21="기출",2,IF(E21="예상",3,IF(E21="판례",4,5))))&amp;F21</f>
        <v>제2편 소송의 주체-제03장 법원-제01절 민사재판권-1소송의 주체-법원</v>
      </c>
    </row>
    <row r="22" spans="2:14" ht="14.45" customHeight="1" x14ac:dyDescent="0.2">
      <c r="B22" s="80" t="s">
        <v>2539</v>
      </c>
      <c r="C22" s="86" t="s">
        <v>2522</v>
      </c>
      <c r="D22" s="83" t="s">
        <v>1347</v>
      </c>
      <c r="E22" s="144" t="s">
        <v>7</v>
      </c>
      <c r="F22" s="145" t="s">
        <v>72</v>
      </c>
      <c r="G22" s="146" t="s">
        <v>92</v>
      </c>
      <c r="H22" s="147" t="s">
        <v>2230</v>
      </c>
      <c r="I22" s="148">
        <v>1927</v>
      </c>
      <c r="J22" s="212"/>
      <c r="K22" s="213"/>
      <c r="L22" s="262" t="s">
        <v>2595</v>
      </c>
      <c r="M22" s="169"/>
      <c r="N22" s="262" t="str">
        <f>B22&amp;"-"&amp;C22&amp;"-"&amp;D22&amp;"-"&amp;IF(E22="요약",1,IF(E22="기출",2,IF(E22="예상",3,IF(E22="판례",4,5))))&amp;F22</f>
        <v>제2편 소송의 주체-제03장 법원-제02절 법관의 제척・기피・회피-1소송의 주체-법원</v>
      </c>
    </row>
    <row r="23" spans="2:14" ht="14.45" customHeight="1" x14ac:dyDescent="0.2">
      <c r="B23" s="80" t="s">
        <v>2539</v>
      </c>
      <c r="C23" s="86" t="s">
        <v>2522</v>
      </c>
      <c r="D23" s="91" t="s">
        <v>1347</v>
      </c>
      <c r="E23" s="149" t="s">
        <v>2426</v>
      </c>
      <c r="F23" s="150" t="s">
        <v>3544</v>
      </c>
      <c r="G23" s="151" t="s">
        <v>2295</v>
      </c>
      <c r="H23" s="152" t="s">
        <v>2296</v>
      </c>
      <c r="I23" s="153">
        <v>1746</v>
      </c>
      <c r="J23" s="214"/>
      <c r="K23" s="215"/>
      <c r="L23" s="263" t="s">
        <v>2595</v>
      </c>
      <c r="M23" s="154"/>
      <c r="N23" s="263" t="str">
        <f>B23&amp;"-"&amp;C23&amp;"-"&amp;D23&amp;"-"&amp;IF(E23="요약",1,IF(E23="기출",2,IF(E23="예상",3,IF(E23="판례",4,5))))&amp;F23</f>
        <v>제2편 소송의 주체-제03장 법원-제02절 법관의 제척・기피・회피-33.02-1</v>
      </c>
    </row>
    <row r="24" spans="2:14" ht="14.45" customHeight="1" x14ac:dyDescent="0.2">
      <c r="B24" s="80" t="s">
        <v>2539</v>
      </c>
      <c r="C24" s="86" t="s">
        <v>2522</v>
      </c>
      <c r="D24" s="91" t="s">
        <v>1347</v>
      </c>
      <c r="E24" s="149" t="s">
        <v>2426</v>
      </c>
      <c r="F24" s="150" t="s">
        <v>3545</v>
      </c>
      <c r="G24" s="151" t="s">
        <v>205</v>
      </c>
      <c r="H24" s="152" t="s">
        <v>2165</v>
      </c>
      <c r="I24" s="153">
        <v>1891</v>
      </c>
      <c r="J24" s="214"/>
      <c r="K24" s="215"/>
      <c r="L24" s="263" t="s">
        <v>2595</v>
      </c>
      <c r="M24" s="154"/>
      <c r="N24" s="263" t="str">
        <f>B24&amp;"-"&amp;C24&amp;"-"&amp;D24&amp;"-"&amp;IF(E24="요약",1,IF(E24="기출",2,IF(E24="예상",3,IF(E24="판례",4,5))))&amp;F24</f>
        <v>제2편 소송의 주체-제03장 법원-제02절 법관의 제척・기피・회피-33.02-2</v>
      </c>
    </row>
    <row r="25" spans="2:14" ht="14.45" customHeight="1" x14ac:dyDescent="0.2">
      <c r="B25" s="80" t="s">
        <v>2539</v>
      </c>
      <c r="C25" s="86" t="s">
        <v>2522</v>
      </c>
      <c r="D25" s="91" t="s">
        <v>1347</v>
      </c>
      <c r="E25" s="149" t="s">
        <v>2426</v>
      </c>
      <c r="F25" s="150" t="s">
        <v>3546</v>
      </c>
      <c r="G25" s="151" t="s">
        <v>206</v>
      </c>
      <c r="H25" s="152" t="s">
        <v>2166</v>
      </c>
      <c r="I25" s="153">
        <v>1611</v>
      </c>
      <c r="J25" s="214"/>
      <c r="K25" s="215"/>
      <c r="L25" s="263" t="s">
        <v>2594</v>
      </c>
      <c r="M25" s="154"/>
      <c r="N25" s="263" t="str">
        <f>B25&amp;"-"&amp;C25&amp;"-"&amp;D25&amp;"-"&amp;IF(E25="요약",1,IF(E25="기출",2,IF(E25="예상",3,IF(E25="판례",4,5))))&amp;F25</f>
        <v>제2편 소송의 주체-제03장 법원-제02절 법관의 제척・기피・회피-33.02-3</v>
      </c>
    </row>
    <row r="26" spans="2:14" ht="14.45" customHeight="1" x14ac:dyDescent="0.2">
      <c r="B26" s="80" t="s">
        <v>2539</v>
      </c>
      <c r="C26" s="86" t="s">
        <v>2522</v>
      </c>
      <c r="D26" s="91" t="s">
        <v>1347</v>
      </c>
      <c r="E26" s="149" t="s">
        <v>2426</v>
      </c>
      <c r="F26" s="150" t="s">
        <v>3543</v>
      </c>
      <c r="G26" s="151" t="s">
        <v>3572</v>
      </c>
      <c r="H26" s="152" t="s">
        <v>3581</v>
      </c>
      <c r="I26" s="153">
        <v>1679</v>
      </c>
      <c r="J26" s="214"/>
      <c r="K26" s="215">
        <v>46211</v>
      </c>
      <c r="L26" s="263" t="s">
        <v>2593</v>
      </c>
      <c r="M26" s="154" t="s">
        <v>3518</v>
      </c>
      <c r="N26" s="263" t="str">
        <f>B26&amp;"-"&amp;C26&amp;"-"&amp;D26&amp;"-"&amp;IF(E26="요약",1,IF(E26="기출",2,IF(E26="예상",3,IF(E26="판례",4,5))))&amp;F26</f>
        <v>제2편 소송의 주체-제03장 법원-제02절 법관의 제척・기피・회피-33.02-4</v>
      </c>
    </row>
    <row r="27" spans="2:14" ht="14.45" customHeight="1" x14ac:dyDescent="0.2">
      <c r="B27" s="80" t="s">
        <v>2539</v>
      </c>
      <c r="C27" s="86" t="s">
        <v>2522</v>
      </c>
      <c r="D27" s="91" t="s">
        <v>1347</v>
      </c>
      <c r="E27" s="149" t="s">
        <v>1553</v>
      </c>
      <c r="F27" s="150" t="s">
        <v>3660</v>
      </c>
      <c r="G27" s="151" t="s">
        <v>3013</v>
      </c>
      <c r="H27" s="152" t="s">
        <v>2617</v>
      </c>
      <c r="I27" s="153">
        <v>730</v>
      </c>
      <c r="J27" s="214"/>
      <c r="K27" s="215"/>
      <c r="L27" s="263" t="s">
        <v>2595</v>
      </c>
      <c r="M27" s="154"/>
      <c r="N27" s="263" t="str">
        <f>B27&amp;"-"&amp;C27&amp;"-"&amp;D27&amp;"-"&amp;IF(E27="요약",1,IF(E27="기출",2,IF(E27="예상",3,IF(E27="판례",4,5))))&amp;F27</f>
        <v>제2편 소송의 주체-제03장 법원-제02절 법관의 제척・기피・회피-4013.대법원 2010. 5. 13. 선고 2009다102254 판결</v>
      </c>
    </row>
    <row r="28" spans="2:14" ht="14.45" customHeight="1" x14ac:dyDescent="0.2">
      <c r="B28" s="80" t="s">
        <v>2539</v>
      </c>
      <c r="C28" s="86" t="s">
        <v>2522</v>
      </c>
      <c r="D28" s="91" t="s">
        <v>1347</v>
      </c>
      <c r="E28" s="149" t="s">
        <v>1553</v>
      </c>
      <c r="F28" s="150" t="s">
        <v>3657</v>
      </c>
      <c r="G28" s="151" t="s">
        <v>3014</v>
      </c>
      <c r="H28" s="152" t="s">
        <v>2618</v>
      </c>
      <c r="I28" s="153">
        <v>221</v>
      </c>
      <c r="J28" s="214"/>
      <c r="K28" s="215"/>
      <c r="L28" s="263" t="s">
        <v>2595</v>
      </c>
      <c r="M28" s="154"/>
      <c r="N28" s="263" t="str">
        <f>B28&amp;"-"&amp;C28&amp;"-"&amp;D28&amp;"-"&amp;IF(E28="요약",1,IF(E28="기출",2,IF(E28="예상",3,IF(E28="판례",4,5))))&amp;F28</f>
        <v>제2편 소송의 주체-제03장 법원-제02절 법관의 제척・기피・회피-4014.대법원 1997. 6. 13. 선고 96다56115 판결</v>
      </c>
    </row>
    <row r="29" spans="2:14" ht="14.45" customHeight="1" x14ac:dyDescent="0.2">
      <c r="B29" s="80" t="s">
        <v>2539</v>
      </c>
      <c r="C29" s="86" t="s">
        <v>2522</v>
      </c>
      <c r="D29" s="91" t="s">
        <v>1347</v>
      </c>
      <c r="E29" s="149" t="s">
        <v>1553</v>
      </c>
      <c r="F29" s="150" t="s">
        <v>3656</v>
      </c>
      <c r="G29" s="151" t="s">
        <v>3015</v>
      </c>
      <c r="H29" s="152" t="s">
        <v>2619</v>
      </c>
      <c r="I29" s="153">
        <v>261</v>
      </c>
      <c r="J29" s="214"/>
      <c r="K29" s="215"/>
      <c r="L29" s="263" t="s">
        <v>2595</v>
      </c>
      <c r="M29" s="154"/>
      <c r="N29" s="263" t="str">
        <f>B29&amp;"-"&amp;C29&amp;"-"&amp;D29&amp;"-"&amp;IF(E29="요약",1,IF(E29="기출",2,IF(E29="예상",3,IF(E29="판례",4,5))))&amp;F29</f>
        <v>제2편 소송의 주체-제03장 법원-제02절 법관의 제척・기피・회피-4015.대법원 1988. 5. 10. 선고 87다카1979 판결</v>
      </c>
    </row>
    <row r="30" spans="2:14" ht="14.45" customHeight="1" x14ac:dyDescent="0.2">
      <c r="B30" s="80" t="s">
        <v>2539</v>
      </c>
      <c r="C30" s="86" t="s">
        <v>2522</v>
      </c>
      <c r="D30" s="91" t="s">
        <v>1347</v>
      </c>
      <c r="E30" s="149" t="s">
        <v>1553</v>
      </c>
      <c r="F30" s="150" t="s">
        <v>3661</v>
      </c>
      <c r="G30" s="151" t="s">
        <v>3016</v>
      </c>
      <c r="H30" s="152" t="s">
        <v>2620</v>
      </c>
      <c r="I30" s="153">
        <v>645</v>
      </c>
      <c r="J30" s="214"/>
      <c r="K30" s="215"/>
      <c r="L30" s="263" t="s">
        <v>2593</v>
      </c>
      <c r="M30" s="154"/>
      <c r="N30" s="263" t="str">
        <f>B30&amp;"-"&amp;C30&amp;"-"&amp;D30&amp;"-"&amp;IF(E30="요약",1,IF(E30="기출",2,IF(E30="예상",3,IF(E30="판례",4,5))))&amp;F30</f>
        <v>제2편 소송의 주체-제03장 법원-제02절 법관의 제척・기피・회피-4016.대법원 2019. 1. 4.자 2018스563 결정</v>
      </c>
    </row>
    <row r="31" spans="2:14" ht="14.45" customHeight="1" x14ac:dyDescent="0.2">
      <c r="B31" s="80" t="s">
        <v>2539</v>
      </c>
      <c r="C31" s="86" t="s">
        <v>2522</v>
      </c>
      <c r="D31" s="91" t="s">
        <v>1347</v>
      </c>
      <c r="E31" s="149" t="s">
        <v>1553</v>
      </c>
      <c r="F31" s="150" t="s">
        <v>3658</v>
      </c>
      <c r="G31" s="151" t="s">
        <v>3017</v>
      </c>
      <c r="H31" s="152" t="s">
        <v>2621</v>
      </c>
      <c r="I31" s="153">
        <v>239</v>
      </c>
      <c r="J31" s="214"/>
      <c r="K31" s="215"/>
      <c r="L31" s="263" t="s">
        <v>2595</v>
      </c>
      <c r="M31" s="154" t="s">
        <v>3517</v>
      </c>
      <c r="N31" s="263" t="str">
        <f>B31&amp;"-"&amp;C31&amp;"-"&amp;D31&amp;"-"&amp;IF(E31="요약",1,IF(E31="기출",2,IF(E31="예상",3,IF(E31="판례",4,5))))&amp;F31</f>
        <v>제2편 소송의 주체-제03장 법원-제02절 법관의 제척・기피・회피-4017.대법원 2008. 5. 2.자 2008마427 결정</v>
      </c>
    </row>
    <row r="32" spans="2:14" ht="14.45" customHeight="1" x14ac:dyDescent="0.2">
      <c r="B32" s="80" t="s">
        <v>2539</v>
      </c>
      <c r="C32" s="86" t="s">
        <v>2522</v>
      </c>
      <c r="D32" s="90" t="s">
        <v>1347</v>
      </c>
      <c r="E32" s="222" t="s">
        <v>1553</v>
      </c>
      <c r="F32" s="223" t="s">
        <v>3659</v>
      </c>
      <c r="G32" s="224" t="s">
        <v>3018</v>
      </c>
      <c r="H32" s="225" t="s">
        <v>2622</v>
      </c>
      <c r="I32" s="226">
        <v>368</v>
      </c>
      <c r="J32" s="227"/>
      <c r="K32" s="228"/>
      <c r="L32" s="260" t="s">
        <v>2595</v>
      </c>
      <c r="M32" s="229"/>
      <c r="N32" s="260" t="str">
        <f>B32&amp;"-"&amp;C32&amp;"-"&amp;D32&amp;"-"&amp;IF(E32="요약",1,IF(E32="기출",2,IF(E32="예상",3,IF(E32="판례",4,5))))&amp;F32</f>
        <v>제2편 소송의 주체-제03장 법원-제02절 법관의 제척・기피・회피-4018.대법원 2010. 2. 11. 선고 2009다78467,78474 판결</v>
      </c>
    </row>
    <row r="33" spans="2:14" ht="14.45" customHeight="1" x14ac:dyDescent="0.2">
      <c r="B33" s="80" t="s">
        <v>2539</v>
      </c>
      <c r="C33" s="86" t="s">
        <v>2522</v>
      </c>
      <c r="D33" s="83" t="s">
        <v>3416</v>
      </c>
      <c r="E33" s="144" t="s">
        <v>7</v>
      </c>
      <c r="F33" s="145" t="s">
        <v>72</v>
      </c>
      <c r="G33" s="146" t="s">
        <v>93</v>
      </c>
      <c r="H33" s="147" t="s">
        <v>2231</v>
      </c>
      <c r="I33" s="148">
        <v>5962</v>
      </c>
      <c r="J33" s="212"/>
      <c r="K33" s="213"/>
      <c r="L33" s="262" t="s">
        <v>2595</v>
      </c>
      <c r="M33" s="169"/>
      <c r="N33" s="262" t="str">
        <f>B33&amp;"-"&amp;C33&amp;"-"&amp;D33&amp;"-"&amp;IF(E33="요약",1,IF(E33="기출",2,IF(E33="예상",3,IF(E33="판례",4,5))))&amp;F33</f>
        <v>제2편 소송의 주체-제03장 법원-제03절 관할-1소송의 주체-법원</v>
      </c>
    </row>
    <row r="34" spans="2:14" ht="14.45" customHeight="1" x14ac:dyDescent="0.2">
      <c r="B34" s="80" t="s">
        <v>2539</v>
      </c>
      <c r="C34" s="86" t="s">
        <v>2522</v>
      </c>
      <c r="D34" s="91" t="s">
        <v>3416</v>
      </c>
      <c r="E34" s="149" t="s">
        <v>2425</v>
      </c>
      <c r="F34" s="150" t="s">
        <v>148</v>
      </c>
      <c r="G34" s="151" t="s">
        <v>2431</v>
      </c>
      <c r="H34" s="152" t="s">
        <v>2432</v>
      </c>
      <c r="I34" s="153">
        <v>1502</v>
      </c>
      <c r="J34" s="214"/>
      <c r="K34" s="215">
        <v>46206</v>
      </c>
      <c r="L34" s="263" t="s">
        <v>2595</v>
      </c>
      <c r="M34" s="154" t="s">
        <v>3518</v>
      </c>
      <c r="N34" s="263" t="str">
        <f>B34&amp;"-"&amp;C34&amp;"-"&amp;D34&amp;"-"&amp;IF(E34="요약",1,IF(E34="기출",2,IF(E34="예상",3,IF(E34="판례",4,5))))&amp;F34</f>
        <v>제2편 소송의 주체-제03장 법원-제03절 관할-22015-2</v>
      </c>
    </row>
    <row r="35" spans="2:14" ht="14.45" customHeight="1" x14ac:dyDescent="0.2">
      <c r="B35" s="80" t="s">
        <v>2539</v>
      </c>
      <c r="C35" s="86" t="s">
        <v>2522</v>
      </c>
      <c r="D35" s="91" t="s">
        <v>3416</v>
      </c>
      <c r="E35" s="149" t="s">
        <v>2425</v>
      </c>
      <c r="F35" s="150" t="s">
        <v>2307</v>
      </c>
      <c r="G35" s="151" t="s">
        <v>2427</v>
      </c>
      <c r="H35" s="152" t="s">
        <v>2428</v>
      </c>
      <c r="I35" s="153">
        <v>1540</v>
      </c>
      <c r="J35" s="214"/>
      <c r="K35" s="215">
        <v>46206</v>
      </c>
      <c r="L35" s="263" t="s">
        <v>2595</v>
      </c>
      <c r="M35" s="154" t="s">
        <v>3518</v>
      </c>
      <c r="N35" s="263" t="str">
        <f>B35&amp;"-"&amp;C35&amp;"-"&amp;D35&amp;"-"&amp;IF(E35="요약",1,IF(E35="기출",2,IF(E35="예상",3,IF(E35="판례",4,5))))&amp;F35</f>
        <v>제2편 소송의 주체-제03장 법원-제03절 관할-22019-2</v>
      </c>
    </row>
    <row r="36" spans="2:14" ht="14.45" customHeight="1" x14ac:dyDescent="0.2">
      <c r="B36" s="80" t="s">
        <v>2539</v>
      </c>
      <c r="C36" s="86" t="s">
        <v>2522</v>
      </c>
      <c r="D36" s="91" t="s">
        <v>3416</v>
      </c>
      <c r="E36" s="149" t="s">
        <v>2425</v>
      </c>
      <c r="F36" s="150" t="s">
        <v>147</v>
      </c>
      <c r="G36" s="151" t="s">
        <v>146</v>
      </c>
      <c r="H36" s="152" t="s">
        <v>2167</v>
      </c>
      <c r="I36" s="153">
        <v>1851</v>
      </c>
      <c r="J36" s="214"/>
      <c r="K36" s="215">
        <v>46206</v>
      </c>
      <c r="L36" s="263" t="s">
        <v>2595</v>
      </c>
      <c r="M36" s="154"/>
      <c r="N36" s="263" t="str">
        <f>B36&amp;"-"&amp;C36&amp;"-"&amp;D36&amp;"-"&amp;IF(E36="요약",1,IF(E36="기출",2,IF(E36="예상",3,IF(E36="판례",4,5))))&amp;F36</f>
        <v>제2편 소송의 주체-제03장 법원-제03절 관할-22020-1-1</v>
      </c>
    </row>
    <row r="37" spans="2:14" ht="14.45" customHeight="1" x14ac:dyDescent="0.2">
      <c r="B37" s="80" t="s">
        <v>2539</v>
      </c>
      <c r="C37" s="86" t="s">
        <v>2522</v>
      </c>
      <c r="D37" s="91" t="s">
        <v>3416</v>
      </c>
      <c r="E37" s="149" t="s">
        <v>1553</v>
      </c>
      <c r="F37" s="150" t="s">
        <v>3667</v>
      </c>
      <c r="G37" s="151" t="s">
        <v>3010</v>
      </c>
      <c r="H37" s="152" t="s">
        <v>2614</v>
      </c>
      <c r="I37" s="153">
        <v>306</v>
      </c>
      <c r="J37" s="214"/>
      <c r="K37" s="215"/>
      <c r="L37" s="263" t="s">
        <v>2594</v>
      </c>
      <c r="M37" s="154"/>
      <c r="N37" s="263" t="str">
        <f>B37&amp;"-"&amp;C37&amp;"-"&amp;D37&amp;"-"&amp;IF(E37="요약",1,IF(E37="기출",2,IF(E37="예상",3,IF(E37="판례",4,5))))&amp;F37</f>
        <v>제2편 소송의 주체-제03장 법원-제03절 관할-4010.대법원 1998. 12. 17. 선고 97다39216 전원합의체 판결</v>
      </c>
    </row>
    <row r="38" spans="2:14" ht="14.45" customHeight="1" x14ac:dyDescent="0.2">
      <c r="B38" s="80" t="s">
        <v>2539</v>
      </c>
      <c r="C38" s="86" t="s">
        <v>2522</v>
      </c>
      <c r="D38" s="91" t="s">
        <v>3416</v>
      </c>
      <c r="E38" s="149" t="s">
        <v>1553</v>
      </c>
      <c r="F38" s="150" t="s">
        <v>3670</v>
      </c>
      <c r="G38" s="151" t="s">
        <v>3011</v>
      </c>
      <c r="H38" s="152" t="s">
        <v>2615</v>
      </c>
      <c r="I38" s="153">
        <v>385</v>
      </c>
      <c r="J38" s="214"/>
      <c r="K38" s="215"/>
      <c r="L38" s="263" t="s">
        <v>2594</v>
      </c>
      <c r="M38" s="154"/>
      <c r="N38" s="263" t="str">
        <f>B38&amp;"-"&amp;C38&amp;"-"&amp;D38&amp;"-"&amp;IF(E38="요약",1,IF(E38="기출",2,IF(E38="예상",3,IF(E38="판례",4,5))))&amp;F38</f>
        <v>제2편 소송의 주체-제03장 법원-제03절 관할-4011.대법원 2005. 1. 27. 선고 2002다59788 판결</v>
      </c>
    </row>
    <row r="39" spans="2:14" ht="14.45" customHeight="1" x14ac:dyDescent="0.2">
      <c r="B39" s="80" t="s">
        <v>2539</v>
      </c>
      <c r="C39" s="86" t="s">
        <v>2522</v>
      </c>
      <c r="D39" s="91" t="s">
        <v>3416</v>
      </c>
      <c r="E39" s="149" t="s">
        <v>1553</v>
      </c>
      <c r="F39" s="150" t="s">
        <v>3672</v>
      </c>
      <c r="G39" s="151" t="s">
        <v>3012</v>
      </c>
      <c r="H39" s="152" t="s">
        <v>2616</v>
      </c>
      <c r="I39" s="153">
        <v>555</v>
      </c>
      <c r="J39" s="214"/>
      <c r="K39" s="215"/>
      <c r="L39" s="263" t="s">
        <v>2594</v>
      </c>
      <c r="M39" s="154"/>
      <c r="N39" s="263" t="str">
        <f>B39&amp;"-"&amp;C39&amp;"-"&amp;D39&amp;"-"&amp;IF(E39="요약",1,IF(E39="기출",2,IF(E39="예상",3,IF(E39="판례",4,5))))&amp;F39</f>
        <v>제2편 소송의 주체-제03장 법원-제03절 관할-4012.대법원 2008. 5. 29. 선고 2006다71908 판결</v>
      </c>
    </row>
    <row r="40" spans="2:14" ht="14.45" customHeight="1" x14ac:dyDescent="0.2">
      <c r="B40" s="80" t="s">
        <v>2539</v>
      </c>
      <c r="C40" s="86" t="s">
        <v>2522</v>
      </c>
      <c r="D40" s="91" t="s">
        <v>3416</v>
      </c>
      <c r="E40" s="149" t="s">
        <v>1553</v>
      </c>
      <c r="F40" s="150" t="s">
        <v>3668</v>
      </c>
      <c r="G40" s="151" t="s">
        <v>3019</v>
      </c>
      <c r="H40" s="152" t="s">
        <v>2623</v>
      </c>
      <c r="I40" s="153">
        <v>524</v>
      </c>
      <c r="J40" s="214"/>
      <c r="K40" s="215"/>
      <c r="L40" s="263" t="s">
        <v>2595</v>
      </c>
      <c r="M40" s="154" t="s">
        <v>3408</v>
      </c>
      <c r="N40" s="263" t="str">
        <f>B40&amp;"-"&amp;C40&amp;"-"&amp;D40&amp;"-"&amp;IF(E40="요약",1,IF(E40="기출",2,IF(E40="예상",3,IF(E40="판례",4,5))))&amp;F40</f>
        <v>제2편 소송의 주체-제03장 법원-제03절 관할-4019.대법원 1998. 7. 27.자 98마938 결정</v>
      </c>
    </row>
    <row r="41" spans="2:14" ht="14.45" customHeight="1" x14ac:dyDescent="0.2">
      <c r="B41" s="80" t="s">
        <v>2539</v>
      </c>
      <c r="C41" s="86" t="s">
        <v>2522</v>
      </c>
      <c r="D41" s="91" t="s">
        <v>3416</v>
      </c>
      <c r="E41" s="149" t="s">
        <v>1553</v>
      </c>
      <c r="F41" s="150" t="s">
        <v>3669</v>
      </c>
      <c r="G41" s="151" t="s">
        <v>3020</v>
      </c>
      <c r="H41" s="152" t="s">
        <v>2624</v>
      </c>
      <c r="I41" s="153">
        <v>512</v>
      </c>
      <c r="J41" s="214"/>
      <c r="K41" s="215"/>
      <c r="L41" s="263" t="s">
        <v>2593</v>
      </c>
      <c r="M41" s="154"/>
      <c r="N41" s="263" t="str">
        <f>B41&amp;"-"&amp;C41&amp;"-"&amp;D41&amp;"-"&amp;IF(E41="요약",1,IF(E41="기출",2,IF(E41="예상",3,IF(E41="판례",4,5))))&amp;F41</f>
        <v>제2편 소송의 주체-제03장 법원-제03절 관할-4020.대법원 2002. 5. 10.자 2002마1156 결정</v>
      </c>
    </row>
    <row r="42" spans="2:14" ht="14.45" customHeight="1" x14ac:dyDescent="0.2">
      <c r="B42" s="80" t="s">
        <v>2539</v>
      </c>
      <c r="C42" s="86" t="s">
        <v>2522</v>
      </c>
      <c r="D42" s="91" t="s">
        <v>3416</v>
      </c>
      <c r="E42" s="149" t="s">
        <v>1553</v>
      </c>
      <c r="F42" s="150" t="s">
        <v>3662</v>
      </c>
      <c r="G42" s="151" t="s">
        <v>3021</v>
      </c>
      <c r="H42" s="152" t="s">
        <v>2625</v>
      </c>
      <c r="I42" s="153">
        <v>250</v>
      </c>
      <c r="J42" s="214"/>
      <c r="K42" s="215"/>
      <c r="L42" s="263" t="s">
        <v>2593</v>
      </c>
      <c r="M42" s="154"/>
      <c r="N42" s="263" t="str">
        <f>B42&amp;"-"&amp;C42&amp;"-"&amp;D42&amp;"-"&amp;IF(E42="요약",1,IF(E42="기출",2,IF(E42="예상",3,IF(E42="판례",4,5))))&amp;F42</f>
        <v>제2편 소송의 주체-제03장 법원-제03절 관할-4021.대법원 1977. 11. 9.자 77마284 결정</v>
      </c>
    </row>
    <row r="43" spans="2:14" ht="14.45" customHeight="1" x14ac:dyDescent="0.2">
      <c r="B43" s="80" t="s">
        <v>2539</v>
      </c>
      <c r="C43" s="86" t="s">
        <v>2522</v>
      </c>
      <c r="D43" s="91" t="s">
        <v>3416</v>
      </c>
      <c r="E43" s="149" t="s">
        <v>1553</v>
      </c>
      <c r="F43" s="150" t="s">
        <v>3665</v>
      </c>
      <c r="G43" s="151" t="s">
        <v>3022</v>
      </c>
      <c r="H43" s="152" t="s">
        <v>2626</v>
      </c>
      <c r="I43" s="153">
        <v>246</v>
      </c>
      <c r="J43" s="214"/>
      <c r="K43" s="215"/>
      <c r="L43" s="263" t="s">
        <v>2593</v>
      </c>
      <c r="M43" s="154"/>
      <c r="N43" s="263" t="str">
        <f>B43&amp;"-"&amp;C43&amp;"-"&amp;D43&amp;"-"&amp;IF(E43="요약",1,IF(E43="기출",2,IF(E43="예상",3,IF(E43="판례",4,5))))&amp;F43</f>
        <v>제2편 소송의 주체-제03장 법원-제03절 관할-4022.대법원 1994. 5. 26.자 94마536 결정</v>
      </c>
    </row>
    <row r="44" spans="2:14" ht="14.45" customHeight="1" x14ac:dyDescent="0.2">
      <c r="B44" s="80" t="s">
        <v>2539</v>
      </c>
      <c r="C44" s="86" t="s">
        <v>2522</v>
      </c>
      <c r="D44" s="91" t="s">
        <v>3416</v>
      </c>
      <c r="E44" s="149" t="s">
        <v>1553</v>
      </c>
      <c r="F44" s="150" t="s">
        <v>3671</v>
      </c>
      <c r="G44" s="151" t="s">
        <v>3023</v>
      </c>
      <c r="H44" s="152" t="s">
        <v>2627</v>
      </c>
      <c r="I44" s="153">
        <v>300</v>
      </c>
      <c r="J44" s="214"/>
      <c r="K44" s="215"/>
      <c r="L44" s="263" t="s">
        <v>2593</v>
      </c>
      <c r="M44" s="154"/>
      <c r="N44" s="263" t="str">
        <f>B44&amp;"-"&amp;C44&amp;"-"&amp;D44&amp;"-"&amp;IF(E44="요약",1,IF(E44="기출",2,IF(E44="예상",3,IF(E44="판례",4,5))))&amp;F44</f>
        <v>제2편 소송의 주체-제03장 법원-제03절 관할-4023.대법원 2006. 3. 2.자 2005마902 결정</v>
      </c>
    </row>
    <row r="45" spans="2:14" ht="14.45" customHeight="1" x14ac:dyDescent="0.2">
      <c r="B45" s="80" t="s">
        <v>2539</v>
      </c>
      <c r="C45" s="86" t="s">
        <v>2522</v>
      </c>
      <c r="D45" s="91" t="s">
        <v>3416</v>
      </c>
      <c r="E45" s="149" t="s">
        <v>1553</v>
      </c>
      <c r="F45" s="150" t="s">
        <v>3663</v>
      </c>
      <c r="G45" s="151" t="s">
        <v>3024</v>
      </c>
      <c r="H45" s="152" t="s">
        <v>2628</v>
      </c>
      <c r="I45" s="153">
        <v>184</v>
      </c>
      <c r="J45" s="214"/>
      <c r="K45" s="215"/>
      <c r="L45" s="263" t="s">
        <v>2593</v>
      </c>
      <c r="M45" s="154"/>
      <c r="N45" s="263" t="str">
        <f>B45&amp;"-"&amp;C45&amp;"-"&amp;D45&amp;"-"&amp;IF(E45="요약",1,IF(E45="기출",2,IF(E45="예상",3,IF(E45="판례",4,5))))&amp;F45</f>
        <v>제2편 소송의 주체-제03장 법원-제03절 관할-4024.대법원 1980. 9. 26.자 80마403 결정</v>
      </c>
    </row>
    <row r="46" spans="2:14" ht="14.45" customHeight="1" x14ac:dyDescent="0.2">
      <c r="B46" s="80" t="s">
        <v>2539</v>
      </c>
      <c r="C46" s="86" t="s">
        <v>2522</v>
      </c>
      <c r="D46" s="91" t="s">
        <v>3416</v>
      </c>
      <c r="E46" s="149" t="s">
        <v>1553</v>
      </c>
      <c r="F46" s="150" t="s">
        <v>3664</v>
      </c>
      <c r="G46" s="151" t="s">
        <v>3025</v>
      </c>
      <c r="H46" s="152" t="s">
        <v>2629</v>
      </c>
      <c r="I46" s="153">
        <v>318</v>
      </c>
      <c r="J46" s="214"/>
      <c r="K46" s="215"/>
      <c r="L46" s="263" t="s">
        <v>2595</v>
      </c>
      <c r="M46" s="154"/>
      <c r="N46" s="263" t="str">
        <f>B46&amp;"-"&amp;C46&amp;"-"&amp;D46&amp;"-"&amp;IF(E46="요약",1,IF(E46="기출",2,IF(E46="예상",3,IF(E46="판례",4,5))))&amp;F46</f>
        <v>제2편 소송의 주체-제03장 법원-제03절 관할-4025.대법원 1993. 12. 6.자 93마524 전원합의체 결정</v>
      </c>
    </row>
    <row r="47" spans="2:14" ht="14.45" customHeight="1" x14ac:dyDescent="0.2">
      <c r="B47" s="80" t="s">
        <v>2539</v>
      </c>
      <c r="C47" s="86" t="s">
        <v>2522</v>
      </c>
      <c r="D47" s="91" t="s">
        <v>3416</v>
      </c>
      <c r="E47" s="149" t="s">
        <v>1553</v>
      </c>
      <c r="F47" s="150" t="s">
        <v>3673</v>
      </c>
      <c r="G47" s="151" t="s">
        <v>3026</v>
      </c>
      <c r="H47" s="152" t="s">
        <v>2630</v>
      </c>
      <c r="I47" s="153">
        <v>288</v>
      </c>
      <c r="J47" s="214"/>
      <c r="K47" s="215"/>
      <c r="L47" s="263" t="s">
        <v>2595</v>
      </c>
      <c r="M47" s="154"/>
      <c r="N47" s="263" t="str">
        <f>B47&amp;"-"&amp;C47&amp;"-"&amp;D47&amp;"-"&amp;IF(E47="요약",1,IF(E47="기출",2,IF(E47="예상",3,IF(E47="판례",4,5))))&amp;F47</f>
        <v>제2편 소송의 주체-제03장 법원-제03절 관할-4026.대법원 2011. 7. 14.자 2011그65 결정</v>
      </c>
    </row>
    <row r="48" spans="2:14" ht="14.45" customHeight="1" thickBot="1" x14ac:dyDescent="0.25">
      <c r="B48" s="80" t="s">
        <v>2539</v>
      </c>
      <c r="C48" s="87" t="s">
        <v>2522</v>
      </c>
      <c r="D48" s="92" t="s">
        <v>3416</v>
      </c>
      <c r="E48" s="155" t="s">
        <v>1553</v>
      </c>
      <c r="F48" s="156" t="s">
        <v>3666</v>
      </c>
      <c r="G48" s="157" t="s">
        <v>3027</v>
      </c>
      <c r="H48" s="158" t="s">
        <v>2631</v>
      </c>
      <c r="I48" s="159">
        <v>541</v>
      </c>
      <c r="J48" s="221"/>
      <c r="K48" s="220"/>
      <c r="L48" s="264" t="s">
        <v>2595</v>
      </c>
      <c r="M48" s="171"/>
      <c r="N48" s="264" t="str">
        <f>B48&amp;"-"&amp;C48&amp;"-"&amp;D48&amp;"-"&amp;IF(E48="요약",1,IF(E48="기출",2,IF(E48="예상",3,IF(E48="판례",4,5))))&amp;F48</f>
        <v>제2편 소송의 주체-제03장 법원-제03절 관할-4027.대법원 1995. 5. 15.자 94마1059,1060 결정</v>
      </c>
    </row>
    <row r="49" spans="2:14" ht="14.45" customHeight="1" x14ac:dyDescent="0.2">
      <c r="B49" s="80" t="s">
        <v>2539</v>
      </c>
      <c r="C49" s="64" t="s">
        <v>2525</v>
      </c>
      <c r="D49" s="85" t="s">
        <v>3417</v>
      </c>
      <c r="E49" s="138" t="s">
        <v>7</v>
      </c>
      <c r="F49" s="139" t="s">
        <v>73</v>
      </c>
      <c r="G49" s="140" t="s">
        <v>1548</v>
      </c>
      <c r="H49" s="141" t="s">
        <v>2232</v>
      </c>
      <c r="I49" s="142">
        <v>3432</v>
      </c>
      <c r="J49" s="210"/>
      <c r="K49" s="211"/>
      <c r="L49" s="259" t="s">
        <v>2595</v>
      </c>
      <c r="M49" s="170"/>
      <c r="N49" s="259" t="str">
        <f>B49&amp;"-"&amp;C49&amp;"-"&amp;D49&amp;"-"&amp;IF(E49="요약",1,IF(E49="기출",2,IF(E49="예상",3,IF(E49="판례",4,5))))&amp;F49</f>
        <v>제2편 소송의 주체-제04장 당사자-제01절 당사자의 개관-1소송의 주체-당사자</v>
      </c>
    </row>
    <row r="50" spans="2:14" ht="14.45" customHeight="1" x14ac:dyDescent="0.2">
      <c r="B50" s="80" t="s">
        <v>2539</v>
      </c>
      <c r="C50" s="86" t="s">
        <v>2524</v>
      </c>
      <c r="D50" s="91" t="s">
        <v>3417</v>
      </c>
      <c r="E50" s="149" t="s">
        <v>2425</v>
      </c>
      <c r="F50" s="150" t="s">
        <v>2308</v>
      </c>
      <c r="G50" s="151" t="s">
        <v>149</v>
      </c>
      <c r="H50" s="152" t="s">
        <v>2168</v>
      </c>
      <c r="I50" s="153">
        <v>1665</v>
      </c>
      <c r="J50" s="214"/>
      <c r="K50" s="215">
        <v>46206</v>
      </c>
      <c r="L50" s="263" t="s">
        <v>2595</v>
      </c>
      <c r="M50" s="154"/>
      <c r="N50" s="263" t="str">
        <f>B50&amp;"-"&amp;C50&amp;"-"&amp;D50&amp;"-"&amp;IF(E50="요약",1,IF(E50="기출",2,IF(E50="예상",3,IF(E50="판례",4,5))))&amp;F50</f>
        <v>제2편 소송의 주체-제04장 당사자-제01절 당사자의 개관-22020-1-2</v>
      </c>
    </row>
    <row r="51" spans="2:14" ht="14.45" customHeight="1" x14ac:dyDescent="0.2">
      <c r="B51" s="80" t="s">
        <v>2539</v>
      </c>
      <c r="C51" s="86" t="s">
        <v>2524</v>
      </c>
      <c r="D51" s="91" t="s">
        <v>3417</v>
      </c>
      <c r="E51" s="149" t="s">
        <v>2426</v>
      </c>
      <c r="F51" s="150" t="s">
        <v>3550</v>
      </c>
      <c r="G51" s="151" t="s">
        <v>2380</v>
      </c>
      <c r="H51" s="152" t="s">
        <v>2304</v>
      </c>
      <c r="I51" s="153">
        <v>1755</v>
      </c>
      <c r="J51" s="214"/>
      <c r="K51" s="215"/>
      <c r="L51" s="263" t="s">
        <v>2593</v>
      </c>
      <c r="M51" s="154"/>
      <c r="N51" s="263" t="str">
        <f>B51&amp;"-"&amp;C51&amp;"-"&amp;D51&amp;"-"&amp;IF(E51="요약",1,IF(E51="기출",2,IF(E51="예상",3,IF(E51="판례",4,5))))&amp;F51</f>
        <v>제2편 소송의 주체-제04장 당사자-제01절 당사자의 개관-34.01-1</v>
      </c>
    </row>
    <row r="52" spans="2:14" ht="14.45" customHeight="1" x14ac:dyDescent="0.2">
      <c r="B52" s="80" t="s">
        <v>2539</v>
      </c>
      <c r="C52" s="86" t="s">
        <v>2524</v>
      </c>
      <c r="D52" s="91" t="s">
        <v>3417</v>
      </c>
      <c r="E52" s="149" t="s">
        <v>1553</v>
      </c>
      <c r="F52" s="150" t="s">
        <v>3675</v>
      </c>
      <c r="G52" s="151" t="s">
        <v>3028</v>
      </c>
      <c r="H52" s="152" t="s">
        <v>2632</v>
      </c>
      <c r="I52" s="153">
        <v>257</v>
      </c>
      <c r="J52" s="214"/>
      <c r="K52" s="215"/>
      <c r="L52" s="263" t="s">
        <v>2593</v>
      </c>
      <c r="M52" s="154"/>
      <c r="N52" s="263" t="str">
        <f>B52&amp;"-"&amp;C52&amp;"-"&amp;D52&amp;"-"&amp;IF(E52="요약",1,IF(E52="기출",2,IF(E52="예상",3,IF(E52="판례",4,5))))&amp;F52</f>
        <v>제2편 소송의 주체-제04장 당사자-제01절 당사자의 개관-4028.대법원 1986. 9. 23 선고 85누953 판결</v>
      </c>
    </row>
    <row r="53" spans="2:14" ht="14.45" customHeight="1" x14ac:dyDescent="0.2">
      <c r="B53" s="80" t="s">
        <v>2539</v>
      </c>
      <c r="C53" s="86" t="s">
        <v>2524</v>
      </c>
      <c r="D53" s="91" t="s">
        <v>3417</v>
      </c>
      <c r="E53" s="149" t="s">
        <v>1553</v>
      </c>
      <c r="F53" s="150" t="s">
        <v>3676</v>
      </c>
      <c r="G53" s="151" t="s">
        <v>3029</v>
      </c>
      <c r="H53" s="152" t="s">
        <v>2633</v>
      </c>
      <c r="I53" s="153">
        <v>237</v>
      </c>
      <c r="J53" s="214"/>
      <c r="K53" s="215"/>
      <c r="L53" s="263" t="s">
        <v>2593</v>
      </c>
      <c r="M53" s="154"/>
      <c r="N53" s="263" t="str">
        <f>B53&amp;"-"&amp;C53&amp;"-"&amp;D53&amp;"-"&amp;IF(E53="요약",1,IF(E53="기출",2,IF(E53="예상",3,IF(E53="판례",4,5))))&amp;F53</f>
        <v>제2편 소송의 주체-제04장 당사자-제01절 당사자의 개관-4029.대법원 2006. 7. 4.자 2005마425 결정</v>
      </c>
    </row>
    <row r="54" spans="2:14" ht="14.45" customHeight="1" x14ac:dyDescent="0.2">
      <c r="B54" s="80" t="s">
        <v>2539</v>
      </c>
      <c r="C54" s="86" t="s">
        <v>2524</v>
      </c>
      <c r="D54" s="91" t="s">
        <v>3417</v>
      </c>
      <c r="E54" s="149" t="s">
        <v>1553</v>
      </c>
      <c r="F54" s="150" t="s">
        <v>3677</v>
      </c>
      <c r="G54" s="151" t="s">
        <v>3030</v>
      </c>
      <c r="H54" s="152" t="s">
        <v>2634</v>
      </c>
      <c r="I54" s="153">
        <v>415</v>
      </c>
      <c r="J54" s="214"/>
      <c r="K54" s="215"/>
      <c r="L54" s="263" t="s">
        <v>2593</v>
      </c>
      <c r="M54" s="154"/>
      <c r="N54" s="263" t="str">
        <f>B54&amp;"-"&amp;C54&amp;"-"&amp;D54&amp;"-"&amp;IF(E54="요약",1,IF(E54="기출",2,IF(E54="예상",3,IF(E54="판례",4,5))))&amp;F54</f>
        <v>제2편 소송의 주체-제04장 당사자-제01절 당사자의 개관-4030.대법원 2011. 3. 10. 선고 2010다99040 판결</v>
      </c>
    </row>
    <row r="55" spans="2:14" ht="14.45" customHeight="1" x14ac:dyDescent="0.2">
      <c r="B55" s="80" t="s">
        <v>2539</v>
      </c>
      <c r="C55" s="86" t="s">
        <v>2524</v>
      </c>
      <c r="D55" s="90" t="s">
        <v>3417</v>
      </c>
      <c r="E55" s="222" t="s">
        <v>1553</v>
      </c>
      <c r="F55" s="223" t="s">
        <v>3674</v>
      </c>
      <c r="G55" s="224" t="s">
        <v>3031</v>
      </c>
      <c r="H55" s="225" t="s">
        <v>2635</v>
      </c>
      <c r="I55" s="226">
        <v>353</v>
      </c>
      <c r="J55" s="227"/>
      <c r="K55" s="228"/>
      <c r="L55" s="260" t="s">
        <v>2593</v>
      </c>
      <c r="M55" s="229"/>
      <c r="N55" s="260" t="str">
        <f>B55&amp;"-"&amp;C55&amp;"-"&amp;D55&amp;"-"&amp;IF(E55="요약",1,IF(E55="기출",2,IF(E55="예상",3,IF(E55="판례",4,5))))&amp;F55</f>
        <v>제2편 소송의 주체-제04장 당사자-제01절 당사자의 개관-4031.대법원 1964. 3. 31. 선고 63다656 판결</v>
      </c>
    </row>
    <row r="56" spans="2:14" ht="14.45" customHeight="1" x14ac:dyDescent="0.2">
      <c r="B56" s="80" t="s">
        <v>2539</v>
      </c>
      <c r="C56" s="86" t="s">
        <v>2524</v>
      </c>
      <c r="D56" s="83" t="s">
        <v>3415</v>
      </c>
      <c r="E56" s="144" t="s">
        <v>7</v>
      </c>
      <c r="F56" s="145" t="s">
        <v>73</v>
      </c>
      <c r="G56" s="146" t="s">
        <v>94</v>
      </c>
      <c r="H56" s="147" t="s">
        <v>2233</v>
      </c>
      <c r="I56" s="148">
        <v>3612</v>
      </c>
      <c r="J56" s="212"/>
      <c r="K56" s="213"/>
      <c r="L56" s="262" t="s">
        <v>2593</v>
      </c>
      <c r="M56" s="169"/>
      <c r="N56" s="262" t="str">
        <f>B56&amp;"-"&amp;C56&amp;"-"&amp;D56&amp;"-"&amp;IF(E56="요약",1,IF(E56="기출",2,IF(E56="예상",3,IF(E56="판례",4,5))))&amp;F56</f>
        <v>제2편 소송의 주체-제04장 당사자-제02절 당사자의 자격-1소송의 주체-당사자</v>
      </c>
    </row>
    <row r="57" spans="2:14" ht="14.45" customHeight="1" x14ac:dyDescent="0.2">
      <c r="B57" s="80" t="s">
        <v>2539</v>
      </c>
      <c r="C57" s="86" t="s">
        <v>2524</v>
      </c>
      <c r="D57" s="91" t="s">
        <v>3415</v>
      </c>
      <c r="E57" s="149" t="s">
        <v>2425</v>
      </c>
      <c r="F57" s="150" t="s">
        <v>155</v>
      </c>
      <c r="G57" s="151" t="s">
        <v>2434</v>
      </c>
      <c r="H57" s="152" t="s">
        <v>2435</v>
      </c>
      <c r="I57" s="153">
        <v>1341</v>
      </c>
      <c r="J57" s="214"/>
      <c r="K57" s="215"/>
      <c r="L57" s="263" t="s">
        <v>2593</v>
      </c>
      <c r="M57" s="154" t="s">
        <v>3518</v>
      </c>
      <c r="N57" s="263" t="str">
        <f>B57&amp;"-"&amp;C57&amp;"-"&amp;D57&amp;"-"&amp;IF(E57="요약",1,IF(E57="기출",2,IF(E57="예상",3,IF(E57="판례",4,5))))&amp;F57</f>
        <v>제2편 소송의 주체-제04장 당사자-제02절 당사자의 자격-22010-2-1</v>
      </c>
    </row>
    <row r="58" spans="2:14" ht="14.45" customHeight="1" x14ac:dyDescent="0.2">
      <c r="B58" s="80" t="s">
        <v>2539</v>
      </c>
      <c r="C58" s="86" t="s">
        <v>2524</v>
      </c>
      <c r="D58" s="91" t="s">
        <v>3415</v>
      </c>
      <c r="E58" s="149" t="s">
        <v>2425</v>
      </c>
      <c r="F58" s="150" t="s">
        <v>204</v>
      </c>
      <c r="G58" s="151" t="s">
        <v>2301</v>
      </c>
      <c r="H58" s="152" t="s">
        <v>2302</v>
      </c>
      <c r="I58" s="153">
        <v>1633</v>
      </c>
      <c r="J58" s="214"/>
      <c r="K58" s="215"/>
      <c r="L58" s="263" t="s">
        <v>2593</v>
      </c>
      <c r="M58" s="154"/>
      <c r="N58" s="263" t="str">
        <f>B58&amp;"-"&amp;C58&amp;"-"&amp;D58&amp;"-"&amp;IF(E58="요약",1,IF(E58="기출",2,IF(E58="예상",3,IF(E58="판례",4,5))))&amp;F58</f>
        <v>제2편 소송의 주체-제04장 당사자-제02절 당사자의 자격-22014-1-1</v>
      </c>
    </row>
    <row r="59" spans="2:14" ht="14.45" customHeight="1" x14ac:dyDescent="0.2">
      <c r="B59" s="80" t="s">
        <v>2539</v>
      </c>
      <c r="C59" s="86" t="s">
        <v>2524</v>
      </c>
      <c r="D59" s="91" t="s">
        <v>3415</v>
      </c>
      <c r="E59" s="149" t="s">
        <v>2425</v>
      </c>
      <c r="F59" s="150" t="s">
        <v>152</v>
      </c>
      <c r="G59" s="151" t="s">
        <v>2297</v>
      </c>
      <c r="H59" s="152" t="s">
        <v>2298</v>
      </c>
      <c r="I59" s="153">
        <v>1768</v>
      </c>
      <c r="J59" s="214"/>
      <c r="K59" s="215"/>
      <c r="L59" s="263" t="s">
        <v>2593</v>
      </c>
      <c r="M59" s="154"/>
      <c r="N59" s="263" t="str">
        <f>B59&amp;"-"&amp;C59&amp;"-"&amp;D59&amp;"-"&amp;IF(E59="요약",1,IF(E59="기출",2,IF(E59="예상",3,IF(E59="판례",4,5))))&amp;F59</f>
        <v>제2편 소송의 주체-제04장 당사자-제02절 당사자의 자격-22016-1-1</v>
      </c>
    </row>
    <row r="60" spans="2:14" ht="14.45" customHeight="1" x14ac:dyDescent="0.2">
      <c r="B60" s="80" t="s">
        <v>2539</v>
      </c>
      <c r="C60" s="86" t="s">
        <v>2524</v>
      </c>
      <c r="D60" s="91" t="s">
        <v>3415</v>
      </c>
      <c r="E60" s="149" t="s">
        <v>2425</v>
      </c>
      <c r="F60" s="150" t="s">
        <v>153</v>
      </c>
      <c r="G60" s="151" t="s">
        <v>150</v>
      </c>
      <c r="H60" s="152" t="s">
        <v>2169</v>
      </c>
      <c r="I60" s="153">
        <v>1504</v>
      </c>
      <c r="J60" s="214"/>
      <c r="K60" s="215"/>
      <c r="L60" s="263" t="s">
        <v>2593</v>
      </c>
      <c r="M60" s="154"/>
      <c r="N60" s="263" t="str">
        <f>B60&amp;"-"&amp;C60&amp;"-"&amp;D60&amp;"-"&amp;IF(E60="요약",1,IF(E60="기출",2,IF(E60="예상",3,IF(E60="판례",4,5))))&amp;F60</f>
        <v>제2편 소송의 주체-제04장 당사자-제02절 당사자의 자격-22017-1-2</v>
      </c>
    </row>
    <row r="61" spans="2:14" ht="14.45" customHeight="1" x14ac:dyDescent="0.2">
      <c r="B61" s="80" t="s">
        <v>2539</v>
      </c>
      <c r="C61" s="86" t="s">
        <v>2524</v>
      </c>
      <c r="D61" s="91" t="s">
        <v>3415</v>
      </c>
      <c r="E61" s="149" t="s">
        <v>2425</v>
      </c>
      <c r="F61" s="150" t="s">
        <v>2309</v>
      </c>
      <c r="G61" s="151" t="s">
        <v>3510</v>
      </c>
      <c r="H61" s="152" t="s">
        <v>3511</v>
      </c>
      <c r="I61" s="153">
        <v>1838</v>
      </c>
      <c r="J61" s="214"/>
      <c r="K61" s="215"/>
      <c r="L61" s="263" t="s">
        <v>2593</v>
      </c>
      <c r="M61" s="154" t="s">
        <v>3518</v>
      </c>
      <c r="N61" s="263" t="str">
        <f>B61&amp;"-"&amp;C61&amp;"-"&amp;D61&amp;"-"&amp;IF(E61="요약",1,IF(E61="기출",2,IF(E61="예상",3,IF(E61="판례",4,5))))&amp;F61</f>
        <v>제2편 소송의 주체-제04장 당사자-제02절 당사자의 자격-22021-2</v>
      </c>
    </row>
    <row r="62" spans="2:14" ht="14.45" customHeight="1" x14ac:dyDescent="0.2">
      <c r="B62" s="80" t="s">
        <v>2601</v>
      </c>
      <c r="C62" s="86" t="s">
        <v>2525</v>
      </c>
      <c r="D62" s="91" t="s">
        <v>1307</v>
      </c>
      <c r="E62" s="149" t="s">
        <v>2426</v>
      </c>
      <c r="F62" s="150" t="s">
        <v>3547</v>
      </c>
      <c r="G62" s="151" t="s">
        <v>3508</v>
      </c>
      <c r="H62" s="152" t="s">
        <v>3507</v>
      </c>
      <c r="I62" s="153">
        <v>1972</v>
      </c>
      <c r="J62" s="214"/>
      <c r="K62" s="215"/>
      <c r="L62" s="263" t="s">
        <v>2593</v>
      </c>
      <c r="M62" s="154"/>
      <c r="N62" s="263" t="str">
        <f>B62&amp;"-"&amp;C62&amp;"-"&amp;D62&amp;"-"&amp;IF(E62="요약",1,IF(E62="기출",2,IF(E62="예상",3,IF(E62="판례",4,5))))&amp;F62</f>
        <v>제2편 소송의 주체-제04장 당사자-제02절 당사자의 자격-34.02-1</v>
      </c>
    </row>
    <row r="63" spans="2:14" ht="14.45" customHeight="1" x14ac:dyDescent="0.2">
      <c r="B63" s="80" t="s">
        <v>2601</v>
      </c>
      <c r="C63" s="86" t="s">
        <v>2525</v>
      </c>
      <c r="D63" s="91" t="s">
        <v>1307</v>
      </c>
      <c r="E63" s="149" t="s">
        <v>2426</v>
      </c>
      <c r="F63" s="150" t="s">
        <v>3548</v>
      </c>
      <c r="G63" s="151" t="s">
        <v>3578</v>
      </c>
      <c r="H63" s="152" t="s">
        <v>3582</v>
      </c>
      <c r="I63" s="153">
        <v>1394</v>
      </c>
      <c r="J63" s="214"/>
      <c r="K63" s="215">
        <v>46211</v>
      </c>
      <c r="L63" s="263" t="s">
        <v>2593</v>
      </c>
      <c r="M63" s="154" t="s">
        <v>3518</v>
      </c>
      <c r="N63" s="263" t="str">
        <f>B63&amp;"-"&amp;C63&amp;"-"&amp;D63&amp;"-"&amp;IF(E63="요약",1,IF(E63="기출",2,IF(E63="예상",3,IF(E63="판례",4,5))))&amp;F63</f>
        <v>제2편 소송의 주체-제04장 당사자-제02절 당사자의 자격-34.02-2</v>
      </c>
    </row>
    <row r="64" spans="2:14" ht="14.45" customHeight="1" x14ac:dyDescent="0.2">
      <c r="B64" s="80" t="s">
        <v>2539</v>
      </c>
      <c r="C64" s="86" t="s">
        <v>2524</v>
      </c>
      <c r="D64" s="91" t="s">
        <v>3415</v>
      </c>
      <c r="E64" s="149" t="s">
        <v>1553</v>
      </c>
      <c r="F64" s="150" t="s">
        <v>3685</v>
      </c>
      <c r="G64" s="151" t="s">
        <v>3032</v>
      </c>
      <c r="H64" s="152" t="s">
        <v>2636</v>
      </c>
      <c r="I64" s="153">
        <v>172</v>
      </c>
      <c r="J64" s="214"/>
      <c r="K64" s="215"/>
      <c r="L64" s="263"/>
      <c r="M64" s="154"/>
      <c r="N64" s="263" t="str">
        <f>B64&amp;"-"&amp;C64&amp;"-"&amp;D64&amp;"-"&amp;IF(E64="요약",1,IF(E64="기출",2,IF(E64="예상",3,IF(E64="판례",4,5))))&amp;F64</f>
        <v>제2편 소송의 주체-제04장 당사자-제02절 당사자의 자격-4032.대법원 2009. 1. 30. 선고 2006다60908 판결</v>
      </c>
    </row>
    <row r="65" spans="2:14" ht="14.45" customHeight="1" x14ac:dyDescent="0.2">
      <c r="B65" s="80" t="s">
        <v>2539</v>
      </c>
      <c r="C65" s="86" t="s">
        <v>2524</v>
      </c>
      <c r="D65" s="91" t="s">
        <v>3415</v>
      </c>
      <c r="E65" s="149" t="s">
        <v>1553</v>
      </c>
      <c r="F65" s="150" t="s">
        <v>3683</v>
      </c>
      <c r="G65" s="151" t="s">
        <v>3033</v>
      </c>
      <c r="H65" s="152" t="s">
        <v>2637</v>
      </c>
      <c r="I65" s="153">
        <v>451</v>
      </c>
      <c r="J65" s="214"/>
      <c r="K65" s="215"/>
      <c r="L65" s="263"/>
      <c r="M65" s="154"/>
      <c r="N65" s="263" t="str">
        <f>B65&amp;"-"&amp;C65&amp;"-"&amp;D65&amp;"-"&amp;IF(E65="요약",1,IF(E65="기출",2,IF(E65="예상",3,IF(E65="판례",4,5))))&amp;F65</f>
        <v>제2편 소송의 주체-제04장 당사자-제02절 당사자의 자격-4033.대법원 1991. 11. 26. 선고 91다30675 판결</v>
      </c>
    </row>
    <row r="66" spans="2:14" ht="14.45" customHeight="1" x14ac:dyDescent="0.2">
      <c r="B66" s="80" t="s">
        <v>2539</v>
      </c>
      <c r="C66" s="86" t="s">
        <v>2524</v>
      </c>
      <c r="D66" s="91" t="s">
        <v>3415</v>
      </c>
      <c r="E66" s="149" t="s">
        <v>1553</v>
      </c>
      <c r="F66" s="150" t="s">
        <v>3679</v>
      </c>
      <c r="G66" s="151" t="s">
        <v>3034</v>
      </c>
      <c r="H66" s="152" t="s">
        <v>2638</v>
      </c>
      <c r="I66" s="153">
        <v>197</v>
      </c>
      <c r="J66" s="214"/>
      <c r="K66" s="215"/>
      <c r="L66" s="263"/>
      <c r="M66" s="154"/>
      <c r="N66" s="263" t="str">
        <f>B66&amp;"-"&amp;C66&amp;"-"&amp;D66&amp;"-"&amp;IF(E66="요약",1,IF(E66="기출",2,IF(E66="예상",3,IF(E66="판례",4,5))))&amp;F66</f>
        <v>제2편 소송의 주체-제04장 당사자-제02절 당사자의 자격-4034.대법원 1974. 6. 25. 선고 73다211 판결</v>
      </c>
    </row>
    <row r="67" spans="2:14" ht="14.45" customHeight="1" x14ac:dyDescent="0.2">
      <c r="B67" s="80" t="s">
        <v>2539</v>
      </c>
      <c r="C67" s="86" t="s">
        <v>2524</v>
      </c>
      <c r="D67" s="91" t="s">
        <v>3415</v>
      </c>
      <c r="E67" s="149" t="s">
        <v>1553</v>
      </c>
      <c r="F67" s="150" t="s">
        <v>3684</v>
      </c>
      <c r="G67" s="151" t="s">
        <v>3035</v>
      </c>
      <c r="H67" s="152" t="s">
        <v>2639</v>
      </c>
      <c r="I67" s="153">
        <v>210</v>
      </c>
      <c r="J67" s="214"/>
      <c r="K67" s="215"/>
      <c r="L67" s="263"/>
      <c r="M67" s="154"/>
      <c r="N67" s="263" t="str">
        <f>B67&amp;"-"&amp;C67&amp;"-"&amp;D67&amp;"-"&amp;IF(E67="요약",1,IF(E67="기출",2,IF(E67="예상",3,IF(E67="판례",4,5))))&amp;F67</f>
        <v>제2편 소송의 주체-제04장 당사자-제02절 당사자의 자격-4035.대법원 2000. 4. 11. 선고 99다23888 판결</v>
      </c>
    </row>
    <row r="68" spans="2:14" ht="14.45" customHeight="1" x14ac:dyDescent="0.2">
      <c r="B68" s="80" t="s">
        <v>2539</v>
      </c>
      <c r="C68" s="86" t="s">
        <v>2524</v>
      </c>
      <c r="D68" s="91" t="s">
        <v>3415</v>
      </c>
      <c r="E68" s="149" t="s">
        <v>1553</v>
      </c>
      <c r="F68" s="150" t="s">
        <v>3678</v>
      </c>
      <c r="G68" s="151" t="s">
        <v>3036</v>
      </c>
      <c r="H68" s="152" t="s">
        <v>2640</v>
      </c>
      <c r="I68" s="153">
        <v>254</v>
      </c>
      <c r="J68" s="214"/>
      <c r="K68" s="215"/>
      <c r="L68" s="263"/>
      <c r="M68" s="154"/>
      <c r="N68" s="263" t="str">
        <f>B68&amp;"-"&amp;C68&amp;"-"&amp;D68&amp;"-"&amp;IF(E68="요약",1,IF(E68="기출",2,IF(E68="예상",3,IF(E68="판례",4,5))))&amp;F68</f>
        <v>제2편 소송의 주체-제04장 당사자-제02절 당사자의 자격-4036.대법원 1973. 12. 11. 선고 73다1553 판결</v>
      </c>
    </row>
    <row r="69" spans="2:14" ht="14.45" customHeight="1" x14ac:dyDescent="0.2">
      <c r="B69" s="80" t="s">
        <v>2539</v>
      </c>
      <c r="C69" s="86" t="s">
        <v>2524</v>
      </c>
      <c r="D69" s="91" t="s">
        <v>3415</v>
      </c>
      <c r="E69" s="149" t="s">
        <v>1553</v>
      </c>
      <c r="F69" s="150" t="s">
        <v>3680</v>
      </c>
      <c r="G69" s="151" t="s">
        <v>3037</v>
      </c>
      <c r="H69" s="152" t="s">
        <v>2641</v>
      </c>
      <c r="I69" s="153">
        <v>511</v>
      </c>
      <c r="J69" s="214"/>
      <c r="K69" s="215"/>
      <c r="L69" s="263"/>
      <c r="M69" s="154"/>
      <c r="N69" s="263" t="str">
        <f>B69&amp;"-"&amp;C69&amp;"-"&amp;D69&amp;"-"&amp;IF(E69="요약",1,IF(E69="기출",2,IF(E69="예상",3,IF(E69="판례",4,5))))&amp;F69</f>
        <v>제2편 소송의 주체-제04장 당사자-제02절 당사자의 자격-4037.대법원 1982. 9. 14. 선고 80다2425 전원합의체 판결</v>
      </c>
    </row>
    <row r="70" spans="2:14" ht="14.45" customHeight="1" x14ac:dyDescent="0.2">
      <c r="B70" s="80" t="s">
        <v>2539</v>
      </c>
      <c r="C70" s="86" t="s">
        <v>2524</v>
      </c>
      <c r="D70" s="91" t="s">
        <v>3415</v>
      </c>
      <c r="E70" s="149" t="s">
        <v>1553</v>
      </c>
      <c r="F70" s="150" t="s">
        <v>3682</v>
      </c>
      <c r="G70" s="151" t="s">
        <v>3038</v>
      </c>
      <c r="H70" s="152" t="s">
        <v>2642</v>
      </c>
      <c r="I70" s="153">
        <v>207</v>
      </c>
      <c r="J70" s="214"/>
      <c r="K70" s="215"/>
      <c r="L70" s="263"/>
      <c r="M70" s="154"/>
      <c r="N70" s="263" t="str">
        <f>B70&amp;"-"&amp;C70&amp;"-"&amp;D70&amp;"-"&amp;IF(E70="요약",1,IF(E70="기출",2,IF(E70="예상",3,IF(E70="판례",4,5))))&amp;F70</f>
        <v>제2편 소송의 주체-제04장 당사자-제02절 당사자의 자격-4038.대법원 1988. 6. 14. 선고 87다카2753 판결</v>
      </c>
    </row>
    <row r="71" spans="2:14" ht="14.45" customHeight="1" x14ac:dyDescent="0.2">
      <c r="B71" s="80" t="s">
        <v>2539</v>
      </c>
      <c r="C71" s="86" t="s">
        <v>2524</v>
      </c>
      <c r="D71" s="91" t="s">
        <v>3415</v>
      </c>
      <c r="E71" s="149" t="s">
        <v>1553</v>
      </c>
      <c r="F71" s="150" t="s">
        <v>3681</v>
      </c>
      <c r="G71" s="151" t="s">
        <v>3039</v>
      </c>
      <c r="H71" s="152" t="s">
        <v>2643</v>
      </c>
      <c r="I71" s="153">
        <v>267</v>
      </c>
      <c r="J71" s="214"/>
      <c r="K71" s="215"/>
      <c r="L71" s="263"/>
      <c r="M71" s="154"/>
      <c r="N71" s="263" t="str">
        <f>B71&amp;"-"&amp;C71&amp;"-"&amp;D71&amp;"-"&amp;IF(E71="요약",1,IF(E71="기출",2,IF(E71="예상",3,IF(E71="판례",4,5))))&amp;F71</f>
        <v>제2편 소송의 주체-제04장 당사자-제02절 당사자의 자격-4039.대법원 1984. 2. 14. 선고 83다카1815 판결</v>
      </c>
    </row>
    <row r="72" spans="2:14" ht="14.45" customHeight="1" x14ac:dyDescent="0.2">
      <c r="B72" s="80" t="s">
        <v>2539</v>
      </c>
      <c r="C72" s="86" t="s">
        <v>2524</v>
      </c>
      <c r="D72" s="90" t="s">
        <v>3415</v>
      </c>
      <c r="E72" s="222" t="s">
        <v>1553</v>
      </c>
      <c r="F72" s="223" t="s">
        <v>3686</v>
      </c>
      <c r="G72" s="224" t="s">
        <v>3040</v>
      </c>
      <c r="H72" s="225" t="s">
        <v>2644</v>
      </c>
      <c r="I72" s="226">
        <v>639</v>
      </c>
      <c r="J72" s="227"/>
      <c r="K72" s="228"/>
      <c r="L72" s="260" t="s">
        <v>2593</v>
      </c>
      <c r="M72" s="229"/>
      <c r="N72" s="260" t="str">
        <f>B72&amp;"-"&amp;C72&amp;"-"&amp;D72&amp;"-"&amp;IF(E72="요약",1,IF(E72="기출",2,IF(E72="예상",3,IF(E72="판례",4,5))))&amp;F72</f>
        <v>제2편 소송의 주체-제04장 당사자-제02절 당사자의 자격-4040.대법원 2016. 12. 15. 선고 2014다87885,87892 판결</v>
      </c>
    </row>
    <row r="73" spans="2:14" ht="14.45" customHeight="1" x14ac:dyDescent="0.2">
      <c r="B73" s="80" t="s">
        <v>2539</v>
      </c>
      <c r="C73" s="86" t="s">
        <v>2524</v>
      </c>
      <c r="D73" s="83" t="s">
        <v>3418</v>
      </c>
      <c r="E73" s="144" t="s">
        <v>7</v>
      </c>
      <c r="F73" s="145" t="s">
        <v>73</v>
      </c>
      <c r="G73" s="146" t="s">
        <v>95</v>
      </c>
      <c r="H73" s="147" t="s">
        <v>2234</v>
      </c>
      <c r="I73" s="148">
        <v>3177</v>
      </c>
      <c r="J73" s="212"/>
      <c r="K73" s="213"/>
      <c r="L73" s="262" t="s">
        <v>2593</v>
      </c>
      <c r="M73" s="169"/>
      <c r="N73" s="262" t="str">
        <f>B73&amp;"-"&amp;C73&amp;"-"&amp;D73&amp;"-"&amp;IF(E73="요약",1,IF(E73="기출",2,IF(E73="예상",3,IF(E73="판례",4,5))))&amp;F73</f>
        <v>제2편 소송의 주체-제04장 당사자-제03절 소송상의 대리인-1소송의 주체-당사자</v>
      </c>
    </row>
    <row r="74" spans="2:14" ht="14.45" customHeight="1" x14ac:dyDescent="0.2">
      <c r="B74" s="80" t="s">
        <v>2539</v>
      </c>
      <c r="C74" s="86" t="s">
        <v>2524</v>
      </c>
      <c r="D74" s="91" t="s">
        <v>1317</v>
      </c>
      <c r="E74" s="149" t="s">
        <v>2425</v>
      </c>
      <c r="F74" s="150" t="s">
        <v>158</v>
      </c>
      <c r="G74" s="151" t="s">
        <v>2439</v>
      </c>
      <c r="H74" s="152" t="s">
        <v>2438</v>
      </c>
      <c r="I74" s="153">
        <v>1858</v>
      </c>
      <c r="J74" s="214"/>
      <c r="K74" s="215"/>
      <c r="L74" s="263" t="s">
        <v>2593</v>
      </c>
      <c r="M74" s="154"/>
      <c r="N74" s="263" t="str">
        <f>B74&amp;"-"&amp;C74&amp;"-"&amp;D74&amp;"-"&amp;IF(E74="요약",1,IF(E74="기출",2,IF(E74="예상",3,IF(E74="판례",4,5))))&amp;F74</f>
        <v>제2편 소송의 주체-제04장 당사자-제03절 소송상의 대리인-22013-1-1</v>
      </c>
    </row>
    <row r="75" spans="2:14" ht="14.45" customHeight="1" x14ac:dyDescent="0.2">
      <c r="B75" s="80" t="s">
        <v>2539</v>
      </c>
      <c r="C75" s="86" t="s">
        <v>2524</v>
      </c>
      <c r="D75" s="91" t="s">
        <v>3418</v>
      </c>
      <c r="E75" s="149" t="s">
        <v>2425</v>
      </c>
      <c r="F75" s="150" t="s">
        <v>2310</v>
      </c>
      <c r="G75" s="151" t="s">
        <v>2299</v>
      </c>
      <c r="H75" s="152" t="s">
        <v>2300</v>
      </c>
      <c r="I75" s="153">
        <v>3009</v>
      </c>
      <c r="J75" s="214"/>
      <c r="K75" s="215"/>
      <c r="L75" s="263" t="s">
        <v>2593</v>
      </c>
      <c r="M75" s="154" t="s">
        <v>3633</v>
      </c>
      <c r="N75" s="263" t="str">
        <f>B75&amp;"-"&amp;C75&amp;"-"&amp;D75&amp;"-"&amp;IF(E75="요약",1,IF(E75="기출",2,IF(E75="예상",3,IF(E75="판례",4,5))))&amp;F75</f>
        <v>제2편 소송의 주체-제04장 당사자-제03절 소송상의 대리인-22016-1-2</v>
      </c>
    </row>
    <row r="76" spans="2:14" ht="14.45" customHeight="1" x14ac:dyDescent="0.2">
      <c r="B76" s="80" t="s">
        <v>2539</v>
      </c>
      <c r="C76" s="86" t="s">
        <v>2524</v>
      </c>
      <c r="D76" s="91" t="s">
        <v>3418</v>
      </c>
      <c r="E76" s="149" t="s">
        <v>2425</v>
      </c>
      <c r="F76" s="150" t="s">
        <v>157</v>
      </c>
      <c r="G76" s="151" t="s">
        <v>156</v>
      </c>
      <c r="H76" s="152" t="s">
        <v>2170</v>
      </c>
      <c r="I76" s="153">
        <v>1483</v>
      </c>
      <c r="J76" s="214"/>
      <c r="K76" s="215"/>
      <c r="L76" s="263" t="s">
        <v>2593</v>
      </c>
      <c r="M76" s="154"/>
      <c r="N76" s="263" t="str">
        <f>B76&amp;"-"&amp;C76&amp;"-"&amp;D76&amp;"-"&amp;IF(E76="요약",1,IF(E76="기출",2,IF(E76="예상",3,IF(E76="판례",4,5))))&amp;F76</f>
        <v>제2편 소송의 주체-제04장 당사자-제03절 소송상의 대리인-22018-1-2</v>
      </c>
    </row>
    <row r="77" spans="2:14" ht="14.45" customHeight="1" x14ac:dyDescent="0.2">
      <c r="B77" s="80" t="s">
        <v>2539</v>
      </c>
      <c r="C77" s="86" t="s">
        <v>2524</v>
      </c>
      <c r="D77" s="91" t="s">
        <v>3418</v>
      </c>
      <c r="E77" s="149" t="s">
        <v>2426</v>
      </c>
      <c r="F77" s="150" t="s">
        <v>3565</v>
      </c>
      <c r="G77" s="151" t="s">
        <v>3574</v>
      </c>
      <c r="H77" s="152" t="s">
        <v>3583</v>
      </c>
      <c r="I77" s="153">
        <v>1288</v>
      </c>
      <c r="J77" s="214"/>
      <c r="K77" s="215">
        <v>46211</v>
      </c>
      <c r="L77" s="263" t="s">
        <v>2593</v>
      </c>
      <c r="M77" s="154" t="s">
        <v>3518</v>
      </c>
      <c r="N77" s="263" t="str">
        <f>B77&amp;"-"&amp;C77&amp;"-"&amp;D77&amp;"-"&amp;IF(E77="요약",1,IF(E77="기출",2,IF(E77="예상",3,IF(E77="판례",4,5))))&amp;F77</f>
        <v>제2편 소송의 주체-제04장 당사자-제03절 소송상의 대리인-34.03-1</v>
      </c>
    </row>
    <row r="78" spans="2:14" ht="14.45" customHeight="1" x14ac:dyDescent="0.2">
      <c r="B78" s="80" t="s">
        <v>2539</v>
      </c>
      <c r="C78" s="86" t="s">
        <v>2524</v>
      </c>
      <c r="D78" s="91" t="s">
        <v>3418</v>
      </c>
      <c r="E78" s="149" t="s">
        <v>1553</v>
      </c>
      <c r="F78" s="150" t="s">
        <v>3702</v>
      </c>
      <c r="G78" s="151" t="s">
        <v>3041</v>
      </c>
      <c r="H78" s="152" t="s">
        <v>2645</v>
      </c>
      <c r="I78" s="153">
        <v>319</v>
      </c>
      <c r="J78" s="214"/>
      <c r="K78" s="215"/>
      <c r="L78" s="263" t="s">
        <v>2595</v>
      </c>
      <c r="M78" s="154"/>
      <c r="N78" s="263" t="str">
        <f>B78&amp;"-"&amp;C78&amp;"-"&amp;D78&amp;"-"&amp;IF(E78="요약",1,IF(E78="기출",2,IF(E78="예상",3,IF(E78="판례",4,5))))&amp;F78</f>
        <v>제2편 소송의 주체-제04장 당사자-제03절 소송상의 대리인-4041.대법원 2020. 6. 11. 선고, 2020다8586 판결</v>
      </c>
    </row>
    <row r="79" spans="2:14" ht="14.45" customHeight="1" x14ac:dyDescent="0.2">
      <c r="B79" s="80" t="s">
        <v>2539</v>
      </c>
      <c r="C79" s="86" t="s">
        <v>2524</v>
      </c>
      <c r="D79" s="91" t="s">
        <v>3418</v>
      </c>
      <c r="E79" s="149" t="s">
        <v>1553</v>
      </c>
      <c r="F79" s="150" t="s">
        <v>3688</v>
      </c>
      <c r="G79" s="151" t="s">
        <v>3042</v>
      </c>
      <c r="H79" s="152" t="s">
        <v>2646</v>
      </c>
      <c r="I79" s="153">
        <v>174</v>
      </c>
      <c r="J79" s="214"/>
      <c r="K79" s="215"/>
      <c r="L79" s="263" t="s">
        <v>2595</v>
      </c>
      <c r="M79" s="154"/>
      <c r="N79" s="263" t="str">
        <f>B79&amp;"-"&amp;C79&amp;"-"&amp;D79&amp;"-"&amp;IF(E79="요약",1,IF(E79="기출",2,IF(E79="예상",3,IF(E79="판례",4,5))))&amp;F79</f>
        <v>제2편 소송의 주체-제04장 당사자-제03절 소송상의 대리인-4042.대법원 1980. 4. 22. 선고 80다308 판결</v>
      </c>
    </row>
    <row r="80" spans="2:14" ht="14.45" customHeight="1" x14ac:dyDescent="0.2">
      <c r="B80" s="80" t="s">
        <v>2539</v>
      </c>
      <c r="C80" s="86" t="s">
        <v>2524</v>
      </c>
      <c r="D80" s="91" t="s">
        <v>3418</v>
      </c>
      <c r="E80" s="149" t="s">
        <v>1553</v>
      </c>
      <c r="F80" s="150" t="s">
        <v>3690</v>
      </c>
      <c r="G80" s="151" t="s">
        <v>3043</v>
      </c>
      <c r="H80" s="152" t="s">
        <v>2647</v>
      </c>
      <c r="I80" s="153">
        <v>174</v>
      </c>
      <c r="J80" s="214"/>
      <c r="K80" s="215"/>
      <c r="L80" s="263"/>
      <c r="M80" s="154"/>
      <c r="N80" s="263" t="str">
        <f>B80&amp;"-"&amp;C80&amp;"-"&amp;D80&amp;"-"&amp;IF(E80="요약",1,IF(E80="기출",2,IF(E80="예상",3,IF(E80="판례",4,5))))&amp;F80</f>
        <v>제2편 소송의 주체-제04장 당사자-제03절 소송상의 대리인-4043.대법원 1983. 2. 8. 선고 82므34 판결</v>
      </c>
    </row>
    <row r="81" spans="2:14" ht="14.45" customHeight="1" x14ac:dyDescent="0.2">
      <c r="B81" s="80" t="s">
        <v>2539</v>
      </c>
      <c r="C81" s="86" t="s">
        <v>2524</v>
      </c>
      <c r="D81" s="91" t="s">
        <v>3418</v>
      </c>
      <c r="E81" s="149" t="s">
        <v>1553</v>
      </c>
      <c r="F81" s="150" t="s">
        <v>3699</v>
      </c>
      <c r="G81" s="151" t="s">
        <v>3044</v>
      </c>
      <c r="H81" s="152" t="s">
        <v>2648</v>
      </c>
      <c r="I81" s="153">
        <v>394</v>
      </c>
      <c r="J81" s="214"/>
      <c r="K81" s="215"/>
      <c r="L81" s="263"/>
      <c r="M81" s="154"/>
      <c r="N81" s="263" t="str">
        <f>B81&amp;"-"&amp;C81&amp;"-"&amp;D81&amp;"-"&amp;IF(E81="요약",1,IF(E81="기출",2,IF(E81="예상",3,IF(E81="판례",4,5))))&amp;F81</f>
        <v>제2편 소송의 주체-제04장 당사자-제03절 소송상의 대리인-4044.대법원 2005. 9. 15. 선고 2004다44971 전원합의체 판결</v>
      </c>
    </row>
    <row r="82" spans="2:14" ht="14.45" customHeight="1" x14ac:dyDescent="0.2">
      <c r="B82" s="80" t="s">
        <v>2539</v>
      </c>
      <c r="C82" s="86" t="s">
        <v>2524</v>
      </c>
      <c r="D82" s="91" t="s">
        <v>3418</v>
      </c>
      <c r="E82" s="149" t="s">
        <v>1553</v>
      </c>
      <c r="F82" s="150" t="s">
        <v>3695</v>
      </c>
      <c r="G82" s="151" t="s">
        <v>3045</v>
      </c>
      <c r="H82" s="152" t="s">
        <v>2649</v>
      </c>
      <c r="I82" s="153">
        <v>323</v>
      </c>
      <c r="J82" s="214"/>
      <c r="K82" s="215"/>
      <c r="L82" s="263"/>
      <c r="M82" s="154"/>
      <c r="N82" s="263" t="str">
        <f>B82&amp;"-"&amp;C82&amp;"-"&amp;D82&amp;"-"&amp;IF(E82="요약",1,IF(E82="기출",2,IF(E82="예상",3,IF(E82="판례",4,5))))&amp;F82</f>
        <v>제2편 소송의 주체-제04장 당사자-제03절 소송상의 대리인-4045.대법원 1998. 2. 19. 선고 95다52710 전원합의체 판결</v>
      </c>
    </row>
    <row r="83" spans="2:14" ht="14.45" customHeight="1" x14ac:dyDescent="0.2">
      <c r="B83" s="80" t="s">
        <v>2539</v>
      </c>
      <c r="C83" s="86" t="s">
        <v>2524</v>
      </c>
      <c r="D83" s="91" t="s">
        <v>3418</v>
      </c>
      <c r="E83" s="149" t="s">
        <v>1553</v>
      </c>
      <c r="F83" s="150" t="s">
        <v>3694</v>
      </c>
      <c r="G83" s="151" t="s">
        <v>3046</v>
      </c>
      <c r="H83" s="152" t="s">
        <v>2650</v>
      </c>
      <c r="I83" s="153">
        <v>625</v>
      </c>
      <c r="J83" s="214"/>
      <c r="K83" s="215"/>
      <c r="L83" s="263"/>
      <c r="M83" s="154"/>
      <c r="N83" s="263" t="str">
        <f>B83&amp;"-"&amp;C83&amp;"-"&amp;D83&amp;"-"&amp;IF(E83="요약",1,IF(E83="기출",2,IF(E83="예상",3,IF(E83="판례",4,5))))&amp;F83</f>
        <v>제2편 소송의 주체-제04장 당사자-제03절 소송상의 대리인-4046.대법원 1997. 12. 12. 선고 95다20775 판결</v>
      </c>
    </row>
    <row r="84" spans="2:14" ht="14.45" customHeight="1" x14ac:dyDescent="0.2">
      <c r="B84" s="80" t="s">
        <v>2539</v>
      </c>
      <c r="C84" s="86" t="s">
        <v>2524</v>
      </c>
      <c r="D84" s="91" t="s">
        <v>3418</v>
      </c>
      <c r="E84" s="149" t="s">
        <v>1553</v>
      </c>
      <c r="F84" s="150" t="s">
        <v>3697</v>
      </c>
      <c r="G84" s="151" t="s">
        <v>3047</v>
      </c>
      <c r="H84" s="152" t="s">
        <v>2651</v>
      </c>
      <c r="I84" s="153">
        <v>277</v>
      </c>
      <c r="J84" s="214"/>
      <c r="K84" s="215"/>
      <c r="L84" s="263"/>
      <c r="M84" s="154"/>
      <c r="N84" s="263" t="str">
        <f>B84&amp;"-"&amp;C84&amp;"-"&amp;D84&amp;"-"&amp;IF(E84="요약",1,IF(E84="기출",2,IF(E84="예상",3,IF(E84="판례",4,5))))&amp;F84</f>
        <v>제2편 소송의 주체-제04장 당사자-제03절 소송상의 대리인-4047.대법원 2000. 1. 31. 자 99마6205 결정</v>
      </c>
    </row>
    <row r="85" spans="2:14" ht="14.45" customHeight="1" x14ac:dyDescent="0.2">
      <c r="B85" s="80" t="s">
        <v>2539</v>
      </c>
      <c r="C85" s="86" t="s">
        <v>2524</v>
      </c>
      <c r="D85" s="91" t="s">
        <v>3418</v>
      </c>
      <c r="E85" s="149" t="s">
        <v>1553</v>
      </c>
      <c r="F85" s="150" t="s">
        <v>3691</v>
      </c>
      <c r="G85" s="151" t="s">
        <v>3048</v>
      </c>
      <c r="H85" s="152" t="s">
        <v>2652</v>
      </c>
      <c r="I85" s="153">
        <v>259</v>
      </c>
      <c r="J85" s="214"/>
      <c r="K85" s="215"/>
      <c r="L85" s="263"/>
      <c r="M85" s="154"/>
      <c r="N85" s="263" t="str">
        <f>B85&amp;"-"&amp;C85&amp;"-"&amp;D85&amp;"-"&amp;IF(E85="요약",1,IF(E85="기출",2,IF(E85="예상",3,IF(E85="판례",4,5))))&amp;F85</f>
        <v>제2편 소송의 주체-제04장 당사자-제03절 소송상의 대리인-4048.대법원 1984. 6. 14.자 84다카744 결정</v>
      </c>
    </row>
    <row r="86" spans="2:14" ht="14.45" customHeight="1" x14ac:dyDescent="0.2">
      <c r="B86" s="80" t="s">
        <v>2539</v>
      </c>
      <c r="C86" s="86" t="s">
        <v>2524</v>
      </c>
      <c r="D86" s="91" t="s">
        <v>3418</v>
      </c>
      <c r="E86" s="149" t="s">
        <v>1553</v>
      </c>
      <c r="F86" s="150" t="s">
        <v>3693</v>
      </c>
      <c r="G86" s="151" t="s">
        <v>3049</v>
      </c>
      <c r="H86" s="152" t="s">
        <v>2653</v>
      </c>
      <c r="I86" s="153">
        <v>242</v>
      </c>
      <c r="J86" s="214"/>
      <c r="K86" s="215"/>
      <c r="L86" s="263"/>
      <c r="M86" s="154"/>
      <c r="N86" s="263" t="str">
        <f>B86&amp;"-"&amp;C86&amp;"-"&amp;D86&amp;"-"&amp;IF(E86="요약",1,IF(E86="기출",2,IF(E86="예상",3,IF(E86="판례",4,5))))&amp;F86</f>
        <v>제2편 소송의 주체-제04장 당사자-제03절 소송상의 대리인-4049.대법원 1996. 4. 4.자 96마148 결정</v>
      </c>
    </row>
    <row r="87" spans="2:14" ht="14.45" customHeight="1" x14ac:dyDescent="0.2">
      <c r="B87" s="80" t="s">
        <v>2539</v>
      </c>
      <c r="C87" s="86" t="s">
        <v>2524</v>
      </c>
      <c r="D87" s="91" t="s">
        <v>3418</v>
      </c>
      <c r="E87" s="149" t="s">
        <v>1553</v>
      </c>
      <c r="F87" s="150" t="s">
        <v>3701</v>
      </c>
      <c r="G87" s="151" t="s">
        <v>3050</v>
      </c>
      <c r="H87" s="152" t="s">
        <v>2654</v>
      </c>
      <c r="I87" s="153">
        <v>460</v>
      </c>
      <c r="J87" s="214"/>
      <c r="K87" s="215"/>
      <c r="L87" s="263" t="s">
        <v>2594</v>
      </c>
      <c r="M87" s="154"/>
      <c r="N87" s="263" t="str">
        <f>B87&amp;"-"&amp;C87&amp;"-"&amp;D87&amp;"-"&amp;IF(E87="요약",1,IF(E87="기출",2,IF(E87="예상",3,IF(E87="판례",4,5))))&amp;F87</f>
        <v>제2편 소송의 주체-제04장 당사자-제03절 소송상의 대리인-4050.대법원 2016. 4. 29. 선고 2014다210449 판결</v>
      </c>
    </row>
    <row r="88" spans="2:14" ht="14.45" customHeight="1" x14ac:dyDescent="0.2">
      <c r="B88" s="80" t="s">
        <v>2539</v>
      </c>
      <c r="C88" s="86" t="s">
        <v>2524</v>
      </c>
      <c r="D88" s="91" t="s">
        <v>3418</v>
      </c>
      <c r="E88" s="149" t="s">
        <v>1553</v>
      </c>
      <c r="F88" s="150" t="s">
        <v>3687</v>
      </c>
      <c r="G88" s="151" t="s">
        <v>3051</v>
      </c>
      <c r="H88" s="152" t="s">
        <v>2655</v>
      </c>
      <c r="I88" s="153">
        <v>231</v>
      </c>
      <c r="J88" s="214"/>
      <c r="K88" s="215"/>
      <c r="L88" s="263"/>
      <c r="M88" s="154"/>
      <c r="N88" s="263" t="str">
        <f>B88&amp;"-"&amp;C88&amp;"-"&amp;D88&amp;"-"&amp;IF(E88="요약",1,IF(E88="기출",2,IF(E88="예상",3,IF(E88="판례",4,5))))&amp;F88</f>
        <v>제2편 소송의 주체-제04장 당사자-제03절 소송상의 대리인-4051.대법원 1973. 7. 24. 선고 69다60 판결</v>
      </c>
    </row>
    <row r="89" spans="2:14" ht="14.45" customHeight="1" x14ac:dyDescent="0.2">
      <c r="B89" s="80" t="s">
        <v>2539</v>
      </c>
      <c r="C89" s="86" t="s">
        <v>2524</v>
      </c>
      <c r="D89" s="91" t="s">
        <v>3418</v>
      </c>
      <c r="E89" s="149" t="s">
        <v>1553</v>
      </c>
      <c r="F89" s="150" t="s">
        <v>3700</v>
      </c>
      <c r="G89" s="151" t="s">
        <v>3052</v>
      </c>
      <c r="H89" s="152" t="s">
        <v>2656</v>
      </c>
      <c r="I89" s="153">
        <v>134</v>
      </c>
      <c r="J89" s="214"/>
      <c r="K89" s="215"/>
      <c r="L89" s="263"/>
      <c r="M89" s="154"/>
      <c r="N89" s="263" t="str">
        <f>B89&amp;"-"&amp;C89&amp;"-"&amp;D89&amp;"-"&amp;IF(E89="요약",1,IF(E89="기출",2,IF(E89="예상",3,IF(E89="판례",4,5))))&amp;F89</f>
        <v>제2편 소송의 주체-제04장 당사자-제03절 소송상의 대리인-4052.대법원 2008. 8. 21. 선고 2007다79480 판결</v>
      </c>
    </row>
    <row r="90" spans="2:14" ht="14.45" customHeight="1" x14ac:dyDescent="0.2">
      <c r="B90" s="80" t="s">
        <v>2539</v>
      </c>
      <c r="C90" s="86" t="s">
        <v>2524</v>
      </c>
      <c r="D90" s="91" t="s">
        <v>3418</v>
      </c>
      <c r="E90" s="149" t="s">
        <v>1553</v>
      </c>
      <c r="F90" s="150" t="s">
        <v>3689</v>
      </c>
      <c r="G90" s="151" t="s">
        <v>3053</v>
      </c>
      <c r="H90" s="152" t="s">
        <v>2657</v>
      </c>
      <c r="I90" s="153">
        <v>341</v>
      </c>
      <c r="J90" s="214"/>
      <c r="K90" s="215"/>
      <c r="L90" s="263" t="s">
        <v>2593</v>
      </c>
      <c r="M90" s="154"/>
      <c r="N90" s="263" t="str">
        <f>B90&amp;"-"&amp;C90&amp;"-"&amp;D90&amp;"-"&amp;IF(E90="요약",1,IF(E90="기출",2,IF(E90="예상",3,IF(E90="판례",4,5))))&amp;F90</f>
        <v>제2편 소송의 주체-제04장 당사자-제03절 소송상의 대리인-4053.대법원 1983. 2. 8. 선고 81다카621 판결</v>
      </c>
    </row>
    <row r="91" spans="2:14" ht="14.45" customHeight="1" x14ac:dyDescent="0.2">
      <c r="B91" s="80" t="s">
        <v>2539</v>
      </c>
      <c r="C91" s="86" t="s">
        <v>2524</v>
      </c>
      <c r="D91" s="91" t="s">
        <v>3418</v>
      </c>
      <c r="E91" s="149" t="s">
        <v>1553</v>
      </c>
      <c r="F91" s="150" t="s">
        <v>3696</v>
      </c>
      <c r="G91" s="151" t="s">
        <v>3054</v>
      </c>
      <c r="H91" s="152" t="s">
        <v>2658</v>
      </c>
      <c r="I91" s="153">
        <v>107</v>
      </c>
      <c r="J91" s="214"/>
      <c r="K91" s="215"/>
      <c r="L91" s="263"/>
      <c r="M91" s="154"/>
      <c r="N91" s="263" t="str">
        <f>B91&amp;"-"&amp;C91&amp;"-"&amp;D91&amp;"-"&amp;IF(E91="요약",1,IF(E91="기출",2,IF(E91="예상",3,IF(E91="판례",4,5))))&amp;F91</f>
        <v>제2편 소송의 주체-제04장 당사자-제03절 소송상의 대리인-4054.대법원 1999. 2. 24. 선고 97다38930 판결</v>
      </c>
    </row>
    <row r="92" spans="2:14" ht="14.45" customHeight="1" x14ac:dyDescent="0.2">
      <c r="B92" s="80" t="s">
        <v>2539</v>
      </c>
      <c r="C92" s="86" t="s">
        <v>2524</v>
      </c>
      <c r="D92" s="91" t="s">
        <v>3418</v>
      </c>
      <c r="E92" s="149" t="s">
        <v>1553</v>
      </c>
      <c r="F92" s="150" t="s">
        <v>3698</v>
      </c>
      <c r="G92" s="151" t="s">
        <v>3055</v>
      </c>
      <c r="H92" s="152" t="s">
        <v>2659</v>
      </c>
      <c r="I92" s="153">
        <v>550</v>
      </c>
      <c r="J92" s="214"/>
      <c r="K92" s="215"/>
      <c r="L92" s="263"/>
      <c r="M92" s="154"/>
      <c r="N92" s="263" t="str">
        <f>B92&amp;"-"&amp;C92&amp;"-"&amp;D92&amp;"-"&amp;IF(E92="요약",1,IF(E92="기출",2,IF(E92="예상",3,IF(E92="판례",4,5))))&amp;F92</f>
        <v>제2편 소송의 주체-제04장 당사자-제03절 소송상의 대리인-4055.대법원 2003. 5. 30. 선고 2003다15556 판결</v>
      </c>
    </row>
    <row r="93" spans="2:14" ht="14.45" customHeight="1" thickBot="1" x14ac:dyDescent="0.25">
      <c r="B93" s="81" t="s">
        <v>2539</v>
      </c>
      <c r="C93" s="87" t="s">
        <v>2524</v>
      </c>
      <c r="D93" s="92" t="s">
        <v>3418</v>
      </c>
      <c r="E93" s="155" t="s">
        <v>1553</v>
      </c>
      <c r="F93" s="156" t="s">
        <v>3692</v>
      </c>
      <c r="G93" s="157" t="s">
        <v>3056</v>
      </c>
      <c r="H93" s="158" t="s">
        <v>2660</v>
      </c>
      <c r="I93" s="159">
        <v>184</v>
      </c>
      <c r="J93" s="221"/>
      <c r="K93" s="220"/>
      <c r="L93" s="264"/>
      <c r="M93" s="171"/>
      <c r="N93" s="264" t="str">
        <f>B93&amp;"-"&amp;C93&amp;"-"&amp;D93&amp;"-"&amp;IF(E93="요약",1,IF(E93="기출",2,IF(E93="예상",3,IF(E93="판례",4,5))))&amp;F93</f>
        <v>제2편 소송의 주체-제04장 당사자-제03절 소송상의 대리인-4056.대법원 1990. 11. 23. 선고 90다4037,4044 판결</v>
      </c>
    </row>
    <row r="94" spans="2:14" ht="14.45" customHeight="1" x14ac:dyDescent="0.2">
      <c r="B94" s="61" t="s">
        <v>2602</v>
      </c>
      <c r="C94" s="64" t="s">
        <v>3463</v>
      </c>
      <c r="D94" s="85" t="s">
        <v>3481</v>
      </c>
      <c r="E94" s="138" t="s">
        <v>7</v>
      </c>
      <c r="F94" s="139" t="s">
        <v>2223</v>
      </c>
      <c r="G94" s="140" t="s">
        <v>96</v>
      </c>
      <c r="H94" s="141" t="s">
        <v>2267</v>
      </c>
      <c r="I94" s="142">
        <v>1440</v>
      </c>
      <c r="J94" s="210"/>
      <c r="K94" s="211"/>
      <c r="L94" s="259" t="s">
        <v>2595</v>
      </c>
      <c r="M94" s="170"/>
      <c r="N94" s="259" t="str">
        <f>B94&amp;"-"&amp;C94&amp;"-"&amp;D94&amp;"-"&amp;IF(E94="요약",1,IF(E94="기출",2,IF(E94="예상",3,IF(E94="판례",4,5))))&amp;F94</f>
        <v>제3편 제1심의 소송절차-제05장 소송 개시와 심리 대상-제01절 소송의 개시-1제1심의 소송절차-소송 개시와 심리 대상</v>
      </c>
    </row>
    <row r="95" spans="2:14" ht="14.45" customHeight="1" x14ac:dyDescent="0.2">
      <c r="B95" s="80" t="s">
        <v>2540</v>
      </c>
      <c r="C95" s="86" t="s">
        <v>2564</v>
      </c>
      <c r="D95" s="91" t="s">
        <v>3481</v>
      </c>
      <c r="E95" s="149" t="s">
        <v>1553</v>
      </c>
      <c r="F95" s="150" t="s">
        <v>3705</v>
      </c>
      <c r="G95" s="151" t="s">
        <v>3057</v>
      </c>
      <c r="H95" s="152" t="s">
        <v>2661</v>
      </c>
      <c r="I95" s="153">
        <v>263</v>
      </c>
      <c r="J95" s="214"/>
      <c r="K95" s="215"/>
      <c r="L95" s="263"/>
      <c r="M95" s="154"/>
      <c r="N95" s="263" t="str">
        <f>B95&amp;"-"&amp;C95&amp;"-"&amp;D95&amp;"-"&amp;IF(E95="요약",1,IF(E95="기출",2,IF(E95="예상",3,IF(E95="판례",4,5))))&amp;F95</f>
        <v>제3편 제1심의 소송절차-제05장 소송 개시와 심리 대상-제01절 소송의 개시-4057.대법원 1993. 9. 14. 선고 92다35462 판결</v>
      </c>
    </row>
    <row r="96" spans="2:14" ht="14.45" customHeight="1" x14ac:dyDescent="0.2">
      <c r="B96" s="80" t="s">
        <v>2540</v>
      </c>
      <c r="C96" s="86" t="s">
        <v>2564</v>
      </c>
      <c r="D96" s="91" t="s">
        <v>3481</v>
      </c>
      <c r="E96" s="149" t="s">
        <v>1553</v>
      </c>
      <c r="F96" s="150" t="s">
        <v>3708</v>
      </c>
      <c r="G96" s="151" t="s">
        <v>3058</v>
      </c>
      <c r="H96" s="152" t="s">
        <v>2662</v>
      </c>
      <c r="I96" s="153">
        <v>657</v>
      </c>
      <c r="J96" s="214"/>
      <c r="K96" s="215"/>
      <c r="L96" s="263"/>
      <c r="M96" s="154"/>
      <c r="N96" s="263" t="str">
        <f>B96&amp;"-"&amp;C96&amp;"-"&amp;D96&amp;"-"&amp;IF(E96="요약",1,IF(E96="기출",2,IF(E96="예상",3,IF(E96="판례",4,5))))&amp;F96</f>
        <v>제3편 제1심의 소송절차-제05장 소송 개시와 심리 대상-제01절 소송의 개시-4058.대법원 2009. 12. 24. 선고 2008다15520 판결</v>
      </c>
    </row>
    <row r="97" spans="2:14" ht="14.45" customHeight="1" x14ac:dyDescent="0.2">
      <c r="B97" s="80" t="s">
        <v>2540</v>
      </c>
      <c r="C97" s="86" t="s">
        <v>2564</v>
      </c>
      <c r="D97" s="91" t="s">
        <v>3481</v>
      </c>
      <c r="E97" s="149" t="s">
        <v>1553</v>
      </c>
      <c r="F97" s="150" t="s">
        <v>3703</v>
      </c>
      <c r="G97" s="151" t="s">
        <v>3059</v>
      </c>
      <c r="H97" s="152" t="s">
        <v>2663</v>
      </c>
      <c r="I97" s="153">
        <v>472</v>
      </c>
      <c r="J97" s="214"/>
      <c r="K97" s="215"/>
      <c r="L97" s="263"/>
      <c r="M97" s="154"/>
      <c r="N97" s="263" t="str">
        <f>B97&amp;"-"&amp;C97&amp;"-"&amp;D97&amp;"-"&amp;IF(E97="요약",1,IF(E97="기출",2,IF(E97="예상",3,IF(E97="판례",4,5))))&amp;F97</f>
        <v>제3편 제1심의 소송절차-제05장 소송 개시와 심리 대상-제01절 소송의 개시-4059.대법원 1992. 8. 18. 선고 91다39924 판결</v>
      </c>
    </row>
    <row r="98" spans="2:14" ht="14.45" customHeight="1" x14ac:dyDescent="0.2">
      <c r="B98" s="80" t="s">
        <v>2540</v>
      </c>
      <c r="C98" s="86" t="s">
        <v>2564</v>
      </c>
      <c r="D98" s="91" t="s">
        <v>3481</v>
      </c>
      <c r="E98" s="149" t="s">
        <v>1553</v>
      </c>
      <c r="F98" s="150" t="s">
        <v>3704</v>
      </c>
      <c r="G98" s="151" t="s">
        <v>3069</v>
      </c>
      <c r="H98" s="152" t="s">
        <v>2673</v>
      </c>
      <c r="I98" s="153">
        <v>313</v>
      </c>
      <c r="J98" s="214"/>
      <c r="K98" s="215"/>
      <c r="L98" s="263"/>
      <c r="M98" s="154"/>
      <c r="N98" s="263" t="str">
        <f>B98&amp;"-"&amp;C98&amp;"-"&amp;D98&amp;"-"&amp;IF(E98="요약",1,IF(E98="기출",2,IF(E98="예상",3,IF(E98="판례",4,5))))&amp;F98</f>
        <v>제3편 제1심의 소송절차-제05장 소송 개시와 심리 대상-제01절 소송의 개시-4069.대법원 1992. 8. 18. 선고 92다13875,13882,13899 판결</v>
      </c>
    </row>
    <row r="99" spans="2:14" ht="14.45" customHeight="1" x14ac:dyDescent="0.2">
      <c r="B99" s="80" t="s">
        <v>2540</v>
      </c>
      <c r="C99" s="86" t="s">
        <v>2564</v>
      </c>
      <c r="D99" s="91" t="s">
        <v>3481</v>
      </c>
      <c r="E99" s="149" t="s">
        <v>1553</v>
      </c>
      <c r="F99" s="150" t="s">
        <v>3704</v>
      </c>
      <c r="G99" s="151" t="s">
        <v>3069</v>
      </c>
      <c r="H99" s="152" t="s">
        <v>2673</v>
      </c>
      <c r="I99" s="153">
        <v>313</v>
      </c>
      <c r="J99" s="214"/>
      <c r="K99" s="215"/>
      <c r="L99" s="263"/>
      <c r="M99" s="154"/>
      <c r="N99" s="263" t="str">
        <f>B99&amp;"-"&amp;C99&amp;"-"&amp;D99&amp;"-"&amp;IF(E99="요약",1,IF(E99="기출",2,IF(E99="예상",3,IF(E99="판례",4,5))))&amp;F99</f>
        <v>제3편 제1심의 소송절차-제05장 소송 개시와 심리 대상-제01절 소송의 개시-4069.대법원 1992. 8. 18. 선고 92다13875,13882,13899 판결</v>
      </c>
    </row>
    <row r="100" spans="2:14" ht="14.45" customHeight="1" x14ac:dyDescent="0.2">
      <c r="B100" s="80" t="s">
        <v>2540</v>
      </c>
      <c r="C100" s="86" t="s">
        <v>2564</v>
      </c>
      <c r="D100" s="91" t="s">
        <v>3481</v>
      </c>
      <c r="E100" s="149" t="s">
        <v>1553</v>
      </c>
      <c r="F100" s="150" t="s">
        <v>3707</v>
      </c>
      <c r="G100" s="151" t="s">
        <v>3070</v>
      </c>
      <c r="H100" s="152" t="s">
        <v>2674</v>
      </c>
      <c r="I100" s="153">
        <v>693</v>
      </c>
      <c r="J100" s="214"/>
      <c r="K100" s="215"/>
      <c r="L100" s="263"/>
      <c r="M100" s="154"/>
      <c r="N100" s="263" t="str">
        <f>B100&amp;"-"&amp;C100&amp;"-"&amp;D100&amp;"-"&amp;IF(E100="요약",1,IF(E100="기출",2,IF(E100="예상",3,IF(E100="판례",4,5))))&amp;F100</f>
        <v>제3편 제1심의 소송절차-제05장 소송 개시와 심리 대상-제01절 소송의 개시-4070.대법원 2000. 5. 18. 선고 95재다199 전원합의체 판결</v>
      </c>
    </row>
    <row r="101" spans="2:14" ht="14.45" customHeight="1" x14ac:dyDescent="0.2">
      <c r="B101" s="80" t="s">
        <v>2540</v>
      </c>
      <c r="C101" s="86" t="s">
        <v>2564</v>
      </c>
      <c r="D101" s="91" t="s">
        <v>3481</v>
      </c>
      <c r="E101" s="149" t="s">
        <v>1553</v>
      </c>
      <c r="F101" s="150" t="s">
        <v>3707</v>
      </c>
      <c r="G101" s="151" t="s">
        <v>3070</v>
      </c>
      <c r="H101" s="152" t="s">
        <v>2674</v>
      </c>
      <c r="I101" s="153">
        <v>693</v>
      </c>
      <c r="J101" s="214"/>
      <c r="K101" s="215"/>
      <c r="L101" s="263"/>
      <c r="M101" s="154"/>
      <c r="N101" s="263" t="str">
        <f>B101&amp;"-"&amp;C101&amp;"-"&amp;D101&amp;"-"&amp;IF(E101="요약",1,IF(E101="기출",2,IF(E101="예상",3,IF(E101="판례",4,5))))&amp;F101</f>
        <v>제3편 제1심의 소송절차-제05장 소송 개시와 심리 대상-제01절 소송의 개시-4070.대법원 2000. 5. 18. 선고 95재다199 전원합의체 판결</v>
      </c>
    </row>
    <row r="102" spans="2:14" ht="14.45" customHeight="1" x14ac:dyDescent="0.2">
      <c r="B102" s="80" t="s">
        <v>2540</v>
      </c>
      <c r="C102" s="86" t="s">
        <v>2564</v>
      </c>
      <c r="D102" s="91" t="s">
        <v>3481</v>
      </c>
      <c r="E102" s="149" t="s">
        <v>1553</v>
      </c>
      <c r="F102" s="150" t="s">
        <v>3709</v>
      </c>
      <c r="G102" s="151" t="s">
        <v>3071</v>
      </c>
      <c r="H102" s="152" t="s">
        <v>2675</v>
      </c>
      <c r="I102" s="153">
        <v>1182</v>
      </c>
      <c r="J102" s="214"/>
      <c r="K102" s="215"/>
      <c r="L102" s="263"/>
      <c r="M102" s="154"/>
      <c r="N102" s="263" t="str">
        <f>B102&amp;"-"&amp;C102&amp;"-"&amp;D102&amp;"-"&amp;IF(E102="요약",1,IF(E102="기출",2,IF(E102="예상",3,IF(E102="판례",4,5))))&amp;F102</f>
        <v>제3편 제1심의 소송절차-제05장 소송 개시와 심리 대상-제01절 소송의 개시-4071.대법원 2018. 10. 18. 선고 2015다232316 전원합의체 판결</v>
      </c>
    </row>
    <row r="103" spans="2:14" ht="14.45" customHeight="1" x14ac:dyDescent="0.2">
      <c r="B103" s="80" t="s">
        <v>2540</v>
      </c>
      <c r="C103" s="86" t="s">
        <v>2564</v>
      </c>
      <c r="D103" s="90" t="s">
        <v>3481</v>
      </c>
      <c r="E103" s="222" t="s">
        <v>1553</v>
      </c>
      <c r="F103" s="223" t="s">
        <v>3706</v>
      </c>
      <c r="G103" s="224" t="s">
        <v>3072</v>
      </c>
      <c r="H103" s="225" t="s">
        <v>2676</v>
      </c>
      <c r="I103" s="226">
        <v>264</v>
      </c>
      <c r="J103" s="227"/>
      <c r="K103" s="228"/>
      <c r="L103" s="260"/>
      <c r="M103" s="229"/>
      <c r="N103" s="260" t="str">
        <f>B103&amp;"-"&amp;C103&amp;"-"&amp;D103&amp;"-"&amp;IF(E103="요약",1,IF(E103="기출",2,IF(E103="예상",3,IF(E103="판례",4,5))))&amp;F103</f>
        <v>제3편 제1심의 소송절차-제05장 소송 개시와 심리 대상-제01절 소송의 개시-4072.대법원 1994. 11. 8. 선고 94다23388 판결</v>
      </c>
    </row>
    <row r="104" spans="2:14" ht="14.45" customHeight="1" x14ac:dyDescent="0.2">
      <c r="B104" s="80" t="s">
        <v>2540</v>
      </c>
      <c r="C104" s="86" t="s">
        <v>2564</v>
      </c>
      <c r="D104" s="83" t="s">
        <v>3432</v>
      </c>
      <c r="E104" s="144" t="s">
        <v>7</v>
      </c>
      <c r="F104" s="145" t="s">
        <v>2223</v>
      </c>
      <c r="G104" s="146" t="s">
        <v>97</v>
      </c>
      <c r="H104" s="147" t="s">
        <v>2288</v>
      </c>
      <c r="I104" s="148">
        <v>2565</v>
      </c>
      <c r="J104" s="212"/>
      <c r="K104" s="213"/>
      <c r="L104" s="262" t="s">
        <v>2595</v>
      </c>
      <c r="M104" s="169"/>
      <c r="N104" s="262" t="str">
        <f>B104&amp;"-"&amp;C104&amp;"-"&amp;D104&amp;"-"&amp;IF(E104="요약",1,IF(E104="기출",2,IF(E104="예상",3,IF(E104="판례",4,5))))&amp;F104</f>
        <v>제3편 제1심의 소송절차-제05장 소송 개시와 심리 대상-제02절 소송요건-1제1심의 소송절차-소송 개시와 심리 대상</v>
      </c>
    </row>
    <row r="105" spans="2:14" ht="14.45" customHeight="1" x14ac:dyDescent="0.2">
      <c r="B105" s="80" t="s">
        <v>2540</v>
      </c>
      <c r="C105" s="86" t="s">
        <v>2564</v>
      </c>
      <c r="D105" s="91" t="s">
        <v>3432</v>
      </c>
      <c r="E105" s="149" t="s">
        <v>2426</v>
      </c>
      <c r="F105" s="150" t="s">
        <v>3551</v>
      </c>
      <c r="G105" s="151" t="s">
        <v>2291</v>
      </c>
      <c r="H105" s="152" t="s">
        <v>2292</v>
      </c>
      <c r="I105" s="153">
        <v>2288</v>
      </c>
      <c r="J105" s="214"/>
      <c r="K105" s="215"/>
      <c r="L105" s="263" t="s">
        <v>2595</v>
      </c>
      <c r="M105" s="154"/>
      <c r="N105" s="263" t="str">
        <f>B105&amp;"-"&amp;C105&amp;"-"&amp;D105&amp;"-"&amp;IF(E105="요약",1,IF(E105="기출",2,IF(E105="예상",3,IF(E105="판례",4,5))))&amp;F105</f>
        <v>제3편 제1심의 소송절차-제05장 소송 개시와 심리 대상-제02절 소송요건-35.02-1</v>
      </c>
    </row>
    <row r="106" spans="2:14" ht="14.45" customHeight="1" x14ac:dyDescent="0.2">
      <c r="B106" s="80" t="s">
        <v>2540</v>
      </c>
      <c r="C106" s="86" t="s">
        <v>2564</v>
      </c>
      <c r="D106" s="91" t="s">
        <v>3432</v>
      </c>
      <c r="E106" s="149" t="s">
        <v>2426</v>
      </c>
      <c r="F106" s="150" t="s">
        <v>3552</v>
      </c>
      <c r="G106" s="151" t="s">
        <v>2293</v>
      </c>
      <c r="H106" s="152" t="s">
        <v>2294</v>
      </c>
      <c r="I106" s="153">
        <v>2132</v>
      </c>
      <c r="J106" s="214"/>
      <c r="K106" s="215"/>
      <c r="L106" s="263" t="s">
        <v>2595</v>
      </c>
      <c r="M106" s="154"/>
      <c r="N106" s="263" t="str">
        <f>B106&amp;"-"&amp;C106&amp;"-"&amp;D106&amp;"-"&amp;IF(E106="요약",1,IF(E106="기출",2,IF(E106="예상",3,IF(E106="판례",4,5))))&amp;F106</f>
        <v>제3편 제1심의 소송절차-제05장 소송 개시와 심리 대상-제02절 소송요건-35.02-2</v>
      </c>
    </row>
    <row r="107" spans="2:14" ht="14.45" customHeight="1" x14ac:dyDescent="0.2">
      <c r="B107" s="80" t="s">
        <v>2540</v>
      </c>
      <c r="C107" s="86" t="s">
        <v>2564</v>
      </c>
      <c r="D107" s="91" t="s">
        <v>3432</v>
      </c>
      <c r="E107" s="149" t="s">
        <v>2334</v>
      </c>
      <c r="F107" s="150" t="s">
        <v>3634</v>
      </c>
      <c r="G107" s="151" t="s">
        <v>3642</v>
      </c>
      <c r="H107" s="152" t="s">
        <v>3636</v>
      </c>
      <c r="I107" s="153">
        <v>1198</v>
      </c>
      <c r="J107" s="214"/>
      <c r="K107" s="215">
        <v>46212</v>
      </c>
      <c r="L107" s="263" t="s">
        <v>2593</v>
      </c>
      <c r="M107" s="154" t="s">
        <v>3518</v>
      </c>
      <c r="N107" s="263" t="str">
        <f>B107&amp;"-"&amp;C107&amp;"-"&amp;D107&amp;"-"&amp;IF(E107="요약",1,IF(E107="기출",2,IF(E107="예상",3,IF(E107="판례",4,5))))&amp;F107</f>
        <v>제3편 제1심의 소송절차-제05장 소송 개시와 심리 대상-제02절 소송요건-35.02-3</v>
      </c>
    </row>
    <row r="108" spans="2:14" ht="14.45" customHeight="1" x14ac:dyDescent="0.2">
      <c r="B108" s="80" t="s">
        <v>2540</v>
      </c>
      <c r="C108" s="86" t="s">
        <v>2564</v>
      </c>
      <c r="D108" s="91" t="s">
        <v>3432</v>
      </c>
      <c r="E108" s="149" t="s">
        <v>1553</v>
      </c>
      <c r="F108" s="150" t="s">
        <v>3712</v>
      </c>
      <c r="G108" s="151" t="s">
        <v>3060</v>
      </c>
      <c r="H108" s="152" t="s">
        <v>2664</v>
      </c>
      <c r="I108" s="153">
        <v>205</v>
      </c>
      <c r="J108" s="214"/>
      <c r="K108" s="215"/>
      <c r="L108" s="263"/>
      <c r="M108" s="154"/>
      <c r="N108" s="263" t="str">
        <f>B108&amp;"-"&amp;C108&amp;"-"&amp;D108&amp;"-"&amp;IF(E108="요약",1,IF(E108="기출",2,IF(E108="예상",3,IF(E108="판례",4,5))))&amp;F108</f>
        <v>제3편 제1심의 소송절차-제05장 소송 개시와 심리 대상-제02절 소송요건-4060.대법원 2007. 11. 29. 선고 2007다63362 판결</v>
      </c>
    </row>
    <row r="109" spans="2:14" ht="14.45" customHeight="1" x14ac:dyDescent="0.2">
      <c r="B109" s="80" t="s">
        <v>2540</v>
      </c>
      <c r="C109" s="86" t="s">
        <v>2564</v>
      </c>
      <c r="D109" s="91" t="s">
        <v>3432</v>
      </c>
      <c r="E109" s="149" t="s">
        <v>1553</v>
      </c>
      <c r="F109" s="150" t="s">
        <v>3711</v>
      </c>
      <c r="G109" s="151" t="s">
        <v>3061</v>
      </c>
      <c r="H109" s="152" t="s">
        <v>2665</v>
      </c>
      <c r="I109" s="153">
        <v>211</v>
      </c>
      <c r="J109" s="214"/>
      <c r="K109" s="215"/>
      <c r="L109" s="263"/>
      <c r="M109" s="154"/>
      <c r="N109" s="263" t="str">
        <f>B109&amp;"-"&amp;C109&amp;"-"&amp;D109&amp;"-"&amp;IF(E109="요약",1,IF(E109="기출",2,IF(E109="예상",3,IF(E109="판례",4,5))))&amp;F109</f>
        <v>제3편 제1심의 소송절차-제05장 소송 개시와 심리 대상-제02절 소송요건-4061.대법원 2003. 1. 10. 선고 2002다57904 판결</v>
      </c>
    </row>
    <row r="110" spans="2:14" ht="14.45" customHeight="1" x14ac:dyDescent="0.2">
      <c r="B110" s="80" t="s">
        <v>2540</v>
      </c>
      <c r="C110" s="86" t="s">
        <v>2564</v>
      </c>
      <c r="D110" s="90" t="s">
        <v>3432</v>
      </c>
      <c r="E110" s="222" t="s">
        <v>1553</v>
      </c>
      <c r="F110" s="223" t="s">
        <v>3710</v>
      </c>
      <c r="G110" s="224" t="s">
        <v>3062</v>
      </c>
      <c r="H110" s="225" t="s">
        <v>2666</v>
      </c>
      <c r="I110" s="226">
        <v>295</v>
      </c>
      <c r="J110" s="227"/>
      <c r="K110" s="228"/>
      <c r="L110" s="260"/>
      <c r="M110" s="229"/>
      <c r="N110" s="260" t="str">
        <f>B110&amp;"-"&amp;C110&amp;"-"&amp;D110&amp;"-"&amp;IF(E110="요약",1,IF(E110="기출",2,IF(E110="예상",3,IF(E110="판례",4,5))))&amp;F110</f>
        <v>제3편 제1심의 소송절차-제05장 소송 개시와 심리 대상-제02절 소송요건-4062.대법원 1989. 10. 10. 선고 89누1308 판결</v>
      </c>
    </row>
    <row r="111" spans="2:14" ht="14.45" customHeight="1" x14ac:dyDescent="0.2">
      <c r="B111" s="80" t="s">
        <v>2540</v>
      </c>
      <c r="C111" s="86" t="s">
        <v>2564</v>
      </c>
      <c r="D111" s="83" t="s">
        <v>3419</v>
      </c>
      <c r="E111" s="144" t="s">
        <v>7</v>
      </c>
      <c r="F111" s="145" t="s">
        <v>2223</v>
      </c>
      <c r="G111" s="146" t="s">
        <v>98</v>
      </c>
      <c r="H111" s="147" t="s">
        <v>2268</v>
      </c>
      <c r="I111" s="148">
        <v>2433</v>
      </c>
      <c r="J111" s="212"/>
      <c r="K111" s="213"/>
      <c r="L111" s="262" t="s">
        <v>2594</v>
      </c>
      <c r="M111" s="169"/>
      <c r="N111" s="262" t="str">
        <f>B111&amp;"-"&amp;C111&amp;"-"&amp;D111&amp;"-"&amp;IF(E111="요약",1,IF(E111="기출",2,IF(E111="예상",3,IF(E111="판례",4,5))))&amp;F111</f>
        <v>제3편 제1심의 소송절차-제05장 소송 개시와 심리 대상-제03절 소의 이익-1제1심의 소송절차-소송 개시와 심리 대상</v>
      </c>
    </row>
    <row r="112" spans="2:14" ht="14.45" customHeight="1" x14ac:dyDescent="0.2">
      <c r="B112" s="80" t="s">
        <v>2540</v>
      </c>
      <c r="C112" s="86" t="s">
        <v>2564</v>
      </c>
      <c r="D112" s="91" t="s">
        <v>3419</v>
      </c>
      <c r="E112" s="149" t="s">
        <v>2425</v>
      </c>
      <c r="F112" s="150" t="s">
        <v>160</v>
      </c>
      <c r="G112" s="151" t="s">
        <v>2447</v>
      </c>
      <c r="H112" s="152" t="s">
        <v>2448</v>
      </c>
      <c r="I112" s="153">
        <v>1668</v>
      </c>
      <c r="J112" s="214"/>
      <c r="K112" s="215"/>
      <c r="L112" s="263" t="s">
        <v>2594</v>
      </c>
      <c r="M112" s="154"/>
      <c r="N112" s="263" t="str">
        <f>B112&amp;"-"&amp;C112&amp;"-"&amp;D112&amp;"-"&amp;IF(E112="요약",1,IF(E112="기출",2,IF(E112="예상",3,IF(E112="판례",4,5))))&amp;F112</f>
        <v>제3편 제1심의 소송절차-제05장 소송 개시와 심리 대상-제03절 소의 이익-22018-1-1</v>
      </c>
    </row>
    <row r="113" spans="2:14" ht="14.45" customHeight="1" x14ac:dyDescent="0.2">
      <c r="B113" s="80" t="s">
        <v>2540</v>
      </c>
      <c r="C113" s="86" t="s">
        <v>2564</v>
      </c>
      <c r="D113" s="91" t="s">
        <v>3419</v>
      </c>
      <c r="E113" s="149" t="s">
        <v>2425</v>
      </c>
      <c r="F113" s="150" t="s">
        <v>2311</v>
      </c>
      <c r="G113" s="151" t="s">
        <v>2444</v>
      </c>
      <c r="H113" s="152" t="s">
        <v>2445</v>
      </c>
      <c r="I113" s="153">
        <v>1691</v>
      </c>
      <c r="J113" s="214"/>
      <c r="K113" s="215"/>
      <c r="L113" s="263" t="s">
        <v>2594</v>
      </c>
      <c r="M113" s="154" t="s">
        <v>3518</v>
      </c>
      <c r="N113" s="263" t="str">
        <f>B113&amp;"-"&amp;C113&amp;"-"&amp;D113&amp;"-"&amp;IF(E113="요약",1,IF(E113="기출",2,IF(E113="예상",3,IF(E113="판례",4,5))))&amp;F113</f>
        <v>제3편 제1심의 소송절차-제05장 소송 개시와 심리 대상-제03절 소의 이익-22023-2</v>
      </c>
    </row>
    <row r="114" spans="2:14" ht="14.45" customHeight="1" x14ac:dyDescent="0.2">
      <c r="B114" s="80" t="s">
        <v>2540</v>
      </c>
      <c r="C114" s="86" t="s">
        <v>2564</v>
      </c>
      <c r="D114" s="91" t="s">
        <v>3419</v>
      </c>
      <c r="E114" s="149" t="s">
        <v>2425</v>
      </c>
      <c r="F114" s="150" t="s">
        <v>159</v>
      </c>
      <c r="G114" s="151" t="s">
        <v>2441</v>
      </c>
      <c r="H114" s="152" t="s">
        <v>2442</v>
      </c>
      <c r="I114" s="153">
        <v>1135</v>
      </c>
      <c r="J114" s="214"/>
      <c r="K114" s="215"/>
      <c r="L114" s="263" t="s">
        <v>2594</v>
      </c>
      <c r="M114" s="154" t="s">
        <v>3518</v>
      </c>
      <c r="N114" s="263" t="str">
        <f>B114&amp;"-"&amp;C114&amp;"-"&amp;D114&amp;"-"&amp;IF(E114="요약",1,IF(E114="기출",2,IF(E114="예상",3,IF(E114="판례",4,5))))&amp;F114</f>
        <v>제3편 제1심의 소송절차-제05장 소송 개시와 심리 대상-제03절 소의 이익-22025-2</v>
      </c>
    </row>
    <row r="115" spans="2:14" ht="14.45" customHeight="1" x14ac:dyDescent="0.2">
      <c r="B115" s="80" t="s">
        <v>2540</v>
      </c>
      <c r="C115" s="86" t="s">
        <v>2564</v>
      </c>
      <c r="D115" s="91" t="s">
        <v>3419</v>
      </c>
      <c r="E115" s="149" t="s">
        <v>1553</v>
      </c>
      <c r="F115" s="150" t="s">
        <v>3724</v>
      </c>
      <c r="G115" s="151" t="s">
        <v>3063</v>
      </c>
      <c r="H115" s="152" t="s">
        <v>2667</v>
      </c>
      <c r="I115" s="153">
        <v>1250</v>
      </c>
      <c r="J115" s="214"/>
      <c r="K115" s="215"/>
      <c r="L115" s="263"/>
      <c r="M115" s="154"/>
      <c r="N115" s="263" t="str">
        <f>B115&amp;"-"&amp;C115&amp;"-"&amp;D115&amp;"-"&amp;IF(E115="요약",1,IF(E115="기출",2,IF(E115="예상",3,IF(E115="판례",4,5))))&amp;F115</f>
        <v>제3편 제1심의 소송절차-제05장 소송 개시와 심리 대상-제03절 소의 이익-4063.대법원 2018. 7. 19. 선고 2018다22008 전원합의체 판결</v>
      </c>
    </row>
    <row r="116" spans="2:14" ht="14.45" customHeight="1" x14ac:dyDescent="0.2">
      <c r="B116" s="80" t="s">
        <v>2540</v>
      </c>
      <c r="C116" s="86" t="s">
        <v>2564</v>
      </c>
      <c r="D116" s="91" t="s">
        <v>3419</v>
      </c>
      <c r="E116" s="149" t="s">
        <v>1553</v>
      </c>
      <c r="F116" s="150" t="s">
        <v>3719</v>
      </c>
      <c r="G116" s="151" t="s">
        <v>3064</v>
      </c>
      <c r="H116" s="152" t="s">
        <v>2668</v>
      </c>
      <c r="I116" s="153">
        <v>415</v>
      </c>
      <c r="J116" s="214"/>
      <c r="K116" s="215"/>
      <c r="L116" s="263"/>
      <c r="M116" s="154"/>
      <c r="N116" s="263" t="str">
        <f>B116&amp;"-"&amp;C116&amp;"-"&amp;D116&amp;"-"&amp;IF(E116="요약",1,IF(E116="기출",2,IF(E116="예상",3,IF(E116="판례",4,5))))&amp;F116</f>
        <v>제3편 제1심의 소송절차-제05장 소송 개시와 심리 대상-제03절 소의 이익-4064.대법원 1991. 12. 24. 선고 90다12243 전원합의체 판결</v>
      </c>
    </row>
    <row r="117" spans="2:14" ht="14.45" customHeight="1" x14ac:dyDescent="0.2">
      <c r="B117" s="80" t="s">
        <v>2540</v>
      </c>
      <c r="C117" s="86" t="s">
        <v>2564</v>
      </c>
      <c r="D117" s="91" t="s">
        <v>3419</v>
      </c>
      <c r="E117" s="149" t="s">
        <v>1553</v>
      </c>
      <c r="F117" s="150" t="s">
        <v>3723</v>
      </c>
      <c r="G117" s="151" t="s">
        <v>3065</v>
      </c>
      <c r="H117" s="152" t="s">
        <v>2669</v>
      </c>
      <c r="I117" s="153">
        <v>323</v>
      </c>
      <c r="J117" s="214"/>
      <c r="K117" s="215"/>
      <c r="L117" s="263"/>
      <c r="M117" s="154"/>
      <c r="N117" s="263" t="str">
        <f>B117&amp;"-"&amp;C117&amp;"-"&amp;D117&amp;"-"&amp;IF(E117="요약",1,IF(E117="기출",2,IF(E117="예상",3,IF(E117="판례",4,5))))&amp;F117</f>
        <v>제3편 제1심의 소송절차-제05장 소송 개시와 심리 대상-제03절 소의 이익-4065.대법원 2016. 9. 30. 선고 2016다200552 판결</v>
      </c>
    </row>
    <row r="118" spans="2:14" ht="14.45" customHeight="1" x14ac:dyDescent="0.2">
      <c r="B118" s="80" t="s">
        <v>2540</v>
      </c>
      <c r="C118" s="86" t="s">
        <v>2564</v>
      </c>
      <c r="D118" s="91" t="s">
        <v>3419</v>
      </c>
      <c r="E118" s="149" t="s">
        <v>1553</v>
      </c>
      <c r="F118" s="150" t="s">
        <v>3722</v>
      </c>
      <c r="G118" s="151" t="s">
        <v>3066</v>
      </c>
      <c r="H118" s="152" t="s">
        <v>2670</v>
      </c>
      <c r="I118" s="153">
        <v>513</v>
      </c>
      <c r="J118" s="214"/>
      <c r="K118" s="215"/>
      <c r="L118" s="263"/>
      <c r="M118" s="154"/>
      <c r="N118" s="263" t="str">
        <f>B118&amp;"-"&amp;C118&amp;"-"&amp;D118&amp;"-"&amp;IF(E118="요약",1,IF(E118="기출",2,IF(E118="예상",3,IF(E118="판례",4,5))))&amp;F118</f>
        <v>제3편 제1심의 소송절차-제05장 소송 개시와 심리 대상-제03절 소의 이익-4066.대법원 2013. 11. 28. 선고 2011다80449 판결</v>
      </c>
    </row>
    <row r="119" spans="2:14" ht="14.45" customHeight="1" x14ac:dyDescent="0.2">
      <c r="B119" s="80" t="s">
        <v>2540</v>
      </c>
      <c r="C119" s="86" t="s">
        <v>2564</v>
      </c>
      <c r="D119" s="91" t="s">
        <v>3419</v>
      </c>
      <c r="E119" s="149" t="s">
        <v>1553</v>
      </c>
      <c r="F119" s="150" t="s">
        <v>3715</v>
      </c>
      <c r="G119" s="151" t="s">
        <v>3067</v>
      </c>
      <c r="H119" s="152" t="s">
        <v>2671</v>
      </c>
      <c r="I119" s="153">
        <v>241</v>
      </c>
      <c r="J119" s="214"/>
      <c r="K119" s="215"/>
      <c r="L119" s="263"/>
      <c r="M119" s="154"/>
      <c r="N119" s="263" t="str">
        <f>B119&amp;"-"&amp;C119&amp;"-"&amp;D119&amp;"-"&amp;IF(E119="요약",1,IF(E119="기출",2,IF(E119="예상",3,IF(E119="판례",4,5))))&amp;F119</f>
        <v>제3편 제1심의 소송절차-제05장 소송 개시와 심리 대상-제03절 소의 이익-4067.대법원 1987. 9. 22. 선고 86다카2151 판결</v>
      </c>
    </row>
    <row r="120" spans="2:14" ht="14.45" customHeight="1" x14ac:dyDescent="0.2">
      <c r="B120" s="80" t="s">
        <v>2540</v>
      </c>
      <c r="C120" s="86" t="s">
        <v>2564</v>
      </c>
      <c r="D120" s="91" t="s">
        <v>3419</v>
      </c>
      <c r="E120" s="149" t="s">
        <v>1553</v>
      </c>
      <c r="F120" s="150" t="s">
        <v>3714</v>
      </c>
      <c r="G120" s="151" t="s">
        <v>3068</v>
      </c>
      <c r="H120" s="152" t="s">
        <v>2672</v>
      </c>
      <c r="I120" s="153">
        <v>323</v>
      </c>
      <c r="J120" s="214"/>
      <c r="K120" s="215"/>
      <c r="L120" s="263"/>
      <c r="M120" s="154"/>
      <c r="N120" s="263" t="str">
        <f>B120&amp;"-"&amp;C120&amp;"-"&amp;D120&amp;"-"&amp;IF(E120="요약",1,IF(E120="기출",2,IF(E120="예상",3,IF(E120="판례",4,5))))&amp;F120</f>
        <v>제3편 제1심의 소송절차-제05장 소송 개시와 심리 대상-제03절 소의 이익-4068.대법원 1981. 9. 22. 선고 80다2270 판결</v>
      </c>
    </row>
    <row r="121" spans="2:14" ht="14.45" customHeight="1" x14ac:dyDescent="0.2">
      <c r="B121" s="80" t="s">
        <v>2540</v>
      </c>
      <c r="C121" s="86" t="s">
        <v>2564</v>
      </c>
      <c r="D121" s="91" t="s">
        <v>3419</v>
      </c>
      <c r="E121" s="149" t="s">
        <v>1553</v>
      </c>
      <c r="F121" s="150" t="s">
        <v>3713</v>
      </c>
      <c r="G121" s="151" t="s">
        <v>3073</v>
      </c>
      <c r="H121" s="152" t="s">
        <v>2677</v>
      </c>
      <c r="I121" s="153">
        <v>265</v>
      </c>
      <c r="J121" s="214"/>
      <c r="K121" s="215"/>
      <c r="L121" s="263"/>
      <c r="M121" s="154"/>
      <c r="N121" s="263" t="str">
        <f>B121&amp;"-"&amp;C121&amp;"-"&amp;D121&amp;"-"&amp;IF(E121="요약",1,IF(E121="기출",2,IF(E121="예상",3,IF(E121="판례",4,5))))&amp;F121</f>
        <v>제3편 제1심의 소송절차-제05장 소송 개시와 심리 대상-제03절 소의 이익-4073.대법원 1979. 4. 10. 선고 78다2399 판결</v>
      </c>
    </row>
    <row r="122" spans="2:14" ht="14.45" customHeight="1" x14ac:dyDescent="0.2">
      <c r="B122" s="80" t="s">
        <v>2540</v>
      </c>
      <c r="C122" s="86" t="s">
        <v>2564</v>
      </c>
      <c r="D122" s="91" t="s">
        <v>3419</v>
      </c>
      <c r="E122" s="149" t="s">
        <v>1553</v>
      </c>
      <c r="F122" s="150" t="s">
        <v>3718</v>
      </c>
      <c r="G122" s="151" t="s">
        <v>3074</v>
      </c>
      <c r="H122" s="152" t="s">
        <v>2678</v>
      </c>
      <c r="I122" s="153">
        <v>364</v>
      </c>
      <c r="J122" s="214"/>
      <c r="K122" s="215"/>
      <c r="L122" s="263"/>
      <c r="M122" s="154"/>
      <c r="N122" s="263" t="str">
        <f>B122&amp;"-"&amp;C122&amp;"-"&amp;D122&amp;"-"&amp;IF(E122="요약",1,IF(E122="기출",2,IF(E122="예상",3,IF(E122="판례",4,5))))&amp;F122</f>
        <v>제3편 제1심의 소송절차-제05장 소송 개시와 심리 대상-제03절 소의 이익-4074.대법원 1991. 12. 10. 선고 91다15317 판결</v>
      </c>
    </row>
    <row r="123" spans="2:14" ht="14.45" customHeight="1" x14ac:dyDescent="0.2">
      <c r="B123" s="80" t="s">
        <v>2540</v>
      </c>
      <c r="C123" s="86" t="s">
        <v>2564</v>
      </c>
      <c r="D123" s="91" t="s">
        <v>3419</v>
      </c>
      <c r="E123" s="149" t="s">
        <v>1553</v>
      </c>
      <c r="F123" s="150" t="s">
        <v>3716</v>
      </c>
      <c r="G123" s="151" t="s">
        <v>3075</v>
      </c>
      <c r="H123" s="152" t="s">
        <v>2679</v>
      </c>
      <c r="I123" s="153">
        <v>388</v>
      </c>
      <c r="J123" s="214"/>
      <c r="K123" s="215"/>
      <c r="L123" s="263"/>
      <c r="M123" s="154"/>
      <c r="N123" s="263" t="str">
        <f>B123&amp;"-"&amp;C123&amp;"-"&amp;D123&amp;"-"&amp;IF(E123="요약",1,IF(E123="기출",2,IF(E123="예상",3,IF(E123="판례",4,5))))&amp;F123</f>
        <v>제3편 제1심의 소송절차-제05장 소송 개시와 심리 대상-제03절 소의 이익-4075.대법원 1988. 9. 27. 선고 87다카2269 판결</v>
      </c>
    </row>
    <row r="124" spans="2:14" ht="14.45" customHeight="1" x14ac:dyDescent="0.2">
      <c r="B124" s="80" t="s">
        <v>2540</v>
      </c>
      <c r="C124" s="86" t="s">
        <v>2564</v>
      </c>
      <c r="D124" s="91" t="s">
        <v>3419</v>
      </c>
      <c r="E124" s="149" t="s">
        <v>1553</v>
      </c>
      <c r="F124" s="150" t="s">
        <v>3717</v>
      </c>
      <c r="G124" s="151" t="s">
        <v>3076</v>
      </c>
      <c r="H124" s="152" t="s">
        <v>2680</v>
      </c>
      <c r="I124" s="153">
        <v>251</v>
      </c>
      <c r="J124" s="214"/>
      <c r="K124" s="215"/>
      <c r="L124" s="263"/>
      <c r="M124" s="154"/>
      <c r="N124" s="263" t="str">
        <f>B124&amp;"-"&amp;C124&amp;"-"&amp;D124&amp;"-"&amp;IF(E124="요약",1,IF(E124="기출",2,IF(E124="예상",3,IF(E124="판례",4,5))))&amp;F124</f>
        <v>제3편 제1심의 소송절차-제05장 소송 개시와 심리 대상-제03절 소의 이익-4076.대법원 1991. 10. 11. 선고 91다1264 판결</v>
      </c>
    </row>
    <row r="125" spans="2:14" ht="14.45" customHeight="1" x14ac:dyDescent="0.2">
      <c r="B125" s="80" t="s">
        <v>2540</v>
      </c>
      <c r="C125" s="86" t="s">
        <v>2564</v>
      </c>
      <c r="D125" s="91" t="s">
        <v>3419</v>
      </c>
      <c r="E125" s="149" t="s">
        <v>1553</v>
      </c>
      <c r="F125" s="150" t="s">
        <v>3721</v>
      </c>
      <c r="G125" s="151" t="s">
        <v>3077</v>
      </c>
      <c r="H125" s="152" t="s">
        <v>2681</v>
      </c>
      <c r="I125" s="153">
        <v>272</v>
      </c>
      <c r="J125" s="214"/>
      <c r="K125" s="215"/>
      <c r="L125" s="263"/>
      <c r="M125" s="154"/>
      <c r="N125" s="263" t="str">
        <f>B125&amp;"-"&amp;C125&amp;"-"&amp;D125&amp;"-"&amp;IF(E125="요약",1,IF(E125="기출",2,IF(E125="예상",3,IF(E125="판례",4,5))))&amp;F125</f>
        <v>제3편 제1심의 소송절차-제05장 소송 개시와 심리 대상-제03절 소의 이익-4077.대법원 1999. 6. 8. 선고 99다17401,17418 판결</v>
      </c>
    </row>
    <row r="126" spans="2:14" ht="14.45" customHeight="1" x14ac:dyDescent="0.2">
      <c r="B126" s="80" t="s">
        <v>2540</v>
      </c>
      <c r="C126" s="86" t="s">
        <v>2564</v>
      </c>
      <c r="D126" s="91" t="s">
        <v>3419</v>
      </c>
      <c r="E126" s="149" t="s">
        <v>1553</v>
      </c>
      <c r="F126" s="150" t="s">
        <v>3725</v>
      </c>
      <c r="G126" s="151" t="s">
        <v>3078</v>
      </c>
      <c r="H126" s="152" t="s">
        <v>2682</v>
      </c>
      <c r="I126" s="153">
        <v>533</v>
      </c>
      <c r="J126" s="214"/>
      <c r="K126" s="215"/>
      <c r="L126" s="263"/>
      <c r="M126" s="154"/>
      <c r="N126" s="263" t="str">
        <f>B126&amp;"-"&amp;C126&amp;"-"&amp;D126&amp;"-"&amp;IF(E126="요약",1,IF(E126="기출",2,IF(E126="예상",3,IF(E126="판례",4,5))))&amp;F126</f>
        <v>제3편 제1심의 소송절차-제05장 소송 개시와 심리 대상-제03절 소의 이익-4078.대법원 2020. 2. 20. 선고 2019두52386 전원합의체 판결</v>
      </c>
    </row>
    <row r="127" spans="2:14" ht="14.45" customHeight="1" x14ac:dyDescent="0.2">
      <c r="B127" s="80" t="s">
        <v>2540</v>
      </c>
      <c r="C127" s="86" t="s">
        <v>2564</v>
      </c>
      <c r="D127" s="90" t="s">
        <v>3419</v>
      </c>
      <c r="E127" s="222" t="s">
        <v>1553</v>
      </c>
      <c r="F127" s="223" t="s">
        <v>3720</v>
      </c>
      <c r="G127" s="224" t="s">
        <v>3079</v>
      </c>
      <c r="H127" s="225" t="s">
        <v>2683</v>
      </c>
      <c r="I127" s="226">
        <v>357</v>
      </c>
      <c r="J127" s="227"/>
      <c r="K127" s="228"/>
      <c r="L127" s="260"/>
      <c r="M127" s="229"/>
      <c r="N127" s="260" t="str">
        <f>B127&amp;"-"&amp;C127&amp;"-"&amp;D127&amp;"-"&amp;IF(E127="요약",1,IF(E127="기출",2,IF(E127="예상",3,IF(E127="판례",4,5))))&amp;F127</f>
        <v>제3편 제1심의 소송절차-제05장 소송 개시와 심리 대상-제03절 소의 이익-4079.대법원 1993. 11. 23. 선고 93다41792,41808 판결</v>
      </c>
    </row>
    <row r="128" spans="2:14" ht="14.45" customHeight="1" x14ac:dyDescent="0.2">
      <c r="B128" s="80" t="s">
        <v>2540</v>
      </c>
      <c r="C128" s="86" t="s">
        <v>2564</v>
      </c>
      <c r="D128" s="83" t="s">
        <v>3433</v>
      </c>
      <c r="E128" s="144" t="s">
        <v>7</v>
      </c>
      <c r="F128" s="145" t="s">
        <v>2223</v>
      </c>
      <c r="G128" s="146" t="s">
        <v>99</v>
      </c>
      <c r="H128" s="147" t="s">
        <v>2269</v>
      </c>
      <c r="I128" s="148">
        <v>2609</v>
      </c>
      <c r="J128" s="212"/>
      <c r="K128" s="213"/>
      <c r="L128" s="262" t="s">
        <v>2595</v>
      </c>
      <c r="M128" s="169"/>
      <c r="N128" s="262" t="str">
        <f>B128&amp;"-"&amp;C128&amp;"-"&amp;D128&amp;"-"&amp;IF(E128="요약",1,IF(E128="기출",2,IF(E128="예상",3,IF(E128="판례",4,5))))&amp;F128</f>
        <v>제3편 제1심의 소송절차-제05장 소송 개시와 심리 대상-제04절 소송물-1제1심의 소송절차-소송 개시와 심리 대상</v>
      </c>
    </row>
    <row r="129" spans="2:14" ht="14.45" customHeight="1" x14ac:dyDescent="0.2">
      <c r="B129" s="80" t="s">
        <v>2540</v>
      </c>
      <c r="C129" s="86" t="s">
        <v>2564</v>
      </c>
      <c r="D129" s="91" t="s">
        <v>3433</v>
      </c>
      <c r="E129" s="149" t="s">
        <v>2426</v>
      </c>
      <c r="F129" s="150" t="s">
        <v>3553</v>
      </c>
      <c r="G129" s="151" t="s">
        <v>207</v>
      </c>
      <c r="H129" s="152" t="s">
        <v>2171</v>
      </c>
      <c r="I129" s="153">
        <v>1844</v>
      </c>
      <c r="J129" s="214"/>
      <c r="K129" s="215"/>
      <c r="L129" s="263" t="s">
        <v>2595</v>
      </c>
      <c r="M129" s="154"/>
      <c r="N129" s="263" t="str">
        <f>B129&amp;"-"&amp;C129&amp;"-"&amp;D129&amp;"-"&amp;IF(E129="요약",1,IF(E129="기출",2,IF(E129="예상",3,IF(E129="판례",4,5))))&amp;F129</f>
        <v>제3편 제1심의 소송절차-제05장 소송 개시와 심리 대상-제04절 소송물-35.04-1</v>
      </c>
    </row>
    <row r="130" spans="2:14" ht="14.45" customHeight="1" x14ac:dyDescent="0.2">
      <c r="B130" s="80" t="s">
        <v>2540</v>
      </c>
      <c r="C130" s="86" t="s">
        <v>2564</v>
      </c>
      <c r="D130" s="91" t="s">
        <v>3433</v>
      </c>
      <c r="E130" s="149" t="s">
        <v>2426</v>
      </c>
      <c r="F130" s="150" t="s">
        <v>3554</v>
      </c>
      <c r="G130" s="151" t="s">
        <v>208</v>
      </c>
      <c r="H130" s="152" t="s">
        <v>2172</v>
      </c>
      <c r="I130" s="153">
        <v>2035</v>
      </c>
      <c r="J130" s="214"/>
      <c r="K130" s="215"/>
      <c r="L130" s="263" t="s">
        <v>2595</v>
      </c>
      <c r="M130" s="154"/>
      <c r="N130" s="263" t="str">
        <f>B130&amp;"-"&amp;C130&amp;"-"&amp;D130&amp;"-"&amp;IF(E130="요약",1,IF(E130="기출",2,IF(E130="예상",3,IF(E130="판례",4,5))))&amp;F130</f>
        <v>제3편 제1심의 소송절차-제05장 소송 개시와 심리 대상-제04절 소송물-35.04-2</v>
      </c>
    </row>
    <row r="131" spans="2:14" ht="14.45" customHeight="1" x14ac:dyDescent="0.2">
      <c r="B131" s="80" t="s">
        <v>2540</v>
      </c>
      <c r="C131" s="86" t="s">
        <v>2564</v>
      </c>
      <c r="D131" s="91" t="s">
        <v>3433</v>
      </c>
      <c r="E131" s="149" t="s">
        <v>1553</v>
      </c>
      <c r="F131" s="150" t="s">
        <v>3727</v>
      </c>
      <c r="G131" s="151" t="s">
        <v>3080</v>
      </c>
      <c r="H131" s="152" t="s">
        <v>2684</v>
      </c>
      <c r="I131" s="153">
        <v>315</v>
      </c>
      <c r="J131" s="214"/>
      <c r="K131" s="215"/>
      <c r="L131" s="263"/>
      <c r="M131" s="154"/>
      <c r="N131" s="263" t="str">
        <f>B131&amp;"-"&amp;C131&amp;"-"&amp;D131&amp;"-"&amp;IF(E131="요약",1,IF(E131="기출",2,IF(E131="예상",3,IF(E131="판례",4,5))))&amp;F131</f>
        <v>제3편 제1심의 소송절차-제05장 소송 개시와 심리 대상-제04절 소송물-4080.대법원 1963. 7. 25. 선고 63다241 판결</v>
      </c>
    </row>
    <row r="132" spans="2:14" ht="14.45" customHeight="1" x14ac:dyDescent="0.2">
      <c r="B132" s="80" t="s">
        <v>2540</v>
      </c>
      <c r="C132" s="86" t="s">
        <v>2564</v>
      </c>
      <c r="D132" s="91" t="s">
        <v>3433</v>
      </c>
      <c r="E132" s="149" t="s">
        <v>1553</v>
      </c>
      <c r="F132" s="150" t="s">
        <v>3728</v>
      </c>
      <c r="G132" s="151" t="s">
        <v>3081</v>
      </c>
      <c r="H132" s="152" t="s">
        <v>2685</v>
      </c>
      <c r="I132" s="153">
        <v>241</v>
      </c>
      <c r="J132" s="214"/>
      <c r="K132" s="215"/>
      <c r="L132" s="263"/>
      <c r="M132" s="154"/>
      <c r="N132" s="263" t="str">
        <f>B132&amp;"-"&amp;C132&amp;"-"&amp;D132&amp;"-"&amp;IF(E132="요약",1,IF(E132="기출",2,IF(E132="예상",3,IF(E132="판례",4,5))))&amp;F132</f>
        <v>제3편 제1심의 소송절차-제05장 소송 개시와 심리 대상-제04절 소송물-4081.대법원 1976. 10. 12. 선고 76다1313 판결</v>
      </c>
    </row>
    <row r="133" spans="2:14" ht="14.45" customHeight="1" x14ac:dyDescent="0.2">
      <c r="B133" s="80" t="s">
        <v>2540</v>
      </c>
      <c r="C133" s="86" t="s">
        <v>2564</v>
      </c>
      <c r="D133" s="91" t="s">
        <v>3433</v>
      </c>
      <c r="E133" s="149" t="s">
        <v>1553</v>
      </c>
      <c r="F133" s="150" t="s">
        <v>3737</v>
      </c>
      <c r="G133" s="151" t="s">
        <v>3082</v>
      </c>
      <c r="H133" s="152" t="s">
        <v>2686</v>
      </c>
      <c r="I133" s="153">
        <v>251</v>
      </c>
      <c r="J133" s="214"/>
      <c r="K133" s="215"/>
      <c r="L133" s="263"/>
      <c r="M133" s="154"/>
      <c r="N133" s="263" t="str">
        <f>B133&amp;"-"&amp;C133&amp;"-"&amp;D133&amp;"-"&amp;IF(E133="요약",1,IF(E133="기출",2,IF(E133="예상",3,IF(E133="판례",4,5))))&amp;F133</f>
        <v>제3편 제1심의 소송절차-제05장 소송 개시와 심리 대상-제04절 소송물-4082.대법원 2007. 4. 13. 선고 2006다78640 판결</v>
      </c>
    </row>
    <row r="134" spans="2:14" ht="14.45" customHeight="1" x14ac:dyDescent="0.2">
      <c r="B134" s="80" t="s">
        <v>2540</v>
      </c>
      <c r="C134" s="86" t="s">
        <v>2564</v>
      </c>
      <c r="D134" s="91" t="s">
        <v>3433</v>
      </c>
      <c r="E134" s="149" t="s">
        <v>1553</v>
      </c>
      <c r="F134" s="150" t="s">
        <v>3732</v>
      </c>
      <c r="G134" s="151" t="s">
        <v>3083</v>
      </c>
      <c r="H134" s="152" t="s">
        <v>2687</v>
      </c>
      <c r="I134" s="153">
        <v>218</v>
      </c>
      <c r="J134" s="214"/>
      <c r="K134" s="215"/>
      <c r="L134" s="263"/>
      <c r="M134" s="154"/>
      <c r="N134" s="263" t="str">
        <f>B134&amp;"-"&amp;C134&amp;"-"&amp;D134&amp;"-"&amp;IF(E134="요약",1,IF(E134="기출",2,IF(E134="예상",3,IF(E134="판례",4,5))))&amp;F134</f>
        <v>제3편 제1심의 소송절차-제05장 소송 개시와 심리 대상-제04절 소송물-4083.대법원 1996. 6. 14. 선고 94다53006 판결</v>
      </c>
    </row>
    <row r="135" spans="2:14" ht="14.45" customHeight="1" x14ac:dyDescent="0.2">
      <c r="B135" s="80" t="s">
        <v>2540</v>
      </c>
      <c r="C135" s="86" t="s">
        <v>2564</v>
      </c>
      <c r="D135" s="91" t="s">
        <v>3433</v>
      </c>
      <c r="E135" s="149" t="s">
        <v>1553</v>
      </c>
      <c r="F135" s="150" t="s">
        <v>3733</v>
      </c>
      <c r="G135" s="151" t="s">
        <v>3084</v>
      </c>
      <c r="H135" s="152" t="s">
        <v>2688</v>
      </c>
      <c r="I135" s="153">
        <v>233</v>
      </c>
      <c r="J135" s="214"/>
      <c r="K135" s="215"/>
      <c r="L135" s="263"/>
      <c r="M135" s="154"/>
      <c r="N135" s="263" t="str">
        <f>B135&amp;"-"&amp;C135&amp;"-"&amp;D135&amp;"-"&amp;IF(E135="요약",1,IF(E135="기출",2,IF(E135="예상",3,IF(E135="판례",4,5))))&amp;F135</f>
        <v>제3편 제1심의 소송절차-제05장 소송 개시와 심리 대상-제04절 소송물-4084.대법원 1997. 4. 25. 선고 96다32133 판결</v>
      </c>
    </row>
    <row r="136" spans="2:14" ht="14.45" customHeight="1" x14ac:dyDescent="0.2">
      <c r="B136" s="80" t="s">
        <v>2540</v>
      </c>
      <c r="C136" s="86" t="s">
        <v>2564</v>
      </c>
      <c r="D136" s="91" t="s">
        <v>3433</v>
      </c>
      <c r="E136" s="149" t="s">
        <v>1553</v>
      </c>
      <c r="F136" s="150" t="s">
        <v>3731</v>
      </c>
      <c r="G136" s="151" t="s">
        <v>3085</v>
      </c>
      <c r="H136" s="152" t="s">
        <v>2689</v>
      </c>
      <c r="I136" s="153">
        <v>280</v>
      </c>
      <c r="J136" s="214"/>
      <c r="K136" s="215"/>
      <c r="L136" s="263"/>
      <c r="M136" s="154"/>
      <c r="N136" s="263" t="str">
        <f>B136&amp;"-"&amp;C136&amp;"-"&amp;D136&amp;"-"&amp;IF(E136="요약",1,IF(E136="기출",2,IF(E136="예상",3,IF(E136="판례",4,5))))&amp;F136</f>
        <v>제3편 제1심의 소송절차-제05장 소송 개시와 심리 대상-제04절 소송물-4085.대법원 1992. 6. 12. 선고 92다11848 판결</v>
      </c>
    </row>
    <row r="137" spans="2:14" ht="14.45" customHeight="1" x14ac:dyDescent="0.2">
      <c r="B137" s="80" t="s">
        <v>2540</v>
      </c>
      <c r="C137" s="86" t="s">
        <v>2564</v>
      </c>
      <c r="D137" s="91" t="s">
        <v>3433</v>
      </c>
      <c r="E137" s="149" t="s">
        <v>1553</v>
      </c>
      <c r="F137" s="150" t="s">
        <v>3729</v>
      </c>
      <c r="G137" s="151" t="s">
        <v>3086</v>
      </c>
      <c r="H137" s="152" t="s">
        <v>2690</v>
      </c>
      <c r="I137" s="153">
        <v>347</v>
      </c>
      <c r="J137" s="214"/>
      <c r="K137" s="215"/>
      <c r="L137" s="263"/>
      <c r="M137" s="154"/>
      <c r="N137" s="263" t="str">
        <f>B137&amp;"-"&amp;C137&amp;"-"&amp;D137&amp;"-"&amp;IF(E137="요약",1,IF(E137="기출",2,IF(E137="예상",3,IF(E137="판례",4,5))))&amp;F137</f>
        <v>제3편 제1심의 소송절차-제05장 소송 개시와 심리 대상-제04절 소송물-4086.대법원 1981. 12. 22. 선고 80다1548 판결</v>
      </c>
    </row>
    <row r="138" spans="2:14" ht="14.45" customHeight="1" x14ac:dyDescent="0.2">
      <c r="B138" s="80" t="s">
        <v>2540</v>
      </c>
      <c r="C138" s="86" t="s">
        <v>2564</v>
      </c>
      <c r="D138" s="91" t="s">
        <v>3433</v>
      </c>
      <c r="E138" s="149" t="s">
        <v>1553</v>
      </c>
      <c r="F138" s="150" t="s">
        <v>3730</v>
      </c>
      <c r="G138" s="151" t="s">
        <v>3087</v>
      </c>
      <c r="H138" s="152" t="s">
        <v>2691</v>
      </c>
      <c r="I138" s="153">
        <v>431</v>
      </c>
      <c r="J138" s="214"/>
      <c r="K138" s="215"/>
      <c r="L138" s="263"/>
      <c r="M138" s="154"/>
      <c r="N138" s="263" t="str">
        <f>B138&amp;"-"&amp;C138&amp;"-"&amp;D138&amp;"-"&amp;IF(E138="요약",1,IF(E138="기출",2,IF(E138="예상",3,IF(E138="판례",4,5))))&amp;F138</f>
        <v>제3편 제1심의 소송절차-제05장 소송 개시와 심리 대상-제04절 소송물-4087.대법원 1986. 9. 23. 선고 85다353 판결</v>
      </c>
    </row>
    <row r="139" spans="2:14" ht="14.45" customHeight="1" x14ac:dyDescent="0.2">
      <c r="B139" s="80" t="s">
        <v>2540</v>
      </c>
      <c r="C139" s="86" t="s">
        <v>2564</v>
      </c>
      <c r="D139" s="91" t="s">
        <v>3433</v>
      </c>
      <c r="E139" s="149" t="s">
        <v>1553</v>
      </c>
      <c r="F139" s="150" t="s">
        <v>3734</v>
      </c>
      <c r="G139" s="151" t="s">
        <v>3088</v>
      </c>
      <c r="H139" s="152" t="s">
        <v>2692</v>
      </c>
      <c r="I139" s="153">
        <v>533</v>
      </c>
      <c r="J139" s="214"/>
      <c r="K139" s="215"/>
      <c r="L139" s="263"/>
      <c r="M139" s="154"/>
      <c r="N139" s="263" t="str">
        <f>B139&amp;"-"&amp;C139&amp;"-"&amp;D139&amp;"-"&amp;IF(E139="요약",1,IF(E139="기출",2,IF(E139="예상",3,IF(E139="판례",4,5))))&amp;F139</f>
        <v>제3편 제1심의 소송절차-제05장 소송 개시와 심리 대상-제04절 소송물-4088.대법원 2001. 9. 20. 선고 99다37894 전원합의체 판결</v>
      </c>
    </row>
    <row r="140" spans="2:14" ht="14.45" customHeight="1" x14ac:dyDescent="0.2">
      <c r="B140" s="80" t="s">
        <v>2540</v>
      </c>
      <c r="C140" s="86" t="s">
        <v>2564</v>
      </c>
      <c r="D140" s="91" t="s">
        <v>3433</v>
      </c>
      <c r="E140" s="149" t="s">
        <v>1553</v>
      </c>
      <c r="F140" s="150" t="s">
        <v>3726</v>
      </c>
      <c r="G140" s="151" t="s">
        <v>3089</v>
      </c>
      <c r="H140" s="152" t="s">
        <v>2693</v>
      </c>
      <c r="I140" s="153">
        <v>191</v>
      </c>
      <c r="J140" s="214"/>
      <c r="K140" s="215"/>
      <c r="L140" s="263"/>
      <c r="M140" s="154"/>
      <c r="N140" s="263" t="str">
        <f>B140&amp;"-"&amp;C140&amp;"-"&amp;D140&amp;"-"&amp;IF(E140="요약",1,IF(E140="기출",2,IF(E140="예상",3,IF(E140="판례",4,5))))&amp;F140</f>
        <v>제3편 제1심의 소송절차-제05장 소송 개시와 심리 대상-제04절 소송물-4089.대법원 1963. 1. 31. 선고 62다812 판결</v>
      </c>
    </row>
    <row r="141" spans="2:14" ht="14.45" customHeight="1" x14ac:dyDescent="0.2">
      <c r="B141" s="80" t="s">
        <v>2540</v>
      </c>
      <c r="C141" s="86" t="s">
        <v>2564</v>
      </c>
      <c r="D141" s="91" t="s">
        <v>3433</v>
      </c>
      <c r="E141" s="149" t="s">
        <v>1553</v>
      </c>
      <c r="F141" s="150" t="s">
        <v>3735</v>
      </c>
      <c r="G141" s="151" t="s">
        <v>3090</v>
      </c>
      <c r="H141" s="152" t="s">
        <v>2694</v>
      </c>
      <c r="I141" s="153">
        <v>209</v>
      </c>
      <c r="J141" s="214"/>
      <c r="K141" s="215"/>
      <c r="L141" s="263"/>
      <c r="M141" s="154"/>
      <c r="N141" s="263" t="str">
        <f>B141&amp;"-"&amp;C141&amp;"-"&amp;D141&amp;"-"&amp;IF(E141="요약",1,IF(E141="기출",2,IF(E141="예상",3,IF(E141="판례",4,5))))&amp;F141</f>
        <v>제3편 제1심의 소송절차-제05장 소송 개시와 심리 대상-제04절 소송물-4090.대법원 2003. 5. 27. 선고 2001다13532 판결</v>
      </c>
    </row>
    <row r="142" spans="2:14" ht="14.45" customHeight="1" x14ac:dyDescent="0.2">
      <c r="B142" s="80" t="s">
        <v>2540</v>
      </c>
      <c r="C142" s="86" t="s">
        <v>2564</v>
      </c>
      <c r="D142" s="91" t="s">
        <v>3433</v>
      </c>
      <c r="E142" s="149" t="s">
        <v>1553</v>
      </c>
      <c r="F142" s="150" t="s">
        <v>3736</v>
      </c>
      <c r="G142" s="151" t="s">
        <v>3091</v>
      </c>
      <c r="H142" s="152" t="s">
        <v>2695</v>
      </c>
      <c r="I142" s="153">
        <v>254</v>
      </c>
      <c r="J142" s="214"/>
      <c r="K142" s="215"/>
      <c r="L142" s="263"/>
      <c r="M142" s="154"/>
      <c r="N142" s="263" t="str">
        <f>B142&amp;"-"&amp;C142&amp;"-"&amp;D142&amp;"-"&amp;IF(E142="요약",1,IF(E142="기출",2,IF(E142="예상",3,IF(E142="판례",4,5))))&amp;F142</f>
        <v>제3편 제1심의 소송절차-제05장 소송 개시와 심리 대상-제04절 소송물-4091.대법원 2005. 3. 25. 선고 2004다10985,10992 판결</v>
      </c>
    </row>
    <row r="143" spans="2:14" ht="14.45" customHeight="1" x14ac:dyDescent="0.2">
      <c r="B143" s="80" t="s">
        <v>2540</v>
      </c>
      <c r="C143" s="86" t="s">
        <v>2564</v>
      </c>
      <c r="D143" s="90" t="s">
        <v>3433</v>
      </c>
      <c r="E143" s="222" t="s">
        <v>1553</v>
      </c>
      <c r="F143" s="223" t="s">
        <v>3738</v>
      </c>
      <c r="G143" s="224" t="s">
        <v>3092</v>
      </c>
      <c r="H143" s="225" t="s">
        <v>2696</v>
      </c>
      <c r="I143" s="226">
        <v>305</v>
      </c>
      <c r="J143" s="227"/>
      <c r="K143" s="228"/>
      <c r="L143" s="260"/>
      <c r="M143" s="229"/>
      <c r="N143" s="260" t="str">
        <f>B143&amp;"-"&amp;C143&amp;"-"&amp;D143&amp;"-"&amp;IF(E143="요약",1,IF(E143="기출",2,IF(E143="예상",3,IF(E143="판례",4,5))))&amp;F143</f>
        <v>제3편 제1심의 소송절차-제05장 소송 개시와 심리 대상-제04절 소송물-4092.대법원 2019. 10. 17. 선고 2018다300470 판결</v>
      </c>
    </row>
    <row r="144" spans="2:14" ht="14.45" customHeight="1" x14ac:dyDescent="0.2">
      <c r="B144" s="80" t="s">
        <v>2540</v>
      </c>
      <c r="C144" s="86" t="s">
        <v>2564</v>
      </c>
      <c r="D144" s="83" t="s">
        <v>3434</v>
      </c>
      <c r="E144" s="144" t="s">
        <v>7</v>
      </c>
      <c r="F144" s="145" t="s">
        <v>2223</v>
      </c>
      <c r="G144" s="146" t="s">
        <v>100</v>
      </c>
      <c r="H144" s="147" t="s">
        <v>2270</v>
      </c>
      <c r="I144" s="148">
        <v>1191</v>
      </c>
      <c r="J144" s="212"/>
      <c r="K144" s="213"/>
      <c r="L144" s="262" t="s">
        <v>2595</v>
      </c>
      <c r="M144" s="169"/>
      <c r="N144" s="262" t="str">
        <f>B144&amp;"-"&amp;C144&amp;"-"&amp;D144&amp;"-"&amp;IF(E144="요약",1,IF(E144="기출",2,IF(E144="예상",3,IF(E144="판례",4,5))))&amp;F144</f>
        <v>제3편 제1심의 소송절차-제05장 소송 개시와 심리 대상-제05절 소의 제기-1제1심의 소송절차-소송 개시와 심리 대상</v>
      </c>
    </row>
    <row r="145" spans="2:14" ht="14.45" customHeight="1" x14ac:dyDescent="0.2">
      <c r="B145" s="80" t="s">
        <v>2540</v>
      </c>
      <c r="C145" s="86" t="s">
        <v>2564</v>
      </c>
      <c r="D145" s="91" t="s">
        <v>3434</v>
      </c>
      <c r="E145" s="149" t="s">
        <v>2426</v>
      </c>
      <c r="F145" s="150" t="s">
        <v>3555</v>
      </c>
      <c r="G145" s="151" t="s">
        <v>209</v>
      </c>
      <c r="H145" s="152" t="s">
        <v>2173</v>
      </c>
      <c r="I145" s="153">
        <v>1761</v>
      </c>
      <c r="J145" s="214"/>
      <c r="K145" s="215"/>
      <c r="L145" s="263" t="s">
        <v>2595</v>
      </c>
      <c r="M145" s="154"/>
      <c r="N145" s="263" t="str">
        <f>B145&amp;"-"&amp;C145&amp;"-"&amp;D145&amp;"-"&amp;IF(E145="요약",1,IF(E145="기출",2,IF(E145="예상",3,IF(E145="판례",4,5))))&amp;F145</f>
        <v>제3편 제1심의 소송절차-제05장 소송 개시와 심리 대상-제05절 소의 제기-35.05-1</v>
      </c>
    </row>
    <row r="146" spans="2:14" ht="14.45" customHeight="1" x14ac:dyDescent="0.2">
      <c r="B146" s="80" t="s">
        <v>2540</v>
      </c>
      <c r="C146" s="86" t="s">
        <v>2564</v>
      </c>
      <c r="D146" s="90" t="s">
        <v>3434</v>
      </c>
      <c r="E146" s="222" t="s">
        <v>2426</v>
      </c>
      <c r="F146" s="223" t="s">
        <v>3556</v>
      </c>
      <c r="G146" s="224" t="s">
        <v>210</v>
      </c>
      <c r="H146" s="225" t="s">
        <v>2174</v>
      </c>
      <c r="I146" s="226">
        <v>1974</v>
      </c>
      <c r="J146" s="227"/>
      <c r="K146" s="228"/>
      <c r="L146" s="260" t="s">
        <v>2595</v>
      </c>
      <c r="M146" s="229"/>
      <c r="N146" s="260" t="str">
        <f>B146&amp;"-"&amp;C146&amp;"-"&amp;D146&amp;"-"&amp;IF(E146="요약",1,IF(E146="기출",2,IF(E146="예상",3,IF(E146="판례",4,5))))&amp;F146</f>
        <v>제3편 제1심의 소송절차-제05장 소송 개시와 심리 대상-제05절 소의 제기-35.05-2</v>
      </c>
    </row>
    <row r="147" spans="2:14" ht="14.45" customHeight="1" x14ac:dyDescent="0.2">
      <c r="B147" s="80" t="s">
        <v>2540</v>
      </c>
      <c r="C147" s="86" t="s">
        <v>2564</v>
      </c>
      <c r="D147" s="83" t="s">
        <v>3435</v>
      </c>
      <c r="E147" s="144" t="s">
        <v>7</v>
      </c>
      <c r="F147" s="145" t="s">
        <v>2223</v>
      </c>
      <c r="G147" s="146" t="s">
        <v>101</v>
      </c>
      <c r="H147" s="147" t="s">
        <v>2271</v>
      </c>
      <c r="I147" s="148">
        <v>1512</v>
      </c>
      <c r="J147" s="212"/>
      <c r="K147" s="213"/>
      <c r="L147" s="262" t="s">
        <v>2595</v>
      </c>
      <c r="M147" s="169"/>
      <c r="N147" s="262" t="str">
        <f>B147&amp;"-"&amp;C147&amp;"-"&amp;D147&amp;"-"&amp;IF(E147="요약",1,IF(E147="기출",2,IF(E147="예상",3,IF(E147="판례",4,5))))&amp;F147</f>
        <v>제3편 제1심의 소송절차-제05장 소송 개시와 심리 대상-제06절 재판장의 소장심사와 그 후의 조치-1제1심의 소송절차-소송 개시와 심리 대상</v>
      </c>
    </row>
    <row r="148" spans="2:14" ht="14.45" customHeight="1" x14ac:dyDescent="0.2">
      <c r="B148" s="80" t="s">
        <v>2540</v>
      </c>
      <c r="C148" s="86" t="s">
        <v>2564</v>
      </c>
      <c r="D148" s="91" t="s">
        <v>3435</v>
      </c>
      <c r="E148" s="149" t="s">
        <v>2426</v>
      </c>
      <c r="F148" s="150" t="s">
        <v>3557</v>
      </c>
      <c r="G148" s="151" t="s">
        <v>211</v>
      </c>
      <c r="H148" s="152" t="s">
        <v>2175</v>
      </c>
      <c r="I148" s="153">
        <v>1970</v>
      </c>
      <c r="J148" s="214"/>
      <c r="K148" s="215"/>
      <c r="L148" s="263" t="s">
        <v>2595</v>
      </c>
      <c r="M148" s="154"/>
      <c r="N148" s="263" t="str">
        <f>B148&amp;"-"&amp;C148&amp;"-"&amp;D148&amp;"-"&amp;IF(E148="요약",1,IF(E148="기출",2,IF(E148="예상",3,IF(E148="판례",4,5))))&amp;F148</f>
        <v>제3편 제1심의 소송절차-제05장 소송 개시와 심리 대상-제06절 재판장의 소장심사와 그 후의 조치-35.06-1</v>
      </c>
    </row>
    <row r="149" spans="2:14" ht="14.45" customHeight="1" x14ac:dyDescent="0.2">
      <c r="B149" s="80" t="s">
        <v>2540</v>
      </c>
      <c r="C149" s="86" t="s">
        <v>2564</v>
      </c>
      <c r="D149" s="90" t="s">
        <v>3435</v>
      </c>
      <c r="E149" s="222" t="s">
        <v>2426</v>
      </c>
      <c r="F149" s="223" t="s">
        <v>3558</v>
      </c>
      <c r="G149" s="224" t="s">
        <v>212</v>
      </c>
      <c r="H149" s="225" t="s">
        <v>2176</v>
      </c>
      <c r="I149" s="226">
        <v>2051</v>
      </c>
      <c r="J149" s="227"/>
      <c r="K149" s="228"/>
      <c r="L149" s="260" t="s">
        <v>2595</v>
      </c>
      <c r="M149" s="229"/>
      <c r="N149" s="260" t="str">
        <f>B149&amp;"-"&amp;C149&amp;"-"&amp;D149&amp;"-"&amp;IF(E149="요약",1,IF(E149="기출",2,IF(E149="예상",3,IF(E149="판례",4,5))))&amp;F149</f>
        <v>제3편 제1심의 소송절차-제05장 소송 개시와 심리 대상-제06절 재판장의 소장심사와 그 후의 조치-35.06-2</v>
      </c>
    </row>
    <row r="150" spans="2:14" ht="14.45" customHeight="1" x14ac:dyDescent="0.2">
      <c r="B150" s="80" t="s">
        <v>2540</v>
      </c>
      <c r="C150" s="86" t="s">
        <v>2564</v>
      </c>
      <c r="D150" s="83" t="s">
        <v>3423</v>
      </c>
      <c r="E150" s="144" t="s">
        <v>7</v>
      </c>
      <c r="F150" s="145" t="s">
        <v>2223</v>
      </c>
      <c r="G150" s="146" t="s">
        <v>102</v>
      </c>
      <c r="H150" s="147" t="s">
        <v>2272</v>
      </c>
      <c r="I150" s="148">
        <v>2421</v>
      </c>
      <c r="J150" s="212"/>
      <c r="K150" s="213"/>
      <c r="L150" s="262" t="s">
        <v>2593</v>
      </c>
      <c r="M150" s="169" t="s">
        <v>3631</v>
      </c>
      <c r="N150" s="262" t="str">
        <f>B150&amp;"-"&amp;C150&amp;"-"&amp;D150&amp;"-"&amp;IF(E150="요약",1,IF(E150="기출",2,IF(E150="예상",3,IF(E150="판례",4,5))))&amp;F150</f>
        <v>제3편 제1심의 소송절차-제05장 소송 개시와 심리 대상-제07절 소제기의 효과-1제1심의 소송절차-소송 개시와 심리 대상</v>
      </c>
    </row>
    <row r="151" spans="2:14" ht="14.45" customHeight="1" x14ac:dyDescent="0.2">
      <c r="B151" s="80" t="s">
        <v>2540</v>
      </c>
      <c r="C151" s="86" t="s">
        <v>2564</v>
      </c>
      <c r="D151" s="91" t="s">
        <v>3423</v>
      </c>
      <c r="E151" s="149" t="s">
        <v>2425</v>
      </c>
      <c r="F151" s="150" t="s">
        <v>161</v>
      </c>
      <c r="G151" s="151" t="s">
        <v>2453</v>
      </c>
      <c r="H151" s="152" t="s">
        <v>2454</v>
      </c>
      <c r="I151" s="153">
        <v>1554</v>
      </c>
      <c r="J151" s="214"/>
      <c r="K151" s="215"/>
      <c r="L151" s="263" t="s">
        <v>2593</v>
      </c>
      <c r="M151" s="154" t="s">
        <v>3518</v>
      </c>
      <c r="N151" s="263" t="str">
        <f>B151&amp;"-"&amp;C151&amp;"-"&amp;D151&amp;"-"&amp;IF(E151="요약",1,IF(E151="기출",2,IF(E151="예상",3,IF(E151="판례",4,5))))&amp;F151</f>
        <v>제3편 제1심의 소송절차-제05장 소송 개시와 심리 대상-제07절 소제기의 효과-22014-3</v>
      </c>
    </row>
    <row r="152" spans="2:14" ht="14.45" customHeight="1" x14ac:dyDescent="0.2">
      <c r="B152" s="80" t="s">
        <v>2540</v>
      </c>
      <c r="C152" s="86" t="s">
        <v>2564</v>
      </c>
      <c r="D152" s="91" t="s">
        <v>3423</v>
      </c>
      <c r="E152" s="149" t="s">
        <v>2425</v>
      </c>
      <c r="F152" s="150" t="s">
        <v>2312</v>
      </c>
      <c r="G152" s="151" t="s">
        <v>2589</v>
      </c>
      <c r="H152" s="152" t="s">
        <v>2590</v>
      </c>
      <c r="I152" s="153">
        <v>2001</v>
      </c>
      <c r="J152" s="214"/>
      <c r="K152" s="215"/>
      <c r="L152" s="263" t="s">
        <v>2594</v>
      </c>
      <c r="M152" s="154"/>
      <c r="N152" s="263" t="str">
        <f>B152&amp;"-"&amp;C152&amp;"-"&amp;D152&amp;"-"&amp;IF(E152="요약",1,IF(E152="기출",2,IF(E152="예상",3,IF(E152="판례",4,5))))&amp;F152</f>
        <v>제3편 제1심의 소송절차-제05장 소송 개시와 심리 대상-제07절 소제기의 효과-22023-1-1</v>
      </c>
    </row>
    <row r="153" spans="2:14" ht="14.45" customHeight="1" x14ac:dyDescent="0.2">
      <c r="B153" s="80" t="s">
        <v>2540</v>
      </c>
      <c r="C153" s="86" t="s">
        <v>2564</v>
      </c>
      <c r="D153" s="91" t="s">
        <v>3423</v>
      </c>
      <c r="E153" s="149" t="s">
        <v>1553</v>
      </c>
      <c r="F153" s="150" t="s">
        <v>3745</v>
      </c>
      <c r="G153" s="151" t="s">
        <v>3095</v>
      </c>
      <c r="H153" s="152" t="s">
        <v>2699</v>
      </c>
      <c r="I153" s="153">
        <v>921</v>
      </c>
      <c r="J153" s="214"/>
      <c r="K153" s="215"/>
      <c r="L153" s="263"/>
      <c r="M153" s="154"/>
      <c r="N153" s="263" t="str">
        <f>B153&amp;"-"&amp;C153&amp;"-"&amp;D153&amp;"-"&amp;IF(E153="요약",1,IF(E153="기출",2,IF(E153="예상",3,IF(E153="판례",4,5))))&amp;F153</f>
        <v>제3편 제1심의 소송절차-제05장 소송 개시와 심리 대상-제07절 소제기의 효과-4095.대법원 2013. 12. 18. 선고 2013다202120 전원합의체 판결</v>
      </c>
    </row>
    <row r="154" spans="2:14" ht="14.45" customHeight="1" x14ac:dyDescent="0.2">
      <c r="B154" s="80" t="s">
        <v>2540</v>
      </c>
      <c r="C154" s="86" t="s">
        <v>2564</v>
      </c>
      <c r="D154" s="91" t="s">
        <v>3423</v>
      </c>
      <c r="E154" s="149" t="s">
        <v>1553</v>
      </c>
      <c r="F154" s="150" t="s">
        <v>3741</v>
      </c>
      <c r="G154" s="151" t="s">
        <v>3097</v>
      </c>
      <c r="H154" s="152" t="s">
        <v>2701</v>
      </c>
      <c r="I154" s="153">
        <v>406</v>
      </c>
      <c r="J154" s="214"/>
      <c r="K154" s="215"/>
      <c r="L154" s="263"/>
      <c r="M154" s="154"/>
      <c r="N154" s="263" t="str">
        <f>B154&amp;"-"&amp;C154&amp;"-"&amp;D154&amp;"-"&amp;IF(E154="요약",1,IF(E154="기출",2,IF(E154="예상",3,IF(E154="판례",4,5))))&amp;F154</f>
        <v>제3편 제1심의 소송절차-제05장 소송 개시와 심리 대상-제07절 소제기의 효과-4097.대법원 2001. 4. 27. 선고 2000다4050 판결</v>
      </c>
    </row>
    <row r="155" spans="2:14" ht="14.45" customHeight="1" x14ac:dyDescent="0.2">
      <c r="B155" s="80" t="s">
        <v>2540</v>
      </c>
      <c r="C155" s="86" t="s">
        <v>2564</v>
      </c>
      <c r="D155" s="91" t="s">
        <v>3423</v>
      </c>
      <c r="E155" s="149" t="s">
        <v>1553</v>
      </c>
      <c r="F155" s="150" t="s">
        <v>3739</v>
      </c>
      <c r="G155" s="151" t="s">
        <v>3098</v>
      </c>
      <c r="H155" s="152" t="s">
        <v>2702</v>
      </c>
      <c r="I155" s="153">
        <v>251</v>
      </c>
      <c r="J155" s="214"/>
      <c r="K155" s="215"/>
      <c r="L155" s="263"/>
      <c r="M155" s="154"/>
      <c r="N155" s="263" t="str">
        <f>B155&amp;"-"&amp;C155&amp;"-"&amp;D155&amp;"-"&amp;IF(E155="요약",1,IF(E155="기출",2,IF(E155="예상",3,IF(E155="판례",4,5))))&amp;F155</f>
        <v>제3편 제1심의 소송절차-제05장 소송 개시와 심리 대상-제07절 소제기의 효과-4098.대법원 1985. 4. 9. 선고 84다552 판결</v>
      </c>
    </row>
    <row r="156" spans="2:14" ht="14.45" customHeight="1" x14ac:dyDescent="0.2">
      <c r="B156" s="80" t="s">
        <v>2540</v>
      </c>
      <c r="C156" s="86" t="s">
        <v>2564</v>
      </c>
      <c r="D156" s="91" t="s">
        <v>3423</v>
      </c>
      <c r="E156" s="149" t="s">
        <v>1553</v>
      </c>
      <c r="F156" s="150" t="s">
        <v>3742</v>
      </c>
      <c r="G156" s="151" t="s">
        <v>3099</v>
      </c>
      <c r="H156" s="152" t="s">
        <v>2703</v>
      </c>
      <c r="I156" s="153">
        <v>331</v>
      </c>
      <c r="J156" s="214"/>
      <c r="K156" s="215"/>
      <c r="L156" s="263"/>
      <c r="M156" s="154"/>
      <c r="N156" s="263" t="str">
        <f>B156&amp;"-"&amp;C156&amp;"-"&amp;D156&amp;"-"&amp;IF(E156="요약",1,IF(E156="기출",2,IF(E156="예상",3,IF(E156="판례",4,5))))&amp;F156</f>
        <v>제3편 제1심의 소송절차-제05장 소송 개시와 심리 대상-제07절 소제기의 효과-4099.대법원 2001. 7. 24. 선고 2001다22246 판결</v>
      </c>
    </row>
    <row r="157" spans="2:14" ht="14.45" customHeight="1" x14ac:dyDescent="0.2">
      <c r="B157" s="80" t="s">
        <v>2540</v>
      </c>
      <c r="C157" s="86" t="s">
        <v>2564</v>
      </c>
      <c r="D157" s="91" t="s">
        <v>3423</v>
      </c>
      <c r="E157" s="149" t="s">
        <v>1553</v>
      </c>
      <c r="F157" s="150" t="s">
        <v>3746</v>
      </c>
      <c r="G157" s="151" t="s">
        <v>3100</v>
      </c>
      <c r="H157" s="152" t="s">
        <v>2704</v>
      </c>
      <c r="I157" s="153">
        <v>205</v>
      </c>
      <c r="J157" s="214"/>
      <c r="K157" s="215"/>
      <c r="L157" s="263"/>
      <c r="M157" s="154"/>
      <c r="N157" s="263" t="str">
        <f>B157&amp;"-"&amp;C157&amp;"-"&amp;D157&amp;"-"&amp;IF(E157="요약",1,IF(E157="기출",2,IF(E157="예상",3,IF(E157="판례",4,5))))&amp;F157</f>
        <v>제3편 제1심의 소송절차-제05장 소송 개시와 심리 대상-제07절 소제기의 효과-4100.대법원 2017. 11. 14. 선고 2017다23066 판결</v>
      </c>
    </row>
    <row r="158" spans="2:14" ht="14.45" customHeight="1" x14ac:dyDescent="0.2">
      <c r="B158" s="80" t="s">
        <v>2540</v>
      </c>
      <c r="C158" s="86" t="s">
        <v>2564</v>
      </c>
      <c r="D158" s="91" t="s">
        <v>3423</v>
      </c>
      <c r="E158" s="149" t="s">
        <v>1553</v>
      </c>
      <c r="F158" s="150" t="s">
        <v>3744</v>
      </c>
      <c r="G158" s="151" t="s">
        <v>3101</v>
      </c>
      <c r="H158" s="152" t="s">
        <v>2705</v>
      </c>
      <c r="I158" s="153">
        <v>548</v>
      </c>
      <c r="J158" s="214"/>
      <c r="K158" s="215"/>
      <c r="L158" s="263"/>
      <c r="M158" s="154"/>
      <c r="N158" s="263" t="str">
        <f>B158&amp;"-"&amp;C158&amp;"-"&amp;D158&amp;"-"&amp;IF(E158="요약",1,IF(E158="기출",2,IF(E158="예상",3,IF(E158="판례",4,5))))&amp;F158</f>
        <v>제3편 제1심의 소송절차-제05장 소송 개시와 심리 대상-제07절 소제기의 효과-4101.대법원 2011. 11. 10. 선고 2011다54686 판결</v>
      </c>
    </row>
    <row r="159" spans="2:14" ht="14.45" customHeight="1" x14ac:dyDescent="0.2">
      <c r="B159" s="80" t="s">
        <v>2540</v>
      </c>
      <c r="C159" s="86" t="s">
        <v>2564</v>
      </c>
      <c r="D159" s="91" t="s">
        <v>3423</v>
      </c>
      <c r="E159" s="149" t="s">
        <v>1553</v>
      </c>
      <c r="F159" s="150" t="s">
        <v>3740</v>
      </c>
      <c r="G159" s="151" t="s">
        <v>3102</v>
      </c>
      <c r="H159" s="152" t="s">
        <v>2706</v>
      </c>
      <c r="I159" s="153">
        <v>383</v>
      </c>
      <c r="J159" s="214"/>
      <c r="K159" s="215"/>
      <c r="L159" s="263"/>
      <c r="M159" s="154"/>
      <c r="N159" s="263" t="str">
        <f>B159&amp;"-"&amp;C159&amp;"-"&amp;D159&amp;"-"&amp;IF(E159="요약",1,IF(E159="기출",2,IF(E159="예상",3,IF(E159="판례",4,5))))&amp;F159</f>
        <v>제3편 제1심의 소송절차-제05장 소송 개시와 심리 대상-제07절 소제기의 효과-4102.대법원 1992. 4. 10. 선고 91다43695 판결</v>
      </c>
    </row>
    <row r="160" spans="2:14" ht="14.45" customHeight="1" x14ac:dyDescent="0.2">
      <c r="B160" s="80" t="s">
        <v>2540</v>
      </c>
      <c r="C160" s="86" t="s">
        <v>2564</v>
      </c>
      <c r="D160" s="91" t="s">
        <v>3423</v>
      </c>
      <c r="E160" s="149" t="s">
        <v>1553</v>
      </c>
      <c r="F160" s="150" t="s">
        <v>3747</v>
      </c>
      <c r="G160" s="151" t="s">
        <v>3103</v>
      </c>
      <c r="H160" s="152" t="s">
        <v>2707</v>
      </c>
      <c r="I160" s="153">
        <v>547</v>
      </c>
      <c r="J160" s="214"/>
      <c r="K160" s="215"/>
      <c r="L160" s="263"/>
      <c r="M160" s="154"/>
      <c r="N160" s="263" t="str">
        <f>B160&amp;"-"&amp;C160&amp;"-"&amp;D160&amp;"-"&amp;IF(E160="요약",1,IF(E160="기출",2,IF(E160="예상",3,IF(E160="판례",4,5))))&amp;F160</f>
        <v>제3편 제1심의 소송절차-제05장 소송 개시와 심리 대상-제07절 소제기의 효과-4103.대법원 2019. 7. 25. 선고 2019다212945 판결</v>
      </c>
    </row>
    <row r="161" spans="2:14" ht="14.45" customHeight="1" x14ac:dyDescent="0.2">
      <c r="B161" s="80" t="s">
        <v>2540</v>
      </c>
      <c r="C161" s="86" t="s">
        <v>2564</v>
      </c>
      <c r="D161" s="90" t="s">
        <v>3423</v>
      </c>
      <c r="E161" s="222" t="s">
        <v>1553</v>
      </c>
      <c r="F161" s="223" t="s">
        <v>3743</v>
      </c>
      <c r="G161" s="224" t="s">
        <v>3104</v>
      </c>
      <c r="H161" s="225" t="s">
        <v>2708</v>
      </c>
      <c r="I161" s="226">
        <v>745</v>
      </c>
      <c r="J161" s="227"/>
      <c r="K161" s="228"/>
      <c r="L161" s="260"/>
      <c r="M161" s="229"/>
      <c r="N161" s="260" t="str">
        <f>B161&amp;"-"&amp;C161&amp;"-"&amp;D161&amp;"-"&amp;IF(E161="요약",1,IF(E161="기출",2,IF(E161="예상",3,IF(E161="판례",4,5))))&amp;F161</f>
        <v>제3편 제1심의 소송절차-제05장 소송 개시와 심리 대상-제07절 소제기의 효과-4104.대법원 2010. 8. 26. 선고 2008다42416,42423 판결</v>
      </c>
    </row>
    <row r="162" spans="2:14" ht="14.45" customHeight="1" x14ac:dyDescent="0.2">
      <c r="B162" s="80" t="s">
        <v>2540</v>
      </c>
      <c r="C162" s="86" t="s">
        <v>2564</v>
      </c>
      <c r="D162" s="83" t="s">
        <v>3429</v>
      </c>
      <c r="E162" s="144" t="s">
        <v>7</v>
      </c>
      <c r="F162" s="145" t="s">
        <v>2223</v>
      </c>
      <c r="G162" s="146" t="s">
        <v>103</v>
      </c>
      <c r="H162" s="147" t="s">
        <v>2273</v>
      </c>
      <c r="I162" s="148">
        <v>2764</v>
      </c>
      <c r="J162" s="212"/>
      <c r="K162" s="213"/>
      <c r="L162" s="262" t="s">
        <v>2595</v>
      </c>
      <c r="M162" s="169"/>
      <c r="N162" s="262" t="str">
        <f>B162&amp;"-"&amp;C162&amp;"-"&amp;D162&amp;"-"&amp;IF(E162="요약",1,IF(E162="기출",2,IF(E162="예상",3,IF(E162="판례",4,5))))&amp;F162</f>
        <v>제3편 제1심의 소송절차-제05장 소송 개시와 심리 대상-제08절 채권자대위소송에 대한 주요논점-1제1심의 소송절차-소송 개시와 심리 대상</v>
      </c>
    </row>
    <row r="163" spans="2:14" ht="14.45" customHeight="1" x14ac:dyDescent="0.2">
      <c r="B163" s="80" t="s">
        <v>2540</v>
      </c>
      <c r="C163" s="86" t="s">
        <v>2564</v>
      </c>
      <c r="D163" s="91" t="s">
        <v>3429</v>
      </c>
      <c r="E163" s="149" t="s">
        <v>2425</v>
      </c>
      <c r="F163" s="150" t="s">
        <v>2313</v>
      </c>
      <c r="G163" s="151" t="s">
        <v>162</v>
      </c>
      <c r="H163" s="152" t="s">
        <v>2177</v>
      </c>
      <c r="I163" s="153">
        <v>2042</v>
      </c>
      <c r="J163" s="214"/>
      <c r="K163" s="215"/>
      <c r="L163" s="263" t="s">
        <v>2595</v>
      </c>
      <c r="M163" s="154"/>
      <c r="N163" s="263" t="str">
        <f>B163&amp;"-"&amp;C163&amp;"-"&amp;D163&amp;"-"&amp;IF(E163="요약",1,IF(E163="기출",2,IF(E163="예상",3,IF(E163="판례",4,5))))&amp;F163</f>
        <v>제3편 제1심의 소송절차-제05장 소송 개시와 심리 대상-제08절 채권자대위소송에 대한 주요논점-22012-1</v>
      </c>
    </row>
    <row r="164" spans="2:14" ht="14.45" customHeight="1" x14ac:dyDescent="0.2">
      <c r="B164" s="80" t="s">
        <v>2540</v>
      </c>
      <c r="C164" s="86" t="s">
        <v>2564</v>
      </c>
      <c r="D164" s="91" t="s">
        <v>3429</v>
      </c>
      <c r="E164" s="149" t="s">
        <v>1553</v>
      </c>
      <c r="F164" s="150" t="s">
        <v>3748</v>
      </c>
      <c r="G164" s="151" t="s">
        <v>3093</v>
      </c>
      <c r="H164" s="152" t="s">
        <v>2697</v>
      </c>
      <c r="I164" s="153">
        <v>237</v>
      </c>
      <c r="J164" s="214"/>
      <c r="K164" s="215"/>
      <c r="L164" s="263"/>
      <c r="M164" s="154"/>
      <c r="N164" s="263" t="str">
        <f>B164&amp;"-"&amp;C164&amp;"-"&amp;D164&amp;"-"&amp;IF(E164="요약",1,IF(E164="기출",2,IF(E164="예상",3,IF(E164="판례",4,5))))&amp;F164</f>
        <v>제3편 제1심의 소송절차-제05장 소송 개시와 심리 대상-제08절 채권자대위소송에 대한 주요논점-4093.대법원 1974. 1. 29. 선고 73다351 판결</v>
      </c>
    </row>
    <row r="165" spans="2:14" ht="14.45" customHeight="1" x14ac:dyDescent="0.2">
      <c r="B165" s="80" t="s">
        <v>2540</v>
      </c>
      <c r="C165" s="86" t="s">
        <v>2564</v>
      </c>
      <c r="D165" s="91" t="s">
        <v>3429</v>
      </c>
      <c r="E165" s="149" t="s">
        <v>1553</v>
      </c>
      <c r="F165" s="150" t="s">
        <v>3749</v>
      </c>
      <c r="G165" s="151" t="s">
        <v>3094</v>
      </c>
      <c r="H165" s="152" t="s">
        <v>2698</v>
      </c>
      <c r="I165" s="153">
        <v>210</v>
      </c>
      <c r="J165" s="214"/>
      <c r="K165" s="215"/>
      <c r="L165" s="263"/>
      <c r="M165" s="154"/>
      <c r="N165" s="263" t="str">
        <f>B165&amp;"-"&amp;C165&amp;"-"&amp;D165&amp;"-"&amp;IF(E165="요약",1,IF(E165="기출",2,IF(E165="예상",3,IF(E165="판례",4,5))))&amp;F165</f>
        <v>제3편 제1심의 소송절차-제05장 소송 개시와 심리 대상-제08절 채권자대위소송에 대한 주요논점-4094.대법원 1988. 9. 27. 선고 87다카1618 판결</v>
      </c>
    </row>
    <row r="166" spans="2:14" ht="14.45" customHeight="1" thickBot="1" x14ac:dyDescent="0.25">
      <c r="B166" s="80" t="s">
        <v>2540</v>
      </c>
      <c r="C166" s="87" t="s">
        <v>2564</v>
      </c>
      <c r="D166" s="92" t="s">
        <v>3429</v>
      </c>
      <c r="E166" s="155" t="s">
        <v>1553</v>
      </c>
      <c r="F166" s="156" t="s">
        <v>3750</v>
      </c>
      <c r="G166" s="157" t="s">
        <v>3096</v>
      </c>
      <c r="H166" s="158" t="s">
        <v>2700</v>
      </c>
      <c r="I166" s="159">
        <v>423</v>
      </c>
      <c r="J166" s="221"/>
      <c r="K166" s="220"/>
      <c r="L166" s="264"/>
      <c r="M166" s="171"/>
      <c r="N166" s="264" t="str">
        <f>B166&amp;"-"&amp;C166&amp;"-"&amp;D166&amp;"-"&amp;IF(E166="요약",1,IF(E166="기출",2,IF(E166="예상",3,IF(E166="판례",4,5))))&amp;F166</f>
        <v>제3편 제1심의 소송절차-제05장 소송 개시와 심리 대상-제08절 채권자대위소송에 대한 주요논점-4096.대법원 2003. 7. 11. 선고 2003다19558 판결</v>
      </c>
    </row>
    <row r="167" spans="2:14" ht="14.45" customHeight="1" x14ac:dyDescent="0.2">
      <c r="B167" s="80" t="s">
        <v>2540</v>
      </c>
      <c r="C167" s="64" t="s">
        <v>2527</v>
      </c>
      <c r="D167" s="238" t="s">
        <v>3483</v>
      </c>
      <c r="E167" s="239" t="s">
        <v>7</v>
      </c>
      <c r="F167" s="240" t="s">
        <v>2265</v>
      </c>
      <c r="G167" s="241" t="s">
        <v>104</v>
      </c>
      <c r="H167" s="242" t="s">
        <v>2274</v>
      </c>
      <c r="I167" s="243">
        <v>1439</v>
      </c>
      <c r="J167" s="244"/>
      <c r="K167" s="245"/>
      <c r="L167" s="265" t="s">
        <v>2595</v>
      </c>
      <c r="M167" s="246"/>
      <c r="N167" s="265" t="str">
        <f>B167&amp;"-"&amp;C167&amp;"-"&amp;D167&amp;"-"&amp;IF(E167="요약",1,IF(E167="기출",2,IF(E167="예상",3,IF(E167="판례",4,5))))&amp;F167</f>
        <v>제3편 제1심의 소송절차-제06장 변론-제01절 변론의 의의와 종류-1제1심의 소송절차-변론</v>
      </c>
    </row>
    <row r="168" spans="2:14" ht="14.45" customHeight="1" x14ac:dyDescent="0.2">
      <c r="B168" s="80" t="s">
        <v>2540</v>
      </c>
      <c r="C168" s="86" t="s">
        <v>2526</v>
      </c>
      <c r="D168" s="83" t="s">
        <v>3426</v>
      </c>
      <c r="E168" s="144" t="s">
        <v>7</v>
      </c>
      <c r="F168" s="145" t="s">
        <v>2265</v>
      </c>
      <c r="G168" s="146" t="s">
        <v>105</v>
      </c>
      <c r="H168" s="147" t="s">
        <v>2275</v>
      </c>
      <c r="I168" s="148">
        <v>2777</v>
      </c>
      <c r="J168" s="212"/>
      <c r="K168" s="213"/>
      <c r="L168" s="262" t="s">
        <v>2593</v>
      </c>
      <c r="M168" s="169" t="s">
        <v>3627</v>
      </c>
      <c r="N168" s="262" t="str">
        <f>B168&amp;"-"&amp;C168&amp;"-"&amp;D168&amp;"-"&amp;IF(E168="요약",1,IF(E168="기출",2,IF(E168="예상",3,IF(E168="판례",4,5))))&amp;F168</f>
        <v>제3편 제1심의 소송절차-제06장 변론-제02절 심리에 관한 제 원칙-1제1심의 소송절차-변론</v>
      </c>
    </row>
    <row r="169" spans="2:14" ht="14.45" customHeight="1" x14ac:dyDescent="0.2">
      <c r="B169" s="80" t="s">
        <v>2540</v>
      </c>
      <c r="C169" s="86" t="s">
        <v>2526</v>
      </c>
      <c r="D169" s="91" t="s">
        <v>3426</v>
      </c>
      <c r="E169" s="149" t="s">
        <v>2425</v>
      </c>
      <c r="F169" s="150" t="s">
        <v>165</v>
      </c>
      <c r="G169" s="151" t="s">
        <v>163</v>
      </c>
      <c r="H169" s="152" t="s">
        <v>2178</v>
      </c>
      <c r="I169" s="153">
        <v>1571</v>
      </c>
      <c r="J169" s="214"/>
      <c r="K169" s="215"/>
      <c r="L169" s="263" t="s">
        <v>2593</v>
      </c>
      <c r="M169" s="154"/>
      <c r="N169" s="263" t="str">
        <f>B169&amp;"-"&amp;C169&amp;"-"&amp;D169&amp;"-"&amp;IF(E169="요약",1,IF(E169="기출",2,IF(E169="예상",3,IF(E169="판례",4,5))))&amp;F169</f>
        <v>제3편 제1심의 소송절차-제06장 변론-제02절 심리에 관한 제 원칙-22011-1</v>
      </c>
    </row>
    <row r="170" spans="2:14" ht="14.45" customHeight="1" x14ac:dyDescent="0.2">
      <c r="B170" s="80" t="s">
        <v>2540</v>
      </c>
      <c r="C170" s="86" t="s">
        <v>2526</v>
      </c>
      <c r="D170" s="91" t="s">
        <v>3426</v>
      </c>
      <c r="E170" s="149" t="s">
        <v>2425</v>
      </c>
      <c r="F170" s="150" t="s">
        <v>154</v>
      </c>
      <c r="G170" s="151" t="s">
        <v>2357</v>
      </c>
      <c r="H170" s="152" t="s">
        <v>2359</v>
      </c>
      <c r="I170" s="153">
        <v>1413</v>
      </c>
      <c r="J170" s="214"/>
      <c r="K170" s="215"/>
      <c r="L170" s="263" t="s">
        <v>2593</v>
      </c>
      <c r="M170" s="154"/>
      <c r="N170" s="263" t="str">
        <f>B170&amp;"-"&amp;C170&amp;"-"&amp;D170&amp;"-"&amp;IF(E170="요약",1,IF(E170="기출",2,IF(E170="예상",3,IF(E170="판례",4,5))))&amp;F170</f>
        <v>제3편 제1심의 소송절차-제06장 변론-제02절 심리에 관한 제 원칙-22014-1-2</v>
      </c>
    </row>
    <row r="171" spans="2:14" ht="14.45" customHeight="1" x14ac:dyDescent="0.2">
      <c r="B171" s="80" t="s">
        <v>2540</v>
      </c>
      <c r="C171" s="86" t="s">
        <v>2526</v>
      </c>
      <c r="D171" s="91" t="s">
        <v>3426</v>
      </c>
      <c r="E171" s="149" t="s">
        <v>2425</v>
      </c>
      <c r="F171" s="150" t="s">
        <v>2314</v>
      </c>
      <c r="G171" s="151" t="s">
        <v>2456</v>
      </c>
      <c r="H171" s="152" t="s">
        <v>2457</v>
      </c>
      <c r="I171" s="153">
        <v>1582</v>
      </c>
      <c r="J171" s="214"/>
      <c r="K171" s="215"/>
      <c r="L171" s="263" t="s">
        <v>2593</v>
      </c>
      <c r="M171" s="154"/>
      <c r="N171" s="263" t="str">
        <f>B171&amp;"-"&amp;C171&amp;"-"&amp;D171&amp;"-"&amp;IF(E171="요약",1,IF(E171="기출",2,IF(E171="예상",3,IF(E171="판례",4,5))))&amp;F171</f>
        <v>제3편 제1심의 소송절차-제06장 변론-제02절 심리에 관한 제 원칙-22019-1-1</v>
      </c>
    </row>
    <row r="172" spans="2:14" ht="14.45" customHeight="1" x14ac:dyDescent="0.2">
      <c r="B172" s="80" t="s">
        <v>2540</v>
      </c>
      <c r="C172" s="86" t="s">
        <v>2526</v>
      </c>
      <c r="D172" s="91" t="s">
        <v>3426</v>
      </c>
      <c r="E172" s="149" t="s">
        <v>2425</v>
      </c>
      <c r="F172" s="150" t="s">
        <v>164</v>
      </c>
      <c r="G172" s="151" t="s">
        <v>2473</v>
      </c>
      <c r="H172" s="152" t="s">
        <v>2474</v>
      </c>
      <c r="I172" s="153">
        <v>1639</v>
      </c>
      <c r="J172" s="214"/>
      <c r="K172" s="215"/>
      <c r="L172" s="263" t="s">
        <v>2593</v>
      </c>
      <c r="M172" s="154" t="s">
        <v>3518</v>
      </c>
      <c r="N172" s="263" t="str">
        <f>B172&amp;"-"&amp;C172&amp;"-"&amp;D172&amp;"-"&amp;IF(E172="요약",1,IF(E172="기출",2,IF(E172="예상",3,IF(E172="판례",4,5))))&amp;F172</f>
        <v>제3편 제1심의 소송절차-제06장 변론-제02절 심리에 관한 제 원칙-22020-2</v>
      </c>
    </row>
    <row r="173" spans="2:14" ht="14.45" customHeight="1" x14ac:dyDescent="0.2">
      <c r="B173" s="80" t="s">
        <v>2540</v>
      </c>
      <c r="C173" s="86" t="s">
        <v>2526</v>
      </c>
      <c r="D173" s="91" t="s">
        <v>3426</v>
      </c>
      <c r="E173" s="149" t="s">
        <v>2426</v>
      </c>
      <c r="F173" s="150" t="s">
        <v>3566</v>
      </c>
      <c r="G173" s="151" t="s">
        <v>3575</v>
      </c>
      <c r="H173" s="152" t="s">
        <v>3584</v>
      </c>
      <c r="I173" s="153">
        <v>1131</v>
      </c>
      <c r="J173" s="214"/>
      <c r="K173" s="215"/>
      <c r="L173" s="263" t="s">
        <v>2593</v>
      </c>
      <c r="M173" s="154" t="s">
        <v>3518</v>
      </c>
      <c r="N173" s="263" t="str">
        <f>B173&amp;"-"&amp;C173&amp;"-"&amp;D173&amp;"-"&amp;IF(E173="요약",1,IF(E173="기출",2,IF(E173="예상",3,IF(E173="판례",4,5))))&amp;F173</f>
        <v>제3편 제1심의 소송절차-제06장 변론-제02절 심리에 관한 제 원칙-36.02-1</v>
      </c>
    </row>
    <row r="174" spans="2:14" ht="14.45" customHeight="1" x14ac:dyDescent="0.2">
      <c r="B174" s="80" t="s">
        <v>2540</v>
      </c>
      <c r="C174" s="86" t="s">
        <v>2526</v>
      </c>
      <c r="D174" s="91" t="s">
        <v>3426</v>
      </c>
      <c r="E174" s="149" t="s">
        <v>2426</v>
      </c>
      <c r="F174" s="150" t="s">
        <v>3571</v>
      </c>
      <c r="G174" s="151" t="s">
        <v>3576</v>
      </c>
      <c r="H174" s="152" t="s">
        <v>3585</v>
      </c>
      <c r="I174" s="153">
        <v>1269</v>
      </c>
      <c r="J174" s="214"/>
      <c r="K174" s="215"/>
      <c r="L174" s="263" t="s">
        <v>2593</v>
      </c>
      <c r="M174" s="154" t="s">
        <v>3518</v>
      </c>
      <c r="N174" s="263" t="str">
        <f>B174&amp;"-"&amp;C174&amp;"-"&amp;D174&amp;"-"&amp;IF(E174="요약",1,IF(E174="기출",2,IF(E174="예상",3,IF(E174="판례",4,5))))&amp;F174</f>
        <v>제3편 제1심의 소송절차-제06장 변론-제02절 심리에 관한 제 원칙-36.02-2</v>
      </c>
    </row>
    <row r="175" spans="2:14" ht="14.45" customHeight="1" x14ac:dyDescent="0.2">
      <c r="B175" s="80" t="s">
        <v>2540</v>
      </c>
      <c r="C175" s="86" t="s">
        <v>2526</v>
      </c>
      <c r="D175" s="91" t="s">
        <v>3426</v>
      </c>
      <c r="E175" s="149" t="s">
        <v>1553</v>
      </c>
      <c r="F175" s="150" t="s">
        <v>3759</v>
      </c>
      <c r="G175" s="151" t="s">
        <v>3105</v>
      </c>
      <c r="H175" s="152" t="s">
        <v>2709</v>
      </c>
      <c r="I175" s="153">
        <v>465</v>
      </c>
      <c r="J175" s="214"/>
      <c r="K175" s="215"/>
      <c r="L175" s="263"/>
      <c r="M175" s="154"/>
      <c r="N175" s="263" t="str">
        <f>B175&amp;"-"&amp;C175&amp;"-"&amp;D175&amp;"-"&amp;IF(E175="요약",1,IF(E175="기출",2,IF(E175="예상",3,IF(E175="판례",4,5))))&amp;F175</f>
        <v>제3편 제1심의 소송절차-제06장 변론-제02절 심리에 관한 제 원칙-4105.대법원 1992. 7. 14. 선고 92누2424 판결</v>
      </c>
    </row>
    <row r="176" spans="2:14" ht="14.45" customHeight="1" x14ac:dyDescent="0.2">
      <c r="B176" s="80" t="s">
        <v>2540</v>
      </c>
      <c r="C176" s="86" t="s">
        <v>2526</v>
      </c>
      <c r="D176" s="91" t="s">
        <v>3426</v>
      </c>
      <c r="E176" s="149" t="s">
        <v>1553</v>
      </c>
      <c r="F176" s="150" t="s">
        <v>3773</v>
      </c>
      <c r="G176" s="151" t="s">
        <v>3106</v>
      </c>
      <c r="H176" s="152" t="s">
        <v>2710</v>
      </c>
      <c r="I176" s="153">
        <v>179</v>
      </c>
      <c r="J176" s="214"/>
      <c r="K176" s="215"/>
      <c r="L176" s="263"/>
      <c r="M176" s="154"/>
      <c r="N176" s="263" t="str">
        <f>B176&amp;"-"&amp;C176&amp;"-"&amp;D176&amp;"-"&amp;IF(E176="요약",1,IF(E176="기출",2,IF(E176="예상",3,IF(E176="판례",4,5))))&amp;F176</f>
        <v>제3편 제1심의 소송절차-제06장 변론-제02절 심리에 관한 제 원칙-4106.대법원 2020. 1. 30. 선고 2015다49422 판결</v>
      </c>
    </row>
    <row r="177" spans="2:14" ht="14.45" customHeight="1" x14ac:dyDescent="0.2">
      <c r="B177" s="80" t="s">
        <v>2540</v>
      </c>
      <c r="C177" s="86" t="s">
        <v>2526</v>
      </c>
      <c r="D177" s="91" t="s">
        <v>3426</v>
      </c>
      <c r="E177" s="149" t="s">
        <v>1553</v>
      </c>
      <c r="F177" s="150" t="s">
        <v>3756</v>
      </c>
      <c r="G177" s="151" t="s">
        <v>3107</v>
      </c>
      <c r="H177" s="152" t="s">
        <v>2711</v>
      </c>
      <c r="I177" s="153">
        <v>267</v>
      </c>
      <c r="J177" s="214"/>
      <c r="K177" s="215"/>
      <c r="L177" s="263"/>
      <c r="M177" s="154"/>
      <c r="N177" s="263" t="str">
        <f>B177&amp;"-"&amp;C177&amp;"-"&amp;D177&amp;"-"&amp;IF(E177="요약",1,IF(E177="기출",2,IF(E177="예상",3,IF(E177="판례",4,5))))&amp;F177</f>
        <v>제3편 제1심의 소송절차-제06장 변론-제02절 심리에 관한 제 원칙-4107.대법원 1990. 11. 13. 선고 89다카12602 판결</v>
      </c>
    </row>
    <row r="178" spans="2:14" ht="14.45" customHeight="1" x14ac:dyDescent="0.2">
      <c r="B178" s="80" t="s">
        <v>2540</v>
      </c>
      <c r="C178" s="86" t="s">
        <v>2526</v>
      </c>
      <c r="D178" s="91" t="s">
        <v>3426</v>
      </c>
      <c r="E178" s="149" t="s">
        <v>1553</v>
      </c>
      <c r="F178" s="150" t="s">
        <v>3770</v>
      </c>
      <c r="G178" s="151" t="s">
        <v>3108</v>
      </c>
      <c r="H178" s="152" t="s">
        <v>2712</v>
      </c>
      <c r="I178" s="153">
        <v>222</v>
      </c>
      <c r="J178" s="214"/>
      <c r="K178" s="215"/>
      <c r="L178" s="263"/>
      <c r="M178" s="154"/>
      <c r="N178" s="263" t="str">
        <f>B178&amp;"-"&amp;C178&amp;"-"&amp;D178&amp;"-"&amp;IF(E178="요약",1,IF(E178="기출",2,IF(E178="예상",3,IF(E178="판례",4,5))))&amp;F178</f>
        <v>제3편 제1심의 소송절차-제06장 변론-제02절 심리에 관한 제 원칙-4108.대법원 2013. 3. 14. 선고 2010다42624,42631 판결</v>
      </c>
    </row>
    <row r="179" spans="2:14" ht="14.45" customHeight="1" x14ac:dyDescent="0.2">
      <c r="B179" s="80" t="s">
        <v>2540</v>
      </c>
      <c r="C179" s="86" t="s">
        <v>2526</v>
      </c>
      <c r="D179" s="91" t="s">
        <v>3426</v>
      </c>
      <c r="E179" s="149" t="s">
        <v>1553</v>
      </c>
      <c r="F179" s="150" t="s">
        <v>3769</v>
      </c>
      <c r="G179" s="151" t="s">
        <v>3109</v>
      </c>
      <c r="H179" s="152" t="s">
        <v>2713</v>
      </c>
      <c r="I179" s="153">
        <v>440</v>
      </c>
      <c r="J179" s="214"/>
      <c r="K179" s="215"/>
      <c r="L179" s="263"/>
      <c r="M179" s="154"/>
      <c r="N179" s="263" t="str">
        <f>B179&amp;"-"&amp;C179&amp;"-"&amp;D179&amp;"-"&amp;IF(E179="요약",1,IF(E179="기출",2,IF(E179="예상",3,IF(E179="판례",4,5))))&amp;F179</f>
        <v>제3편 제1심의 소송절차-제06장 변론-제02절 심리에 관한 제 원칙-4109.대법원 2012. 5. 17. 선고 2010다28604 전원합의체 판결</v>
      </c>
    </row>
    <row r="180" spans="2:14" ht="14.45" customHeight="1" x14ac:dyDescent="0.2">
      <c r="B180" s="80" t="s">
        <v>2540</v>
      </c>
      <c r="C180" s="86" t="s">
        <v>2526</v>
      </c>
      <c r="D180" s="91" t="s">
        <v>3426</v>
      </c>
      <c r="E180" s="149" t="s">
        <v>1553</v>
      </c>
      <c r="F180" s="150" t="s">
        <v>3758</v>
      </c>
      <c r="G180" s="151" t="s">
        <v>3110</v>
      </c>
      <c r="H180" s="152" t="s">
        <v>2714</v>
      </c>
      <c r="I180" s="153">
        <v>412</v>
      </c>
      <c r="J180" s="214"/>
      <c r="K180" s="215"/>
      <c r="L180" s="263"/>
      <c r="M180" s="154"/>
      <c r="N180" s="263" t="str">
        <f>B180&amp;"-"&amp;C180&amp;"-"&amp;D180&amp;"-"&amp;IF(E180="요약",1,IF(E180="기출",2,IF(E180="예상",3,IF(E180="판례",4,5))))&amp;F180</f>
        <v>제3편 제1심의 소송절차-제06장 변론-제02절 심리에 관한 제 원칙-4110.대법원 1991. 11. 12. 선고 91다27228 판결</v>
      </c>
    </row>
    <row r="181" spans="2:14" ht="14.45" customHeight="1" x14ac:dyDescent="0.2">
      <c r="B181" s="80" t="s">
        <v>2540</v>
      </c>
      <c r="C181" s="86" t="s">
        <v>2526</v>
      </c>
      <c r="D181" s="91" t="s">
        <v>3426</v>
      </c>
      <c r="E181" s="149" t="s">
        <v>1553</v>
      </c>
      <c r="F181" s="150" t="s">
        <v>3771</v>
      </c>
      <c r="G181" s="151" t="s">
        <v>3111</v>
      </c>
      <c r="H181" s="152" t="s">
        <v>2715</v>
      </c>
      <c r="I181" s="153">
        <v>233</v>
      </c>
      <c r="J181" s="214"/>
      <c r="K181" s="215"/>
      <c r="L181" s="263"/>
      <c r="M181" s="154"/>
      <c r="N181" s="263" t="str">
        <f>B181&amp;"-"&amp;C181&amp;"-"&amp;D181&amp;"-"&amp;IF(E181="요약",1,IF(E181="기출",2,IF(E181="예상",3,IF(E181="판례",4,5))))&amp;F181</f>
        <v>제3편 제1심의 소송절차-제06장 변론-제02절 심리에 관한 제 원칙-4111.대법원 2014. 7. 10. 선고 2012다89832 판결</v>
      </c>
    </row>
    <row r="182" spans="2:14" ht="14.45" customHeight="1" x14ac:dyDescent="0.2">
      <c r="B182" s="80" t="s">
        <v>2540</v>
      </c>
      <c r="C182" s="86" t="s">
        <v>2526</v>
      </c>
      <c r="D182" s="91" t="s">
        <v>3426</v>
      </c>
      <c r="E182" s="149" t="s">
        <v>1553</v>
      </c>
      <c r="F182" s="150" t="s">
        <v>3752</v>
      </c>
      <c r="G182" s="151" t="s">
        <v>3112</v>
      </c>
      <c r="H182" s="152" t="s">
        <v>2716</v>
      </c>
      <c r="I182" s="153">
        <v>199</v>
      </c>
      <c r="J182" s="214"/>
      <c r="K182" s="215"/>
      <c r="L182" s="263"/>
      <c r="M182" s="154"/>
      <c r="N182" s="263" t="str">
        <f>B182&amp;"-"&amp;C182&amp;"-"&amp;D182&amp;"-"&amp;IF(E182="요약",1,IF(E182="기출",2,IF(E182="예상",3,IF(E182="판례",4,5))))&amp;F182</f>
        <v>제3편 제1심의 소송절차-제06장 변론-제02절 심리에 관한 제 원칙-4112.대법원 1976. 6. 22. 선고 75다819 판결</v>
      </c>
    </row>
    <row r="183" spans="2:14" ht="14.45" customHeight="1" x14ac:dyDescent="0.2">
      <c r="B183" s="80" t="s">
        <v>2540</v>
      </c>
      <c r="C183" s="86" t="s">
        <v>2526</v>
      </c>
      <c r="D183" s="91" t="s">
        <v>3426</v>
      </c>
      <c r="E183" s="149" t="s">
        <v>1553</v>
      </c>
      <c r="F183" s="150" t="s">
        <v>3760</v>
      </c>
      <c r="G183" s="151" t="s">
        <v>3113</v>
      </c>
      <c r="H183" s="152" t="s">
        <v>2717</v>
      </c>
      <c r="I183" s="153">
        <v>275</v>
      </c>
      <c r="J183" s="214"/>
      <c r="K183" s="215"/>
      <c r="L183" s="263"/>
      <c r="M183" s="154"/>
      <c r="N183" s="263" t="str">
        <f>B183&amp;"-"&amp;C183&amp;"-"&amp;D183&amp;"-"&amp;IF(E183="요약",1,IF(E183="기출",2,IF(E183="예상",3,IF(E183="판례",4,5))))&amp;F183</f>
        <v>제3편 제1심의 소송절차-제06장 변론-제02절 심리에 관한 제 원칙-4113.대법원 1994. 1. 25. 선고 93다9422 판결</v>
      </c>
    </row>
    <row r="184" spans="2:14" ht="14.45" customHeight="1" x14ac:dyDescent="0.2">
      <c r="B184" s="80" t="s">
        <v>2540</v>
      </c>
      <c r="C184" s="86" t="s">
        <v>2526</v>
      </c>
      <c r="D184" s="91" t="s">
        <v>3426</v>
      </c>
      <c r="E184" s="149" t="s">
        <v>1553</v>
      </c>
      <c r="F184" s="150" t="s">
        <v>3751</v>
      </c>
      <c r="G184" s="151" t="s">
        <v>3114</v>
      </c>
      <c r="H184" s="152" t="s">
        <v>2718</v>
      </c>
      <c r="I184" s="153">
        <v>167</v>
      </c>
      <c r="J184" s="214"/>
      <c r="K184" s="215"/>
      <c r="L184" s="263"/>
      <c r="M184" s="154"/>
      <c r="N184" s="263" t="str">
        <f>B184&amp;"-"&amp;C184&amp;"-"&amp;D184&amp;"-"&amp;IF(E184="요약",1,IF(E184="기출",2,IF(E184="예상",3,IF(E184="판례",4,5))))&amp;F184</f>
        <v>제3편 제1심의 소송절차-제06장 변론-제02절 심리에 관한 제 원칙-4114.대법원 1969. 11. 25. 선고 69다1592 판결</v>
      </c>
    </row>
    <row r="185" spans="2:14" ht="14.45" customHeight="1" x14ac:dyDescent="0.2">
      <c r="B185" s="80" t="s">
        <v>2540</v>
      </c>
      <c r="C185" s="86" t="s">
        <v>2526</v>
      </c>
      <c r="D185" s="91" t="s">
        <v>3426</v>
      </c>
      <c r="E185" s="149" t="s">
        <v>1553</v>
      </c>
      <c r="F185" s="150" t="s">
        <v>3763</v>
      </c>
      <c r="G185" s="151" t="s">
        <v>3115</v>
      </c>
      <c r="H185" s="152" t="s">
        <v>2719</v>
      </c>
      <c r="I185" s="153">
        <v>234</v>
      </c>
      <c r="J185" s="214"/>
      <c r="K185" s="215"/>
      <c r="L185" s="263"/>
      <c r="M185" s="154"/>
      <c r="N185" s="263" t="str">
        <f>B185&amp;"-"&amp;C185&amp;"-"&amp;D185&amp;"-"&amp;IF(E185="요약",1,IF(E185="기출",2,IF(E185="예상",3,IF(E185="판례",4,5))))&amp;F185</f>
        <v>제3편 제1심의 소송절차-제06장 변론-제02절 심리에 관한 제 원칙-4115.대법원 1995. 7. 28. 선고 95다19829 판결</v>
      </c>
    </row>
    <row r="186" spans="2:14" ht="14.45" customHeight="1" x14ac:dyDescent="0.2">
      <c r="B186" s="80" t="s">
        <v>2540</v>
      </c>
      <c r="C186" s="86" t="s">
        <v>2526</v>
      </c>
      <c r="D186" s="91" t="s">
        <v>3426</v>
      </c>
      <c r="E186" s="149" t="s">
        <v>1553</v>
      </c>
      <c r="F186" s="150" t="s">
        <v>3767</v>
      </c>
      <c r="G186" s="151" t="s">
        <v>3116</v>
      </c>
      <c r="H186" s="152" t="s">
        <v>2720</v>
      </c>
      <c r="I186" s="153">
        <v>299</v>
      </c>
      <c r="J186" s="214"/>
      <c r="K186" s="215"/>
      <c r="L186" s="263"/>
      <c r="M186" s="154"/>
      <c r="N186" s="263" t="str">
        <f>B186&amp;"-"&amp;C186&amp;"-"&amp;D186&amp;"-"&amp;IF(E186="요약",1,IF(E186="기출",2,IF(E186="예상",3,IF(E186="판례",4,5))))&amp;F186</f>
        <v>제3편 제1심의 소송절차-제06장 변론-제02절 심리에 관한 제 원칙-4116.대법원 2001. 6. 12. 선고 99다20612 판결</v>
      </c>
    </row>
    <row r="187" spans="2:14" ht="14.45" customHeight="1" x14ac:dyDescent="0.2">
      <c r="B187" s="80" t="s">
        <v>2540</v>
      </c>
      <c r="C187" s="86" t="s">
        <v>2526</v>
      </c>
      <c r="D187" s="91" t="s">
        <v>3426</v>
      </c>
      <c r="E187" s="149" t="s">
        <v>1553</v>
      </c>
      <c r="F187" s="150" t="s">
        <v>3761</v>
      </c>
      <c r="G187" s="151" t="s">
        <v>3117</v>
      </c>
      <c r="H187" s="152" t="s">
        <v>2721</v>
      </c>
      <c r="I187" s="153">
        <v>267</v>
      </c>
      <c r="J187" s="214"/>
      <c r="K187" s="215"/>
      <c r="L187" s="263"/>
      <c r="M187" s="154"/>
      <c r="N187" s="263" t="str">
        <f>B187&amp;"-"&amp;C187&amp;"-"&amp;D187&amp;"-"&amp;IF(E187="요약",1,IF(E187="기출",2,IF(E187="예상",3,IF(E187="판례",4,5))))&amp;F187</f>
        <v>제3편 제1심의 소송절차-제06장 변론-제02절 심리에 관한 제 원칙-4117.대법원 1994. 11. 4. 선고 94다37868 판결</v>
      </c>
    </row>
    <row r="188" spans="2:14" ht="14.45" customHeight="1" x14ac:dyDescent="0.2">
      <c r="B188" s="80" t="s">
        <v>2540</v>
      </c>
      <c r="C188" s="86" t="s">
        <v>2526</v>
      </c>
      <c r="D188" s="91" t="s">
        <v>3426</v>
      </c>
      <c r="E188" s="149" t="s">
        <v>1553</v>
      </c>
      <c r="F188" s="150" t="s">
        <v>3757</v>
      </c>
      <c r="G188" s="151" t="s">
        <v>3118</v>
      </c>
      <c r="H188" s="152" t="s">
        <v>2722</v>
      </c>
      <c r="I188" s="153">
        <v>266</v>
      </c>
      <c r="J188" s="214"/>
      <c r="K188" s="215"/>
      <c r="L188" s="263"/>
      <c r="M188" s="154"/>
      <c r="N188" s="263" t="str">
        <f>B188&amp;"-"&amp;C188&amp;"-"&amp;D188&amp;"-"&amp;IF(E188="요약",1,IF(E188="기출",2,IF(E188="예상",3,IF(E188="판례",4,5))))&amp;F188</f>
        <v>제3편 제1심의 소송절차-제06장 변론-제02절 심리에 관한 제 원칙-4118.대법원 1990. 6. 26. 선고 89다카15359 판결</v>
      </c>
    </row>
    <row r="189" spans="2:14" ht="14.45" customHeight="1" x14ac:dyDescent="0.2">
      <c r="B189" s="80" t="s">
        <v>2540</v>
      </c>
      <c r="C189" s="86" t="s">
        <v>2526</v>
      </c>
      <c r="D189" s="91" t="s">
        <v>3426</v>
      </c>
      <c r="E189" s="149" t="s">
        <v>1553</v>
      </c>
      <c r="F189" s="150" t="s">
        <v>3768</v>
      </c>
      <c r="G189" s="151" t="s">
        <v>3119</v>
      </c>
      <c r="H189" s="152" t="s">
        <v>2723</v>
      </c>
      <c r="I189" s="153">
        <v>274</v>
      </c>
      <c r="J189" s="214"/>
      <c r="K189" s="215"/>
      <c r="L189" s="263"/>
      <c r="M189" s="154"/>
      <c r="N189" s="263" t="str">
        <f>B189&amp;"-"&amp;C189&amp;"-"&amp;D189&amp;"-"&amp;IF(E189="요약",1,IF(E189="기출",2,IF(E189="예상",3,IF(E189="판례",4,5))))&amp;F189</f>
        <v>제3편 제1심의 소송절차-제06장 변론-제02절 심리에 관한 제 원칙-4119.대법원 2002. 6. 28. 선고 2000다62254 판결</v>
      </c>
    </row>
    <row r="190" spans="2:14" ht="14.45" customHeight="1" x14ac:dyDescent="0.2">
      <c r="B190" s="80" t="s">
        <v>2540</v>
      </c>
      <c r="C190" s="86" t="s">
        <v>2526</v>
      </c>
      <c r="D190" s="91" t="s">
        <v>3426</v>
      </c>
      <c r="E190" s="149" t="s">
        <v>1553</v>
      </c>
      <c r="F190" s="150" t="s">
        <v>3772</v>
      </c>
      <c r="G190" s="151" t="s">
        <v>3120</v>
      </c>
      <c r="H190" s="152" t="s">
        <v>2724</v>
      </c>
      <c r="I190" s="153">
        <v>337</v>
      </c>
      <c r="J190" s="214"/>
      <c r="K190" s="215"/>
      <c r="L190" s="263"/>
      <c r="M190" s="154"/>
      <c r="N190" s="263" t="str">
        <f>B190&amp;"-"&amp;C190&amp;"-"&amp;D190&amp;"-"&amp;IF(E190="요약",1,IF(E190="기출",2,IF(E190="예상",3,IF(E190="판례",4,5))))&amp;F190</f>
        <v>제3편 제1심의 소송절차-제06장 변론-제02절 심리에 관한 제 원칙-4120.대법원 2017. 3. 22. 선고 2016다258124 판결</v>
      </c>
    </row>
    <row r="191" spans="2:14" ht="14.45" customHeight="1" x14ac:dyDescent="0.2">
      <c r="B191" s="80" t="s">
        <v>2540</v>
      </c>
      <c r="C191" s="86" t="s">
        <v>2526</v>
      </c>
      <c r="D191" s="91" t="s">
        <v>3426</v>
      </c>
      <c r="E191" s="149" t="s">
        <v>1553</v>
      </c>
      <c r="F191" s="150" t="s">
        <v>3764</v>
      </c>
      <c r="G191" s="151" t="s">
        <v>3121</v>
      </c>
      <c r="H191" s="152" t="s">
        <v>2725</v>
      </c>
      <c r="I191" s="153">
        <v>331</v>
      </c>
      <c r="J191" s="214"/>
      <c r="K191" s="215"/>
      <c r="L191" s="263"/>
      <c r="M191" s="154"/>
      <c r="N191" s="263" t="str">
        <f>B191&amp;"-"&amp;C191&amp;"-"&amp;D191&amp;"-"&amp;IF(E191="요약",1,IF(E191="기출",2,IF(E191="예상",3,IF(E191="판례",4,5))))&amp;F191</f>
        <v>제3편 제1심의 소송절차-제06장 변론-제02절 심리에 관한 제 원칙-4121.대법원 1995. 8. 25. 선고 94다35886 판결</v>
      </c>
    </row>
    <row r="192" spans="2:14" ht="14.45" customHeight="1" x14ac:dyDescent="0.2">
      <c r="B192" s="80" t="s">
        <v>2540</v>
      </c>
      <c r="C192" s="86" t="s">
        <v>2526</v>
      </c>
      <c r="D192" s="91" t="s">
        <v>3426</v>
      </c>
      <c r="E192" s="149" t="s">
        <v>1553</v>
      </c>
      <c r="F192" s="150" t="s">
        <v>3753</v>
      </c>
      <c r="G192" s="151" t="s">
        <v>3122</v>
      </c>
      <c r="H192" s="152" t="s">
        <v>2726</v>
      </c>
      <c r="I192" s="153">
        <v>274</v>
      </c>
      <c r="J192" s="214"/>
      <c r="K192" s="215"/>
      <c r="L192" s="263"/>
      <c r="M192" s="154"/>
      <c r="N192" s="263" t="str">
        <f>B192&amp;"-"&amp;C192&amp;"-"&amp;D192&amp;"-"&amp;IF(E192="요약",1,IF(E192="기출",2,IF(E192="예상",3,IF(E192="판례",4,5))))&amp;F192</f>
        <v>제3편 제1심의 소송절차-제06장 변론-제02절 심리에 관한 제 원칙-4122.대법원 1983. 12. 13. 선고 83다카1489 전원합의체 판결</v>
      </c>
    </row>
    <row r="193" spans="2:14" ht="14.45" customHeight="1" x14ac:dyDescent="0.2">
      <c r="B193" s="80" t="s">
        <v>2540</v>
      </c>
      <c r="C193" s="86" t="s">
        <v>2526</v>
      </c>
      <c r="D193" s="91" t="s">
        <v>3426</v>
      </c>
      <c r="E193" s="149" t="s">
        <v>1553</v>
      </c>
      <c r="F193" s="150" t="s">
        <v>3762</v>
      </c>
      <c r="G193" s="151" t="s">
        <v>3123</v>
      </c>
      <c r="H193" s="152" t="s">
        <v>2727</v>
      </c>
      <c r="I193" s="153">
        <v>350</v>
      </c>
      <c r="J193" s="214"/>
      <c r="K193" s="215"/>
      <c r="L193" s="263"/>
      <c r="M193" s="154"/>
      <c r="N193" s="263" t="str">
        <f>B193&amp;"-"&amp;C193&amp;"-"&amp;D193&amp;"-"&amp;IF(E193="요약",1,IF(E193="기출",2,IF(E193="예상",3,IF(E193="판례",4,5))))&amp;F193</f>
        <v>제3편 제1심의 소송절차-제06장 변론-제02절 심리에 관한 제 원칙-4123.대법원 1995. 7. 11. 선고 94다34265 전원합의체 판결</v>
      </c>
    </row>
    <row r="194" spans="2:14" ht="14.45" customHeight="1" x14ac:dyDescent="0.2">
      <c r="B194" s="80" t="s">
        <v>2540</v>
      </c>
      <c r="C194" s="86" t="s">
        <v>2526</v>
      </c>
      <c r="D194" s="91" t="s">
        <v>3426</v>
      </c>
      <c r="E194" s="149" t="s">
        <v>1553</v>
      </c>
      <c r="F194" s="150" t="s">
        <v>3766</v>
      </c>
      <c r="G194" s="151" t="s">
        <v>3124</v>
      </c>
      <c r="H194" s="152" t="s">
        <v>2728</v>
      </c>
      <c r="I194" s="153">
        <v>353</v>
      </c>
      <c r="J194" s="214"/>
      <c r="K194" s="215"/>
      <c r="L194" s="263"/>
      <c r="M194" s="154"/>
      <c r="N194" s="263" t="str">
        <f>B194&amp;"-"&amp;C194&amp;"-"&amp;D194&amp;"-"&amp;IF(E194="요약",1,IF(E194="기출",2,IF(E194="예상",3,IF(E194="판례",4,5))))&amp;F194</f>
        <v>제3편 제1심의 소송절차-제06장 변론-제02절 심리에 관한 제 원칙-4124.대법원 1997. 12. 26. 선고 97다42892,42908 판결</v>
      </c>
    </row>
    <row r="195" spans="2:14" ht="14.45" customHeight="1" x14ac:dyDescent="0.2">
      <c r="B195" s="80" t="s">
        <v>2540</v>
      </c>
      <c r="C195" s="86" t="s">
        <v>2526</v>
      </c>
      <c r="D195" s="91" t="s">
        <v>3426</v>
      </c>
      <c r="E195" s="149" t="s">
        <v>1553</v>
      </c>
      <c r="F195" s="150" t="s">
        <v>3754</v>
      </c>
      <c r="G195" s="151" t="s">
        <v>3125</v>
      </c>
      <c r="H195" s="152" t="s">
        <v>2729</v>
      </c>
      <c r="I195" s="153">
        <v>182</v>
      </c>
      <c r="J195" s="214"/>
      <c r="K195" s="215"/>
      <c r="L195" s="263"/>
      <c r="M195" s="154"/>
      <c r="N195" s="263" t="str">
        <f>B195&amp;"-"&amp;C195&amp;"-"&amp;D195&amp;"-"&amp;IF(E195="요약",1,IF(E195="기출",2,IF(E195="예상",3,IF(E195="판례",4,5))))&amp;F195</f>
        <v>제3편 제1심의 소송절차-제06장 변론-제02절 심리에 관한 제 원칙-4125.대법원 1987. 6. 9. 선고 86다카2600 판결</v>
      </c>
    </row>
    <row r="196" spans="2:14" ht="14.45" customHeight="1" x14ac:dyDescent="0.2">
      <c r="B196" s="80" t="s">
        <v>2540</v>
      </c>
      <c r="C196" s="86" t="s">
        <v>2526</v>
      </c>
      <c r="D196" s="91" t="s">
        <v>3426</v>
      </c>
      <c r="E196" s="149" t="s">
        <v>1553</v>
      </c>
      <c r="F196" s="150" t="s">
        <v>3765</v>
      </c>
      <c r="G196" s="151" t="s">
        <v>3126</v>
      </c>
      <c r="H196" s="152" t="s">
        <v>2730</v>
      </c>
      <c r="I196" s="153">
        <v>284</v>
      </c>
      <c r="J196" s="214"/>
      <c r="K196" s="215"/>
      <c r="L196" s="263"/>
      <c r="M196" s="154"/>
      <c r="N196" s="263" t="str">
        <f>B196&amp;"-"&amp;C196&amp;"-"&amp;D196&amp;"-"&amp;IF(E196="요약",1,IF(E196="기출",2,IF(E196="예상",3,IF(E196="판례",4,5))))&amp;F196</f>
        <v>제3편 제1심의 소송절차-제06장 변론-제02절 심리에 관한 제 원칙-4126.대법원 1996. 10. 25. 선고 96다30113 판결</v>
      </c>
    </row>
    <row r="197" spans="2:14" ht="14.45" customHeight="1" x14ac:dyDescent="0.2">
      <c r="B197" s="80" t="s">
        <v>2540</v>
      </c>
      <c r="C197" s="86" t="s">
        <v>2526</v>
      </c>
      <c r="D197" s="90" t="s">
        <v>3426</v>
      </c>
      <c r="E197" s="222" t="s">
        <v>1553</v>
      </c>
      <c r="F197" s="223" t="s">
        <v>3755</v>
      </c>
      <c r="G197" s="224" t="s">
        <v>3127</v>
      </c>
      <c r="H197" s="225" t="s">
        <v>2731</v>
      </c>
      <c r="I197" s="226">
        <v>144</v>
      </c>
      <c r="J197" s="227"/>
      <c r="K197" s="228"/>
      <c r="L197" s="260"/>
      <c r="M197" s="229"/>
      <c r="N197" s="260" t="str">
        <f>B197&amp;"-"&amp;C197&amp;"-"&amp;D197&amp;"-"&amp;IF(E197="요약",1,IF(E197="기출",2,IF(E197="예상",3,IF(E197="판례",4,5))))&amp;F197</f>
        <v>제3편 제1심의 소송절차-제06장 변론-제02절 심리에 관한 제 원칙-4127.대법원 1989. 9. 29. 선고 88다카17181 판결</v>
      </c>
    </row>
    <row r="198" spans="2:14" ht="14.45" customHeight="1" x14ac:dyDescent="0.2">
      <c r="B198" s="80" t="s">
        <v>2540</v>
      </c>
      <c r="C198" s="86" t="s">
        <v>2526</v>
      </c>
      <c r="D198" s="83" t="s">
        <v>3430</v>
      </c>
      <c r="E198" s="144" t="s">
        <v>7</v>
      </c>
      <c r="F198" s="145" t="s">
        <v>2265</v>
      </c>
      <c r="G198" s="146" t="s">
        <v>106</v>
      </c>
      <c r="H198" s="147" t="s">
        <v>2276</v>
      </c>
      <c r="I198" s="148">
        <v>1682</v>
      </c>
      <c r="J198" s="212"/>
      <c r="K198" s="213"/>
      <c r="L198" s="262" t="s">
        <v>2595</v>
      </c>
      <c r="M198" s="169"/>
      <c r="N198" s="262" t="str">
        <f>B198&amp;"-"&amp;C198&amp;"-"&amp;D198&amp;"-"&amp;IF(E198="요약",1,IF(E198="기출",2,IF(E198="예상",3,IF(E198="판례",4,5))))&amp;F198</f>
        <v>제3편 제1심의 소송절차-제06장 변론-제03절 변론의 준비-1제1심의 소송절차-변론</v>
      </c>
    </row>
    <row r="199" spans="2:14" ht="14.45" customHeight="1" x14ac:dyDescent="0.2">
      <c r="B199" s="80" t="s">
        <v>2540</v>
      </c>
      <c r="C199" s="86" t="s">
        <v>2526</v>
      </c>
      <c r="D199" s="91" t="s">
        <v>3430</v>
      </c>
      <c r="E199" s="149" t="s">
        <v>2425</v>
      </c>
      <c r="F199" s="150" t="s">
        <v>2315</v>
      </c>
      <c r="G199" s="151" t="s">
        <v>166</v>
      </c>
      <c r="H199" s="152" t="s">
        <v>2179</v>
      </c>
      <c r="I199" s="153">
        <v>1336</v>
      </c>
      <c r="J199" s="214"/>
      <c r="K199" s="215"/>
      <c r="L199" s="263" t="s">
        <v>2595</v>
      </c>
      <c r="M199" s="154" t="s">
        <v>3518</v>
      </c>
      <c r="N199" s="263" t="str">
        <f>B199&amp;"-"&amp;C199&amp;"-"&amp;D199&amp;"-"&amp;IF(E199="요약",1,IF(E199="기출",2,IF(E199="예상",3,IF(E199="판례",4,5))))&amp;F199</f>
        <v>제3편 제1심의 소송절차-제06장 변론-제03절 변론의 준비-22012-2</v>
      </c>
    </row>
    <row r="200" spans="2:14" ht="14.45" customHeight="1" x14ac:dyDescent="0.2">
      <c r="B200" s="80" t="s">
        <v>2540</v>
      </c>
      <c r="C200" s="86" t="s">
        <v>2526</v>
      </c>
      <c r="D200" s="90" t="s">
        <v>3430</v>
      </c>
      <c r="E200" s="222" t="s">
        <v>1553</v>
      </c>
      <c r="F200" s="223" t="s">
        <v>3774</v>
      </c>
      <c r="G200" s="224" t="s">
        <v>3133</v>
      </c>
      <c r="H200" s="225" t="s">
        <v>2737</v>
      </c>
      <c r="I200" s="226">
        <v>153</v>
      </c>
      <c r="J200" s="227"/>
      <c r="K200" s="228"/>
      <c r="L200" s="260"/>
      <c r="M200" s="229"/>
      <c r="N200" s="260" t="str">
        <f>B200&amp;"-"&amp;C200&amp;"-"&amp;D200&amp;"-"&amp;IF(E200="요약",1,IF(E200="기출",2,IF(E200="예상",3,IF(E200="판례",4,5))))&amp;F200</f>
        <v>제3편 제1심의 소송절차-제06장 변론-제03절 변론의 준비-4133.대법원 1983. 12. 27. 선고 80다1302 판결</v>
      </c>
    </row>
    <row r="201" spans="2:14" ht="14.45" customHeight="1" x14ac:dyDescent="0.2">
      <c r="B201" s="80" t="s">
        <v>2540</v>
      </c>
      <c r="C201" s="86" t="s">
        <v>2526</v>
      </c>
      <c r="D201" s="83" t="s">
        <v>3424</v>
      </c>
      <c r="E201" s="144" t="s">
        <v>7</v>
      </c>
      <c r="F201" s="145" t="s">
        <v>2265</v>
      </c>
      <c r="G201" s="146" t="s">
        <v>107</v>
      </c>
      <c r="H201" s="147" t="s">
        <v>2277</v>
      </c>
      <c r="I201" s="148">
        <v>2598</v>
      </c>
      <c r="J201" s="212"/>
      <c r="K201" s="213"/>
      <c r="L201" s="262" t="s">
        <v>2595</v>
      </c>
      <c r="M201" s="169"/>
      <c r="N201" s="262" t="str">
        <f>B201&amp;"-"&amp;C201&amp;"-"&amp;D201&amp;"-"&amp;IF(E201="요약",1,IF(E201="기출",2,IF(E201="예상",3,IF(E201="판례",4,5))))&amp;F201</f>
        <v>제3편 제1심의 소송절차-제06장 변론-제04절 변론-1제1심의 소송절차-변론</v>
      </c>
    </row>
    <row r="202" spans="2:14" ht="14.45" customHeight="1" x14ac:dyDescent="0.2">
      <c r="B202" s="80" t="s">
        <v>2540</v>
      </c>
      <c r="C202" s="86" t="s">
        <v>2526</v>
      </c>
      <c r="D202" s="91" t="s">
        <v>3424</v>
      </c>
      <c r="E202" s="149" t="s">
        <v>2425</v>
      </c>
      <c r="F202" s="150" t="s">
        <v>2316</v>
      </c>
      <c r="G202" s="151" t="s">
        <v>2476</v>
      </c>
      <c r="H202" s="152" t="s">
        <v>2477</v>
      </c>
      <c r="I202" s="153">
        <v>1385</v>
      </c>
      <c r="J202" s="214"/>
      <c r="K202" s="215"/>
      <c r="L202" s="263" t="s">
        <v>2595</v>
      </c>
      <c r="M202" s="154" t="s">
        <v>3518</v>
      </c>
      <c r="N202" s="263" t="str">
        <f>B202&amp;"-"&amp;C202&amp;"-"&amp;D202&amp;"-"&amp;IF(E202="요약",1,IF(E202="기출",2,IF(E202="예상",3,IF(E202="판례",4,5))))&amp;F202</f>
        <v>제3편 제1심의 소송절차-제06장 변론-제04절 변론-22022-2</v>
      </c>
    </row>
    <row r="203" spans="2:14" ht="14.45" customHeight="1" x14ac:dyDescent="0.2">
      <c r="B203" s="80" t="s">
        <v>2540</v>
      </c>
      <c r="C203" s="86" t="s">
        <v>2526</v>
      </c>
      <c r="D203" s="91" t="s">
        <v>3424</v>
      </c>
      <c r="E203" s="149" t="s">
        <v>1553</v>
      </c>
      <c r="F203" s="150" t="s">
        <v>3786</v>
      </c>
      <c r="G203" s="151" t="s">
        <v>3128</v>
      </c>
      <c r="H203" s="152" t="s">
        <v>2732</v>
      </c>
      <c r="I203" s="153">
        <v>406</v>
      </c>
      <c r="J203" s="214"/>
      <c r="K203" s="215"/>
      <c r="L203" s="263"/>
      <c r="M203" s="154"/>
      <c r="N203" s="263" t="str">
        <f>B203&amp;"-"&amp;C203&amp;"-"&amp;D203&amp;"-"&amp;IF(E203="요약",1,IF(E203="기출",2,IF(E203="예상",3,IF(E203="판례",4,5))))&amp;F203</f>
        <v>제3편 제1심의 소송절차-제06장 변론-제04절 변론-4128.대법원 2017. 5. 17. 선고 2017다1097 판결</v>
      </c>
    </row>
    <row r="204" spans="2:14" ht="14.45" customHeight="1" x14ac:dyDescent="0.2">
      <c r="B204" s="80" t="s">
        <v>2540</v>
      </c>
      <c r="C204" s="86" t="s">
        <v>2526</v>
      </c>
      <c r="D204" s="91" t="s">
        <v>3424</v>
      </c>
      <c r="E204" s="149" t="s">
        <v>1553</v>
      </c>
      <c r="F204" s="150" t="s">
        <v>3775</v>
      </c>
      <c r="G204" s="151" t="s">
        <v>3129</v>
      </c>
      <c r="H204" s="152" t="s">
        <v>2733</v>
      </c>
      <c r="I204" s="153">
        <v>226</v>
      </c>
      <c r="J204" s="214"/>
      <c r="K204" s="215"/>
      <c r="L204" s="263"/>
      <c r="M204" s="154"/>
      <c r="N204" s="263" t="str">
        <f>B204&amp;"-"&amp;C204&amp;"-"&amp;D204&amp;"-"&amp;IF(E204="요약",1,IF(E204="기출",2,IF(E204="예상",3,IF(E204="판례",4,5))))&amp;F204</f>
        <v>제3편 제1심의 소송절차-제06장 변론-제04절 변론-4129.대법원 1962. 4. 4. 선고 4294민상1122 판결</v>
      </c>
    </row>
    <row r="205" spans="2:14" ht="14.45" customHeight="1" x14ac:dyDescent="0.2">
      <c r="B205" s="80" t="s">
        <v>2540</v>
      </c>
      <c r="C205" s="86" t="s">
        <v>2526</v>
      </c>
      <c r="D205" s="91" t="s">
        <v>3424</v>
      </c>
      <c r="E205" s="149" t="s">
        <v>1553</v>
      </c>
      <c r="F205" s="150" t="s">
        <v>3776</v>
      </c>
      <c r="G205" s="151" t="s">
        <v>3130</v>
      </c>
      <c r="H205" s="152" t="s">
        <v>2734</v>
      </c>
      <c r="I205" s="153">
        <v>302</v>
      </c>
      <c r="J205" s="214"/>
      <c r="K205" s="215"/>
      <c r="L205" s="263"/>
      <c r="M205" s="154"/>
      <c r="N205" s="263" t="str">
        <f>B205&amp;"-"&amp;C205&amp;"-"&amp;D205&amp;"-"&amp;IF(E205="요약",1,IF(E205="기출",2,IF(E205="예상",3,IF(E205="판례",4,5))))&amp;F205</f>
        <v>제3편 제1심의 소송절차-제06장 변론-제04절 변론-4130.대법원 1968. 1. 31. 선고 67다2628 판결</v>
      </c>
    </row>
    <row r="206" spans="2:14" ht="14.45" customHeight="1" x14ac:dyDescent="0.2">
      <c r="B206" s="80" t="s">
        <v>2540</v>
      </c>
      <c r="C206" s="86" t="s">
        <v>2526</v>
      </c>
      <c r="D206" s="91" t="s">
        <v>3424</v>
      </c>
      <c r="E206" s="149" t="s">
        <v>1553</v>
      </c>
      <c r="F206" s="150" t="s">
        <v>3782</v>
      </c>
      <c r="G206" s="151" t="s">
        <v>3131</v>
      </c>
      <c r="H206" s="152" t="s">
        <v>2735</v>
      </c>
      <c r="I206" s="153">
        <v>205</v>
      </c>
      <c r="J206" s="214"/>
      <c r="K206" s="215"/>
      <c r="L206" s="263"/>
      <c r="M206" s="154"/>
      <c r="N206" s="263" t="str">
        <f>B206&amp;"-"&amp;C206&amp;"-"&amp;D206&amp;"-"&amp;IF(E206="요약",1,IF(E206="기출",2,IF(E206="예상",3,IF(E206="판례",4,5))))&amp;F206</f>
        <v>제3편 제1심의 소송절차-제06장 변론-제04절 변론-4131.대법원 2005. 10. 7. 선고 2003다44387,44394 판결</v>
      </c>
    </row>
    <row r="207" spans="2:14" ht="14.45" customHeight="1" x14ac:dyDescent="0.2">
      <c r="B207" s="80" t="s">
        <v>2540</v>
      </c>
      <c r="C207" s="86" t="s">
        <v>2526</v>
      </c>
      <c r="D207" s="91" t="s">
        <v>3424</v>
      </c>
      <c r="E207" s="149" t="s">
        <v>1553</v>
      </c>
      <c r="F207" s="150" t="s">
        <v>3777</v>
      </c>
      <c r="G207" s="151" t="s">
        <v>3132</v>
      </c>
      <c r="H207" s="152" t="s">
        <v>2736</v>
      </c>
      <c r="I207" s="153">
        <v>190</v>
      </c>
      <c r="J207" s="214"/>
      <c r="K207" s="215"/>
      <c r="L207" s="263"/>
      <c r="M207" s="154"/>
      <c r="N207" s="263" t="str">
        <f>B207&amp;"-"&amp;C207&amp;"-"&amp;D207&amp;"-"&amp;IF(E207="요약",1,IF(E207="기출",2,IF(E207="예상",3,IF(E207="판례",4,5))))&amp;F207</f>
        <v>제3편 제1심의 소송절차-제06장 변론-제04절 변론-4132.대법원 1972. 5. 9. 선고 72다379 판결</v>
      </c>
    </row>
    <row r="208" spans="2:14" ht="14.45" customHeight="1" x14ac:dyDescent="0.2">
      <c r="B208" s="80" t="s">
        <v>2540</v>
      </c>
      <c r="C208" s="86" t="s">
        <v>2526</v>
      </c>
      <c r="D208" s="91" t="s">
        <v>3424</v>
      </c>
      <c r="E208" s="149" t="s">
        <v>1553</v>
      </c>
      <c r="F208" s="150" t="s">
        <v>3781</v>
      </c>
      <c r="G208" s="151" t="s">
        <v>3135</v>
      </c>
      <c r="H208" s="152" t="s">
        <v>2739</v>
      </c>
      <c r="I208" s="153">
        <v>197</v>
      </c>
      <c r="J208" s="214"/>
      <c r="K208" s="215"/>
      <c r="L208" s="263"/>
      <c r="M208" s="154"/>
      <c r="N208" s="263" t="str">
        <f>B208&amp;"-"&amp;C208&amp;"-"&amp;D208&amp;"-"&amp;IF(E208="요약",1,IF(E208="기출",2,IF(E208="예상",3,IF(E208="판례",4,5))))&amp;F208</f>
        <v>제3편 제1심의 소송절차-제06장 변론-제04절 변론-4135.대법원 1997. 3. 25. 선고 96다42130 판결</v>
      </c>
    </row>
    <row r="209" spans="2:14" ht="14.45" customHeight="1" x14ac:dyDescent="0.2">
      <c r="B209" s="80" t="s">
        <v>2540</v>
      </c>
      <c r="C209" s="86" t="s">
        <v>2526</v>
      </c>
      <c r="D209" s="91" t="s">
        <v>3424</v>
      </c>
      <c r="E209" s="149" t="s">
        <v>1553</v>
      </c>
      <c r="F209" s="150" t="s">
        <v>3778</v>
      </c>
      <c r="G209" s="151" t="s">
        <v>3136</v>
      </c>
      <c r="H209" s="152" t="s">
        <v>2740</v>
      </c>
      <c r="I209" s="153">
        <v>198</v>
      </c>
      <c r="J209" s="214"/>
      <c r="K209" s="215"/>
      <c r="L209" s="263"/>
      <c r="M209" s="154"/>
      <c r="N209" s="263" t="str">
        <f>B209&amp;"-"&amp;C209&amp;"-"&amp;D209&amp;"-"&amp;IF(E209="요약",1,IF(E209="기출",2,IF(E209="예상",3,IF(E209="판례",4,5))))&amp;F209</f>
        <v>제3편 제1심의 소송절차-제06장 변론-제04절 변론-4136.대법원 1982. 5. 11. 선고 80다916 판결</v>
      </c>
    </row>
    <row r="210" spans="2:14" ht="14.45" customHeight="1" x14ac:dyDescent="0.2">
      <c r="B210" s="80" t="s">
        <v>2540</v>
      </c>
      <c r="C210" s="86" t="s">
        <v>2526</v>
      </c>
      <c r="D210" s="91" t="s">
        <v>3424</v>
      </c>
      <c r="E210" s="149" t="s">
        <v>1553</v>
      </c>
      <c r="F210" s="150" t="s">
        <v>3785</v>
      </c>
      <c r="G210" s="151" t="s">
        <v>3137</v>
      </c>
      <c r="H210" s="152" t="s">
        <v>2741</v>
      </c>
      <c r="I210" s="153">
        <v>550</v>
      </c>
      <c r="J210" s="214"/>
      <c r="K210" s="215"/>
      <c r="L210" s="263"/>
      <c r="M210" s="154"/>
      <c r="N210" s="263" t="str">
        <f>B210&amp;"-"&amp;C210&amp;"-"&amp;D210&amp;"-"&amp;IF(E210="요약",1,IF(E210="기출",2,IF(E210="예상",3,IF(E210="판례",4,5))))&amp;F210</f>
        <v>제3편 제1심의 소송절차-제06장 변론-제04절 변론-4137.대법원 2014. 6. 12. 선고 2013다95964 판결</v>
      </c>
    </row>
    <row r="211" spans="2:14" ht="14.45" customHeight="1" x14ac:dyDescent="0.2">
      <c r="B211" s="80" t="s">
        <v>2540</v>
      </c>
      <c r="C211" s="86" t="s">
        <v>2526</v>
      </c>
      <c r="D211" s="91" t="s">
        <v>3424</v>
      </c>
      <c r="E211" s="149" t="s">
        <v>1553</v>
      </c>
      <c r="F211" s="150" t="s">
        <v>3783</v>
      </c>
      <c r="G211" s="151" t="s">
        <v>3138</v>
      </c>
      <c r="H211" s="152" t="s">
        <v>2742</v>
      </c>
      <c r="I211" s="153">
        <v>323</v>
      </c>
      <c r="J211" s="214"/>
      <c r="K211" s="215"/>
      <c r="L211" s="263"/>
      <c r="M211" s="154"/>
      <c r="N211" s="263" t="str">
        <f>B211&amp;"-"&amp;C211&amp;"-"&amp;D211&amp;"-"&amp;IF(E211="요약",1,IF(E211="기출",2,IF(E211="예상",3,IF(E211="판례",4,5))))&amp;F211</f>
        <v>제3편 제1심의 소송절차-제06장 변론-제04절 변론-4138.대법원 2013. 3. 28. 선고 2011다3329 판결</v>
      </c>
    </row>
    <row r="212" spans="2:14" ht="14.45" customHeight="1" x14ac:dyDescent="0.2">
      <c r="B212" s="80" t="s">
        <v>2540</v>
      </c>
      <c r="C212" s="86" t="s">
        <v>2526</v>
      </c>
      <c r="D212" s="91" t="s">
        <v>3424</v>
      </c>
      <c r="E212" s="149" t="s">
        <v>1553</v>
      </c>
      <c r="F212" s="150" t="s">
        <v>3784</v>
      </c>
      <c r="G212" s="151" t="s">
        <v>3139</v>
      </c>
      <c r="H212" s="152" t="s">
        <v>2743</v>
      </c>
      <c r="I212" s="153">
        <v>246</v>
      </c>
      <c r="J212" s="214"/>
      <c r="K212" s="215"/>
      <c r="L212" s="263"/>
      <c r="M212" s="154" t="s">
        <v>3409</v>
      </c>
      <c r="N212" s="263" t="str">
        <f>B212&amp;"-"&amp;C212&amp;"-"&amp;D212&amp;"-"&amp;IF(E212="요약",1,IF(E212="기출",2,IF(E212="예상",3,IF(E212="판례",4,5))))&amp;F212</f>
        <v>제3편 제1심의 소송절차-제06장 변론-제04절 변론-4139.대법원 2013. 7. 12. 선고 2013다19571 판결</v>
      </c>
    </row>
    <row r="213" spans="2:14" ht="14.45" customHeight="1" x14ac:dyDescent="0.2">
      <c r="B213" s="80" t="s">
        <v>2540</v>
      </c>
      <c r="C213" s="86" t="s">
        <v>2526</v>
      </c>
      <c r="D213" s="91" t="s">
        <v>3424</v>
      </c>
      <c r="E213" s="149" t="s">
        <v>1553</v>
      </c>
      <c r="F213" s="150" t="s">
        <v>3787</v>
      </c>
      <c r="G213" s="151" t="s">
        <v>3140</v>
      </c>
      <c r="H213" s="152" t="s">
        <v>2744</v>
      </c>
      <c r="I213" s="153">
        <v>173</v>
      </c>
      <c r="J213" s="214"/>
      <c r="K213" s="215"/>
      <c r="L213" s="263"/>
      <c r="M213" s="154"/>
      <c r="N213" s="263" t="str">
        <f>B213&amp;"-"&amp;C213&amp;"-"&amp;D213&amp;"-"&amp;IF(E213="요약",1,IF(E213="기출",2,IF(E213="예상",3,IF(E213="판례",4,5))))&amp;F213</f>
        <v>제3편 제1심의 소송절차-제06장 변론-제04절 변론-4140.대법원 2018. 5. 30. 선고 2017다21411 판결</v>
      </c>
    </row>
    <row r="214" spans="2:14" ht="14.45" customHeight="1" x14ac:dyDescent="0.2">
      <c r="B214" s="80" t="s">
        <v>2540</v>
      </c>
      <c r="C214" s="86" t="s">
        <v>2526</v>
      </c>
      <c r="D214" s="91" t="s">
        <v>3424</v>
      </c>
      <c r="E214" s="149" t="s">
        <v>1553</v>
      </c>
      <c r="F214" s="150" t="s">
        <v>3780</v>
      </c>
      <c r="G214" s="151" t="s">
        <v>3141</v>
      </c>
      <c r="H214" s="152" t="s">
        <v>2745</v>
      </c>
      <c r="I214" s="153">
        <v>189</v>
      </c>
      <c r="J214" s="214"/>
      <c r="K214" s="215"/>
      <c r="L214" s="263"/>
      <c r="M214" s="154"/>
      <c r="N214" s="263" t="str">
        <f>B214&amp;"-"&amp;C214&amp;"-"&amp;D214&amp;"-"&amp;IF(E214="요약",1,IF(E214="기출",2,IF(E214="예상",3,IF(E214="판례",4,5))))&amp;F214</f>
        <v>제3편 제1심의 소송절차-제06장 변론-제04절 변론-4141.대법원 1997. 10. 10. 선고 96다35484 판결</v>
      </c>
    </row>
    <row r="215" spans="2:14" ht="14.45" customHeight="1" x14ac:dyDescent="0.2">
      <c r="B215" s="80" t="s">
        <v>2540</v>
      </c>
      <c r="C215" s="86" t="s">
        <v>2526</v>
      </c>
      <c r="D215" s="91" t="s">
        <v>3424</v>
      </c>
      <c r="E215" s="149" t="s">
        <v>1553</v>
      </c>
      <c r="F215" s="150" t="s">
        <v>3788</v>
      </c>
      <c r="G215" s="151" t="s">
        <v>3142</v>
      </c>
      <c r="H215" s="152" t="s">
        <v>2746</v>
      </c>
      <c r="I215" s="153">
        <v>205</v>
      </c>
      <c r="J215" s="214"/>
      <c r="K215" s="215"/>
      <c r="L215" s="263"/>
      <c r="M215" s="154"/>
      <c r="N215" s="263" t="str">
        <f>B215&amp;"-"&amp;C215&amp;"-"&amp;D215&amp;"-"&amp;IF(E215="요약",1,IF(E215="기출",2,IF(E215="예상",3,IF(E215="판례",4,5))))&amp;F215</f>
        <v>제3편 제1심의 소송절차-제06장 변론-제04절 변론-4142.대법원 2019. 9. 10. 선고 2019다208953 판결</v>
      </c>
    </row>
    <row r="216" spans="2:14" ht="14.45" customHeight="1" x14ac:dyDescent="0.2">
      <c r="B216" s="80" t="s">
        <v>2540</v>
      </c>
      <c r="C216" s="86" t="s">
        <v>2526</v>
      </c>
      <c r="D216" s="90" t="s">
        <v>3424</v>
      </c>
      <c r="E216" s="222" t="s">
        <v>1553</v>
      </c>
      <c r="F216" s="223" t="s">
        <v>3779</v>
      </c>
      <c r="G216" s="224" t="s">
        <v>3143</v>
      </c>
      <c r="H216" s="225" t="s">
        <v>2747</v>
      </c>
      <c r="I216" s="226">
        <v>400</v>
      </c>
      <c r="J216" s="227"/>
      <c r="K216" s="228"/>
      <c r="L216" s="260"/>
      <c r="M216" s="229"/>
      <c r="N216" s="260" t="str">
        <f>B216&amp;"-"&amp;C216&amp;"-"&amp;D216&amp;"-"&amp;IF(E216="요약",1,IF(E216="기출",2,IF(E216="예상",3,IF(E216="판례",4,5))))&amp;F216</f>
        <v>제3편 제1심의 소송절차-제06장 변론-제04절 변론-4143.대법원 1984. 5. 29. 선고 82다카963 판결</v>
      </c>
    </row>
    <row r="217" spans="2:14" ht="14.45" customHeight="1" x14ac:dyDescent="0.2">
      <c r="B217" s="80" t="s">
        <v>2540</v>
      </c>
      <c r="C217" s="86" t="s">
        <v>2526</v>
      </c>
      <c r="D217" s="83" t="s">
        <v>3539</v>
      </c>
      <c r="E217" s="144" t="s">
        <v>7</v>
      </c>
      <c r="F217" s="145" t="s">
        <v>1551</v>
      </c>
      <c r="G217" s="146" t="s">
        <v>108</v>
      </c>
      <c r="H217" s="147" t="s">
        <v>2278</v>
      </c>
      <c r="I217" s="148">
        <v>1445</v>
      </c>
      <c r="J217" s="212"/>
      <c r="K217" s="213"/>
      <c r="L217" s="262" t="s">
        <v>2595</v>
      </c>
      <c r="M217" s="169"/>
      <c r="N217" s="262" t="str">
        <f>B217&amp;"-"&amp;C217&amp;"-"&amp;D217&amp;"-"&amp;IF(E217="요약",1,IF(E217="기출",2,IF(E217="예상",3,IF(E217="판례",4,5))))&amp;F217</f>
        <v>제3편 제1심의 소송절차-제06장 변론-제05절 변론의 실시-1제1심의 소송절차-변론</v>
      </c>
    </row>
    <row r="218" spans="2:14" ht="14.45" customHeight="1" x14ac:dyDescent="0.2">
      <c r="B218" s="80" t="s">
        <v>2540</v>
      </c>
      <c r="C218" s="86" t="s">
        <v>2526</v>
      </c>
      <c r="D218" s="91" t="s">
        <v>3501</v>
      </c>
      <c r="E218" s="149" t="s">
        <v>1553</v>
      </c>
      <c r="F218" s="150" t="s">
        <v>3789</v>
      </c>
      <c r="G218" s="151" t="s">
        <v>3144</v>
      </c>
      <c r="H218" s="152" t="s">
        <v>2748</v>
      </c>
      <c r="I218" s="153">
        <v>231</v>
      </c>
      <c r="J218" s="214"/>
      <c r="K218" s="215"/>
      <c r="L218" s="263"/>
      <c r="M218" s="154"/>
      <c r="N218" s="263" t="str">
        <f>B218&amp;"-"&amp;C218&amp;"-"&amp;D218&amp;"-"&amp;IF(E218="요약",1,IF(E218="기출",2,IF(E218="예상",3,IF(E218="판례",4,5))))&amp;F218</f>
        <v>제3편 제1심의 소송절차-제06장 변론-제05절 변론의 실시-4144.대법원 2001. 4. 13. 선고 2001다6367 판결</v>
      </c>
    </row>
    <row r="219" spans="2:14" ht="14.45" customHeight="1" x14ac:dyDescent="0.2">
      <c r="B219" s="80" t="s">
        <v>2540</v>
      </c>
      <c r="C219" s="86" t="s">
        <v>2526</v>
      </c>
      <c r="D219" s="90" t="s">
        <v>3501</v>
      </c>
      <c r="E219" s="222" t="s">
        <v>1553</v>
      </c>
      <c r="F219" s="223" t="s">
        <v>3790</v>
      </c>
      <c r="G219" s="224" t="s">
        <v>3145</v>
      </c>
      <c r="H219" s="225" t="s">
        <v>2749</v>
      </c>
      <c r="I219" s="226">
        <v>491</v>
      </c>
      <c r="J219" s="227"/>
      <c r="K219" s="228"/>
      <c r="L219" s="260"/>
      <c r="M219" s="229"/>
      <c r="N219" s="260" t="str">
        <f>B219&amp;"-"&amp;C219&amp;"-"&amp;D219&amp;"-"&amp;IF(E219="요약",1,IF(E219="기출",2,IF(E219="예상",3,IF(E219="판례",4,5))))&amp;F219</f>
        <v>제3편 제1심의 소송절차-제06장 변론-제05절 변론의 실시-4145.대법원 2019. 11. 28. 선고 2017다244115 판결</v>
      </c>
    </row>
    <row r="220" spans="2:14" ht="14.45" customHeight="1" x14ac:dyDescent="0.2">
      <c r="B220" s="80" t="s">
        <v>2540</v>
      </c>
      <c r="C220" s="86" t="s">
        <v>2526</v>
      </c>
      <c r="D220" s="83" t="s">
        <v>3428</v>
      </c>
      <c r="E220" s="144" t="s">
        <v>7</v>
      </c>
      <c r="F220" s="145" t="s">
        <v>1551</v>
      </c>
      <c r="G220" s="146" t="s">
        <v>141</v>
      </c>
      <c r="H220" s="147" t="s">
        <v>2279</v>
      </c>
      <c r="I220" s="148">
        <v>1946</v>
      </c>
      <c r="J220" s="212"/>
      <c r="K220" s="213"/>
      <c r="L220" s="262" t="s">
        <v>2595</v>
      </c>
      <c r="M220" s="169"/>
      <c r="N220" s="262" t="str">
        <f>B220&amp;"-"&amp;C220&amp;"-"&amp;D220&amp;"-"&amp;IF(E220="요약",1,IF(E220="기출",2,IF(E220="예상",3,IF(E220="판례",4,5))))&amp;F220</f>
        <v>제3편 제1심의 소송절차-제06장 변론-제06절 변론기일에서의 당사자의 결석-1제1심의 소송절차-변론</v>
      </c>
    </row>
    <row r="221" spans="2:14" ht="14.45" customHeight="1" x14ac:dyDescent="0.2">
      <c r="B221" s="80" t="s">
        <v>2540</v>
      </c>
      <c r="C221" s="86" t="s">
        <v>2526</v>
      </c>
      <c r="D221" s="91" t="s">
        <v>3428</v>
      </c>
      <c r="E221" s="149" t="s">
        <v>2425</v>
      </c>
      <c r="F221" s="150" t="s">
        <v>2317</v>
      </c>
      <c r="G221" s="151" t="s">
        <v>2478</v>
      </c>
      <c r="H221" s="152" t="s">
        <v>2479</v>
      </c>
      <c r="I221" s="153">
        <v>1733</v>
      </c>
      <c r="J221" s="214"/>
      <c r="K221" s="215"/>
      <c r="L221" s="263" t="s">
        <v>2595</v>
      </c>
      <c r="M221" s="154" t="s">
        <v>3518</v>
      </c>
      <c r="N221" s="263" t="str">
        <f>B221&amp;"-"&amp;C221&amp;"-"&amp;D221&amp;"-"&amp;IF(E221="요약",1,IF(E221="기출",2,IF(E221="예상",3,IF(E221="판례",4,5))))&amp;F221</f>
        <v>제3편 제1심의 소송절차-제06장 변론-제06절 변론기일에서의 당사자의 결석-22017-2</v>
      </c>
    </row>
    <row r="222" spans="2:14" ht="14.45" customHeight="1" x14ac:dyDescent="0.2">
      <c r="B222" s="80" t="s">
        <v>2540</v>
      </c>
      <c r="C222" s="86" t="s">
        <v>2526</v>
      </c>
      <c r="D222" s="91" t="s">
        <v>3428</v>
      </c>
      <c r="E222" s="149" t="s">
        <v>1553</v>
      </c>
      <c r="F222" s="150" t="s">
        <v>3791</v>
      </c>
      <c r="G222" s="151" t="s">
        <v>3134</v>
      </c>
      <c r="H222" s="152" t="s">
        <v>2738</v>
      </c>
      <c r="I222" s="153">
        <v>363</v>
      </c>
      <c r="J222" s="214"/>
      <c r="K222" s="215"/>
      <c r="L222" s="263"/>
      <c r="M222" s="154"/>
      <c r="N222" s="263" t="str">
        <f>B222&amp;"-"&amp;C222&amp;"-"&amp;D222&amp;"-"&amp;IF(E222="요약",1,IF(E222="기출",2,IF(E222="예상",3,IF(E222="판례",4,5))))&amp;F222</f>
        <v>제3편 제1심의 소송절차-제06장 변론-제06절 변론기일에서의 당사자의 결석-4134.대법원 2006. 10. 27. 선고 2004다69581 판결</v>
      </c>
    </row>
    <row r="223" spans="2:14" ht="14.45" customHeight="1" x14ac:dyDescent="0.2">
      <c r="B223" s="80" t="s">
        <v>2540</v>
      </c>
      <c r="C223" s="86" t="s">
        <v>2526</v>
      </c>
      <c r="D223" s="90" t="s">
        <v>3428</v>
      </c>
      <c r="E223" s="222" t="s">
        <v>1553</v>
      </c>
      <c r="F223" s="223" t="s">
        <v>3792</v>
      </c>
      <c r="G223" s="224" t="s">
        <v>3146</v>
      </c>
      <c r="H223" s="225" t="s">
        <v>2750</v>
      </c>
      <c r="I223" s="226">
        <v>294</v>
      </c>
      <c r="J223" s="227"/>
      <c r="K223" s="228"/>
      <c r="L223" s="260"/>
      <c r="M223" s="229"/>
      <c r="N223" s="260" t="str">
        <f>B223&amp;"-"&amp;C223&amp;"-"&amp;D223&amp;"-"&amp;IF(E223="요약",1,IF(E223="기출",2,IF(E223="예상",3,IF(E223="판례",4,5))))&amp;F223</f>
        <v>제3편 제1심의 소송절차-제06장 변론-제06절 변론기일에서의 당사자의 결석-4146.대법원 2008. 5. 8. 선고 2008다2890 판결</v>
      </c>
    </row>
    <row r="224" spans="2:14" ht="14.45" customHeight="1" x14ac:dyDescent="0.2">
      <c r="B224" s="80" t="s">
        <v>2540</v>
      </c>
      <c r="C224" s="86" t="s">
        <v>2526</v>
      </c>
      <c r="D224" s="83" t="s">
        <v>3422</v>
      </c>
      <c r="E224" s="144" t="s">
        <v>7</v>
      </c>
      <c r="F224" s="145" t="s">
        <v>1551</v>
      </c>
      <c r="G224" s="146" t="s">
        <v>109</v>
      </c>
      <c r="H224" s="147" t="s">
        <v>2280</v>
      </c>
      <c r="I224" s="148">
        <v>2714</v>
      </c>
      <c r="J224" s="212"/>
      <c r="K224" s="213"/>
      <c r="L224" s="262" t="s">
        <v>2594</v>
      </c>
      <c r="M224" s="169"/>
      <c r="N224" s="262" t="str">
        <f>B224&amp;"-"&amp;C224&amp;"-"&amp;D224&amp;"-"&amp;IF(E224="요약",1,IF(E224="기출",2,IF(E224="예상",3,IF(E224="판례",4,5))))&amp;F224</f>
        <v>제3편 제1심의 소송절차-제06장 변론-제07절 기일・기간 및 송달-1제1심의 소송절차-변론</v>
      </c>
    </row>
    <row r="225" spans="2:14" ht="14.45" customHeight="1" x14ac:dyDescent="0.2">
      <c r="B225" s="80" t="s">
        <v>2540</v>
      </c>
      <c r="C225" s="86" t="s">
        <v>2526</v>
      </c>
      <c r="D225" s="91" t="s">
        <v>3422</v>
      </c>
      <c r="E225" s="149" t="s">
        <v>2425</v>
      </c>
      <c r="F225" s="150" t="s">
        <v>169</v>
      </c>
      <c r="G225" s="151" t="s">
        <v>2360</v>
      </c>
      <c r="H225" s="152" t="s">
        <v>2362</v>
      </c>
      <c r="I225" s="153">
        <v>1812</v>
      </c>
      <c r="J225" s="214"/>
      <c r="K225" s="215"/>
      <c r="L225" s="263" t="s">
        <v>2594</v>
      </c>
      <c r="M225" s="154"/>
      <c r="N225" s="263" t="str">
        <f>B225&amp;"-"&amp;C225&amp;"-"&amp;D225&amp;"-"&amp;IF(E225="요약",1,IF(E225="기출",2,IF(E225="예상",3,IF(E225="판례",4,5))))&amp;F225</f>
        <v>제3편 제1심의 소송절차-제06장 변론-제07절 기일・기간 및 송달-22015-1-2</v>
      </c>
    </row>
    <row r="226" spans="2:14" ht="14.45" customHeight="1" x14ac:dyDescent="0.2">
      <c r="B226" s="80" t="s">
        <v>2540</v>
      </c>
      <c r="C226" s="86" t="s">
        <v>2526</v>
      </c>
      <c r="D226" s="91" t="s">
        <v>3422</v>
      </c>
      <c r="E226" s="149" t="s">
        <v>2425</v>
      </c>
      <c r="F226" s="150" t="s">
        <v>2318</v>
      </c>
      <c r="G226" s="151" t="s">
        <v>167</v>
      </c>
      <c r="H226" s="152" t="s">
        <v>2180</v>
      </c>
      <c r="I226" s="153">
        <v>1500</v>
      </c>
      <c r="J226" s="214"/>
      <c r="K226" s="215"/>
      <c r="L226" s="263" t="s">
        <v>2594</v>
      </c>
      <c r="M226" s="154" t="s">
        <v>3518</v>
      </c>
      <c r="N226" s="263" t="str">
        <f>B226&amp;"-"&amp;C226&amp;"-"&amp;D226&amp;"-"&amp;IF(E226="요약",1,IF(E226="기출",2,IF(E226="예상",3,IF(E226="판례",4,5))))&amp;F226</f>
        <v>제3편 제1심의 소송절차-제06장 변론-제07절 기일・기간 및 송달-22016-2</v>
      </c>
    </row>
    <row r="227" spans="2:14" ht="14.45" customHeight="1" x14ac:dyDescent="0.2">
      <c r="B227" s="80" t="s">
        <v>2540</v>
      </c>
      <c r="C227" s="86" t="s">
        <v>2526</v>
      </c>
      <c r="D227" s="91" t="s">
        <v>3422</v>
      </c>
      <c r="E227" s="149" t="s">
        <v>2425</v>
      </c>
      <c r="F227" s="150" t="s">
        <v>168</v>
      </c>
      <c r="G227" s="151" t="s">
        <v>2480</v>
      </c>
      <c r="H227" s="152" t="s">
        <v>2481</v>
      </c>
      <c r="I227" s="153">
        <v>1413</v>
      </c>
      <c r="J227" s="214"/>
      <c r="K227" s="215"/>
      <c r="L227" s="263" t="s">
        <v>2594</v>
      </c>
      <c r="M227" s="154" t="s">
        <v>3518</v>
      </c>
      <c r="N227" s="263" t="str">
        <f>B227&amp;"-"&amp;C227&amp;"-"&amp;D227&amp;"-"&amp;IF(E227="요약",1,IF(E227="기출",2,IF(E227="예상",3,IF(E227="판례",4,5))))&amp;F227</f>
        <v>제3편 제1심의 소송절차-제06장 변론-제07절 기일・기간 및 송달-22024-3</v>
      </c>
    </row>
    <row r="228" spans="2:14" ht="14.45" customHeight="1" x14ac:dyDescent="0.2">
      <c r="B228" s="80" t="s">
        <v>2540</v>
      </c>
      <c r="C228" s="86" t="s">
        <v>2526</v>
      </c>
      <c r="D228" s="91" t="s">
        <v>3422</v>
      </c>
      <c r="E228" s="149" t="s">
        <v>1553</v>
      </c>
      <c r="F228" s="150" t="s">
        <v>3797</v>
      </c>
      <c r="G228" s="151" t="s">
        <v>3148</v>
      </c>
      <c r="H228" s="152" t="s">
        <v>2752</v>
      </c>
      <c r="I228" s="153">
        <v>187</v>
      </c>
      <c r="J228" s="214"/>
      <c r="K228" s="215"/>
      <c r="L228" s="263"/>
      <c r="M228" s="154"/>
      <c r="N228" s="263" t="str">
        <f>B228&amp;"-"&amp;C228&amp;"-"&amp;D228&amp;"-"&amp;IF(E228="요약",1,IF(E228="기출",2,IF(E228="예상",3,IF(E228="판례",4,5))))&amp;F228</f>
        <v>제3편 제1심의 소송절차-제06장 변론-제07절 기일・기간 및 송달-4148.대법원 1992. 4. 21. 선고 92마175 판결</v>
      </c>
    </row>
    <row r="229" spans="2:14" ht="14.45" customHeight="1" x14ac:dyDescent="0.2">
      <c r="B229" s="80" t="s">
        <v>2540</v>
      </c>
      <c r="C229" s="86" t="s">
        <v>2526</v>
      </c>
      <c r="D229" s="91" t="s">
        <v>3422</v>
      </c>
      <c r="E229" s="149" t="s">
        <v>1553</v>
      </c>
      <c r="F229" s="150" t="s">
        <v>3801</v>
      </c>
      <c r="G229" s="151" t="s">
        <v>3149</v>
      </c>
      <c r="H229" s="152" t="s">
        <v>2753</v>
      </c>
      <c r="I229" s="153">
        <v>309</v>
      </c>
      <c r="J229" s="214"/>
      <c r="K229" s="215"/>
      <c r="L229" s="263"/>
      <c r="M229" s="154"/>
      <c r="N229" s="263" t="str">
        <f>B229&amp;"-"&amp;C229&amp;"-"&amp;D229&amp;"-"&amp;IF(E229="요약",1,IF(E229="기출",2,IF(E229="예상",3,IF(E229="판례",4,5))))&amp;F229</f>
        <v>제3편 제1심의 소송절차-제06장 변론-제07절 기일・기간 및 송달-4149.대법원 2002. 7. 26. 선고 2001다60491 판결</v>
      </c>
    </row>
    <row r="230" spans="2:14" ht="14.45" customHeight="1" x14ac:dyDescent="0.2">
      <c r="B230" s="80" t="s">
        <v>2540</v>
      </c>
      <c r="C230" s="86" t="s">
        <v>2526</v>
      </c>
      <c r="D230" s="91" t="s">
        <v>3422</v>
      </c>
      <c r="E230" s="149" t="s">
        <v>1553</v>
      </c>
      <c r="F230" s="150" t="s">
        <v>3796</v>
      </c>
      <c r="G230" s="151" t="s">
        <v>3150</v>
      </c>
      <c r="H230" s="152" t="s">
        <v>2754</v>
      </c>
      <c r="I230" s="153">
        <v>497</v>
      </c>
      <c r="J230" s="214"/>
      <c r="K230" s="215"/>
      <c r="L230" s="263"/>
      <c r="M230" s="154"/>
      <c r="N230" s="263" t="str">
        <f>B230&amp;"-"&amp;C230&amp;"-"&amp;D230&amp;"-"&amp;IF(E230="요약",1,IF(E230="기출",2,IF(E230="예상",3,IF(E230="판례",4,5))))&amp;F230</f>
        <v>제3편 제1심의 소송절차-제06장 변론-제07절 기일・기간 및 송달-4150.대법원 1987. 3. 10. 선고 86다카2224 판결</v>
      </c>
    </row>
    <row r="231" spans="2:14" ht="14.45" customHeight="1" x14ac:dyDescent="0.2">
      <c r="B231" s="80" t="s">
        <v>2540</v>
      </c>
      <c r="C231" s="86" t="s">
        <v>2526</v>
      </c>
      <c r="D231" s="91" t="s">
        <v>3422</v>
      </c>
      <c r="E231" s="149" t="s">
        <v>1553</v>
      </c>
      <c r="F231" s="150" t="s">
        <v>3804</v>
      </c>
      <c r="G231" s="151" t="s">
        <v>3151</v>
      </c>
      <c r="H231" s="152" t="s">
        <v>2755</v>
      </c>
      <c r="I231" s="153">
        <v>511</v>
      </c>
      <c r="J231" s="214"/>
      <c r="K231" s="215"/>
      <c r="L231" s="263"/>
      <c r="M231" s="154"/>
      <c r="N231" s="263" t="str">
        <f>B231&amp;"-"&amp;C231&amp;"-"&amp;D231&amp;"-"&amp;IF(E231="요약",1,IF(E231="기출",2,IF(E231="예상",3,IF(E231="판례",4,5))))&amp;F231</f>
        <v>제3편 제1심의 소송절차-제06장 변론-제07절 기일・기간 및 송달-4151.대법원 2022. 4. 14. 선고 2021다305796 판결</v>
      </c>
    </row>
    <row r="232" spans="2:14" ht="14.45" customHeight="1" x14ac:dyDescent="0.2">
      <c r="B232" s="80" t="s">
        <v>2540</v>
      </c>
      <c r="C232" s="86" t="s">
        <v>2526</v>
      </c>
      <c r="D232" s="91" t="s">
        <v>3422</v>
      </c>
      <c r="E232" s="149" t="s">
        <v>1553</v>
      </c>
      <c r="F232" s="150" t="s">
        <v>3799</v>
      </c>
      <c r="G232" s="151" t="s">
        <v>3152</v>
      </c>
      <c r="H232" s="152" t="s">
        <v>2756</v>
      </c>
      <c r="I232" s="153">
        <v>185</v>
      </c>
      <c r="J232" s="214"/>
      <c r="K232" s="215"/>
      <c r="L232" s="263"/>
      <c r="M232" s="154"/>
      <c r="N232" s="263" t="str">
        <f>B232&amp;"-"&amp;C232&amp;"-"&amp;D232&amp;"-"&amp;IF(E232="요약",1,IF(E232="기출",2,IF(E232="예상",3,IF(E232="판례",4,5))))&amp;F232</f>
        <v>제3편 제1심의 소송절차-제06장 변론-제07절 기일・기간 및 송달-4152.대법원 1999. 6. 11. 선고 99다9622 판결</v>
      </c>
    </row>
    <row r="233" spans="2:14" ht="14.45" customHeight="1" x14ac:dyDescent="0.2">
      <c r="B233" s="80" t="s">
        <v>2540</v>
      </c>
      <c r="C233" s="86" t="s">
        <v>2526</v>
      </c>
      <c r="D233" s="91" t="s">
        <v>3422</v>
      </c>
      <c r="E233" s="149" t="s">
        <v>1553</v>
      </c>
      <c r="F233" s="150" t="s">
        <v>3793</v>
      </c>
      <c r="G233" s="151" t="s">
        <v>3153</v>
      </c>
      <c r="H233" s="152" t="s">
        <v>2757</v>
      </c>
      <c r="I233" s="153">
        <v>141</v>
      </c>
      <c r="J233" s="214"/>
      <c r="K233" s="215"/>
      <c r="L233" s="263"/>
      <c r="M233" s="154"/>
      <c r="N233" s="263" t="str">
        <f>B233&amp;"-"&amp;C233&amp;"-"&amp;D233&amp;"-"&amp;IF(E233="요약",1,IF(E233="기출",2,IF(E233="예상",3,IF(E233="판례",4,5))))&amp;F233</f>
        <v>제3편 제1심의 소송절차-제06장 변론-제07절 기일・기간 및 송달-4153.대법원 1970. 7. 24. 선고 70다1015 판결</v>
      </c>
    </row>
    <row r="234" spans="2:14" ht="14.45" customHeight="1" x14ac:dyDescent="0.2">
      <c r="B234" s="80" t="s">
        <v>2540</v>
      </c>
      <c r="C234" s="86" t="s">
        <v>2526</v>
      </c>
      <c r="D234" s="91" t="s">
        <v>3422</v>
      </c>
      <c r="E234" s="149" t="s">
        <v>1553</v>
      </c>
      <c r="F234" s="150" t="s">
        <v>3800</v>
      </c>
      <c r="G234" s="151" t="s">
        <v>3154</v>
      </c>
      <c r="H234" s="152" t="s">
        <v>2758</v>
      </c>
      <c r="I234" s="153">
        <v>313</v>
      </c>
      <c r="J234" s="214"/>
      <c r="K234" s="215"/>
      <c r="L234" s="263"/>
      <c r="M234" s="154"/>
      <c r="N234" s="263" t="str">
        <f>B234&amp;"-"&amp;C234&amp;"-"&amp;D234&amp;"-"&amp;IF(E234="요약",1,IF(E234="기출",2,IF(E234="예상",3,IF(E234="판례",4,5))))&amp;F234</f>
        <v>제3편 제1심의 소송절차-제06장 변론-제07절 기일・기간 및 송달-4154.대법원 2001. 8. 31.자 2001마3790 결정</v>
      </c>
    </row>
    <row r="235" spans="2:14" ht="14.45" customHeight="1" x14ac:dyDescent="0.2">
      <c r="B235" s="80" t="s">
        <v>2540</v>
      </c>
      <c r="C235" s="86" t="s">
        <v>2526</v>
      </c>
      <c r="D235" s="91" t="s">
        <v>3422</v>
      </c>
      <c r="E235" s="149" t="s">
        <v>1553</v>
      </c>
      <c r="F235" s="150" t="s">
        <v>3802</v>
      </c>
      <c r="G235" s="151" t="s">
        <v>3155</v>
      </c>
      <c r="H235" s="152" t="s">
        <v>2759</v>
      </c>
      <c r="I235" s="153">
        <v>317</v>
      </c>
      <c r="J235" s="214"/>
      <c r="K235" s="215"/>
      <c r="L235" s="263"/>
      <c r="M235" s="154"/>
      <c r="N235" s="263" t="str">
        <f>B235&amp;"-"&amp;C235&amp;"-"&amp;D235&amp;"-"&amp;IF(E235="요약",1,IF(E235="기출",2,IF(E235="예상",3,IF(E235="판례",4,5))))&amp;F235</f>
        <v>제3편 제1심의 소송절차-제06장 변론-제07절 기일・기간 및 송달-4155.대법원 2016. 11. 10. 선고 2014다54366 판결</v>
      </c>
    </row>
    <row r="236" spans="2:14" ht="14.45" customHeight="1" x14ac:dyDescent="0.2">
      <c r="B236" s="80" t="s">
        <v>2540</v>
      </c>
      <c r="C236" s="86" t="s">
        <v>2526</v>
      </c>
      <c r="D236" s="91" t="s">
        <v>3422</v>
      </c>
      <c r="E236" s="149" t="s">
        <v>1553</v>
      </c>
      <c r="F236" s="150" t="s">
        <v>3798</v>
      </c>
      <c r="G236" s="151" t="s">
        <v>3156</v>
      </c>
      <c r="H236" s="152" t="s">
        <v>2760</v>
      </c>
      <c r="I236" s="153">
        <v>376</v>
      </c>
      <c r="J236" s="214"/>
      <c r="K236" s="215"/>
      <c r="L236" s="263"/>
      <c r="M236" s="154"/>
      <c r="N236" s="263" t="str">
        <f>B236&amp;"-"&amp;C236&amp;"-"&amp;D236&amp;"-"&amp;IF(E236="요약",1,IF(E236="기출",2,IF(E236="예상",3,IF(E236="판례",4,5))))&amp;F236</f>
        <v>제3편 제1심의 소송절차-제06장 변론-제07절 기일・기간 및 송달-4156.대법원 1997. 5. 19.자 97마600 결정</v>
      </c>
    </row>
    <row r="237" spans="2:14" ht="14.45" customHeight="1" x14ac:dyDescent="0.2">
      <c r="B237" s="80" t="s">
        <v>2540</v>
      </c>
      <c r="C237" s="86" t="s">
        <v>2526</v>
      </c>
      <c r="D237" s="91" t="s">
        <v>3422</v>
      </c>
      <c r="E237" s="149" t="s">
        <v>1553</v>
      </c>
      <c r="F237" s="150" t="s">
        <v>3794</v>
      </c>
      <c r="G237" s="151" t="s">
        <v>3157</v>
      </c>
      <c r="H237" s="152" t="s">
        <v>2761</v>
      </c>
      <c r="I237" s="153">
        <v>365</v>
      </c>
      <c r="J237" s="214"/>
      <c r="K237" s="215"/>
      <c r="L237" s="263"/>
      <c r="M237" s="154"/>
      <c r="N237" s="263" t="str">
        <f>B237&amp;"-"&amp;C237&amp;"-"&amp;D237&amp;"-"&amp;IF(E237="요약",1,IF(E237="기출",2,IF(E237="예상",3,IF(E237="판례",4,5))))&amp;F237</f>
        <v>제3편 제1심의 소송절차-제06장 변론-제07절 기일・기간 및 송달-4157.대법원 1982. 12. 28. 선고 82다카349 전원합의체 판결</v>
      </c>
    </row>
    <row r="238" spans="2:14" ht="14.45" customHeight="1" x14ac:dyDescent="0.2">
      <c r="B238" s="80" t="s">
        <v>2540</v>
      </c>
      <c r="C238" s="86" t="s">
        <v>2526</v>
      </c>
      <c r="D238" s="91" t="s">
        <v>3422</v>
      </c>
      <c r="E238" s="149" t="s">
        <v>1553</v>
      </c>
      <c r="F238" s="150" t="s">
        <v>3803</v>
      </c>
      <c r="G238" s="151" t="s">
        <v>3158</v>
      </c>
      <c r="H238" s="152" t="s">
        <v>2762</v>
      </c>
      <c r="I238" s="153">
        <v>518</v>
      </c>
      <c r="J238" s="214"/>
      <c r="K238" s="215"/>
      <c r="L238" s="263"/>
      <c r="M238" s="154"/>
      <c r="N238" s="263" t="str">
        <f>B238&amp;"-"&amp;C238&amp;"-"&amp;D238&amp;"-"&amp;IF(E238="요약",1,IF(E238="기출",2,IF(E238="예상",3,IF(E238="판례",4,5))))&amp;F238</f>
        <v>제3편 제1심의 소송절차-제06장 변론-제07절 기일・기간 및 송달-4158.대법원 2022. 1. 13. 선고 2019다220618 판결</v>
      </c>
    </row>
    <row r="239" spans="2:14" ht="14.45" customHeight="1" x14ac:dyDescent="0.2">
      <c r="B239" s="80" t="s">
        <v>2540</v>
      </c>
      <c r="C239" s="86" t="s">
        <v>2526</v>
      </c>
      <c r="D239" s="90" t="s">
        <v>3422</v>
      </c>
      <c r="E239" s="222" t="s">
        <v>1553</v>
      </c>
      <c r="F239" s="223" t="s">
        <v>3795</v>
      </c>
      <c r="G239" s="224" t="s">
        <v>3159</v>
      </c>
      <c r="H239" s="225" t="s">
        <v>2763</v>
      </c>
      <c r="I239" s="226">
        <v>142</v>
      </c>
      <c r="J239" s="227"/>
      <c r="K239" s="228"/>
      <c r="L239" s="260"/>
      <c r="M239" s="229"/>
      <c r="N239" s="260" t="str">
        <f>B239&amp;"-"&amp;C239&amp;"-"&amp;D239&amp;"-"&amp;IF(E239="요약",1,IF(E239="기출",2,IF(E239="예상",3,IF(E239="판례",4,5))))&amp;F239</f>
        <v>제3편 제1심의 소송절차-제06장 변론-제07절 기일・기간 및 송달-4159.대법원 1984. 3. 15.자 84마20 전원합의체 결정</v>
      </c>
    </row>
    <row r="240" spans="2:14" ht="14.45" customHeight="1" x14ac:dyDescent="0.2">
      <c r="B240" s="80" t="s">
        <v>2540</v>
      </c>
      <c r="C240" s="86" t="s">
        <v>2526</v>
      </c>
      <c r="D240" s="83" t="s">
        <v>3436</v>
      </c>
      <c r="E240" s="144" t="s">
        <v>7</v>
      </c>
      <c r="F240" s="145" t="s">
        <v>1551</v>
      </c>
      <c r="G240" s="146" t="s">
        <v>110</v>
      </c>
      <c r="H240" s="147" t="s">
        <v>2281</v>
      </c>
      <c r="I240" s="148">
        <v>2187</v>
      </c>
      <c r="J240" s="212"/>
      <c r="K240" s="213"/>
      <c r="L240" s="262" t="s">
        <v>2595</v>
      </c>
      <c r="M240" s="169"/>
      <c r="N240" s="262" t="str">
        <f>B240&amp;"-"&amp;C240&amp;"-"&amp;D240&amp;"-"&amp;IF(E240="요약",1,IF(E240="기출",2,IF(E240="예상",3,IF(E240="판례",4,5))))&amp;F240</f>
        <v>제3편 제1심의 소송절차-제06장 변론-제08절 소송절차의 정지-1제1심의 소송절차-변론</v>
      </c>
    </row>
    <row r="241" spans="2:14" ht="14.45" customHeight="1" x14ac:dyDescent="0.2">
      <c r="B241" s="80" t="s">
        <v>2540</v>
      </c>
      <c r="C241" s="86" t="s">
        <v>2526</v>
      </c>
      <c r="D241" s="91" t="s">
        <v>3436</v>
      </c>
      <c r="E241" s="149" t="s">
        <v>2426</v>
      </c>
      <c r="F241" s="150" t="s">
        <v>3559</v>
      </c>
      <c r="G241" s="151" t="s">
        <v>213</v>
      </c>
      <c r="H241" s="152" t="s">
        <v>2181</v>
      </c>
      <c r="I241" s="153">
        <v>1767</v>
      </c>
      <c r="J241" s="214"/>
      <c r="K241" s="215"/>
      <c r="L241" s="263" t="s">
        <v>2595</v>
      </c>
      <c r="M241" s="154"/>
      <c r="N241" s="263" t="str">
        <f>B241&amp;"-"&amp;C241&amp;"-"&amp;D241&amp;"-"&amp;IF(E241="요약",1,IF(E241="기출",2,IF(E241="예상",3,IF(E241="판례",4,5))))&amp;F241</f>
        <v>제3편 제1심의 소송절차-제06장 변론-제08절 소송절차의 정지-36.08-1</v>
      </c>
    </row>
    <row r="242" spans="2:14" ht="14.45" customHeight="1" x14ac:dyDescent="0.2">
      <c r="B242" s="80" t="s">
        <v>2540</v>
      </c>
      <c r="C242" s="86" t="s">
        <v>2526</v>
      </c>
      <c r="D242" s="91" t="s">
        <v>3436</v>
      </c>
      <c r="E242" s="149" t="s">
        <v>2426</v>
      </c>
      <c r="F242" s="150" t="s">
        <v>3560</v>
      </c>
      <c r="G242" s="151" t="s">
        <v>214</v>
      </c>
      <c r="H242" s="152" t="s">
        <v>2182</v>
      </c>
      <c r="I242" s="153">
        <v>1767</v>
      </c>
      <c r="J242" s="214"/>
      <c r="K242" s="215"/>
      <c r="L242" s="263" t="s">
        <v>2595</v>
      </c>
      <c r="M242" s="154"/>
      <c r="N242" s="263" t="str">
        <f>B242&amp;"-"&amp;C242&amp;"-"&amp;D242&amp;"-"&amp;IF(E242="요약",1,IF(E242="기출",2,IF(E242="예상",3,IF(E242="판례",4,5))))&amp;F242</f>
        <v>제3편 제1심의 소송절차-제06장 변론-제08절 소송절차의 정지-36.08-2</v>
      </c>
    </row>
    <row r="243" spans="2:14" ht="14.45" customHeight="1" x14ac:dyDescent="0.2">
      <c r="B243" s="80" t="s">
        <v>2540</v>
      </c>
      <c r="C243" s="86" t="s">
        <v>2526</v>
      </c>
      <c r="D243" s="91" t="s">
        <v>3436</v>
      </c>
      <c r="E243" s="149" t="s">
        <v>1553</v>
      </c>
      <c r="F243" s="150" t="s">
        <v>3806</v>
      </c>
      <c r="G243" s="151" t="s">
        <v>3160</v>
      </c>
      <c r="H243" s="152" t="s">
        <v>2764</v>
      </c>
      <c r="I243" s="153">
        <v>276</v>
      </c>
      <c r="J243" s="214"/>
      <c r="K243" s="215"/>
      <c r="L243" s="263"/>
      <c r="M243" s="154"/>
      <c r="N243" s="263" t="str">
        <f>B243&amp;"-"&amp;C243&amp;"-"&amp;D243&amp;"-"&amp;IF(E243="요약",1,IF(E243="기출",2,IF(E243="예상",3,IF(E243="판례",4,5))))&amp;F243</f>
        <v>제3편 제1심의 소송절차-제06장 변론-제08절 소송절차의 정지-4160.대법원 1993. 2. 12 선고 92다29801 판결</v>
      </c>
    </row>
    <row r="244" spans="2:14" ht="14.45" customHeight="1" x14ac:dyDescent="0.2">
      <c r="B244" s="80" t="s">
        <v>2540</v>
      </c>
      <c r="C244" s="86" t="s">
        <v>2526</v>
      </c>
      <c r="D244" s="91" t="s">
        <v>3436</v>
      </c>
      <c r="E244" s="149" t="s">
        <v>1553</v>
      </c>
      <c r="F244" s="150" t="s">
        <v>3805</v>
      </c>
      <c r="G244" s="151" t="s">
        <v>3161</v>
      </c>
      <c r="H244" s="152" t="s">
        <v>2765</v>
      </c>
      <c r="I244" s="153">
        <v>495</v>
      </c>
      <c r="J244" s="214"/>
      <c r="K244" s="215"/>
      <c r="L244" s="263"/>
      <c r="M244" s="154"/>
      <c r="N244" s="263" t="str">
        <f>B244&amp;"-"&amp;C244&amp;"-"&amp;D244&amp;"-"&amp;IF(E244="요약",1,IF(E244="기출",2,IF(E244="예상",3,IF(E244="판례",4,5))))&amp;F244</f>
        <v>제3편 제1심의 소송절차-제06장 변론-제08절 소송절차의 정지-4161.대법원 1992. 11. 5.자 91마342 결정</v>
      </c>
    </row>
    <row r="245" spans="2:14" ht="14.45" customHeight="1" x14ac:dyDescent="0.2">
      <c r="B245" s="80" t="s">
        <v>2540</v>
      </c>
      <c r="C245" s="86" t="s">
        <v>2526</v>
      </c>
      <c r="D245" s="91" t="s">
        <v>3436</v>
      </c>
      <c r="E245" s="149" t="s">
        <v>1553</v>
      </c>
      <c r="F245" s="150" t="s">
        <v>3809</v>
      </c>
      <c r="G245" s="151" t="s">
        <v>3162</v>
      </c>
      <c r="H245" s="152" t="s">
        <v>2766</v>
      </c>
      <c r="I245" s="153">
        <v>1469</v>
      </c>
      <c r="J245" s="214"/>
      <c r="K245" s="215"/>
      <c r="L245" s="263"/>
      <c r="M245" s="154"/>
      <c r="N245" s="263" t="str">
        <f>B245&amp;"-"&amp;C245&amp;"-"&amp;D245&amp;"-"&amp;IF(E245="요약",1,IF(E245="기출",2,IF(E245="예상",3,IF(E245="판례",4,5))))&amp;F245</f>
        <v>제3편 제1심의 소송절차-제06장 변론-제08절 소송절차의 정지-4162.대법원 2010. 12. 23. 선고 2007다22859 판결</v>
      </c>
    </row>
    <row r="246" spans="2:14" ht="14.45" customHeight="1" x14ac:dyDescent="0.2">
      <c r="B246" s="80" t="s">
        <v>2540</v>
      </c>
      <c r="C246" s="86" t="s">
        <v>2526</v>
      </c>
      <c r="D246" s="91" t="s">
        <v>3436</v>
      </c>
      <c r="E246" s="149" t="s">
        <v>1553</v>
      </c>
      <c r="F246" s="150" t="s">
        <v>3807</v>
      </c>
      <c r="G246" s="151" t="s">
        <v>3163</v>
      </c>
      <c r="H246" s="152" t="s">
        <v>2767</v>
      </c>
      <c r="I246" s="153">
        <v>427</v>
      </c>
      <c r="J246" s="214"/>
      <c r="K246" s="215"/>
      <c r="L246" s="263"/>
      <c r="M246" s="154"/>
      <c r="N246" s="263" t="str">
        <f>B246&amp;"-"&amp;C246&amp;"-"&amp;D246&amp;"-"&amp;IF(E246="요약",1,IF(E246="기출",2,IF(E246="예상",3,IF(E246="판례",4,5))))&amp;F246</f>
        <v>제3편 제1심의 소송절차-제06장 변론-제08절 소송절차의 정지-4163.대법원 1995. 5. 23. 선고 94다28444 전원합의체 판결</v>
      </c>
    </row>
    <row r="247" spans="2:14" ht="14.45" customHeight="1" thickBot="1" x14ac:dyDescent="0.25">
      <c r="B247" s="80" t="s">
        <v>2540</v>
      </c>
      <c r="C247" s="87" t="s">
        <v>2526</v>
      </c>
      <c r="D247" s="92" t="s">
        <v>3436</v>
      </c>
      <c r="E247" s="155" t="s">
        <v>1553</v>
      </c>
      <c r="F247" s="156" t="s">
        <v>3808</v>
      </c>
      <c r="G247" s="157" t="s">
        <v>3164</v>
      </c>
      <c r="H247" s="158" t="s">
        <v>2768</v>
      </c>
      <c r="I247" s="159">
        <v>177</v>
      </c>
      <c r="J247" s="221"/>
      <c r="K247" s="220"/>
      <c r="L247" s="264"/>
      <c r="M247" s="171"/>
      <c r="N247" s="264" t="str">
        <f>B247&amp;"-"&amp;C247&amp;"-"&amp;D247&amp;"-"&amp;IF(E247="요약",1,IF(E247="기출",2,IF(E247="예상",3,IF(E247="판례",4,5))))&amp;F247</f>
        <v>제3편 제1심의 소송절차-제06장 변론-제08절 소송절차의 정지-4164.대법원 2006. 11. 23. 선고 2006재다171 판결</v>
      </c>
    </row>
    <row r="248" spans="2:14" ht="14.45" customHeight="1" x14ac:dyDescent="0.2">
      <c r="B248" s="80" t="s">
        <v>2540</v>
      </c>
      <c r="C248" s="64" t="s">
        <v>2529</v>
      </c>
      <c r="D248" s="85" t="s">
        <v>3420</v>
      </c>
      <c r="E248" s="138" t="s">
        <v>7</v>
      </c>
      <c r="F248" s="139" t="s">
        <v>1552</v>
      </c>
      <c r="G248" s="140" t="s">
        <v>1667</v>
      </c>
      <c r="H248" s="141" t="s">
        <v>2282</v>
      </c>
      <c r="I248" s="142">
        <v>1986</v>
      </c>
      <c r="J248" s="210"/>
      <c r="K248" s="211"/>
      <c r="L248" s="259" t="s">
        <v>2594</v>
      </c>
      <c r="M248" s="170"/>
      <c r="N248" s="259" t="str">
        <f>B248&amp;"-"&amp;C248&amp;"-"&amp;D248&amp;"-"&amp;IF(E248="요약",1,IF(E248="기출",2,IF(E248="예상",3,IF(E248="판례",4,5))))&amp;F248</f>
        <v>제3편 제1심의 소송절차-제07장 증거-제01절 증거의 총설-1제1심의 소송절차-증거</v>
      </c>
    </row>
    <row r="249" spans="2:14" ht="14.45" customHeight="1" x14ac:dyDescent="0.2">
      <c r="B249" s="80" t="s">
        <v>2540</v>
      </c>
      <c r="C249" s="86" t="s">
        <v>2528</v>
      </c>
      <c r="D249" s="91" t="s">
        <v>3420</v>
      </c>
      <c r="E249" s="149" t="s">
        <v>2425</v>
      </c>
      <c r="F249" s="150" t="s">
        <v>2319</v>
      </c>
      <c r="G249" s="151" t="s">
        <v>2467</v>
      </c>
      <c r="H249" s="152" t="s">
        <v>2468</v>
      </c>
      <c r="I249" s="153">
        <v>2154</v>
      </c>
      <c r="J249" s="214"/>
      <c r="K249" s="215"/>
      <c r="L249" s="263" t="s">
        <v>2594</v>
      </c>
      <c r="M249" s="154"/>
      <c r="N249" s="263" t="str">
        <f>B249&amp;"-"&amp;C249&amp;"-"&amp;D249&amp;"-"&amp;IF(E249="요약",1,IF(E249="기출",2,IF(E249="예상",3,IF(E249="판례",4,5))))&amp;F249</f>
        <v>제3편 제1심의 소송절차-제07장 증거-제01절 증거의 총설-22025-1-1</v>
      </c>
    </row>
    <row r="250" spans="2:14" ht="14.45" customHeight="1" x14ac:dyDescent="0.2">
      <c r="B250" s="80" t="s">
        <v>2540</v>
      </c>
      <c r="C250" s="86" t="s">
        <v>2528</v>
      </c>
      <c r="D250" s="90" t="s">
        <v>3420</v>
      </c>
      <c r="E250" s="222" t="s">
        <v>1553</v>
      </c>
      <c r="F250" s="223" t="s">
        <v>3810</v>
      </c>
      <c r="G250" s="224" t="s">
        <v>3167</v>
      </c>
      <c r="H250" s="225" t="s">
        <v>2771</v>
      </c>
      <c r="I250" s="226">
        <v>373</v>
      </c>
      <c r="J250" s="227"/>
      <c r="K250" s="228"/>
      <c r="L250" s="260"/>
      <c r="M250" s="229"/>
      <c r="N250" s="260" t="str">
        <f>B250&amp;"-"&amp;C250&amp;"-"&amp;D250&amp;"-"&amp;IF(E250="요약",1,IF(E250="기출",2,IF(E250="예상",3,IF(E250="판례",4,5))))&amp;F250</f>
        <v>제3편 제1심의 소송절차-제07장 증거-제01절 증거의 총설-4167.대법원 2000. 6. 9. 선고 98다35037 판결</v>
      </c>
    </row>
    <row r="251" spans="2:14" ht="14.45" customHeight="1" x14ac:dyDescent="0.2">
      <c r="B251" s="80" t="s">
        <v>2540</v>
      </c>
      <c r="C251" s="86" t="s">
        <v>2528</v>
      </c>
      <c r="D251" s="83" t="s">
        <v>3437</v>
      </c>
      <c r="E251" s="144" t="s">
        <v>7</v>
      </c>
      <c r="F251" s="145" t="s">
        <v>1552</v>
      </c>
      <c r="G251" s="146" t="s">
        <v>111</v>
      </c>
      <c r="H251" s="147" t="s">
        <v>2283</v>
      </c>
      <c r="I251" s="148">
        <v>2132</v>
      </c>
      <c r="J251" s="212"/>
      <c r="K251" s="213"/>
      <c r="L251" s="262" t="s">
        <v>2594</v>
      </c>
      <c r="M251" s="169"/>
      <c r="N251" s="262" t="str">
        <f>B251&amp;"-"&amp;C251&amp;"-"&amp;D251&amp;"-"&amp;IF(E251="요약",1,IF(E251="기출",2,IF(E251="예상",3,IF(E251="판례",4,5))))&amp;F251</f>
        <v>제3편 제1심의 소송절차-제07장 증거-제02절 증명의 대상-1제1심의 소송절차-증거</v>
      </c>
    </row>
    <row r="252" spans="2:14" ht="14.45" customHeight="1" x14ac:dyDescent="0.2">
      <c r="B252" s="80" t="s">
        <v>2540</v>
      </c>
      <c r="C252" s="86" t="s">
        <v>2528</v>
      </c>
      <c r="D252" s="91" t="s">
        <v>3437</v>
      </c>
      <c r="E252" s="149" t="s">
        <v>2426</v>
      </c>
      <c r="F252" s="150" t="s">
        <v>3561</v>
      </c>
      <c r="G252" s="151" t="s">
        <v>215</v>
      </c>
      <c r="H252" s="152" t="s">
        <v>2183</v>
      </c>
      <c r="I252" s="153">
        <v>2044</v>
      </c>
      <c r="J252" s="214"/>
      <c r="K252" s="215"/>
      <c r="L252" s="263" t="s">
        <v>2594</v>
      </c>
      <c r="M252" s="154"/>
      <c r="N252" s="263" t="str">
        <f>B252&amp;"-"&amp;C252&amp;"-"&amp;D252&amp;"-"&amp;IF(E252="요약",1,IF(E252="기출",2,IF(E252="예상",3,IF(E252="판례",4,5))))&amp;F252</f>
        <v>제3편 제1심의 소송절차-제07장 증거-제02절 증명의 대상-37.02-1</v>
      </c>
    </row>
    <row r="253" spans="2:14" ht="14.45" customHeight="1" x14ac:dyDescent="0.2">
      <c r="B253" s="80" t="s">
        <v>2540</v>
      </c>
      <c r="C253" s="86" t="s">
        <v>2528</v>
      </c>
      <c r="D253" s="90" t="s">
        <v>3437</v>
      </c>
      <c r="E253" s="222" t="s">
        <v>2426</v>
      </c>
      <c r="F253" s="223" t="s">
        <v>3562</v>
      </c>
      <c r="G253" s="224" t="s">
        <v>216</v>
      </c>
      <c r="H253" s="225" t="s">
        <v>2184</v>
      </c>
      <c r="I253" s="226">
        <v>2054</v>
      </c>
      <c r="J253" s="227"/>
      <c r="K253" s="228"/>
      <c r="L253" s="260" t="s">
        <v>2594</v>
      </c>
      <c r="M253" s="229"/>
      <c r="N253" s="260" t="str">
        <f>B253&amp;"-"&amp;C253&amp;"-"&amp;D253&amp;"-"&amp;IF(E253="요약",1,IF(E253="기출",2,IF(E253="예상",3,IF(E253="판례",4,5))))&amp;F253</f>
        <v>제3편 제1심의 소송절차-제07장 증거-제02절 증명의 대상-37.02-2</v>
      </c>
    </row>
    <row r="254" spans="2:14" ht="14.45" customHeight="1" x14ac:dyDescent="0.2">
      <c r="B254" s="80" t="s">
        <v>2540</v>
      </c>
      <c r="C254" s="86" t="s">
        <v>2528</v>
      </c>
      <c r="D254" s="83" t="s">
        <v>3425</v>
      </c>
      <c r="E254" s="144" t="s">
        <v>7</v>
      </c>
      <c r="F254" s="145" t="s">
        <v>1552</v>
      </c>
      <c r="G254" s="146" t="s">
        <v>112</v>
      </c>
      <c r="H254" s="147" t="s">
        <v>2284</v>
      </c>
      <c r="I254" s="148">
        <v>2613</v>
      </c>
      <c r="J254" s="212"/>
      <c r="K254" s="213"/>
      <c r="L254" s="262" t="s">
        <v>2593</v>
      </c>
      <c r="M254" s="169"/>
      <c r="N254" s="262" t="str">
        <f>B254&amp;"-"&amp;C254&amp;"-"&amp;D254&amp;"-"&amp;IF(E254="요약",1,IF(E254="기출",2,IF(E254="예상",3,IF(E254="판례",4,5))))&amp;F254</f>
        <v>제3편 제1심의 소송절차-제07장 증거-제03절 불요증사실-1제1심의 소송절차-증거</v>
      </c>
    </row>
    <row r="255" spans="2:14" ht="14.45" customHeight="1" x14ac:dyDescent="0.2">
      <c r="B255" s="80" t="s">
        <v>2540</v>
      </c>
      <c r="C255" s="86" t="s">
        <v>2528</v>
      </c>
      <c r="D255" s="91" t="s">
        <v>3425</v>
      </c>
      <c r="E255" s="149" t="s">
        <v>2425</v>
      </c>
      <c r="F255" s="150" t="s">
        <v>174</v>
      </c>
      <c r="G255" s="151" t="s">
        <v>172</v>
      </c>
      <c r="H255" s="152" t="s">
        <v>2186</v>
      </c>
      <c r="I255" s="153">
        <v>1527</v>
      </c>
      <c r="J255" s="214"/>
      <c r="K255" s="215"/>
      <c r="L255" s="263" t="s">
        <v>2593</v>
      </c>
      <c r="M255" s="154" t="s">
        <v>3518</v>
      </c>
      <c r="N255" s="263" t="str">
        <f>B255&amp;"-"&amp;C255&amp;"-"&amp;D255&amp;"-"&amp;IF(E255="요약",1,IF(E255="기출",2,IF(E255="예상",3,IF(E255="판례",4,5))))&amp;F255</f>
        <v>제3편 제1심의 소송절차-제07장 증거-제03절 불요증사실-22011-2-2</v>
      </c>
    </row>
    <row r="256" spans="2:14" ht="14.45" customHeight="1" x14ac:dyDescent="0.2">
      <c r="B256" s="80" t="s">
        <v>2540</v>
      </c>
      <c r="C256" s="86" t="s">
        <v>2528</v>
      </c>
      <c r="D256" s="91" t="s">
        <v>3425</v>
      </c>
      <c r="E256" s="149" t="s">
        <v>2425</v>
      </c>
      <c r="F256" s="150" t="s">
        <v>2317</v>
      </c>
      <c r="G256" s="151" t="s">
        <v>2478</v>
      </c>
      <c r="H256" s="152" t="s">
        <v>2479</v>
      </c>
      <c r="I256" s="153">
        <v>1733</v>
      </c>
      <c r="J256" s="214"/>
      <c r="K256" s="215"/>
      <c r="L256" s="263" t="s">
        <v>2593</v>
      </c>
      <c r="M256" s="154" t="s">
        <v>3506</v>
      </c>
      <c r="N256" s="263" t="str">
        <f>B256&amp;"-"&amp;C256&amp;"-"&amp;D256&amp;"-"&amp;IF(E256="요약",1,IF(E256="기출",2,IF(E256="예상",3,IF(E256="판례",4,5))))&amp;F256</f>
        <v>제3편 제1심의 소송절차-제07장 증거-제03절 불요증사실-22017-2</v>
      </c>
    </row>
    <row r="257" spans="2:14" ht="14.45" customHeight="1" x14ac:dyDescent="0.2">
      <c r="B257" s="80" t="s">
        <v>2540</v>
      </c>
      <c r="C257" s="86" t="s">
        <v>2528</v>
      </c>
      <c r="D257" s="91" t="s">
        <v>3425</v>
      </c>
      <c r="E257" s="149" t="s">
        <v>2425</v>
      </c>
      <c r="F257" s="150" t="s">
        <v>170</v>
      </c>
      <c r="G257" s="151" t="s">
        <v>171</v>
      </c>
      <c r="H257" s="152" t="s">
        <v>2185</v>
      </c>
      <c r="I257" s="153">
        <v>2214</v>
      </c>
      <c r="J257" s="214"/>
      <c r="K257" s="215"/>
      <c r="L257" s="263" t="s">
        <v>2593</v>
      </c>
      <c r="M257" s="154"/>
      <c r="N257" s="263" t="str">
        <f>B257&amp;"-"&amp;C257&amp;"-"&amp;D257&amp;"-"&amp;IF(E257="요약",1,IF(E257="기출",2,IF(E257="예상",3,IF(E257="판례",4,5))))&amp;F257</f>
        <v>제3편 제1심의 소송절차-제07장 증거-제03절 불요증사실-22021-1-1</v>
      </c>
    </row>
    <row r="258" spans="2:14" ht="14.45" customHeight="1" x14ac:dyDescent="0.2">
      <c r="B258" s="80" t="s">
        <v>2540</v>
      </c>
      <c r="C258" s="86" t="s">
        <v>2528</v>
      </c>
      <c r="D258" s="91" t="s">
        <v>3425</v>
      </c>
      <c r="E258" s="149" t="s">
        <v>1553</v>
      </c>
      <c r="F258" s="150" t="s">
        <v>3820</v>
      </c>
      <c r="G258" s="151" t="s">
        <v>3147</v>
      </c>
      <c r="H258" s="152" t="s">
        <v>2751</v>
      </c>
      <c r="I258" s="153">
        <v>251</v>
      </c>
      <c r="J258" s="214"/>
      <c r="K258" s="215"/>
      <c r="L258" s="263"/>
      <c r="M258" s="154" t="s">
        <v>3410</v>
      </c>
      <c r="N258" s="263" t="str">
        <f>B258&amp;"-"&amp;C258&amp;"-"&amp;D258&amp;"-"&amp;IF(E258="요약",1,IF(E258="기출",2,IF(E258="예상",3,IF(E258="판례",4,5))))&amp;F258</f>
        <v>제3편 제1심의 소송절차-제07장 증거-제03절 불요증사실-4147.대법원 2015. 2. 12. 선고 2014다229870 판결</v>
      </c>
    </row>
    <row r="259" spans="2:14" ht="14.45" customHeight="1" x14ac:dyDescent="0.2">
      <c r="B259" s="80" t="s">
        <v>2540</v>
      </c>
      <c r="C259" s="86" t="s">
        <v>2528</v>
      </c>
      <c r="D259" s="91" t="s">
        <v>3425</v>
      </c>
      <c r="E259" s="149" t="s">
        <v>1553</v>
      </c>
      <c r="F259" s="150" t="s">
        <v>3818</v>
      </c>
      <c r="G259" s="151" t="s">
        <v>3168</v>
      </c>
      <c r="H259" s="152" t="s">
        <v>2772</v>
      </c>
      <c r="I259" s="153">
        <v>199</v>
      </c>
      <c r="J259" s="214"/>
      <c r="K259" s="215"/>
      <c r="L259" s="263"/>
      <c r="M259" s="154"/>
      <c r="N259" s="263" t="str">
        <f>B259&amp;"-"&amp;C259&amp;"-"&amp;D259&amp;"-"&amp;IF(E259="요약",1,IF(E259="기출",2,IF(E259="예상",3,IF(E259="판례",4,5))))&amp;F259</f>
        <v>제3편 제1심의 소송절차-제07장 증거-제03절 불요증사실-4168.대법원 1998. 7. 10. 선고 98다6763 판결</v>
      </c>
    </row>
    <row r="260" spans="2:14" ht="14.45" customHeight="1" x14ac:dyDescent="0.2">
      <c r="B260" s="80" t="s">
        <v>2540</v>
      </c>
      <c r="C260" s="86" t="s">
        <v>2528</v>
      </c>
      <c r="D260" s="91" t="s">
        <v>3425</v>
      </c>
      <c r="E260" s="149" t="s">
        <v>1553</v>
      </c>
      <c r="F260" s="150" t="s">
        <v>3814</v>
      </c>
      <c r="G260" s="151" t="s">
        <v>3169</v>
      </c>
      <c r="H260" s="152" t="s">
        <v>2773</v>
      </c>
      <c r="I260" s="153">
        <v>183</v>
      </c>
      <c r="J260" s="214"/>
      <c r="K260" s="215"/>
      <c r="L260" s="263"/>
      <c r="M260" s="154"/>
      <c r="N260" s="263" t="str">
        <f>B260&amp;"-"&amp;C260&amp;"-"&amp;D260&amp;"-"&amp;IF(E260="요약",1,IF(E260="기출",2,IF(E260="예상",3,IF(E260="판례",4,5))))&amp;F260</f>
        <v>제3편 제1심의 소송절차-제07장 증거-제03절 불요증사실-4169.대법원 1990. 12. 11. 선고 90다7104 판결</v>
      </c>
    </row>
    <row r="261" spans="2:14" ht="14.45" customHeight="1" x14ac:dyDescent="0.2">
      <c r="B261" s="80" t="s">
        <v>2540</v>
      </c>
      <c r="C261" s="86" t="s">
        <v>2528</v>
      </c>
      <c r="D261" s="91" t="s">
        <v>3425</v>
      </c>
      <c r="E261" s="149" t="s">
        <v>1553</v>
      </c>
      <c r="F261" s="150" t="s">
        <v>3811</v>
      </c>
      <c r="G261" s="151" t="s">
        <v>3170</v>
      </c>
      <c r="H261" s="152" t="s">
        <v>2774</v>
      </c>
      <c r="I261" s="153">
        <v>219</v>
      </c>
      <c r="J261" s="214"/>
      <c r="K261" s="215"/>
      <c r="L261" s="263"/>
      <c r="M261" s="154"/>
      <c r="N261" s="263" t="str">
        <f>B261&amp;"-"&amp;C261&amp;"-"&amp;D261&amp;"-"&amp;IF(E261="요약",1,IF(E261="기출",2,IF(E261="예상",3,IF(E261="판례",4,5))))&amp;F261</f>
        <v>제3편 제1심의 소송절차-제07장 증거-제03절 불요증사실-4170.대법원 1984. 5. 29. 선고 84다122 판결</v>
      </c>
    </row>
    <row r="262" spans="2:14" ht="14.45" customHeight="1" x14ac:dyDescent="0.2">
      <c r="B262" s="80" t="s">
        <v>2540</v>
      </c>
      <c r="C262" s="86" t="s">
        <v>2528</v>
      </c>
      <c r="D262" s="91" t="s">
        <v>3425</v>
      </c>
      <c r="E262" s="149" t="s">
        <v>1553</v>
      </c>
      <c r="F262" s="150" t="s">
        <v>3812</v>
      </c>
      <c r="G262" s="151" t="s">
        <v>3171</v>
      </c>
      <c r="H262" s="152" t="s">
        <v>2775</v>
      </c>
      <c r="I262" s="153">
        <v>166</v>
      </c>
      <c r="J262" s="214"/>
      <c r="K262" s="215"/>
      <c r="L262" s="263"/>
      <c r="M262" s="154"/>
      <c r="N262" s="263" t="str">
        <f>B262&amp;"-"&amp;C262&amp;"-"&amp;D262&amp;"-"&amp;IF(E262="요약",1,IF(E262="기출",2,IF(E262="예상",3,IF(E262="판례",4,5))))&amp;F262</f>
        <v>제3편 제1심의 소송절차-제07장 증거-제03절 불요증사실-4171.대법원 1989. 5. 9. 선고 87다카749 판결</v>
      </c>
    </row>
    <row r="263" spans="2:14" ht="14.45" customHeight="1" x14ac:dyDescent="0.2">
      <c r="B263" s="80" t="s">
        <v>2540</v>
      </c>
      <c r="C263" s="86" t="s">
        <v>2528</v>
      </c>
      <c r="D263" s="91" t="s">
        <v>3425</v>
      </c>
      <c r="E263" s="149" t="s">
        <v>1553</v>
      </c>
      <c r="F263" s="150" t="s">
        <v>3815</v>
      </c>
      <c r="G263" s="151" t="s">
        <v>3172</v>
      </c>
      <c r="H263" s="152" t="s">
        <v>2776</v>
      </c>
      <c r="I263" s="153">
        <v>202</v>
      </c>
      <c r="J263" s="214"/>
      <c r="K263" s="215"/>
      <c r="L263" s="263"/>
      <c r="M263" s="154"/>
      <c r="N263" s="263" t="str">
        <f>B263&amp;"-"&amp;C263&amp;"-"&amp;D263&amp;"-"&amp;IF(E263="요약",1,IF(E263="기출",2,IF(E263="예상",3,IF(E263="판례",4,5))))&amp;F263</f>
        <v>제3편 제1심의 소송절차-제07장 증거-제03절 불요증사실-4172.대법원 1993. 9. 14. 선고 92다24899 판결</v>
      </c>
    </row>
    <row r="264" spans="2:14" ht="14.45" customHeight="1" x14ac:dyDescent="0.2">
      <c r="B264" s="80" t="s">
        <v>2540</v>
      </c>
      <c r="C264" s="86" t="s">
        <v>2528</v>
      </c>
      <c r="D264" s="91" t="s">
        <v>3425</v>
      </c>
      <c r="E264" s="149" t="s">
        <v>1553</v>
      </c>
      <c r="F264" s="150" t="s">
        <v>3821</v>
      </c>
      <c r="G264" s="151" t="s">
        <v>3173</v>
      </c>
      <c r="H264" s="152" t="s">
        <v>2777</v>
      </c>
      <c r="I264" s="153">
        <v>256</v>
      </c>
      <c r="J264" s="214"/>
      <c r="K264" s="215"/>
      <c r="L264" s="263"/>
      <c r="M264" s="154"/>
      <c r="N264" s="263" t="str">
        <f>B264&amp;"-"&amp;C264&amp;"-"&amp;D264&amp;"-"&amp;IF(E264="요약",1,IF(E264="기출",2,IF(E264="예상",3,IF(E264="판례",4,5))))&amp;F264</f>
        <v>제3편 제1심의 소송절차-제07장 증거-제03절 불요증사실-4173.대법원 2016. 6. 9. 선고 2014다64752 판결</v>
      </c>
    </row>
    <row r="265" spans="2:14" ht="14.45" customHeight="1" x14ac:dyDescent="0.2">
      <c r="B265" s="80" t="s">
        <v>2540</v>
      </c>
      <c r="C265" s="86" t="s">
        <v>2528</v>
      </c>
      <c r="D265" s="91" t="s">
        <v>3425</v>
      </c>
      <c r="E265" s="149" t="s">
        <v>1553</v>
      </c>
      <c r="F265" s="150" t="s">
        <v>3813</v>
      </c>
      <c r="G265" s="151" t="s">
        <v>3174</v>
      </c>
      <c r="H265" s="152" t="s">
        <v>2778</v>
      </c>
      <c r="I265" s="153">
        <v>240</v>
      </c>
      <c r="J265" s="214"/>
      <c r="K265" s="215"/>
      <c r="L265" s="263"/>
      <c r="M265" s="154"/>
      <c r="N265" s="263" t="str">
        <f>B265&amp;"-"&amp;C265&amp;"-"&amp;D265&amp;"-"&amp;IF(E265="요약",1,IF(E265="기출",2,IF(E265="예상",3,IF(E265="판례",4,5))))&amp;F265</f>
        <v>제3편 제1심의 소송절차-제07장 증거-제03절 불요증사실-4174.대법원 1990. 11. 27. 선고 90다카20548 판결</v>
      </c>
    </row>
    <row r="266" spans="2:14" ht="14.45" customHeight="1" x14ac:dyDescent="0.2">
      <c r="B266" s="80" t="s">
        <v>2540</v>
      </c>
      <c r="C266" s="86" t="s">
        <v>2528</v>
      </c>
      <c r="D266" s="91" t="s">
        <v>3425</v>
      </c>
      <c r="E266" s="149" t="s">
        <v>1553</v>
      </c>
      <c r="F266" s="150" t="s">
        <v>3819</v>
      </c>
      <c r="G266" s="151" t="s">
        <v>3175</v>
      </c>
      <c r="H266" s="152" t="s">
        <v>2779</v>
      </c>
      <c r="I266" s="153">
        <v>304</v>
      </c>
      <c r="J266" s="214"/>
      <c r="K266" s="215"/>
      <c r="L266" s="263"/>
      <c r="M266" s="154"/>
      <c r="N266" s="263" t="str">
        <f>B266&amp;"-"&amp;C266&amp;"-"&amp;D266&amp;"-"&amp;IF(E266="요약",1,IF(E266="기출",2,IF(E266="예상",3,IF(E266="판례",4,5))))&amp;F266</f>
        <v>제3편 제1심의 소송절차-제07장 증거-제03절 불요증사실-4175.대법원 2004. 6. 11. 선고 2004다13533 판결</v>
      </c>
    </row>
    <row r="267" spans="2:14" ht="14.45" customHeight="1" x14ac:dyDescent="0.2">
      <c r="B267" s="80" t="s">
        <v>2540</v>
      </c>
      <c r="C267" s="86" t="s">
        <v>2528</v>
      </c>
      <c r="D267" s="91" t="s">
        <v>3425</v>
      </c>
      <c r="E267" s="149" t="s">
        <v>1553</v>
      </c>
      <c r="F267" s="150" t="s">
        <v>3817</v>
      </c>
      <c r="G267" s="151" t="s">
        <v>3176</v>
      </c>
      <c r="H267" s="152" t="s">
        <v>2780</v>
      </c>
      <c r="I267" s="153">
        <v>326</v>
      </c>
      <c r="J267" s="214"/>
      <c r="K267" s="215"/>
      <c r="L267" s="263"/>
      <c r="M267" s="154"/>
      <c r="N267" s="263" t="str">
        <f>B267&amp;"-"&amp;C267&amp;"-"&amp;D267&amp;"-"&amp;IF(E267="요약",1,IF(E267="기출",2,IF(E267="예상",3,IF(E267="판례",4,5))))&amp;F267</f>
        <v>제3편 제1심의 소송절차-제07장 증거-제03절 불요증사실-4176.대법원 1997. 4. 22. 선고 95다10204 판결</v>
      </c>
    </row>
    <row r="268" spans="2:14" ht="14.45" customHeight="1" x14ac:dyDescent="0.2">
      <c r="B268" s="80" t="s">
        <v>2540</v>
      </c>
      <c r="C268" s="86" t="s">
        <v>2528</v>
      </c>
      <c r="D268" s="91" t="s">
        <v>3425</v>
      </c>
      <c r="E268" s="149" t="s">
        <v>1553</v>
      </c>
      <c r="F268" s="150" t="s">
        <v>3816</v>
      </c>
      <c r="G268" s="151" t="s">
        <v>3177</v>
      </c>
      <c r="H268" s="152" t="s">
        <v>2781</v>
      </c>
      <c r="I268" s="153">
        <v>539</v>
      </c>
      <c r="J268" s="214"/>
      <c r="K268" s="215"/>
      <c r="L268" s="263" t="s">
        <v>2593</v>
      </c>
      <c r="M268" s="154"/>
      <c r="N268" s="263" t="str">
        <f>B268&amp;"-"&amp;C268&amp;"-"&amp;D268&amp;"-"&amp;IF(E268="요약",1,IF(E268="기출",2,IF(E268="예상",3,IF(E268="판례",4,5))))&amp;F268</f>
        <v>제3편 제1심의 소송절차-제07장 증거-제03절 불요증사실-4177.대법원 1996. 7. 18. 선고 94다20051 전원합의체 판결</v>
      </c>
    </row>
    <row r="269" spans="2:14" ht="14.45" customHeight="1" x14ac:dyDescent="0.2">
      <c r="B269" s="80" t="s">
        <v>2540</v>
      </c>
      <c r="C269" s="86" t="s">
        <v>2528</v>
      </c>
      <c r="D269" s="90" t="s">
        <v>3425</v>
      </c>
      <c r="E269" s="222" t="s">
        <v>1553</v>
      </c>
      <c r="F269" s="223" t="s">
        <v>3822</v>
      </c>
      <c r="G269" s="224" t="s">
        <v>3178</v>
      </c>
      <c r="H269" s="225" t="s">
        <v>2782</v>
      </c>
      <c r="I269" s="226">
        <v>354</v>
      </c>
      <c r="J269" s="227"/>
      <c r="K269" s="228"/>
      <c r="L269" s="260" t="s">
        <v>2593</v>
      </c>
      <c r="M269" s="229"/>
      <c r="N269" s="260" t="str">
        <f>B269&amp;"-"&amp;C269&amp;"-"&amp;D269&amp;"-"&amp;IF(E269="요약",1,IF(E269="기출",2,IF(E269="예상",3,IF(E269="판례",4,5))))&amp;F269</f>
        <v>제3편 제1심의 소송절차-제07장 증거-제03절 불요증사실-4178.대법원 2019. 8. 9. 선고 2019다222140 판결</v>
      </c>
    </row>
    <row r="270" spans="2:14" ht="14.45" customHeight="1" x14ac:dyDescent="0.2">
      <c r="B270" s="80" t="s">
        <v>2540</v>
      </c>
      <c r="C270" s="86" t="s">
        <v>2528</v>
      </c>
      <c r="D270" s="83" t="s">
        <v>3427</v>
      </c>
      <c r="E270" s="144" t="s">
        <v>7</v>
      </c>
      <c r="F270" s="145" t="s">
        <v>1552</v>
      </c>
      <c r="G270" s="146" t="s">
        <v>113</v>
      </c>
      <c r="H270" s="147" t="s">
        <v>2285</v>
      </c>
      <c r="I270" s="148">
        <v>2774</v>
      </c>
      <c r="J270" s="212"/>
      <c r="K270" s="213"/>
      <c r="L270" s="262" t="s">
        <v>2594</v>
      </c>
      <c r="M270" s="169"/>
      <c r="N270" s="262" t="str">
        <f>B270&amp;"-"&amp;C270&amp;"-"&amp;D270&amp;"-"&amp;IF(E270="요약",1,IF(E270="기출",2,IF(E270="예상",3,IF(E270="판례",4,5))))&amp;F270</f>
        <v>제3편 제1심의 소송절차-제07장 증거-제04절 증거조사의 개시와 실시-1제1심의 소송절차-증거</v>
      </c>
    </row>
    <row r="271" spans="2:14" ht="14.45" customHeight="1" x14ac:dyDescent="0.2">
      <c r="B271" s="80" t="s">
        <v>2540</v>
      </c>
      <c r="C271" s="86" t="s">
        <v>2528</v>
      </c>
      <c r="D271" s="91" t="s">
        <v>3427</v>
      </c>
      <c r="E271" s="149" t="s">
        <v>2425</v>
      </c>
      <c r="F271" s="150" t="s">
        <v>2320</v>
      </c>
      <c r="G271" s="151" t="s">
        <v>2486</v>
      </c>
      <c r="H271" s="152" t="s">
        <v>2487</v>
      </c>
      <c r="I271" s="153">
        <v>1446</v>
      </c>
      <c r="J271" s="214"/>
      <c r="K271" s="215"/>
      <c r="L271" s="263" t="s">
        <v>2594</v>
      </c>
      <c r="M271" s="154" t="s">
        <v>3518</v>
      </c>
      <c r="N271" s="263" t="str">
        <f>B271&amp;"-"&amp;C271&amp;"-"&amp;D271&amp;"-"&amp;IF(E271="요약",1,IF(E271="기출",2,IF(E271="예상",3,IF(E271="판례",4,5))))&amp;F271</f>
        <v>제3편 제1심의 소송절차-제07장 증거-제04절 증거조사의 개시와 실시-22013-3</v>
      </c>
    </row>
    <row r="272" spans="2:14" ht="14.45" customHeight="1" x14ac:dyDescent="0.2">
      <c r="B272" s="80" t="s">
        <v>2540</v>
      </c>
      <c r="C272" s="86" t="s">
        <v>2528</v>
      </c>
      <c r="D272" s="91" t="s">
        <v>3427</v>
      </c>
      <c r="E272" s="149" t="s">
        <v>2425</v>
      </c>
      <c r="F272" s="150" t="s">
        <v>175</v>
      </c>
      <c r="G272" s="151" t="s">
        <v>2483</v>
      </c>
      <c r="H272" s="152" t="s">
        <v>2484</v>
      </c>
      <c r="I272" s="153">
        <v>1322</v>
      </c>
      <c r="J272" s="214"/>
      <c r="K272" s="215"/>
      <c r="L272" s="263" t="s">
        <v>2594</v>
      </c>
      <c r="M272" s="154" t="s">
        <v>3518</v>
      </c>
      <c r="N272" s="263" t="str">
        <f>B272&amp;"-"&amp;C272&amp;"-"&amp;D272&amp;"-"&amp;IF(E272="요약",1,IF(E272="기출",2,IF(E272="예상",3,IF(E272="판례",4,5))))&amp;F272</f>
        <v>제3편 제1심의 소송절차-제07장 증거-제04절 증거조사의 개시와 실시-22018-3</v>
      </c>
    </row>
    <row r="273" spans="2:14" ht="14.45" customHeight="1" x14ac:dyDescent="0.2">
      <c r="B273" s="80" t="s">
        <v>2540</v>
      </c>
      <c r="C273" s="86" t="s">
        <v>2528</v>
      </c>
      <c r="D273" s="91" t="s">
        <v>3427</v>
      </c>
      <c r="E273" s="149" t="s">
        <v>1553</v>
      </c>
      <c r="F273" s="150" t="s">
        <v>3827</v>
      </c>
      <c r="G273" s="151" t="s">
        <v>3179</v>
      </c>
      <c r="H273" s="152" t="s">
        <v>2783</v>
      </c>
      <c r="I273" s="153">
        <v>479</v>
      </c>
      <c r="J273" s="214"/>
      <c r="K273" s="215"/>
      <c r="L273" s="263"/>
      <c r="M273" s="154"/>
      <c r="N273" s="263" t="str">
        <f>B273&amp;"-"&amp;C273&amp;"-"&amp;D273&amp;"-"&amp;IF(E273="요약",1,IF(E273="기출",2,IF(E273="예상",3,IF(E273="판례",4,5))))&amp;F273</f>
        <v>제3편 제1심의 소송절차-제07장 증거-제04절 증거조사의 개시와 실시-4179.대법원 1999. 4. 9. 선고 98다57198 판결</v>
      </c>
    </row>
    <row r="274" spans="2:14" ht="14.45" customHeight="1" x14ac:dyDescent="0.2">
      <c r="B274" s="80" t="s">
        <v>2540</v>
      </c>
      <c r="C274" s="86" t="s">
        <v>2528</v>
      </c>
      <c r="D274" s="91" t="s">
        <v>3427</v>
      </c>
      <c r="E274" s="149" t="s">
        <v>1553</v>
      </c>
      <c r="F274" s="150" t="s">
        <v>3828</v>
      </c>
      <c r="G274" s="151" t="s">
        <v>3180</v>
      </c>
      <c r="H274" s="152" t="s">
        <v>2784</v>
      </c>
      <c r="I274" s="153">
        <v>824</v>
      </c>
      <c r="J274" s="214"/>
      <c r="K274" s="215"/>
      <c r="L274" s="263"/>
      <c r="M274" s="154"/>
      <c r="N274" s="263" t="str">
        <f>B274&amp;"-"&amp;C274&amp;"-"&amp;D274&amp;"-"&amp;IF(E274="요약",1,IF(E274="기출",2,IF(E274="예상",3,IF(E274="판례",4,5))))&amp;F274</f>
        <v>제3편 제1심의 소송절차-제07장 증거-제04절 증거조사의 개시와 실시-4180.대법원 2002. 8. 23. 선고 2000다66133 판결</v>
      </c>
    </row>
    <row r="275" spans="2:14" ht="14.45" customHeight="1" x14ac:dyDescent="0.2">
      <c r="B275" s="80" t="s">
        <v>2540</v>
      </c>
      <c r="C275" s="86" t="s">
        <v>2528</v>
      </c>
      <c r="D275" s="91" t="s">
        <v>3427</v>
      </c>
      <c r="E275" s="149" t="s">
        <v>1553</v>
      </c>
      <c r="F275" s="150" t="s">
        <v>3831</v>
      </c>
      <c r="G275" s="151" t="s">
        <v>3181</v>
      </c>
      <c r="H275" s="152" t="s">
        <v>2785</v>
      </c>
      <c r="I275" s="153">
        <v>558</v>
      </c>
      <c r="J275" s="214"/>
      <c r="K275" s="215"/>
      <c r="L275" s="263"/>
      <c r="M275" s="154"/>
      <c r="N275" s="263" t="str">
        <f>B275&amp;"-"&amp;C275&amp;"-"&amp;D275&amp;"-"&amp;IF(E275="요약",1,IF(E275="기출",2,IF(E275="예상",3,IF(E275="판례",4,5))))&amp;F275</f>
        <v>제3편 제1심의 소송절차-제07장 증거-제04절 증거조사의 개시와 실시-4181.대법원 2009. 9. 24. 선고 2009다37831 판결</v>
      </c>
    </row>
    <row r="276" spans="2:14" ht="14.45" customHeight="1" x14ac:dyDescent="0.2">
      <c r="B276" s="80" t="s">
        <v>2540</v>
      </c>
      <c r="C276" s="86" t="s">
        <v>2528</v>
      </c>
      <c r="D276" s="91" t="s">
        <v>3427</v>
      </c>
      <c r="E276" s="149" t="s">
        <v>1553</v>
      </c>
      <c r="F276" s="150" t="s">
        <v>3829</v>
      </c>
      <c r="G276" s="151" t="s">
        <v>3182</v>
      </c>
      <c r="H276" s="152" t="s">
        <v>2786</v>
      </c>
      <c r="I276" s="153">
        <v>558</v>
      </c>
      <c r="J276" s="214"/>
      <c r="K276" s="215"/>
      <c r="L276" s="263"/>
      <c r="M276" s="154"/>
      <c r="N276" s="263" t="str">
        <f>B276&amp;"-"&amp;C276&amp;"-"&amp;D276&amp;"-"&amp;IF(E276="요약",1,IF(E276="기출",2,IF(E276="예상",3,IF(E276="판례",4,5))))&amp;F276</f>
        <v>제3편 제1심의 소송절차-제07장 증거-제04절 증거조사의 개시와 실시-4182.대법원 2003. 4. 11. 선고 2001다11406 판결</v>
      </c>
    </row>
    <row r="277" spans="2:14" ht="14.45" customHeight="1" x14ac:dyDescent="0.2">
      <c r="B277" s="80" t="s">
        <v>2540</v>
      </c>
      <c r="C277" s="86" t="s">
        <v>2528</v>
      </c>
      <c r="D277" s="91" t="s">
        <v>3427</v>
      </c>
      <c r="E277" s="149" t="s">
        <v>1553</v>
      </c>
      <c r="F277" s="150" t="s">
        <v>3824</v>
      </c>
      <c r="G277" s="151" t="s">
        <v>3183</v>
      </c>
      <c r="H277" s="152" t="s">
        <v>2787</v>
      </c>
      <c r="I277" s="153">
        <v>482</v>
      </c>
      <c r="J277" s="214"/>
      <c r="K277" s="215"/>
      <c r="L277" s="263"/>
      <c r="M277" s="154"/>
      <c r="N277" s="263" t="str">
        <f>B277&amp;"-"&amp;C277&amp;"-"&amp;D277&amp;"-"&amp;IF(E277="요약",1,IF(E277="기출",2,IF(E277="예상",3,IF(E277="판례",4,5))))&amp;F277</f>
        <v>제3편 제1심의 소송절차-제07장 증거-제04절 증거조사의 개시와 실시-4183.대법원 1988. 12. 13. 선고 87다카3147 판결</v>
      </c>
    </row>
    <row r="278" spans="2:14" ht="14.45" customHeight="1" x14ac:dyDescent="0.2">
      <c r="B278" s="80" t="s">
        <v>2540</v>
      </c>
      <c r="C278" s="86" t="s">
        <v>2528</v>
      </c>
      <c r="D278" s="91" t="s">
        <v>3427</v>
      </c>
      <c r="E278" s="149" t="s">
        <v>1553</v>
      </c>
      <c r="F278" s="150" t="s">
        <v>3830</v>
      </c>
      <c r="G278" s="151" t="s">
        <v>3184</v>
      </c>
      <c r="H278" s="152" t="s">
        <v>2788</v>
      </c>
      <c r="I278" s="153">
        <v>427</v>
      </c>
      <c r="J278" s="214"/>
      <c r="K278" s="215"/>
      <c r="L278" s="263"/>
      <c r="M278" s="154"/>
      <c r="N278" s="263" t="str">
        <f>B278&amp;"-"&amp;C278&amp;"-"&amp;D278&amp;"-"&amp;IF(E278="요약",1,IF(E278="기출",2,IF(E278="예상",3,IF(E278="판례",4,5))))&amp;F278</f>
        <v>제3편 제1심의 소송절차-제07장 증거-제04절 증거조사의 개시와 실시-4184.대법원 2006. 5. 25. 선고 2005다77848 판결</v>
      </c>
    </row>
    <row r="279" spans="2:14" ht="14.45" customHeight="1" x14ac:dyDescent="0.2">
      <c r="B279" s="80" t="s">
        <v>2540</v>
      </c>
      <c r="C279" s="86" t="s">
        <v>2528</v>
      </c>
      <c r="D279" s="91" t="s">
        <v>3427</v>
      </c>
      <c r="E279" s="149" t="s">
        <v>1553</v>
      </c>
      <c r="F279" s="150" t="s">
        <v>3834</v>
      </c>
      <c r="G279" s="151" t="s">
        <v>3185</v>
      </c>
      <c r="H279" s="152" t="s">
        <v>2789</v>
      </c>
      <c r="I279" s="153">
        <v>628</v>
      </c>
      <c r="J279" s="214"/>
      <c r="K279" s="215"/>
      <c r="L279" s="263"/>
      <c r="M279" s="154"/>
      <c r="N279" s="263" t="str">
        <f>B279&amp;"-"&amp;C279&amp;"-"&amp;D279&amp;"-"&amp;IF(E279="요약",1,IF(E279="기출",2,IF(E279="예상",3,IF(E279="판례",4,5))))&amp;F279</f>
        <v>제3편 제1심의 소송절차-제07장 증거-제04절 증거조사의 개시와 실시-4185.대법원 2017. 12. 28.자 2015무423 결정</v>
      </c>
    </row>
    <row r="280" spans="2:14" ht="14.45" customHeight="1" x14ac:dyDescent="0.2">
      <c r="B280" s="80" t="s">
        <v>2540</v>
      </c>
      <c r="C280" s="86" t="s">
        <v>2528</v>
      </c>
      <c r="D280" s="91" t="s">
        <v>3427</v>
      </c>
      <c r="E280" s="149" t="s">
        <v>1553</v>
      </c>
      <c r="F280" s="150" t="s">
        <v>3833</v>
      </c>
      <c r="G280" s="151" t="s">
        <v>3186</v>
      </c>
      <c r="H280" s="152" t="s">
        <v>2790</v>
      </c>
      <c r="I280" s="153">
        <v>409</v>
      </c>
      <c r="J280" s="214"/>
      <c r="K280" s="215"/>
      <c r="L280" s="263"/>
      <c r="M280" s="154"/>
      <c r="N280" s="263" t="str">
        <f>B280&amp;"-"&amp;C280&amp;"-"&amp;D280&amp;"-"&amp;IF(E280="요약",1,IF(E280="기출",2,IF(E280="예상",3,IF(E280="판례",4,5))))&amp;F280</f>
        <v>제3편 제1심의 소송절차-제07장 증거-제04절 증거조사의 개시와 실시-4186.대법원 2015. 11. 17. 선고 2014다81542 판결</v>
      </c>
    </row>
    <row r="281" spans="2:14" ht="14.45" customHeight="1" x14ac:dyDescent="0.2">
      <c r="B281" s="80" t="s">
        <v>2540</v>
      </c>
      <c r="C281" s="86" t="s">
        <v>2528</v>
      </c>
      <c r="D281" s="91" t="s">
        <v>3427</v>
      </c>
      <c r="E281" s="149" t="s">
        <v>1553</v>
      </c>
      <c r="F281" s="150" t="s">
        <v>3826</v>
      </c>
      <c r="G281" s="151" t="s">
        <v>3187</v>
      </c>
      <c r="H281" s="152" t="s">
        <v>2791</v>
      </c>
      <c r="I281" s="153">
        <v>222</v>
      </c>
      <c r="J281" s="214"/>
      <c r="K281" s="215"/>
      <c r="L281" s="263"/>
      <c r="M281" s="154"/>
      <c r="N281" s="263" t="str">
        <f>B281&amp;"-"&amp;C281&amp;"-"&amp;D281&amp;"-"&amp;IF(E281="요약",1,IF(E281="기출",2,IF(E281="예상",3,IF(E281="판례",4,5))))&amp;F281</f>
        <v>제3편 제1심의 소송절차-제07장 증거-제04절 증거조사의 개시와 실시-4187.대법원 1993. 6. 25. 선고 93다15991 판결</v>
      </c>
    </row>
    <row r="282" spans="2:14" ht="14.45" customHeight="1" x14ac:dyDescent="0.2">
      <c r="B282" s="80" t="s">
        <v>2540</v>
      </c>
      <c r="C282" s="86" t="s">
        <v>2528</v>
      </c>
      <c r="D282" s="91" t="s">
        <v>3427</v>
      </c>
      <c r="E282" s="149" t="s">
        <v>1553</v>
      </c>
      <c r="F282" s="150" t="s">
        <v>3825</v>
      </c>
      <c r="G282" s="151" t="s">
        <v>3188</v>
      </c>
      <c r="H282" s="152" t="s">
        <v>2792</v>
      </c>
      <c r="I282" s="153">
        <v>324</v>
      </c>
      <c r="J282" s="214"/>
      <c r="K282" s="215"/>
      <c r="L282" s="263"/>
      <c r="M282" s="154" t="s">
        <v>3410</v>
      </c>
      <c r="N282" s="263" t="str">
        <f>B282&amp;"-"&amp;C282&amp;"-"&amp;D282&amp;"-"&amp;IF(E282="요약",1,IF(E282="기출",2,IF(E282="예상",3,IF(E282="판례",4,5))))&amp;F282</f>
        <v>제3편 제1심의 소송절차-제07장 증거-제04절 증거조사의 개시와 실시-4188.대법원 1990. 4. 13. 선고 89다카1084 판결</v>
      </c>
    </row>
    <row r="283" spans="2:14" ht="14.45" customHeight="1" x14ac:dyDescent="0.2">
      <c r="B283" s="80" t="s">
        <v>2540</v>
      </c>
      <c r="C283" s="86" t="s">
        <v>2528</v>
      </c>
      <c r="D283" s="91" t="s">
        <v>3427</v>
      </c>
      <c r="E283" s="149" t="s">
        <v>1553</v>
      </c>
      <c r="F283" s="150" t="s">
        <v>3832</v>
      </c>
      <c r="G283" s="151" t="s">
        <v>3189</v>
      </c>
      <c r="H283" s="152" t="s">
        <v>2793</v>
      </c>
      <c r="I283" s="153">
        <v>313</v>
      </c>
      <c r="J283" s="214"/>
      <c r="K283" s="215"/>
      <c r="L283" s="263"/>
      <c r="M283" s="154"/>
      <c r="N283" s="263" t="str">
        <f>B283&amp;"-"&amp;C283&amp;"-"&amp;D283&amp;"-"&amp;IF(E283="요약",1,IF(E283="기출",2,IF(E283="예상",3,IF(E283="판례",4,5))))&amp;F283</f>
        <v>제3편 제1심의 소송절차-제07장 증거-제04절 증거조사의 개시와 실시-4189.대법원 2010. 7. 14.자 2009마2105 결정</v>
      </c>
    </row>
    <row r="284" spans="2:14" ht="14.45" customHeight="1" x14ac:dyDescent="0.2">
      <c r="B284" s="80" t="s">
        <v>2540</v>
      </c>
      <c r="C284" s="86" t="s">
        <v>2528</v>
      </c>
      <c r="D284" s="90" t="s">
        <v>3427</v>
      </c>
      <c r="E284" s="222" t="s">
        <v>1553</v>
      </c>
      <c r="F284" s="223" t="s">
        <v>3823</v>
      </c>
      <c r="G284" s="224" t="s">
        <v>3190</v>
      </c>
      <c r="H284" s="225" t="s">
        <v>2794</v>
      </c>
      <c r="I284" s="226">
        <v>163</v>
      </c>
      <c r="J284" s="227"/>
      <c r="K284" s="228"/>
      <c r="L284" s="260"/>
      <c r="M284" s="229"/>
      <c r="N284" s="260" t="str">
        <f>B284&amp;"-"&amp;C284&amp;"-"&amp;D284&amp;"-"&amp;IF(E284="요약",1,IF(E284="기출",2,IF(E284="예상",3,IF(E284="판례",4,5))))&amp;F284</f>
        <v>제3편 제1심의 소송절차-제07장 증거-제04절 증거조사의 개시와 실시-4190.대법원 1983. 7. 12. 선고 83다카308 판결</v>
      </c>
    </row>
    <row r="285" spans="2:14" ht="14.45" customHeight="1" x14ac:dyDescent="0.2">
      <c r="B285" s="80" t="s">
        <v>2540</v>
      </c>
      <c r="C285" s="86" t="s">
        <v>2528</v>
      </c>
      <c r="D285" s="83" t="s">
        <v>3431</v>
      </c>
      <c r="E285" s="144" t="s">
        <v>7</v>
      </c>
      <c r="F285" s="145" t="s">
        <v>1552</v>
      </c>
      <c r="G285" s="146" t="s">
        <v>114</v>
      </c>
      <c r="H285" s="147" t="s">
        <v>2286</v>
      </c>
      <c r="I285" s="148">
        <v>2789</v>
      </c>
      <c r="J285" s="212"/>
      <c r="K285" s="213"/>
      <c r="L285" s="262" t="s">
        <v>2595</v>
      </c>
      <c r="M285" s="169"/>
      <c r="N285" s="262" t="str">
        <f>B285&amp;"-"&amp;C285&amp;"-"&amp;D285&amp;"-"&amp;IF(E285="요약",1,IF(E285="기출",2,IF(E285="예상",3,IF(E285="판례",4,5))))&amp;F285</f>
        <v>제3편 제1심의 소송절차-제07장 증거-제05절 자유심증주의-1제1심의 소송절차-증거</v>
      </c>
    </row>
    <row r="286" spans="2:14" ht="14.45" customHeight="1" x14ac:dyDescent="0.2">
      <c r="B286" s="80" t="s">
        <v>2540</v>
      </c>
      <c r="C286" s="86" t="s">
        <v>2528</v>
      </c>
      <c r="D286" s="91" t="s">
        <v>3431</v>
      </c>
      <c r="E286" s="149" t="s">
        <v>2425</v>
      </c>
      <c r="F286" s="150" t="s">
        <v>2321</v>
      </c>
      <c r="G286" s="151" t="s">
        <v>176</v>
      </c>
      <c r="H286" s="152" t="s">
        <v>2187</v>
      </c>
      <c r="I286" s="153">
        <v>1663</v>
      </c>
      <c r="J286" s="214"/>
      <c r="K286" s="215"/>
      <c r="L286" s="263" t="s">
        <v>2595</v>
      </c>
      <c r="M286" s="154"/>
      <c r="N286" s="263" t="str">
        <f>B286&amp;"-"&amp;C286&amp;"-"&amp;D286&amp;"-"&amp;IF(E286="요약",1,IF(E286="기출",2,IF(E286="예상",3,IF(E286="판례",4,5))))&amp;F286</f>
        <v>제3편 제1심의 소송절차-제07장 증거-제05절 자유심증주의-22010-1</v>
      </c>
    </row>
    <row r="287" spans="2:14" ht="14.45" customHeight="1" x14ac:dyDescent="0.2">
      <c r="B287" s="80" t="s">
        <v>2540</v>
      </c>
      <c r="C287" s="86" t="s">
        <v>2528</v>
      </c>
      <c r="D287" s="91" t="s">
        <v>3431</v>
      </c>
      <c r="E287" s="149" t="s">
        <v>1553</v>
      </c>
      <c r="F287" s="150" t="s">
        <v>3835</v>
      </c>
      <c r="G287" s="151" t="s">
        <v>3165</v>
      </c>
      <c r="H287" s="152" t="s">
        <v>2769</v>
      </c>
      <c r="I287" s="153">
        <v>204</v>
      </c>
      <c r="J287" s="214"/>
      <c r="K287" s="215"/>
      <c r="L287" s="263"/>
      <c r="M287" s="154"/>
      <c r="N287" s="263" t="str">
        <f>B287&amp;"-"&amp;C287&amp;"-"&amp;D287&amp;"-"&amp;IF(E287="요약",1,IF(E287="기출",2,IF(E287="예상",3,IF(E287="판례",4,5))))&amp;F287</f>
        <v>제3편 제1심의 소송절차-제07장 증거-제05절 자유심증주의-4165.대법원 1999. 5. 25. 선고 99다1789 판결</v>
      </c>
    </row>
    <row r="288" spans="2:14" ht="14.45" customHeight="1" x14ac:dyDescent="0.2">
      <c r="B288" s="80" t="s">
        <v>2540</v>
      </c>
      <c r="C288" s="86" t="s">
        <v>2528</v>
      </c>
      <c r="D288" s="91" t="s">
        <v>3431</v>
      </c>
      <c r="E288" s="149" t="s">
        <v>1553</v>
      </c>
      <c r="F288" s="150" t="s">
        <v>3838</v>
      </c>
      <c r="G288" s="151" t="s">
        <v>3166</v>
      </c>
      <c r="H288" s="152" t="s">
        <v>2770</v>
      </c>
      <c r="I288" s="153">
        <v>835</v>
      </c>
      <c r="J288" s="214"/>
      <c r="K288" s="215"/>
      <c r="L288" s="263"/>
      <c r="M288" s="154"/>
      <c r="N288" s="263" t="str">
        <f>B288&amp;"-"&amp;C288&amp;"-"&amp;D288&amp;"-"&amp;IF(E288="요약",1,IF(E288="기출",2,IF(E288="예상",3,IF(E288="판례",4,5))))&amp;F288</f>
        <v>제3편 제1심의 소송절차-제07장 증거-제05절 자유심증주의-4166.대법원 2019. 2. 21. 선고 2018다248909 전원합의체 판결</v>
      </c>
    </row>
    <row r="289" spans="2:14" ht="14.45" customHeight="1" x14ac:dyDescent="0.2">
      <c r="B289" s="80" t="s">
        <v>2540</v>
      </c>
      <c r="C289" s="86" t="s">
        <v>2528</v>
      </c>
      <c r="D289" s="91" t="s">
        <v>3431</v>
      </c>
      <c r="E289" s="149" t="s">
        <v>1553</v>
      </c>
      <c r="F289" s="150" t="s">
        <v>3836</v>
      </c>
      <c r="G289" s="151" t="s">
        <v>3191</v>
      </c>
      <c r="H289" s="152" t="s">
        <v>2795</v>
      </c>
      <c r="I289" s="153">
        <v>279</v>
      </c>
      <c r="J289" s="214"/>
      <c r="K289" s="215"/>
      <c r="L289" s="263"/>
      <c r="M289" s="154"/>
      <c r="N289" s="263" t="str">
        <f>B289&amp;"-"&amp;C289&amp;"-"&amp;D289&amp;"-"&amp;IF(E289="요약",1,IF(E289="기출",2,IF(E289="예상",3,IF(E289="판례",4,5))))&amp;F289</f>
        <v>제3편 제1심의 소송절차-제07장 증거-제05절 자유심증주의-4191.대법원 2010. 10. 28. 선고 2008다6755 판결</v>
      </c>
    </row>
    <row r="290" spans="2:14" ht="14.45" customHeight="1" x14ac:dyDescent="0.2">
      <c r="B290" s="80" t="s">
        <v>2540</v>
      </c>
      <c r="C290" s="86" t="s">
        <v>2528</v>
      </c>
      <c r="D290" s="90" t="s">
        <v>3431</v>
      </c>
      <c r="E290" s="222" t="s">
        <v>1553</v>
      </c>
      <c r="F290" s="223" t="s">
        <v>3837</v>
      </c>
      <c r="G290" s="224" t="s">
        <v>3192</v>
      </c>
      <c r="H290" s="225" t="s">
        <v>2796</v>
      </c>
      <c r="I290" s="226">
        <v>211</v>
      </c>
      <c r="J290" s="227"/>
      <c r="K290" s="228"/>
      <c r="L290" s="260"/>
      <c r="M290" s="229"/>
      <c r="N290" s="260" t="str">
        <f>B290&amp;"-"&amp;C290&amp;"-"&amp;D290&amp;"-"&amp;IF(E290="요약",1,IF(E290="기출",2,IF(E290="예상",3,IF(E290="판례",4,5))))&amp;F290</f>
        <v>제3편 제1심의 소송절차-제07장 증거-제05절 자유심증주의-4192.대법원 2010. 5. 27. 선고 2007다25971 판결</v>
      </c>
    </row>
    <row r="291" spans="2:14" ht="14.45" customHeight="1" x14ac:dyDescent="0.2">
      <c r="B291" s="80" t="s">
        <v>2540</v>
      </c>
      <c r="C291" s="86" t="s">
        <v>2528</v>
      </c>
      <c r="D291" s="83" t="s">
        <v>3421</v>
      </c>
      <c r="E291" s="144" t="s">
        <v>7</v>
      </c>
      <c r="F291" s="145" t="s">
        <v>2266</v>
      </c>
      <c r="G291" s="146" t="s">
        <v>115</v>
      </c>
      <c r="H291" s="147" t="s">
        <v>2287</v>
      </c>
      <c r="I291" s="148">
        <v>2280</v>
      </c>
      <c r="J291" s="212"/>
      <c r="K291" s="213"/>
      <c r="L291" s="262" t="s">
        <v>2594</v>
      </c>
      <c r="M291" s="169"/>
      <c r="N291" s="262" t="str">
        <f>B291&amp;"-"&amp;C291&amp;"-"&amp;D291&amp;"-"&amp;IF(E291="요약",1,IF(E291="기출",2,IF(E291="예상",3,IF(E291="판례",4,5))))&amp;F291</f>
        <v>제3편 제1심의 소송절차-제07장 증거-제06절 증명책임-1제1심의 소송절차-증거</v>
      </c>
    </row>
    <row r="292" spans="2:14" ht="14.45" customHeight="1" x14ac:dyDescent="0.2">
      <c r="B292" s="80" t="s">
        <v>2540</v>
      </c>
      <c r="C292" s="86" t="s">
        <v>2528</v>
      </c>
      <c r="D292" s="91" t="s">
        <v>3421</v>
      </c>
      <c r="E292" s="149" t="s">
        <v>2425</v>
      </c>
      <c r="F292" s="150" t="s">
        <v>2319</v>
      </c>
      <c r="G292" s="151" t="s">
        <v>2467</v>
      </c>
      <c r="H292" s="152" t="s">
        <v>2468</v>
      </c>
      <c r="I292" s="153">
        <v>2154</v>
      </c>
      <c r="J292" s="214"/>
      <c r="K292" s="215"/>
      <c r="L292" s="263" t="s">
        <v>2594</v>
      </c>
      <c r="M292" s="154" t="s">
        <v>3506</v>
      </c>
      <c r="N292" s="263" t="str">
        <f>B292&amp;"-"&amp;C292&amp;"-"&amp;D292&amp;"-"&amp;IF(E292="요약",1,IF(E292="기출",2,IF(E292="예상",3,IF(E292="판례",4,5))))&amp;F292</f>
        <v>제3편 제1심의 소송절차-제07장 증거-제06절 증명책임-22025-1-1</v>
      </c>
    </row>
    <row r="293" spans="2:14" ht="14.45" customHeight="1" x14ac:dyDescent="0.2">
      <c r="B293" s="80" t="s">
        <v>2540</v>
      </c>
      <c r="C293" s="86" t="s">
        <v>2528</v>
      </c>
      <c r="D293" s="91" t="s">
        <v>3421</v>
      </c>
      <c r="E293" s="149" t="s">
        <v>2426</v>
      </c>
      <c r="F293" s="150" t="s">
        <v>3570</v>
      </c>
      <c r="G293" s="151" t="s">
        <v>3577</v>
      </c>
      <c r="H293" s="152" t="s">
        <v>3586</v>
      </c>
      <c r="I293" s="153">
        <v>1108</v>
      </c>
      <c r="J293" s="214"/>
      <c r="K293" s="215"/>
      <c r="L293" s="263" t="s">
        <v>2593</v>
      </c>
      <c r="M293" s="154" t="s">
        <v>3518</v>
      </c>
      <c r="N293" s="263" t="str">
        <f>B293&amp;"-"&amp;C293&amp;"-"&amp;D293&amp;"-"&amp;IF(E293="요약",1,IF(E293="기출",2,IF(E293="예상",3,IF(E293="판례",4,5))))&amp;F293</f>
        <v>제3편 제1심의 소송절차-제07장 증거-제06절 증명책임-37.06-1</v>
      </c>
    </row>
    <row r="294" spans="2:14" ht="14.45" customHeight="1" x14ac:dyDescent="0.2">
      <c r="B294" s="80" t="s">
        <v>2540</v>
      </c>
      <c r="C294" s="86" t="s">
        <v>2528</v>
      </c>
      <c r="D294" s="91" t="s">
        <v>3421</v>
      </c>
      <c r="E294" s="149" t="s">
        <v>1553</v>
      </c>
      <c r="F294" s="150" t="s">
        <v>3841</v>
      </c>
      <c r="G294" s="151" t="s">
        <v>3193</v>
      </c>
      <c r="H294" s="152" t="s">
        <v>2797</v>
      </c>
      <c r="I294" s="153">
        <v>284</v>
      </c>
      <c r="J294" s="214"/>
      <c r="K294" s="215"/>
      <c r="L294" s="263"/>
      <c r="M294" s="154"/>
      <c r="N294" s="263" t="str">
        <f>B294&amp;"-"&amp;C294&amp;"-"&amp;D294&amp;"-"&amp;IF(E294="요약",1,IF(E294="기출",2,IF(E294="예상",3,IF(E294="판례",4,5))))&amp;F294</f>
        <v>제3편 제1심의 소송절차-제07장 증거-제06절 증명책임-4193.대법원 1998. 8. 21. 선고 98다8974 판결</v>
      </c>
    </row>
    <row r="295" spans="2:14" ht="14.45" customHeight="1" x14ac:dyDescent="0.2">
      <c r="B295" s="80" t="s">
        <v>2540</v>
      </c>
      <c r="C295" s="86" t="s">
        <v>2528</v>
      </c>
      <c r="D295" s="91" t="s">
        <v>3421</v>
      </c>
      <c r="E295" s="149" t="s">
        <v>1553</v>
      </c>
      <c r="F295" s="150" t="s">
        <v>3839</v>
      </c>
      <c r="G295" s="151" t="s">
        <v>3194</v>
      </c>
      <c r="H295" s="152" t="s">
        <v>2798</v>
      </c>
      <c r="I295" s="153">
        <v>166</v>
      </c>
      <c r="J295" s="214"/>
      <c r="K295" s="215"/>
      <c r="L295" s="263"/>
      <c r="M295" s="154"/>
      <c r="N295" s="263" t="str">
        <f>B295&amp;"-"&amp;C295&amp;"-"&amp;D295&amp;"-"&amp;IF(E295="요약",1,IF(E295="기출",2,IF(E295="예상",3,IF(E295="판례",4,5))))&amp;F295</f>
        <v>제3편 제1심의 소송절차-제07장 증거-제06절 증명책임-4194.대법원 1992. 10. 27. 선고 92다30047 판결</v>
      </c>
    </row>
    <row r="296" spans="2:14" ht="14.45" customHeight="1" x14ac:dyDescent="0.2">
      <c r="B296" s="80" t="s">
        <v>2540</v>
      </c>
      <c r="C296" s="86" t="s">
        <v>2528</v>
      </c>
      <c r="D296" s="91" t="s">
        <v>3421</v>
      </c>
      <c r="E296" s="149" t="s">
        <v>1553</v>
      </c>
      <c r="F296" s="150" t="s">
        <v>3842</v>
      </c>
      <c r="G296" s="151" t="s">
        <v>3195</v>
      </c>
      <c r="H296" s="152" t="s">
        <v>2799</v>
      </c>
      <c r="I296" s="153">
        <v>453</v>
      </c>
      <c r="J296" s="214"/>
      <c r="K296" s="215"/>
      <c r="L296" s="263"/>
      <c r="M296" s="154"/>
      <c r="N296" s="263" t="str">
        <f>B296&amp;"-"&amp;C296&amp;"-"&amp;D296&amp;"-"&amp;IF(E296="요약",1,IF(E296="기출",2,IF(E296="예상",3,IF(E296="판례",4,5))))&amp;F296</f>
        <v>제3편 제1심의 소송절차-제07장 증거-제06절 증명책임-4195.대법원 2002. 9. 24. 선고 2002다26252 판결</v>
      </c>
    </row>
    <row r="297" spans="2:14" ht="14.45" customHeight="1" x14ac:dyDescent="0.2">
      <c r="B297" s="80" t="s">
        <v>2540</v>
      </c>
      <c r="C297" s="86" t="s">
        <v>2528</v>
      </c>
      <c r="D297" s="91" t="s">
        <v>3421</v>
      </c>
      <c r="E297" s="149" t="s">
        <v>1553</v>
      </c>
      <c r="F297" s="150" t="s">
        <v>3845</v>
      </c>
      <c r="G297" s="151" t="s">
        <v>3196</v>
      </c>
      <c r="H297" s="152" t="s">
        <v>2800</v>
      </c>
      <c r="I297" s="153">
        <v>450</v>
      </c>
      <c r="J297" s="214"/>
      <c r="K297" s="215"/>
      <c r="L297" s="263"/>
      <c r="M297" s="154"/>
      <c r="N297" s="263" t="str">
        <f>B297&amp;"-"&amp;C297&amp;"-"&amp;D297&amp;"-"&amp;IF(E297="요약",1,IF(E297="기출",2,IF(E297="예상",3,IF(E297="판례",4,5))))&amp;F297</f>
        <v>제3편 제1심의 소송절차-제07장 증거-제06절 증명책임-4196.대법원 2012. 1. 12. 선고 2009다84608,84615,84622,84639 판결</v>
      </c>
    </row>
    <row r="298" spans="2:14" ht="14.45" customHeight="1" x14ac:dyDescent="0.2">
      <c r="B298" s="80" t="s">
        <v>2540</v>
      </c>
      <c r="C298" s="86" t="s">
        <v>2528</v>
      </c>
      <c r="D298" s="91" t="s">
        <v>3421</v>
      </c>
      <c r="E298" s="149" t="s">
        <v>1553</v>
      </c>
      <c r="F298" s="150" t="s">
        <v>3840</v>
      </c>
      <c r="G298" s="151" t="s">
        <v>3197</v>
      </c>
      <c r="H298" s="152" t="s">
        <v>2801</v>
      </c>
      <c r="I298" s="153">
        <v>597</v>
      </c>
      <c r="J298" s="214"/>
      <c r="K298" s="215"/>
      <c r="L298" s="263"/>
      <c r="M298" s="154"/>
      <c r="N298" s="263" t="str">
        <f>B298&amp;"-"&amp;C298&amp;"-"&amp;D298&amp;"-"&amp;IF(E298="요약",1,IF(E298="기출",2,IF(E298="예상",3,IF(E298="판례",4,5))))&amp;F298</f>
        <v>제3편 제1심의 소송절차-제07장 증거-제06절 증명책임-4197.대법원 1995. 2. 10. 선고 93다52402 판결</v>
      </c>
    </row>
    <row r="299" spans="2:14" ht="14.45" customHeight="1" x14ac:dyDescent="0.2">
      <c r="B299" s="80" t="s">
        <v>2540</v>
      </c>
      <c r="C299" s="86" t="s">
        <v>2528</v>
      </c>
      <c r="D299" s="91" t="s">
        <v>3421</v>
      </c>
      <c r="E299" s="149" t="s">
        <v>1553</v>
      </c>
      <c r="F299" s="150" t="s">
        <v>3843</v>
      </c>
      <c r="G299" s="151" t="s">
        <v>3198</v>
      </c>
      <c r="H299" s="152" t="s">
        <v>2802</v>
      </c>
      <c r="I299" s="153">
        <v>407</v>
      </c>
      <c r="J299" s="214"/>
      <c r="K299" s="215"/>
      <c r="L299" s="263"/>
      <c r="M299" s="154"/>
      <c r="N299" s="263" t="str">
        <f>B299&amp;"-"&amp;C299&amp;"-"&amp;D299&amp;"-"&amp;IF(E299="요약",1,IF(E299="기출",2,IF(E299="예상",3,IF(E299="판례",4,5))))&amp;F299</f>
        <v>제3편 제1심의 소송절차-제07장 증거-제06절 증명책임-4198.대법원 2004. 10. 28. 선고 2002다45185 판결</v>
      </c>
    </row>
    <row r="300" spans="2:14" ht="14.45" customHeight="1" thickBot="1" x14ac:dyDescent="0.25">
      <c r="B300" s="81" t="s">
        <v>2540</v>
      </c>
      <c r="C300" s="87" t="s">
        <v>2528</v>
      </c>
      <c r="D300" s="92" t="s">
        <v>3421</v>
      </c>
      <c r="E300" s="155" t="s">
        <v>1553</v>
      </c>
      <c r="F300" s="156" t="s">
        <v>3844</v>
      </c>
      <c r="G300" s="157" t="s">
        <v>3199</v>
      </c>
      <c r="H300" s="158" t="s">
        <v>2803</v>
      </c>
      <c r="I300" s="159">
        <v>368</v>
      </c>
      <c r="J300" s="221"/>
      <c r="K300" s="220"/>
      <c r="L300" s="264"/>
      <c r="M300" s="171"/>
      <c r="N300" s="264" t="str">
        <f>B300&amp;"-"&amp;C300&amp;"-"&amp;D300&amp;"-"&amp;IF(E300="요약",1,IF(E300="기출",2,IF(E300="예상",3,IF(E300="판례",4,5))))&amp;F300</f>
        <v>제3편 제1심의 소송절차-제07장 증거-제06절 증명책임-4199.대법원 2010. 6. 24. 선고 2010다12852 판결</v>
      </c>
    </row>
    <row r="301" spans="2:14" ht="14.45" customHeight="1" x14ac:dyDescent="0.2">
      <c r="B301" s="61" t="s">
        <v>2603</v>
      </c>
      <c r="C301" s="64" t="s">
        <v>2531</v>
      </c>
      <c r="D301" s="238" t="s">
        <v>3499</v>
      </c>
      <c r="E301" s="239" t="s">
        <v>7</v>
      </c>
      <c r="F301" s="240" t="s">
        <v>74</v>
      </c>
      <c r="G301" s="241" t="s">
        <v>116</v>
      </c>
      <c r="H301" s="242" t="s">
        <v>2235</v>
      </c>
      <c r="I301" s="243">
        <v>2255</v>
      </c>
      <c r="J301" s="244"/>
      <c r="K301" s="245"/>
      <c r="L301" s="265" t="s">
        <v>2594</v>
      </c>
      <c r="M301" s="246"/>
      <c r="N301" s="265" t="str">
        <f>B301&amp;"-"&amp;C301&amp;"-"&amp;D301&amp;"-"&amp;IF(E301="요약",1,IF(E301="기출",2,IF(E301="예상",3,IF(E301="판례",4,5))))&amp;F301</f>
        <v>제4편 소송의 종료-제08장 총설-제01절 소송종료사유-1소송의 종료-총설</v>
      </c>
    </row>
    <row r="302" spans="2:14" ht="14.45" customHeight="1" x14ac:dyDescent="0.2">
      <c r="B302" s="80" t="s">
        <v>2541</v>
      </c>
      <c r="C302" s="86" t="s">
        <v>2530</v>
      </c>
      <c r="D302" s="83" t="s">
        <v>3500</v>
      </c>
      <c r="E302" s="144" t="s">
        <v>7</v>
      </c>
      <c r="F302" s="145" t="s">
        <v>74</v>
      </c>
      <c r="G302" s="146" t="s">
        <v>117</v>
      </c>
      <c r="H302" s="147" t="s">
        <v>2236</v>
      </c>
      <c r="I302" s="148">
        <v>2325</v>
      </c>
      <c r="J302" s="212"/>
      <c r="K302" s="213"/>
      <c r="L302" s="262" t="s">
        <v>2594</v>
      </c>
      <c r="M302" s="169"/>
      <c r="N302" s="262" t="str">
        <f>B302&amp;"-"&amp;C302&amp;"-"&amp;D302&amp;"-"&amp;IF(E302="요약",1,IF(E302="기출",2,IF(E302="예상",3,IF(E302="판례",4,5))))&amp;F302</f>
        <v>제4편 소송의 종료-제08장 총설-제02절 소송종료선언-1소송의 종료-총설</v>
      </c>
    </row>
    <row r="303" spans="2:14" ht="14.45" customHeight="1" x14ac:dyDescent="0.2">
      <c r="B303" s="80" t="s">
        <v>2541</v>
      </c>
      <c r="C303" s="86" t="s">
        <v>2530</v>
      </c>
      <c r="D303" s="91" t="s">
        <v>3500</v>
      </c>
      <c r="E303" s="149" t="s">
        <v>1553</v>
      </c>
      <c r="F303" s="150" t="s">
        <v>3846</v>
      </c>
      <c r="G303" s="151" t="s">
        <v>3200</v>
      </c>
      <c r="H303" s="152" t="s">
        <v>2804</v>
      </c>
      <c r="I303" s="153">
        <v>313</v>
      </c>
      <c r="J303" s="214"/>
      <c r="K303" s="215"/>
      <c r="L303" s="263"/>
      <c r="M303" s="154"/>
      <c r="N303" s="263" t="str">
        <f>B303&amp;"-"&amp;C303&amp;"-"&amp;D303&amp;"-"&amp;IF(E303="요약",1,IF(E303="기출",2,IF(E303="예상",3,IF(E303="판례",4,5))))&amp;F303</f>
        <v>제4편 소송의 종료-제08장 총설-제02절 소송종료선언-4200.대법원 2001. 3. 9. 선고 2000다58668 판결</v>
      </c>
    </row>
    <row r="304" spans="2:14" ht="14.45" customHeight="1" thickBot="1" x14ac:dyDescent="0.25">
      <c r="B304" s="80" t="s">
        <v>2541</v>
      </c>
      <c r="C304" s="87" t="s">
        <v>2530</v>
      </c>
      <c r="D304" s="92" t="s">
        <v>3500</v>
      </c>
      <c r="E304" s="155" t="s">
        <v>1553</v>
      </c>
      <c r="F304" s="156" t="s">
        <v>3847</v>
      </c>
      <c r="G304" s="157" t="s">
        <v>3201</v>
      </c>
      <c r="H304" s="158" t="s">
        <v>2805</v>
      </c>
      <c r="I304" s="159">
        <v>290</v>
      </c>
      <c r="J304" s="221"/>
      <c r="K304" s="220"/>
      <c r="L304" s="264"/>
      <c r="M304" s="171"/>
      <c r="N304" s="264" t="str">
        <f>B304&amp;"-"&amp;C304&amp;"-"&amp;D304&amp;"-"&amp;IF(E304="요약",1,IF(E304="기출",2,IF(E304="예상",3,IF(E304="판례",4,5))))&amp;F304</f>
        <v>제4편 소송의 종료-제08장 총설-제02절 소송종료선언-4201.대법원 2019. 2. 14. 선고 2015다255258 판결</v>
      </c>
    </row>
    <row r="305" spans="2:14" ht="14.45" customHeight="1" x14ac:dyDescent="0.2">
      <c r="B305" s="80" t="s">
        <v>2541</v>
      </c>
      <c r="C305" s="64" t="s">
        <v>2546</v>
      </c>
      <c r="D305" s="85" t="s">
        <v>3438</v>
      </c>
      <c r="E305" s="138" t="s">
        <v>7</v>
      </c>
      <c r="F305" s="139" t="s">
        <v>144</v>
      </c>
      <c r="G305" s="140" t="s">
        <v>118</v>
      </c>
      <c r="H305" s="141" t="s">
        <v>2237</v>
      </c>
      <c r="I305" s="142">
        <v>2290</v>
      </c>
      <c r="J305" s="210"/>
      <c r="K305" s="211"/>
      <c r="L305" s="259" t="s">
        <v>2593</v>
      </c>
      <c r="M305" s="170" t="s">
        <v>3626</v>
      </c>
      <c r="N305" s="259" t="str">
        <f>B305&amp;"-"&amp;C305&amp;"-"&amp;D305&amp;"-"&amp;IF(E305="요약",1,IF(E305="기출",2,IF(E305="예상",3,IF(E305="판례",4,5))))&amp;F305</f>
        <v>제4편 소송의 종료-제09장 당사자 행위에 의한 종료-제01절 소의 취하와 재소금지-1소송의 종료-당사자 행위에 의한 종료</v>
      </c>
    </row>
    <row r="306" spans="2:14" ht="14.45" customHeight="1" x14ac:dyDescent="0.2">
      <c r="B306" s="80" t="s">
        <v>2541</v>
      </c>
      <c r="C306" s="86" t="s">
        <v>2545</v>
      </c>
      <c r="D306" s="91" t="s">
        <v>3438</v>
      </c>
      <c r="E306" s="149" t="s">
        <v>2425</v>
      </c>
      <c r="F306" s="150" t="s">
        <v>178</v>
      </c>
      <c r="G306" s="151" t="s">
        <v>2462</v>
      </c>
      <c r="H306" s="152" t="s">
        <v>2463</v>
      </c>
      <c r="I306" s="153">
        <v>1594</v>
      </c>
      <c r="J306" s="214"/>
      <c r="K306" s="215"/>
      <c r="L306" s="263" t="s">
        <v>2594</v>
      </c>
      <c r="M306" s="154" t="s">
        <v>3518</v>
      </c>
      <c r="N306" s="263" t="str">
        <f>B306&amp;"-"&amp;C306&amp;"-"&amp;D306&amp;"-"&amp;IF(E306="요약",1,IF(E306="기출",2,IF(E306="예상",3,IF(E306="판례",4,5))))&amp;F306</f>
        <v>제4편 소송의 종료-제09장 당사자 행위에 의한 종료-제01절 소의 취하와 재소금지-22015-3</v>
      </c>
    </row>
    <row r="307" spans="2:14" ht="14.45" customHeight="1" x14ac:dyDescent="0.2">
      <c r="B307" s="80" t="s">
        <v>2541</v>
      </c>
      <c r="C307" s="86" t="s">
        <v>2545</v>
      </c>
      <c r="D307" s="91" t="s">
        <v>3438</v>
      </c>
      <c r="E307" s="149" t="s">
        <v>2425</v>
      </c>
      <c r="F307" s="150" t="s">
        <v>2322</v>
      </c>
      <c r="G307" s="151" t="s">
        <v>2492</v>
      </c>
      <c r="H307" s="152" t="s">
        <v>2493</v>
      </c>
      <c r="I307" s="153">
        <v>1582</v>
      </c>
      <c r="J307" s="214"/>
      <c r="K307" s="215"/>
      <c r="L307" s="263" t="s">
        <v>2594</v>
      </c>
      <c r="M307" s="154" t="s">
        <v>3518</v>
      </c>
      <c r="N307" s="263" t="str">
        <f>B307&amp;"-"&amp;C307&amp;"-"&amp;D307&amp;"-"&amp;IF(E307="요약",1,IF(E307="기출",2,IF(E307="예상",3,IF(E307="판례",4,5))))&amp;F307</f>
        <v>제4편 소송의 종료-제09장 당사자 행위에 의한 종료-제01절 소의 취하와 재소금지-22024-2</v>
      </c>
    </row>
    <row r="308" spans="2:14" ht="14.45" customHeight="1" x14ac:dyDescent="0.2">
      <c r="B308" s="80" t="s">
        <v>2541</v>
      </c>
      <c r="C308" s="86" t="s">
        <v>2545</v>
      </c>
      <c r="D308" s="91" t="s">
        <v>3438</v>
      </c>
      <c r="E308" s="149" t="s">
        <v>2425</v>
      </c>
      <c r="F308" s="150" t="s">
        <v>177</v>
      </c>
      <c r="G308" s="151" t="s">
        <v>2489</v>
      </c>
      <c r="H308" s="152" t="s">
        <v>2490</v>
      </c>
      <c r="I308" s="153">
        <v>1534</v>
      </c>
      <c r="J308" s="214"/>
      <c r="K308" s="215"/>
      <c r="L308" s="263" t="s">
        <v>2594</v>
      </c>
      <c r="M308" s="154" t="s">
        <v>3518</v>
      </c>
      <c r="N308" s="263" t="str">
        <f>B308&amp;"-"&amp;C308&amp;"-"&amp;D308&amp;"-"&amp;IF(E308="요약",1,IF(E308="기출",2,IF(E308="예상",3,IF(E308="판례",4,5))))&amp;F308</f>
        <v>제4편 소송의 종료-제09장 당사자 행위에 의한 종료-제01절 소의 취하와 재소금지-22025-3</v>
      </c>
    </row>
    <row r="309" spans="2:14" ht="14.45" customHeight="1" x14ac:dyDescent="0.2">
      <c r="B309" s="80" t="s">
        <v>2541</v>
      </c>
      <c r="C309" s="86" t="s">
        <v>2545</v>
      </c>
      <c r="D309" s="91" t="s">
        <v>3438</v>
      </c>
      <c r="E309" s="149" t="s">
        <v>1553</v>
      </c>
      <c r="F309" s="150" t="s">
        <v>3860</v>
      </c>
      <c r="G309" s="151" t="s">
        <v>3202</v>
      </c>
      <c r="H309" s="152" t="s">
        <v>2806</v>
      </c>
      <c r="I309" s="153">
        <v>331</v>
      </c>
      <c r="J309" s="214"/>
      <c r="K309" s="215"/>
      <c r="L309" s="263" t="s">
        <v>2593</v>
      </c>
      <c r="M309" s="154"/>
      <c r="N309" s="263" t="str">
        <f>B309&amp;"-"&amp;C309&amp;"-"&amp;D309&amp;"-"&amp;IF(E309="요약",1,IF(E309="기출",2,IF(E309="예상",3,IF(E309="판례",4,5))))&amp;F309</f>
        <v>제4편 소송의 종료-제09장 당사자 행위에 의한 종료-제01절 소의 취하와 재소금지-4202.대법원 1994. 12. 13. 선고 94다15486 판결</v>
      </c>
    </row>
    <row r="310" spans="2:14" ht="14.45" customHeight="1" x14ac:dyDescent="0.2">
      <c r="B310" s="80" t="s">
        <v>2541</v>
      </c>
      <c r="C310" s="86" t="s">
        <v>2545</v>
      </c>
      <c r="D310" s="91" t="s">
        <v>3438</v>
      </c>
      <c r="E310" s="149" t="s">
        <v>1553</v>
      </c>
      <c r="F310" s="150" t="s">
        <v>3853</v>
      </c>
      <c r="G310" s="151" t="s">
        <v>3203</v>
      </c>
      <c r="H310" s="152" t="s">
        <v>2807</v>
      </c>
      <c r="I310" s="153">
        <v>183</v>
      </c>
      <c r="J310" s="214"/>
      <c r="K310" s="215"/>
      <c r="L310" s="263" t="s">
        <v>2593</v>
      </c>
      <c r="M310" s="154"/>
      <c r="N310" s="263" t="str">
        <f>B310&amp;"-"&amp;C310&amp;"-"&amp;D310&amp;"-"&amp;IF(E310="요약",1,IF(E310="기출",2,IF(E310="예상",3,IF(E310="판례",4,5))))&amp;F310</f>
        <v>제4편 소송의 종료-제09장 당사자 행위에 의한 종료-제01절 소의 취하와 재소금지-4203.대법원 1982. 3. 9. 선고 81다1312 판결</v>
      </c>
    </row>
    <row r="311" spans="2:14" ht="14.45" customHeight="1" x14ac:dyDescent="0.2">
      <c r="B311" s="80" t="s">
        <v>2541</v>
      </c>
      <c r="C311" s="86" t="s">
        <v>2545</v>
      </c>
      <c r="D311" s="91" t="s">
        <v>3438</v>
      </c>
      <c r="E311" s="149" t="s">
        <v>1553</v>
      </c>
      <c r="F311" s="150" t="s">
        <v>3862</v>
      </c>
      <c r="G311" s="151" t="s">
        <v>3204</v>
      </c>
      <c r="H311" s="152" t="s">
        <v>2808</v>
      </c>
      <c r="I311" s="153">
        <v>123</v>
      </c>
      <c r="J311" s="214"/>
      <c r="K311" s="215"/>
      <c r="L311" s="263" t="s">
        <v>2593</v>
      </c>
      <c r="M311" s="154"/>
      <c r="N311" s="263" t="str">
        <f>B311&amp;"-"&amp;C311&amp;"-"&amp;D311&amp;"-"&amp;IF(E311="요약",1,IF(E311="기출",2,IF(E311="예상",3,IF(E311="판례",4,5))))&amp;F311</f>
        <v>제4편 소송의 종료-제09장 당사자 행위에 의한 종료-제01절 소의 취하와 재소금지-4204.대법원 1997. 6. 27. 선고 97다6124 판결</v>
      </c>
    </row>
    <row r="312" spans="2:14" ht="14.45" customHeight="1" x14ac:dyDescent="0.2">
      <c r="B312" s="80" t="s">
        <v>2541</v>
      </c>
      <c r="C312" s="86" t="s">
        <v>2545</v>
      </c>
      <c r="D312" s="91" t="s">
        <v>3438</v>
      </c>
      <c r="E312" s="149" t="s">
        <v>1553</v>
      </c>
      <c r="F312" s="150" t="s">
        <v>3850</v>
      </c>
      <c r="G312" s="151" t="s">
        <v>3205</v>
      </c>
      <c r="H312" s="152" t="s">
        <v>2809</v>
      </c>
      <c r="I312" s="153">
        <v>173</v>
      </c>
      <c r="J312" s="214"/>
      <c r="K312" s="215"/>
      <c r="L312" s="263" t="s">
        <v>2593</v>
      </c>
      <c r="M312" s="154"/>
      <c r="N312" s="263" t="str">
        <f>B312&amp;"-"&amp;C312&amp;"-"&amp;D312&amp;"-"&amp;IF(E312="요약",1,IF(E312="기출",2,IF(E312="예상",3,IF(E312="판례",4,5))))&amp;F312</f>
        <v>제4편 소송의 종료-제09장 당사자 행위에 의한 종료-제01절 소의 취하와 재소금지-4205.대법원 1968. 4. 23. 선고 68다217 판결</v>
      </c>
    </row>
    <row r="313" spans="2:14" ht="14.45" customHeight="1" x14ac:dyDescent="0.2">
      <c r="B313" s="80" t="s">
        <v>2541</v>
      </c>
      <c r="C313" s="86" t="s">
        <v>2545</v>
      </c>
      <c r="D313" s="91" t="s">
        <v>3438</v>
      </c>
      <c r="E313" s="149" t="s">
        <v>1553</v>
      </c>
      <c r="F313" s="150" t="s">
        <v>3855</v>
      </c>
      <c r="G313" s="151" t="s">
        <v>3206</v>
      </c>
      <c r="H313" s="152" t="s">
        <v>2810</v>
      </c>
      <c r="I313" s="153">
        <v>248</v>
      </c>
      <c r="J313" s="214"/>
      <c r="K313" s="215"/>
      <c r="L313" s="263" t="s">
        <v>2593</v>
      </c>
      <c r="M313" s="154"/>
      <c r="N313" s="263" t="str">
        <f>B313&amp;"-"&amp;C313&amp;"-"&amp;D313&amp;"-"&amp;IF(E313="요약",1,IF(E313="기출",2,IF(E313="예상",3,IF(E313="판례",4,5))))&amp;F313</f>
        <v>제4편 소송의 종료-제09장 당사자 행위에 의한 종료-제01절 소의 취하와 재소금지-4206.대법원 1984. 7. 10. 선고 84다카298 판결</v>
      </c>
    </row>
    <row r="314" spans="2:14" ht="14.45" customHeight="1" x14ac:dyDescent="0.2">
      <c r="B314" s="80" t="s">
        <v>2541</v>
      </c>
      <c r="C314" s="86" t="s">
        <v>2545</v>
      </c>
      <c r="D314" s="91" t="s">
        <v>3438</v>
      </c>
      <c r="E314" s="149" t="s">
        <v>1553</v>
      </c>
      <c r="F314" s="150" t="s">
        <v>3851</v>
      </c>
      <c r="G314" s="151" t="s">
        <v>3207</v>
      </c>
      <c r="H314" s="152" t="s">
        <v>2811</v>
      </c>
      <c r="I314" s="153">
        <v>154</v>
      </c>
      <c r="J314" s="214"/>
      <c r="K314" s="215"/>
      <c r="L314" s="263" t="s">
        <v>2593</v>
      </c>
      <c r="M314" s="154"/>
      <c r="N314" s="263" t="str">
        <f>B314&amp;"-"&amp;C314&amp;"-"&amp;D314&amp;"-"&amp;IF(E314="요약",1,IF(E314="기출",2,IF(E314="예상",3,IF(E314="판례",4,5))))&amp;F314</f>
        <v>제4편 소송의 종료-제09장 당사자 행위에 의한 종료-제01절 소의 취하와 재소금지-4207.대법원 1972. 11. 30.자 72마787 결정</v>
      </c>
    </row>
    <row r="315" spans="2:14" ht="14.45" customHeight="1" x14ac:dyDescent="0.2">
      <c r="B315" s="80" t="s">
        <v>2541</v>
      </c>
      <c r="C315" s="86" t="s">
        <v>2545</v>
      </c>
      <c r="D315" s="91" t="s">
        <v>3438</v>
      </c>
      <c r="E315" s="149" t="s">
        <v>1553</v>
      </c>
      <c r="F315" s="150" t="s">
        <v>3854</v>
      </c>
      <c r="G315" s="151" t="s">
        <v>3208</v>
      </c>
      <c r="H315" s="152" t="s">
        <v>2812</v>
      </c>
      <c r="I315" s="153">
        <v>158</v>
      </c>
      <c r="J315" s="214"/>
      <c r="K315" s="215"/>
      <c r="L315" s="263" t="s">
        <v>2593</v>
      </c>
      <c r="M315" s="154"/>
      <c r="N315" s="263" t="str">
        <f>B315&amp;"-"&amp;C315&amp;"-"&amp;D315&amp;"-"&amp;IF(E315="요약",1,IF(E315="기출",2,IF(E315="예상",3,IF(E315="판례",4,5))))&amp;F315</f>
        <v>제4편 소송의 종료-제09장 당사자 행위에 의한 종료-제01절 소의 취하와 재소금지-4208.대법원 1983. 4. 12. 선고 80다3251 판결</v>
      </c>
    </row>
    <row r="316" spans="2:14" ht="14.45" customHeight="1" x14ac:dyDescent="0.2">
      <c r="B316" s="80" t="s">
        <v>2541</v>
      </c>
      <c r="C316" s="86" t="s">
        <v>2545</v>
      </c>
      <c r="D316" s="91" t="s">
        <v>3438</v>
      </c>
      <c r="E316" s="149" t="s">
        <v>1553</v>
      </c>
      <c r="F316" s="150" t="s">
        <v>3848</v>
      </c>
      <c r="G316" s="151" t="s">
        <v>3209</v>
      </c>
      <c r="H316" s="152" t="s">
        <v>2813</v>
      </c>
      <c r="I316" s="153">
        <v>156</v>
      </c>
      <c r="J316" s="214"/>
      <c r="K316" s="215"/>
      <c r="L316" s="263" t="s">
        <v>2593</v>
      </c>
      <c r="M316" s="154"/>
      <c r="N316" s="263" t="str">
        <f>B316&amp;"-"&amp;C316&amp;"-"&amp;D316&amp;"-"&amp;IF(E316="요약",1,IF(E316="기출",2,IF(E316="예상",3,IF(E316="판례",4,5))))&amp;F316</f>
        <v>제4편 소송의 종료-제09장 당사자 행위에 의한 종료-제01절 소의 취하와 재소금지-4209.대법원 1964. 9. 15. 선고 64다92 판결</v>
      </c>
    </row>
    <row r="317" spans="2:14" ht="14.45" customHeight="1" x14ac:dyDescent="0.2">
      <c r="B317" s="80" t="s">
        <v>2541</v>
      </c>
      <c r="C317" s="86" t="s">
        <v>2545</v>
      </c>
      <c r="D317" s="91" t="s">
        <v>3438</v>
      </c>
      <c r="E317" s="149" t="s">
        <v>1553</v>
      </c>
      <c r="F317" s="150" t="s">
        <v>3852</v>
      </c>
      <c r="G317" s="151" t="s">
        <v>3210</v>
      </c>
      <c r="H317" s="152" t="s">
        <v>2814</v>
      </c>
      <c r="I317" s="153">
        <v>251</v>
      </c>
      <c r="J317" s="214"/>
      <c r="K317" s="215"/>
      <c r="L317" s="263"/>
      <c r="M317" s="154"/>
      <c r="N317" s="263" t="str">
        <f>B317&amp;"-"&amp;C317&amp;"-"&amp;D317&amp;"-"&amp;IF(E317="요약",1,IF(E317="기출",2,IF(E317="예상",3,IF(E317="판례",4,5))))&amp;F317</f>
        <v>제4편 소송의 종료-제09장 당사자 행위에 의한 종료-제01절 소의 취하와 재소금지-4210.대법원 1981. 7. 14. 선고 81다64,65 판결</v>
      </c>
    </row>
    <row r="318" spans="2:14" ht="14.45" customHeight="1" x14ac:dyDescent="0.2">
      <c r="B318" s="80" t="s">
        <v>2541</v>
      </c>
      <c r="C318" s="86" t="s">
        <v>2545</v>
      </c>
      <c r="D318" s="91" t="s">
        <v>3438</v>
      </c>
      <c r="E318" s="149" t="s">
        <v>1553</v>
      </c>
      <c r="F318" s="150" t="s">
        <v>3861</v>
      </c>
      <c r="G318" s="151" t="s">
        <v>3211</v>
      </c>
      <c r="H318" s="152" t="s">
        <v>2815</v>
      </c>
      <c r="I318" s="153">
        <v>178</v>
      </c>
      <c r="J318" s="214"/>
      <c r="K318" s="215"/>
      <c r="L318" s="263"/>
      <c r="M318" s="154"/>
      <c r="N318" s="263" t="str">
        <f>B318&amp;"-"&amp;C318&amp;"-"&amp;D318&amp;"-"&amp;IF(E318="요약",1,IF(E318="기출",2,IF(E318="예상",3,IF(E318="판례",4,5))))&amp;F318</f>
        <v>제4편 소송의 종료-제09장 당사자 행위에 의한 종료-제01절 소의 취하와 재소금지-4211.대법원 1996. 9. 20. 선고 93다20177,20184 판결</v>
      </c>
    </row>
    <row r="319" spans="2:14" ht="14.45" customHeight="1" x14ac:dyDescent="0.2">
      <c r="B319" s="80" t="s">
        <v>2541</v>
      </c>
      <c r="C319" s="86" t="s">
        <v>2545</v>
      </c>
      <c r="D319" s="91" t="s">
        <v>3438</v>
      </c>
      <c r="E319" s="149" t="s">
        <v>1553</v>
      </c>
      <c r="F319" s="150" t="s">
        <v>3858</v>
      </c>
      <c r="G319" s="151" t="s">
        <v>3212</v>
      </c>
      <c r="H319" s="152" t="s">
        <v>2816</v>
      </c>
      <c r="I319" s="153">
        <v>192</v>
      </c>
      <c r="J319" s="214"/>
      <c r="K319" s="215"/>
      <c r="L319" s="263"/>
      <c r="M319" s="154"/>
      <c r="N319" s="263" t="str">
        <f>B319&amp;"-"&amp;C319&amp;"-"&amp;D319&amp;"-"&amp;IF(E319="요약",1,IF(E319="기출",2,IF(E319="예상",3,IF(E319="판례",4,5))))&amp;F319</f>
        <v>제4편 소송의 종료-제09장 당사자 행위에 의한 종료-제01절 소의 취하와 재소금지-4212.대법원 1991. 1. 15. 선고 90다카25970 판결</v>
      </c>
    </row>
    <row r="320" spans="2:14" ht="14.45" customHeight="1" x14ac:dyDescent="0.2">
      <c r="B320" s="80" t="s">
        <v>2541</v>
      </c>
      <c r="C320" s="86" t="s">
        <v>2545</v>
      </c>
      <c r="D320" s="91" t="s">
        <v>3438</v>
      </c>
      <c r="E320" s="149" t="s">
        <v>1553</v>
      </c>
      <c r="F320" s="150" t="s">
        <v>3857</v>
      </c>
      <c r="G320" s="151" t="s">
        <v>3213</v>
      </c>
      <c r="H320" s="152" t="s">
        <v>2817</v>
      </c>
      <c r="I320" s="153">
        <v>321</v>
      </c>
      <c r="J320" s="214"/>
      <c r="K320" s="215"/>
      <c r="L320" s="263"/>
      <c r="M320" s="154"/>
      <c r="N320" s="263" t="str">
        <f>B320&amp;"-"&amp;C320&amp;"-"&amp;D320&amp;"-"&amp;IF(E320="요약",1,IF(E320="기출",2,IF(E320="예상",3,IF(E320="판례",4,5))))&amp;F320</f>
        <v>제4편 소송의 종료-제09장 당사자 행위에 의한 종료-제01절 소의 취하와 재소금지-4213.대법원 1989. 10. 10. 선고 88다카18023 판결</v>
      </c>
    </row>
    <row r="321" spans="2:14" ht="14.45" customHeight="1" x14ac:dyDescent="0.2">
      <c r="B321" s="80" t="s">
        <v>2541</v>
      </c>
      <c r="C321" s="86" t="s">
        <v>2545</v>
      </c>
      <c r="D321" s="91" t="s">
        <v>3438</v>
      </c>
      <c r="E321" s="149" t="s">
        <v>1553</v>
      </c>
      <c r="F321" s="150" t="s">
        <v>3859</v>
      </c>
      <c r="G321" s="151" t="s">
        <v>3214</v>
      </c>
      <c r="H321" s="152" t="s">
        <v>2818</v>
      </c>
      <c r="I321" s="153">
        <v>270</v>
      </c>
      <c r="J321" s="214"/>
      <c r="K321" s="215"/>
      <c r="L321" s="263"/>
      <c r="M321" s="154"/>
      <c r="N321" s="263" t="str">
        <f>B321&amp;"-"&amp;C321&amp;"-"&amp;D321&amp;"-"&amp;IF(E321="요약",1,IF(E321="기출",2,IF(E321="예상",3,IF(E321="판례",4,5))))&amp;F321</f>
        <v>제4편 소송의 종료-제09장 당사자 행위에 의한 종료-제01절 소의 취하와 재소금지-4214.대법원 1993. 8. 24. 선고 93다22074 판결</v>
      </c>
    </row>
    <row r="322" spans="2:14" ht="14.45" customHeight="1" x14ac:dyDescent="0.2">
      <c r="B322" s="80" t="s">
        <v>2541</v>
      </c>
      <c r="C322" s="86" t="s">
        <v>2545</v>
      </c>
      <c r="D322" s="91" t="s">
        <v>3438</v>
      </c>
      <c r="E322" s="149" t="s">
        <v>1553</v>
      </c>
      <c r="F322" s="150" t="s">
        <v>3863</v>
      </c>
      <c r="G322" s="151" t="s">
        <v>3215</v>
      </c>
      <c r="H322" s="152" t="s">
        <v>2819</v>
      </c>
      <c r="I322" s="153">
        <v>496</v>
      </c>
      <c r="J322" s="214"/>
      <c r="K322" s="215"/>
      <c r="L322" s="263"/>
      <c r="M322" s="154"/>
      <c r="N322" s="263" t="str">
        <f>B322&amp;"-"&amp;C322&amp;"-"&amp;D322&amp;"-"&amp;IF(E322="요약",1,IF(E322="기출",2,IF(E322="예상",3,IF(E322="판례",4,5))))&amp;F322</f>
        <v>제4편 소송의 종료-제09장 당사자 행위에 의한 종료-제01절 소의 취하와 재소금지-4215.대법원 2022. 6. 30. 선고 2021다239301 판결</v>
      </c>
    </row>
    <row r="323" spans="2:14" ht="14.45" customHeight="1" x14ac:dyDescent="0.2">
      <c r="B323" s="80" t="s">
        <v>2541</v>
      </c>
      <c r="C323" s="86" t="s">
        <v>2545</v>
      </c>
      <c r="D323" s="91" t="s">
        <v>3438</v>
      </c>
      <c r="E323" s="149" t="s">
        <v>1553</v>
      </c>
      <c r="F323" s="150" t="s">
        <v>3849</v>
      </c>
      <c r="G323" s="151" t="s">
        <v>3216</v>
      </c>
      <c r="H323" s="152" t="s">
        <v>2820</v>
      </c>
      <c r="I323" s="153">
        <v>160</v>
      </c>
      <c r="J323" s="214"/>
      <c r="K323" s="215"/>
      <c r="L323" s="263"/>
      <c r="M323" s="154"/>
      <c r="N323" s="263" t="str">
        <f>B323&amp;"-"&amp;C323&amp;"-"&amp;D323&amp;"-"&amp;IF(E323="요약",1,IF(E323="기출",2,IF(E323="예상",3,IF(E323="판례",4,5))))&amp;F323</f>
        <v>제4편 소송의 종료-제09장 당사자 행위에 의한 종료-제01절 소의 취하와 재소금지-4216.대법원 1967. 7. 18. 선고 67다1042 판결</v>
      </c>
    </row>
    <row r="324" spans="2:14" ht="14.45" customHeight="1" x14ac:dyDescent="0.2">
      <c r="B324" s="80" t="s">
        <v>2541</v>
      </c>
      <c r="C324" s="86" t="s">
        <v>2545</v>
      </c>
      <c r="D324" s="91" t="s">
        <v>3438</v>
      </c>
      <c r="E324" s="149" t="s">
        <v>1553</v>
      </c>
      <c r="F324" s="150" t="s">
        <v>3864</v>
      </c>
      <c r="G324" s="151" t="s">
        <v>3217</v>
      </c>
      <c r="H324" s="152" t="s">
        <v>2821</v>
      </c>
      <c r="I324" s="153">
        <v>229</v>
      </c>
      <c r="J324" s="214"/>
      <c r="K324" s="215"/>
      <c r="L324" s="263"/>
      <c r="M324" s="154"/>
      <c r="N324" s="263" t="str">
        <f>B324&amp;"-"&amp;C324&amp;"-"&amp;D324&amp;"-"&amp;IF(E324="요약",1,IF(E324="기출",2,IF(E324="예상",3,IF(E324="판례",4,5))))&amp;F324</f>
        <v>제4편 소송의 종료-제09장 당사자 행위에 의한 종료-제01절 소의 취하와 재소금지-4217.헌법재판소 2012. 11. 29. 선고 2012헌바180 전원재판부 결정</v>
      </c>
    </row>
    <row r="325" spans="2:14" ht="14.45" customHeight="1" x14ac:dyDescent="0.2">
      <c r="B325" s="80" t="s">
        <v>2541</v>
      </c>
      <c r="C325" s="86" t="s">
        <v>2545</v>
      </c>
      <c r="D325" s="90" t="s">
        <v>3438</v>
      </c>
      <c r="E325" s="222" t="s">
        <v>1553</v>
      </c>
      <c r="F325" s="223" t="s">
        <v>3856</v>
      </c>
      <c r="G325" s="224" t="s">
        <v>3218</v>
      </c>
      <c r="H325" s="225" t="s">
        <v>2822</v>
      </c>
      <c r="I325" s="226">
        <v>188</v>
      </c>
      <c r="J325" s="227"/>
      <c r="K325" s="228"/>
      <c r="L325" s="260"/>
      <c r="M325" s="229"/>
      <c r="N325" s="260" t="str">
        <f>B325&amp;"-"&amp;C325&amp;"-"&amp;D325&amp;"-"&amp;IF(E325="요약",1,IF(E325="기출",2,IF(E325="예상",3,IF(E325="판례",4,5))))&amp;F325</f>
        <v>제4편 소송의 종료-제09장 당사자 행위에 의한 종료-제01절 소의 취하와 재소금지-4218.대법원 1987. 11. 10. 선고 87다카1405 판결</v>
      </c>
    </row>
    <row r="326" spans="2:14" ht="14.45" customHeight="1" x14ac:dyDescent="0.2">
      <c r="B326" s="80" t="s">
        <v>2541</v>
      </c>
      <c r="C326" s="86" t="s">
        <v>2545</v>
      </c>
      <c r="D326" s="83" t="s">
        <v>3441</v>
      </c>
      <c r="E326" s="144" t="s">
        <v>7</v>
      </c>
      <c r="F326" s="145" t="s">
        <v>144</v>
      </c>
      <c r="G326" s="146" t="s">
        <v>217</v>
      </c>
      <c r="H326" s="147" t="s">
        <v>2238</v>
      </c>
      <c r="I326" s="148">
        <v>2040</v>
      </c>
      <c r="J326" s="212"/>
      <c r="K326" s="213"/>
      <c r="L326" s="262" t="s">
        <v>2594</v>
      </c>
      <c r="M326" s="169"/>
      <c r="N326" s="262" t="str">
        <f>B326&amp;"-"&amp;C326&amp;"-"&amp;D326&amp;"-"&amp;IF(E326="요약",1,IF(E326="기출",2,IF(E326="예상",3,IF(E326="판례",4,5))))&amp;F326</f>
        <v>제4편 소송의 종료-제09장 당사자 행위에 의한 종료-제02절 청구의 포기・인낙-1소송의 종료-당사자 행위에 의한 종료</v>
      </c>
    </row>
    <row r="327" spans="2:14" ht="14.45" customHeight="1" x14ac:dyDescent="0.2">
      <c r="B327" s="80" t="s">
        <v>2541</v>
      </c>
      <c r="C327" s="86" t="s">
        <v>2545</v>
      </c>
      <c r="D327" s="91" t="s">
        <v>3441</v>
      </c>
      <c r="E327" s="149" t="s">
        <v>2426</v>
      </c>
      <c r="F327" s="150" t="s">
        <v>3563</v>
      </c>
      <c r="G327" s="151" t="s">
        <v>218</v>
      </c>
      <c r="H327" s="152" t="s">
        <v>2188</v>
      </c>
      <c r="I327" s="153">
        <v>1890</v>
      </c>
      <c r="J327" s="214"/>
      <c r="K327" s="215"/>
      <c r="L327" s="263" t="s">
        <v>2594</v>
      </c>
      <c r="M327" s="154"/>
      <c r="N327" s="263" t="str">
        <f>B327&amp;"-"&amp;C327&amp;"-"&amp;D327&amp;"-"&amp;IF(E327="요약",1,IF(E327="기출",2,IF(E327="예상",3,IF(E327="판례",4,5))))&amp;F327</f>
        <v>제4편 소송의 종료-제09장 당사자 행위에 의한 종료-제02절 청구의 포기・인낙-39.02-1</v>
      </c>
    </row>
    <row r="328" spans="2:14" ht="14.45" customHeight="1" x14ac:dyDescent="0.2">
      <c r="B328" s="80" t="s">
        <v>2541</v>
      </c>
      <c r="C328" s="86" t="s">
        <v>2545</v>
      </c>
      <c r="D328" s="91" t="s">
        <v>3441</v>
      </c>
      <c r="E328" s="149" t="s">
        <v>2426</v>
      </c>
      <c r="F328" s="150" t="s">
        <v>3564</v>
      </c>
      <c r="G328" s="151" t="s">
        <v>219</v>
      </c>
      <c r="H328" s="152" t="s">
        <v>2189</v>
      </c>
      <c r="I328" s="153">
        <v>2048</v>
      </c>
      <c r="J328" s="214"/>
      <c r="K328" s="215"/>
      <c r="L328" s="263" t="s">
        <v>2594</v>
      </c>
      <c r="M328" s="154"/>
      <c r="N328" s="263" t="str">
        <f>B328&amp;"-"&amp;C328&amp;"-"&amp;D328&amp;"-"&amp;IF(E328="요약",1,IF(E328="기출",2,IF(E328="예상",3,IF(E328="판례",4,5))))&amp;F328</f>
        <v>제4편 소송의 종료-제09장 당사자 행위에 의한 종료-제02절 청구의 포기・인낙-39.02-2</v>
      </c>
    </row>
    <row r="329" spans="2:14" ht="14.45" customHeight="1" x14ac:dyDescent="0.2">
      <c r="B329" s="80" t="s">
        <v>2541</v>
      </c>
      <c r="C329" s="86" t="s">
        <v>2545</v>
      </c>
      <c r="D329" s="91" t="s">
        <v>3441</v>
      </c>
      <c r="E329" s="149" t="s">
        <v>1553</v>
      </c>
      <c r="F329" s="150" t="s">
        <v>3866</v>
      </c>
      <c r="G329" s="151" t="s">
        <v>3219</v>
      </c>
      <c r="H329" s="152" t="s">
        <v>2823</v>
      </c>
      <c r="I329" s="153">
        <v>194</v>
      </c>
      <c r="J329" s="214"/>
      <c r="K329" s="215"/>
      <c r="L329" s="263"/>
      <c r="M329" s="154"/>
      <c r="N329" s="263" t="str">
        <f>B329&amp;"-"&amp;C329&amp;"-"&amp;D329&amp;"-"&amp;IF(E329="요약",1,IF(E329="기출",2,IF(E329="예상",3,IF(E329="판례",4,5))))&amp;F329</f>
        <v>제4편 소송의 종료-제09장 당사자 행위에 의한 종료-제02절 청구의 포기・인낙-4219.대법원 2022. 3. 31. 선고 2020다271919 판결</v>
      </c>
    </row>
    <row r="330" spans="2:14" ht="14.45" customHeight="1" x14ac:dyDescent="0.2">
      <c r="B330" s="80" t="s">
        <v>2541</v>
      </c>
      <c r="C330" s="86" t="s">
        <v>2545</v>
      </c>
      <c r="D330" s="90" t="s">
        <v>3441</v>
      </c>
      <c r="E330" s="222" t="s">
        <v>1553</v>
      </c>
      <c r="F330" s="223" t="s">
        <v>3865</v>
      </c>
      <c r="G330" s="224" t="s">
        <v>3220</v>
      </c>
      <c r="H330" s="225" t="s">
        <v>2824</v>
      </c>
      <c r="I330" s="226">
        <v>265</v>
      </c>
      <c r="J330" s="227"/>
      <c r="K330" s="228"/>
      <c r="L330" s="260"/>
      <c r="M330" s="229"/>
      <c r="N330" s="260" t="str">
        <f>B330&amp;"-"&amp;C330&amp;"-"&amp;D330&amp;"-"&amp;IF(E330="요약",1,IF(E330="기출",2,IF(E330="예상",3,IF(E330="판례",4,5))))&amp;F330</f>
        <v>제4편 소송의 종료-제09장 당사자 행위에 의한 종료-제02절 청구의 포기・인낙-4220.대법원 2004. 9. 24. 선고 2004다28047 판결</v>
      </c>
    </row>
    <row r="331" spans="2:14" ht="14.45" customHeight="1" x14ac:dyDescent="0.2">
      <c r="B331" s="80" t="s">
        <v>2541</v>
      </c>
      <c r="C331" s="86" t="s">
        <v>2545</v>
      </c>
      <c r="D331" s="83" t="s">
        <v>3440</v>
      </c>
      <c r="E331" s="144" t="s">
        <v>7</v>
      </c>
      <c r="F331" s="145" t="s">
        <v>144</v>
      </c>
      <c r="G331" s="146" t="s">
        <v>119</v>
      </c>
      <c r="H331" s="147" t="s">
        <v>2239</v>
      </c>
      <c r="I331" s="148">
        <v>2973</v>
      </c>
      <c r="J331" s="212"/>
      <c r="K331" s="213"/>
      <c r="L331" s="262" t="s">
        <v>2593</v>
      </c>
      <c r="M331" s="169"/>
      <c r="N331" s="262" t="str">
        <f>B331&amp;"-"&amp;C331&amp;"-"&amp;D331&amp;"-"&amp;IF(E331="요약",1,IF(E331="기출",2,IF(E331="예상",3,IF(E331="판례",4,5))))&amp;F331</f>
        <v>제4편 소송의 종료-제09장 당사자 행위에 의한 종료-제03절 재판상 화해-1소송의 종료-당사자 행위에 의한 종료</v>
      </c>
    </row>
    <row r="332" spans="2:14" ht="14.45" customHeight="1" x14ac:dyDescent="0.2">
      <c r="B332" s="80" t="s">
        <v>2541</v>
      </c>
      <c r="C332" s="86" t="s">
        <v>2545</v>
      </c>
      <c r="D332" s="91" t="s">
        <v>3440</v>
      </c>
      <c r="E332" s="149" t="s">
        <v>2425</v>
      </c>
      <c r="F332" s="150" t="s">
        <v>2323</v>
      </c>
      <c r="G332" s="151" t="s">
        <v>2465</v>
      </c>
      <c r="H332" s="152" t="s">
        <v>2466</v>
      </c>
      <c r="I332" s="153">
        <v>1494</v>
      </c>
      <c r="J332" s="214"/>
      <c r="K332" s="215"/>
      <c r="L332" s="263" t="s">
        <v>2593</v>
      </c>
      <c r="M332" s="154" t="s">
        <v>3518</v>
      </c>
      <c r="N332" s="263" t="str">
        <f>B332&amp;"-"&amp;C332&amp;"-"&amp;D332&amp;"-"&amp;IF(E332="요약",1,IF(E332="기출",2,IF(E332="예상",3,IF(E332="판례",4,5))))&amp;F332</f>
        <v>제4편 소송의 종료-제09장 당사자 행위에 의한 종료-제03절 재판상 화해-22013-2</v>
      </c>
    </row>
    <row r="333" spans="2:14" ht="14.45" customHeight="1" x14ac:dyDescent="0.2">
      <c r="B333" s="80" t="s">
        <v>2541</v>
      </c>
      <c r="C333" s="86" t="s">
        <v>2545</v>
      </c>
      <c r="D333" s="91" t="s">
        <v>3440</v>
      </c>
      <c r="E333" s="149" t="s">
        <v>1553</v>
      </c>
      <c r="F333" s="150" t="s">
        <v>3868</v>
      </c>
      <c r="G333" s="151" t="s">
        <v>3221</v>
      </c>
      <c r="H333" s="152" t="s">
        <v>2825</v>
      </c>
      <c r="I333" s="153">
        <v>150</v>
      </c>
      <c r="J333" s="214"/>
      <c r="K333" s="215"/>
      <c r="L333" s="263"/>
      <c r="M333" s="154"/>
      <c r="N333" s="263" t="str">
        <f>B333&amp;"-"&amp;C333&amp;"-"&amp;D333&amp;"-"&amp;IF(E333="요약",1,IF(E333="기출",2,IF(E333="예상",3,IF(E333="판례",4,5))))&amp;F333</f>
        <v>제4편 소송의 종료-제09장 당사자 행위에 의한 종료-제03절 재판상 화해-4221.대법원 1962. 5. 31. 선고 4293민재6 판결</v>
      </c>
    </row>
    <row r="334" spans="2:14" ht="14.45" customHeight="1" x14ac:dyDescent="0.2">
      <c r="B334" s="80" t="s">
        <v>2541</v>
      </c>
      <c r="C334" s="86" t="s">
        <v>2545</v>
      </c>
      <c r="D334" s="91" t="s">
        <v>3440</v>
      </c>
      <c r="E334" s="149" t="s">
        <v>1553</v>
      </c>
      <c r="F334" s="150" t="s">
        <v>3875</v>
      </c>
      <c r="G334" s="151" t="s">
        <v>3222</v>
      </c>
      <c r="H334" s="152" t="s">
        <v>2826</v>
      </c>
      <c r="I334" s="153">
        <v>256</v>
      </c>
      <c r="J334" s="214"/>
      <c r="K334" s="215"/>
      <c r="L334" s="263"/>
      <c r="M334" s="154"/>
      <c r="N334" s="263" t="str">
        <f>B334&amp;"-"&amp;C334&amp;"-"&amp;D334&amp;"-"&amp;IF(E334="요약",1,IF(E334="기출",2,IF(E334="예상",3,IF(E334="판례",4,5))))&amp;F334</f>
        <v>제4편 소송의 종료-제09장 당사자 행위에 의한 종료-제03절 재판상 화해-4222.대법원 2012. 9. 13. 선고 2010다97846 판결</v>
      </c>
    </row>
    <row r="335" spans="2:14" ht="14.45" customHeight="1" x14ac:dyDescent="0.2">
      <c r="B335" s="80" t="s">
        <v>2541</v>
      </c>
      <c r="C335" s="86" t="s">
        <v>2545</v>
      </c>
      <c r="D335" s="91" t="s">
        <v>3440</v>
      </c>
      <c r="E335" s="149" t="s">
        <v>1553</v>
      </c>
      <c r="F335" s="150" t="s">
        <v>3870</v>
      </c>
      <c r="G335" s="151" t="s">
        <v>3223</v>
      </c>
      <c r="H335" s="152" t="s">
        <v>2827</v>
      </c>
      <c r="I335" s="153">
        <v>203</v>
      </c>
      <c r="J335" s="214"/>
      <c r="K335" s="215"/>
      <c r="L335" s="263"/>
      <c r="M335" s="154"/>
      <c r="N335" s="263" t="str">
        <f>B335&amp;"-"&amp;C335&amp;"-"&amp;D335&amp;"-"&amp;IF(E335="요약",1,IF(E335="기출",2,IF(E335="예상",3,IF(E335="판례",4,5))))&amp;F335</f>
        <v>제4편 소송의 종료-제09장 당사자 행위에 의한 종료-제03절 재판상 화해-4223.대법원 1975. 11. 11. 선고 74다634 판결</v>
      </c>
    </row>
    <row r="336" spans="2:14" ht="14.45" customHeight="1" x14ac:dyDescent="0.2">
      <c r="B336" s="80" t="s">
        <v>2541</v>
      </c>
      <c r="C336" s="86" t="s">
        <v>2545</v>
      </c>
      <c r="D336" s="91" t="s">
        <v>3440</v>
      </c>
      <c r="E336" s="149" t="s">
        <v>1553</v>
      </c>
      <c r="F336" s="150" t="s">
        <v>3869</v>
      </c>
      <c r="G336" s="151" t="s">
        <v>3224</v>
      </c>
      <c r="H336" s="152" t="s">
        <v>2828</v>
      </c>
      <c r="I336" s="153">
        <v>147</v>
      </c>
      <c r="J336" s="214"/>
      <c r="K336" s="215"/>
      <c r="L336" s="263"/>
      <c r="M336" s="154"/>
      <c r="N336" s="263" t="str">
        <f>B336&amp;"-"&amp;C336&amp;"-"&amp;D336&amp;"-"&amp;IF(E336="요약",1,IF(E336="기출",2,IF(E336="예상",3,IF(E336="판례",4,5))))&amp;F336</f>
        <v>제4편 소송의 종료-제09장 당사자 행위에 의한 종료-제03절 재판상 화해-4224.대법원 1965. 3. 2. 선고 64다1514 판결</v>
      </c>
    </row>
    <row r="337" spans="2:14" ht="14.45" customHeight="1" x14ac:dyDescent="0.2">
      <c r="B337" s="80" t="s">
        <v>2541</v>
      </c>
      <c r="C337" s="86" t="s">
        <v>2545</v>
      </c>
      <c r="D337" s="91" t="s">
        <v>3440</v>
      </c>
      <c r="E337" s="149" t="s">
        <v>1553</v>
      </c>
      <c r="F337" s="150" t="s">
        <v>3867</v>
      </c>
      <c r="G337" s="151" t="s">
        <v>3225</v>
      </c>
      <c r="H337" s="152" t="s">
        <v>2829</v>
      </c>
      <c r="I337" s="153">
        <v>168</v>
      </c>
      <c r="J337" s="214"/>
      <c r="K337" s="215"/>
      <c r="L337" s="263"/>
      <c r="M337" s="154"/>
      <c r="N337" s="263" t="str">
        <f>B337&amp;"-"&amp;C337&amp;"-"&amp;D337&amp;"-"&amp;IF(E337="요약",1,IF(E337="기출",2,IF(E337="예상",3,IF(E337="판례",4,5))))&amp;F337</f>
        <v>제4편 소송의 종료-제09장 당사자 행위에 의한 종료-제03절 재판상 화해-4225.대법원 1962. 2. 1. 선고 4294민상914 전원합의체 판결</v>
      </c>
    </row>
    <row r="338" spans="2:14" ht="14.45" customHeight="1" x14ac:dyDescent="0.2">
      <c r="B338" s="80" t="s">
        <v>2541</v>
      </c>
      <c r="C338" s="86" t="s">
        <v>2545</v>
      </c>
      <c r="D338" s="91" t="s">
        <v>3440</v>
      </c>
      <c r="E338" s="149" t="s">
        <v>1553</v>
      </c>
      <c r="F338" s="150" t="s">
        <v>3878</v>
      </c>
      <c r="G338" s="151" t="s">
        <v>3226</v>
      </c>
      <c r="H338" s="152" t="s">
        <v>2830</v>
      </c>
      <c r="I338" s="153">
        <v>942</v>
      </c>
      <c r="J338" s="214"/>
      <c r="K338" s="215"/>
      <c r="L338" s="263"/>
      <c r="M338" s="154"/>
      <c r="N338" s="263" t="str">
        <f>B338&amp;"-"&amp;C338&amp;"-"&amp;D338&amp;"-"&amp;IF(E338="요약",1,IF(E338="기출",2,IF(E338="예상",3,IF(E338="판례",4,5))))&amp;F338</f>
        <v>제4편 소송의 종료-제09장 당사자 행위에 의한 종료-제03절 재판상 화해-4226.대법원 2020. 10. 29. 선고 2016다35390 판결</v>
      </c>
    </row>
    <row r="339" spans="2:14" ht="14.45" customHeight="1" x14ac:dyDescent="0.2">
      <c r="B339" s="80" t="s">
        <v>2541</v>
      </c>
      <c r="C339" s="86" t="s">
        <v>2545</v>
      </c>
      <c r="D339" s="91" t="s">
        <v>3440</v>
      </c>
      <c r="E339" s="149" t="s">
        <v>1553</v>
      </c>
      <c r="F339" s="150" t="s">
        <v>3876</v>
      </c>
      <c r="G339" s="151" t="s">
        <v>3227</v>
      </c>
      <c r="H339" s="152" t="s">
        <v>2831</v>
      </c>
      <c r="I339" s="153">
        <v>398</v>
      </c>
      <c r="J339" s="214"/>
      <c r="K339" s="215"/>
      <c r="L339" s="263"/>
      <c r="M339" s="154"/>
      <c r="N339" s="263" t="str">
        <f>B339&amp;"-"&amp;C339&amp;"-"&amp;D339&amp;"-"&amp;IF(E339="요약",1,IF(E339="기출",2,IF(E339="예상",3,IF(E339="판례",4,5))))&amp;F339</f>
        <v>제4편 소송의 종료-제09장 당사자 행위에 의한 종료-제03절 재판상 화해-4227.대법원 2013. 11. 21. 선고 2011두1917 전원합의체 판결</v>
      </c>
    </row>
    <row r="340" spans="2:14" ht="14.45" customHeight="1" x14ac:dyDescent="0.2">
      <c r="B340" s="80" t="s">
        <v>2541</v>
      </c>
      <c r="C340" s="86" t="s">
        <v>2545</v>
      </c>
      <c r="D340" s="91" t="s">
        <v>3440</v>
      </c>
      <c r="E340" s="149" t="s">
        <v>1553</v>
      </c>
      <c r="F340" s="150" t="s">
        <v>3874</v>
      </c>
      <c r="G340" s="151" t="s">
        <v>3228</v>
      </c>
      <c r="H340" s="152" t="s">
        <v>2832</v>
      </c>
      <c r="I340" s="153">
        <v>240</v>
      </c>
      <c r="J340" s="214"/>
      <c r="K340" s="215"/>
      <c r="L340" s="263"/>
      <c r="M340" s="154"/>
      <c r="N340" s="263" t="str">
        <f>B340&amp;"-"&amp;C340&amp;"-"&amp;D340&amp;"-"&amp;IF(E340="요약",1,IF(E340="기출",2,IF(E340="예상",3,IF(E340="판례",4,5))))&amp;F340</f>
        <v>제4편 소송의 종료-제09장 당사자 행위에 의한 종료-제03절 재판상 화해-4228.대법원 2008. 2. 1. 선고 2005다42880 판결</v>
      </c>
    </row>
    <row r="341" spans="2:14" ht="14.45" customHeight="1" x14ac:dyDescent="0.2">
      <c r="B341" s="80" t="s">
        <v>2541</v>
      </c>
      <c r="C341" s="86" t="s">
        <v>2545</v>
      </c>
      <c r="D341" s="91" t="s">
        <v>3440</v>
      </c>
      <c r="E341" s="149" t="s">
        <v>1553</v>
      </c>
      <c r="F341" s="150" t="s">
        <v>3877</v>
      </c>
      <c r="G341" s="151" t="s">
        <v>3229</v>
      </c>
      <c r="H341" s="152" t="s">
        <v>2833</v>
      </c>
      <c r="I341" s="153">
        <v>232</v>
      </c>
      <c r="J341" s="214"/>
      <c r="K341" s="215"/>
      <c r="L341" s="263"/>
      <c r="M341" s="154"/>
      <c r="N341" s="263" t="str">
        <f>B341&amp;"-"&amp;C341&amp;"-"&amp;D341&amp;"-"&amp;IF(E341="요약",1,IF(E341="기출",2,IF(E341="예상",3,IF(E341="판례",4,5))))&amp;F341</f>
        <v>제4편 소송의 종료-제09장 당사자 행위에 의한 종료-제03절 재판상 화해-4229.대법원 2013. 2. 28. 선고 2012다98225 판결</v>
      </c>
    </row>
    <row r="342" spans="2:14" ht="14.45" customHeight="1" x14ac:dyDescent="0.2">
      <c r="B342" s="80" t="s">
        <v>2541</v>
      </c>
      <c r="C342" s="86" t="s">
        <v>2545</v>
      </c>
      <c r="D342" s="91" t="s">
        <v>3440</v>
      </c>
      <c r="E342" s="149" t="s">
        <v>1553</v>
      </c>
      <c r="F342" s="150" t="s">
        <v>3872</v>
      </c>
      <c r="G342" s="151" t="s">
        <v>3230</v>
      </c>
      <c r="H342" s="152" t="s">
        <v>2834</v>
      </c>
      <c r="I342" s="153">
        <v>169</v>
      </c>
      <c r="J342" s="214"/>
      <c r="K342" s="215"/>
      <c r="L342" s="263"/>
      <c r="M342" s="154"/>
      <c r="N342" s="263" t="str">
        <f>B342&amp;"-"&amp;C342&amp;"-"&amp;D342&amp;"-"&amp;IF(E342="요약",1,IF(E342="기출",2,IF(E342="예상",3,IF(E342="판례",4,5))))&amp;F342</f>
        <v>제4편 소송의 종료-제09장 당사자 행위에 의한 종료-제03절 재판상 화해-4230.대법원 1990. 3. 17.자 90그3 결정</v>
      </c>
    </row>
    <row r="343" spans="2:14" ht="14.45" customHeight="1" x14ac:dyDescent="0.2">
      <c r="B343" s="80" t="s">
        <v>2541</v>
      </c>
      <c r="C343" s="86" t="s">
        <v>2545</v>
      </c>
      <c r="D343" s="91" t="s">
        <v>3440</v>
      </c>
      <c r="E343" s="149" t="s">
        <v>1553</v>
      </c>
      <c r="F343" s="150" t="s">
        <v>3871</v>
      </c>
      <c r="G343" s="151" t="s">
        <v>3231</v>
      </c>
      <c r="H343" s="152" t="s">
        <v>2835</v>
      </c>
      <c r="I343" s="153">
        <v>326</v>
      </c>
      <c r="J343" s="214"/>
      <c r="K343" s="215"/>
      <c r="L343" s="263"/>
      <c r="M343" s="154"/>
      <c r="N343" s="263" t="str">
        <f>B343&amp;"-"&amp;C343&amp;"-"&amp;D343&amp;"-"&amp;IF(E343="요약",1,IF(E343="기출",2,IF(E343="예상",3,IF(E343="판례",4,5))))&amp;F343</f>
        <v>제4편 소송의 종료-제09장 당사자 행위에 의한 종료-제03절 재판상 화해-4231.대법원 1979. 5. 15. 선고 78다1094 판결</v>
      </c>
    </row>
    <row r="344" spans="2:14" ht="14.45" customHeight="1" thickBot="1" x14ac:dyDescent="0.25">
      <c r="B344" s="80" t="s">
        <v>2541</v>
      </c>
      <c r="C344" s="87" t="s">
        <v>2545</v>
      </c>
      <c r="D344" s="92" t="s">
        <v>3440</v>
      </c>
      <c r="E344" s="155" t="s">
        <v>1553</v>
      </c>
      <c r="F344" s="156" t="s">
        <v>3873</v>
      </c>
      <c r="G344" s="157" t="s">
        <v>3232</v>
      </c>
      <c r="H344" s="158" t="s">
        <v>2836</v>
      </c>
      <c r="I344" s="159">
        <v>199</v>
      </c>
      <c r="J344" s="221"/>
      <c r="K344" s="220"/>
      <c r="L344" s="264"/>
      <c r="M344" s="171"/>
      <c r="N344" s="264" t="str">
        <f>B344&amp;"-"&amp;C344&amp;"-"&amp;D344&amp;"-"&amp;IF(E344="요약",1,IF(E344="기출",2,IF(E344="예상",3,IF(E344="판례",4,5))))&amp;F344</f>
        <v>제4편 소송의 종료-제09장 당사자 행위에 의한 종료-제03절 재판상 화해-4232.대법원 1994. 7. 29. 선고 92다25137 판결</v>
      </c>
    </row>
    <row r="345" spans="2:14" ht="14.45" customHeight="1" x14ac:dyDescent="0.2">
      <c r="B345" s="80" t="s">
        <v>2541</v>
      </c>
      <c r="C345" s="64" t="s">
        <v>2548</v>
      </c>
      <c r="D345" s="238" t="s">
        <v>3485</v>
      </c>
      <c r="E345" s="239" t="s">
        <v>7</v>
      </c>
      <c r="F345" s="240" t="s">
        <v>75</v>
      </c>
      <c r="G345" s="241" t="s">
        <v>239</v>
      </c>
      <c r="H345" s="242" t="s">
        <v>2240</v>
      </c>
      <c r="I345" s="243">
        <v>2034</v>
      </c>
      <c r="J345" s="244"/>
      <c r="K345" s="245"/>
      <c r="L345" s="265" t="s">
        <v>2595</v>
      </c>
      <c r="M345" s="246"/>
      <c r="N345" s="265" t="str">
        <f>B345&amp;"-"&amp;C345&amp;"-"&amp;D345&amp;"-"&amp;IF(E345="요약",1,IF(E345="기출",2,IF(E345="예상",3,IF(E345="판례",4,5))))&amp;F345</f>
        <v>제4편 소송의 종료-제10장 종국판결에 의한 종료-제01절 재판-1소송의 종료-종국판결에 의한 종료</v>
      </c>
    </row>
    <row r="346" spans="2:14" ht="14.45" customHeight="1" x14ac:dyDescent="0.2">
      <c r="B346" s="80" t="s">
        <v>2541</v>
      </c>
      <c r="C346" s="86" t="s">
        <v>2547</v>
      </c>
      <c r="D346" s="83" t="s">
        <v>3439</v>
      </c>
      <c r="E346" s="144" t="s">
        <v>173</v>
      </c>
      <c r="F346" s="145" t="s">
        <v>75</v>
      </c>
      <c r="G346" s="146" t="s">
        <v>120</v>
      </c>
      <c r="H346" s="147" t="s">
        <v>2241</v>
      </c>
      <c r="I346" s="148">
        <v>4152</v>
      </c>
      <c r="J346" s="212"/>
      <c r="K346" s="213"/>
      <c r="L346" s="262" t="s">
        <v>2595</v>
      </c>
      <c r="M346" s="169"/>
      <c r="N346" s="262" t="str">
        <f>B346&amp;"-"&amp;C346&amp;"-"&amp;D346&amp;"-"&amp;IF(E346="요약",1,IF(E346="기출",2,IF(E346="예상",3,IF(E346="판례",4,5))))&amp;F346</f>
        <v>제4편 소송의 종료-제10장 종국판결에 의한 종료-제02절 판결-1소송의 종료-종국판결에 의한 종료</v>
      </c>
    </row>
    <row r="347" spans="2:14" ht="14.45" customHeight="1" x14ac:dyDescent="0.2">
      <c r="B347" s="80" t="s">
        <v>2541</v>
      </c>
      <c r="C347" s="86" t="s">
        <v>2547</v>
      </c>
      <c r="D347" s="91" t="s">
        <v>3439</v>
      </c>
      <c r="E347" s="149" t="s">
        <v>2425</v>
      </c>
      <c r="F347" s="150" t="s">
        <v>182</v>
      </c>
      <c r="G347" s="151" t="s">
        <v>2497</v>
      </c>
      <c r="H347" s="152" t="s">
        <v>2498</v>
      </c>
      <c r="I347" s="153">
        <v>1476</v>
      </c>
      <c r="J347" s="214"/>
      <c r="K347" s="215"/>
      <c r="L347" s="263" t="s">
        <v>2595</v>
      </c>
      <c r="M347" s="154" t="s">
        <v>3518</v>
      </c>
      <c r="N347" s="263" t="str">
        <f>B347&amp;"-"&amp;C347&amp;"-"&amp;D347&amp;"-"&amp;IF(E347="요약",1,IF(E347="기출",2,IF(E347="예상",3,IF(E347="판례",4,5))))&amp;F347</f>
        <v>제4편 소송의 종료-제10장 종국판결에 의한 종료-제02절 판결-22017-3</v>
      </c>
    </row>
    <row r="348" spans="2:14" ht="14.45" customHeight="1" x14ac:dyDescent="0.2">
      <c r="B348" s="80" t="s">
        <v>2541</v>
      </c>
      <c r="C348" s="86" t="s">
        <v>2547</v>
      </c>
      <c r="D348" s="91" t="s">
        <v>3439</v>
      </c>
      <c r="E348" s="149" t="s">
        <v>2425</v>
      </c>
      <c r="F348" s="150" t="s">
        <v>181</v>
      </c>
      <c r="G348" s="151" t="s">
        <v>179</v>
      </c>
      <c r="H348" s="152" t="s">
        <v>2190</v>
      </c>
      <c r="I348" s="153">
        <v>1603</v>
      </c>
      <c r="J348" s="214"/>
      <c r="K348" s="215"/>
      <c r="L348" s="263" t="s">
        <v>2595</v>
      </c>
      <c r="M348" s="154"/>
      <c r="N348" s="263" t="str">
        <f>B348&amp;"-"&amp;C348&amp;"-"&amp;D348&amp;"-"&amp;IF(E348="요약",1,IF(E348="기출",2,IF(E348="예상",3,IF(E348="판례",4,5))))&amp;F348</f>
        <v>제4편 소송의 종료-제10장 종국판결에 의한 종료-제02절 판결-22019-1-2</v>
      </c>
    </row>
    <row r="349" spans="2:14" ht="14.45" customHeight="1" x14ac:dyDescent="0.2">
      <c r="B349" s="80" t="s">
        <v>2541</v>
      </c>
      <c r="C349" s="86" t="s">
        <v>2547</v>
      </c>
      <c r="D349" s="91" t="s">
        <v>3439</v>
      </c>
      <c r="E349" s="149" t="s">
        <v>2425</v>
      </c>
      <c r="F349" s="150" t="s">
        <v>2324</v>
      </c>
      <c r="G349" s="151" t="s">
        <v>2494</v>
      </c>
      <c r="H349" s="152" t="s">
        <v>2495</v>
      </c>
      <c r="I349" s="153">
        <v>1418</v>
      </c>
      <c r="J349" s="214"/>
      <c r="K349" s="215"/>
      <c r="L349" s="263" t="s">
        <v>2595</v>
      </c>
      <c r="M349" s="154" t="s">
        <v>3518</v>
      </c>
      <c r="N349" s="263" t="str">
        <f>B349&amp;"-"&amp;C349&amp;"-"&amp;D349&amp;"-"&amp;IF(E349="요약",1,IF(E349="기출",2,IF(E349="예상",3,IF(E349="판례",4,5))))&amp;F349</f>
        <v>제4편 소송의 종료-제10장 종국판결에 의한 종료-제02절 판결-22022-3</v>
      </c>
    </row>
    <row r="350" spans="2:14" ht="14.45" customHeight="1" x14ac:dyDescent="0.2">
      <c r="B350" s="80" t="s">
        <v>2541</v>
      </c>
      <c r="C350" s="86" t="s">
        <v>2547</v>
      </c>
      <c r="D350" s="91" t="s">
        <v>3439</v>
      </c>
      <c r="E350" s="149" t="s">
        <v>2425</v>
      </c>
      <c r="F350" s="150" t="s">
        <v>180</v>
      </c>
      <c r="G350" s="151" t="s">
        <v>2450</v>
      </c>
      <c r="H350" s="152" t="s">
        <v>2451</v>
      </c>
      <c r="I350" s="153">
        <v>1543</v>
      </c>
      <c r="J350" s="214"/>
      <c r="K350" s="215"/>
      <c r="L350" s="263" t="s">
        <v>2595</v>
      </c>
      <c r="M350" s="154"/>
      <c r="N350" s="263" t="str">
        <f>B350&amp;"-"&amp;C350&amp;"-"&amp;D350&amp;"-"&amp;IF(E350="요약",1,IF(E350="기출",2,IF(E350="예상",3,IF(E350="판례",4,5))))&amp;F350</f>
        <v>제4편 소송의 종료-제10장 종국판결에 의한 종료-제02절 판결-22023-1-2</v>
      </c>
    </row>
    <row r="351" spans="2:14" ht="14.45" customHeight="1" x14ac:dyDescent="0.2">
      <c r="B351" s="80" t="s">
        <v>2541</v>
      </c>
      <c r="C351" s="86" t="s">
        <v>2547</v>
      </c>
      <c r="D351" s="91" t="s">
        <v>3439</v>
      </c>
      <c r="E351" s="149" t="s">
        <v>1553</v>
      </c>
      <c r="F351" s="150" t="s">
        <v>3924</v>
      </c>
      <c r="G351" s="151" t="s">
        <v>3233</v>
      </c>
      <c r="H351" s="152" t="s">
        <v>2837</v>
      </c>
      <c r="I351" s="153">
        <v>942</v>
      </c>
      <c r="J351" s="214"/>
      <c r="K351" s="215"/>
      <c r="L351" s="263"/>
      <c r="M351" s="154"/>
      <c r="N351" s="263" t="str">
        <f>B351&amp;"-"&amp;C351&amp;"-"&amp;D351&amp;"-"&amp;IF(E351="요약",1,IF(E351="기출",2,IF(E351="예상",3,IF(E351="판례",4,5))))&amp;F351</f>
        <v>제4편 소송의 종료-제10장 종국판결에 의한 종료-제02절 판결-4233.대법원 2014. 10. 8.자 2014마667 전원합의체 결정</v>
      </c>
    </row>
    <row r="352" spans="2:14" ht="14.45" customHeight="1" x14ac:dyDescent="0.2">
      <c r="B352" s="80" t="s">
        <v>2541</v>
      </c>
      <c r="C352" s="86" t="s">
        <v>2547</v>
      </c>
      <c r="D352" s="91" t="s">
        <v>3439</v>
      </c>
      <c r="E352" s="149" t="s">
        <v>1553</v>
      </c>
      <c r="F352" s="150" t="s">
        <v>3885</v>
      </c>
      <c r="G352" s="151" t="s">
        <v>3234</v>
      </c>
      <c r="H352" s="152" t="s">
        <v>2838</v>
      </c>
      <c r="I352" s="153">
        <v>148</v>
      </c>
      <c r="J352" s="214"/>
      <c r="K352" s="215"/>
      <c r="L352" s="263"/>
      <c r="M352" s="154"/>
      <c r="N352" s="263" t="str">
        <f>B352&amp;"-"&amp;C352&amp;"-"&amp;D352&amp;"-"&amp;IF(E352="요약",1,IF(E352="기출",2,IF(E352="예상",3,IF(E352="판례",4,5))))&amp;F352</f>
        <v>제4편 소송의 종료-제10장 종국판결에 의한 종료-제02절 판결-4234.대법원 1981. 9. 8. 선고 80다3271 전원합의체 판결</v>
      </c>
    </row>
    <row r="353" spans="2:14" ht="14.45" customHeight="1" x14ac:dyDescent="0.2">
      <c r="B353" s="80" t="s">
        <v>2541</v>
      </c>
      <c r="C353" s="86" t="s">
        <v>2547</v>
      </c>
      <c r="D353" s="91" t="s">
        <v>3439</v>
      </c>
      <c r="E353" s="149" t="s">
        <v>1553</v>
      </c>
      <c r="F353" s="150" t="s">
        <v>3920</v>
      </c>
      <c r="G353" s="151" t="s">
        <v>3235</v>
      </c>
      <c r="H353" s="152" t="s">
        <v>2839</v>
      </c>
      <c r="I353" s="153">
        <v>217</v>
      </c>
      <c r="J353" s="214"/>
      <c r="K353" s="215"/>
      <c r="L353" s="263"/>
      <c r="M353" s="154"/>
      <c r="N353" s="263" t="str">
        <f>B353&amp;"-"&amp;C353&amp;"-"&amp;D353&amp;"-"&amp;IF(E353="요약",1,IF(E353="기출",2,IF(E353="예상",3,IF(E353="판례",4,5))))&amp;F353</f>
        <v>제4편 소송의 종료-제10장 종국판결에 의한 종료-제02절 판결-4235.대법원 2011. 9. 29. 선고 2010다65818 판결</v>
      </c>
    </row>
    <row r="354" spans="2:14" ht="14.45" customHeight="1" x14ac:dyDescent="0.2">
      <c r="B354" s="80" t="s">
        <v>2541</v>
      </c>
      <c r="C354" s="86" t="s">
        <v>2547</v>
      </c>
      <c r="D354" s="91" t="s">
        <v>3439</v>
      </c>
      <c r="E354" s="149" t="s">
        <v>1553</v>
      </c>
      <c r="F354" s="150" t="s">
        <v>3927</v>
      </c>
      <c r="G354" s="151" t="s">
        <v>3236</v>
      </c>
      <c r="H354" s="152" t="s">
        <v>2840</v>
      </c>
      <c r="I354" s="153">
        <v>252</v>
      </c>
      <c r="J354" s="214"/>
      <c r="K354" s="215"/>
      <c r="L354" s="263"/>
      <c r="M354" s="154"/>
      <c r="N354" s="263" t="str">
        <f>B354&amp;"-"&amp;C354&amp;"-"&amp;D354&amp;"-"&amp;IF(E354="요약",1,IF(E354="기출",2,IF(E354="예상",3,IF(E354="판례",4,5))))&amp;F354</f>
        <v>제4편 소송의 종료-제10장 종국판결에 의한 종료-제02절 판결-4236.대법원 2017. 12. 5. 선고 2017다237339 판결</v>
      </c>
    </row>
    <row r="355" spans="2:14" ht="14.45" customHeight="1" x14ac:dyDescent="0.2">
      <c r="B355" s="80" t="s">
        <v>2541</v>
      </c>
      <c r="C355" s="86" t="s">
        <v>2547</v>
      </c>
      <c r="D355" s="91" t="s">
        <v>3439</v>
      </c>
      <c r="E355" s="149" t="s">
        <v>1553</v>
      </c>
      <c r="F355" s="150" t="s">
        <v>3903</v>
      </c>
      <c r="G355" s="151" t="s">
        <v>3237</v>
      </c>
      <c r="H355" s="152" t="s">
        <v>2841</v>
      </c>
      <c r="I355" s="153">
        <v>166</v>
      </c>
      <c r="J355" s="214"/>
      <c r="K355" s="215"/>
      <c r="L355" s="263"/>
      <c r="M355" s="154"/>
      <c r="N355" s="263" t="str">
        <f>B355&amp;"-"&amp;C355&amp;"-"&amp;D355&amp;"-"&amp;IF(E355="요약",1,IF(E355="기출",2,IF(E355="예상",3,IF(E355="판례",4,5))))&amp;F355</f>
        <v>제4편 소송의 종료-제10장 종국판결에 의한 종료-제02절 판결-4237.대법원 1996. 2. 9. 선고 94다50274 판결</v>
      </c>
    </row>
    <row r="356" spans="2:14" ht="14.45" customHeight="1" x14ac:dyDescent="0.2">
      <c r="B356" s="80" t="s">
        <v>2541</v>
      </c>
      <c r="C356" s="86" t="s">
        <v>2547</v>
      </c>
      <c r="D356" s="91" t="s">
        <v>3439</v>
      </c>
      <c r="E356" s="149" t="s">
        <v>1553</v>
      </c>
      <c r="F356" s="150" t="s">
        <v>3908</v>
      </c>
      <c r="G356" s="151" t="s">
        <v>3238</v>
      </c>
      <c r="H356" s="152" t="s">
        <v>2842</v>
      </c>
      <c r="I356" s="153">
        <v>489</v>
      </c>
      <c r="J356" s="214"/>
      <c r="K356" s="215"/>
      <c r="L356" s="263"/>
      <c r="M356" s="154"/>
      <c r="N356" s="263" t="str">
        <f>B356&amp;"-"&amp;C356&amp;"-"&amp;D356&amp;"-"&amp;IF(E356="요약",1,IF(E356="기출",2,IF(E356="예상",3,IF(E356="판례",4,5))))&amp;F356</f>
        <v>제4편 소송의 종료-제10장 종국판결에 의한 종료-제02절 판결-4238.대법원 2000. 5. 24.자 98마1839 결정</v>
      </c>
    </row>
    <row r="357" spans="2:14" ht="14.45" customHeight="1" x14ac:dyDescent="0.2">
      <c r="B357" s="80" t="s">
        <v>2541</v>
      </c>
      <c r="C357" s="86" t="s">
        <v>2547</v>
      </c>
      <c r="D357" s="91" t="s">
        <v>3439</v>
      </c>
      <c r="E357" s="149" t="s">
        <v>1553</v>
      </c>
      <c r="F357" s="150" t="s">
        <v>3916</v>
      </c>
      <c r="G357" s="151" t="s">
        <v>3239</v>
      </c>
      <c r="H357" s="152" t="s">
        <v>2843</v>
      </c>
      <c r="I357" s="153">
        <v>237</v>
      </c>
      <c r="J357" s="214"/>
      <c r="K357" s="215"/>
      <c r="L357" s="263"/>
      <c r="M357" s="154"/>
      <c r="N357" s="263" t="str">
        <f>B357&amp;"-"&amp;C357&amp;"-"&amp;D357&amp;"-"&amp;IF(E357="요약",1,IF(E357="기출",2,IF(E357="예상",3,IF(E357="판례",4,5))))&amp;F357</f>
        <v>제4편 소송의 종료-제10장 종국판결에 의한 종료-제02절 판결-4239.대법원 2008. 3. 14. 선고 2006다2940 판결</v>
      </c>
    </row>
    <row r="358" spans="2:14" ht="14.45" customHeight="1" x14ac:dyDescent="0.2">
      <c r="B358" s="80" t="s">
        <v>2541</v>
      </c>
      <c r="C358" s="86" t="s">
        <v>2547</v>
      </c>
      <c r="D358" s="91" t="s">
        <v>3439</v>
      </c>
      <c r="E358" s="149" t="s">
        <v>1553</v>
      </c>
      <c r="F358" s="150" t="s">
        <v>3910</v>
      </c>
      <c r="G358" s="151" t="s">
        <v>3240</v>
      </c>
      <c r="H358" s="152" t="s">
        <v>2844</v>
      </c>
      <c r="I358" s="153">
        <v>304</v>
      </c>
      <c r="J358" s="214"/>
      <c r="K358" s="215"/>
      <c r="L358" s="263"/>
      <c r="M358" s="154"/>
      <c r="N358" s="263" t="str">
        <f>B358&amp;"-"&amp;C358&amp;"-"&amp;D358&amp;"-"&amp;IF(E358="요약",1,IF(E358="기출",2,IF(E358="예상",3,IF(E358="판례",4,5))))&amp;F358</f>
        <v>제4편 소송의 종료-제10장 종국판결에 의한 종료-제02절 판결-4240.대법원 2001. 12. 24. 선고 2001다62213 판결</v>
      </c>
    </row>
    <row r="359" spans="2:14" ht="14.45" customHeight="1" x14ac:dyDescent="0.2">
      <c r="B359" s="80" t="s">
        <v>2541</v>
      </c>
      <c r="C359" s="86" t="s">
        <v>2547</v>
      </c>
      <c r="D359" s="91" t="s">
        <v>3439</v>
      </c>
      <c r="E359" s="149" t="s">
        <v>1553</v>
      </c>
      <c r="F359" s="150" t="s">
        <v>3890</v>
      </c>
      <c r="G359" s="151" t="s">
        <v>3241</v>
      </c>
      <c r="H359" s="152" t="s">
        <v>2845</v>
      </c>
      <c r="I359" s="153">
        <v>197</v>
      </c>
      <c r="J359" s="214"/>
      <c r="K359" s="215"/>
      <c r="L359" s="263"/>
      <c r="M359" s="154"/>
      <c r="N359" s="263" t="str">
        <f>B359&amp;"-"&amp;C359&amp;"-"&amp;D359&amp;"-"&amp;IF(E359="요약",1,IF(E359="기출",2,IF(E359="예상",3,IF(E359="판례",4,5))))&amp;F359</f>
        <v>제4편 소송의 종료-제10장 종국판결에 의한 종료-제02절 판결-4241.대법원 1989. 6. 27. 선고 87다카2478 판결</v>
      </c>
    </row>
    <row r="360" spans="2:14" ht="14.45" customHeight="1" x14ac:dyDescent="0.2">
      <c r="B360" s="80" t="s">
        <v>2541</v>
      </c>
      <c r="C360" s="86" t="s">
        <v>2547</v>
      </c>
      <c r="D360" s="91" t="s">
        <v>3439</v>
      </c>
      <c r="E360" s="149" t="s">
        <v>1553</v>
      </c>
      <c r="F360" s="150" t="s">
        <v>3929</v>
      </c>
      <c r="G360" s="151" t="s">
        <v>3242</v>
      </c>
      <c r="H360" s="152" t="s">
        <v>2846</v>
      </c>
      <c r="I360" s="153">
        <v>316</v>
      </c>
      <c r="J360" s="214"/>
      <c r="K360" s="215"/>
      <c r="L360" s="263"/>
      <c r="M360" s="154"/>
      <c r="N360" s="263" t="str">
        <f>B360&amp;"-"&amp;C360&amp;"-"&amp;D360&amp;"-"&amp;IF(E360="요약",1,IF(E360="기출",2,IF(E360="예상",3,IF(E360="판례",4,5))))&amp;F360</f>
        <v>제4편 소송의 종료-제10장 종국판결에 의한 종료-제02절 판결-4242.대법원 2019. 1. 17. 선고 2018다24349 판결</v>
      </c>
    </row>
    <row r="361" spans="2:14" ht="14.45" customHeight="1" x14ac:dyDescent="0.2">
      <c r="B361" s="80" t="s">
        <v>2541</v>
      </c>
      <c r="C361" s="86" t="s">
        <v>2547</v>
      </c>
      <c r="D361" s="91" t="s">
        <v>3439</v>
      </c>
      <c r="E361" s="149" t="s">
        <v>1553</v>
      </c>
      <c r="F361" s="150" t="s">
        <v>3895</v>
      </c>
      <c r="G361" s="151" t="s">
        <v>3243</v>
      </c>
      <c r="H361" s="152" t="s">
        <v>2847</v>
      </c>
      <c r="I361" s="153">
        <v>280</v>
      </c>
      <c r="J361" s="214"/>
      <c r="K361" s="215"/>
      <c r="L361" s="263"/>
      <c r="M361" s="154"/>
      <c r="N361" s="263" t="str">
        <f>B361&amp;"-"&amp;C361&amp;"-"&amp;D361&amp;"-"&amp;IF(E361="요약",1,IF(E361="기출",2,IF(E361="예상",3,IF(E361="판례",4,5))))&amp;F361</f>
        <v>제4편 소송의 종료-제10장 종국판결에 의한 종료-제02절 판결-4243.대법원 1994. 12. 27. 선고 94다4684 판결</v>
      </c>
    </row>
    <row r="362" spans="2:14" ht="14.45" customHeight="1" x14ac:dyDescent="0.2">
      <c r="B362" s="80" t="s">
        <v>2541</v>
      </c>
      <c r="C362" s="86" t="s">
        <v>2547</v>
      </c>
      <c r="D362" s="91" t="s">
        <v>3439</v>
      </c>
      <c r="E362" s="149" t="s">
        <v>1553</v>
      </c>
      <c r="F362" s="150" t="s">
        <v>3905</v>
      </c>
      <c r="G362" s="151" t="s">
        <v>3244</v>
      </c>
      <c r="H362" s="152" t="s">
        <v>2848</v>
      </c>
      <c r="I362" s="153">
        <v>381</v>
      </c>
      <c r="J362" s="214"/>
      <c r="K362" s="215"/>
      <c r="L362" s="263"/>
      <c r="M362" s="154"/>
      <c r="N362" s="263" t="str">
        <f>B362&amp;"-"&amp;C362&amp;"-"&amp;D362&amp;"-"&amp;IF(E362="요약",1,IF(E362="기출",2,IF(E362="예상",3,IF(E362="판례",4,5))))&amp;F362</f>
        <v>제4편 소송의 종료-제10장 종국판결에 의한 종료-제02절 판결-4244.대법원 2000. 1. 21. 선고 99다3501 판결</v>
      </c>
    </row>
    <row r="363" spans="2:14" ht="14.45" customHeight="1" x14ac:dyDescent="0.2">
      <c r="B363" s="80" t="s">
        <v>2541</v>
      </c>
      <c r="C363" s="86" t="s">
        <v>2547</v>
      </c>
      <c r="D363" s="91" t="s">
        <v>3439</v>
      </c>
      <c r="E363" s="149" t="s">
        <v>1553</v>
      </c>
      <c r="F363" s="150" t="s">
        <v>3888</v>
      </c>
      <c r="G363" s="151" t="s">
        <v>3245</v>
      </c>
      <c r="H363" s="152" t="s">
        <v>2849</v>
      </c>
      <c r="I363" s="153">
        <v>336</v>
      </c>
      <c r="J363" s="214"/>
      <c r="K363" s="215"/>
      <c r="L363" s="263"/>
      <c r="M363" s="154"/>
      <c r="N363" s="263" t="str">
        <f>B363&amp;"-"&amp;C363&amp;"-"&amp;D363&amp;"-"&amp;IF(E363="요약",1,IF(E363="기출",2,IF(E363="예상",3,IF(E363="판례",4,5))))&amp;F363</f>
        <v>제4편 소송의 종료-제10장 종국판결에 의한 종료-제02절 판결-4245.대법원 1987. 3. 24. 선고 86다카1958 판결</v>
      </c>
    </row>
    <row r="364" spans="2:14" ht="14.45" customHeight="1" x14ac:dyDescent="0.2">
      <c r="B364" s="80" t="s">
        <v>2541</v>
      </c>
      <c r="C364" s="86" t="s">
        <v>2547</v>
      </c>
      <c r="D364" s="91" t="s">
        <v>3439</v>
      </c>
      <c r="E364" s="149" t="s">
        <v>1553</v>
      </c>
      <c r="F364" s="150" t="s">
        <v>3898</v>
      </c>
      <c r="G364" s="151" t="s">
        <v>3246</v>
      </c>
      <c r="H364" s="152" t="s">
        <v>2850</v>
      </c>
      <c r="I364" s="153">
        <v>552</v>
      </c>
      <c r="J364" s="214"/>
      <c r="K364" s="215"/>
      <c r="L364" s="263"/>
      <c r="M364" s="154"/>
      <c r="N364" s="263" t="str">
        <f>B364&amp;"-"&amp;C364&amp;"-"&amp;D364&amp;"-"&amp;IF(E364="요약",1,IF(E364="기출",2,IF(E364="예상",3,IF(E364="판례",4,5))))&amp;F364</f>
        <v>제4편 소송의 종료-제10장 종국판결에 의한 종료-제02절 판결-4246.대법원 1995. 3. 24. 선고 93다52488 판결</v>
      </c>
    </row>
    <row r="365" spans="2:14" ht="14.45" customHeight="1" x14ac:dyDescent="0.2">
      <c r="B365" s="80" t="s">
        <v>2541</v>
      </c>
      <c r="C365" s="86" t="s">
        <v>2547</v>
      </c>
      <c r="D365" s="91" t="s">
        <v>3439</v>
      </c>
      <c r="E365" s="149" t="s">
        <v>1553</v>
      </c>
      <c r="F365" s="150" t="s">
        <v>3913</v>
      </c>
      <c r="G365" s="151" t="s">
        <v>3247</v>
      </c>
      <c r="H365" s="152" t="s">
        <v>2851</v>
      </c>
      <c r="I365" s="153">
        <v>230</v>
      </c>
      <c r="J365" s="214"/>
      <c r="K365" s="215"/>
      <c r="L365" s="263"/>
      <c r="M365" s="154"/>
      <c r="N365" s="263" t="str">
        <f>B365&amp;"-"&amp;C365&amp;"-"&amp;D365&amp;"-"&amp;IF(E365="요약",1,IF(E365="기출",2,IF(E365="예상",3,IF(E365="판례",4,5))))&amp;F365</f>
        <v>제4편 소송의 종료-제10장 종국판결에 의한 종료-제02절 판결-4247.대법원 2003. 4. 8. 선고 2002다70181 판결</v>
      </c>
    </row>
    <row r="366" spans="2:14" ht="14.45" customHeight="1" x14ac:dyDescent="0.2">
      <c r="B366" s="80" t="s">
        <v>2541</v>
      </c>
      <c r="C366" s="86" t="s">
        <v>2547</v>
      </c>
      <c r="D366" s="91" t="s">
        <v>3439</v>
      </c>
      <c r="E366" s="149" t="s">
        <v>1553</v>
      </c>
      <c r="F366" s="150" t="s">
        <v>3925</v>
      </c>
      <c r="G366" s="151" t="s">
        <v>3248</v>
      </c>
      <c r="H366" s="152" t="s">
        <v>2852</v>
      </c>
      <c r="I366" s="153">
        <v>703</v>
      </c>
      <c r="J366" s="214"/>
      <c r="K366" s="215"/>
      <c r="L366" s="263"/>
      <c r="M366" s="154"/>
      <c r="N366" s="263" t="str">
        <f>B366&amp;"-"&amp;C366&amp;"-"&amp;D366&amp;"-"&amp;IF(E366="요약",1,IF(E366="기출",2,IF(E366="예상",3,IF(E366="판례",4,5))))&amp;F366</f>
        <v>제4편 소송의 종료-제10장 종국판결에 의한 종료-제02절 판결-4248.대법원 2014. 3. 27. 선고 2011다49981 판결</v>
      </c>
    </row>
    <row r="367" spans="2:14" ht="14.45" customHeight="1" x14ac:dyDescent="0.2">
      <c r="B367" s="80" t="s">
        <v>2541</v>
      </c>
      <c r="C367" s="86" t="s">
        <v>2547</v>
      </c>
      <c r="D367" s="91" t="s">
        <v>3439</v>
      </c>
      <c r="E367" s="149" t="s">
        <v>1553</v>
      </c>
      <c r="F367" s="150" t="s">
        <v>3918</v>
      </c>
      <c r="G367" s="151" t="s">
        <v>3249</v>
      </c>
      <c r="H367" s="152" t="s">
        <v>2853</v>
      </c>
      <c r="I367" s="153">
        <v>598</v>
      </c>
      <c r="J367" s="214"/>
      <c r="K367" s="215"/>
      <c r="L367" s="263"/>
      <c r="M367" s="154"/>
      <c r="N367" s="263" t="str">
        <f>B367&amp;"-"&amp;C367&amp;"-"&amp;D367&amp;"-"&amp;IF(E367="요약",1,IF(E367="기출",2,IF(E367="예상",3,IF(E367="판례",4,5))))&amp;F367</f>
        <v>제4편 소송의 종료-제10장 종국판결에 의한 종료-제02절 판결-4249.대법원 2009. 5. 28. 선고 2008다79876 판결</v>
      </c>
    </row>
    <row r="368" spans="2:14" ht="14.45" customHeight="1" x14ac:dyDescent="0.2">
      <c r="B368" s="80" t="s">
        <v>2541</v>
      </c>
      <c r="C368" s="86" t="s">
        <v>2547</v>
      </c>
      <c r="D368" s="91" t="s">
        <v>3439</v>
      </c>
      <c r="E368" s="149" t="s">
        <v>1553</v>
      </c>
      <c r="F368" s="150" t="s">
        <v>3881</v>
      </c>
      <c r="G368" s="151" t="s">
        <v>3250</v>
      </c>
      <c r="H368" s="152" t="s">
        <v>2854</v>
      </c>
      <c r="I368" s="153">
        <v>278</v>
      </c>
      <c r="J368" s="214"/>
      <c r="K368" s="215"/>
      <c r="L368" s="263"/>
      <c r="M368" s="154"/>
      <c r="N368" s="263" t="str">
        <f>B368&amp;"-"&amp;C368&amp;"-"&amp;D368&amp;"-"&amp;IF(E368="요약",1,IF(E368="기출",2,IF(E368="예상",3,IF(E368="판례",4,5))))&amp;F368</f>
        <v>제4편 소송의 종료-제10장 종국판결에 의한 종료-제02절 판결-4250.대법원 1976. 12. 14. 선고 76다1488 판결</v>
      </c>
    </row>
    <row r="369" spans="2:14" ht="14.45" customHeight="1" x14ac:dyDescent="0.2">
      <c r="B369" s="80" t="s">
        <v>2541</v>
      </c>
      <c r="C369" s="86" t="s">
        <v>2547</v>
      </c>
      <c r="D369" s="91" t="s">
        <v>3439</v>
      </c>
      <c r="E369" s="149" t="s">
        <v>1553</v>
      </c>
      <c r="F369" s="150" t="s">
        <v>3923</v>
      </c>
      <c r="G369" s="151" t="s">
        <v>3502</v>
      </c>
      <c r="H369" s="152" t="s">
        <v>3503</v>
      </c>
      <c r="I369" s="153">
        <v>379</v>
      </c>
      <c r="J369" s="214"/>
      <c r="K369" s="215"/>
      <c r="L369" s="263"/>
      <c r="M369" s="154"/>
      <c r="N369" s="263" t="str">
        <f>B369&amp;"-"&amp;C369&amp;"-"&amp;D369&amp;"-"&amp;IF(E369="요약",1,IF(E369="기출",2,IF(E369="예상",3,IF(E369="판례",4,5))))&amp;F369</f>
        <v>제4편 소송의 종료-제10장 종국판결에 의한 종료-제02절 판결-4251.대법원 2014. 1. 23. 선고 2013다64793 판결</v>
      </c>
    </row>
    <row r="370" spans="2:14" ht="14.45" customHeight="1" x14ac:dyDescent="0.2">
      <c r="B370" s="80" t="s">
        <v>2541</v>
      </c>
      <c r="C370" s="86" t="s">
        <v>2547</v>
      </c>
      <c r="D370" s="91" t="s">
        <v>3439</v>
      </c>
      <c r="E370" s="149" t="s">
        <v>1553</v>
      </c>
      <c r="F370" s="150" t="s">
        <v>3892</v>
      </c>
      <c r="G370" s="151" t="s">
        <v>3251</v>
      </c>
      <c r="H370" s="152" t="s">
        <v>2855</v>
      </c>
      <c r="I370" s="153">
        <v>643</v>
      </c>
      <c r="J370" s="214"/>
      <c r="K370" s="215"/>
      <c r="L370" s="263"/>
      <c r="M370" s="154"/>
      <c r="N370" s="263" t="str">
        <f>B370&amp;"-"&amp;C370&amp;"-"&amp;D370&amp;"-"&amp;IF(E370="요약",1,IF(E370="기출",2,IF(E370="예상",3,IF(E370="판례",4,5))))&amp;F370</f>
        <v>제4편 소송의 종료-제10장 종국판결에 의한 종료-제02절 판결-4252.대법원 1993. 12. 21. 선고 92다46226 전원합의체 판결</v>
      </c>
    </row>
    <row r="371" spans="2:14" ht="14.45" customHeight="1" x14ac:dyDescent="0.2">
      <c r="B371" s="80" t="s">
        <v>2541</v>
      </c>
      <c r="C371" s="86" t="s">
        <v>2547</v>
      </c>
      <c r="D371" s="91" t="s">
        <v>3439</v>
      </c>
      <c r="E371" s="149" t="s">
        <v>1553</v>
      </c>
      <c r="F371" s="150" t="s">
        <v>3904</v>
      </c>
      <c r="G371" s="151" t="s">
        <v>3252</v>
      </c>
      <c r="H371" s="152" t="s">
        <v>2856</v>
      </c>
      <c r="I371" s="153">
        <v>367</v>
      </c>
      <c r="J371" s="214"/>
      <c r="K371" s="215"/>
      <c r="L371" s="263"/>
      <c r="M371" s="154"/>
      <c r="N371" s="263" t="str">
        <f>B371&amp;"-"&amp;C371&amp;"-"&amp;D371&amp;"-"&amp;IF(E371="요약",1,IF(E371="기출",2,IF(E371="예상",3,IF(E371="판례",4,5))))&amp;F371</f>
        <v>제4편 소송의 종료-제10장 종국판결에 의한 종료-제02절 판결-4253.대법원 1998. 11. 24. 선고 98다25344 판결</v>
      </c>
    </row>
    <row r="372" spans="2:14" ht="14.45" customHeight="1" x14ac:dyDescent="0.2">
      <c r="B372" s="80" t="s">
        <v>2541</v>
      </c>
      <c r="C372" s="86" t="s">
        <v>2547</v>
      </c>
      <c r="D372" s="91" t="s">
        <v>3439</v>
      </c>
      <c r="E372" s="149" t="s">
        <v>1553</v>
      </c>
      <c r="F372" s="150" t="s">
        <v>3917</v>
      </c>
      <c r="G372" s="151" t="s">
        <v>3253</v>
      </c>
      <c r="H372" s="152" t="s">
        <v>2857</v>
      </c>
      <c r="I372" s="153">
        <v>257</v>
      </c>
      <c r="J372" s="214"/>
      <c r="K372" s="215"/>
      <c r="L372" s="263"/>
      <c r="M372" s="154"/>
      <c r="N372" s="263" t="str">
        <f>B372&amp;"-"&amp;C372&amp;"-"&amp;D372&amp;"-"&amp;IF(E372="요약",1,IF(E372="기출",2,IF(E372="예상",3,IF(E372="판례",4,5))))&amp;F372</f>
        <v>제4편 소송의 종료-제10장 종국판결에 의한 종료-제02절 판결-4254.대법원 2009. 12. 24. 선고 2009다64215 판결</v>
      </c>
    </row>
    <row r="373" spans="2:14" ht="14.45" customHeight="1" x14ac:dyDescent="0.2">
      <c r="B373" s="80" t="s">
        <v>2541</v>
      </c>
      <c r="C373" s="86" t="s">
        <v>2547</v>
      </c>
      <c r="D373" s="91" t="s">
        <v>3439</v>
      </c>
      <c r="E373" s="149" t="s">
        <v>1553</v>
      </c>
      <c r="F373" s="150" t="s">
        <v>3926</v>
      </c>
      <c r="G373" s="151" t="s">
        <v>3254</v>
      </c>
      <c r="H373" s="152" t="s">
        <v>2858</v>
      </c>
      <c r="I373" s="153">
        <v>578</v>
      </c>
      <c r="J373" s="214"/>
      <c r="K373" s="215"/>
      <c r="L373" s="263"/>
      <c r="M373" s="154"/>
      <c r="N373" s="263" t="str">
        <f>B373&amp;"-"&amp;C373&amp;"-"&amp;D373&amp;"-"&amp;IF(E373="요약",1,IF(E373="기출",2,IF(E373="예상",3,IF(E373="판례",4,5))))&amp;F373</f>
        <v>제4편 소송의 종료-제10장 종국판결에 의한 종료-제02절 판결-4255.대법원 2016. 6. 28. 선고 2014다31721 판결</v>
      </c>
    </row>
    <row r="374" spans="2:14" ht="14.45" customHeight="1" x14ac:dyDescent="0.2">
      <c r="B374" s="80" t="s">
        <v>2541</v>
      </c>
      <c r="C374" s="86" t="s">
        <v>2547</v>
      </c>
      <c r="D374" s="91" t="s">
        <v>3439</v>
      </c>
      <c r="E374" s="149" t="s">
        <v>1553</v>
      </c>
      <c r="F374" s="150" t="s">
        <v>3907</v>
      </c>
      <c r="G374" s="151" t="s">
        <v>3255</v>
      </c>
      <c r="H374" s="152" t="s">
        <v>2859</v>
      </c>
      <c r="I374" s="153">
        <v>132</v>
      </c>
      <c r="J374" s="214"/>
      <c r="K374" s="215"/>
      <c r="L374" s="263"/>
      <c r="M374" s="154"/>
      <c r="N374" s="263" t="str">
        <f>B374&amp;"-"&amp;C374&amp;"-"&amp;D374&amp;"-"&amp;IF(E374="요약",1,IF(E374="기출",2,IF(E374="예상",3,IF(E374="판례",4,5))))&amp;F374</f>
        <v>제4편 소송의 종료-제10장 종국판결에 의한 종료-제02절 판결-4256.대법원 2000. 2. 25. 선고 99다55472 판결</v>
      </c>
    </row>
    <row r="375" spans="2:14" ht="14.45" customHeight="1" x14ac:dyDescent="0.2">
      <c r="B375" s="80" t="s">
        <v>2541</v>
      </c>
      <c r="C375" s="86" t="s">
        <v>2547</v>
      </c>
      <c r="D375" s="91" t="s">
        <v>3439</v>
      </c>
      <c r="E375" s="149" t="s">
        <v>1553</v>
      </c>
      <c r="F375" s="150" t="s">
        <v>3899</v>
      </c>
      <c r="G375" s="151" t="s">
        <v>3256</v>
      </c>
      <c r="H375" s="152" t="s">
        <v>2860</v>
      </c>
      <c r="I375" s="153">
        <v>665</v>
      </c>
      <c r="J375" s="214"/>
      <c r="K375" s="215"/>
      <c r="L375" s="263"/>
      <c r="M375" s="154"/>
      <c r="N375" s="263" t="str">
        <f>B375&amp;"-"&amp;C375&amp;"-"&amp;D375&amp;"-"&amp;IF(E375="요약",1,IF(E375="기출",2,IF(E375="예상",3,IF(E375="판례",4,5))))&amp;F375</f>
        <v>제4편 소송의 종료-제10장 종국판결에 의한 종료-제02절 판결-4257.대법원 1995. 4. 25. 선고 94다17956 전원합의체 판결</v>
      </c>
    </row>
    <row r="376" spans="2:14" ht="14.45" customHeight="1" x14ac:dyDescent="0.2">
      <c r="B376" s="80" t="s">
        <v>2541</v>
      </c>
      <c r="C376" s="86" t="s">
        <v>2547</v>
      </c>
      <c r="D376" s="91" t="s">
        <v>3439</v>
      </c>
      <c r="E376" s="149" t="s">
        <v>1553</v>
      </c>
      <c r="F376" s="150" t="s">
        <v>3921</v>
      </c>
      <c r="G376" s="151" t="s">
        <v>3257</v>
      </c>
      <c r="H376" s="152" t="s">
        <v>2861</v>
      </c>
      <c r="I376" s="153">
        <v>422</v>
      </c>
      <c r="J376" s="214"/>
      <c r="K376" s="215"/>
      <c r="L376" s="263"/>
      <c r="M376" s="154"/>
      <c r="N376" s="263" t="str">
        <f>B376&amp;"-"&amp;C376&amp;"-"&amp;D376&amp;"-"&amp;IF(E376="요약",1,IF(E376="기출",2,IF(E376="예상",3,IF(E376="판례",4,5))))&amp;F376</f>
        <v>제4편 소송의 종료-제10장 종국판결에 의한 종료-제02절 판결-4258.대법원 2013. 9. 13. 선고 2013다45457 판결</v>
      </c>
    </row>
    <row r="377" spans="2:14" ht="14.45" customHeight="1" x14ac:dyDescent="0.2">
      <c r="B377" s="80" t="s">
        <v>2541</v>
      </c>
      <c r="C377" s="86" t="s">
        <v>2547</v>
      </c>
      <c r="D377" s="91" t="s">
        <v>3439</v>
      </c>
      <c r="E377" s="149" t="s">
        <v>1553</v>
      </c>
      <c r="F377" s="150" t="s">
        <v>3894</v>
      </c>
      <c r="G377" s="151" t="s">
        <v>3258</v>
      </c>
      <c r="H377" s="152" t="s">
        <v>2862</v>
      </c>
      <c r="I377" s="153">
        <v>347</v>
      </c>
      <c r="J377" s="214"/>
      <c r="K377" s="215"/>
      <c r="L377" s="263"/>
      <c r="M377" s="154"/>
      <c r="N377" s="263" t="str">
        <f>B377&amp;"-"&amp;C377&amp;"-"&amp;D377&amp;"-"&amp;IF(E377="요약",1,IF(E377="기출",2,IF(E377="예상",3,IF(E377="판례",4,5))))&amp;F377</f>
        <v>제4편 소송의 종료-제10장 종국판결에 의한 종료-제02절 판결-4259.대법원 1993. 6. 25. 선고 92다33008 판결</v>
      </c>
    </row>
    <row r="378" spans="2:14" ht="14.45" customHeight="1" x14ac:dyDescent="0.2">
      <c r="B378" s="80" t="s">
        <v>2541</v>
      </c>
      <c r="C378" s="86" t="s">
        <v>2547</v>
      </c>
      <c r="D378" s="91" t="s">
        <v>3439</v>
      </c>
      <c r="E378" s="149" t="s">
        <v>1553</v>
      </c>
      <c r="F378" s="150" t="s">
        <v>3915</v>
      </c>
      <c r="G378" s="151" t="s">
        <v>3259</v>
      </c>
      <c r="H378" s="152" t="s">
        <v>2863</v>
      </c>
      <c r="I378" s="153">
        <v>574</v>
      </c>
      <c r="J378" s="214"/>
      <c r="K378" s="215"/>
      <c r="L378" s="263"/>
      <c r="M378" s="154"/>
      <c r="N378" s="263" t="str">
        <f>B378&amp;"-"&amp;C378&amp;"-"&amp;D378&amp;"-"&amp;IF(E378="요약",1,IF(E378="기출",2,IF(E378="예상",3,IF(E378="판례",4,5))))&amp;F378</f>
        <v>제4편 소송의 종료-제10장 종국판결에 의한 종료-제02절 판결-4260.대법원 2005. 7. 22. 선고 2004다17207 판결</v>
      </c>
    </row>
    <row r="379" spans="2:14" ht="14.45" customHeight="1" x14ac:dyDescent="0.2">
      <c r="B379" s="80" t="s">
        <v>2541</v>
      </c>
      <c r="C379" s="86" t="s">
        <v>2547</v>
      </c>
      <c r="D379" s="91" t="s">
        <v>3439</v>
      </c>
      <c r="E379" s="149" t="s">
        <v>1553</v>
      </c>
      <c r="F379" s="150" t="s">
        <v>3879</v>
      </c>
      <c r="G379" s="151" t="s">
        <v>3260</v>
      </c>
      <c r="H379" s="152" t="s">
        <v>2864</v>
      </c>
      <c r="I379" s="153">
        <v>307</v>
      </c>
      <c r="J379" s="214"/>
      <c r="K379" s="215"/>
      <c r="L379" s="263"/>
      <c r="M379" s="154"/>
      <c r="N379" s="263" t="str">
        <f>B379&amp;"-"&amp;C379&amp;"-"&amp;D379&amp;"-"&amp;IF(E379="요약",1,IF(E379="기출",2,IF(E379="예상",3,IF(E379="판례",4,5))))&amp;F379</f>
        <v>제4편 소송의 종료-제10장 종국판결에 의한 종료-제02절 판결-4261.대법원 1975. 10. 21. 선고 75다48 판결</v>
      </c>
    </row>
    <row r="380" spans="2:14" ht="14.45" customHeight="1" x14ac:dyDescent="0.2">
      <c r="B380" s="80" t="s">
        <v>2541</v>
      </c>
      <c r="C380" s="86" t="s">
        <v>2547</v>
      </c>
      <c r="D380" s="91" t="s">
        <v>3439</v>
      </c>
      <c r="E380" s="149" t="s">
        <v>1553</v>
      </c>
      <c r="F380" s="150" t="s">
        <v>3931</v>
      </c>
      <c r="G380" s="151" t="s">
        <v>3261</v>
      </c>
      <c r="H380" s="152" t="s">
        <v>2865</v>
      </c>
      <c r="I380" s="153">
        <v>230</v>
      </c>
      <c r="J380" s="214"/>
      <c r="K380" s="215"/>
      <c r="L380" s="263"/>
      <c r="M380" s="154"/>
      <c r="N380" s="263" t="str">
        <f>B380&amp;"-"&amp;C380&amp;"-"&amp;D380&amp;"-"&amp;IF(E380="요약",1,IF(E380="기출",2,IF(E380="예상",3,IF(E380="판례",4,5))))&amp;F380</f>
        <v>제4편 소송의 종료-제10장 종국판결에 의한 종료-제02절 판결-4262.대법원 2021. 8. 12. 선고 2021다215497 판결</v>
      </c>
    </row>
    <row r="381" spans="2:14" ht="14.45" customHeight="1" x14ac:dyDescent="0.2">
      <c r="B381" s="80" t="s">
        <v>2541</v>
      </c>
      <c r="C381" s="86" t="s">
        <v>2547</v>
      </c>
      <c r="D381" s="91" t="s">
        <v>3439</v>
      </c>
      <c r="E381" s="149" t="s">
        <v>1553</v>
      </c>
      <c r="F381" s="150" t="s">
        <v>3919</v>
      </c>
      <c r="G381" s="151" t="s">
        <v>3262</v>
      </c>
      <c r="H381" s="152" t="s">
        <v>2866</v>
      </c>
      <c r="I381" s="153">
        <v>353</v>
      </c>
      <c r="J381" s="214"/>
      <c r="K381" s="215"/>
      <c r="L381" s="263"/>
      <c r="M381" s="154"/>
      <c r="N381" s="263" t="str">
        <f>B381&amp;"-"&amp;C381&amp;"-"&amp;D381&amp;"-"&amp;IF(E381="요약",1,IF(E381="기출",2,IF(E381="예상",3,IF(E381="판례",4,5))))&amp;F381</f>
        <v>제4편 소송의 종료-제10장 종국판결에 의한 종료-제02절 판결-4263.대법원 2010. 12. 23. 선고 2010다58889 판결</v>
      </c>
    </row>
    <row r="382" spans="2:14" ht="14.45" customHeight="1" x14ac:dyDescent="0.2">
      <c r="B382" s="80" t="s">
        <v>2541</v>
      </c>
      <c r="C382" s="86" t="s">
        <v>2547</v>
      </c>
      <c r="D382" s="91" t="s">
        <v>3439</v>
      </c>
      <c r="E382" s="149" t="s">
        <v>1553</v>
      </c>
      <c r="F382" s="150" t="s">
        <v>3900</v>
      </c>
      <c r="G382" s="151" t="s">
        <v>3263</v>
      </c>
      <c r="H382" s="152" t="s">
        <v>2867</v>
      </c>
      <c r="I382" s="153">
        <v>308</v>
      </c>
      <c r="J382" s="214"/>
      <c r="K382" s="215"/>
      <c r="L382" s="263"/>
      <c r="M382" s="154"/>
      <c r="N382" s="263" t="str">
        <f>B382&amp;"-"&amp;C382&amp;"-"&amp;D382&amp;"-"&amp;IF(E382="요약",1,IF(E382="기출",2,IF(E382="예상",3,IF(E382="판례",4,5))))&amp;F382</f>
        <v>제4편 소송의 종료-제10장 종국판결에 의한 종료-제02절 판결-4264.대법원 1995. 5. 12. 선고 93다44531 판결</v>
      </c>
    </row>
    <row r="383" spans="2:14" ht="14.45" customHeight="1" x14ac:dyDescent="0.2">
      <c r="B383" s="80" t="s">
        <v>2541</v>
      </c>
      <c r="C383" s="86" t="s">
        <v>2547</v>
      </c>
      <c r="D383" s="91" t="s">
        <v>3439</v>
      </c>
      <c r="E383" s="149" t="s">
        <v>1553</v>
      </c>
      <c r="F383" s="150" t="s">
        <v>3930</v>
      </c>
      <c r="G383" s="151" t="s">
        <v>3264</v>
      </c>
      <c r="H383" s="152" t="s">
        <v>2868</v>
      </c>
      <c r="I383" s="153">
        <v>401</v>
      </c>
      <c r="J383" s="214"/>
      <c r="K383" s="215"/>
      <c r="L383" s="263"/>
      <c r="M383" s="154"/>
      <c r="N383" s="263" t="str">
        <f>B383&amp;"-"&amp;C383&amp;"-"&amp;D383&amp;"-"&amp;IF(E383="요약",1,IF(E383="기출",2,IF(E383="예상",3,IF(E383="판례",4,5))))&amp;F383</f>
        <v>제4편 소송의 종료-제10장 종국판결에 의한 종료-제02절 판결-4265.대법원 2020. 9. 3. 선고 2020다210747 판결</v>
      </c>
    </row>
    <row r="384" spans="2:14" ht="14.45" customHeight="1" x14ac:dyDescent="0.2">
      <c r="B384" s="80" t="s">
        <v>2541</v>
      </c>
      <c r="C384" s="86" t="s">
        <v>2547</v>
      </c>
      <c r="D384" s="91" t="s">
        <v>3439</v>
      </c>
      <c r="E384" s="149" t="s">
        <v>1553</v>
      </c>
      <c r="F384" s="150" t="s">
        <v>3912</v>
      </c>
      <c r="G384" s="151" t="s">
        <v>3265</v>
      </c>
      <c r="H384" s="152" t="s">
        <v>2869</v>
      </c>
      <c r="I384" s="153">
        <v>391</v>
      </c>
      <c r="J384" s="214"/>
      <c r="K384" s="215"/>
      <c r="L384" s="263"/>
      <c r="M384" s="154"/>
      <c r="N384" s="263" t="str">
        <f>B384&amp;"-"&amp;C384&amp;"-"&amp;D384&amp;"-"&amp;IF(E384="요약",1,IF(E384="기출",2,IF(E384="예상",3,IF(E384="판례",4,5))))&amp;F384</f>
        <v>제4편 소송의 종료-제10장 종국판결에 의한 종료-제02절 판결-4266.대법원 2002. 10. 11. 선고 2002다43851 판결</v>
      </c>
    </row>
    <row r="385" spans="2:14" ht="14.45" customHeight="1" x14ac:dyDescent="0.2">
      <c r="B385" s="80" t="s">
        <v>2541</v>
      </c>
      <c r="C385" s="86" t="s">
        <v>2547</v>
      </c>
      <c r="D385" s="91" t="s">
        <v>3439</v>
      </c>
      <c r="E385" s="149" t="s">
        <v>1553</v>
      </c>
      <c r="F385" s="150" t="s">
        <v>3891</v>
      </c>
      <c r="G385" s="151" t="s">
        <v>3266</v>
      </c>
      <c r="H385" s="152" t="s">
        <v>2870</v>
      </c>
      <c r="I385" s="153">
        <v>242</v>
      </c>
      <c r="J385" s="214"/>
      <c r="K385" s="215"/>
      <c r="L385" s="263"/>
      <c r="M385" s="154"/>
      <c r="N385" s="263" t="str">
        <f>B385&amp;"-"&amp;C385&amp;"-"&amp;D385&amp;"-"&amp;IF(E385="요약",1,IF(E385="기출",2,IF(E385="예상",3,IF(E385="판례",4,5))))&amp;F385</f>
        <v>제4편 소송의 종료-제10장 종국판결에 의한 종료-제02절 판결-4267.대법원 1991. 1. 15. 선고 90다9964 판결</v>
      </c>
    </row>
    <row r="386" spans="2:14" ht="14.45" customHeight="1" x14ac:dyDescent="0.2">
      <c r="B386" s="80" t="s">
        <v>2541</v>
      </c>
      <c r="C386" s="86" t="s">
        <v>2547</v>
      </c>
      <c r="D386" s="91" t="s">
        <v>3439</v>
      </c>
      <c r="E386" s="149" t="s">
        <v>1553</v>
      </c>
      <c r="F386" s="150" t="s">
        <v>3886</v>
      </c>
      <c r="G386" s="151" t="s">
        <v>3267</v>
      </c>
      <c r="H386" s="152" t="s">
        <v>2871</v>
      </c>
      <c r="I386" s="153">
        <v>412</v>
      </c>
      <c r="J386" s="214"/>
      <c r="K386" s="215"/>
      <c r="L386" s="263"/>
      <c r="M386" s="154"/>
      <c r="N386" s="263" t="str">
        <f>B386&amp;"-"&amp;C386&amp;"-"&amp;D386&amp;"-"&amp;IF(E386="요약",1,IF(E386="기출",2,IF(E386="예상",3,IF(E386="판례",4,5))))&amp;F386</f>
        <v>제4편 소송의 종료-제10장 종국판결에 의한 종료-제02절 판결-4268.대법원 1984. 9. 25. 선고 84다카148 판결</v>
      </c>
    </row>
    <row r="387" spans="2:14" ht="14.45" customHeight="1" x14ac:dyDescent="0.2">
      <c r="B387" s="80" t="s">
        <v>2541</v>
      </c>
      <c r="C387" s="86" t="s">
        <v>2547</v>
      </c>
      <c r="D387" s="91" t="s">
        <v>3439</v>
      </c>
      <c r="E387" s="149" t="s">
        <v>1553</v>
      </c>
      <c r="F387" s="150" t="s">
        <v>3914</v>
      </c>
      <c r="G387" s="151" t="s">
        <v>3268</v>
      </c>
      <c r="H387" s="152" t="s">
        <v>2872</v>
      </c>
      <c r="I387" s="153">
        <v>358</v>
      </c>
      <c r="J387" s="214"/>
      <c r="K387" s="215"/>
      <c r="L387" s="263"/>
      <c r="M387" s="154"/>
      <c r="N387" s="263" t="str">
        <f>B387&amp;"-"&amp;C387&amp;"-"&amp;D387&amp;"-"&amp;IF(E387="요약",1,IF(E387="기출",2,IF(E387="예상",3,IF(E387="판례",4,5))))&amp;F387</f>
        <v>제4편 소송의 종료-제10장 종국판결에 의한 종료-제02절 판결-4269.대법원 2005. 11. 10. 선고 2005다34667,34674 판결</v>
      </c>
    </row>
    <row r="388" spans="2:14" ht="14.45" customHeight="1" x14ac:dyDescent="0.2">
      <c r="B388" s="80" t="s">
        <v>2541</v>
      </c>
      <c r="C388" s="86" t="s">
        <v>2547</v>
      </c>
      <c r="D388" s="91" t="s">
        <v>3439</v>
      </c>
      <c r="E388" s="149" t="s">
        <v>1553</v>
      </c>
      <c r="F388" s="150" t="s">
        <v>3911</v>
      </c>
      <c r="G388" s="151" t="s">
        <v>3269</v>
      </c>
      <c r="H388" s="152" t="s">
        <v>2873</v>
      </c>
      <c r="I388" s="153">
        <v>232</v>
      </c>
      <c r="J388" s="214"/>
      <c r="K388" s="215"/>
      <c r="L388" s="263"/>
      <c r="M388" s="154"/>
      <c r="N388" s="263" t="str">
        <f>B388&amp;"-"&amp;C388&amp;"-"&amp;D388&amp;"-"&amp;IF(E388="요약",1,IF(E388="기출",2,IF(E388="예상",3,IF(E388="판례",4,5))))&amp;F388</f>
        <v>제4편 소송의 종료-제10장 종국판결에 의한 종료-제02절 판결-4270.대법원 2001. 4. 27. 선고 2001다13983 판결</v>
      </c>
    </row>
    <row r="389" spans="2:14" ht="14.45" customHeight="1" x14ac:dyDescent="0.2">
      <c r="B389" s="80" t="s">
        <v>2541</v>
      </c>
      <c r="C389" s="86" t="s">
        <v>2547</v>
      </c>
      <c r="D389" s="91" t="s">
        <v>3439</v>
      </c>
      <c r="E389" s="149" t="s">
        <v>1553</v>
      </c>
      <c r="F389" s="150" t="s">
        <v>3889</v>
      </c>
      <c r="G389" s="151" t="s">
        <v>3270</v>
      </c>
      <c r="H389" s="152" t="s">
        <v>2874</v>
      </c>
      <c r="I389" s="153">
        <v>242</v>
      </c>
      <c r="J389" s="214"/>
      <c r="K389" s="215"/>
      <c r="L389" s="263"/>
      <c r="M389" s="154"/>
      <c r="N389" s="263" t="str">
        <f>B389&amp;"-"&amp;C389&amp;"-"&amp;D389&amp;"-"&amp;IF(E389="요약",1,IF(E389="기출",2,IF(E389="예상",3,IF(E389="판례",4,5))))&amp;F389</f>
        <v>제4편 소송의 종료-제10장 종국판결에 의한 종료-제02절 판결-4271.대법원 1988. 4. 25. 선고 87누399 판결</v>
      </c>
    </row>
    <row r="390" spans="2:14" ht="14.45" customHeight="1" x14ac:dyDescent="0.2">
      <c r="B390" s="80" t="s">
        <v>2541</v>
      </c>
      <c r="C390" s="86" t="s">
        <v>2547</v>
      </c>
      <c r="D390" s="91" t="s">
        <v>3439</v>
      </c>
      <c r="E390" s="149" t="s">
        <v>1553</v>
      </c>
      <c r="F390" s="150" t="s">
        <v>3880</v>
      </c>
      <c r="G390" s="151" t="s">
        <v>3271</v>
      </c>
      <c r="H390" s="152" t="s">
        <v>2875</v>
      </c>
      <c r="I390" s="153">
        <v>265</v>
      </c>
      <c r="J390" s="214"/>
      <c r="K390" s="215"/>
      <c r="L390" s="263"/>
      <c r="M390" s="154"/>
      <c r="N390" s="263" t="str">
        <f>B390&amp;"-"&amp;C390&amp;"-"&amp;D390&amp;"-"&amp;IF(E390="요약",1,IF(E390="기출",2,IF(E390="예상",3,IF(E390="판례",4,5))))&amp;F390</f>
        <v>제4편 소송의 종료-제10장 종국판결에 의한 종료-제02절 판결-4272.대법원 1975. 5. 13. 선고 74다1664 전원합의체 판결</v>
      </c>
    </row>
    <row r="391" spans="2:14" ht="14.45" customHeight="1" x14ac:dyDescent="0.2">
      <c r="B391" s="80" t="s">
        <v>2541</v>
      </c>
      <c r="C391" s="86" t="s">
        <v>2547</v>
      </c>
      <c r="D391" s="91" t="s">
        <v>3439</v>
      </c>
      <c r="E391" s="149" t="s">
        <v>1553</v>
      </c>
      <c r="F391" s="150" t="s">
        <v>3922</v>
      </c>
      <c r="G391" s="151" t="s">
        <v>3272</v>
      </c>
      <c r="H391" s="152" t="s">
        <v>2876</v>
      </c>
      <c r="I391" s="153">
        <v>554</v>
      </c>
      <c r="J391" s="214"/>
      <c r="K391" s="215"/>
      <c r="L391" s="263"/>
      <c r="M391" s="154"/>
      <c r="N391" s="263" t="str">
        <f>B391&amp;"-"&amp;C391&amp;"-"&amp;D391&amp;"-"&amp;IF(E391="요약",1,IF(E391="기출",2,IF(E391="예상",3,IF(E391="판례",4,5))))&amp;F391</f>
        <v>제4편 소송의 종료-제10장 종국판결에 의한 종료-제02절 판결-4273.대법원 2014. 1. 23. 선고 2011다108095 판결</v>
      </c>
    </row>
    <row r="392" spans="2:14" ht="14.45" customHeight="1" x14ac:dyDescent="0.2">
      <c r="B392" s="80" t="s">
        <v>2541</v>
      </c>
      <c r="C392" s="86" t="s">
        <v>2547</v>
      </c>
      <c r="D392" s="91" t="s">
        <v>3439</v>
      </c>
      <c r="E392" s="149" t="s">
        <v>1553</v>
      </c>
      <c r="F392" s="150" t="s">
        <v>3893</v>
      </c>
      <c r="G392" s="151" t="s">
        <v>3273</v>
      </c>
      <c r="H392" s="152" t="s">
        <v>2877</v>
      </c>
      <c r="I392" s="153">
        <v>268</v>
      </c>
      <c r="J392" s="214"/>
      <c r="K392" s="215"/>
      <c r="L392" s="263"/>
      <c r="M392" s="154"/>
      <c r="N392" s="263" t="str">
        <f>B392&amp;"-"&amp;C392&amp;"-"&amp;D392&amp;"-"&amp;IF(E392="요약",1,IF(E392="기출",2,IF(E392="예상",3,IF(E392="판례",4,5))))&amp;F392</f>
        <v>제4편 소송의 종료-제10장 종국판결에 의한 종료-제02절 판결-4274.대법원 1993. 3. 26. 선고 92다32876 판결</v>
      </c>
    </row>
    <row r="393" spans="2:14" ht="14.45" customHeight="1" x14ac:dyDescent="0.2">
      <c r="B393" s="80" t="s">
        <v>2541</v>
      </c>
      <c r="C393" s="86" t="s">
        <v>2547</v>
      </c>
      <c r="D393" s="91" t="s">
        <v>3439</v>
      </c>
      <c r="E393" s="149" t="s">
        <v>1553</v>
      </c>
      <c r="F393" s="150" t="s">
        <v>3896</v>
      </c>
      <c r="G393" s="151" t="s">
        <v>3274</v>
      </c>
      <c r="H393" s="152" t="s">
        <v>2878</v>
      </c>
      <c r="I393" s="153">
        <v>274</v>
      </c>
      <c r="J393" s="214"/>
      <c r="K393" s="215"/>
      <c r="L393" s="263"/>
      <c r="M393" s="154"/>
      <c r="N393" s="263" t="str">
        <f>B393&amp;"-"&amp;C393&amp;"-"&amp;D393&amp;"-"&amp;IF(E393="요약",1,IF(E393="기출",2,IF(E393="예상",3,IF(E393="판례",4,5))))&amp;F393</f>
        <v>제4편 소송의 종료-제10장 종국판결에 의한 종료-제02절 판결-4275.대법원 1994. 8. 12. 선고 93다52808 판결</v>
      </c>
    </row>
    <row r="394" spans="2:14" ht="14.45" customHeight="1" x14ac:dyDescent="0.2">
      <c r="B394" s="80" t="s">
        <v>2541</v>
      </c>
      <c r="C394" s="86" t="s">
        <v>2547</v>
      </c>
      <c r="D394" s="91" t="s">
        <v>3439</v>
      </c>
      <c r="E394" s="149" t="s">
        <v>1553</v>
      </c>
      <c r="F394" s="150" t="s">
        <v>3902</v>
      </c>
      <c r="G394" s="151" t="s">
        <v>3275</v>
      </c>
      <c r="H394" s="152" t="s">
        <v>2879</v>
      </c>
      <c r="I394" s="153">
        <v>245</v>
      </c>
      <c r="J394" s="214"/>
      <c r="K394" s="215"/>
      <c r="L394" s="263"/>
      <c r="M394" s="154"/>
      <c r="N394" s="263" t="str">
        <f>B394&amp;"-"&amp;C394&amp;"-"&amp;D394&amp;"-"&amp;IF(E394="요약",1,IF(E394="기출",2,IF(E394="예상",3,IF(E394="판례",4,5))))&amp;F394</f>
        <v>제4편 소송의 종료-제10장 종국판결에 의한 종료-제02절 판결-4276.대법원 1995. 6. 29. 선고 94다47292 판결</v>
      </c>
    </row>
    <row r="395" spans="2:14" ht="14.45" customHeight="1" x14ac:dyDescent="0.2">
      <c r="B395" s="80" t="s">
        <v>2541</v>
      </c>
      <c r="C395" s="86" t="s">
        <v>2547</v>
      </c>
      <c r="D395" s="91" t="s">
        <v>3439</v>
      </c>
      <c r="E395" s="149" t="s">
        <v>1553</v>
      </c>
      <c r="F395" s="150" t="s">
        <v>3928</v>
      </c>
      <c r="G395" s="151" t="s">
        <v>3276</v>
      </c>
      <c r="H395" s="152" t="s">
        <v>2880</v>
      </c>
      <c r="I395" s="153">
        <v>365</v>
      </c>
      <c r="J395" s="214"/>
      <c r="K395" s="215"/>
      <c r="L395" s="263"/>
      <c r="M395" s="154"/>
      <c r="N395" s="263" t="str">
        <f>B395&amp;"-"&amp;C395&amp;"-"&amp;D395&amp;"-"&amp;IF(E395="요약",1,IF(E395="기출",2,IF(E395="예상",3,IF(E395="판례",4,5))))&amp;F395</f>
        <v>제4편 소송의 종료-제10장 종국판결에 의한 종료-제02절 판결-4277.대법원 2018. 9. 13. 선고 2018다231031 판결</v>
      </c>
    </row>
    <row r="396" spans="2:14" ht="14.45" customHeight="1" x14ac:dyDescent="0.2">
      <c r="B396" s="80" t="s">
        <v>2541</v>
      </c>
      <c r="C396" s="86" t="s">
        <v>2547</v>
      </c>
      <c r="D396" s="91" t="s">
        <v>3439</v>
      </c>
      <c r="E396" s="149" t="s">
        <v>1553</v>
      </c>
      <c r="F396" s="150" t="s">
        <v>3883</v>
      </c>
      <c r="G396" s="151" t="s">
        <v>3277</v>
      </c>
      <c r="H396" s="152" t="s">
        <v>2881</v>
      </c>
      <c r="I396" s="153">
        <v>149</v>
      </c>
      <c r="J396" s="214"/>
      <c r="K396" s="215"/>
      <c r="L396" s="263"/>
      <c r="M396" s="154"/>
      <c r="N396" s="263" t="str">
        <f>B396&amp;"-"&amp;C396&amp;"-"&amp;D396&amp;"-"&amp;IF(E396="요약",1,IF(E396="기출",2,IF(E396="예상",3,IF(E396="판례",4,5))))&amp;F396</f>
        <v>제4편 소송의 종료-제10장 종국판결에 의한 종료-제02절 판결-4278.대법원 1979. 8. 10.자 79마232 결정</v>
      </c>
    </row>
    <row r="397" spans="2:14" ht="14.45" customHeight="1" x14ac:dyDescent="0.2">
      <c r="B397" s="80" t="s">
        <v>2541</v>
      </c>
      <c r="C397" s="86" t="s">
        <v>2547</v>
      </c>
      <c r="D397" s="91" t="s">
        <v>3439</v>
      </c>
      <c r="E397" s="149" t="s">
        <v>1553</v>
      </c>
      <c r="F397" s="150" t="s">
        <v>3906</v>
      </c>
      <c r="G397" s="151" t="s">
        <v>3278</v>
      </c>
      <c r="H397" s="152" t="s">
        <v>2882</v>
      </c>
      <c r="I397" s="153">
        <v>175</v>
      </c>
      <c r="J397" s="214"/>
      <c r="K397" s="215"/>
      <c r="L397" s="263"/>
      <c r="M397" s="154"/>
      <c r="N397" s="263" t="str">
        <f>B397&amp;"-"&amp;C397&amp;"-"&amp;D397&amp;"-"&amp;IF(E397="요약",1,IF(E397="기출",2,IF(E397="예상",3,IF(E397="판례",4,5))))&amp;F397</f>
        <v>제4편 소송의 종료-제10장 종국판결에 의한 종료-제02절 판결-4279.대법원 2000. 10. 27. 선고 2000다33775 판결</v>
      </c>
    </row>
    <row r="398" spans="2:14" ht="14.45" customHeight="1" x14ac:dyDescent="0.2">
      <c r="B398" s="80" t="s">
        <v>2541</v>
      </c>
      <c r="C398" s="86" t="s">
        <v>2547</v>
      </c>
      <c r="D398" s="91" t="s">
        <v>3439</v>
      </c>
      <c r="E398" s="149" t="s">
        <v>1553</v>
      </c>
      <c r="F398" s="150" t="s">
        <v>3882</v>
      </c>
      <c r="G398" s="151" t="s">
        <v>3279</v>
      </c>
      <c r="H398" s="152" t="s">
        <v>2883</v>
      </c>
      <c r="I398" s="153">
        <v>243</v>
      </c>
      <c r="J398" s="214"/>
      <c r="K398" s="215"/>
      <c r="L398" s="263"/>
      <c r="M398" s="154"/>
      <c r="N398" s="263" t="str">
        <f>B398&amp;"-"&amp;C398&amp;"-"&amp;D398&amp;"-"&amp;IF(E398="요약",1,IF(E398="기출",2,IF(E398="예상",3,IF(E398="판례",4,5))))&amp;F398</f>
        <v>제4편 소송의 종료-제10장 종국판결에 의한 종료-제02절 판결-4280.대법원 1978. 5. 9. 선고 75다634 전원합의체 판결</v>
      </c>
    </row>
    <row r="399" spans="2:14" ht="14.45" customHeight="1" x14ac:dyDescent="0.2">
      <c r="B399" s="80" t="s">
        <v>2541</v>
      </c>
      <c r="C399" s="86" t="s">
        <v>2547</v>
      </c>
      <c r="D399" s="91" t="s">
        <v>3439</v>
      </c>
      <c r="E399" s="149" t="s">
        <v>1553</v>
      </c>
      <c r="F399" s="150" t="s">
        <v>3887</v>
      </c>
      <c r="G399" s="151" t="s">
        <v>3280</v>
      </c>
      <c r="H399" s="152" t="s">
        <v>2884</v>
      </c>
      <c r="I399" s="153">
        <v>187</v>
      </c>
      <c r="J399" s="214"/>
      <c r="K399" s="215"/>
      <c r="L399" s="263"/>
      <c r="M399" s="154"/>
      <c r="N399" s="263" t="str">
        <f>B399&amp;"-"&amp;C399&amp;"-"&amp;D399&amp;"-"&amp;IF(E399="요약",1,IF(E399="기출",2,IF(E399="예상",3,IF(E399="판례",4,5))))&amp;F399</f>
        <v>제4편 소송의 종료-제10장 종국판결에 의한 종료-제02절 판결-4281.대법원 1985. 7. 9. 선고 85므12 판결</v>
      </c>
    </row>
    <row r="400" spans="2:14" ht="14.45" customHeight="1" x14ac:dyDescent="0.2">
      <c r="B400" s="80" t="s">
        <v>2541</v>
      </c>
      <c r="C400" s="86" t="s">
        <v>2547</v>
      </c>
      <c r="D400" s="91" t="s">
        <v>3439</v>
      </c>
      <c r="E400" s="149" t="s">
        <v>1553</v>
      </c>
      <c r="F400" s="150" t="s">
        <v>3909</v>
      </c>
      <c r="G400" s="151" t="s">
        <v>3281</v>
      </c>
      <c r="H400" s="152" t="s">
        <v>2885</v>
      </c>
      <c r="I400" s="153">
        <v>643</v>
      </c>
      <c r="J400" s="214"/>
      <c r="K400" s="215"/>
      <c r="L400" s="263"/>
      <c r="M400" s="154"/>
      <c r="N400" s="263" t="str">
        <f>B400&amp;"-"&amp;C400&amp;"-"&amp;D400&amp;"-"&amp;IF(E400="요약",1,IF(E400="기출",2,IF(E400="예상",3,IF(E400="판례",4,5))))&amp;F400</f>
        <v>제4편 소송의 종료-제10장 종국판결에 의한 종료-제02절 판결-4282.대법원 2001. 11. 13. 선고 99다32899 판결</v>
      </c>
    </row>
    <row r="401" spans="2:14" ht="14.45" customHeight="1" x14ac:dyDescent="0.2">
      <c r="B401" s="80" t="s">
        <v>2541</v>
      </c>
      <c r="C401" s="86" t="s">
        <v>2547</v>
      </c>
      <c r="D401" s="91" t="s">
        <v>3439</v>
      </c>
      <c r="E401" s="149" t="s">
        <v>1553</v>
      </c>
      <c r="F401" s="150" t="s">
        <v>3897</v>
      </c>
      <c r="G401" s="151" t="s">
        <v>3282</v>
      </c>
      <c r="H401" s="152" t="s">
        <v>2886</v>
      </c>
      <c r="I401" s="153">
        <v>514</v>
      </c>
      <c r="J401" s="214"/>
      <c r="K401" s="215"/>
      <c r="L401" s="263"/>
      <c r="M401" s="154"/>
      <c r="N401" s="263" t="str">
        <f>B401&amp;"-"&amp;C401&amp;"-"&amp;D401&amp;"-"&amp;IF(E401="요약",1,IF(E401="기출",2,IF(E401="예상",3,IF(E401="판례",4,5))))&amp;F401</f>
        <v>제4편 소송의 종료-제10장 종국판결에 의한 종료-제02절 판결-4283.대법원 1995. 12. 5. 선고 95다21808 판결</v>
      </c>
    </row>
    <row r="402" spans="2:14" ht="14.45" customHeight="1" x14ac:dyDescent="0.2">
      <c r="B402" s="80" t="s">
        <v>2541</v>
      </c>
      <c r="C402" s="86" t="s">
        <v>2547</v>
      </c>
      <c r="D402" s="91" t="s">
        <v>3439</v>
      </c>
      <c r="E402" s="149" t="s">
        <v>1553</v>
      </c>
      <c r="F402" s="150" t="s">
        <v>3901</v>
      </c>
      <c r="G402" s="151" t="s">
        <v>3283</v>
      </c>
      <c r="H402" s="152" t="s">
        <v>2887</v>
      </c>
      <c r="I402" s="153">
        <v>251</v>
      </c>
      <c r="J402" s="214"/>
      <c r="K402" s="215"/>
      <c r="L402" s="263"/>
      <c r="M402" s="154"/>
      <c r="N402" s="263" t="str">
        <f>B402&amp;"-"&amp;C402&amp;"-"&amp;D402&amp;"-"&amp;IF(E402="요약",1,IF(E402="기출",2,IF(E402="예상",3,IF(E402="판례",4,5))))&amp;F402</f>
        <v>제4편 소송의 종료-제10장 종국판결에 의한 종료-제02절 판결-4284.대법원 1995. 6. 29. 선고 94다41430 판결</v>
      </c>
    </row>
    <row r="403" spans="2:14" ht="14.45" customHeight="1" thickBot="1" x14ac:dyDescent="0.25">
      <c r="B403" s="81" t="s">
        <v>2541</v>
      </c>
      <c r="C403" s="87" t="s">
        <v>2547</v>
      </c>
      <c r="D403" s="92" t="s">
        <v>3439</v>
      </c>
      <c r="E403" s="155" t="s">
        <v>1553</v>
      </c>
      <c r="F403" s="156" t="s">
        <v>3884</v>
      </c>
      <c r="G403" s="157" t="s">
        <v>3284</v>
      </c>
      <c r="H403" s="158" t="s">
        <v>2888</v>
      </c>
      <c r="I403" s="159">
        <v>264</v>
      </c>
      <c r="J403" s="221"/>
      <c r="K403" s="220"/>
      <c r="L403" s="264"/>
      <c r="M403" s="171"/>
      <c r="N403" s="264" t="str">
        <f>B403&amp;"-"&amp;C403&amp;"-"&amp;D403&amp;"-"&amp;IF(E403="요약",1,IF(E403="기출",2,IF(E403="예상",3,IF(E403="판례",4,5))))&amp;F403</f>
        <v>제4편 소송의 종료-제10장 종국판결에 의한 종료-제02절 판결-4285.대법원 1981. 3. 24. 선고 80다2220 판결</v>
      </c>
    </row>
    <row r="404" spans="2:14" ht="14.45" customHeight="1" x14ac:dyDescent="0.2">
      <c r="B404" s="61" t="s">
        <v>2604</v>
      </c>
      <c r="C404" s="64" t="s">
        <v>2550</v>
      </c>
      <c r="D404" s="85" t="s">
        <v>3442</v>
      </c>
      <c r="E404" s="138" t="s">
        <v>7</v>
      </c>
      <c r="F404" s="139" t="s">
        <v>76</v>
      </c>
      <c r="G404" s="140" t="s">
        <v>121</v>
      </c>
      <c r="H404" s="141" t="s">
        <v>2242</v>
      </c>
      <c r="I404" s="142">
        <v>2669</v>
      </c>
      <c r="J404" s="210"/>
      <c r="K404" s="211"/>
      <c r="L404" s="259" t="s">
        <v>2594</v>
      </c>
      <c r="M404" s="170"/>
      <c r="N404" s="259" t="str">
        <f>B404&amp;"-"&amp;C404&amp;"-"&amp;D404&amp;"-"&amp;IF(E404="요약",1,IF(E404="기출",2,IF(E404="예상",3,IF(E404="판례",4,5))))&amp;F404</f>
        <v>제5편 병합소송-제11장 병합청구소송-제01절 청구의 원시적 병합-1병합소송-병합청구소송</v>
      </c>
    </row>
    <row r="405" spans="2:14" ht="14.45" customHeight="1" x14ac:dyDescent="0.2">
      <c r="B405" s="80" t="s">
        <v>2542</v>
      </c>
      <c r="C405" s="86" t="s">
        <v>2549</v>
      </c>
      <c r="D405" s="91" t="s">
        <v>3442</v>
      </c>
      <c r="E405" s="149" t="s">
        <v>2425</v>
      </c>
      <c r="F405" s="150" t="s">
        <v>185</v>
      </c>
      <c r="G405" s="151" t="s">
        <v>2500</v>
      </c>
      <c r="H405" s="152" t="s">
        <v>2501</v>
      </c>
      <c r="I405" s="153">
        <v>1546</v>
      </c>
      <c r="J405" s="214"/>
      <c r="K405" s="215"/>
      <c r="L405" s="263" t="s">
        <v>2594</v>
      </c>
      <c r="M405" s="154" t="s">
        <v>3518</v>
      </c>
      <c r="N405" s="263" t="str">
        <f>B405&amp;"-"&amp;C405&amp;"-"&amp;D405&amp;"-"&amp;IF(E405="요약",1,IF(E405="기출",2,IF(E405="예상",3,IF(E405="판례",4,5))))&amp;F405</f>
        <v>제5편 병합소송-제11장 병합청구소송-제01절 청구의 원시적 병합-22016-3</v>
      </c>
    </row>
    <row r="406" spans="2:14" ht="14.45" customHeight="1" x14ac:dyDescent="0.2">
      <c r="B406" s="80" t="s">
        <v>2542</v>
      </c>
      <c r="C406" s="86" t="s">
        <v>2549</v>
      </c>
      <c r="D406" s="91" t="s">
        <v>3442</v>
      </c>
      <c r="E406" s="149" t="s">
        <v>2425</v>
      </c>
      <c r="F406" s="150" t="s">
        <v>2325</v>
      </c>
      <c r="G406" s="151" t="s">
        <v>183</v>
      </c>
      <c r="H406" s="152" t="s">
        <v>2191</v>
      </c>
      <c r="I406" s="153">
        <v>1884</v>
      </c>
      <c r="J406" s="214"/>
      <c r="K406" s="215"/>
      <c r="L406" s="263" t="s">
        <v>2594</v>
      </c>
      <c r="M406" s="154"/>
      <c r="N406" s="263" t="str">
        <f>B406&amp;"-"&amp;C406&amp;"-"&amp;D406&amp;"-"&amp;IF(E406="요약",1,IF(E406="기출",2,IF(E406="예상",3,IF(E406="판례",4,5))))&amp;F406</f>
        <v>제5편 병합소송-제11장 병합청구소송-제01절 청구의 원시적 병합-22022-1-1</v>
      </c>
    </row>
    <row r="407" spans="2:14" ht="14.45" customHeight="1" x14ac:dyDescent="0.2">
      <c r="B407" s="80" t="s">
        <v>2542</v>
      </c>
      <c r="C407" s="86" t="s">
        <v>2549</v>
      </c>
      <c r="D407" s="91" t="s">
        <v>3442</v>
      </c>
      <c r="E407" s="149" t="s">
        <v>2425</v>
      </c>
      <c r="F407" s="150" t="s">
        <v>184</v>
      </c>
      <c r="G407" s="151" t="s">
        <v>2460</v>
      </c>
      <c r="H407" s="152" t="s">
        <v>2461</v>
      </c>
      <c r="I407" s="153">
        <v>2189</v>
      </c>
      <c r="J407" s="214"/>
      <c r="K407" s="215"/>
      <c r="L407" s="263" t="s">
        <v>2594</v>
      </c>
      <c r="M407" s="154"/>
      <c r="N407" s="263" t="str">
        <f>B407&amp;"-"&amp;C407&amp;"-"&amp;D407&amp;"-"&amp;IF(E407="요약",1,IF(E407="기출",2,IF(E407="예상",3,IF(E407="판례",4,5))))&amp;F407</f>
        <v>제5편 병합소송-제11장 병합청구소송-제01절 청구의 원시적 병합-22025-1-2</v>
      </c>
    </row>
    <row r="408" spans="2:14" ht="14.45" customHeight="1" x14ac:dyDescent="0.2">
      <c r="B408" s="80" t="s">
        <v>2542</v>
      </c>
      <c r="C408" s="86" t="s">
        <v>2549</v>
      </c>
      <c r="D408" s="91" t="s">
        <v>3442</v>
      </c>
      <c r="E408" s="149" t="s">
        <v>1553</v>
      </c>
      <c r="F408" s="150" t="s">
        <v>3943</v>
      </c>
      <c r="G408" s="151" t="s">
        <v>3285</v>
      </c>
      <c r="H408" s="152" t="s">
        <v>2889</v>
      </c>
      <c r="I408" s="153">
        <v>303</v>
      </c>
      <c r="J408" s="214"/>
      <c r="K408" s="215"/>
      <c r="L408" s="263"/>
      <c r="M408" s="154"/>
      <c r="N408" s="263" t="str">
        <f>B408&amp;"-"&amp;C408&amp;"-"&amp;D408&amp;"-"&amp;IF(E408="요약",1,IF(E408="기출",2,IF(E408="예상",3,IF(E408="판례",4,5))))&amp;F408</f>
        <v>제5편 병합소송-제11장 병합청구소송-제01절 청구의 원시적 병합-4286.대법원 2011. 8. 18. 선고 2011다30666,30673 판결</v>
      </c>
    </row>
    <row r="409" spans="2:14" ht="14.45" customHeight="1" x14ac:dyDescent="0.2">
      <c r="B409" s="80" t="s">
        <v>2542</v>
      </c>
      <c r="C409" s="86" t="s">
        <v>2549</v>
      </c>
      <c r="D409" s="91" t="s">
        <v>3442</v>
      </c>
      <c r="E409" s="149" t="s">
        <v>1553</v>
      </c>
      <c r="F409" s="150" t="s">
        <v>3933</v>
      </c>
      <c r="G409" s="151" t="s">
        <v>3286</v>
      </c>
      <c r="H409" s="152" t="s">
        <v>2890</v>
      </c>
      <c r="I409" s="153">
        <v>178</v>
      </c>
      <c r="J409" s="214"/>
      <c r="K409" s="215"/>
      <c r="L409" s="263"/>
      <c r="M409" s="154"/>
      <c r="N409" s="263" t="str">
        <f>B409&amp;"-"&amp;C409&amp;"-"&amp;D409&amp;"-"&amp;IF(E409="요약",1,IF(E409="기출",2,IF(E409="예상",3,IF(E409="판례",4,5))))&amp;F409</f>
        <v>제5편 병합소송-제11장 병합청구소송-제01절 청구의 원시적 병합-4287.대법원 1982. 7. 13. 선고 81다카1120 판결</v>
      </c>
    </row>
    <row r="410" spans="2:14" ht="14.45" customHeight="1" x14ac:dyDescent="0.2">
      <c r="B410" s="80" t="s">
        <v>2542</v>
      </c>
      <c r="C410" s="86" t="s">
        <v>2549</v>
      </c>
      <c r="D410" s="91" t="s">
        <v>3442</v>
      </c>
      <c r="E410" s="149" t="s">
        <v>1553</v>
      </c>
      <c r="F410" s="150" t="s">
        <v>3944</v>
      </c>
      <c r="G410" s="151" t="s">
        <v>3287</v>
      </c>
      <c r="H410" s="152" t="s">
        <v>2891</v>
      </c>
      <c r="I410" s="153">
        <v>351</v>
      </c>
      <c r="J410" s="214"/>
      <c r="K410" s="215"/>
      <c r="L410" s="263"/>
      <c r="M410" s="154"/>
      <c r="N410" s="263" t="str">
        <f>B410&amp;"-"&amp;C410&amp;"-"&amp;D410&amp;"-"&amp;IF(E410="요약",1,IF(E410="기출",2,IF(E410="예상",3,IF(E410="판례",4,5))))&amp;F410</f>
        <v>제5편 병합소송-제11장 병합청구소송-제01절 청구의 원시적 병합-4288.대법원 2014. 5. 29. 선고 2013다96868 판결</v>
      </c>
    </row>
    <row r="411" spans="2:14" ht="14.45" customHeight="1" x14ac:dyDescent="0.2">
      <c r="B411" s="80" t="s">
        <v>2542</v>
      </c>
      <c r="C411" s="86" t="s">
        <v>2549</v>
      </c>
      <c r="D411" s="91" t="s">
        <v>3442</v>
      </c>
      <c r="E411" s="149" t="s">
        <v>1553</v>
      </c>
      <c r="F411" s="150" t="s">
        <v>3937</v>
      </c>
      <c r="G411" s="151" t="s">
        <v>3288</v>
      </c>
      <c r="H411" s="152" t="s">
        <v>2892</v>
      </c>
      <c r="I411" s="153">
        <v>202</v>
      </c>
      <c r="J411" s="214"/>
      <c r="K411" s="215"/>
      <c r="L411" s="263"/>
      <c r="M411" s="154"/>
      <c r="N411" s="263" t="str">
        <f>B411&amp;"-"&amp;C411&amp;"-"&amp;D411&amp;"-"&amp;IF(E411="요약",1,IF(E411="기출",2,IF(E411="예상",3,IF(E411="판례",4,5))))&amp;F411</f>
        <v>제5편 병합소송-제11장 병합청구소송-제01절 청구의 원시적 병합-4289.대법원 1998. 7. 24. 선고 96다99 판결</v>
      </c>
    </row>
    <row r="412" spans="2:14" ht="14.45" customHeight="1" x14ac:dyDescent="0.2">
      <c r="B412" s="80" t="s">
        <v>2542</v>
      </c>
      <c r="C412" s="86" t="s">
        <v>2549</v>
      </c>
      <c r="D412" s="91" t="s">
        <v>3442</v>
      </c>
      <c r="E412" s="149" t="s">
        <v>1553</v>
      </c>
      <c r="F412" s="150" t="s">
        <v>3934</v>
      </c>
      <c r="G412" s="151" t="s">
        <v>3289</v>
      </c>
      <c r="H412" s="152" t="s">
        <v>2893</v>
      </c>
      <c r="I412" s="153">
        <v>295</v>
      </c>
      <c r="J412" s="214"/>
      <c r="K412" s="215"/>
      <c r="L412" s="263"/>
      <c r="M412" s="154"/>
      <c r="N412" s="263" t="str">
        <f>B412&amp;"-"&amp;C412&amp;"-"&amp;D412&amp;"-"&amp;IF(E412="요약",1,IF(E412="기출",2,IF(E412="예상",3,IF(E412="판례",4,5))))&amp;F412</f>
        <v>제5편 병합소송-제11장 병합청구소송-제01절 청구의 원시적 병합-4290.대법원 1992. 9. 14. 선고 92다7023 판결</v>
      </c>
    </row>
    <row r="413" spans="2:14" ht="14.45" customHeight="1" x14ac:dyDescent="0.2">
      <c r="B413" s="80" t="s">
        <v>2542</v>
      </c>
      <c r="C413" s="86" t="s">
        <v>2549</v>
      </c>
      <c r="D413" s="91" t="s">
        <v>3442</v>
      </c>
      <c r="E413" s="149" t="s">
        <v>1553</v>
      </c>
      <c r="F413" s="150" t="s">
        <v>3935</v>
      </c>
      <c r="G413" s="151" t="s">
        <v>3290</v>
      </c>
      <c r="H413" s="152" t="s">
        <v>2894</v>
      </c>
      <c r="I413" s="153">
        <v>237</v>
      </c>
      <c r="J413" s="214"/>
      <c r="K413" s="215"/>
      <c r="L413" s="263"/>
      <c r="M413" s="154"/>
      <c r="N413" s="263" t="str">
        <f>B413&amp;"-"&amp;C413&amp;"-"&amp;D413&amp;"-"&amp;IF(E413="요약",1,IF(E413="기출",2,IF(E413="예상",3,IF(E413="판례",4,5))))&amp;F413</f>
        <v>제5편 병합소송-제11장 병합청구소송-제01절 청구의 원시적 병합-4291.대법원 1993. 10. 26. 선고 93다6669 판결</v>
      </c>
    </row>
    <row r="414" spans="2:14" ht="14.45" customHeight="1" x14ac:dyDescent="0.2">
      <c r="B414" s="80" t="s">
        <v>2542</v>
      </c>
      <c r="C414" s="86" t="s">
        <v>2549</v>
      </c>
      <c r="D414" s="91" t="s">
        <v>3442</v>
      </c>
      <c r="E414" s="149" t="s">
        <v>1553</v>
      </c>
      <c r="F414" s="150" t="s">
        <v>3942</v>
      </c>
      <c r="G414" s="151" t="s">
        <v>3291</v>
      </c>
      <c r="H414" s="152" t="s">
        <v>2895</v>
      </c>
      <c r="I414" s="153">
        <v>320</v>
      </c>
      <c r="J414" s="214"/>
      <c r="K414" s="215"/>
      <c r="L414" s="263"/>
      <c r="M414" s="154"/>
      <c r="N414" s="263" t="str">
        <f>B414&amp;"-"&amp;C414&amp;"-"&amp;D414&amp;"-"&amp;IF(E414="요약",1,IF(E414="기출",2,IF(E414="예상",3,IF(E414="판례",4,5))))&amp;F414</f>
        <v>제5편 병합소송-제11장 병합청구소송-제01절 청구의 원시적 병합-4292.대법원 2009. 5. 28. 선고 2007다354 판결</v>
      </c>
    </row>
    <row r="415" spans="2:14" ht="14.45" customHeight="1" x14ac:dyDescent="0.2">
      <c r="B415" s="80" t="s">
        <v>2542</v>
      </c>
      <c r="C415" s="86" t="s">
        <v>2549</v>
      </c>
      <c r="D415" s="91" t="s">
        <v>3442</v>
      </c>
      <c r="E415" s="149" t="s">
        <v>1553</v>
      </c>
      <c r="F415" s="150" t="s">
        <v>3940</v>
      </c>
      <c r="G415" s="151" t="s">
        <v>3292</v>
      </c>
      <c r="H415" s="152" t="s">
        <v>2896</v>
      </c>
      <c r="I415" s="153">
        <v>332</v>
      </c>
      <c r="J415" s="214"/>
      <c r="K415" s="215"/>
      <c r="L415" s="263"/>
      <c r="M415" s="154"/>
      <c r="N415" s="263" t="str">
        <f>B415&amp;"-"&amp;C415&amp;"-"&amp;D415&amp;"-"&amp;IF(E415="요약",1,IF(E415="기출",2,IF(E415="예상",3,IF(E415="판례",4,5))))&amp;F415</f>
        <v>제5편 병합소송-제11장 병합청구소송-제01절 청구의 원시적 병합-4293.대법원 2008. 12. 11. 선고 2005다51471 판결</v>
      </c>
    </row>
    <row r="416" spans="2:14" ht="14.45" customHeight="1" x14ac:dyDescent="0.2">
      <c r="B416" s="80" t="s">
        <v>2542</v>
      </c>
      <c r="C416" s="86" t="s">
        <v>2549</v>
      </c>
      <c r="D416" s="91" t="s">
        <v>3442</v>
      </c>
      <c r="E416" s="149" t="s">
        <v>1553</v>
      </c>
      <c r="F416" s="150" t="s">
        <v>3941</v>
      </c>
      <c r="G416" s="151" t="s">
        <v>3293</v>
      </c>
      <c r="H416" s="152" t="s">
        <v>2897</v>
      </c>
      <c r="I416" s="153">
        <v>368</v>
      </c>
      <c r="J416" s="214"/>
      <c r="K416" s="215"/>
      <c r="L416" s="263"/>
      <c r="M416" s="154"/>
      <c r="N416" s="263" t="str">
        <f>B416&amp;"-"&amp;C416&amp;"-"&amp;D416&amp;"-"&amp;IF(E416="요약",1,IF(E416="기출",2,IF(E416="예상",3,IF(E416="판례",4,5))))&amp;F416</f>
        <v>제5편 병합소송-제11장 병합청구소송-제01절 청구의 원시적 병합-4294.대법원 2008. 12. 11. 선고 2006다5550 판결</v>
      </c>
    </row>
    <row r="417" spans="2:14" ht="14.45" customHeight="1" x14ac:dyDescent="0.2">
      <c r="B417" s="80" t="s">
        <v>2542</v>
      </c>
      <c r="C417" s="86" t="s">
        <v>2549</v>
      </c>
      <c r="D417" s="91" t="s">
        <v>3442</v>
      </c>
      <c r="E417" s="149" t="s">
        <v>1553</v>
      </c>
      <c r="F417" s="150" t="s">
        <v>3939</v>
      </c>
      <c r="G417" s="151" t="s">
        <v>3294</v>
      </c>
      <c r="H417" s="152" t="s">
        <v>2898</v>
      </c>
      <c r="I417" s="153">
        <v>223</v>
      </c>
      <c r="J417" s="214"/>
      <c r="K417" s="215"/>
      <c r="L417" s="263"/>
      <c r="M417" s="154"/>
      <c r="N417" s="263" t="str">
        <f>B417&amp;"-"&amp;C417&amp;"-"&amp;D417&amp;"-"&amp;IF(E417="요약",1,IF(E417="기출",2,IF(E417="예상",3,IF(E417="판례",4,5))))&amp;F417</f>
        <v>제5편 병합소송-제11장 병합청구소송-제01절 청구의 원시적 병합-4295.대법원 2002. 2. 8. 선고 2001다17633 판결</v>
      </c>
    </row>
    <row r="418" spans="2:14" ht="14.45" customHeight="1" x14ac:dyDescent="0.2">
      <c r="B418" s="80" t="s">
        <v>2542</v>
      </c>
      <c r="C418" s="86" t="s">
        <v>2549</v>
      </c>
      <c r="D418" s="91" t="s">
        <v>3442</v>
      </c>
      <c r="E418" s="149" t="s">
        <v>1553</v>
      </c>
      <c r="F418" s="150" t="s">
        <v>3936</v>
      </c>
      <c r="G418" s="151" t="s">
        <v>3295</v>
      </c>
      <c r="H418" s="152" t="s">
        <v>2899</v>
      </c>
      <c r="I418" s="153">
        <v>218</v>
      </c>
      <c r="J418" s="214"/>
      <c r="K418" s="215"/>
      <c r="L418" s="263"/>
      <c r="M418" s="154"/>
      <c r="N418" s="263" t="str">
        <f>B418&amp;"-"&amp;C418&amp;"-"&amp;D418&amp;"-"&amp;IF(E418="요약",1,IF(E418="기출",2,IF(E418="예상",3,IF(E418="판례",4,5))))&amp;F418</f>
        <v>제5편 병합소송-제11장 병합청구소송-제01절 청구의 원시적 병합-4296.대법원 1995. 7. 25. 선고 94다62017 판결</v>
      </c>
    </row>
    <row r="419" spans="2:14" ht="14.45" customHeight="1" x14ac:dyDescent="0.2">
      <c r="B419" s="80" t="s">
        <v>2542</v>
      </c>
      <c r="C419" s="86" t="s">
        <v>2549</v>
      </c>
      <c r="D419" s="91" t="s">
        <v>3442</v>
      </c>
      <c r="E419" s="149" t="s">
        <v>1553</v>
      </c>
      <c r="F419" s="150" t="s">
        <v>3938</v>
      </c>
      <c r="G419" s="151" t="s">
        <v>3296</v>
      </c>
      <c r="H419" s="152" t="s">
        <v>2900</v>
      </c>
      <c r="I419" s="153">
        <v>792</v>
      </c>
      <c r="J419" s="214"/>
      <c r="K419" s="215"/>
      <c r="L419" s="263"/>
      <c r="M419" s="154"/>
      <c r="N419" s="263" t="str">
        <f>B419&amp;"-"&amp;C419&amp;"-"&amp;D419&amp;"-"&amp;IF(E419="요약",1,IF(E419="기출",2,IF(E419="예상",3,IF(E419="판례",4,5))))&amp;F419</f>
        <v>제5편 병합소송-제11장 병합청구소송-제01절 청구의 원시적 병합-4297.대법원 2000. 11. 16. 선고 98다22253 전원합의체 판결</v>
      </c>
    </row>
    <row r="420" spans="2:14" ht="14.45" customHeight="1" x14ac:dyDescent="0.2">
      <c r="B420" s="80" t="s">
        <v>2542</v>
      </c>
      <c r="C420" s="86" t="s">
        <v>2549</v>
      </c>
      <c r="D420" s="90" t="s">
        <v>3442</v>
      </c>
      <c r="E420" s="222" t="s">
        <v>1553</v>
      </c>
      <c r="F420" s="223" t="s">
        <v>3932</v>
      </c>
      <c r="G420" s="224" t="s">
        <v>3394</v>
      </c>
      <c r="H420" s="225" t="s">
        <v>2998</v>
      </c>
      <c r="I420" s="226">
        <v>253</v>
      </c>
      <c r="J420" s="227"/>
      <c r="K420" s="228"/>
      <c r="L420" s="260" t="s">
        <v>2594</v>
      </c>
      <c r="M420" s="229" t="s">
        <v>3411</v>
      </c>
      <c r="N420" s="260" t="str">
        <f>B420&amp;"-"&amp;C420&amp;"-"&amp;D420&amp;"-"&amp;IF(E420="요약",1,IF(E420="기출",2,IF(E420="예상",3,IF(E420="판례",4,5))))&amp;F420</f>
        <v>제5편 병합소송-제11장 병합청구소송-제01절 청구의 원시적 병합-4395.대법원 1971. 3. 31. 선고 71다8 판결</v>
      </c>
    </row>
    <row r="421" spans="2:14" ht="14.45" customHeight="1" x14ac:dyDescent="0.2">
      <c r="B421" s="80" t="s">
        <v>2542</v>
      </c>
      <c r="C421" s="86" t="s">
        <v>2549</v>
      </c>
      <c r="D421" s="83" t="s">
        <v>3444</v>
      </c>
      <c r="E421" s="144" t="s">
        <v>7</v>
      </c>
      <c r="F421" s="145" t="s">
        <v>76</v>
      </c>
      <c r="G421" s="146" t="s">
        <v>122</v>
      </c>
      <c r="H421" s="147" t="s">
        <v>2243</v>
      </c>
      <c r="I421" s="148">
        <v>3748</v>
      </c>
      <c r="J421" s="212"/>
      <c r="K421" s="213"/>
      <c r="L421" s="262" t="s">
        <v>2593</v>
      </c>
      <c r="M421" s="169"/>
      <c r="N421" s="262" t="str">
        <f>B421&amp;"-"&amp;C421&amp;"-"&amp;D421&amp;"-"&amp;IF(E421="요약",1,IF(E421="기출",2,IF(E421="예상",3,IF(E421="판례",4,5))))&amp;F421</f>
        <v>제5편 병합소송-제11장 병합청구소송-제02절 청구의 후발적 병합-1병합소송-병합청구소송</v>
      </c>
    </row>
    <row r="422" spans="2:14" ht="14.45" customHeight="1" x14ac:dyDescent="0.2">
      <c r="B422" s="80" t="s">
        <v>2542</v>
      </c>
      <c r="C422" s="86" t="s">
        <v>2549</v>
      </c>
      <c r="D422" s="91" t="s">
        <v>3444</v>
      </c>
      <c r="E422" s="149" t="s">
        <v>2425</v>
      </c>
      <c r="F422" s="150" t="s">
        <v>2326</v>
      </c>
      <c r="G422" s="151" t="s">
        <v>2506</v>
      </c>
      <c r="H422" s="152" t="s">
        <v>2507</v>
      </c>
      <c r="I422" s="153">
        <v>1243</v>
      </c>
      <c r="J422" s="214"/>
      <c r="K422" s="215"/>
      <c r="L422" s="263" t="s">
        <v>2593</v>
      </c>
      <c r="M422" s="154" t="s">
        <v>3518</v>
      </c>
      <c r="N422" s="263" t="str">
        <f>B422&amp;"-"&amp;C422&amp;"-"&amp;D422&amp;"-"&amp;IF(E422="요약",1,IF(E422="기출",2,IF(E422="예상",3,IF(E422="판례",4,5))))&amp;F422</f>
        <v>제5편 병합소송-제11장 병합청구소송-제02절 청구의 후발적 병합-22012-3</v>
      </c>
    </row>
    <row r="423" spans="2:14" ht="14.45" customHeight="1" x14ac:dyDescent="0.2">
      <c r="B423" s="80" t="s">
        <v>2542</v>
      </c>
      <c r="C423" s="86" t="s">
        <v>2549</v>
      </c>
      <c r="D423" s="91" t="s">
        <v>3444</v>
      </c>
      <c r="E423" s="149" t="s">
        <v>2425</v>
      </c>
      <c r="F423" s="150" t="s">
        <v>186</v>
      </c>
      <c r="G423" s="151" t="s">
        <v>2503</v>
      </c>
      <c r="H423" s="152" t="s">
        <v>2504</v>
      </c>
      <c r="I423" s="153">
        <v>1466</v>
      </c>
      <c r="J423" s="214"/>
      <c r="K423" s="215"/>
      <c r="L423" s="263" t="s">
        <v>2593</v>
      </c>
      <c r="M423" s="154" t="s">
        <v>3518</v>
      </c>
      <c r="N423" s="263" t="str">
        <f>B423&amp;"-"&amp;C423&amp;"-"&amp;D423&amp;"-"&amp;IF(E423="요약",1,IF(E423="기출",2,IF(E423="예상",3,IF(E423="판례",4,5))))&amp;F423</f>
        <v>제5편 병합소송-제11장 병합청구소송-제02절 청구의 후발적 병합-22021-3</v>
      </c>
    </row>
    <row r="424" spans="2:14" ht="14.45" customHeight="1" x14ac:dyDescent="0.2">
      <c r="B424" s="80" t="s">
        <v>2542</v>
      </c>
      <c r="C424" s="86" t="s">
        <v>2549</v>
      </c>
      <c r="D424" s="91" t="s">
        <v>3444</v>
      </c>
      <c r="E424" s="149" t="s">
        <v>2426</v>
      </c>
      <c r="F424" s="150" t="s">
        <v>3567</v>
      </c>
      <c r="G424" s="151" t="s">
        <v>3579</v>
      </c>
      <c r="H424" s="152" t="s">
        <v>3587</v>
      </c>
      <c r="I424" s="153">
        <v>1229</v>
      </c>
      <c r="J424" s="214"/>
      <c r="K424" s="215"/>
      <c r="L424" s="263" t="s">
        <v>2593</v>
      </c>
      <c r="M424" s="154" t="s">
        <v>3518</v>
      </c>
      <c r="N424" s="263" t="str">
        <f>B424&amp;"-"&amp;C424&amp;"-"&amp;D424&amp;"-"&amp;IF(E424="요약",1,IF(E424="기출",2,IF(E424="예상",3,IF(E424="판례",4,5))))&amp;F424</f>
        <v>제5편 병합소송-제11장 병합청구소송-제02절 청구의 후발적 병합-311.02-1</v>
      </c>
    </row>
    <row r="425" spans="2:14" ht="14.45" customHeight="1" x14ac:dyDescent="0.2">
      <c r="B425" s="80" t="s">
        <v>2542</v>
      </c>
      <c r="C425" s="86" t="s">
        <v>2549</v>
      </c>
      <c r="D425" s="91" t="s">
        <v>3444</v>
      </c>
      <c r="E425" s="149" t="s">
        <v>1553</v>
      </c>
      <c r="F425" s="150" t="s">
        <v>3948</v>
      </c>
      <c r="G425" s="151" t="s">
        <v>3297</v>
      </c>
      <c r="H425" s="152" t="s">
        <v>2901</v>
      </c>
      <c r="I425" s="153">
        <v>113</v>
      </c>
      <c r="J425" s="214"/>
      <c r="K425" s="215"/>
      <c r="L425" s="263"/>
      <c r="M425" s="154"/>
      <c r="N425" s="263" t="str">
        <f>B425&amp;"-"&amp;C425&amp;"-"&amp;D425&amp;"-"&amp;IF(E425="요약",1,IF(E425="기출",2,IF(E425="예상",3,IF(E425="판례",4,5))))&amp;F425</f>
        <v>제5편 병합소송-제11장 병합청구소송-제02절 청구의 후발적 병합-4298.대법원 2008. 7. 24. 선고 2008다18376 판결</v>
      </c>
    </row>
    <row r="426" spans="2:14" ht="14.45" customHeight="1" x14ac:dyDescent="0.2">
      <c r="B426" s="80" t="s">
        <v>2542</v>
      </c>
      <c r="C426" s="86" t="s">
        <v>2549</v>
      </c>
      <c r="D426" s="91" t="s">
        <v>3444</v>
      </c>
      <c r="E426" s="149" t="s">
        <v>1553</v>
      </c>
      <c r="F426" s="150" t="s">
        <v>3946</v>
      </c>
      <c r="G426" s="151" t="s">
        <v>3298</v>
      </c>
      <c r="H426" s="152" t="s">
        <v>2902</v>
      </c>
      <c r="I426" s="153">
        <v>188</v>
      </c>
      <c r="J426" s="214"/>
      <c r="K426" s="215"/>
      <c r="L426" s="263"/>
      <c r="M426" s="154"/>
      <c r="N426" s="263" t="str">
        <f>B426&amp;"-"&amp;C426&amp;"-"&amp;D426&amp;"-"&amp;IF(E426="요약",1,IF(E426="기출",2,IF(E426="예상",3,IF(E426="판례",4,5))))&amp;F426</f>
        <v>제5편 병합소송-제11장 병합청구소송-제02절 청구의 후발적 병합-4299.대법원 1995. 1. 24. 선고 93다25875 판결</v>
      </c>
    </row>
    <row r="427" spans="2:14" ht="14.45" customHeight="1" x14ac:dyDescent="0.2">
      <c r="B427" s="80" t="s">
        <v>2542</v>
      </c>
      <c r="C427" s="86" t="s">
        <v>2549</v>
      </c>
      <c r="D427" s="91" t="s">
        <v>3444</v>
      </c>
      <c r="E427" s="149" t="s">
        <v>1553</v>
      </c>
      <c r="F427" s="150" t="s">
        <v>3945</v>
      </c>
      <c r="G427" s="151" t="s">
        <v>3299</v>
      </c>
      <c r="H427" s="152" t="s">
        <v>2903</v>
      </c>
      <c r="I427" s="153">
        <v>137</v>
      </c>
      <c r="J427" s="214"/>
      <c r="K427" s="215"/>
      <c r="L427" s="263"/>
      <c r="M427" s="154"/>
      <c r="N427" s="263" t="str">
        <f>B427&amp;"-"&amp;C427&amp;"-"&amp;D427&amp;"-"&amp;IF(E427="요약",1,IF(E427="기출",2,IF(E427="예상",3,IF(E427="판례",4,5))))&amp;F427</f>
        <v>제5편 병합소송-제11장 병합청구소송-제02절 청구의 후발적 병합-4300.대법원 1980. 11. 11. 선고 80다1182 판결</v>
      </c>
    </row>
    <row r="428" spans="2:14" ht="14.45" customHeight="1" x14ac:dyDescent="0.2">
      <c r="B428" s="80" t="s">
        <v>2542</v>
      </c>
      <c r="C428" s="86" t="s">
        <v>2549</v>
      </c>
      <c r="D428" s="91" t="s">
        <v>3444</v>
      </c>
      <c r="E428" s="149" t="s">
        <v>1553</v>
      </c>
      <c r="F428" s="150" t="s">
        <v>3949</v>
      </c>
      <c r="G428" s="151" t="s">
        <v>3300</v>
      </c>
      <c r="H428" s="152" t="s">
        <v>2904</v>
      </c>
      <c r="I428" s="153">
        <v>181</v>
      </c>
      <c r="J428" s="214"/>
      <c r="K428" s="215"/>
      <c r="L428" s="263"/>
      <c r="M428" s="154"/>
      <c r="N428" s="263" t="str">
        <f>B428&amp;"-"&amp;C428&amp;"-"&amp;D428&amp;"-"&amp;IF(E428="요약",1,IF(E428="기출",2,IF(E428="예상",3,IF(E428="판례",4,5))))&amp;F428</f>
        <v>제5편 병합소송-제11장 병합청구소송-제02절 청구의 후발적 병합-4301.대법원 2015. 5. 29. 선고 2014다235042,235059,235066 판결</v>
      </c>
    </row>
    <row r="429" spans="2:14" ht="14.45" customHeight="1" x14ac:dyDescent="0.2">
      <c r="B429" s="80" t="s">
        <v>2542</v>
      </c>
      <c r="C429" s="86" t="s">
        <v>2549</v>
      </c>
      <c r="D429" s="91" t="s">
        <v>3444</v>
      </c>
      <c r="E429" s="149" t="s">
        <v>1553</v>
      </c>
      <c r="F429" s="150" t="s">
        <v>3947</v>
      </c>
      <c r="G429" s="151" t="s">
        <v>3301</v>
      </c>
      <c r="H429" s="152" t="s">
        <v>2905</v>
      </c>
      <c r="I429" s="153">
        <v>317</v>
      </c>
      <c r="J429" s="214"/>
      <c r="K429" s="215"/>
      <c r="L429" s="263"/>
      <c r="M429" s="154"/>
      <c r="N429" s="263" t="str">
        <f>B429&amp;"-"&amp;C429&amp;"-"&amp;D429&amp;"-"&amp;IF(E429="요약",1,IF(E429="기출",2,IF(E429="예상",3,IF(E429="판례",4,5))))&amp;F429</f>
        <v>제5편 병합소송-제11장 병합청구소송-제02절 청구의 후발적 병합-4302.대법원 2006. 6. 29. 선고 2006다19061,19078 판결</v>
      </c>
    </row>
    <row r="430" spans="2:14" ht="14.45" customHeight="1" x14ac:dyDescent="0.2">
      <c r="B430" s="80" t="s">
        <v>2542</v>
      </c>
      <c r="C430" s="86" t="s">
        <v>2549</v>
      </c>
      <c r="D430" s="91" t="s">
        <v>3444</v>
      </c>
      <c r="E430" s="149" t="s">
        <v>1553</v>
      </c>
      <c r="F430" s="150" t="s">
        <v>3951</v>
      </c>
      <c r="G430" s="151" t="s">
        <v>3302</v>
      </c>
      <c r="H430" s="152" t="s">
        <v>2906</v>
      </c>
      <c r="I430" s="153">
        <v>396</v>
      </c>
      <c r="J430" s="214"/>
      <c r="K430" s="215"/>
      <c r="L430" s="263"/>
      <c r="M430" s="154"/>
      <c r="N430" s="263" t="str">
        <f>B430&amp;"-"&amp;C430&amp;"-"&amp;D430&amp;"-"&amp;IF(E430="요약",1,IF(E430="기출",2,IF(E430="예상",3,IF(E430="판례",4,5))))&amp;F430</f>
        <v>제5편 병합소송-제11장 병합청구소송-제02절 청구의 후발적 병합-4303.대법원 2021. 2. 4. 선고 2019다202795,202801 판결</v>
      </c>
    </row>
    <row r="431" spans="2:14" ht="14.45" customHeight="1" thickBot="1" x14ac:dyDescent="0.25">
      <c r="B431" s="80" t="s">
        <v>2542</v>
      </c>
      <c r="C431" s="87" t="s">
        <v>2549</v>
      </c>
      <c r="D431" s="92" t="s">
        <v>3444</v>
      </c>
      <c r="E431" s="155" t="s">
        <v>1553</v>
      </c>
      <c r="F431" s="156" t="s">
        <v>3950</v>
      </c>
      <c r="G431" s="157" t="s">
        <v>3303</v>
      </c>
      <c r="H431" s="158" t="s">
        <v>2907</v>
      </c>
      <c r="I431" s="159">
        <v>425</v>
      </c>
      <c r="J431" s="221"/>
      <c r="K431" s="220"/>
      <c r="L431" s="264"/>
      <c r="M431" s="171"/>
      <c r="N431" s="264" t="str">
        <f>B431&amp;"-"&amp;C431&amp;"-"&amp;D431&amp;"-"&amp;IF(E431="요약",1,IF(E431="기출",2,IF(E431="예상",3,IF(E431="판례",4,5))))&amp;F431</f>
        <v>제5편 병합소송-제11장 병합청구소송-제02절 청구의 후발적 병합-4304.대법원 2019. 3. 14. 선고 2018다277785,277792 판결</v>
      </c>
    </row>
    <row r="432" spans="2:14" ht="14.45" customHeight="1" x14ac:dyDescent="0.2">
      <c r="B432" s="80" t="s">
        <v>2542</v>
      </c>
      <c r="C432" s="64" t="s">
        <v>2552</v>
      </c>
      <c r="D432" s="85" t="s">
        <v>3443</v>
      </c>
      <c r="E432" s="138" t="s">
        <v>7</v>
      </c>
      <c r="F432" s="139" t="s">
        <v>77</v>
      </c>
      <c r="G432" s="140" t="s">
        <v>123</v>
      </c>
      <c r="H432" s="141" t="s">
        <v>2244</v>
      </c>
      <c r="I432" s="142">
        <v>3839</v>
      </c>
      <c r="J432" s="210"/>
      <c r="K432" s="211"/>
      <c r="L432" s="259" t="s">
        <v>2593</v>
      </c>
      <c r="M432" s="170"/>
      <c r="N432" s="259" t="str">
        <f>B432&amp;"-"&amp;C432&amp;"-"&amp;D432&amp;"-"&amp;IF(E432="요약",1,IF(E432="기출",2,IF(E432="예상",3,IF(E432="판례",4,5))))&amp;F432</f>
        <v>제5편 병합소송-제12장 다수당사자소송-제01절 공동소송-1병합소송-다수당사자소송</v>
      </c>
    </row>
    <row r="433" spans="2:14" ht="14.45" customHeight="1" x14ac:dyDescent="0.2">
      <c r="B433" s="80" t="s">
        <v>2542</v>
      </c>
      <c r="C433" s="86" t="s">
        <v>2551</v>
      </c>
      <c r="D433" s="91" t="s">
        <v>3443</v>
      </c>
      <c r="E433" s="149" t="s">
        <v>2425</v>
      </c>
      <c r="F433" s="150" t="s">
        <v>198</v>
      </c>
      <c r="G433" s="151" t="s">
        <v>192</v>
      </c>
      <c r="H433" s="152" t="s">
        <v>2197</v>
      </c>
      <c r="I433" s="153">
        <v>1510</v>
      </c>
      <c r="J433" s="214"/>
      <c r="K433" s="215"/>
      <c r="L433" s="263" t="s">
        <v>2593</v>
      </c>
      <c r="M433" s="154" t="s">
        <v>3518</v>
      </c>
      <c r="N433" s="263" t="str">
        <f>B433&amp;"-"&amp;C433&amp;"-"&amp;D433&amp;"-"&amp;IF(E433="요약",1,IF(E433="기출",2,IF(E433="예상",3,IF(E433="판례",4,5))))&amp;F433</f>
        <v>제5편 병합소송-제12장 다수당사자소송-제01절 공동소송-22010-2-2</v>
      </c>
    </row>
    <row r="434" spans="2:14" ht="14.45" customHeight="1" x14ac:dyDescent="0.2">
      <c r="B434" s="80" t="s">
        <v>2542</v>
      </c>
      <c r="C434" s="86" t="s">
        <v>2551</v>
      </c>
      <c r="D434" s="91" t="s">
        <v>3443</v>
      </c>
      <c r="E434" s="149" t="s">
        <v>2425</v>
      </c>
      <c r="F434" s="150" t="s">
        <v>158</v>
      </c>
      <c r="G434" s="151" t="s">
        <v>2439</v>
      </c>
      <c r="H434" s="152" t="s">
        <v>2438</v>
      </c>
      <c r="I434" s="153">
        <v>1858</v>
      </c>
      <c r="J434" s="214"/>
      <c r="K434" s="215"/>
      <c r="L434" s="263" t="s">
        <v>2593</v>
      </c>
      <c r="M434" s="154" t="s">
        <v>3506</v>
      </c>
      <c r="N434" s="263" t="str">
        <f>B434&amp;"-"&amp;C434&amp;"-"&amp;D434&amp;"-"&amp;IF(E434="요약",1,IF(E434="기출",2,IF(E434="예상",3,IF(E434="판례",4,5))))&amp;F434</f>
        <v>제5편 병합소송-제12장 다수당사자소송-제01절 공동소송-22013-1-1</v>
      </c>
    </row>
    <row r="435" spans="2:14" ht="14.45" customHeight="1" x14ac:dyDescent="0.2">
      <c r="B435" s="80" t="s">
        <v>2542</v>
      </c>
      <c r="C435" s="86" t="s">
        <v>2551</v>
      </c>
      <c r="D435" s="91" t="s">
        <v>3443</v>
      </c>
      <c r="E435" s="149" t="s">
        <v>2425</v>
      </c>
      <c r="F435" s="150" t="s">
        <v>197</v>
      </c>
      <c r="G435" s="151" t="s">
        <v>191</v>
      </c>
      <c r="H435" s="152" t="s">
        <v>2196</v>
      </c>
      <c r="I435" s="153">
        <v>1618</v>
      </c>
      <c r="J435" s="214"/>
      <c r="K435" s="215"/>
      <c r="L435" s="263" t="s">
        <v>2593</v>
      </c>
      <c r="M435" s="154"/>
      <c r="N435" s="263" t="str">
        <f>B435&amp;"-"&amp;C435&amp;"-"&amp;D435&amp;"-"&amp;IF(E435="요약",1,IF(E435="기출",2,IF(E435="예상",3,IF(E435="판례",4,5))))&amp;F435</f>
        <v>제5편 병합소송-제12장 다수당사자소송-제01절 공동소송-22013-1-2</v>
      </c>
    </row>
    <row r="436" spans="2:14" ht="14.45" customHeight="1" x14ac:dyDescent="0.2">
      <c r="B436" s="80" t="s">
        <v>2542</v>
      </c>
      <c r="C436" s="86" t="s">
        <v>2551</v>
      </c>
      <c r="D436" s="91" t="s">
        <v>3443</v>
      </c>
      <c r="E436" s="149" t="s">
        <v>2425</v>
      </c>
      <c r="F436" s="150" t="s">
        <v>196</v>
      </c>
      <c r="G436" s="151" t="s">
        <v>190</v>
      </c>
      <c r="H436" s="152" t="s">
        <v>2195</v>
      </c>
      <c r="I436" s="153">
        <v>1949</v>
      </c>
      <c r="J436" s="214"/>
      <c r="K436" s="215"/>
      <c r="L436" s="263" t="s">
        <v>2593</v>
      </c>
      <c r="M436" s="154"/>
      <c r="N436" s="263" t="str">
        <f>B436&amp;"-"&amp;C436&amp;"-"&amp;D436&amp;"-"&amp;IF(E436="요약",1,IF(E436="기출",2,IF(E436="예상",3,IF(E436="판례",4,5))))&amp;F436</f>
        <v>제5편 병합소송-제12장 다수당사자소송-제01절 공동소송-22015-1-1</v>
      </c>
    </row>
    <row r="437" spans="2:14" ht="14.45" customHeight="1" x14ac:dyDescent="0.2">
      <c r="B437" s="80" t="s">
        <v>2542</v>
      </c>
      <c r="C437" s="86" t="s">
        <v>2551</v>
      </c>
      <c r="D437" s="91" t="s">
        <v>3443</v>
      </c>
      <c r="E437" s="149" t="s">
        <v>2425</v>
      </c>
      <c r="F437" s="150" t="s">
        <v>195</v>
      </c>
      <c r="G437" s="151" t="s">
        <v>189</v>
      </c>
      <c r="H437" s="152" t="s">
        <v>2194</v>
      </c>
      <c r="I437" s="153">
        <v>1696</v>
      </c>
      <c r="J437" s="214"/>
      <c r="K437" s="215"/>
      <c r="L437" s="263" t="s">
        <v>2593</v>
      </c>
      <c r="M437" s="154" t="s">
        <v>3518</v>
      </c>
      <c r="N437" s="263" t="str">
        <f>B437&amp;"-"&amp;C437&amp;"-"&amp;D437&amp;"-"&amp;IF(E437="요약",1,IF(E437="기출",2,IF(E437="예상",3,IF(E437="판례",4,5))))&amp;F437</f>
        <v>제5편 병합소송-제12장 다수당사자소송-제01절 공동소송-22020-3</v>
      </c>
    </row>
    <row r="438" spans="2:14" ht="14.45" customHeight="1" x14ac:dyDescent="0.2">
      <c r="B438" s="80" t="s">
        <v>2542</v>
      </c>
      <c r="C438" s="86" t="s">
        <v>2551</v>
      </c>
      <c r="D438" s="91" t="s">
        <v>3443</v>
      </c>
      <c r="E438" s="149" t="s">
        <v>2425</v>
      </c>
      <c r="F438" s="150" t="s">
        <v>194</v>
      </c>
      <c r="G438" s="151" t="s">
        <v>188</v>
      </c>
      <c r="H438" s="152" t="s">
        <v>2193</v>
      </c>
      <c r="I438" s="153">
        <v>1790</v>
      </c>
      <c r="J438" s="214"/>
      <c r="K438" s="215"/>
      <c r="L438" s="263" t="s">
        <v>2593</v>
      </c>
      <c r="M438" s="154"/>
      <c r="N438" s="263" t="str">
        <f>B438&amp;"-"&amp;C438&amp;"-"&amp;D438&amp;"-"&amp;IF(E438="요약",1,IF(E438="기출",2,IF(E438="예상",3,IF(E438="판례",4,5))))&amp;F438</f>
        <v>제5편 병합소송-제12장 다수당사자소송-제01절 공동소송-22021-1-2</v>
      </c>
    </row>
    <row r="439" spans="2:14" ht="14.45" customHeight="1" x14ac:dyDescent="0.2">
      <c r="B439" s="80" t="s">
        <v>2542</v>
      </c>
      <c r="C439" s="86" t="s">
        <v>2551</v>
      </c>
      <c r="D439" s="91" t="s">
        <v>3443</v>
      </c>
      <c r="E439" s="149" t="s">
        <v>2425</v>
      </c>
      <c r="F439" s="150" t="s">
        <v>2327</v>
      </c>
      <c r="G439" s="151" t="s">
        <v>187</v>
      </c>
      <c r="H439" s="152" t="s">
        <v>2192</v>
      </c>
      <c r="I439" s="153">
        <v>1619</v>
      </c>
      <c r="J439" s="214"/>
      <c r="K439" s="215"/>
      <c r="L439" s="263" t="s">
        <v>2593</v>
      </c>
      <c r="M439" s="154"/>
      <c r="N439" s="263" t="str">
        <f>B439&amp;"-"&amp;C439&amp;"-"&amp;D439&amp;"-"&amp;IF(E439="요약",1,IF(E439="기출",2,IF(E439="예상",3,IF(E439="판례",4,5))))&amp;F439</f>
        <v>제5편 병합소송-제12장 다수당사자소송-제01절 공동소송-22022-1-2</v>
      </c>
    </row>
    <row r="440" spans="2:14" ht="14.45" customHeight="1" x14ac:dyDescent="0.2">
      <c r="B440" s="80" t="s">
        <v>2542</v>
      </c>
      <c r="C440" s="86" t="s">
        <v>2551</v>
      </c>
      <c r="D440" s="91" t="s">
        <v>3443</v>
      </c>
      <c r="E440" s="149" t="s">
        <v>2425</v>
      </c>
      <c r="F440" s="150" t="s">
        <v>193</v>
      </c>
      <c r="G440" s="151" t="s">
        <v>2363</v>
      </c>
      <c r="H440" s="152" t="s">
        <v>2365</v>
      </c>
      <c r="I440" s="153">
        <v>1364</v>
      </c>
      <c r="J440" s="214"/>
      <c r="K440" s="215"/>
      <c r="L440" s="263" t="s">
        <v>2594</v>
      </c>
      <c r="M440" s="154"/>
      <c r="N440" s="263" t="str">
        <f>B440&amp;"-"&amp;C440&amp;"-"&amp;D440&amp;"-"&amp;IF(E440="요약",1,IF(E440="기출",2,IF(E440="예상",3,IF(E440="판례",4,5))))&amp;F440</f>
        <v>제5편 병합소송-제12장 다수당사자소송-제01절 공동소송-22024-1-1</v>
      </c>
    </row>
    <row r="441" spans="2:14" ht="14.45" customHeight="1" x14ac:dyDescent="0.2">
      <c r="B441" s="80" t="s">
        <v>2542</v>
      </c>
      <c r="C441" s="86" t="s">
        <v>2551</v>
      </c>
      <c r="D441" s="91" t="s">
        <v>3443</v>
      </c>
      <c r="E441" s="149" t="s">
        <v>2426</v>
      </c>
      <c r="F441" s="150" t="s">
        <v>2336</v>
      </c>
      <c r="G441" s="151" t="s">
        <v>2384</v>
      </c>
      <c r="H441" s="152" t="s">
        <v>2305</v>
      </c>
      <c r="I441" s="153">
        <v>1988</v>
      </c>
      <c r="J441" s="214"/>
      <c r="K441" s="215"/>
      <c r="L441" s="263" t="s">
        <v>2593</v>
      </c>
      <c r="M441" s="154"/>
      <c r="N441" s="263" t="str">
        <f>B441&amp;"-"&amp;C441&amp;"-"&amp;D441&amp;"-"&amp;IF(E441="요약",1,IF(E441="기출",2,IF(E441="예상",3,IF(E441="판례",4,5))))&amp;F441</f>
        <v>제5편 병합소송-제12장 다수당사자소송-제01절 공동소송-312.01-1</v>
      </c>
    </row>
    <row r="442" spans="2:14" ht="14.45" customHeight="1" x14ac:dyDescent="0.2">
      <c r="B442" s="80" t="s">
        <v>2542</v>
      </c>
      <c r="C442" s="86" t="s">
        <v>2551</v>
      </c>
      <c r="D442" s="91" t="s">
        <v>3443</v>
      </c>
      <c r="E442" s="149" t="s">
        <v>2426</v>
      </c>
      <c r="F442" s="150" t="s">
        <v>3568</v>
      </c>
      <c r="G442" s="151" t="s">
        <v>3580</v>
      </c>
      <c r="H442" s="152" t="s">
        <v>3588</v>
      </c>
      <c r="I442" s="153">
        <v>1554</v>
      </c>
      <c r="J442" s="214"/>
      <c r="K442" s="215"/>
      <c r="L442" s="263" t="s">
        <v>2593</v>
      </c>
      <c r="M442" s="154" t="s">
        <v>3518</v>
      </c>
      <c r="N442" s="263" t="str">
        <f>B442&amp;"-"&amp;C442&amp;"-"&amp;D442&amp;"-"&amp;IF(E442="요약",1,IF(E442="기출",2,IF(E442="예상",3,IF(E442="판례",4,5))))&amp;F442</f>
        <v>제5편 병합소송-제12장 다수당사자소송-제01절 공동소송-312.01-2</v>
      </c>
    </row>
    <row r="443" spans="2:14" ht="14.45" customHeight="1" x14ac:dyDescent="0.2">
      <c r="B443" s="80" t="s">
        <v>2542</v>
      </c>
      <c r="C443" s="86" t="s">
        <v>2551</v>
      </c>
      <c r="D443" s="91" t="s">
        <v>3443</v>
      </c>
      <c r="E443" s="149" t="s">
        <v>1553</v>
      </c>
      <c r="F443" s="150" t="s">
        <v>3962</v>
      </c>
      <c r="G443" s="151" t="s">
        <v>3304</v>
      </c>
      <c r="H443" s="152" t="s">
        <v>2908</v>
      </c>
      <c r="I443" s="153">
        <v>305</v>
      </c>
      <c r="J443" s="214"/>
      <c r="K443" s="215"/>
      <c r="L443" s="263"/>
      <c r="M443" s="154"/>
      <c r="N443" s="263" t="str">
        <f>B443&amp;"-"&amp;C443&amp;"-"&amp;D443&amp;"-"&amp;IF(E443="요약",1,IF(E443="기출",2,IF(E443="예상",3,IF(E443="판례",4,5))))&amp;F443</f>
        <v>제5편 병합소송-제12장 다수당사자소송-제01절 공동소송-4305.대법원 2008. 6. 12. 선고 2007다36445 판결</v>
      </c>
    </row>
    <row r="444" spans="2:14" ht="14.45" customHeight="1" x14ac:dyDescent="0.2">
      <c r="B444" s="80" t="s">
        <v>2542</v>
      </c>
      <c r="C444" s="86" t="s">
        <v>2551</v>
      </c>
      <c r="D444" s="91" t="s">
        <v>3443</v>
      </c>
      <c r="E444" s="149" t="s">
        <v>1553</v>
      </c>
      <c r="F444" s="150" t="s">
        <v>3955</v>
      </c>
      <c r="G444" s="151" t="s">
        <v>3305</v>
      </c>
      <c r="H444" s="152" t="s">
        <v>2909</v>
      </c>
      <c r="I444" s="153">
        <v>144</v>
      </c>
      <c r="J444" s="214"/>
      <c r="K444" s="215"/>
      <c r="L444" s="263"/>
      <c r="M444" s="154"/>
      <c r="N444" s="263" t="str">
        <f>B444&amp;"-"&amp;C444&amp;"-"&amp;D444&amp;"-"&amp;IF(E444="요약",1,IF(E444="기출",2,IF(E444="예상",3,IF(E444="판례",4,5))))&amp;F444</f>
        <v>제5편 병합소송-제12장 다수당사자소송-제01절 공동소송-4306.대법원 1994. 5. 10. 선고 93다47196 판결</v>
      </c>
    </row>
    <row r="445" spans="2:14" ht="14.45" customHeight="1" x14ac:dyDescent="0.2">
      <c r="B445" s="80" t="s">
        <v>2542</v>
      </c>
      <c r="C445" s="86" t="s">
        <v>2551</v>
      </c>
      <c r="D445" s="91" t="s">
        <v>3443</v>
      </c>
      <c r="E445" s="149" t="s">
        <v>1553</v>
      </c>
      <c r="F445" s="150" t="s">
        <v>3963</v>
      </c>
      <c r="G445" s="151" t="s">
        <v>3306</v>
      </c>
      <c r="H445" s="152" t="s">
        <v>2910</v>
      </c>
      <c r="I445" s="153">
        <v>367</v>
      </c>
      <c r="J445" s="214"/>
      <c r="K445" s="215"/>
      <c r="L445" s="263"/>
      <c r="M445" s="154"/>
      <c r="N445" s="263" t="str">
        <f>B445&amp;"-"&amp;C445&amp;"-"&amp;D445&amp;"-"&amp;IF(E445="요약",1,IF(E445="기출",2,IF(E445="예상",3,IF(E445="판례",4,5))))&amp;F445</f>
        <v>제5편 병합소송-제12장 다수당사자소송-제01절 공동소송-4307.대법원 2011. 6. 24. 선고 2011다1323 판결</v>
      </c>
    </row>
    <row r="446" spans="2:14" ht="14.45" customHeight="1" x14ac:dyDescent="0.2">
      <c r="B446" s="80" t="s">
        <v>2542</v>
      </c>
      <c r="C446" s="86" t="s">
        <v>2551</v>
      </c>
      <c r="D446" s="91" t="s">
        <v>3443</v>
      </c>
      <c r="E446" s="149" t="s">
        <v>1553</v>
      </c>
      <c r="F446" s="150" t="s">
        <v>3965</v>
      </c>
      <c r="G446" s="151" t="s">
        <v>3307</v>
      </c>
      <c r="H446" s="152" t="s">
        <v>2911</v>
      </c>
      <c r="I446" s="153">
        <v>499</v>
      </c>
      <c r="J446" s="214"/>
      <c r="K446" s="215"/>
      <c r="L446" s="263"/>
      <c r="M446" s="154"/>
      <c r="N446" s="263" t="str">
        <f>B446&amp;"-"&amp;C446&amp;"-"&amp;D446&amp;"-"&amp;IF(E446="요약",1,IF(E446="기출",2,IF(E446="예상",3,IF(E446="판례",4,5))))&amp;F446</f>
        <v>제5편 병합소송-제12장 다수당사자소송-제01절 공동소송-4308.대법원 2012. 2. 16. 선고 2010다82530 전원합의체 판결</v>
      </c>
    </row>
    <row r="447" spans="2:14" ht="14.45" customHeight="1" x14ac:dyDescent="0.2">
      <c r="B447" s="80" t="s">
        <v>2542</v>
      </c>
      <c r="C447" s="86" t="s">
        <v>2551</v>
      </c>
      <c r="D447" s="91" t="s">
        <v>3443</v>
      </c>
      <c r="E447" s="149" t="s">
        <v>1553</v>
      </c>
      <c r="F447" s="150" t="s">
        <v>3953</v>
      </c>
      <c r="G447" s="151" t="s">
        <v>3308</v>
      </c>
      <c r="H447" s="152" t="s">
        <v>2912</v>
      </c>
      <c r="I447" s="153">
        <v>211</v>
      </c>
      <c r="J447" s="214"/>
      <c r="K447" s="215"/>
      <c r="L447" s="263"/>
      <c r="M447" s="154"/>
      <c r="N447" s="263" t="str">
        <f>B447&amp;"-"&amp;C447&amp;"-"&amp;D447&amp;"-"&amp;IF(E447="요약",1,IF(E447="기출",2,IF(E447="예상",3,IF(E447="판례",4,5))))&amp;F447</f>
        <v>제5편 병합소송-제12장 다수당사자소송-제01절 공동소송-4309.대법원 1994. 10. 25. 선고 93다54064 판결</v>
      </c>
    </row>
    <row r="448" spans="2:14" ht="14.45" customHeight="1" x14ac:dyDescent="0.2">
      <c r="B448" s="80" t="s">
        <v>2542</v>
      </c>
      <c r="C448" s="86" t="s">
        <v>2551</v>
      </c>
      <c r="D448" s="91" t="s">
        <v>3443</v>
      </c>
      <c r="E448" s="149" t="s">
        <v>1553</v>
      </c>
      <c r="F448" s="150" t="s">
        <v>3961</v>
      </c>
      <c r="G448" s="151" t="s">
        <v>3309</v>
      </c>
      <c r="H448" s="152" t="s">
        <v>2913</v>
      </c>
      <c r="I448" s="153">
        <v>340</v>
      </c>
      <c r="J448" s="214"/>
      <c r="K448" s="215"/>
      <c r="L448" s="263"/>
      <c r="M448" s="154"/>
      <c r="N448" s="263" t="str">
        <f>B448&amp;"-"&amp;C448&amp;"-"&amp;D448&amp;"-"&amp;IF(E448="요약",1,IF(E448="기출",2,IF(E448="예상",3,IF(E448="판례",4,5))))&amp;F448</f>
        <v>제5편 병합소송-제12장 다수당사자소송-제01절 공동소송-4310.대법원 2008. 10. 9. 선고 2005다72430 판결</v>
      </c>
    </row>
    <row r="449" spans="2:14" ht="14.45" customHeight="1" x14ac:dyDescent="0.2">
      <c r="B449" s="80" t="s">
        <v>2542</v>
      </c>
      <c r="C449" s="86" t="s">
        <v>2551</v>
      </c>
      <c r="D449" s="91" t="s">
        <v>3443</v>
      </c>
      <c r="E449" s="149" t="s">
        <v>1553</v>
      </c>
      <c r="F449" s="150" t="s">
        <v>3958</v>
      </c>
      <c r="G449" s="151" t="s">
        <v>3310</v>
      </c>
      <c r="H449" s="152" t="s">
        <v>2914</v>
      </c>
      <c r="I449" s="153">
        <v>332</v>
      </c>
      <c r="J449" s="214"/>
      <c r="K449" s="215"/>
      <c r="L449" s="263"/>
      <c r="M449" s="154"/>
      <c r="N449" s="263" t="str">
        <f>B449&amp;"-"&amp;C449&amp;"-"&amp;D449&amp;"-"&amp;IF(E449="요약",1,IF(E449="기출",2,IF(E449="예상",3,IF(E449="판례",4,5))))&amp;F449</f>
        <v>제5편 병합소송-제12장 다수당사자소송-제01절 공동소송-4311.대법원 2005. 9. 15. 선고 2004다44971 전원합의체 판결</v>
      </c>
    </row>
    <row r="450" spans="2:14" ht="14.45" customHeight="1" x14ac:dyDescent="0.2">
      <c r="B450" s="80" t="s">
        <v>2542</v>
      </c>
      <c r="C450" s="86" t="s">
        <v>2551</v>
      </c>
      <c r="D450" s="91" t="s">
        <v>3443</v>
      </c>
      <c r="E450" s="149" t="s">
        <v>1553</v>
      </c>
      <c r="F450" s="150" t="s">
        <v>3954</v>
      </c>
      <c r="G450" s="151" t="s">
        <v>3311</v>
      </c>
      <c r="H450" s="152" t="s">
        <v>2915</v>
      </c>
      <c r="I450" s="153">
        <v>197</v>
      </c>
      <c r="J450" s="214"/>
      <c r="K450" s="215"/>
      <c r="L450" s="263"/>
      <c r="M450" s="154"/>
      <c r="N450" s="263" t="str">
        <f>B450&amp;"-"&amp;C450&amp;"-"&amp;D450&amp;"-"&amp;IF(E450="요약",1,IF(E450="기출",2,IF(E450="예상",3,IF(E450="판례",4,5))))&amp;F450</f>
        <v>제5편 병합소송-제12장 다수당사자소송-제01절 공동소송-4312.대법원 1994. 12. 27. 선고 93다32880,32897 판결</v>
      </c>
    </row>
    <row r="451" spans="2:14" ht="14.45" customHeight="1" x14ac:dyDescent="0.2">
      <c r="B451" s="80" t="s">
        <v>2542</v>
      </c>
      <c r="C451" s="86" t="s">
        <v>2551</v>
      </c>
      <c r="D451" s="91" t="s">
        <v>3443</v>
      </c>
      <c r="E451" s="149" t="s">
        <v>1553</v>
      </c>
      <c r="F451" s="150" t="s">
        <v>3970</v>
      </c>
      <c r="G451" s="151" t="s">
        <v>3312</v>
      </c>
      <c r="H451" s="152" t="s">
        <v>2916</v>
      </c>
      <c r="I451" s="153">
        <v>501</v>
      </c>
      <c r="J451" s="214"/>
      <c r="K451" s="215"/>
      <c r="L451" s="263"/>
      <c r="M451" s="154"/>
      <c r="N451" s="263" t="str">
        <f>B451&amp;"-"&amp;C451&amp;"-"&amp;D451&amp;"-"&amp;IF(E451="요약",1,IF(E451="기출",2,IF(E451="예상",3,IF(E451="판례",4,5))))&amp;F451</f>
        <v>제5편 병합소송-제12장 다수당사자소송-제01절 공동소송-4313.대법원 2021. 7. 22. 선고 2020다284977 전원합의체 판결</v>
      </c>
    </row>
    <row r="452" spans="2:14" ht="14.45" customHeight="1" x14ac:dyDescent="0.2">
      <c r="B452" s="80" t="s">
        <v>2542</v>
      </c>
      <c r="C452" s="86" t="s">
        <v>2551</v>
      </c>
      <c r="D452" s="91" t="s">
        <v>3443</v>
      </c>
      <c r="E452" s="149" t="s">
        <v>1553</v>
      </c>
      <c r="F452" s="150" t="s">
        <v>3957</v>
      </c>
      <c r="G452" s="151" t="s">
        <v>3313</v>
      </c>
      <c r="H452" s="152" t="s">
        <v>2917</v>
      </c>
      <c r="I452" s="153">
        <v>260</v>
      </c>
      <c r="J452" s="214"/>
      <c r="K452" s="215"/>
      <c r="L452" s="263"/>
      <c r="M452" s="154"/>
      <c r="N452" s="263" t="str">
        <f>B452&amp;"-"&amp;C452&amp;"-"&amp;D452&amp;"-"&amp;IF(E452="요약",1,IF(E452="기출",2,IF(E452="예상",3,IF(E452="판례",4,5))))&amp;F452</f>
        <v>제5편 병합소송-제12장 다수당사자소송-제01절 공동소송-4314.대법원 2003. 12. 12. 선고 2003다44615,44622 판결</v>
      </c>
    </row>
    <row r="453" spans="2:14" ht="14.45" customHeight="1" x14ac:dyDescent="0.2">
      <c r="B453" s="80" t="s">
        <v>2542</v>
      </c>
      <c r="C453" s="86" t="s">
        <v>2551</v>
      </c>
      <c r="D453" s="91" t="s">
        <v>3443</v>
      </c>
      <c r="E453" s="149" t="s">
        <v>1553</v>
      </c>
      <c r="F453" s="150" t="s">
        <v>3960</v>
      </c>
      <c r="G453" s="151" t="s">
        <v>3314</v>
      </c>
      <c r="H453" s="152" t="s">
        <v>2918</v>
      </c>
      <c r="I453" s="153">
        <v>237</v>
      </c>
      <c r="J453" s="214"/>
      <c r="K453" s="215"/>
      <c r="L453" s="263"/>
      <c r="M453" s="154"/>
      <c r="N453" s="263" t="str">
        <f>B453&amp;"-"&amp;C453&amp;"-"&amp;D453&amp;"-"&amp;IF(E453="요약",1,IF(E453="기출",2,IF(E453="예상",3,IF(E453="판례",4,5))))&amp;F453</f>
        <v>제5편 병합소송-제12장 다수당사자소송-제01절 공동소송-4315.대법원 2007. 8. 24. 선고 2006다40980 판결</v>
      </c>
    </row>
    <row r="454" spans="2:14" ht="14.45" customHeight="1" x14ac:dyDescent="0.2">
      <c r="B454" s="80" t="s">
        <v>2542</v>
      </c>
      <c r="C454" s="86" t="s">
        <v>2551</v>
      </c>
      <c r="D454" s="91" t="s">
        <v>3443</v>
      </c>
      <c r="E454" s="149" t="s">
        <v>1553</v>
      </c>
      <c r="F454" s="150" t="s">
        <v>3952</v>
      </c>
      <c r="G454" s="151" t="s">
        <v>3315</v>
      </c>
      <c r="H454" s="152" t="s">
        <v>2919</v>
      </c>
      <c r="I454" s="153">
        <v>342</v>
      </c>
      <c r="J454" s="214"/>
      <c r="K454" s="215"/>
      <c r="L454" s="263"/>
      <c r="M454" s="154"/>
      <c r="N454" s="263" t="str">
        <f>B454&amp;"-"&amp;C454&amp;"-"&amp;D454&amp;"-"&amp;IF(E454="요약",1,IF(E454="기출",2,IF(E454="예상",3,IF(E454="판례",4,5))))&amp;F454</f>
        <v>제5편 병합소송-제12장 다수당사자소송-제01절 공동소송-4316.대법원 1991. 12. 27. 선고 91다23486 판결</v>
      </c>
    </row>
    <row r="455" spans="2:14" ht="14.45" customHeight="1" x14ac:dyDescent="0.2">
      <c r="B455" s="80" t="s">
        <v>2542</v>
      </c>
      <c r="C455" s="86" t="s">
        <v>2551</v>
      </c>
      <c r="D455" s="91" t="s">
        <v>3443</v>
      </c>
      <c r="E455" s="149" t="s">
        <v>1553</v>
      </c>
      <c r="F455" s="150" t="s">
        <v>3964</v>
      </c>
      <c r="G455" s="151" t="s">
        <v>3316</v>
      </c>
      <c r="H455" s="152" t="s">
        <v>2920</v>
      </c>
      <c r="I455" s="153">
        <v>274</v>
      </c>
      <c r="J455" s="214"/>
      <c r="K455" s="215"/>
      <c r="L455" s="263"/>
      <c r="M455" s="154"/>
      <c r="N455" s="263" t="str">
        <f>B455&amp;"-"&amp;C455&amp;"-"&amp;D455&amp;"-"&amp;IF(E455="요약",1,IF(E455="기출",2,IF(E455="예상",3,IF(E455="판례",4,5))))&amp;F455</f>
        <v>제5편 병합소송-제12장 다수당사자소송-제01절 공동소송-4317.대법원 2011. 9. 29. 선고 2009다7076 판결</v>
      </c>
    </row>
    <row r="456" spans="2:14" ht="14.45" customHeight="1" x14ac:dyDescent="0.2">
      <c r="B456" s="80" t="s">
        <v>2542</v>
      </c>
      <c r="C456" s="86" t="s">
        <v>2551</v>
      </c>
      <c r="D456" s="91" t="s">
        <v>3443</v>
      </c>
      <c r="E456" s="149" t="s">
        <v>1553</v>
      </c>
      <c r="F456" s="150" t="s">
        <v>3959</v>
      </c>
      <c r="G456" s="151" t="s">
        <v>3317</v>
      </c>
      <c r="H456" s="152" t="s">
        <v>2921</v>
      </c>
      <c r="I456" s="153">
        <v>424</v>
      </c>
      <c r="J456" s="214"/>
      <c r="K456" s="215"/>
      <c r="L456" s="263"/>
      <c r="M456" s="154"/>
      <c r="N456" s="263" t="str">
        <f>B456&amp;"-"&amp;C456&amp;"-"&amp;D456&amp;"-"&amp;IF(E456="요약",1,IF(E456="기출",2,IF(E456="예상",3,IF(E456="판례",4,5))))&amp;F456</f>
        <v>제5편 병합소송-제12장 다수당사자소송-제01절 공동소송-4318.대법원 2007. 6. 26.자 2007마515 결정</v>
      </c>
    </row>
    <row r="457" spans="2:14" ht="14.45" customHeight="1" x14ac:dyDescent="0.2">
      <c r="B457" s="80" t="s">
        <v>2542</v>
      </c>
      <c r="C457" s="86" t="s">
        <v>2551</v>
      </c>
      <c r="D457" s="91" t="s">
        <v>3443</v>
      </c>
      <c r="E457" s="149" t="s">
        <v>1553</v>
      </c>
      <c r="F457" s="150" t="s">
        <v>3966</v>
      </c>
      <c r="G457" s="151" t="s">
        <v>3318</v>
      </c>
      <c r="H457" s="152" t="s">
        <v>2922</v>
      </c>
      <c r="I457" s="153">
        <v>269</v>
      </c>
      <c r="J457" s="214"/>
      <c r="K457" s="215"/>
      <c r="L457" s="263"/>
      <c r="M457" s="154"/>
      <c r="N457" s="263" t="str">
        <f>B457&amp;"-"&amp;C457&amp;"-"&amp;D457&amp;"-"&amp;IF(E457="요약",1,IF(E457="기출",2,IF(E457="예상",3,IF(E457="판례",4,5))))&amp;F457</f>
        <v>제5편 병합소송-제12장 다수당사자소송-제01절 공동소송-4319.대법원 2012. 9. 27. 선고 2011다76747 판결</v>
      </c>
    </row>
    <row r="458" spans="2:14" ht="14.45" customHeight="1" x14ac:dyDescent="0.2">
      <c r="B458" s="80" t="s">
        <v>2542</v>
      </c>
      <c r="C458" s="86" t="s">
        <v>2551</v>
      </c>
      <c r="D458" s="91" t="s">
        <v>3443</v>
      </c>
      <c r="E458" s="149" t="s">
        <v>1553</v>
      </c>
      <c r="F458" s="150" t="s">
        <v>3969</v>
      </c>
      <c r="G458" s="151" t="s">
        <v>3319</v>
      </c>
      <c r="H458" s="152" t="s">
        <v>2923</v>
      </c>
      <c r="I458" s="153">
        <v>364</v>
      </c>
      <c r="J458" s="214"/>
      <c r="K458" s="215"/>
      <c r="L458" s="263"/>
      <c r="M458" s="154"/>
      <c r="N458" s="263" t="str">
        <f>B458&amp;"-"&amp;C458&amp;"-"&amp;D458&amp;"-"&amp;IF(E458="요약",1,IF(E458="기출",2,IF(E458="예상",3,IF(E458="판례",4,5))))&amp;F458</f>
        <v>제5편 병합소송-제12장 다수당사자소송-제01절 공동소송-4320.대법원 2018. 12. 27. 선고 2016다202763 판결</v>
      </c>
    </row>
    <row r="459" spans="2:14" ht="14.45" customHeight="1" x14ac:dyDescent="0.2">
      <c r="B459" s="80" t="s">
        <v>2542</v>
      </c>
      <c r="C459" s="86" t="s">
        <v>2551</v>
      </c>
      <c r="D459" s="91" t="s">
        <v>3443</v>
      </c>
      <c r="E459" s="149" t="s">
        <v>1553</v>
      </c>
      <c r="F459" s="150" t="s">
        <v>3968</v>
      </c>
      <c r="G459" s="151" t="s">
        <v>3320</v>
      </c>
      <c r="H459" s="152" t="s">
        <v>2924</v>
      </c>
      <c r="I459" s="153">
        <v>584</v>
      </c>
      <c r="J459" s="214"/>
      <c r="K459" s="215"/>
      <c r="L459" s="263"/>
      <c r="M459" s="154"/>
      <c r="N459" s="263" t="str">
        <f>B459&amp;"-"&amp;C459&amp;"-"&amp;D459&amp;"-"&amp;IF(E459="요약",1,IF(E459="기출",2,IF(E459="예상",3,IF(E459="판례",4,5))))&amp;F459</f>
        <v>제5편 병합소송-제12장 다수당사자소송-제01절 공동소송-4321.대법원 2015. 6. 11. 선고 2014다232913 판결</v>
      </c>
    </row>
    <row r="460" spans="2:14" ht="14.45" customHeight="1" x14ac:dyDescent="0.2">
      <c r="B460" s="80" t="s">
        <v>2542</v>
      </c>
      <c r="C460" s="86" t="s">
        <v>2551</v>
      </c>
      <c r="D460" s="91" t="s">
        <v>3443</v>
      </c>
      <c r="E460" s="149" t="s">
        <v>1553</v>
      </c>
      <c r="F460" s="150" t="s">
        <v>3967</v>
      </c>
      <c r="G460" s="151" t="s">
        <v>3321</v>
      </c>
      <c r="H460" s="152" t="s">
        <v>2925</v>
      </c>
      <c r="I460" s="153">
        <v>546</v>
      </c>
      <c r="J460" s="214"/>
      <c r="K460" s="215"/>
      <c r="L460" s="263"/>
      <c r="M460" s="154"/>
      <c r="N460" s="263" t="str">
        <f>B460&amp;"-"&amp;C460&amp;"-"&amp;D460&amp;"-"&amp;IF(E460="요약",1,IF(E460="기출",2,IF(E460="예상",3,IF(E460="판례",4,5))))&amp;F460</f>
        <v>제5편 병합소송-제12장 다수당사자소송-제01절 공동소송-4322.대법원 2015. 3. 20. 선고 2014다75202 판결</v>
      </c>
    </row>
    <row r="461" spans="2:14" ht="14.45" customHeight="1" x14ac:dyDescent="0.2">
      <c r="B461" s="80" t="s">
        <v>2542</v>
      </c>
      <c r="C461" s="86" t="s">
        <v>2551</v>
      </c>
      <c r="D461" s="90" t="s">
        <v>3443</v>
      </c>
      <c r="E461" s="222" t="s">
        <v>1553</v>
      </c>
      <c r="F461" s="223" t="s">
        <v>3956</v>
      </c>
      <c r="G461" s="224" t="s">
        <v>3322</v>
      </c>
      <c r="H461" s="225" t="s">
        <v>2926</v>
      </c>
      <c r="I461" s="226">
        <v>227</v>
      </c>
      <c r="J461" s="227"/>
      <c r="K461" s="228"/>
      <c r="L461" s="260"/>
      <c r="M461" s="229"/>
      <c r="N461" s="260" t="str">
        <f>B461&amp;"-"&amp;C461&amp;"-"&amp;D461&amp;"-"&amp;IF(E461="요약",1,IF(E461="기출",2,IF(E461="예상",3,IF(E461="판례",4,5))))&amp;F461</f>
        <v>제5편 병합소송-제12장 다수당사자소송-제01절 공동소송-4323.대법원 1997. 7. 25. 선고 97다362 판결</v>
      </c>
    </row>
    <row r="462" spans="2:14" ht="14.45" customHeight="1" x14ac:dyDescent="0.2">
      <c r="B462" s="80" t="s">
        <v>2542</v>
      </c>
      <c r="C462" s="86" t="s">
        <v>2551</v>
      </c>
      <c r="D462" s="83" t="s">
        <v>3445</v>
      </c>
      <c r="E462" s="144" t="s">
        <v>7</v>
      </c>
      <c r="F462" s="145" t="s">
        <v>77</v>
      </c>
      <c r="G462" s="146" t="s">
        <v>124</v>
      </c>
      <c r="H462" s="147" t="s">
        <v>2245</v>
      </c>
      <c r="I462" s="148">
        <v>3675</v>
      </c>
      <c r="J462" s="212"/>
      <c r="K462" s="213"/>
      <c r="L462" s="262" t="s">
        <v>2593</v>
      </c>
      <c r="M462" s="169"/>
      <c r="N462" s="262" t="str">
        <f>B462&amp;"-"&amp;C462&amp;"-"&amp;D462&amp;"-"&amp;IF(E462="요약",1,IF(E462="기출",2,IF(E462="예상",3,IF(E462="판례",4,5))))&amp;F462</f>
        <v>제5편 병합소송-제12장 다수당사자소송-제02절 제3자의 소송참가-1병합소송-다수당사자소송</v>
      </c>
    </row>
    <row r="463" spans="2:14" ht="14.45" customHeight="1" x14ac:dyDescent="0.2">
      <c r="B463" s="80" t="s">
        <v>2542</v>
      </c>
      <c r="C463" s="86" t="s">
        <v>2551</v>
      </c>
      <c r="D463" s="91" t="s">
        <v>3445</v>
      </c>
      <c r="E463" s="149" t="s">
        <v>2425</v>
      </c>
      <c r="F463" s="150" t="s">
        <v>202</v>
      </c>
      <c r="G463" s="151" t="s">
        <v>200</v>
      </c>
      <c r="H463" s="152" t="s">
        <v>2199</v>
      </c>
      <c r="I463" s="153">
        <v>1605</v>
      </c>
      <c r="J463" s="214"/>
      <c r="K463" s="215"/>
      <c r="L463" s="263" t="s">
        <v>2593</v>
      </c>
      <c r="M463" s="154" t="s">
        <v>3518</v>
      </c>
      <c r="N463" s="263" t="str">
        <f>B463&amp;"-"&amp;C463&amp;"-"&amp;D463&amp;"-"&amp;IF(E463="요약",1,IF(E463="기출",2,IF(E463="예상",3,IF(E463="판례",4,5))))&amp;F463</f>
        <v>제5편 병합소송-제12장 다수당사자소송-제02절 제3자의 소송참가-22011-2-1</v>
      </c>
    </row>
    <row r="464" spans="2:14" ht="14.45" customHeight="1" x14ac:dyDescent="0.2">
      <c r="B464" s="80" t="s">
        <v>2542</v>
      </c>
      <c r="C464" s="86" t="s">
        <v>2551</v>
      </c>
      <c r="D464" s="91" t="s">
        <v>3445</v>
      </c>
      <c r="E464" s="149" t="s">
        <v>2425</v>
      </c>
      <c r="F464" s="150" t="s">
        <v>151</v>
      </c>
      <c r="G464" s="151" t="s">
        <v>2366</v>
      </c>
      <c r="H464" s="152" t="s">
        <v>2368</v>
      </c>
      <c r="I464" s="153">
        <v>2930</v>
      </c>
      <c r="J464" s="214"/>
      <c r="K464" s="215"/>
      <c r="L464" s="263" t="s">
        <v>2593</v>
      </c>
      <c r="M464" s="154"/>
      <c r="N464" s="263" t="str">
        <f>B464&amp;"-"&amp;C464&amp;"-"&amp;D464&amp;"-"&amp;IF(E464="요약",1,IF(E464="기출",2,IF(E464="예상",3,IF(E464="판례",4,5))))&amp;F464</f>
        <v>제5편 병합소송-제12장 다수당사자소송-제02절 제3자의 소송참가-22017-1-1</v>
      </c>
    </row>
    <row r="465" spans="2:14" ht="14.45" customHeight="1" x14ac:dyDescent="0.2">
      <c r="B465" s="80" t="s">
        <v>2542</v>
      </c>
      <c r="C465" s="86" t="s">
        <v>2551</v>
      </c>
      <c r="D465" s="91" t="s">
        <v>3445</v>
      </c>
      <c r="E465" s="149" t="s">
        <v>2425</v>
      </c>
      <c r="F465" s="150" t="s">
        <v>2328</v>
      </c>
      <c r="G465" s="151" t="s">
        <v>2470</v>
      </c>
      <c r="H465" s="152" t="s">
        <v>2471</v>
      </c>
      <c r="I465" s="153">
        <v>1417</v>
      </c>
      <c r="J465" s="214"/>
      <c r="K465" s="215"/>
      <c r="L465" s="263" t="s">
        <v>2593</v>
      </c>
      <c r="M465" s="154" t="s">
        <v>3518</v>
      </c>
      <c r="N465" s="263" t="str">
        <f>B465&amp;"-"&amp;C465&amp;"-"&amp;D465&amp;"-"&amp;IF(E465="요약",1,IF(E465="기출",2,IF(E465="예상",3,IF(E465="판례",4,5))))&amp;F465</f>
        <v>제5편 병합소송-제12장 다수당사자소송-제02절 제3자의 소송참가-22018-2</v>
      </c>
    </row>
    <row r="466" spans="2:14" ht="14.45" customHeight="1" x14ac:dyDescent="0.2">
      <c r="B466" s="80" t="s">
        <v>2542</v>
      </c>
      <c r="C466" s="86" t="s">
        <v>2551</v>
      </c>
      <c r="D466" s="91" t="s">
        <v>3445</v>
      </c>
      <c r="E466" s="149" t="s">
        <v>2425</v>
      </c>
      <c r="F466" s="150" t="s">
        <v>201</v>
      </c>
      <c r="G466" s="151" t="s">
        <v>199</v>
      </c>
      <c r="H466" s="152" t="s">
        <v>2198</v>
      </c>
      <c r="I466" s="153">
        <v>1552</v>
      </c>
      <c r="J466" s="214"/>
      <c r="K466" s="215"/>
      <c r="L466" s="263" t="s">
        <v>2593</v>
      </c>
      <c r="M466" s="154" t="s">
        <v>3518</v>
      </c>
      <c r="N466" s="263" t="str">
        <f>B466&amp;"-"&amp;C466&amp;"-"&amp;D466&amp;"-"&amp;IF(E466="요약",1,IF(E466="기출",2,IF(E466="예상",3,IF(E466="판례",4,5))))&amp;F466</f>
        <v>제5편 병합소송-제12장 다수당사자소송-제02절 제3자의 소송참가-22019-3</v>
      </c>
    </row>
    <row r="467" spans="2:14" ht="14.45" customHeight="1" x14ac:dyDescent="0.2">
      <c r="B467" s="80" t="s">
        <v>2542</v>
      </c>
      <c r="C467" s="86" t="s">
        <v>2551</v>
      </c>
      <c r="D467" s="91" t="s">
        <v>3445</v>
      </c>
      <c r="E467" s="149" t="s">
        <v>1553</v>
      </c>
      <c r="F467" s="150" t="s">
        <v>3973</v>
      </c>
      <c r="G467" s="151" t="s">
        <v>3323</v>
      </c>
      <c r="H467" s="152" t="s">
        <v>2927</v>
      </c>
      <c r="I467" s="153">
        <v>342</v>
      </c>
      <c r="J467" s="214"/>
      <c r="K467" s="215"/>
      <c r="L467" s="263" t="s">
        <v>2593</v>
      </c>
      <c r="M467" s="154"/>
      <c r="N467" s="263" t="str">
        <f>B467&amp;"-"&amp;C467&amp;"-"&amp;D467&amp;"-"&amp;IF(E467="요약",1,IF(E467="기출",2,IF(E467="예상",3,IF(E467="판례",4,5))))&amp;F467</f>
        <v>제5편 병합소송-제12장 다수당사자소송-제02절 제3자의 소송참가-4324.대법원 1999. 7. 9. 선고 99다12796 판결</v>
      </c>
    </row>
    <row r="468" spans="2:14" ht="14.45" customHeight="1" x14ac:dyDescent="0.2">
      <c r="B468" s="80" t="s">
        <v>2542</v>
      </c>
      <c r="C468" s="86" t="s">
        <v>2551</v>
      </c>
      <c r="D468" s="91" t="s">
        <v>3445</v>
      </c>
      <c r="E468" s="149" t="s">
        <v>1553</v>
      </c>
      <c r="F468" s="150" t="s">
        <v>3979</v>
      </c>
      <c r="G468" s="151" t="s">
        <v>3324</v>
      </c>
      <c r="H468" s="152" t="s">
        <v>2928</v>
      </c>
      <c r="I468" s="153">
        <v>381</v>
      </c>
      <c r="J468" s="214"/>
      <c r="K468" s="215"/>
      <c r="L468" s="263" t="s">
        <v>2593</v>
      </c>
      <c r="M468" s="154"/>
      <c r="N468" s="263" t="str">
        <f>B468&amp;"-"&amp;C468&amp;"-"&amp;D468&amp;"-"&amp;IF(E468="요약",1,IF(E468="기출",2,IF(E468="예상",3,IF(E468="판례",4,5))))&amp;F468</f>
        <v>제5편 병합소송-제12장 다수당사자소송-제02절 제3자의 소송참가-4325.대법원 2007. 2. 22. 선고 2006다75641 판결</v>
      </c>
    </row>
    <row r="469" spans="2:14" ht="14.45" customHeight="1" x14ac:dyDescent="0.2">
      <c r="B469" s="80" t="s">
        <v>2542</v>
      </c>
      <c r="C469" s="86" t="s">
        <v>2551</v>
      </c>
      <c r="D469" s="91" t="s">
        <v>3445</v>
      </c>
      <c r="E469" s="149" t="s">
        <v>1553</v>
      </c>
      <c r="F469" s="150" t="s">
        <v>3971</v>
      </c>
      <c r="G469" s="151" t="s">
        <v>3325</v>
      </c>
      <c r="H469" s="152" t="s">
        <v>2929</v>
      </c>
      <c r="I469" s="153">
        <v>232</v>
      </c>
      <c r="J469" s="214"/>
      <c r="K469" s="215"/>
      <c r="L469" s="263" t="s">
        <v>2593</v>
      </c>
      <c r="M469" s="154"/>
      <c r="N469" s="263" t="str">
        <f>B469&amp;"-"&amp;C469&amp;"-"&amp;D469&amp;"-"&amp;IF(E469="요약",1,IF(E469="기출",2,IF(E469="예상",3,IF(E469="판례",4,5))))&amp;F469</f>
        <v>제5편 병합소송-제12장 다수당사자소송-제02절 제3자의 소송참가-4326.대법원 1994. 12. 27. 선고 92다22473,22480 판결</v>
      </c>
    </row>
    <row r="470" spans="2:14" ht="14.45" customHeight="1" x14ac:dyDescent="0.2">
      <c r="B470" s="80" t="s">
        <v>2542</v>
      </c>
      <c r="C470" s="86" t="s">
        <v>2551</v>
      </c>
      <c r="D470" s="91" t="s">
        <v>3445</v>
      </c>
      <c r="E470" s="149" t="s">
        <v>1553</v>
      </c>
      <c r="F470" s="150" t="s">
        <v>3977</v>
      </c>
      <c r="G470" s="151" t="s">
        <v>3326</v>
      </c>
      <c r="H470" s="152" t="s">
        <v>2930</v>
      </c>
      <c r="I470" s="153">
        <v>345</v>
      </c>
      <c r="J470" s="214"/>
      <c r="K470" s="215"/>
      <c r="L470" s="263" t="s">
        <v>2593</v>
      </c>
      <c r="M470" s="154"/>
      <c r="N470" s="263" t="str">
        <f>B470&amp;"-"&amp;C470&amp;"-"&amp;D470&amp;"-"&amp;IF(E470="요약",1,IF(E470="기출",2,IF(E470="예상",3,IF(E470="판례",4,5))))&amp;F470</f>
        <v>제5편 병합소송-제12장 다수당사자소송-제02절 제3자의 소송참가-4327.대법원 2007. 11. 29. 선고 2007다53310 판결</v>
      </c>
    </row>
    <row r="471" spans="2:14" ht="14.45" customHeight="1" x14ac:dyDescent="0.2">
      <c r="B471" s="80" t="s">
        <v>2542</v>
      </c>
      <c r="C471" s="86" t="s">
        <v>2551</v>
      </c>
      <c r="D471" s="91" t="s">
        <v>3445</v>
      </c>
      <c r="E471" s="149" t="s">
        <v>1553</v>
      </c>
      <c r="F471" s="150" t="s">
        <v>3985</v>
      </c>
      <c r="G471" s="151" t="s">
        <v>3327</v>
      </c>
      <c r="H471" s="152" t="s">
        <v>2931</v>
      </c>
      <c r="I471" s="153">
        <v>380</v>
      </c>
      <c r="J471" s="214"/>
      <c r="K471" s="215"/>
      <c r="L471" s="263" t="s">
        <v>2593</v>
      </c>
      <c r="M471" s="154"/>
      <c r="N471" s="263" t="str">
        <f>B471&amp;"-"&amp;C471&amp;"-"&amp;D471&amp;"-"&amp;IF(E471="요약",1,IF(E471="기출",2,IF(E471="예상",3,IF(E471="판례",4,5))))&amp;F471</f>
        <v>제5편 병합소송-제12장 다수당사자소송-제02절 제3자의 소송참가-4328.대법원 2015. 5. 28. 선고 2012다78184 판결</v>
      </c>
    </row>
    <row r="472" spans="2:14" ht="14.45" customHeight="1" x14ac:dyDescent="0.2">
      <c r="B472" s="80" t="s">
        <v>2542</v>
      </c>
      <c r="C472" s="86" t="s">
        <v>2551</v>
      </c>
      <c r="D472" s="91" t="s">
        <v>3445</v>
      </c>
      <c r="E472" s="149" t="s">
        <v>1553</v>
      </c>
      <c r="F472" s="150" t="s">
        <v>3988</v>
      </c>
      <c r="G472" s="151" t="s">
        <v>3328</v>
      </c>
      <c r="H472" s="152" t="s">
        <v>2932</v>
      </c>
      <c r="I472" s="153">
        <v>265</v>
      </c>
      <c r="J472" s="214"/>
      <c r="K472" s="215"/>
      <c r="L472" s="263" t="s">
        <v>2593</v>
      </c>
      <c r="M472" s="154"/>
      <c r="N472" s="263" t="str">
        <f>B472&amp;"-"&amp;C472&amp;"-"&amp;D472&amp;"-"&amp;IF(E472="요약",1,IF(E472="기출",2,IF(E472="예상",3,IF(E472="판례",4,5))))&amp;F472</f>
        <v>제5편 병합소송-제12장 다수당사자소송-제02절 제3자의 소송참가-4329.대법원 2020. 1. 30. 선고 2019다268252 판결</v>
      </c>
    </row>
    <row r="473" spans="2:14" ht="14.45" customHeight="1" x14ac:dyDescent="0.2">
      <c r="B473" s="80" t="s">
        <v>2542</v>
      </c>
      <c r="C473" s="86" t="s">
        <v>2551</v>
      </c>
      <c r="D473" s="91" t="s">
        <v>3445</v>
      </c>
      <c r="E473" s="149" t="s">
        <v>1553</v>
      </c>
      <c r="F473" s="150" t="s">
        <v>3984</v>
      </c>
      <c r="G473" s="151" t="s">
        <v>3329</v>
      </c>
      <c r="H473" s="152" t="s">
        <v>2933</v>
      </c>
      <c r="I473" s="153">
        <v>499</v>
      </c>
      <c r="J473" s="214"/>
      <c r="K473" s="215"/>
      <c r="L473" s="263" t="s">
        <v>2593</v>
      </c>
      <c r="M473" s="154"/>
      <c r="N473" s="263" t="str">
        <f>B473&amp;"-"&amp;C473&amp;"-"&amp;D473&amp;"-"&amp;IF(E473="요약",1,IF(E473="기출",2,IF(E473="예상",3,IF(E473="판례",4,5))))&amp;F473</f>
        <v>제5편 병합소송-제12장 다수당사자소송-제02절 제3자의 소송참가-4330.대법원 2015. 10. 29. 선고 2014다13044 판결</v>
      </c>
    </row>
    <row r="474" spans="2:14" ht="14.45" customHeight="1" x14ac:dyDescent="0.2">
      <c r="B474" s="80" t="s">
        <v>2542</v>
      </c>
      <c r="C474" s="86" t="s">
        <v>2551</v>
      </c>
      <c r="D474" s="91" t="s">
        <v>3445</v>
      </c>
      <c r="E474" s="149" t="s">
        <v>1553</v>
      </c>
      <c r="F474" s="150" t="s">
        <v>3987</v>
      </c>
      <c r="G474" s="151" t="s">
        <v>3330</v>
      </c>
      <c r="H474" s="152" t="s">
        <v>2934</v>
      </c>
      <c r="I474" s="153">
        <v>270</v>
      </c>
      <c r="J474" s="214"/>
      <c r="K474" s="215"/>
      <c r="L474" s="263" t="s">
        <v>2593</v>
      </c>
      <c r="M474" s="154"/>
      <c r="N474" s="263" t="str">
        <f>B474&amp;"-"&amp;C474&amp;"-"&amp;D474&amp;"-"&amp;IF(E474="요약",1,IF(E474="기출",2,IF(E474="예상",3,IF(E474="판례",4,5))))&amp;F474</f>
        <v>제5편 병합소송-제12장 다수당사자소송-제02절 제3자의 소송참가-4331.대법원 2017. 4. 26. 선고 2014다221777,221784 판결</v>
      </c>
    </row>
    <row r="475" spans="2:14" ht="14.45" customHeight="1" x14ac:dyDescent="0.2">
      <c r="B475" s="80" t="s">
        <v>2542</v>
      </c>
      <c r="C475" s="86" t="s">
        <v>2551</v>
      </c>
      <c r="D475" s="91" t="s">
        <v>3445</v>
      </c>
      <c r="E475" s="149" t="s">
        <v>1553</v>
      </c>
      <c r="F475" s="150" t="s">
        <v>3989</v>
      </c>
      <c r="G475" s="151" t="s">
        <v>3331</v>
      </c>
      <c r="H475" s="152" t="s">
        <v>2935</v>
      </c>
      <c r="I475" s="153">
        <v>462</v>
      </c>
      <c r="J475" s="214"/>
      <c r="K475" s="215"/>
      <c r="L475" s="263" t="s">
        <v>2593</v>
      </c>
      <c r="M475" s="154"/>
      <c r="N475" s="263" t="str">
        <f>B475&amp;"-"&amp;C475&amp;"-"&amp;D475&amp;"-"&amp;IF(E475="요약",1,IF(E475="기출",2,IF(E475="예상",3,IF(E475="판례",4,5))))&amp;F475</f>
        <v>제5편 병합소송-제12장 다수당사자소송-제02절 제3자의 소송참가-4332.대법원 2022. 10. 14. 선고 2022다241608, 241615 판결</v>
      </c>
    </row>
    <row r="476" spans="2:14" ht="14.45" customHeight="1" x14ac:dyDescent="0.2">
      <c r="B476" s="80" t="s">
        <v>2542</v>
      </c>
      <c r="C476" s="86" t="s">
        <v>2551</v>
      </c>
      <c r="D476" s="91" t="s">
        <v>3445</v>
      </c>
      <c r="E476" s="149" t="s">
        <v>1553</v>
      </c>
      <c r="F476" s="150" t="s">
        <v>3983</v>
      </c>
      <c r="G476" s="151" t="s">
        <v>3332</v>
      </c>
      <c r="H476" s="152" t="s">
        <v>2936</v>
      </c>
      <c r="I476" s="153">
        <v>337</v>
      </c>
      <c r="J476" s="214"/>
      <c r="K476" s="215"/>
      <c r="L476" s="263" t="s">
        <v>2593</v>
      </c>
      <c r="M476" s="154"/>
      <c r="N476" s="263" t="str">
        <f>B476&amp;"-"&amp;C476&amp;"-"&amp;D476&amp;"-"&amp;IF(E476="요약",1,IF(E476="기출",2,IF(E476="예상",3,IF(E476="판례",4,5))))&amp;F476</f>
        <v>제5편 병합소송-제12장 다수당사자소송-제02절 제3자의 소송참가-4333.대법원 2014. 6. 12. 선고 2012다47548,47555 판결</v>
      </c>
    </row>
    <row r="477" spans="2:14" ht="14.45" customHeight="1" x14ac:dyDescent="0.2">
      <c r="B477" s="80" t="s">
        <v>2542</v>
      </c>
      <c r="C477" s="86" t="s">
        <v>2551</v>
      </c>
      <c r="D477" s="91" t="s">
        <v>3445</v>
      </c>
      <c r="E477" s="149" t="s">
        <v>1553</v>
      </c>
      <c r="F477" s="150" t="s">
        <v>3980</v>
      </c>
      <c r="G477" s="151" t="s">
        <v>3333</v>
      </c>
      <c r="H477" s="152" t="s">
        <v>2937</v>
      </c>
      <c r="I477" s="153">
        <v>229</v>
      </c>
      <c r="J477" s="214"/>
      <c r="K477" s="215"/>
      <c r="L477" s="263" t="s">
        <v>2593</v>
      </c>
      <c r="M477" s="154"/>
      <c r="N477" s="263" t="str">
        <f>B477&amp;"-"&amp;C477&amp;"-"&amp;D477&amp;"-"&amp;IF(E477="요약",1,IF(E477="기출",2,IF(E477="예상",3,IF(E477="판례",4,5))))&amp;F477</f>
        <v>제5편 병합소송-제12장 다수당사자소송-제02절 제3자의 소송참가-4334.대법원 2007. 2. 8. 선고 2006다62188 판결</v>
      </c>
    </row>
    <row r="478" spans="2:14" ht="14.45" customHeight="1" x14ac:dyDescent="0.2">
      <c r="B478" s="80" t="s">
        <v>2542</v>
      </c>
      <c r="C478" s="86" t="s">
        <v>2551</v>
      </c>
      <c r="D478" s="91" t="s">
        <v>3445</v>
      </c>
      <c r="E478" s="149" t="s">
        <v>1553</v>
      </c>
      <c r="F478" s="150" t="s">
        <v>3981</v>
      </c>
      <c r="G478" s="151" t="s">
        <v>3334</v>
      </c>
      <c r="H478" s="152" t="s">
        <v>2938</v>
      </c>
      <c r="I478" s="153">
        <v>337</v>
      </c>
      <c r="J478" s="214"/>
      <c r="K478" s="215"/>
      <c r="L478" s="263" t="s">
        <v>2593</v>
      </c>
      <c r="M478" s="154"/>
      <c r="N478" s="263" t="str">
        <f>B478&amp;"-"&amp;C478&amp;"-"&amp;D478&amp;"-"&amp;IF(E478="요약",1,IF(E478="기출",2,IF(E478="예상",3,IF(E478="판례",4,5))))&amp;F478</f>
        <v>제5편 병합소송-제12장 다수당사자소송-제02절 제3자의 소송참가-4335.대법원 2009. 1. 30. 선고 2007다9030,9047 판결</v>
      </c>
    </row>
    <row r="479" spans="2:14" ht="14.45" customHeight="1" x14ac:dyDescent="0.2">
      <c r="B479" s="80" t="s">
        <v>2542</v>
      </c>
      <c r="C479" s="86" t="s">
        <v>2551</v>
      </c>
      <c r="D479" s="91" t="s">
        <v>3445</v>
      </c>
      <c r="E479" s="149" t="s">
        <v>1553</v>
      </c>
      <c r="F479" s="150" t="s">
        <v>3975</v>
      </c>
      <c r="G479" s="151" t="s">
        <v>3335</v>
      </c>
      <c r="H479" s="152" t="s">
        <v>2939</v>
      </c>
      <c r="I479" s="153">
        <v>324</v>
      </c>
      <c r="J479" s="214"/>
      <c r="K479" s="215"/>
      <c r="L479" s="263" t="s">
        <v>2593</v>
      </c>
      <c r="M479" s="154"/>
      <c r="N479" s="263" t="str">
        <f>B479&amp;"-"&amp;C479&amp;"-"&amp;D479&amp;"-"&amp;IF(E479="요약",1,IF(E479="기출",2,IF(E479="예상",3,IF(E479="판례",4,5))))&amp;F479</f>
        <v>제5편 병합소송-제12장 다수당사자소송-제02절 제3자의 소송참가-4336.대법원 2005. 5. 26. 선고 2004다25901,25918 판결</v>
      </c>
    </row>
    <row r="480" spans="2:14" ht="14.45" customHeight="1" x14ac:dyDescent="0.2">
      <c r="B480" s="80" t="s">
        <v>2542</v>
      </c>
      <c r="C480" s="86" t="s">
        <v>2551</v>
      </c>
      <c r="D480" s="91" t="s">
        <v>3445</v>
      </c>
      <c r="E480" s="149" t="s">
        <v>1553</v>
      </c>
      <c r="F480" s="150" t="s">
        <v>3972</v>
      </c>
      <c r="G480" s="151" t="s">
        <v>3336</v>
      </c>
      <c r="H480" s="152" t="s">
        <v>2940</v>
      </c>
      <c r="I480" s="153">
        <v>297</v>
      </c>
      <c r="J480" s="214"/>
      <c r="K480" s="215"/>
      <c r="L480" s="263" t="s">
        <v>2593</v>
      </c>
      <c r="M480" s="154"/>
      <c r="N480" s="263" t="str">
        <f>B480&amp;"-"&amp;C480&amp;"-"&amp;D480&amp;"-"&amp;IF(E480="요약",1,IF(E480="기출",2,IF(E480="예상",3,IF(E480="판례",4,5))))&amp;F480</f>
        <v>제5편 병합소송-제12장 다수당사자소송-제02절 제3자의 소송참가-4337.대법원 1995. 12. 8. 선고 95다44191 판결</v>
      </c>
    </row>
    <row r="481" spans="2:14" ht="14.45" customHeight="1" x14ac:dyDescent="0.2">
      <c r="B481" s="80" t="s">
        <v>2542</v>
      </c>
      <c r="C481" s="86" t="s">
        <v>2551</v>
      </c>
      <c r="D481" s="91" t="s">
        <v>3445</v>
      </c>
      <c r="E481" s="149" t="s">
        <v>1553</v>
      </c>
      <c r="F481" s="150" t="s">
        <v>3982</v>
      </c>
      <c r="G481" s="151" t="s">
        <v>3337</v>
      </c>
      <c r="H481" s="152" t="s">
        <v>2941</v>
      </c>
      <c r="I481" s="153">
        <v>380</v>
      </c>
      <c r="J481" s="214"/>
      <c r="K481" s="215"/>
      <c r="L481" s="263" t="s">
        <v>2593</v>
      </c>
      <c r="M481" s="154"/>
      <c r="N481" s="263" t="str">
        <f>B481&amp;"-"&amp;C481&amp;"-"&amp;D481&amp;"-"&amp;IF(E481="요약",1,IF(E481="기출",2,IF(E481="예상",3,IF(E481="판례",4,5))))&amp;F481</f>
        <v>제5편 병합소송-제12장 다수당사자소송-제02절 제3자의 소송참가-4338.대법원 2014. 11. 13. 선고 2009다71312,71329,71336,71343 판결</v>
      </c>
    </row>
    <row r="482" spans="2:14" ht="14.45" customHeight="1" x14ac:dyDescent="0.2">
      <c r="B482" s="80" t="s">
        <v>2542</v>
      </c>
      <c r="C482" s="86" t="s">
        <v>2551</v>
      </c>
      <c r="D482" s="91" t="s">
        <v>3445</v>
      </c>
      <c r="E482" s="149" t="s">
        <v>1553</v>
      </c>
      <c r="F482" s="150" t="s">
        <v>3978</v>
      </c>
      <c r="G482" s="151" t="s">
        <v>3338</v>
      </c>
      <c r="H482" s="152" t="s">
        <v>2942</v>
      </c>
      <c r="I482" s="153">
        <v>359</v>
      </c>
      <c r="J482" s="214"/>
      <c r="K482" s="215"/>
      <c r="L482" s="263" t="s">
        <v>2593</v>
      </c>
      <c r="M482" s="154"/>
      <c r="N482" s="263" t="str">
        <f>B482&amp;"-"&amp;C482&amp;"-"&amp;D482&amp;"-"&amp;IF(E482="요약",1,IF(E482="기출",2,IF(E482="예상",3,IF(E482="판례",4,5))))&amp;F482</f>
        <v>제5편 병합소송-제12장 다수당사자소송-제02절 제3자의 소송참가-4339.대법원 2007. 12. 14. 선고 2007다37776,37783 판결</v>
      </c>
    </row>
    <row r="483" spans="2:14" ht="14.45" customHeight="1" x14ac:dyDescent="0.2">
      <c r="B483" s="80" t="s">
        <v>2542</v>
      </c>
      <c r="C483" s="86" t="s">
        <v>2551</v>
      </c>
      <c r="D483" s="91" t="s">
        <v>3445</v>
      </c>
      <c r="E483" s="149" t="s">
        <v>1553</v>
      </c>
      <c r="F483" s="150" t="s">
        <v>3976</v>
      </c>
      <c r="G483" s="151" t="s">
        <v>3339</v>
      </c>
      <c r="H483" s="152" t="s">
        <v>2943</v>
      </c>
      <c r="I483" s="153">
        <v>301</v>
      </c>
      <c r="J483" s="214"/>
      <c r="K483" s="215"/>
      <c r="L483" s="263" t="s">
        <v>2593</v>
      </c>
      <c r="M483" s="154"/>
      <c r="N483" s="263" t="str">
        <f>B483&amp;"-"&amp;C483&amp;"-"&amp;D483&amp;"-"&amp;IF(E483="요약",1,IF(E483="기출",2,IF(E483="예상",3,IF(E483="판례",4,5))))&amp;F483</f>
        <v>제5편 병합소송-제12장 다수당사자소송-제02절 제3자의 소송참가-4340.대법원 2007. 10. 26. 선고 2006다86573,86580 판결</v>
      </c>
    </row>
    <row r="484" spans="2:14" ht="14.45" customHeight="1" x14ac:dyDescent="0.2">
      <c r="B484" s="80" t="s">
        <v>2542</v>
      </c>
      <c r="C484" s="86" t="s">
        <v>2551</v>
      </c>
      <c r="D484" s="91" t="s">
        <v>3445</v>
      </c>
      <c r="E484" s="149" t="s">
        <v>1553</v>
      </c>
      <c r="F484" s="150" t="s">
        <v>3974</v>
      </c>
      <c r="G484" s="151" t="s">
        <v>3340</v>
      </c>
      <c r="H484" s="152" t="s">
        <v>2944</v>
      </c>
      <c r="I484" s="153">
        <v>317</v>
      </c>
      <c r="J484" s="214"/>
      <c r="K484" s="215"/>
      <c r="L484" s="263" t="s">
        <v>2593</v>
      </c>
      <c r="M484" s="154"/>
      <c r="N484" s="263" t="str">
        <f>B484&amp;"-"&amp;C484&amp;"-"&amp;D484&amp;"-"&amp;IF(E484="요약",1,IF(E484="기출",2,IF(E484="예상",3,IF(E484="판례",4,5))))&amp;F484</f>
        <v>제5편 병합소송-제12장 다수당사자소송-제02절 제3자의 소송참가-4341.대법원 2002. 3. 15. 선고 2000다9086 판결</v>
      </c>
    </row>
    <row r="485" spans="2:14" ht="14.45" customHeight="1" x14ac:dyDescent="0.2">
      <c r="B485" s="80" t="s">
        <v>2542</v>
      </c>
      <c r="C485" s="86" t="s">
        <v>2551</v>
      </c>
      <c r="D485" s="90" t="s">
        <v>3445</v>
      </c>
      <c r="E485" s="222" t="s">
        <v>1553</v>
      </c>
      <c r="F485" s="223" t="s">
        <v>3986</v>
      </c>
      <c r="G485" s="224" t="s">
        <v>3341</v>
      </c>
      <c r="H485" s="225" t="s">
        <v>2945</v>
      </c>
      <c r="I485" s="226">
        <v>528</v>
      </c>
      <c r="J485" s="227"/>
      <c r="K485" s="228"/>
      <c r="L485" s="260" t="s">
        <v>2593</v>
      </c>
      <c r="M485" s="229"/>
      <c r="N485" s="260" t="str">
        <f>B485&amp;"-"&amp;C485&amp;"-"&amp;D485&amp;"-"&amp;IF(E485="요약",1,IF(E485="기출",2,IF(E485="예상",3,IF(E485="판례",4,5))))&amp;F485</f>
        <v>제5편 병합소송-제12장 다수당사자소송-제02절 제3자의 소송참가-4342.대법원 2015. 7. 23. 선고 2013다30301,30325 판결</v>
      </c>
    </row>
    <row r="486" spans="2:14" ht="14.45" customHeight="1" x14ac:dyDescent="0.2">
      <c r="B486" s="80" t="s">
        <v>2542</v>
      </c>
      <c r="C486" s="86" t="s">
        <v>2551</v>
      </c>
      <c r="D486" s="83" t="s">
        <v>3446</v>
      </c>
      <c r="E486" s="144" t="s">
        <v>7</v>
      </c>
      <c r="F486" s="145" t="s">
        <v>77</v>
      </c>
      <c r="G486" s="146" t="s">
        <v>125</v>
      </c>
      <c r="H486" s="147" t="s">
        <v>2246</v>
      </c>
      <c r="I486" s="148">
        <v>2627</v>
      </c>
      <c r="J486" s="212"/>
      <c r="K486" s="213"/>
      <c r="L486" s="262" t="s">
        <v>2594</v>
      </c>
      <c r="M486" s="169"/>
      <c r="N486" s="262" t="str">
        <f>B486&amp;"-"&amp;C486&amp;"-"&amp;D486&amp;"-"&amp;IF(E486="요약",1,IF(E486="기출",2,IF(E486="예상",3,IF(E486="판례",4,5))))&amp;F486</f>
        <v>제5편 병합소송-제12장 다수당사자소송-제03절 당사자의 변경-1병합소송-다수당사자소송</v>
      </c>
    </row>
    <row r="487" spans="2:14" ht="14.45" customHeight="1" x14ac:dyDescent="0.2">
      <c r="B487" s="80" t="s">
        <v>2542</v>
      </c>
      <c r="C487" s="86" t="s">
        <v>2551</v>
      </c>
      <c r="D487" s="91" t="s">
        <v>3446</v>
      </c>
      <c r="E487" s="149" t="s">
        <v>2425</v>
      </c>
      <c r="F487" s="150" t="s">
        <v>153</v>
      </c>
      <c r="G487" s="151" t="s">
        <v>150</v>
      </c>
      <c r="H487" s="152" t="s">
        <v>2169</v>
      </c>
      <c r="I487" s="153">
        <v>1504</v>
      </c>
      <c r="J487" s="214"/>
      <c r="K487" s="215"/>
      <c r="L487" s="263" t="s">
        <v>2594</v>
      </c>
      <c r="M487" s="154" t="s">
        <v>3506</v>
      </c>
      <c r="N487" s="263" t="str">
        <f>B487&amp;"-"&amp;C487&amp;"-"&amp;D487&amp;"-"&amp;IF(E487="요약",1,IF(E487="기출",2,IF(E487="예상",3,IF(E487="판례",4,5))))&amp;F487</f>
        <v>제5편 병합소송-제12장 다수당사자소송-제03절 당사자의 변경-22017-1-2</v>
      </c>
    </row>
    <row r="488" spans="2:14" ht="14.45" customHeight="1" x14ac:dyDescent="0.2">
      <c r="B488" s="80" t="s">
        <v>2542</v>
      </c>
      <c r="C488" s="86" t="s">
        <v>2551</v>
      </c>
      <c r="D488" s="91" t="s">
        <v>3446</v>
      </c>
      <c r="E488" s="149" t="s">
        <v>1553</v>
      </c>
      <c r="F488" s="150" t="s">
        <v>3990</v>
      </c>
      <c r="G488" s="151" t="s">
        <v>3342</v>
      </c>
      <c r="H488" s="152" t="s">
        <v>2946</v>
      </c>
      <c r="I488" s="153">
        <v>215</v>
      </c>
      <c r="J488" s="214"/>
      <c r="K488" s="215"/>
      <c r="L488" s="263"/>
      <c r="M488" s="154"/>
      <c r="N488" s="263" t="str">
        <f>B488&amp;"-"&amp;C488&amp;"-"&amp;D488&amp;"-"&amp;IF(E488="요약",1,IF(E488="기출",2,IF(E488="예상",3,IF(E488="판례",4,5))))&amp;F488</f>
        <v>제5편 병합소송-제12장 다수당사자소송-제03절 당사자의 변경-4343.대법원 1998. 1. 23. 선고 96다41496 판결</v>
      </c>
    </row>
    <row r="489" spans="2:14" ht="14.45" customHeight="1" x14ac:dyDescent="0.2">
      <c r="B489" s="80" t="s">
        <v>2542</v>
      </c>
      <c r="C489" s="86" t="s">
        <v>2551</v>
      </c>
      <c r="D489" s="91" t="s">
        <v>3446</v>
      </c>
      <c r="E489" s="149" t="s">
        <v>1553</v>
      </c>
      <c r="F489" s="150" t="s">
        <v>3993</v>
      </c>
      <c r="G489" s="151" t="s">
        <v>3343</v>
      </c>
      <c r="H489" s="152" t="s">
        <v>2947</v>
      </c>
      <c r="I489" s="153">
        <v>257</v>
      </c>
      <c r="J489" s="214"/>
      <c r="K489" s="215"/>
      <c r="L489" s="263"/>
      <c r="M489" s="154"/>
      <c r="N489" s="263" t="str">
        <f>B489&amp;"-"&amp;C489&amp;"-"&amp;D489&amp;"-"&amp;IF(E489="요약",1,IF(E489="기출",2,IF(E489="예상",3,IF(E489="판례",4,5))))&amp;F489</f>
        <v>제5편 병합소송-제12장 다수당사자소송-제03절 당사자의 변경-4344.대법원 2014. 10. 27. 선고 2013다67105,67112 판결</v>
      </c>
    </row>
    <row r="490" spans="2:14" ht="14.45" customHeight="1" x14ac:dyDescent="0.2">
      <c r="B490" s="80" t="s">
        <v>2542</v>
      </c>
      <c r="C490" s="86" t="s">
        <v>2551</v>
      </c>
      <c r="D490" s="91" t="s">
        <v>3446</v>
      </c>
      <c r="E490" s="149" t="s">
        <v>1553</v>
      </c>
      <c r="F490" s="150" t="s">
        <v>3992</v>
      </c>
      <c r="G490" s="151" t="s">
        <v>3344</v>
      </c>
      <c r="H490" s="152" t="s">
        <v>2948</v>
      </c>
      <c r="I490" s="153">
        <v>393</v>
      </c>
      <c r="J490" s="214"/>
      <c r="K490" s="215"/>
      <c r="L490" s="263"/>
      <c r="M490" s="154"/>
      <c r="N490" s="263" t="str">
        <f>B490&amp;"-"&amp;C490&amp;"-"&amp;D490&amp;"-"&amp;IF(E490="요약",1,IF(E490="기출",2,IF(E490="예상",3,IF(E490="판례",4,5))))&amp;F490</f>
        <v>제5편 병합소송-제12장 다수당사자소송-제03절 당사자의 변경-4345.대법원 2012. 4. 26. 선고 2011다85789 판결</v>
      </c>
    </row>
    <row r="491" spans="2:14" ht="14.45" customHeight="1" x14ac:dyDescent="0.2">
      <c r="B491" s="80" t="s">
        <v>2542</v>
      </c>
      <c r="C491" s="86" t="s">
        <v>2551</v>
      </c>
      <c r="D491" s="91" t="s">
        <v>3446</v>
      </c>
      <c r="E491" s="149" t="s">
        <v>1553</v>
      </c>
      <c r="F491" s="150" t="s">
        <v>3994</v>
      </c>
      <c r="G491" s="151" t="s">
        <v>3345</v>
      </c>
      <c r="H491" s="152" t="s">
        <v>2949</v>
      </c>
      <c r="I491" s="153">
        <v>360</v>
      </c>
      <c r="J491" s="214"/>
      <c r="K491" s="215"/>
      <c r="L491" s="263"/>
      <c r="M491" s="154"/>
      <c r="N491" s="263" t="str">
        <f>B491&amp;"-"&amp;C491&amp;"-"&amp;D491&amp;"-"&amp;IF(E491="요약",1,IF(E491="기출",2,IF(E491="예상",3,IF(E491="판례",4,5))))&amp;F491</f>
        <v>제5편 병합소송-제12장 다수당사자소송-제03절 당사자의 변경-4346.대법원 2019. 10. 23. 선고 2012다46170 전원합의체 판결</v>
      </c>
    </row>
    <row r="492" spans="2:14" ht="14.45" customHeight="1" thickBot="1" x14ac:dyDescent="0.25">
      <c r="B492" s="81" t="s">
        <v>2542</v>
      </c>
      <c r="C492" s="87" t="s">
        <v>2551</v>
      </c>
      <c r="D492" s="92" t="s">
        <v>3446</v>
      </c>
      <c r="E492" s="155" t="s">
        <v>1553</v>
      </c>
      <c r="F492" s="156" t="s">
        <v>3991</v>
      </c>
      <c r="G492" s="157" t="s">
        <v>3346</v>
      </c>
      <c r="H492" s="158" t="s">
        <v>2950</v>
      </c>
      <c r="I492" s="159">
        <v>281</v>
      </c>
      <c r="J492" s="221"/>
      <c r="K492" s="220"/>
      <c r="L492" s="264"/>
      <c r="M492" s="171"/>
      <c r="N492" s="264" t="str">
        <f>B492&amp;"-"&amp;C492&amp;"-"&amp;D492&amp;"-"&amp;IF(E492="요약",1,IF(E492="기출",2,IF(E492="예상",3,IF(E492="판례",4,5))))&amp;F492</f>
        <v>제5편 병합소송-제12장 다수당사자소송-제03절 당사자의 변경-4347.대법원 2005. 10. 27. 선고 2003다66691 판결</v>
      </c>
    </row>
    <row r="493" spans="2:14" ht="14.45" customHeight="1" x14ac:dyDescent="0.2">
      <c r="B493" s="61" t="s">
        <v>3397</v>
      </c>
      <c r="C493" s="64" t="s">
        <v>2554</v>
      </c>
      <c r="D493" s="238" t="s">
        <v>3487</v>
      </c>
      <c r="E493" s="239" t="s">
        <v>7</v>
      </c>
      <c r="F493" s="240" t="s">
        <v>79</v>
      </c>
      <c r="G493" s="241" t="s">
        <v>126</v>
      </c>
      <c r="H493" s="242" t="s">
        <v>2247</v>
      </c>
      <c r="I493" s="243">
        <v>2060</v>
      </c>
      <c r="J493" s="244"/>
      <c r="K493" s="245"/>
      <c r="L493" s="265" t="s">
        <v>2594</v>
      </c>
      <c r="M493" s="246"/>
      <c r="N493" s="265" t="str">
        <f>B493&amp;"-"&amp;C493&amp;"-"&amp;D493&amp;"-"&amp;IF(E493="요약",1,IF(E493="기출",2,IF(E493="예상",3,IF(E493="판례",4,5))))&amp;F493</f>
        <v>제6편 상소심절차-제13장 총설-제01절 상소의 의의-1상소심절차-총설</v>
      </c>
    </row>
    <row r="494" spans="2:14" ht="14.45" customHeight="1" x14ac:dyDescent="0.2">
      <c r="B494" s="80" t="s">
        <v>2543</v>
      </c>
      <c r="C494" s="86" t="s">
        <v>2553</v>
      </c>
      <c r="D494" s="83" t="s">
        <v>3449</v>
      </c>
      <c r="E494" s="144" t="s">
        <v>7</v>
      </c>
      <c r="F494" s="145" t="s">
        <v>78</v>
      </c>
      <c r="G494" s="146" t="s">
        <v>127</v>
      </c>
      <c r="H494" s="147" t="s">
        <v>2248</v>
      </c>
      <c r="I494" s="148">
        <v>2639</v>
      </c>
      <c r="J494" s="212"/>
      <c r="K494" s="213"/>
      <c r="L494" s="262" t="s">
        <v>2594</v>
      </c>
      <c r="M494" s="169"/>
      <c r="N494" s="262" t="str">
        <f>B494&amp;"-"&amp;C494&amp;"-"&amp;D494&amp;"-"&amp;IF(E494="요약",1,IF(E494="기출",2,IF(E494="예상",3,IF(E494="판례",4,5))))&amp;F494</f>
        <v>제6편 상소심절차-제13장 총설-제02절 상소의 적법요건-1상소심절차-총설</v>
      </c>
    </row>
    <row r="495" spans="2:14" ht="14.45" customHeight="1" x14ac:dyDescent="0.2">
      <c r="B495" s="80" t="s">
        <v>2543</v>
      </c>
      <c r="C495" s="86" t="s">
        <v>2553</v>
      </c>
      <c r="D495" s="91" t="s">
        <v>3449</v>
      </c>
      <c r="E495" s="149" t="s">
        <v>2426</v>
      </c>
      <c r="F495" s="150" t="s">
        <v>2337</v>
      </c>
      <c r="G495" s="151" t="s">
        <v>220</v>
      </c>
      <c r="H495" s="152" t="s">
        <v>2200</v>
      </c>
      <c r="I495" s="153">
        <v>1831</v>
      </c>
      <c r="J495" s="214"/>
      <c r="K495" s="215"/>
      <c r="L495" s="263" t="s">
        <v>2594</v>
      </c>
      <c r="M495" s="154"/>
      <c r="N495" s="263" t="str">
        <f>B495&amp;"-"&amp;C495&amp;"-"&amp;D495&amp;"-"&amp;IF(E495="요약",1,IF(E495="기출",2,IF(E495="예상",3,IF(E495="판례",4,5))))&amp;F495</f>
        <v>제6편 상소심절차-제13장 총설-제02절 상소의 적법요건-313.02-1</v>
      </c>
    </row>
    <row r="496" spans="2:14" ht="14.45" customHeight="1" x14ac:dyDescent="0.2">
      <c r="B496" s="80" t="s">
        <v>2543</v>
      </c>
      <c r="C496" s="86" t="s">
        <v>2553</v>
      </c>
      <c r="D496" s="91" t="s">
        <v>3449</v>
      </c>
      <c r="E496" s="149" t="s">
        <v>2426</v>
      </c>
      <c r="F496" s="150" t="s">
        <v>2338</v>
      </c>
      <c r="G496" s="151" t="s">
        <v>221</v>
      </c>
      <c r="H496" s="152" t="s">
        <v>2201</v>
      </c>
      <c r="I496" s="153">
        <v>2092</v>
      </c>
      <c r="J496" s="214"/>
      <c r="K496" s="215"/>
      <c r="L496" s="263" t="s">
        <v>2593</v>
      </c>
      <c r="M496" s="154"/>
      <c r="N496" s="263" t="str">
        <f>B496&amp;"-"&amp;C496&amp;"-"&amp;D496&amp;"-"&amp;IF(E496="요약",1,IF(E496="기출",2,IF(E496="예상",3,IF(E496="판례",4,5))))&amp;F496</f>
        <v>제6편 상소심절차-제13장 총설-제02절 상소의 적법요건-313.02-2</v>
      </c>
    </row>
    <row r="497" spans="2:14" ht="14.45" customHeight="1" x14ac:dyDescent="0.2">
      <c r="B497" s="80" t="s">
        <v>2543</v>
      </c>
      <c r="C497" s="86" t="s">
        <v>2553</v>
      </c>
      <c r="D497" s="91" t="s">
        <v>3449</v>
      </c>
      <c r="E497" s="149" t="s">
        <v>1553</v>
      </c>
      <c r="F497" s="150" t="s">
        <v>3999</v>
      </c>
      <c r="G497" s="151" t="s">
        <v>3347</v>
      </c>
      <c r="H497" s="152" t="s">
        <v>2951</v>
      </c>
      <c r="I497" s="153">
        <v>275</v>
      </c>
      <c r="J497" s="214"/>
      <c r="K497" s="215"/>
      <c r="L497" s="263"/>
      <c r="M497" s="154"/>
      <c r="N497" s="263" t="str">
        <f>B497&amp;"-"&amp;C497&amp;"-"&amp;D497&amp;"-"&amp;IF(E497="요약",1,IF(E497="기출",2,IF(E497="예상",3,IF(E497="판례",4,5))))&amp;F497</f>
        <v>제6편 상소심절차-제13장 총설-제02절 상소의 적법요건-4348.대법원 2006. 5. 2.자 2005마933 결정</v>
      </c>
    </row>
    <row r="498" spans="2:14" ht="14.45" customHeight="1" x14ac:dyDescent="0.2">
      <c r="B498" s="80" t="s">
        <v>2543</v>
      </c>
      <c r="C498" s="86" t="s">
        <v>2553</v>
      </c>
      <c r="D498" s="91" t="s">
        <v>3449</v>
      </c>
      <c r="E498" s="149" t="s">
        <v>1553</v>
      </c>
      <c r="F498" s="150" t="s">
        <v>3995</v>
      </c>
      <c r="G498" s="151" t="s">
        <v>3348</v>
      </c>
      <c r="H498" s="152" t="s">
        <v>2952</v>
      </c>
      <c r="I498" s="153">
        <v>376</v>
      </c>
      <c r="J498" s="214"/>
      <c r="K498" s="215"/>
      <c r="L498" s="263"/>
      <c r="M498" s="154"/>
      <c r="N498" s="263" t="str">
        <f>B498&amp;"-"&amp;C498&amp;"-"&amp;D498&amp;"-"&amp;IF(E498="요약",1,IF(E498="기출",2,IF(E498="예상",3,IF(E498="판례",4,5))))&amp;F498</f>
        <v>제6편 상소심절차-제13장 총설-제02절 상소의 적법요건-4349.대법원 1987. 6. 23. 선고 86다카2728 판결</v>
      </c>
    </row>
    <row r="499" spans="2:14" ht="14.45" customHeight="1" x14ac:dyDescent="0.2">
      <c r="B499" s="80" t="s">
        <v>2543</v>
      </c>
      <c r="C499" s="86" t="s">
        <v>2553</v>
      </c>
      <c r="D499" s="91" t="s">
        <v>3449</v>
      </c>
      <c r="E499" s="149" t="s">
        <v>1553</v>
      </c>
      <c r="F499" s="150" t="s">
        <v>4000</v>
      </c>
      <c r="G499" s="151" t="s">
        <v>3349</v>
      </c>
      <c r="H499" s="152" t="s">
        <v>2953</v>
      </c>
      <c r="I499" s="153">
        <v>573</v>
      </c>
      <c r="J499" s="214"/>
      <c r="K499" s="215"/>
      <c r="L499" s="263"/>
      <c r="M499" s="154"/>
      <c r="N499" s="263" t="str">
        <f>B499&amp;"-"&amp;C499&amp;"-"&amp;D499&amp;"-"&amp;IF(E499="요약",1,IF(E499="기출",2,IF(E499="예상",3,IF(E499="판례",4,5))))&amp;F499</f>
        <v>제6편 상소심절차-제13장 총설-제02절 상소의 적법요건-4350.대법원 2007. 11. 29. 선고 2007다52317,52324 판결</v>
      </c>
    </row>
    <row r="500" spans="2:14" ht="14.45" customHeight="1" x14ac:dyDescent="0.2">
      <c r="B500" s="80" t="s">
        <v>2543</v>
      </c>
      <c r="C500" s="86" t="s">
        <v>2553</v>
      </c>
      <c r="D500" s="91" t="s">
        <v>3449</v>
      </c>
      <c r="E500" s="149" t="s">
        <v>1553</v>
      </c>
      <c r="F500" s="150" t="s">
        <v>3998</v>
      </c>
      <c r="G500" s="151" t="s">
        <v>3350</v>
      </c>
      <c r="H500" s="152" t="s">
        <v>2954</v>
      </c>
      <c r="I500" s="153">
        <v>384</v>
      </c>
      <c r="J500" s="214"/>
      <c r="K500" s="215"/>
      <c r="L500" s="263"/>
      <c r="M500" s="154"/>
      <c r="N500" s="263" t="str">
        <f>B500&amp;"-"&amp;C500&amp;"-"&amp;D500&amp;"-"&amp;IF(E500="요약",1,IF(E500="기출",2,IF(E500="예상",3,IF(E500="판례",4,5))))&amp;F500</f>
        <v>제6편 상소심절차-제13장 총설-제02절 상소의 적법요건-4351.대법원 1997. 10. 24. 선고 96다12276 판결</v>
      </c>
    </row>
    <row r="501" spans="2:14" ht="14.45" customHeight="1" x14ac:dyDescent="0.2">
      <c r="B501" s="80" t="s">
        <v>2543</v>
      </c>
      <c r="C501" s="86" t="s">
        <v>2553</v>
      </c>
      <c r="D501" s="91" t="s">
        <v>3449</v>
      </c>
      <c r="E501" s="149" t="s">
        <v>1553</v>
      </c>
      <c r="F501" s="150" t="s">
        <v>3997</v>
      </c>
      <c r="G501" s="151" t="s">
        <v>3351</v>
      </c>
      <c r="H501" s="152" t="s">
        <v>2955</v>
      </c>
      <c r="I501" s="153">
        <v>402</v>
      </c>
      <c r="J501" s="214"/>
      <c r="K501" s="215"/>
      <c r="L501" s="263"/>
      <c r="M501" s="154"/>
      <c r="N501" s="263" t="str">
        <f>B501&amp;"-"&amp;C501&amp;"-"&amp;D501&amp;"-"&amp;IF(E501="요약",1,IF(E501="기출",2,IF(E501="예상",3,IF(E501="판례",4,5))))&amp;F501</f>
        <v>제6편 상소심절차-제13장 총설-제02절 상소의 적법요건-4352.대법원 1994. 6. 28. 선고 94다3063 판결</v>
      </c>
    </row>
    <row r="502" spans="2:14" ht="14.45" customHeight="1" x14ac:dyDescent="0.2">
      <c r="B502" s="80" t="s">
        <v>2543</v>
      </c>
      <c r="C502" s="86" t="s">
        <v>2553</v>
      </c>
      <c r="D502" s="91" t="s">
        <v>3449</v>
      </c>
      <c r="E502" s="149" t="s">
        <v>1553</v>
      </c>
      <c r="F502" s="150" t="s">
        <v>4001</v>
      </c>
      <c r="G502" s="151" t="s">
        <v>3352</v>
      </c>
      <c r="H502" s="152" t="s">
        <v>2956</v>
      </c>
      <c r="I502" s="153">
        <v>379</v>
      </c>
      <c r="J502" s="214"/>
      <c r="K502" s="215"/>
      <c r="L502" s="263"/>
      <c r="M502" s="154"/>
      <c r="N502" s="263" t="str">
        <f>B502&amp;"-"&amp;C502&amp;"-"&amp;D502&amp;"-"&amp;IF(E502="요약",1,IF(E502="기출",2,IF(E502="예상",3,IF(E502="판례",4,5))))&amp;F502</f>
        <v>제6편 상소심절차-제13장 총설-제02절 상소의 적법요건-4353.대법원 2018. 8. 30. 선고 2016다46338,46345 판결</v>
      </c>
    </row>
    <row r="503" spans="2:14" ht="14.45" customHeight="1" x14ac:dyDescent="0.2">
      <c r="B503" s="80" t="s">
        <v>2543</v>
      </c>
      <c r="C503" s="86" t="s">
        <v>2553</v>
      </c>
      <c r="D503" s="90" t="s">
        <v>3449</v>
      </c>
      <c r="E503" s="222" t="s">
        <v>1553</v>
      </c>
      <c r="F503" s="223" t="s">
        <v>3996</v>
      </c>
      <c r="G503" s="224" t="s">
        <v>3353</v>
      </c>
      <c r="H503" s="225" t="s">
        <v>2957</v>
      </c>
      <c r="I503" s="226">
        <v>683</v>
      </c>
      <c r="J503" s="227"/>
      <c r="K503" s="228"/>
      <c r="L503" s="260"/>
      <c r="M503" s="229"/>
      <c r="N503" s="260" t="str">
        <f>B503&amp;"-"&amp;C503&amp;"-"&amp;D503&amp;"-"&amp;IF(E503="요약",1,IF(E503="기출",2,IF(E503="예상",3,IF(E503="판례",4,5))))&amp;F503</f>
        <v>제6편 상소심절차-제13장 총설-제02절 상소의 적법요건-4354.대법원 1992. 3. 27. 선고 91다40696 판결</v>
      </c>
    </row>
    <row r="504" spans="2:14" ht="14.45" customHeight="1" x14ac:dyDescent="0.2">
      <c r="B504" s="80" t="s">
        <v>2543</v>
      </c>
      <c r="C504" s="86" t="s">
        <v>2553</v>
      </c>
      <c r="D504" s="83" t="s">
        <v>3447</v>
      </c>
      <c r="E504" s="144" t="s">
        <v>7</v>
      </c>
      <c r="F504" s="145" t="s">
        <v>78</v>
      </c>
      <c r="G504" s="146" t="s">
        <v>128</v>
      </c>
      <c r="H504" s="147" t="s">
        <v>2249</v>
      </c>
      <c r="I504" s="148">
        <v>1897</v>
      </c>
      <c r="J504" s="212"/>
      <c r="K504" s="213"/>
      <c r="L504" s="262" t="s">
        <v>2594</v>
      </c>
      <c r="M504" s="169"/>
      <c r="N504" s="262" t="str">
        <f>B504&amp;"-"&amp;C504&amp;"-"&amp;D504&amp;"-"&amp;IF(E504="요약",1,IF(E504="기출",2,IF(E504="예상",3,IF(E504="판례",4,5))))&amp;F504</f>
        <v>제6편 상소심절차-제13장 총설-제03절 상소의 효력-1상소심절차-총설</v>
      </c>
    </row>
    <row r="505" spans="2:14" ht="14.45" customHeight="1" x14ac:dyDescent="0.2">
      <c r="B505" s="80" t="s">
        <v>2543</v>
      </c>
      <c r="C505" s="86" t="s">
        <v>2553</v>
      </c>
      <c r="D505" s="91" t="s">
        <v>3447</v>
      </c>
      <c r="E505" s="149" t="s">
        <v>2425</v>
      </c>
      <c r="F505" s="150" t="s">
        <v>2329</v>
      </c>
      <c r="G505" s="151" t="s">
        <v>203</v>
      </c>
      <c r="H505" s="152" t="s">
        <v>2202</v>
      </c>
      <c r="I505" s="153">
        <v>2013</v>
      </c>
      <c r="J505" s="214"/>
      <c r="K505" s="215"/>
      <c r="L505" s="263" t="s">
        <v>2594</v>
      </c>
      <c r="M505" s="154"/>
      <c r="N505" s="263" t="str">
        <f>B505&amp;"-"&amp;C505&amp;"-"&amp;D505&amp;"-"&amp;IF(E505="요약",1,IF(E505="기출",2,IF(E505="예상",3,IF(E505="판례",4,5))))&amp;F505</f>
        <v>제6편 상소심절차-제13장 총설-제03절 상소의 효력-22024-1-2</v>
      </c>
    </row>
    <row r="506" spans="2:14" ht="14.45" customHeight="1" x14ac:dyDescent="0.2">
      <c r="B506" s="80" t="s">
        <v>2543</v>
      </c>
      <c r="C506" s="86" t="s">
        <v>2553</v>
      </c>
      <c r="D506" s="91" t="s">
        <v>3447</v>
      </c>
      <c r="E506" s="149" t="s">
        <v>1553</v>
      </c>
      <c r="F506" s="150" t="s">
        <v>4003</v>
      </c>
      <c r="G506" s="151" t="s">
        <v>3354</v>
      </c>
      <c r="H506" s="152" t="s">
        <v>2958</v>
      </c>
      <c r="I506" s="153">
        <v>331</v>
      </c>
      <c r="J506" s="214"/>
      <c r="K506" s="215"/>
      <c r="L506" s="263"/>
      <c r="M506" s="154"/>
      <c r="N506" s="263" t="str">
        <f>B506&amp;"-"&amp;C506&amp;"-"&amp;D506&amp;"-"&amp;IF(E506="요약",1,IF(E506="기출",2,IF(E506="예상",3,IF(E506="판례",4,5))))&amp;F506</f>
        <v>제6편 상소심절차-제13장 총설-제03절 상소의 효력-4355.대법원 2015. 10. 29. 선고 2013다45037 판결</v>
      </c>
    </row>
    <row r="507" spans="2:14" ht="14.45" customHeight="1" thickBot="1" x14ac:dyDescent="0.25">
      <c r="B507" s="80" t="s">
        <v>2543</v>
      </c>
      <c r="C507" s="87" t="s">
        <v>2553</v>
      </c>
      <c r="D507" s="92" t="s">
        <v>3447</v>
      </c>
      <c r="E507" s="155" t="s">
        <v>1553</v>
      </c>
      <c r="F507" s="156" t="s">
        <v>4002</v>
      </c>
      <c r="G507" s="157" t="s">
        <v>3355</v>
      </c>
      <c r="H507" s="158" t="s">
        <v>2959</v>
      </c>
      <c r="I507" s="159">
        <v>345</v>
      </c>
      <c r="J507" s="221"/>
      <c r="K507" s="220"/>
      <c r="L507" s="264"/>
      <c r="M507" s="171"/>
      <c r="N507" s="264" t="str">
        <f>B507&amp;"-"&amp;C507&amp;"-"&amp;D507&amp;"-"&amp;IF(E507="요약",1,IF(E507="기출",2,IF(E507="예상",3,IF(E507="판례",4,5))))&amp;F507</f>
        <v>제6편 상소심절차-제13장 총설-제03절 상소의 효력-4356.대법원 2001. 4. 27. 선고 99다30312 판결</v>
      </c>
    </row>
    <row r="508" spans="2:14" ht="14.45" customHeight="1" x14ac:dyDescent="0.2">
      <c r="B508" s="80" t="s">
        <v>2543</v>
      </c>
      <c r="C508" s="64" t="s">
        <v>2556</v>
      </c>
      <c r="D508" s="85" t="s">
        <v>3489</v>
      </c>
      <c r="E508" s="138" t="s">
        <v>7</v>
      </c>
      <c r="F508" s="139" t="s">
        <v>81</v>
      </c>
      <c r="G508" s="140" t="s">
        <v>1515</v>
      </c>
      <c r="H508" s="141" t="s">
        <v>2250</v>
      </c>
      <c r="I508" s="160">
        <v>1887</v>
      </c>
      <c r="J508" s="216"/>
      <c r="K508" s="211"/>
      <c r="L508" s="259" t="s">
        <v>2594</v>
      </c>
      <c r="M508" s="170"/>
      <c r="N508" s="259" t="str">
        <f>B508&amp;"-"&amp;C508&amp;"-"&amp;D508&amp;"-"&amp;IF(E508="요약",1,IF(E508="기출",2,IF(E508="예상",3,IF(E508="판례",4,5))))&amp;F508</f>
        <v>제6편 상소심절차-제14장 항소-제01절 항소의 개관-1상소심절차-항소</v>
      </c>
    </row>
    <row r="509" spans="2:14" ht="14.45" customHeight="1" x14ac:dyDescent="0.2">
      <c r="B509" s="80" t="s">
        <v>2543</v>
      </c>
      <c r="C509" s="86" t="s">
        <v>2555</v>
      </c>
      <c r="D509" s="90" t="s">
        <v>3489</v>
      </c>
      <c r="E509" s="222" t="s">
        <v>1553</v>
      </c>
      <c r="F509" s="223" t="s">
        <v>4004</v>
      </c>
      <c r="G509" s="224" t="s">
        <v>3356</v>
      </c>
      <c r="H509" s="225" t="s">
        <v>2960</v>
      </c>
      <c r="I509" s="247">
        <v>196</v>
      </c>
      <c r="J509" s="248"/>
      <c r="K509" s="228"/>
      <c r="L509" s="260"/>
      <c r="M509" s="229"/>
      <c r="N509" s="260" t="str">
        <f>B509&amp;"-"&amp;C509&amp;"-"&amp;D509&amp;"-"&amp;IF(E509="요약",1,IF(E509="기출",2,IF(E509="예상",3,IF(E509="판례",4,5))))&amp;F509</f>
        <v>제6편 상소심절차-제14장 항소-제01절 항소의 개관-4357.대법원 1996. 4. 9. 선고 95다14572 판결</v>
      </c>
    </row>
    <row r="510" spans="2:14" ht="14.45" customHeight="1" x14ac:dyDescent="0.2">
      <c r="B510" s="80" t="s">
        <v>2543</v>
      </c>
      <c r="C510" s="86" t="s">
        <v>2555</v>
      </c>
      <c r="D510" s="83" t="s">
        <v>3448</v>
      </c>
      <c r="E510" s="144" t="s">
        <v>7</v>
      </c>
      <c r="F510" s="145" t="s">
        <v>80</v>
      </c>
      <c r="G510" s="146" t="s">
        <v>129</v>
      </c>
      <c r="H510" s="147" t="s">
        <v>2251</v>
      </c>
      <c r="I510" s="161">
        <v>2071</v>
      </c>
      <c r="J510" s="217"/>
      <c r="K510" s="213"/>
      <c r="L510" s="262" t="s">
        <v>2594</v>
      </c>
      <c r="M510" s="169"/>
      <c r="N510" s="262" t="str">
        <f>B510&amp;"-"&amp;C510&amp;"-"&amp;D510&amp;"-"&amp;IF(E510="요약",1,IF(E510="기출",2,IF(E510="예상",3,IF(E510="판례",4,5))))&amp;F510</f>
        <v>제6편 상소심절차-제14장 항소-제02절 항소의 제기-1상소심절차-항소</v>
      </c>
    </row>
    <row r="511" spans="2:14" ht="14.45" customHeight="1" x14ac:dyDescent="0.2">
      <c r="B511" s="80" t="s">
        <v>2543</v>
      </c>
      <c r="C511" s="86" t="s">
        <v>2555</v>
      </c>
      <c r="D511" s="91" t="s">
        <v>3448</v>
      </c>
      <c r="E511" s="149" t="s">
        <v>2425</v>
      </c>
      <c r="F511" s="150" t="s">
        <v>2330</v>
      </c>
      <c r="G511" s="151" t="s">
        <v>2509</v>
      </c>
      <c r="H511" s="152" t="s">
        <v>2510</v>
      </c>
      <c r="I511" s="162">
        <v>1491</v>
      </c>
      <c r="J511" s="218"/>
      <c r="K511" s="215"/>
      <c r="L511" s="263" t="s">
        <v>2594</v>
      </c>
      <c r="M511" s="154" t="s">
        <v>3518</v>
      </c>
      <c r="N511" s="263" t="str">
        <f>B511&amp;"-"&amp;C511&amp;"-"&amp;D511&amp;"-"&amp;IF(E511="요약",1,IF(E511="기출",2,IF(E511="예상",3,IF(E511="판례",4,5))))&amp;F511</f>
        <v>제6편 상소심절차-제14장 항소-제02절 항소의 제기-22023-3</v>
      </c>
    </row>
    <row r="512" spans="2:14" ht="14.45" customHeight="1" x14ac:dyDescent="0.2">
      <c r="B512" s="80" t="s">
        <v>2543</v>
      </c>
      <c r="C512" s="86" t="s">
        <v>2555</v>
      </c>
      <c r="D512" s="91" t="s">
        <v>3448</v>
      </c>
      <c r="E512" s="149" t="s">
        <v>1553</v>
      </c>
      <c r="F512" s="150" t="s">
        <v>4007</v>
      </c>
      <c r="G512" s="151" t="s">
        <v>3357</v>
      </c>
      <c r="H512" s="152" t="s">
        <v>2961</v>
      </c>
      <c r="I512" s="162">
        <v>200</v>
      </c>
      <c r="J512" s="218"/>
      <c r="K512" s="215"/>
      <c r="L512" s="263"/>
      <c r="M512" s="154"/>
      <c r="N512" s="263" t="str">
        <f>B512&amp;"-"&amp;C512&amp;"-"&amp;D512&amp;"-"&amp;IF(E512="요약",1,IF(E512="기출",2,IF(E512="예상",3,IF(E512="판례",4,5))))&amp;F512</f>
        <v>제6편 상소심절차-제14장 항소-제02절 항소의 제기-4358.대법원 2017. 9. 21. 선고 2017다233931 판결</v>
      </c>
    </row>
    <row r="513" spans="2:14" ht="14.45" customHeight="1" x14ac:dyDescent="0.2">
      <c r="B513" s="80" t="s">
        <v>2543</v>
      </c>
      <c r="C513" s="86" t="s">
        <v>2555</v>
      </c>
      <c r="D513" s="91" t="s">
        <v>3448</v>
      </c>
      <c r="E513" s="149" t="s">
        <v>1553</v>
      </c>
      <c r="F513" s="150" t="s">
        <v>4006</v>
      </c>
      <c r="G513" s="151" t="s">
        <v>3358</v>
      </c>
      <c r="H513" s="152" t="s">
        <v>2962</v>
      </c>
      <c r="I513" s="162">
        <v>250</v>
      </c>
      <c r="J513" s="218"/>
      <c r="K513" s="215"/>
      <c r="L513" s="263"/>
      <c r="M513" s="154"/>
      <c r="N513" s="263" t="str">
        <f>B513&amp;"-"&amp;C513&amp;"-"&amp;D513&amp;"-"&amp;IF(E513="요약",1,IF(E513="기출",2,IF(E513="예상",3,IF(E513="판례",4,5))))&amp;F513</f>
        <v>제6편 상소심절차-제14장 항소-제02절 항소의 제기-4359.대법원 2017. 1. 12. 선고 2016다241249 판결</v>
      </c>
    </row>
    <row r="514" spans="2:14" ht="14.45" customHeight="1" x14ac:dyDescent="0.2">
      <c r="B514" s="80" t="s">
        <v>2543</v>
      </c>
      <c r="C514" s="86" t="s">
        <v>2555</v>
      </c>
      <c r="D514" s="91" t="s">
        <v>3448</v>
      </c>
      <c r="E514" s="149" t="s">
        <v>1553</v>
      </c>
      <c r="F514" s="150" t="s">
        <v>4008</v>
      </c>
      <c r="G514" s="151" t="s">
        <v>3359</v>
      </c>
      <c r="H514" s="152" t="s">
        <v>2963</v>
      </c>
      <c r="I514" s="162">
        <v>490</v>
      </c>
      <c r="J514" s="218"/>
      <c r="K514" s="215"/>
      <c r="L514" s="263"/>
      <c r="M514" s="154"/>
      <c r="N514" s="263" t="str">
        <f>B514&amp;"-"&amp;C514&amp;"-"&amp;D514&amp;"-"&amp;IF(E514="요약",1,IF(E514="기출",2,IF(E514="예상",3,IF(E514="판례",4,5))))&amp;F514</f>
        <v>제6편 상소심절차-제14장 항소-제02절 항소의 제기-4360.대법원 2022. 10. 14. 선고 2022다252387 판결</v>
      </c>
    </row>
    <row r="515" spans="2:14" ht="14.45" customHeight="1" x14ac:dyDescent="0.2">
      <c r="B515" s="80" t="s">
        <v>2543</v>
      </c>
      <c r="C515" s="86" t="s">
        <v>2555</v>
      </c>
      <c r="D515" s="90" t="s">
        <v>3448</v>
      </c>
      <c r="E515" s="222" t="s">
        <v>1553</v>
      </c>
      <c r="F515" s="223" t="s">
        <v>4005</v>
      </c>
      <c r="G515" s="224" t="s">
        <v>3360</v>
      </c>
      <c r="H515" s="225" t="s">
        <v>2964</v>
      </c>
      <c r="I515" s="247">
        <v>272</v>
      </c>
      <c r="J515" s="248"/>
      <c r="K515" s="228"/>
      <c r="L515" s="260"/>
      <c r="M515" s="229"/>
      <c r="N515" s="260" t="str">
        <f>B515&amp;"-"&amp;C515&amp;"-"&amp;D515&amp;"-"&amp;IF(E515="요약",1,IF(E515="기출",2,IF(E515="예상",3,IF(E515="판례",4,5))))&amp;F515</f>
        <v>제6편 상소심절차-제14장 항소-제02절 항소의 제기-4361.대법원 1995. 3. 10. 선고 94다51543 판결</v>
      </c>
    </row>
    <row r="516" spans="2:14" ht="14.45" customHeight="1" x14ac:dyDescent="0.2">
      <c r="B516" s="80" t="s">
        <v>2543</v>
      </c>
      <c r="C516" s="86" t="s">
        <v>2555</v>
      </c>
      <c r="D516" s="83" t="s">
        <v>3450</v>
      </c>
      <c r="E516" s="144" t="s">
        <v>7</v>
      </c>
      <c r="F516" s="145" t="s">
        <v>80</v>
      </c>
      <c r="G516" s="146" t="s">
        <v>130</v>
      </c>
      <c r="H516" s="147" t="s">
        <v>2252</v>
      </c>
      <c r="I516" s="161">
        <v>1781</v>
      </c>
      <c r="J516" s="217"/>
      <c r="K516" s="213"/>
      <c r="L516" s="262" t="s">
        <v>2594</v>
      </c>
      <c r="M516" s="169"/>
      <c r="N516" s="262" t="str">
        <f>B516&amp;"-"&amp;C516&amp;"-"&amp;D516&amp;"-"&amp;IF(E516="요약",1,IF(E516="기출",2,IF(E516="예상",3,IF(E516="판례",4,5))))&amp;F516</f>
        <v>제6편 상소심절차-제14장 항소-제03절 항소심의 심리-1상소심절차-항소</v>
      </c>
    </row>
    <row r="517" spans="2:14" ht="14.45" customHeight="1" x14ac:dyDescent="0.2">
      <c r="B517" s="80" t="s">
        <v>2543</v>
      </c>
      <c r="C517" s="86" t="s">
        <v>2555</v>
      </c>
      <c r="D517" s="91" t="s">
        <v>3450</v>
      </c>
      <c r="E517" s="149" t="s">
        <v>2426</v>
      </c>
      <c r="F517" s="150" t="s">
        <v>2339</v>
      </c>
      <c r="G517" s="151" t="s">
        <v>222</v>
      </c>
      <c r="H517" s="152" t="s">
        <v>2203</v>
      </c>
      <c r="I517" s="162">
        <v>1855</v>
      </c>
      <c r="J517" s="218"/>
      <c r="K517" s="215"/>
      <c r="L517" s="263" t="s">
        <v>2594</v>
      </c>
      <c r="M517" s="154"/>
      <c r="N517" s="263" t="str">
        <f>B517&amp;"-"&amp;C517&amp;"-"&amp;D517&amp;"-"&amp;IF(E517="요약",1,IF(E517="기출",2,IF(E517="예상",3,IF(E517="판례",4,5))))&amp;F517</f>
        <v>제6편 상소심절차-제14장 항소-제03절 항소심의 심리-314.03-1</v>
      </c>
    </row>
    <row r="518" spans="2:14" ht="14.45" customHeight="1" x14ac:dyDescent="0.2">
      <c r="B518" s="80" t="s">
        <v>2543</v>
      </c>
      <c r="C518" s="86" t="s">
        <v>2555</v>
      </c>
      <c r="D518" s="91" t="s">
        <v>3450</v>
      </c>
      <c r="E518" s="149" t="s">
        <v>2426</v>
      </c>
      <c r="F518" s="150" t="s">
        <v>2340</v>
      </c>
      <c r="G518" s="151" t="s">
        <v>223</v>
      </c>
      <c r="H518" s="152" t="s">
        <v>2204</v>
      </c>
      <c r="I518" s="162">
        <v>1940</v>
      </c>
      <c r="J518" s="218"/>
      <c r="K518" s="215"/>
      <c r="L518" s="263" t="s">
        <v>2594</v>
      </c>
      <c r="M518" s="154"/>
      <c r="N518" s="263" t="str">
        <f>B518&amp;"-"&amp;C518&amp;"-"&amp;D518&amp;"-"&amp;IF(E518="요약",1,IF(E518="기출",2,IF(E518="예상",3,IF(E518="판례",4,5))))&amp;F518</f>
        <v>제6편 상소심절차-제14장 항소-제03절 항소심의 심리-314.03-2</v>
      </c>
    </row>
    <row r="519" spans="2:14" ht="14.45" customHeight="1" x14ac:dyDescent="0.2">
      <c r="B519" s="80" t="s">
        <v>2543</v>
      </c>
      <c r="C519" s="86" t="s">
        <v>2555</v>
      </c>
      <c r="D519" s="91" t="s">
        <v>3450</v>
      </c>
      <c r="E519" s="149" t="s">
        <v>1553</v>
      </c>
      <c r="F519" s="150" t="s">
        <v>4011</v>
      </c>
      <c r="G519" s="151" t="s">
        <v>3361</v>
      </c>
      <c r="H519" s="152" t="s">
        <v>2965</v>
      </c>
      <c r="I519" s="162">
        <v>381</v>
      </c>
      <c r="J519" s="218"/>
      <c r="K519" s="215"/>
      <c r="L519" s="263"/>
      <c r="M519" s="154"/>
      <c r="N519" s="263" t="str">
        <f>B519&amp;"-"&amp;C519&amp;"-"&amp;D519&amp;"-"&amp;IF(E519="요약",1,IF(E519="기출",2,IF(E519="예상",3,IF(E519="판례",4,5))))&amp;F519</f>
        <v>제6편 상소심절차-제14장 항소-제03절 항소심의 심리-4362.대법원 1994. 12. 23. 선고 94다44644 판결</v>
      </c>
    </row>
    <row r="520" spans="2:14" ht="14.45" customHeight="1" x14ac:dyDescent="0.2">
      <c r="B520" s="80" t="s">
        <v>2543</v>
      </c>
      <c r="C520" s="86" t="s">
        <v>2555</v>
      </c>
      <c r="D520" s="91" t="s">
        <v>3450</v>
      </c>
      <c r="E520" s="149" t="s">
        <v>1553</v>
      </c>
      <c r="F520" s="150" t="s">
        <v>4009</v>
      </c>
      <c r="G520" s="151" t="s">
        <v>3362</v>
      </c>
      <c r="H520" s="152" t="s">
        <v>2966</v>
      </c>
      <c r="I520" s="162">
        <v>202</v>
      </c>
      <c r="J520" s="218"/>
      <c r="K520" s="215"/>
      <c r="L520" s="263"/>
      <c r="M520" s="154"/>
      <c r="N520" s="263" t="str">
        <f>B520&amp;"-"&amp;C520&amp;"-"&amp;D520&amp;"-"&amp;IF(E520="요약",1,IF(E520="기출",2,IF(E520="예상",3,IF(E520="판례",4,5))))&amp;F520</f>
        <v>제6편 상소심절차-제14장 항소-제03절 항소심의 심리-4363.대법원 1980. 7. 8. 선고 80다1192 판결</v>
      </c>
    </row>
    <row r="521" spans="2:14" ht="14.45" customHeight="1" x14ac:dyDescent="0.2">
      <c r="B521" s="80" t="s">
        <v>2543</v>
      </c>
      <c r="C521" s="86" t="s">
        <v>2555</v>
      </c>
      <c r="D521" s="91" t="s">
        <v>3450</v>
      </c>
      <c r="E521" s="149" t="s">
        <v>1553</v>
      </c>
      <c r="F521" s="150" t="s">
        <v>4010</v>
      </c>
      <c r="G521" s="151" t="s">
        <v>3363</v>
      </c>
      <c r="H521" s="152" t="s">
        <v>2967</v>
      </c>
      <c r="I521" s="162">
        <v>217</v>
      </c>
      <c r="J521" s="218"/>
      <c r="K521" s="215"/>
      <c r="L521" s="263"/>
      <c r="M521" s="154"/>
      <c r="N521" s="263" t="str">
        <f>B521&amp;"-"&amp;C521&amp;"-"&amp;D521&amp;"-"&amp;IF(E521="요약",1,IF(E521="기출",2,IF(E521="예상",3,IF(E521="판례",4,5))))&amp;F521</f>
        <v>제6편 상소심절차-제14장 항소-제03절 항소심의 심리-4364.대법원 1983. 12. 27. 선고 83다카1503 판결</v>
      </c>
    </row>
    <row r="522" spans="2:14" ht="14.45" customHeight="1" x14ac:dyDescent="0.2">
      <c r="B522" s="80" t="s">
        <v>2543</v>
      </c>
      <c r="C522" s="86" t="s">
        <v>2555</v>
      </c>
      <c r="D522" s="91" t="s">
        <v>3450</v>
      </c>
      <c r="E522" s="149" t="s">
        <v>1553</v>
      </c>
      <c r="F522" s="150" t="s">
        <v>4015</v>
      </c>
      <c r="G522" s="151" t="s">
        <v>3364</v>
      </c>
      <c r="H522" s="152" t="s">
        <v>2968</v>
      </c>
      <c r="I522" s="162">
        <v>389</v>
      </c>
      <c r="J522" s="218"/>
      <c r="K522" s="215"/>
      <c r="L522" s="263"/>
      <c r="M522" s="154"/>
      <c r="N522" s="263" t="str">
        <f>B522&amp;"-"&amp;C522&amp;"-"&amp;D522&amp;"-"&amp;IF(E522="요약",1,IF(E522="기출",2,IF(E522="예상",3,IF(E522="판례",4,5))))&amp;F522</f>
        <v>제6편 상소심절차-제14장 항소-제03절 항소심의 심리-4365.대법원 2005. 8. 19. 선고 2004다8197,8203 판결</v>
      </c>
    </row>
    <row r="523" spans="2:14" ht="14.45" customHeight="1" x14ac:dyDescent="0.2">
      <c r="B523" s="80" t="s">
        <v>2543</v>
      </c>
      <c r="C523" s="86" t="s">
        <v>2555</v>
      </c>
      <c r="D523" s="91" t="s">
        <v>3450</v>
      </c>
      <c r="E523" s="149" t="s">
        <v>1553</v>
      </c>
      <c r="F523" s="150" t="s">
        <v>4014</v>
      </c>
      <c r="G523" s="151" t="s">
        <v>3365</v>
      </c>
      <c r="H523" s="152" t="s">
        <v>2969</v>
      </c>
      <c r="I523" s="162">
        <v>426</v>
      </c>
      <c r="J523" s="218"/>
      <c r="K523" s="215"/>
      <c r="L523" s="263"/>
      <c r="M523" s="154"/>
      <c r="N523" s="263" t="str">
        <f>B523&amp;"-"&amp;C523&amp;"-"&amp;D523&amp;"-"&amp;IF(E523="요약",1,IF(E523="기출",2,IF(E523="예상",3,IF(E523="판례",4,5))))&amp;F523</f>
        <v>제6편 상소심절차-제14장 항소-제03절 항소심의 심리-4366.대법원 2003. 9. 26. 선고 2001다68914 판결</v>
      </c>
    </row>
    <row r="524" spans="2:14" ht="14.45" customHeight="1" x14ac:dyDescent="0.2">
      <c r="B524" s="80" t="s">
        <v>2543</v>
      </c>
      <c r="C524" s="86" t="s">
        <v>2555</v>
      </c>
      <c r="D524" s="91" t="s">
        <v>3450</v>
      </c>
      <c r="E524" s="149" t="s">
        <v>1553</v>
      </c>
      <c r="F524" s="150" t="s">
        <v>4013</v>
      </c>
      <c r="G524" s="151" t="s">
        <v>3366</v>
      </c>
      <c r="H524" s="152" t="s">
        <v>2970</v>
      </c>
      <c r="I524" s="162">
        <v>223</v>
      </c>
      <c r="J524" s="218"/>
      <c r="K524" s="215"/>
      <c r="L524" s="263"/>
      <c r="M524" s="154"/>
      <c r="N524" s="263" t="str">
        <f>B524&amp;"-"&amp;C524&amp;"-"&amp;D524&amp;"-"&amp;IF(E524="요약",1,IF(E524="기출",2,IF(E524="예상",3,IF(E524="판례",4,5))))&amp;F524</f>
        <v>제6편 상소심절차-제14장 항소-제03절 항소심의 심리-4367.대법원 1999. 6. 8. 선고 99다17401,17418 판결</v>
      </c>
    </row>
    <row r="525" spans="2:14" ht="14.45" customHeight="1" x14ac:dyDescent="0.2">
      <c r="B525" s="80" t="s">
        <v>2543</v>
      </c>
      <c r="C525" s="86" t="s">
        <v>2555</v>
      </c>
      <c r="D525" s="90" t="s">
        <v>3450</v>
      </c>
      <c r="E525" s="222" t="s">
        <v>1553</v>
      </c>
      <c r="F525" s="223" t="s">
        <v>4012</v>
      </c>
      <c r="G525" s="224" t="s">
        <v>3367</v>
      </c>
      <c r="H525" s="225" t="s">
        <v>2971</v>
      </c>
      <c r="I525" s="247">
        <v>301</v>
      </c>
      <c r="J525" s="248"/>
      <c r="K525" s="228"/>
      <c r="L525" s="260"/>
      <c r="M525" s="229"/>
      <c r="N525" s="260" t="str">
        <f>B525&amp;"-"&amp;C525&amp;"-"&amp;D525&amp;"-"&amp;IF(E525="요약",1,IF(E525="기출",2,IF(E525="예상",3,IF(E525="판례",4,5))))&amp;F525</f>
        <v>제6편 상소심절차-제14장 항소-제03절 항소심의 심리-4368.대법원 1995. 7. 25. 선고 95다14817 판결</v>
      </c>
    </row>
    <row r="526" spans="2:14" ht="14.45" customHeight="1" x14ac:dyDescent="0.2">
      <c r="B526" s="80" t="s">
        <v>2543</v>
      </c>
      <c r="C526" s="86" t="s">
        <v>2555</v>
      </c>
      <c r="D526" s="83" t="s">
        <v>3451</v>
      </c>
      <c r="E526" s="144" t="s">
        <v>7</v>
      </c>
      <c r="F526" s="145" t="s">
        <v>80</v>
      </c>
      <c r="G526" s="146" t="s">
        <v>131</v>
      </c>
      <c r="H526" s="147" t="s">
        <v>2253</v>
      </c>
      <c r="I526" s="161">
        <v>1934</v>
      </c>
      <c r="J526" s="217"/>
      <c r="K526" s="213"/>
      <c r="L526" s="262" t="s">
        <v>2594</v>
      </c>
      <c r="M526" s="169"/>
      <c r="N526" s="262" t="str">
        <f>B526&amp;"-"&amp;C526&amp;"-"&amp;D526&amp;"-"&amp;IF(E526="요약",1,IF(E526="기출",2,IF(E526="예상",3,IF(E526="판례",4,5))))&amp;F526</f>
        <v>제6편 상소심절차-제14장 항소-제04절 항소심의 종국재판-1상소심절차-항소</v>
      </c>
    </row>
    <row r="527" spans="2:14" ht="14.45" customHeight="1" x14ac:dyDescent="0.2">
      <c r="B527" s="80" t="s">
        <v>2543</v>
      </c>
      <c r="C527" s="86" t="s">
        <v>2555</v>
      </c>
      <c r="D527" s="91" t="s">
        <v>3451</v>
      </c>
      <c r="E527" s="149" t="s">
        <v>2426</v>
      </c>
      <c r="F527" s="150" t="s">
        <v>2341</v>
      </c>
      <c r="G527" s="151" t="s">
        <v>2369</v>
      </c>
      <c r="H527" s="152" t="s">
        <v>2371</v>
      </c>
      <c r="I527" s="162">
        <v>2112</v>
      </c>
      <c r="J527" s="218"/>
      <c r="K527" s="215"/>
      <c r="L527" s="263" t="s">
        <v>2595</v>
      </c>
      <c r="M527" s="154"/>
      <c r="N527" s="263" t="str">
        <f>B527&amp;"-"&amp;C527&amp;"-"&amp;D527&amp;"-"&amp;IF(E527="요약",1,IF(E527="기출",2,IF(E527="예상",3,IF(E527="판례",4,5))))&amp;F527</f>
        <v>제6편 상소심절차-제14장 항소-제04절 항소심의 종국재판-314.04-1</v>
      </c>
    </row>
    <row r="528" spans="2:14" ht="14.45" customHeight="1" x14ac:dyDescent="0.2">
      <c r="B528" s="80" t="s">
        <v>2543</v>
      </c>
      <c r="C528" s="86" t="s">
        <v>2555</v>
      </c>
      <c r="D528" s="91" t="s">
        <v>3451</v>
      </c>
      <c r="E528" s="149" t="s">
        <v>2426</v>
      </c>
      <c r="F528" s="150" t="s">
        <v>2342</v>
      </c>
      <c r="G528" s="151" t="s">
        <v>224</v>
      </c>
      <c r="H528" s="152" t="s">
        <v>2205</v>
      </c>
      <c r="I528" s="162">
        <v>1918</v>
      </c>
      <c r="J528" s="218"/>
      <c r="K528" s="215"/>
      <c r="L528" s="263" t="s">
        <v>2594</v>
      </c>
      <c r="M528" s="154"/>
      <c r="N528" s="263" t="str">
        <f>B528&amp;"-"&amp;C528&amp;"-"&amp;D528&amp;"-"&amp;IF(E528="요약",1,IF(E528="기출",2,IF(E528="예상",3,IF(E528="판례",4,5))))&amp;F528</f>
        <v>제6편 상소심절차-제14장 항소-제04절 항소심의 종국재판-314.04-2</v>
      </c>
    </row>
    <row r="529" spans="2:14" ht="14.45" customHeight="1" thickBot="1" x14ac:dyDescent="0.25">
      <c r="B529" s="80" t="s">
        <v>2543</v>
      </c>
      <c r="C529" s="87" t="s">
        <v>2555</v>
      </c>
      <c r="D529" s="92" t="s">
        <v>3451</v>
      </c>
      <c r="E529" s="155" t="s">
        <v>1553</v>
      </c>
      <c r="F529" s="156" t="s">
        <v>4016</v>
      </c>
      <c r="G529" s="157" t="s">
        <v>3368</v>
      </c>
      <c r="H529" s="158" t="s">
        <v>2972</v>
      </c>
      <c r="I529" s="163">
        <v>414</v>
      </c>
      <c r="J529" s="219"/>
      <c r="K529" s="220"/>
      <c r="L529" s="264"/>
      <c r="M529" s="171"/>
      <c r="N529" s="264" t="str">
        <f>B529&amp;"-"&amp;C529&amp;"-"&amp;D529&amp;"-"&amp;IF(E529="요약",1,IF(E529="기출",2,IF(E529="예상",3,IF(E529="판례",4,5))))&amp;F529</f>
        <v>제6편 상소심절차-제14장 항소-제04절 항소심의 종국재판-4369.대법원 2013. 8. 23. 선고 2013다28971 판결</v>
      </c>
    </row>
    <row r="530" spans="2:14" ht="14.45" customHeight="1" x14ac:dyDescent="0.2">
      <c r="B530" s="80" t="s">
        <v>2543</v>
      </c>
      <c r="C530" s="64" t="s">
        <v>2558</v>
      </c>
      <c r="D530" s="85" t="s">
        <v>3491</v>
      </c>
      <c r="E530" s="138" t="s">
        <v>7</v>
      </c>
      <c r="F530" s="139" t="s">
        <v>83</v>
      </c>
      <c r="G530" s="140" t="s">
        <v>132</v>
      </c>
      <c r="H530" s="141" t="s">
        <v>2254</v>
      </c>
      <c r="I530" s="160">
        <v>1890</v>
      </c>
      <c r="J530" s="216"/>
      <c r="K530" s="211"/>
      <c r="L530" s="259" t="s">
        <v>2594</v>
      </c>
      <c r="M530" s="170"/>
      <c r="N530" s="259" t="str">
        <f>B530&amp;"-"&amp;C530&amp;"-"&amp;D530&amp;"-"&amp;IF(E530="요약",1,IF(E530="기출",2,IF(E530="예상",3,IF(E530="판례",4,5))))&amp;F530</f>
        <v>제6편 상소심절차-제15장 상고-제01절 상고의 의의-1상소심절차-상고</v>
      </c>
    </row>
    <row r="531" spans="2:14" ht="14.45" customHeight="1" x14ac:dyDescent="0.2">
      <c r="B531" s="80" t="s">
        <v>2543</v>
      </c>
      <c r="C531" s="86" t="s">
        <v>2557</v>
      </c>
      <c r="D531" s="90" t="s">
        <v>3491</v>
      </c>
      <c r="E531" s="222" t="s">
        <v>1553</v>
      </c>
      <c r="F531" s="223" t="s">
        <v>4017</v>
      </c>
      <c r="G531" s="224" t="s">
        <v>3369</v>
      </c>
      <c r="H531" s="225" t="s">
        <v>2973</v>
      </c>
      <c r="I531" s="247">
        <v>280</v>
      </c>
      <c r="J531" s="248"/>
      <c r="K531" s="228"/>
      <c r="L531" s="260"/>
      <c r="M531" s="229"/>
      <c r="N531" s="260" t="str">
        <f>B531&amp;"-"&amp;C531&amp;"-"&amp;D531&amp;"-"&amp;IF(E531="요약",1,IF(E531="기출",2,IF(E531="예상",3,IF(E531="판례",4,5))))&amp;F531</f>
        <v>제6편 상소심절차-제15장 상고-제01절 상고의 의의-4370.대법원 2006. 10. 13. 선고 2004두10227 판결</v>
      </c>
    </row>
    <row r="532" spans="2:14" ht="14.45" customHeight="1" x14ac:dyDescent="0.2">
      <c r="B532" s="80" t="s">
        <v>2543</v>
      </c>
      <c r="C532" s="86" t="s">
        <v>2557</v>
      </c>
      <c r="D532" s="83" t="s">
        <v>3452</v>
      </c>
      <c r="E532" s="144" t="s">
        <v>7</v>
      </c>
      <c r="F532" s="145" t="s">
        <v>82</v>
      </c>
      <c r="G532" s="146" t="s">
        <v>133</v>
      </c>
      <c r="H532" s="147" t="s">
        <v>2255</v>
      </c>
      <c r="I532" s="161">
        <v>2431</v>
      </c>
      <c r="J532" s="217"/>
      <c r="K532" s="213"/>
      <c r="L532" s="262" t="s">
        <v>2594</v>
      </c>
      <c r="M532" s="169"/>
      <c r="N532" s="262" t="str">
        <f>B532&amp;"-"&amp;C532&amp;"-"&amp;D532&amp;"-"&amp;IF(E532="요약",1,IF(E532="기출",2,IF(E532="예상",3,IF(E532="판례",4,5))))&amp;F532</f>
        <v>제6편 상소심절차-제15장 상고-제02절 상고이유-1상소심절차-상고</v>
      </c>
    </row>
    <row r="533" spans="2:14" ht="14.45" customHeight="1" x14ac:dyDescent="0.2">
      <c r="B533" s="80" t="s">
        <v>2543</v>
      </c>
      <c r="C533" s="86" t="s">
        <v>2557</v>
      </c>
      <c r="D533" s="91" t="s">
        <v>3452</v>
      </c>
      <c r="E533" s="149" t="s">
        <v>2426</v>
      </c>
      <c r="F533" s="150" t="s">
        <v>2343</v>
      </c>
      <c r="G533" s="151" t="s">
        <v>225</v>
      </c>
      <c r="H533" s="152" t="s">
        <v>2206</v>
      </c>
      <c r="I533" s="162">
        <v>1934</v>
      </c>
      <c r="J533" s="218"/>
      <c r="K533" s="215"/>
      <c r="L533" s="263" t="s">
        <v>2594</v>
      </c>
      <c r="M533" s="154"/>
      <c r="N533" s="263" t="str">
        <f>B533&amp;"-"&amp;C533&amp;"-"&amp;D533&amp;"-"&amp;IF(E533="요약",1,IF(E533="기출",2,IF(E533="예상",3,IF(E533="판례",4,5))))&amp;F533</f>
        <v>제6편 상소심절차-제15장 상고-제02절 상고이유-315.02-1</v>
      </c>
    </row>
    <row r="534" spans="2:14" ht="14.45" customHeight="1" x14ac:dyDescent="0.2">
      <c r="B534" s="80" t="s">
        <v>2543</v>
      </c>
      <c r="C534" s="86" t="s">
        <v>2557</v>
      </c>
      <c r="D534" s="91" t="s">
        <v>3452</v>
      </c>
      <c r="E534" s="149" t="s">
        <v>2426</v>
      </c>
      <c r="F534" s="150" t="s">
        <v>2344</v>
      </c>
      <c r="G534" s="151" t="s">
        <v>2597</v>
      </c>
      <c r="H534" s="152" t="s">
        <v>2598</v>
      </c>
      <c r="I534" s="162">
        <v>2162</v>
      </c>
      <c r="J534" s="218"/>
      <c r="K534" s="215"/>
      <c r="L534" s="263" t="s">
        <v>2594</v>
      </c>
      <c r="M534" s="154"/>
      <c r="N534" s="263" t="str">
        <f>B534&amp;"-"&amp;C534&amp;"-"&amp;D534&amp;"-"&amp;IF(E534="요약",1,IF(E534="기출",2,IF(E534="예상",3,IF(E534="판례",4,5))))&amp;F534</f>
        <v>제6편 상소심절차-제15장 상고-제02절 상고이유-315.02-2</v>
      </c>
    </row>
    <row r="535" spans="2:14" ht="14.45" customHeight="1" x14ac:dyDescent="0.2">
      <c r="B535" s="80" t="s">
        <v>2543</v>
      </c>
      <c r="C535" s="86" t="s">
        <v>2557</v>
      </c>
      <c r="D535" s="91" t="s">
        <v>3452</v>
      </c>
      <c r="E535" s="149" t="s">
        <v>1553</v>
      </c>
      <c r="F535" s="150" t="s">
        <v>4020</v>
      </c>
      <c r="G535" s="151" t="s">
        <v>3370</v>
      </c>
      <c r="H535" s="152" t="s">
        <v>2974</v>
      </c>
      <c r="I535" s="162">
        <v>821</v>
      </c>
      <c r="J535" s="218"/>
      <c r="K535" s="215"/>
      <c r="L535" s="263"/>
      <c r="M535" s="154"/>
      <c r="N535" s="263" t="str">
        <f>B535&amp;"-"&amp;C535&amp;"-"&amp;D535&amp;"-"&amp;IF(E535="요약",1,IF(E535="기출",2,IF(E535="예상",3,IF(E535="판례",4,5))))&amp;F535</f>
        <v>제6편 상소심절차-제15장 상고-제02절 상고이유-4371.대법원 2011. 1. 13. 선고 2010다69940 판결</v>
      </c>
    </row>
    <row r="536" spans="2:14" ht="14.45" customHeight="1" x14ac:dyDescent="0.2">
      <c r="B536" s="80" t="s">
        <v>2543</v>
      </c>
      <c r="C536" s="86" t="s">
        <v>2557</v>
      </c>
      <c r="D536" s="91" t="s">
        <v>3452</v>
      </c>
      <c r="E536" s="149" t="s">
        <v>1553</v>
      </c>
      <c r="F536" s="150" t="s">
        <v>4019</v>
      </c>
      <c r="G536" s="151" t="s">
        <v>3371</v>
      </c>
      <c r="H536" s="152" t="s">
        <v>2975</v>
      </c>
      <c r="I536" s="162">
        <v>430</v>
      </c>
      <c r="J536" s="218"/>
      <c r="K536" s="215"/>
      <c r="L536" s="263"/>
      <c r="M536" s="154"/>
      <c r="N536" s="263" t="str">
        <f>B536&amp;"-"&amp;C536&amp;"-"&amp;D536&amp;"-"&amp;IF(E536="요약",1,IF(E536="기출",2,IF(E536="예상",3,IF(E536="판례",4,5))))&amp;F536</f>
        <v>제6편 상소심절차-제15장 상고-제02절 상고이유-4372.대법원 2005. 1. 28. 선고 2004다38624 판결</v>
      </c>
    </row>
    <row r="537" spans="2:14" ht="14.45" customHeight="1" x14ac:dyDescent="0.2">
      <c r="B537" s="80" t="s">
        <v>2543</v>
      </c>
      <c r="C537" s="86" t="s">
        <v>2557</v>
      </c>
      <c r="D537" s="90" t="s">
        <v>3452</v>
      </c>
      <c r="E537" s="222" t="s">
        <v>1553</v>
      </c>
      <c r="F537" s="223" t="s">
        <v>4018</v>
      </c>
      <c r="G537" s="224" t="s">
        <v>3372</v>
      </c>
      <c r="H537" s="225" t="s">
        <v>2976</v>
      </c>
      <c r="I537" s="247">
        <v>405</v>
      </c>
      <c r="J537" s="248"/>
      <c r="K537" s="228"/>
      <c r="L537" s="260"/>
      <c r="M537" s="229"/>
      <c r="N537" s="260" t="str">
        <f>B537&amp;"-"&amp;C537&amp;"-"&amp;D537&amp;"-"&amp;IF(E537="요약",1,IF(E537="기출",2,IF(E537="예상",3,IF(E537="판례",4,5))))&amp;F537</f>
        <v>제6편 상소심절차-제15장 상고-제02절 상고이유-4373.대법원 2001. 1. 16. 선고 2000다41349 판결</v>
      </c>
    </row>
    <row r="538" spans="2:14" ht="14.45" customHeight="1" x14ac:dyDescent="0.2">
      <c r="B538" s="80" t="s">
        <v>2543</v>
      </c>
      <c r="C538" s="86" t="s">
        <v>2557</v>
      </c>
      <c r="D538" s="83" t="s">
        <v>3453</v>
      </c>
      <c r="E538" s="144" t="s">
        <v>7</v>
      </c>
      <c r="F538" s="145" t="s">
        <v>82</v>
      </c>
      <c r="G538" s="146" t="s">
        <v>142</v>
      </c>
      <c r="H538" s="147" t="s">
        <v>2256</v>
      </c>
      <c r="I538" s="161">
        <v>1948</v>
      </c>
      <c r="J538" s="217"/>
      <c r="K538" s="213"/>
      <c r="L538" s="262" t="s">
        <v>2594</v>
      </c>
      <c r="M538" s="169"/>
      <c r="N538" s="262" t="str">
        <f>B538&amp;"-"&amp;C538&amp;"-"&amp;D538&amp;"-"&amp;IF(E538="요약",1,IF(E538="기출",2,IF(E538="예상",3,IF(E538="판례",4,5))))&amp;F538</f>
        <v>제6편 상소심절차-제15장 상고-제03절 상고심절차의 개시와 심리-1상소심절차-상고</v>
      </c>
    </row>
    <row r="539" spans="2:14" ht="14.45" customHeight="1" x14ac:dyDescent="0.2">
      <c r="B539" s="80" t="s">
        <v>2543</v>
      </c>
      <c r="C539" s="86" t="s">
        <v>2557</v>
      </c>
      <c r="D539" s="91" t="s">
        <v>3453</v>
      </c>
      <c r="E539" s="149" t="s">
        <v>2426</v>
      </c>
      <c r="F539" s="150" t="s">
        <v>2345</v>
      </c>
      <c r="G539" s="151" t="s">
        <v>226</v>
      </c>
      <c r="H539" s="152" t="s">
        <v>2207</v>
      </c>
      <c r="I539" s="162">
        <v>2184</v>
      </c>
      <c r="J539" s="218"/>
      <c r="K539" s="215"/>
      <c r="L539" s="263" t="s">
        <v>2594</v>
      </c>
      <c r="M539" s="154"/>
      <c r="N539" s="263" t="str">
        <f>B539&amp;"-"&amp;C539&amp;"-"&amp;D539&amp;"-"&amp;IF(E539="요약",1,IF(E539="기출",2,IF(E539="예상",3,IF(E539="판례",4,5))))&amp;F539</f>
        <v>제6편 상소심절차-제15장 상고-제03절 상고심절차의 개시와 심리-315.03-1</v>
      </c>
    </row>
    <row r="540" spans="2:14" ht="14.45" customHeight="1" x14ac:dyDescent="0.2">
      <c r="B540" s="80" t="s">
        <v>2543</v>
      </c>
      <c r="C540" s="86" t="s">
        <v>2557</v>
      </c>
      <c r="D540" s="91" t="s">
        <v>3453</v>
      </c>
      <c r="E540" s="149" t="s">
        <v>2426</v>
      </c>
      <c r="F540" s="150" t="s">
        <v>2346</v>
      </c>
      <c r="G540" s="151" t="s">
        <v>227</v>
      </c>
      <c r="H540" s="152" t="s">
        <v>2208</v>
      </c>
      <c r="I540" s="162">
        <v>2041</v>
      </c>
      <c r="J540" s="218"/>
      <c r="K540" s="215"/>
      <c r="L540" s="263" t="s">
        <v>2594</v>
      </c>
      <c r="M540" s="154"/>
      <c r="N540" s="263" t="str">
        <f>B540&amp;"-"&amp;C540&amp;"-"&amp;D540&amp;"-"&amp;IF(E540="요약",1,IF(E540="기출",2,IF(E540="예상",3,IF(E540="판례",4,5))))&amp;F540</f>
        <v>제6편 상소심절차-제15장 상고-제03절 상고심절차의 개시와 심리-315.03-2</v>
      </c>
    </row>
    <row r="541" spans="2:14" ht="14.45" customHeight="1" x14ac:dyDescent="0.2">
      <c r="B541" s="80" t="s">
        <v>2543</v>
      </c>
      <c r="C541" s="86" t="s">
        <v>2557</v>
      </c>
      <c r="D541" s="91" t="s">
        <v>3453</v>
      </c>
      <c r="E541" s="149" t="s">
        <v>1553</v>
      </c>
      <c r="F541" s="150" t="s">
        <v>4021</v>
      </c>
      <c r="G541" s="151" t="s">
        <v>3373</v>
      </c>
      <c r="H541" s="152" t="s">
        <v>2977</v>
      </c>
      <c r="I541" s="162">
        <v>280</v>
      </c>
      <c r="J541" s="218"/>
      <c r="K541" s="215"/>
      <c r="L541" s="263"/>
      <c r="M541" s="154"/>
      <c r="N541" s="263" t="str">
        <f>B541&amp;"-"&amp;C541&amp;"-"&amp;D541&amp;"-"&amp;IF(E541="요약",1,IF(E541="기출",2,IF(E541="예상",3,IF(E541="판례",4,5))))&amp;F541</f>
        <v>제6편 상소심절차-제15장 상고-제03절 상고심절차의 개시와 심리-4374.대법원 1998. 12. 11. 선고 97재다445 판결</v>
      </c>
    </row>
    <row r="542" spans="2:14" ht="14.45" customHeight="1" x14ac:dyDescent="0.2">
      <c r="B542" s="80" t="s">
        <v>2543</v>
      </c>
      <c r="C542" s="86" t="s">
        <v>2557</v>
      </c>
      <c r="D542" s="90" t="s">
        <v>3453</v>
      </c>
      <c r="E542" s="222" t="s">
        <v>1553</v>
      </c>
      <c r="F542" s="223" t="s">
        <v>4022</v>
      </c>
      <c r="G542" s="224" t="s">
        <v>3374</v>
      </c>
      <c r="H542" s="225" t="s">
        <v>2978</v>
      </c>
      <c r="I542" s="247">
        <v>658</v>
      </c>
      <c r="J542" s="248"/>
      <c r="K542" s="228"/>
      <c r="L542" s="260"/>
      <c r="M542" s="229"/>
      <c r="N542" s="260" t="str">
        <f>B542&amp;"-"&amp;C542&amp;"-"&amp;D542&amp;"-"&amp;IF(E542="요약",1,IF(E542="기출",2,IF(E542="예상",3,IF(E542="판례",4,5))))&amp;F542</f>
        <v>제6편 상소심절차-제15장 상고-제03절 상고심절차의 개시와 심리-4375.대법원 2013. 2. 28. 선고 2011다31706 판결</v>
      </c>
    </row>
    <row r="543" spans="2:14" ht="14.45" customHeight="1" x14ac:dyDescent="0.2">
      <c r="B543" s="80" t="s">
        <v>2543</v>
      </c>
      <c r="C543" s="86" t="s">
        <v>2557</v>
      </c>
      <c r="D543" s="83" t="s">
        <v>3454</v>
      </c>
      <c r="E543" s="144" t="s">
        <v>7</v>
      </c>
      <c r="F543" s="145" t="s">
        <v>82</v>
      </c>
      <c r="G543" s="146" t="s">
        <v>143</v>
      </c>
      <c r="H543" s="147" t="s">
        <v>2257</v>
      </c>
      <c r="I543" s="161">
        <v>1932</v>
      </c>
      <c r="J543" s="217"/>
      <c r="K543" s="213"/>
      <c r="L543" s="262" t="s">
        <v>2594</v>
      </c>
      <c r="M543" s="169"/>
      <c r="N543" s="262" t="str">
        <f>B543&amp;"-"&amp;C543&amp;"-"&amp;D543&amp;"-"&amp;IF(E543="요약",1,IF(E543="기출",2,IF(E543="예상",3,IF(E543="판례",4,5))))&amp;F543</f>
        <v>제6편 상소심절차-제15장 상고-제04절 상고심의 종국재판-1상소심절차-상고</v>
      </c>
    </row>
    <row r="544" spans="2:14" ht="14.45" customHeight="1" x14ac:dyDescent="0.2">
      <c r="B544" s="80" t="s">
        <v>2543</v>
      </c>
      <c r="C544" s="86" t="s">
        <v>2557</v>
      </c>
      <c r="D544" s="91" t="s">
        <v>3454</v>
      </c>
      <c r="E544" s="149" t="s">
        <v>2426</v>
      </c>
      <c r="F544" s="150" t="s">
        <v>2347</v>
      </c>
      <c r="G544" s="151" t="s">
        <v>228</v>
      </c>
      <c r="H544" s="152" t="s">
        <v>2209</v>
      </c>
      <c r="I544" s="162">
        <v>2168</v>
      </c>
      <c r="J544" s="218"/>
      <c r="K544" s="215"/>
      <c r="L544" s="263" t="s">
        <v>2595</v>
      </c>
      <c r="M544" s="154"/>
      <c r="N544" s="263" t="str">
        <f>B544&amp;"-"&amp;C544&amp;"-"&amp;D544&amp;"-"&amp;IF(E544="요약",1,IF(E544="기출",2,IF(E544="예상",3,IF(E544="판례",4,5))))&amp;F544</f>
        <v>제6편 상소심절차-제15장 상고-제04절 상고심의 종국재판-315.04-1</v>
      </c>
    </row>
    <row r="545" spans="2:14" ht="14.45" customHeight="1" x14ac:dyDescent="0.2">
      <c r="B545" s="80" t="s">
        <v>2543</v>
      </c>
      <c r="C545" s="86" t="s">
        <v>2557</v>
      </c>
      <c r="D545" s="91" t="s">
        <v>3454</v>
      </c>
      <c r="E545" s="149" t="s">
        <v>2426</v>
      </c>
      <c r="F545" s="150" t="s">
        <v>2348</v>
      </c>
      <c r="G545" s="151" t="s">
        <v>229</v>
      </c>
      <c r="H545" s="152" t="s">
        <v>2210</v>
      </c>
      <c r="I545" s="162">
        <v>2047</v>
      </c>
      <c r="J545" s="218"/>
      <c r="K545" s="215"/>
      <c r="L545" s="263" t="s">
        <v>2594</v>
      </c>
      <c r="M545" s="154"/>
      <c r="N545" s="263" t="str">
        <f>B545&amp;"-"&amp;C545&amp;"-"&amp;D545&amp;"-"&amp;IF(E545="요약",1,IF(E545="기출",2,IF(E545="예상",3,IF(E545="판례",4,5))))&amp;F545</f>
        <v>제6편 상소심절차-제15장 상고-제04절 상고심의 종국재판-315.04-2</v>
      </c>
    </row>
    <row r="546" spans="2:14" ht="14.45" customHeight="1" x14ac:dyDescent="0.2">
      <c r="B546" s="80" t="s">
        <v>2543</v>
      </c>
      <c r="C546" s="86" t="s">
        <v>2557</v>
      </c>
      <c r="D546" s="91" t="s">
        <v>3454</v>
      </c>
      <c r="E546" s="149" t="s">
        <v>1553</v>
      </c>
      <c r="F546" s="150" t="s">
        <v>4026</v>
      </c>
      <c r="G546" s="151" t="s">
        <v>3375</v>
      </c>
      <c r="H546" s="152" t="s">
        <v>2979</v>
      </c>
      <c r="I546" s="162">
        <v>469</v>
      </c>
      <c r="J546" s="218"/>
      <c r="K546" s="215"/>
      <c r="L546" s="263"/>
      <c r="M546" s="154"/>
      <c r="N546" s="263" t="str">
        <f>B546&amp;"-"&amp;C546&amp;"-"&amp;D546&amp;"-"&amp;IF(E546="요약",1,IF(E546="기출",2,IF(E546="예상",3,IF(E546="판례",4,5))))&amp;F546</f>
        <v>제6편 상소심절차-제15장 상고-제04절 상고심의 종국재판-4376.대법원 2014. 6. 12. 선고 2014다11376,11383 판결</v>
      </c>
    </row>
    <row r="547" spans="2:14" ht="14.45" customHeight="1" x14ac:dyDescent="0.2">
      <c r="B547" s="80" t="s">
        <v>2543</v>
      </c>
      <c r="C547" s="86" t="s">
        <v>2557</v>
      </c>
      <c r="D547" s="91" t="s">
        <v>3454</v>
      </c>
      <c r="E547" s="149" t="s">
        <v>1553</v>
      </c>
      <c r="F547" s="150" t="s">
        <v>4023</v>
      </c>
      <c r="G547" s="151" t="s">
        <v>3376</v>
      </c>
      <c r="H547" s="152" t="s">
        <v>2980</v>
      </c>
      <c r="I547" s="162">
        <v>899</v>
      </c>
      <c r="J547" s="218"/>
      <c r="K547" s="215"/>
      <c r="L547" s="263"/>
      <c r="M547" s="154"/>
      <c r="N547" s="263" t="str">
        <f>B547&amp;"-"&amp;C547&amp;"-"&amp;D547&amp;"-"&amp;IF(E547="요약",1,IF(E547="기출",2,IF(E547="예상",3,IF(E547="판례",4,5))))&amp;F547</f>
        <v>제6편 상소심절차-제15장 상고-제04절 상고심의 종국재판-4377.대법원 2001. 3. 15. 선고 98두15597 전원합의체 판결</v>
      </c>
    </row>
    <row r="548" spans="2:14" ht="14.45" customHeight="1" x14ac:dyDescent="0.2">
      <c r="B548" s="80" t="s">
        <v>2543</v>
      </c>
      <c r="C548" s="86" t="s">
        <v>2557</v>
      </c>
      <c r="D548" s="91" t="s">
        <v>3454</v>
      </c>
      <c r="E548" s="149" t="s">
        <v>1553</v>
      </c>
      <c r="F548" s="150" t="s">
        <v>4024</v>
      </c>
      <c r="G548" s="151" t="s">
        <v>3377</v>
      </c>
      <c r="H548" s="152" t="s">
        <v>2981</v>
      </c>
      <c r="I548" s="162">
        <v>323</v>
      </c>
      <c r="J548" s="218"/>
      <c r="K548" s="215"/>
      <c r="L548" s="263"/>
      <c r="M548" s="154"/>
      <c r="N548" s="263" t="str">
        <f>B548&amp;"-"&amp;C548&amp;"-"&amp;D548&amp;"-"&amp;IF(E548="요약",1,IF(E548="기출",2,IF(E548="예상",3,IF(E548="판례",4,5))))&amp;F548</f>
        <v>제6편 상소심절차-제15장 상고-제04절 상고심의 종국재판-4378.대법원 2012. 1. 12. 선고 2010다87757 판결</v>
      </c>
    </row>
    <row r="549" spans="2:14" ht="14.45" customHeight="1" thickBot="1" x14ac:dyDescent="0.25">
      <c r="B549" s="80" t="s">
        <v>2543</v>
      </c>
      <c r="C549" s="87" t="s">
        <v>2557</v>
      </c>
      <c r="D549" s="92" t="s">
        <v>3454</v>
      </c>
      <c r="E549" s="155" t="s">
        <v>1553</v>
      </c>
      <c r="F549" s="156" t="s">
        <v>4025</v>
      </c>
      <c r="G549" s="157" t="s">
        <v>3378</v>
      </c>
      <c r="H549" s="158" t="s">
        <v>2982</v>
      </c>
      <c r="I549" s="163">
        <v>662</v>
      </c>
      <c r="J549" s="219"/>
      <c r="K549" s="220"/>
      <c r="L549" s="264"/>
      <c r="M549" s="171"/>
      <c r="N549" s="264" t="str">
        <f>B549&amp;"-"&amp;C549&amp;"-"&amp;D549&amp;"-"&amp;IF(E549="요약",1,IF(E549="기출",2,IF(E549="예상",3,IF(E549="판례",4,5))))&amp;F549</f>
        <v>제6편 상소심절차-제15장 상고-제04절 상고심의 종국재판-4379.대법원 2012. 3. 29. 선고 2011다106136 판결</v>
      </c>
    </row>
    <row r="550" spans="2:14" ht="14.45" customHeight="1" x14ac:dyDescent="0.2">
      <c r="B550" s="80" t="s">
        <v>2543</v>
      </c>
      <c r="C550" s="64" t="s">
        <v>2560</v>
      </c>
      <c r="D550" s="85" t="s">
        <v>3493</v>
      </c>
      <c r="E550" s="138" t="s">
        <v>7</v>
      </c>
      <c r="F550" s="139" t="s">
        <v>85</v>
      </c>
      <c r="G550" s="140" t="s">
        <v>134</v>
      </c>
      <c r="H550" s="141" t="s">
        <v>2258</v>
      </c>
      <c r="I550" s="160">
        <v>2178</v>
      </c>
      <c r="J550" s="216"/>
      <c r="K550" s="211"/>
      <c r="L550" s="259" t="s">
        <v>2594</v>
      </c>
      <c r="M550" s="170"/>
      <c r="N550" s="259" t="str">
        <f>B550&amp;"-"&amp;C550&amp;"-"&amp;D550&amp;"-"&amp;IF(E550="요약",1,IF(E550="기출",2,IF(E550="예상",3,IF(E550="판례",4,5))))&amp;F550</f>
        <v>제6편 상소심절차-제16장 항고-제01절 항고의 의의-1상소심절차-항고</v>
      </c>
    </row>
    <row r="551" spans="2:14" ht="14.45" customHeight="1" x14ac:dyDescent="0.2">
      <c r="B551" s="80" t="s">
        <v>2543</v>
      </c>
      <c r="C551" s="86" t="s">
        <v>2559</v>
      </c>
      <c r="D551" s="91" t="s">
        <v>3493</v>
      </c>
      <c r="E551" s="149" t="s">
        <v>1553</v>
      </c>
      <c r="F551" s="150" t="s">
        <v>4029</v>
      </c>
      <c r="G551" s="151" t="s">
        <v>3379</v>
      </c>
      <c r="H551" s="152" t="s">
        <v>2983</v>
      </c>
      <c r="I551" s="162">
        <v>247</v>
      </c>
      <c r="J551" s="218"/>
      <c r="K551" s="215"/>
      <c r="L551" s="263"/>
      <c r="M551" s="154"/>
      <c r="N551" s="263" t="str">
        <f>B551&amp;"-"&amp;C551&amp;"-"&amp;D551&amp;"-"&amp;IF(E551="요약",1,IF(E551="기출",2,IF(E551="예상",3,IF(E551="판례",4,5))))&amp;F551</f>
        <v>제6편 상소심절차-제16장 항고-제01절 항고의 의의-4380.대법원 2004. 4. 28.자 2004스19 결정</v>
      </c>
    </row>
    <row r="552" spans="2:14" ht="14.45" customHeight="1" x14ac:dyDescent="0.2">
      <c r="B552" s="80" t="s">
        <v>2543</v>
      </c>
      <c r="C552" s="86" t="s">
        <v>2559</v>
      </c>
      <c r="D552" s="91" t="s">
        <v>3493</v>
      </c>
      <c r="E552" s="149" t="s">
        <v>1553</v>
      </c>
      <c r="F552" s="150" t="s">
        <v>4030</v>
      </c>
      <c r="G552" s="151" t="s">
        <v>3380</v>
      </c>
      <c r="H552" s="152" t="s">
        <v>2984</v>
      </c>
      <c r="I552" s="162">
        <v>202</v>
      </c>
      <c r="J552" s="218"/>
      <c r="K552" s="215"/>
      <c r="L552" s="263"/>
      <c r="M552" s="154"/>
      <c r="N552" s="263" t="str">
        <f>B552&amp;"-"&amp;C552&amp;"-"&amp;D552&amp;"-"&amp;IF(E552="요약",1,IF(E552="기출",2,IF(E552="예상",3,IF(E552="판례",4,5))))&amp;F552</f>
        <v>제6편 상소심절차-제16장 항고-제01절 항고의 의의-4381.대법원 2007. 7. 2.자 2006마409 결정</v>
      </c>
    </row>
    <row r="553" spans="2:14" ht="14.45" customHeight="1" x14ac:dyDescent="0.2">
      <c r="B553" s="80" t="s">
        <v>2543</v>
      </c>
      <c r="C553" s="86" t="s">
        <v>2559</v>
      </c>
      <c r="D553" s="91" t="s">
        <v>3493</v>
      </c>
      <c r="E553" s="149" t="s">
        <v>1553</v>
      </c>
      <c r="F553" s="150" t="s">
        <v>4027</v>
      </c>
      <c r="G553" s="151" t="s">
        <v>3381</v>
      </c>
      <c r="H553" s="152" t="s">
        <v>2985</v>
      </c>
      <c r="I553" s="162">
        <v>260</v>
      </c>
      <c r="J553" s="218"/>
      <c r="K553" s="215"/>
      <c r="L553" s="263"/>
      <c r="M553" s="154"/>
      <c r="N553" s="263" t="str">
        <f>B553&amp;"-"&amp;C553&amp;"-"&amp;D553&amp;"-"&amp;IF(E553="요약",1,IF(E553="기출",2,IF(E553="예상",3,IF(E553="판례",4,5))))&amp;F553</f>
        <v>제6편 상소심절차-제16장 항고-제01절 항고의 의의-4382.대법원 1984. 4. 28.자 84마251 결정</v>
      </c>
    </row>
    <row r="554" spans="2:14" ht="14.45" customHeight="1" x14ac:dyDescent="0.2">
      <c r="B554" s="80" t="s">
        <v>2543</v>
      </c>
      <c r="C554" s="86" t="s">
        <v>2559</v>
      </c>
      <c r="D554" s="91" t="s">
        <v>3493</v>
      </c>
      <c r="E554" s="149" t="s">
        <v>1553</v>
      </c>
      <c r="F554" s="150" t="s">
        <v>4031</v>
      </c>
      <c r="G554" s="151" t="s">
        <v>3382</v>
      </c>
      <c r="H554" s="152" t="s">
        <v>2986</v>
      </c>
      <c r="I554" s="162">
        <v>271</v>
      </c>
      <c r="J554" s="218"/>
      <c r="K554" s="215"/>
      <c r="L554" s="263"/>
      <c r="M554" s="154"/>
      <c r="N554" s="263" t="str">
        <f>B554&amp;"-"&amp;C554&amp;"-"&amp;D554&amp;"-"&amp;IF(E554="요약",1,IF(E554="기출",2,IF(E554="예상",3,IF(E554="판례",4,5))))&amp;F554</f>
        <v>제6편 상소심절차-제16장 항고-제01절 항고의 의의-4383.대법원 2008. 1. 24.자 2007그18 결정</v>
      </c>
    </row>
    <row r="555" spans="2:14" ht="14.45" customHeight="1" x14ac:dyDescent="0.2">
      <c r="B555" s="80" t="s">
        <v>2543</v>
      </c>
      <c r="C555" s="86" t="s">
        <v>2559</v>
      </c>
      <c r="D555" s="90" t="s">
        <v>3493</v>
      </c>
      <c r="E555" s="222" t="s">
        <v>1553</v>
      </c>
      <c r="F555" s="223" t="s">
        <v>4028</v>
      </c>
      <c r="G555" s="224" t="s">
        <v>3383</v>
      </c>
      <c r="H555" s="225" t="s">
        <v>2987</v>
      </c>
      <c r="I555" s="247">
        <v>208</v>
      </c>
      <c r="J555" s="248"/>
      <c r="K555" s="228"/>
      <c r="L555" s="260"/>
      <c r="M555" s="229"/>
      <c r="N555" s="260" t="str">
        <f>B555&amp;"-"&amp;C555&amp;"-"&amp;D555&amp;"-"&amp;IF(E555="요약",1,IF(E555="기출",2,IF(E555="예상",3,IF(E555="판례",4,5))))&amp;F555</f>
        <v>제6편 상소심절차-제16장 항고-제01절 항고의 의의-4384.대법원 2001. 2. 28.자 2001그4 결정</v>
      </c>
    </row>
    <row r="556" spans="2:14" ht="14.45" customHeight="1" x14ac:dyDescent="0.2">
      <c r="B556" s="80" t="s">
        <v>2543</v>
      </c>
      <c r="C556" s="86" t="s">
        <v>2559</v>
      </c>
      <c r="D556" s="83" t="s">
        <v>3455</v>
      </c>
      <c r="E556" s="144" t="s">
        <v>7</v>
      </c>
      <c r="F556" s="145" t="s">
        <v>84</v>
      </c>
      <c r="G556" s="146" t="s">
        <v>135</v>
      </c>
      <c r="H556" s="147" t="s">
        <v>2259</v>
      </c>
      <c r="I556" s="161">
        <v>2066</v>
      </c>
      <c r="J556" s="217"/>
      <c r="K556" s="213"/>
      <c r="L556" s="262" t="s">
        <v>2594</v>
      </c>
      <c r="M556" s="169"/>
      <c r="N556" s="262" t="str">
        <f>B556&amp;"-"&amp;C556&amp;"-"&amp;D556&amp;"-"&amp;IF(E556="요약",1,IF(E556="기출",2,IF(E556="예상",3,IF(E556="판례",4,5))))&amp;F556</f>
        <v>제6편 상소심절차-제16장 항고-제02절 항고의 절차-1상소심절차-항고</v>
      </c>
    </row>
    <row r="557" spans="2:14" ht="14.45" customHeight="1" x14ac:dyDescent="0.2">
      <c r="B557" s="80" t="s">
        <v>2543</v>
      </c>
      <c r="C557" s="86" t="s">
        <v>2559</v>
      </c>
      <c r="D557" s="91" t="s">
        <v>3455</v>
      </c>
      <c r="E557" s="149" t="s">
        <v>2426</v>
      </c>
      <c r="F557" s="150" t="s">
        <v>2349</v>
      </c>
      <c r="G557" s="151" t="s">
        <v>230</v>
      </c>
      <c r="H557" s="152" t="s">
        <v>2211</v>
      </c>
      <c r="I557" s="162">
        <v>1925</v>
      </c>
      <c r="J557" s="218"/>
      <c r="K557" s="215"/>
      <c r="L557" s="263" t="s">
        <v>2594</v>
      </c>
      <c r="M557" s="154"/>
      <c r="N557" s="263" t="str">
        <f>B557&amp;"-"&amp;C557&amp;"-"&amp;D557&amp;"-"&amp;IF(E557="요약",1,IF(E557="기출",2,IF(E557="예상",3,IF(E557="판례",4,5))))&amp;F557</f>
        <v>제6편 상소심절차-제16장 항고-제02절 항고의 절차-316.02-1</v>
      </c>
    </row>
    <row r="558" spans="2:14" ht="14.45" customHeight="1" thickBot="1" x14ac:dyDescent="0.25">
      <c r="B558" s="81" t="s">
        <v>2543</v>
      </c>
      <c r="C558" s="87" t="s">
        <v>2559</v>
      </c>
      <c r="D558" s="92" t="s">
        <v>3455</v>
      </c>
      <c r="E558" s="155" t="s">
        <v>2426</v>
      </c>
      <c r="F558" s="156" t="s">
        <v>2350</v>
      </c>
      <c r="G558" s="157" t="s">
        <v>231</v>
      </c>
      <c r="H558" s="158" t="s">
        <v>2212</v>
      </c>
      <c r="I558" s="163">
        <v>1902</v>
      </c>
      <c r="J558" s="219"/>
      <c r="K558" s="220"/>
      <c r="L558" s="264" t="s">
        <v>2594</v>
      </c>
      <c r="M558" s="171"/>
      <c r="N558" s="264" t="str">
        <f>B558&amp;"-"&amp;C558&amp;"-"&amp;D558&amp;"-"&amp;IF(E558="요약",1,IF(E558="기출",2,IF(E558="예상",3,IF(E558="판례",4,5))))&amp;F558</f>
        <v>제6편 상소심절차-제16장 항고-제02절 항고의 절차-316.02-2</v>
      </c>
    </row>
    <row r="559" spans="2:14" ht="14.45" customHeight="1" x14ac:dyDescent="0.2">
      <c r="B559" s="61" t="s">
        <v>2599</v>
      </c>
      <c r="C559" s="82" t="s">
        <v>2562</v>
      </c>
      <c r="D559" s="238" t="s">
        <v>3495</v>
      </c>
      <c r="E559" s="239" t="s">
        <v>7</v>
      </c>
      <c r="F559" s="240" t="s">
        <v>87</v>
      </c>
      <c r="G559" s="241" t="s">
        <v>136</v>
      </c>
      <c r="H559" s="242" t="s">
        <v>2260</v>
      </c>
      <c r="I559" s="249">
        <v>1902</v>
      </c>
      <c r="J559" s="250"/>
      <c r="K559" s="245"/>
      <c r="L559" s="265" t="s">
        <v>2594</v>
      </c>
      <c r="M559" s="246"/>
      <c r="N559" s="265" t="str">
        <f>B559&amp;"-"&amp;C559&amp;"-"&amp;D559&amp;"-"&amp;IF(E559="요약",1,IF(E559="기출",2,IF(E559="예상",3,IF(E559="판례",4,5))))&amp;F559</f>
        <v>제7편 재심절차-제17장 재심-제01절 재심의 개념-1재심절차</v>
      </c>
    </row>
    <row r="560" spans="2:14" ht="14.45" customHeight="1" x14ac:dyDescent="0.2">
      <c r="B560" s="80" t="s">
        <v>2544</v>
      </c>
      <c r="C560" s="88" t="s">
        <v>2561</v>
      </c>
      <c r="D560" s="83" t="s">
        <v>3456</v>
      </c>
      <c r="E560" s="144" t="s">
        <v>7</v>
      </c>
      <c r="F560" s="145" t="s">
        <v>86</v>
      </c>
      <c r="G560" s="146" t="s">
        <v>137</v>
      </c>
      <c r="H560" s="147" t="s">
        <v>2261</v>
      </c>
      <c r="I560" s="161">
        <v>2067</v>
      </c>
      <c r="J560" s="217"/>
      <c r="K560" s="213"/>
      <c r="L560" s="262" t="s">
        <v>2594</v>
      </c>
      <c r="M560" s="169"/>
      <c r="N560" s="262" t="str">
        <f>B560&amp;"-"&amp;C560&amp;"-"&amp;D560&amp;"-"&amp;IF(E560="요약",1,IF(E560="기출",2,IF(E560="예상",3,IF(E560="판례",4,5))))&amp;F560</f>
        <v>제7편 재심절차-제17장 재심-제02절 재심의 소송물-1재심절차</v>
      </c>
    </row>
    <row r="561" spans="2:14" ht="14.45" customHeight="1" x14ac:dyDescent="0.2">
      <c r="B561" s="80" t="s">
        <v>2544</v>
      </c>
      <c r="C561" s="88" t="s">
        <v>2561</v>
      </c>
      <c r="D561" s="91" t="s">
        <v>3456</v>
      </c>
      <c r="E561" s="149" t="s">
        <v>2426</v>
      </c>
      <c r="F561" s="150" t="s">
        <v>2351</v>
      </c>
      <c r="G561" s="151" t="s">
        <v>232</v>
      </c>
      <c r="H561" s="152" t="s">
        <v>2213</v>
      </c>
      <c r="I561" s="162">
        <v>2022</v>
      </c>
      <c r="J561" s="218"/>
      <c r="K561" s="215"/>
      <c r="L561" s="263" t="s">
        <v>2594</v>
      </c>
      <c r="M561" s="154"/>
      <c r="N561" s="263" t="str">
        <f>B561&amp;"-"&amp;C561&amp;"-"&amp;D561&amp;"-"&amp;IF(E561="요약",1,IF(E561="기출",2,IF(E561="예상",3,IF(E561="판례",4,5))))&amp;F561</f>
        <v>제7편 재심절차-제17장 재심-제02절 재심의 소송물-317.02-1</v>
      </c>
    </row>
    <row r="562" spans="2:14" ht="14.45" customHeight="1" x14ac:dyDescent="0.2">
      <c r="B562" s="80" t="s">
        <v>2544</v>
      </c>
      <c r="C562" s="88" t="s">
        <v>2561</v>
      </c>
      <c r="D562" s="90" t="s">
        <v>3456</v>
      </c>
      <c r="E562" s="222" t="s">
        <v>2426</v>
      </c>
      <c r="F562" s="223" t="s">
        <v>2352</v>
      </c>
      <c r="G562" s="224" t="s">
        <v>233</v>
      </c>
      <c r="H562" s="225" t="s">
        <v>2214</v>
      </c>
      <c r="I562" s="247">
        <v>2073</v>
      </c>
      <c r="J562" s="248"/>
      <c r="K562" s="228"/>
      <c r="L562" s="260" t="s">
        <v>2594</v>
      </c>
      <c r="M562" s="229"/>
      <c r="N562" s="260" t="str">
        <f>B562&amp;"-"&amp;C562&amp;"-"&amp;D562&amp;"-"&amp;IF(E562="요약",1,IF(E562="기출",2,IF(E562="예상",3,IF(E562="판례",4,5))))&amp;F562</f>
        <v>제7편 재심절차-제17장 재심-제02절 재심의 소송물-317.02-2</v>
      </c>
    </row>
    <row r="563" spans="2:14" ht="14.45" customHeight="1" x14ac:dyDescent="0.2">
      <c r="B563" s="80" t="s">
        <v>2544</v>
      </c>
      <c r="C563" s="88" t="s">
        <v>2561</v>
      </c>
      <c r="D563" s="83" t="s">
        <v>3457</v>
      </c>
      <c r="E563" s="144" t="s">
        <v>7</v>
      </c>
      <c r="F563" s="145" t="s">
        <v>87</v>
      </c>
      <c r="G563" s="146" t="s">
        <v>138</v>
      </c>
      <c r="H563" s="147" t="s">
        <v>2262</v>
      </c>
      <c r="I563" s="161">
        <v>2641</v>
      </c>
      <c r="J563" s="217"/>
      <c r="K563" s="213"/>
      <c r="L563" s="262" t="s">
        <v>2594</v>
      </c>
      <c r="M563" s="169"/>
      <c r="N563" s="262" t="str">
        <f>B563&amp;"-"&amp;C563&amp;"-"&amp;D563&amp;"-"&amp;IF(E563="요약",1,IF(E563="기출",2,IF(E563="예상",3,IF(E563="판례",4,5))))&amp;F563</f>
        <v>제7편 재심절차-제17장 재심-제03절 적법요건-1재심절차</v>
      </c>
    </row>
    <row r="564" spans="2:14" ht="14.45" customHeight="1" x14ac:dyDescent="0.2">
      <c r="B564" s="80" t="s">
        <v>2544</v>
      </c>
      <c r="C564" s="88" t="s">
        <v>2561</v>
      </c>
      <c r="D564" s="91" t="s">
        <v>3457</v>
      </c>
      <c r="E564" s="149" t="s">
        <v>2426</v>
      </c>
      <c r="F564" s="150" t="s">
        <v>2353</v>
      </c>
      <c r="G564" s="151" t="s">
        <v>234</v>
      </c>
      <c r="H564" s="152" t="s">
        <v>2215</v>
      </c>
      <c r="I564" s="162">
        <v>2273</v>
      </c>
      <c r="J564" s="218"/>
      <c r="K564" s="215"/>
      <c r="L564" s="263" t="s">
        <v>2594</v>
      </c>
      <c r="M564" s="154"/>
      <c r="N564" s="263" t="str">
        <f>B564&amp;"-"&amp;C564&amp;"-"&amp;D564&amp;"-"&amp;IF(E564="요약",1,IF(E564="기출",2,IF(E564="예상",3,IF(E564="판례",4,5))))&amp;F564</f>
        <v>제7편 재심절차-제17장 재심-제03절 적법요건-317.03-1</v>
      </c>
    </row>
    <row r="565" spans="2:14" ht="14.45" customHeight="1" x14ac:dyDescent="0.2">
      <c r="B565" s="80" t="s">
        <v>2544</v>
      </c>
      <c r="C565" s="88" t="s">
        <v>2561</v>
      </c>
      <c r="D565" s="91" t="s">
        <v>3457</v>
      </c>
      <c r="E565" s="149" t="s">
        <v>2426</v>
      </c>
      <c r="F565" s="150" t="s">
        <v>2354</v>
      </c>
      <c r="G565" s="151" t="s">
        <v>235</v>
      </c>
      <c r="H565" s="152" t="s">
        <v>2216</v>
      </c>
      <c r="I565" s="162">
        <v>2095</v>
      </c>
      <c r="J565" s="218"/>
      <c r="K565" s="215"/>
      <c r="L565" s="263" t="s">
        <v>2594</v>
      </c>
      <c r="M565" s="154"/>
      <c r="N565" s="263" t="str">
        <f>B565&amp;"-"&amp;C565&amp;"-"&amp;D565&amp;"-"&amp;IF(E565="요약",1,IF(E565="기출",2,IF(E565="예상",3,IF(E565="판례",4,5))))&amp;F565</f>
        <v>제7편 재심절차-제17장 재심-제03절 적법요건-317.03-2</v>
      </c>
    </row>
    <row r="566" spans="2:14" ht="14.45" customHeight="1" x14ac:dyDescent="0.2">
      <c r="B566" s="80" t="s">
        <v>2544</v>
      </c>
      <c r="C566" s="88" t="s">
        <v>2561</v>
      </c>
      <c r="D566" s="91" t="s">
        <v>3457</v>
      </c>
      <c r="E566" s="149" t="s">
        <v>2426</v>
      </c>
      <c r="F566" s="150" t="s">
        <v>3569</v>
      </c>
      <c r="G566" s="151" t="s">
        <v>3591</v>
      </c>
      <c r="H566" s="152" t="s">
        <v>3592</v>
      </c>
      <c r="I566" s="162">
        <v>1324</v>
      </c>
      <c r="J566" s="218"/>
      <c r="K566" s="215"/>
      <c r="L566" s="263" t="s">
        <v>2593</v>
      </c>
      <c r="M566" s="154" t="s">
        <v>3518</v>
      </c>
      <c r="N566" s="263" t="str">
        <f>B566&amp;"-"&amp;C566&amp;"-"&amp;D566&amp;"-"&amp;IF(E566="요약",1,IF(E566="기출",2,IF(E566="예상",3,IF(E566="판례",4,5))))&amp;F566</f>
        <v>제7편 재심절차-제17장 재심-제03절 적법요건-317.03-3</v>
      </c>
    </row>
    <row r="567" spans="2:14" ht="14.45" customHeight="1" x14ac:dyDescent="0.2">
      <c r="B567" s="80" t="s">
        <v>2544</v>
      </c>
      <c r="C567" s="88" t="s">
        <v>2561</v>
      </c>
      <c r="D567" s="91" t="s">
        <v>3457</v>
      </c>
      <c r="E567" s="149" t="s">
        <v>1553</v>
      </c>
      <c r="F567" s="150" t="s">
        <v>4038</v>
      </c>
      <c r="G567" s="151" t="s">
        <v>3384</v>
      </c>
      <c r="H567" s="152" t="s">
        <v>2988</v>
      </c>
      <c r="I567" s="162">
        <v>240</v>
      </c>
      <c r="J567" s="218"/>
      <c r="K567" s="215"/>
      <c r="L567" s="263"/>
      <c r="M567" s="154"/>
      <c r="N567" s="263" t="str">
        <f>B567&amp;"-"&amp;C567&amp;"-"&amp;D567&amp;"-"&amp;IF(E567="요약",1,IF(E567="기출",2,IF(E567="예상",3,IF(E567="판례",4,5))))&amp;F567</f>
        <v>제7편 재심절차-제17장 재심-제03절 적법요건-4385.대법원 2012. 12. 27. 선고 2012다75239 판결</v>
      </c>
    </row>
    <row r="568" spans="2:14" ht="14.45" customHeight="1" x14ac:dyDescent="0.2">
      <c r="B568" s="80" t="s">
        <v>2544</v>
      </c>
      <c r="C568" s="88" t="s">
        <v>2561</v>
      </c>
      <c r="D568" s="91" t="s">
        <v>3457</v>
      </c>
      <c r="E568" s="149" t="s">
        <v>1553</v>
      </c>
      <c r="F568" s="150" t="s">
        <v>4040</v>
      </c>
      <c r="G568" s="151" t="s">
        <v>3385</v>
      </c>
      <c r="H568" s="152" t="s">
        <v>2989</v>
      </c>
      <c r="I568" s="162">
        <v>549</v>
      </c>
      <c r="J568" s="218"/>
      <c r="K568" s="215"/>
      <c r="L568" s="263"/>
      <c r="M568" s="154"/>
      <c r="N568" s="263" t="str">
        <f>B568&amp;"-"&amp;C568&amp;"-"&amp;D568&amp;"-"&amp;IF(E568="요약",1,IF(E568="기출",2,IF(E568="예상",3,IF(E568="판례",4,5))))&amp;F568</f>
        <v>제7편 재심절차-제17장 재심-제03절 적법요건-4386.대법원 2015. 12. 23. 선고 2013다17124 판결</v>
      </c>
    </row>
    <row r="569" spans="2:14" ht="14.45" customHeight="1" x14ac:dyDescent="0.2">
      <c r="B569" s="80" t="s">
        <v>2544</v>
      </c>
      <c r="C569" s="88" t="s">
        <v>2561</v>
      </c>
      <c r="D569" s="91" t="s">
        <v>3457</v>
      </c>
      <c r="E569" s="149" t="s">
        <v>1553</v>
      </c>
      <c r="F569" s="150" t="s">
        <v>4034</v>
      </c>
      <c r="G569" s="151" t="s">
        <v>3386</v>
      </c>
      <c r="H569" s="152" t="s">
        <v>2990</v>
      </c>
      <c r="I569" s="162">
        <v>1142</v>
      </c>
      <c r="J569" s="218"/>
      <c r="K569" s="215"/>
      <c r="L569" s="263"/>
      <c r="M569" s="154"/>
      <c r="N569" s="263" t="str">
        <f>B569&amp;"-"&amp;C569&amp;"-"&amp;D569&amp;"-"&amp;IF(E569="요약",1,IF(E569="기출",2,IF(E569="예상",3,IF(E569="판례",4,5))))&amp;F569</f>
        <v>제7편 재심절차-제17장 재심-제03절 적법요건-4387.대법원 1995. 2. 14. 선고 93재다27,34 전원합의체 판결</v>
      </c>
    </row>
    <row r="570" spans="2:14" ht="14.45" customHeight="1" x14ac:dyDescent="0.2">
      <c r="B570" s="80" t="s">
        <v>2544</v>
      </c>
      <c r="C570" s="88" t="s">
        <v>2561</v>
      </c>
      <c r="D570" s="91" t="s">
        <v>3457</v>
      </c>
      <c r="E570" s="149" t="s">
        <v>1553</v>
      </c>
      <c r="F570" s="150" t="s">
        <v>4035</v>
      </c>
      <c r="G570" s="151" t="s">
        <v>3387</v>
      </c>
      <c r="H570" s="152" t="s">
        <v>2991</v>
      </c>
      <c r="I570" s="162">
        <v>287</v>
      </c>
      <c r="J570" s="218"/>
      <c r="K570" s="215"/>
      <c r="L570" s="263"/>
      <c r="M570" s="154"/>
      <c r="N570" s="263" t="str">
        <f>B570&amp;"-"&amp;C570&amp;"-"&amp;D570&amp;"-"&amp;IF(E570="요약",1,IF(E570="기출",2,IF(E570="예상",3,IF(E570="판례",4,5))))&amp;F570</f>
        <v>제7편 재심절차-제17장 재심-제03절 적법요건-4388.대법원 1996. 5. 31. 선고 95다33993 판결</v>
      </c>
    </row>
    <row r="571" spans="2:14" ht="14.45" customHeight="1" x14ac:dyDescent="0.2">
      <c r="B571" s="80" t="s">
        <v>2544</v>
      </c>
      <c r="C571" s="88" t="s">
        <v>2561</v>
      </c>
      <c r="D571" s="91" t="s">
        <v>3457</v>
      </c>
      <c r="E571" s="149" t="s">
        <v>1553</v>
      </c>
      <c r="F571" s="150" t="s">
        <v>4033</v>
      </c>
      <c r="G571" s="151" t="s">
        <v>3388</v>
      </c>
      <c r="H571" s="152" t="s">
        <v>2992</v>
      </c>
      <c r="I571" s="162">
        <v>532</v>
      </c>
      <c r="J571" s="218"/>
      <c r="K571" s="215"/>
      <c r="L571" s="263"/>
      <c r="M571" s="154"/>
      <c r="N571" s="263" t="str">
        <f>B571&amp;"-"&amp;C571&amp;"-"&amp;D571&amp;"-"&amp;IF(E571="요약",1,IF(E571="기출",2,IF(E571="예상",3,IF(E571="판례",4,5))))&amp;F571</f>
        <v>제7편 재심절차-제17장 재심-제03절 적법요건-4389.대법원 1991. 11. 12. 선고 91다29057 판결</v>
      </c>
    </row>
    <row r="572" spans="2:14" ht="14.45" customHeight="1" x14ac:dyDescent="0.2">
      <c r="B572" s="80" t="s">
        <v>2544</v>
      </c>
      <c r="C572" s="88" t="s">
        <v>2561</v>
      </c>
      <c r="D572" s="91" t="s">
        <v>3457</v>
      </c>
      <c r="E572" s="149" t="s">
        <v>1553</v>
      </c>
      <c r="F572" s="150" t="s">
        <v>4032</v>
      </c>
      <c r="G572" s="151" t="s">
        <v>3389</v>
      </c>
      <c r="H572" s="152" t="s">
        <v>2993</v>
      </c>
      <c r="I572" s="162">
        <v>381</v>
      </c>
      <c r="J572" s="218"/>
      <c r="K572" s="215"/>
      <c r="L572" s="263"/>
      <c r="M572" s="154"/>
      <c r="N572" s="263" t="str">
        <f>B572&amp;"-"&amp;C572&amp;"-"&amp;D572&amp;"-"&amp;IF(E572="요약",1,IF(E572="기출",2,IF(E572="예상",3,IF(E572="판례",4,5))))&amp;F572</f>
        <v>제7편 재심절차-제17장 재심-제03절 적법요건-4390.대법원 1989. 10. 24. 선고 88다카29658 판결</v>
      </c>
    </row>
    <row r="573" spans="2:14" ht="14.45" customHeight="1" x14ac:dyDescent="0.2">
      <c r="B573" s="80" t="s">
        <v>2544</v>
      </c>
      <c r="C573" s="88" t="s">
        <v>2561</v>
      </c>
      <c r="D573" s="91" t="s">
        <v>3457</v>
      </c>
      <c r="E573" s="149" t="s">
        <v>1553</v>
      </c>
      <c r="F573" s="150" t="s">
        <v>4036</v>
      </c>
      <c r="G573" s="151" t="s">
        <v>3390</v>
      </c>
      <c r="H573" s="152" t="s">
        <v>2994</v>
      </c>
      <c r="I573" s="162">
        <v>334</v>
      </c>
      <c r="J573" s="218"/>
      <c r="K573" s="215"/>
      <c r="L573" s="263"/>
      <c r="M573" s="154"/>
      <c r="N573" s="263" t="str">
        <f>B573&amp;"-"&amp;C573&amp;"-"&amp;D573&amp;"-"&amp;IF(E573="요약",1,IF(E573="기출",2,IF(E573="예상",3,IF(E573="판례",4,5))))&amp;F573</f>
        <v>제7편 재심절차-제17장 재심-제03절 적법요건-4391.대법원 1999. 2. 26. 선고 98다47290 판결</v>
      </c>
    </row>
    <row r="574" spans="2:14" ht="14.45" customHeight="1" x14ac:dyDescent="0.2">
      <c r="B574" s="80" t="s">
        <v>2544</v>
      </c>
      <c r="C574" s="88" t="s">
        <v>2561</v>
      </c>
      <c r="D574" s="91" t="s">
        <v>3457</v>
      </c>
      <c r="E574" s="149" t="s">
        <v>1553</v>
      </c>
      <c r="F574" s="150" t="s">
        <v>4039</v>
      </c>
      <c r="G574" s="151" t="s">
        <v>3391</v>
      </c>
      <c r="H574" s="152" t="s">
        <v>2995</v>
      </c>
      <c r="I574" s="162">
        <v>801</v>
      </c>
      <c r="J574" s="218"/>
      <c r="K574" s="215"/>
      <c r="L574" s="263"/>
      <c r="M574" s="154"/>
      <c r="N574" s="263" t="str">
        <f>B574&amp;"-"&amp;C574&amp;"-"&amp;D574&amp;"-"&amp;IF(E574="요약",1,IF(E574="기출",2,IF(E574="예상",3,IF(E574="판례",4,5))))&amp;F574</f>
        <v>제7편 재심절차-제17장 재심-제03절 적법요건-4392.대법원 2012. 6. 14. 선고 2010다86112 판결</v>
      </c>
    </row>
    <row r="575" spans="2:14" ht="14.45" customHeight="1" x14ac:dyDescent="0.2">
      <c r="B575" s="80" t="s">
        <v>2544</v>
      </c>
      <c r="C575" s="88" t="s">
        <v>2561</v>
      </c>
      <c r="D575" s="90" t="s">
        <v>3457</v>
      </c>
      <c r="E575" s="222" t="s">
        <v>1553</v>
      </c>
      <c r="F575" s="223" t="s">
        <v>4037</v>
      </c>
      <c r="G575" s="224" t="s">
        <v>3392</v>
      </c>
      <c r="H575" s="225" t="s">
        <v>2996</v>
      </c>
      <c r="I575" s="247">
        <v>644</v>
      </c>
      <c r="J575" s="248"/>
      <c r="K575" s="228"/>
      <c r="L575" s="260"/>
      <c r="M575" s="229"/>
      <c r="N575" s="260" t="str">
        <f>B575&amp;"-"&amp;C575&amp;"-"&amp;D575&amp;"-"&amp;IF(E575="요약",1,IF(E575="기출",2,IF(E575="예상",3,IF(E575="판례",4,5))))&amp;F575</f>
        <v>제7편 재심절차-제17장 재심-제03절 적법요건-4393.대법원 2011. 7. 21. 선고 2011재다199 전원합의체 판결</v>
      </c>
    </row>
    <row r="576" spans="2:14" ht="14.45" customHeight="1" x14ac:dyDescent="0.2">
      <c r="B576" s="80" t="s">
        <v>2544</v>
      </c>
      <c r="C576" s="88" t="s">
        <v>2561</v>
      </c>
      <c r="D576" s="83" t="s">
        <v>3458</v>
      </c>
      <c r="E576" s="144" t="s">
        <v>7</v>
      </c>
      <c r="F576" s="145" t="s">
        <v>87</v>
      </c>
      <c r="G576" s="146" t="s">
        <v>86</v>
      </c>
      <c r="H576" s="147" t="s">
        <v>2263</v>
      </c>
      <c r="I576" s="161">
        <v>2005</v>
      </c>
      <c r="J576" s="217"/>
      <c r="K576" s="213"/>
      <c r="L576" s="262" t="s">
        <v>2594</v>
      </c>
      <c r="M576" s="169"/>
      <c r="N576" s="262" t="str">
        <f>B576&amp;"-"&amp;C576&amp;"-"&amp;D576&amp;"-"&amp;IF(E576="요약",1,IF(E576="기출",2,IF(E576="예상",3,IF(E576="판례",4,5))))&amp;F576</f>
        <v>제7편 재심절차-제17장 재심-제04절 재심절차-1재심절차</v>
      </c>
    </row>
    <row r="577" spans="2:14" ht="14.45" customHeight="1" x14ac:dyDescent="0.2">
      <c r="B577" s="80" t="s">
        <v>2544</v>
      </c>
      <c r="C577" s="88" t="s">
        <v>2561</v>
      </c>
      <c r="D577" s="91" t="s">
        <v>3458</v>
      </c>
      <c r="E577" s="149" t="s">
        <v>2426</v>
      </c>
      <c r="F577" s="150" t="s">
        <v>2355</v>
      </c>
      <c r="G577" s="151" t="s">
        <v>236</v>
      </c>
      <c r="H577" s="152" t="s">
        <v>2217</v>
      </c>
      <c r="I577" s="162">
        <v>2115</v>
      </c>
      <c r="J577" s="218"/>
      <c r="K577" s="215"/>
      <c r="L577" s="263" t="s">
        <v>2594</v>
      </c>
      <c r="M577" s="154"/>
      <c r="N577" s="263" t="str">
        <f>B577&amp;"-"&amp;C577&amp;"-"&amp;D577&amp;"-"&amp;IF(E577="요약",1,IF(E577="기출",2,IF(E577="예상",3,IF(E577="판례",4,5))))&amp;F577</f>
        <v>제7편 재심절차-제17장 재심-제04절 재심절차-317.04-1</v>
      </c>
    </row>
    <row r="578" spans="2:14" ht="14.45" customHeight="1" x14ac:dyDescent="0.2">
      <c r="B578" s="80" t="s">
        <v>2544</v>
      </c>
      <c r="C578" s="88" t="s">
        <v>2561</v>
      </c>
      <c r="D578" s="91" t="s">
        <v>3458</v>
      </c>
      <c r="E578" s="149" t="s">
        <v>2426</v>
      </c>
      <c r="F578" s="150" t="s">
        <v>2356</v>
      </c>
      <c r="G578" s="151" t="s">
        <v>237</v>
      </c>
      <c r="H578" s="152" t="s">
        <v>2218</v>
      </c>
      <c r="I578" s="162">
        <v>2119</v>
      </c>
      <c r="J578" s="218"/>
      <c r="K578" s="215"/>
      <c r="L578" s="263" t="s">
        <v>2594</v>
      </c>
      <c r="M578" s="154"/>
      <c r="N578" s="263" t="str">
        <f>B578&amp;"-"&amp;C578&amp;"-"&amp;D578&amp;"-"&amp;IF(E578="요약",1,IF(E578="기출",2,IF(E578="예상",3,IF(E578="판례",4,5))))&amp;F578</f>
        <v>제7편 재심절차-제17장 재심-제04절 재심절차-317.04-2</v>
      </c>
    </row>
    <row r="579" spans="2:14" ht="14.45" customHeight="1" x14ac:dyDescent="0.2">
      <c r="B579" s="80" t="s">
        <v>2544</v>
      </c>
      <c r="C579" s="88" t="s">
        <v>2561</v>
      </c>
      <c r="D579" s="90" t="s">
        <v>3458</v>
      </c>
      <c r="E579" s="222" t="s">
        <v>1553</v>
      </c>
      <c r="F579" s="223" t="s">
        <v>4041</v>
      </c>
      <c r="G579" s="224" t="s">
        <v>3393</v>
      </c>
      <c r="H579" s="225" t="s">
        <v>2997</v>
      </c>
      <c r="I579" s="247">
        <v>407</v>
      </c>
      <c r="J579" s="248"/>
      <c r="K579" s="228"/>
      <c r="L579" s="260"/>
      <c r="M579" s="229"/>
      <c r="N579" s="260" t="str">
        <f>B579&amp;"-"&amp;C579&amp;"-"&amp;D579&amp;"-"&amp;IF(E579="요약",1,IF(E579="기출",2,IF(E579="예상",3,IF(E579="판례",4,5))))&amp;F579</f>
        <v>제7편 재심절차-제17장 재심-제04절 재심절차-4394.대법원 1984. 2. 28. 선고 83다카1981 전원합의체 판결</v>
      </c>
    </row>
    <row r="580" spans="2:14" ht="14.45" customHeight="1" x14ac:dyDescent="0.2">
      <c r="B580" s="80" t="s">
        <v>2544</v>
      </c>
      <c r="C580" s="88" t="s">
        <v>2561</v>
      </c>
      <c r="D580" s="84" t="s">
        <v>3459</v>
      </c>
      <c r="E580" s="144" t="s">
        <v>7</v>
      </c>
      <c r="F580" s="145" t="s">
        <v>86</v>
      </c>
      <c r="G580" s="146" t="s">
        <v>139</v>
      </c>
      <c r="H580" s="147" t="s">
        <v>2264</v>
      </c>
      <c r="I580" s="161">
        <v>1599</v>
      </c>
      <c r="J580" s="217"/>
      <c r="K580" s="213"/>
      <c r="L580" s="262" t="s">
        <v>2594</v>
      </c>
      <c r="M580" s="169"/>
      <c r="N580" s="262" t="str">
        <f>B580&amp;"-"&amp;C580&amp;"-"&amp;D580&amp;"-"&amp;IF(E580="요약",1,IF(E580="기출",2,IF(E580="예상",3,IF(E580="판례",4,5))))&amp;F580</f>
        <v>제7편 재심절차-제17장 재심-제05절 준재심-1재심절차</v>
      </c>
    </row>
    <row r="581" spans="2:14" ht="14.45" customHeight="1" x14ac:dyDescent="0.2">
      <c r="B581" s="80" t="s">
        <v>2544</v>
      </c>
      <c r="C581" s="88" t="s">
        <v>2561</v>
      </c>
      <c r="D581" s="91" t="s">
        <v>3459</v>
      </c>
      <c r="E581" s="149" t="s">
        <v>2426</v>
      </c>
      <c r="F581" s="150" t="s">
        <v>3402</v>
      </c>
      <c r="G581" s="151" t="s">
        <v>3403</v>
      </c>
      <c r="H581" s="152" t="s">
        <v>2219</v>
      </c>
      <c r="I581" s="162">
        <v>2195</v>
      </c>
      <c r="J581" s="218"/>
      <c r="K581" s="215"/>
      <c r="L581" s="263" t="s">
        <v>2595</v>
      </c>
      <c r="M581" s="154"/>
      <c r="N581" s="263" t="str">
        <f>B581&amp;"-"&amp;C581&amp;"-"&amp;D581&amp;"-"&amp;IF(E581="요약",1,IF(E581="기출",2,IF(E581="예상",3,IF(E581="판례",4,5))))&amp;F581</f>
        <v>제7편 재심절차-제17장 재심-제05절 준재심-317.05-1</v>
      </c>
    </row>
    <row r="582" spans="2:14" ht="14.45" customHeight="1" x14ac:dyDescent="0.2">
      <c r="B582" s="80" t="s">
        <v>2544</v>
      </c>
      <c r="C582" s="88" t="s">
        <v>2561</v>
      </c>
      <c r="D582" s="91" t="s">
        <v>3459</v>
      </c>
      <c r="E582" s="149" t="s">
        <v>2426</v>
      </c>
      <c r="F582" s="150" t="s">
        <v>3404</v>
      </c>
      <c r="G582" s="151" t="s">
        <v>3405</v>
      </c>
      <c r="H582" s="152" t="s">
        <v>3406</v>
      </c>
      <c r="I582" s="162">
        <v>2275</v>
      </c>
      <c r="J582" s="218"/>
      <c r="K582" s="215"/>
      <c r="L582" s="263" t="s">
        <v>2595</v>
      </c>
      <c r="M582" s="154"/>
      <c r="N582" s="263" t="str">
        <f>B582&amp;"-"&amp;C582&amp;"-"&amp;D582&amp;"-"&amp;IF(E582="요약",1,IF(E582="기출",2,IF(E582="예상",3,IF(E582="판례",4,5))))&amp;F582</f>
        <v>제7편 재심절차-제17장 재심-제05절 준재심-317.05-2</v>
      </c>
    </row>
    <row r="583" spans="2:14" ht="14.45" customHeight="1" x14ac:dyDescent="0.2">
      <c r="B583" s="80" t="s">
        <v>2544</v>
      </c>
      <c r="C583" s="88" t="s">
        <v>2561</v>
      </c>
      <c r="D583" s="91" t="s">
        <v>3459</v>
      </c>
      <c r="E583" s="149" t="s">
        <v>1553</v>
      </c>
      <c r="F583" s="150" t="s">
        <v>4043</v>
      </c>
      <c r="G583" s="151" t="s">
        <v>3395</v>
      </c>
      <c r="H583" s="152" t="s">
        <v>2999</v>
      </c>
      <c r="I583" s="162">
        <v>629</v>
      </c>
      <c r="J583" s="218"/>
      <c r="K583" s="215"/>
      <c r="L583" s="263"/>
      <c r="M583" s="154"/>
      <c r="N583" s="263" t="str">
        <f>B583&amp;"-"&amp;C583&amp;"-"&amp;D583&amp;"-"&amp;IF(E583="요약",1,IF(E583="기출",2,IF(E583="예상",3,IF(E583="판례",4,5))))&amp;F583</f>
        <v>제7편 재심절차-제17장 재심-제05절 준재심-4396.대법원 2005. 6. 24. 선고 2003다55936 판결</v>
      </c>
    </row>
    <row r="584" spans="2:14" ht="14.45" customHeight="1" thickBot="1" x14ac:dyDescent="0.25">
      <c r="B584" s="81" t="s">
        <v>2544</v>
      </c>
      <c r="C584" s="89" t="s">
        <v>2561</v>
      </c>
      <c r="D584" s="92" t="s">
        <v>3459</v>
      </c>
      <c r="E584" s="155" t="s">
        <v>1553</v>
      </c>
      <c r="F584" s="156" t="s">
        <v>4042</v>
      </c>
      <c r="G584" s="157" t="s">
        <v>3396</v>
      </c>
      <c r="H584" s="158" t="s">
        <v>3000</v>
      </c>
      <c r="I584" s="163">
        <v>262</v>
      </c>
      <c r="J584" s="219"/>
      <c r="K584" s="220"/>
      <c r="L584" s="264"/>
      <c r="M584" s="171"/>
      <c r="N584" s="264" t="str">
        <f>B584&amp;"-"&amp;C584&amp;"-"&amp;D584&amp;"-"&amp;IF(E584="요약",1,IF(E584="기출",2,IF(E584="예상",3,IF(E584="판례",4,5))))&amp;F584</f>
        <v>제7편 재심절차-제17장 재심-제05절 준재심-4397.대법원 1998. 10. 9. 선고 96다44051 판결</v>
      </c>
    </row>
  </sheetData>
  <autoFilter ref="B3:N584" xr:uid="{BA435E2B-4050-4F41-8B27-608C054A8228}">
    <sortState xmlns:xlrd2="http://schemas.microsoft.com/office/spreadsheetml/2017/richdata2" ref="B4:N584">
      <sortCondition ref="N3:N584"/>
    </sortState>
  </autoFilter>
  <mergeCells count="4">
    <mergeCell ref="B2:D2"/>
    <mergeCell ref="E2:G2"/>
    <mergeCell ref="H2:I2"/>
    <mergeCell ref="J2:K2"/>
  </mergeCells>
  <phoneticPr fontId="3" type="noConversion"/>
  <conditionalFormatting sqref="B4:N584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3CCCF8B-EE00-499E-BDFF-680D04B29647}">
          <x14:formula1>
            <xm:f>설정!$B$14:$B$16</xm:f>
          </x14:formula1>
          <xm:sqref>L4:L584</xm:sqref>
        </x14:dataValidation>
        <x14:dataValidation type="list" allowBlank="1" showInputMessage="1" showErrorMessage="1" xr:uid="{717D9DB6-4338-4530-9741-A413DEC94DD4}">
          <x14:formula1>
            <xm:f>설정!$B$6:$B$11</xm:f>
          </x14:formula1>
          <xm:sqref>E4:E584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2026-07-15T13:47:40Z</dcterms:modified>
  <cp:category/>
  <cp:contentStatus/>
</cp:coreProperties>
</file>