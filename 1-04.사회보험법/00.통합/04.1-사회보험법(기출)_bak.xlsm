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현재_통합_문서" defaultThemeVersion="166925"/>
  <mc:AlternateContent xmlns:mc="http://schemas.openxmlformats.org/markup-compatibility/2006">
    <mc:Choice Requires="x15">
      <x15ac:absPath xmlns:x15ac="http://schemas.microsoft.com/office/spreadsheetml/2010/11/ac" url="https://d.docs.live.net/6fcc97d1f31d20fa/01.개인/자격증/공인노무사/03.기출/03.필사/"/>
    </mc:Choice>
  </mc:AlternateContent>
  <xr:revisionPtr revIDLastSave="19278" documentId="8_{446D7C5D-1A60-4937-8CF0-170E748D36B3}" xr6:coauthVersionLast="47" xr6:coauthVersionMax="47" xr10:uidLastSave="{7A8DA380-6123-43F7-B65F-FD40D2EDE583}"/>
  <bookViews>
    <workbookView xWindow="-120" yWindow="-120" windowWidth="29040" windowHeight="15720" tabRatio="967" activeTab="1" xr2:uid="{00000000-000D-0000-FFFF-FFFF00000000}"/>
  </bookViews>
  <sheets>
    <sheet name="기출문제" sheetId="6" r:id="rId1"/>
    <sheet name="테스트(수시)" sheetId="25" r:id="rId2"/>
    <sheet name="테스트(1회)" sheetId="26" r:id="rId3"/>
    <sheet name="테스트(2회)" sheetId="27" r:id="rId4"/>
    <sheet name="테스트(3회)" sheetId="28" r:id="rId5"/>
    <sheet name="테스트(4회)" sheetId="29" r:id="rId6"/>
    <sheet name="테스트(5회)" sheetId="30" r:id="rId7"/>
  </sheets>
  <definedNames>
    <definedName name="_xlnm._FilterDatabase" localSheetId="0" hidden="1">기출문제!$B$3:$P$3</definedName>
    <definedName name="_xlnm._FilterDatabase" localSheetId="2" hidden="1">'테스트(1회)'!$B$7:$G$397</definedName>
    <definedName name="_xlnm._FilterDatabase" localSheetId="3" hidden="1">'테스트(2회)'!$B$7:$G$397</definedName>
    <definedName name="_xlnm._FilterDatabase" localSheetId="4" hidden="1">'테스트(3회)'!$B$7:$G$397</definedName>
    <definedName name="_xlnm._FilterDatabase" localSheetId="5" hidden="1">'테스트(4회)'!$B$7:$G$397</definedName>
    <definedName name="_xlnm._FilterDatabase" localSheetId="6" hidden="1">'테스트(5회)'!$B$7:$G$397</definedName>
    <definedName name="_xlnm._FilterDatabase" localSheetId="1" hidden="1">'테스트(수시)'!$B$7:$G$397</definedName>
    <definedName name="_xleta.COUNT" hidden="1" xlm="1">#NAME?</definedName>
    <definedName name="_xleta.COUNTIF" hidden="1" xlm="1">#NAME?</definedName>
    <definedName name="_xleta.SUM"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 name="_xlnm.Print_Area" localSheetId="2">'테스트(1회)'!$B$7:$F$397</definedName>
    <definedName name="_xlnm.Print_Area" localSheetId="3">'테스트(2회)'!$B$7:$F$397</definedName>
    <definedName name="_xlnm.Print_Area" localSheetId="4">'테스트(3회)'!$B$7:$F$397</definedName>
    <definedName name="_xlnm.Print_Area" localSheetId="5">'테스트(4회)'!$B$7:$F$397</definedName>
    <definedName name="_xlnm.Print_Area" localSheetId="6">'테스트(5회)'!$B$7:$F$397</definedName>
    <definedName name="_xlnm.Print_Area" localSheetId="1">'테스트(수시)'!$B$7:$F$397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7" i="26" l="1"/>
  <c r="J269" i="6" l="1"/>
  <c r="K269" i="6"/>
  <c r="L269" i="6"/>
  <c r="M269" i="6"/>
  <c r="N269" i="6"/>
  <c r="J270" i="6"/>
  <c r="K270" i="6"/>
  <c r="L270" i="6"/>
  <c r="M270" i="6"/>
  <c r="N270" i="6"/>
  <c r="J271" i="6"/>
  <c r="K271" i="6"/>
  <c r="L271" i="6"/>
  <c r="M271" i="6"/>
  <c r="N271" i="6"/>
  <c r="J272" i="6"/>
  <c r="K272" i="6"/>
  <c r="L272" i="6"/>
  <c r="M272" i="6"/>
  <c r="N272" i="6"/>
  <c r="J273" i="6"/>
  <c r="K273" i="6"/>
  <c r="L273" i="6"/>
  <c r="M273" i="6"/>
  <c r="N273" i="6"/>
  <c r="J274" i="6"/>
  <c r="K274" i="6"/>
  <c r="L274" i="6"/>
  <c r="M274" i="6"/>
  <c r="N274" i="6"/>
  <c r="J275" i="6"/>
  <c r="K275" i="6"/>
  <c r="L275" i="6"/>
  <c r="M275" i="6"/>
  <c r="N275" i="6"/>
  <c r="J276" i="6"/>
  <c r="K276" i="6"/>
  <c r="L276" i="6"/>
  <c r="M276" i="6"/>
  <c r="N276" i="6"/>
  <c r="J277" i="6"/>
  <c r="K277" i="6"/>
  <c r="L277" i="6"/>
  <c r="M277" i="6"/>
  <c r="N277" i="6"/>
  <c r="J278" i="6"/>
  <c r="K278" i="6"/>
  <c r="L278" i="6"/>
  <c r="M278" i="6"/>
  <c r="N278" i="6"/>
  <c r="J279" i="6"/>
  <c r="K279" i="6"/>
  <c r="L279" i="6"/>
  <c r="M279" i="6"/>
  <c r="N279" i="6"/>
  <c r="J280" i="6"/>
  <c r="K280" i="6"/>
  <c r="L280" i="6"/>
  <c r="M280" i="6"/>
  <c r="N280" i="6"/>
  <c r="J281" i="6"/>
  <c r="K281" i="6"/>
  <c r="L281" i="6"/>
  <c r="M281" i="6"/>
  <c r="N281" i="6"/>
  <c r="J282" i="6"/>
  <c r="K282" i="6"/>
  <c r="L282" i="6"/>
  <c r="M282" i="6"/>
  <c r="N282" i="6"/>
  <c r="J283" i="6"/>
  <c r="K283" i="6"/>
  <c r="L283" i="6"/>
  <c r="M283" i="6"/>
  <c r="N283" i="6"/>
  <c r="J284" i="6"/>
  <c r="K284" i="6"/>
  <c r="L284" i="6"/>
  <c r="M284" i="6"/>
  <c r="N284" i="6"/>
  <c r="J285" i="6"/>
  <c r="K285" i="6"/>
  <c r="L285" i="6"/>
  <c r="M285" i="6"/>
  <c r="N285" i="6"/>
  <c r="J286" i="6"/>
  <c r="K286" i="6"/>
  <c r="L286" i="6"/>
  <c r="M286" i="6"/>
  <c r="N286" i="6"/>
  <c r="J287" i="6"/>
  <c r="K287" i="6"/>
  <c r="L287" i="6"/>
  <c r="M287" i="6"/>
  <c r="N287" i="6"/>
  <c r="J288" i="6"/>
  <c r="K288" i="6"/>
  <c r="L288" i="6"/>
  <c r="M288" i="6"/>
  <c r="N288" i="6"/>
  <c r="J289" i="6"/>
  <c r="K289" i="6"/>
  <c r="L289" i="6"/>
  <c r="M289" i="6"/>
  <c r="N289" i="6"/>
  <c r="J290" i="6"/>
  <c r="K290" i="6"/>
  <c r="L290" i="6"/>
  <c r="M290" i="6"/>
  <c r="N290" i="6"/>
  <c r="J291" i="6"/>
  <c r="K291" i="6"/>
  <c r="L291" i="6"/>
  <c r="M291" i="6"/>
  <c r="N291" i="6"/>
  <c r="J292" i="6"/>
  <c r="K292" i="6"/>
  <c r="L292" i="6"/>
  <c r="M292" i="6"/>
  <c r="N292" i="6"/>
  <c r="J293" i="6"/>
  <c r="K293" i="6"/>
  <c r="L293" i="6"/>
  <c r="M293" i="6"/>
  <c r="N293" i="6"/>
  <c r="J294" i="6"/>
  <c r="K294" i="6"/>
  <c r="L294" i="6"/>
  <c r="M294" i="6"/>
  <c r="N294" i="6"/>
  <c r="J295" i="6"/>
  <c r="K295" i="6"/>
  <c r="L295" i="6"/>
  <c r="M295" i="6"/>
  <c r="N295" i="6"/>
  <c r="J296" i="6"/>
  <c r="K296" i="6"/>
  <c r="L296" i="6"/>
  <c r="M296" i="6"/>
  <c r="N296" i="6"/>
  <c r="J297" i="6"/>
  <c r="K297" i="6"/>
  <c r="L297" i="6"/>
  <c r="M297" i="6"/>
  <c r="N297" i="6"/>
  <c r="J298" i="6"/>
  <c r="K298" i="6"/>
  <c r="L298" i="6"/>
  <c r="M298" i="6"/>
  <c r="N298" i="6"/>
  <c r="J299" i="6"/>
  <c r="K299" i="6"/>
  <c r="L299" i="6"/>
  <c r="M299" i="6"/>
  <c r="N299" i="6"/>
  <c r="J300" i="6"/>
  <c r="K300" i="6"/>
  <c r="L300" i="6"/>
  <c r="M300" i="6"/>
  <c r="N300" i="6"/>
  <c r="J301" i="6"/>
  <c r="K301" i="6"/>
  <c r="L301" i="6"/>
  <c r="M301" i="6"/>
  <c r="N301" i="6"/>
  <c r="J302" i="6"/>
  <c r="K302" i="6"/>
  <c r="L302" i="6"/>
  <c r="M302" i="6"/>
  <c r="N302" i="6"/>
  <c r="J303" i="6"/>
  <c r="K303" i="6"/>
  <c r="L303" i="6"/>
  <c r="M303" i="6"/>
  <c r="N303" i="6"/>
  <c r="J304" i="6"/>
  <c r="K304" i="6"/>
  <c r="L304" i="6"/>
  <c r="M304" i="6"/>
  <c r="N304" i="6"/>
  <c r="J305" i="6"/>
  <c r="K305" i="6"/>
  <c r="L305" i="6"/>
  <c r="M305" i="6"/>
  <c r="N305" i="6"/>
  <c r="J306" i="6"/>
  <c r="K306" i="6"/>
  <c r="L306" i="6"/>
  <c r="M306" i="6"/>
  <c r="N306" i="6"/>
  <c r="J307" i="6"/>
  <c r="K307" i="6"/>
  <c r="L307" i="6"/>
  <c r="M307" i="6"/>
  <c r="N307" i="6"/>
  <c r="J308" i="6"/>
  <c r="K308" i="6"/>
  <c r="L308" i="6"/>
  <c r="M308" i="6"/>
  <c r="N308" i="6"/>
  <c r="J309" i="6"/>
  <c r="K309" i="6"/>
  <c r="L309" i="6"/>
  <c r="M309" i="6"/>
  <c r="N309" i="6"/>
  <c r="J310" i="6"/>
  <c r="K310" i="6"/>
  <c r="L310" i="6"/>
  <c r="M310" i="6"/>
  <c r="N310" i="6"/>
  <c r="J311" i="6"/>
  <c r="K311" i="6"/>
  <c r="L311" i="6"/>
  <c r="M311" i="6"/>
  <c r="N311" i="6"/>
  <c r="J312" i="6"/>
  <c r="K312" i="6"/>
  <c r="L312" i="6"/>
  <c r="M312" i="6"/>
  <c r="N312" i="6"/>
  <c r="J313" i="6"/>
  <c r="K313" i="6"/>
  <c r="L313" i="6"/>
  <c r="M313" i="6"/>
  <c r="N313" i="6"/>
  <c r="J314" i="6"/>
  <c r="K314" i="6"/>
  <c r="L314" i="6"/>
  <c r="M314" i="6"/>
  <c r="N314" i="6"/>
  <c r="J315" i="6"/>
  <c r="K315" i="6"/>
  <c r="L315" i="6"/>
  <c r="M315" i="6"/>
  <c r="N315" i="6"/>
  <c r="J316" i="6"/>
  <c r="K316" i="6"/>
  <c r="L316" i="6"/>
  <c r="M316" i="6"/>
  <c r="N316" i="6"/>
  <c r="J317" i="6"/>
  <c r="K317" i="6"/>
  <c r="L317" i="6"/>
  <c r="M317" i="6"/>
  <c r="N317" i="6"/>
  <c r="J318" i="6"/>
  <c r="K318" i="6"/>
  <c r="L318" i="6"/>
  <c r="M318" i="6"/>
  <c r="N318" i="6"/>
  <c r="J319" i="6"/>
  <c r="K319" i="6"/>
  <c r="L319" i="6"/>
  <c r="M319" i="6"/>
  <c r="N319" i="6"/>
  <c r="J320" i="6"/>
  <c r="K320" i="6"/>
  <c r="L320" i="6"/>
  <c r="M320" i="6"/>
  <c r="N320" i="6"/>
  <c r="J321" i="6"/>
  <c r="K321" i="6"/>
  <c r="L321" i="6"/>
  <c r="M321" i="6"/>
  <c r="N321" i="6"/>
  <c r="J322" i="6"/>
  <c r="K322" i="6"/>
  <c r="L322" i="6"/>
  <c r="M322" i="6"/>
  <c r="N322" i="6"/>
  <c r="J323" i="6"/>
  <c r="K323" i="6"/>
  <c r="L323" i="6"/>
  <c r="M323" i="6"/>
  <c r="N323" i="6"/>
  <c r="J324" i="6"/>
  <c r="K324" i="6"/>
  <c r="L324" i="6"/>
  <c r="M324" i="6"/>
  <c r="N324" i="6"/>
  <c r="J325" i="6"/>
  <c r="K325" i="6"/>
  <c r="L325" i="6"/>
  <c r="M325" i="6"/>
  <c r="N325" i="6"/>
  <c r="J326" i="6"/>
  <c r="K326" i="6"/>
  <c r="L326" i="6"/>
  <c r="M326" i="6"/>
  <c r="N326" i="6"/>
  <c r="J327" i="6"/>
  <c r="K327" i="6"/>
  <c r="L327" i="6"/>
  <c r="M327" i="6"/>
  <c r="N327" i="6"/>
  <c r="J328" i="6"/>
  <c r="K328" i="6"/>
  <c r="L328" i="6"/>
  <c r="M328" i="6"/>
  <c r="N328" i="6"/>
  <c r="J329" i="6"/>
  <c r="K329" i="6"/>
  <c r="L329" i="6"/>
  <c r="M329" i="6"/>
  <c r="N329" i="6"/>
  <c r="J330" i="6"/>
  <c r="K330" i="6"/>
  <c r="L330" i="6"/>
  <c r="M330" i="6"/>
  <c r="N330" i="6"/>
  <c r="J331" i="6"/>
  <c r="K331" i="6"/>
  <c r="L331" i="6"/>
  <c r="M331" i="6"/>
  <c r="N331" i="6"/>
  <c r="J332" i="6"/>
  <c r="K332" i="6"/>
  <c r="L332" i="6"/>
  <c r="M332" i="6"/>
  <c r="N332" i="6"/>
  <c r="J333" i="6"/>
  <c r="K333" i="6"/>
  <c r="L333" i="6"/>
  <c r="M333" i="6"/>
  <c r="N333" i="6"/>
  <c r="J334" i="6"/>
  <c r="K334" i="6"/>
  <c r="L334" i="6"/>
  <c r="M334" i="6"/>
  <c r="N334" i="6"/>
  <c r="J335" i="6"/>
  <c r="K335" i="6"/>
  <c r="L335" i="6"/>
  <c r="M335" i="6"/>
  <c r="N335" i="6"/>
  <c r="J336" i="6"/>
  <c r="K336" i="6"/>
  <c r="L336" i="6"/>
  <c r="M336" i="6"/>
  <c r="N336" i="6"/>
  <c r="J337" i="6"/>
  <c r="K337" i="6"/>
  <c r="L337" i="6"/>
  <c r="M337" i="6"/>
  <c r="N337" i="6"/>
  <c r="J338" i="6"/>
  <c r="K338" i="6"/>
  <c r="L338" i="6"/>
  <c r="M338" i="6"/>
  <c r="N338" i="6"/>
  <c r="J339" i="6"/>
  <c r="K339" i="6"/>
  <c r="L339" i="6"/>
  <c r="M339" i="6"/>
  <c r="N339" i="6"/>
  <c r="J340" i="6"/>
  <c r="K340" i="6"/>
  <c r="L340" i="6"/>
  <c r="M340" i="6"/>
  <c r="N340" i="6"/>
  <c r="J341" i="6"/>
  <c r="K341" i="6"/>
  <c r="L341" i="6"/>
  <c r="M341" i="6"/>
  <c r="N341" i="6"/>
  <c r="J342" i="6"/>
  <c r="K342" i="6"/>
  <c r="L342" i="6"/>
  <c r="M342" i="6"/>
  <c r="N342" i="6"/>
  <c r="J343" i="6"/>
  <c r="K343" i="6"/>
  <c r="L343" i="6"/>
  <c r="M343" i="6"/>
  <c r="N343" i="6"/>
  <c r="J344" i="6"/>
  <c r="K344" i="6"/>
  <c r="L344" i="6"/>
  <c r="M344" i="6"/>
  <c r="N344" i="6"/>
  <c r="J345" i="6"/>
  <c r="K345" i="6"/>
  <c r="L345" i="6"/>
  <c r="M345" i="6"/>
  <c r="N345" i="6"/>
  <c r="J346" i="6"/>
  <c r="K346" i="6"/>
  <c r="L346" i="6"/>
  <c r="M346" i="6"/>
  <c r="N346" i="6"/>
  <c r="J347" i="6"/>
  <c r="K347" i="6"/>
  <c r="L347" i="6"/>
  <c r="M347" i="6"/>
  <c r="N347" i="6"/>
  <c r="J348" i="6"/>
  <c r="K348" i="6"/>
  <c r="L348" i="6"/>
  <c r="M348" i="6"/>
  <c r="N348" i="6"/>
  <c r="J349" i="6"/>
  <c r="K349" i="6"/>
  <c r="L349" i="6"/>
  <c r="M349" i="6"/>
  <c r="N349" i="6"/>
  <c r="J350" i="6"/>
  <c r="K350" i="6"/>
  <c r="L350" i="6"/>
  <c r="M350" i="6"/>
  <c r="N350" i="6"/>
  <c r="J351" i="6"/>
  <c r="K351" i="6"/>
  <c r="L351" i="6"/>
  <c r="M351" i="6"/>
  <c r="N351" i="6"/>
  <c r="J352" i="6"/>
  <c r="K352" i="6"/>
  <c r="L352" i="6"/>
  <c r="M352" i="6"/>
  <c r="N352" i="6"/>
  <c r="J353" i="6"/>
  <c r="K353" i="6"/>
  <c r="L353" i="6"/>
  <c r="M353" i="6"/>
  <c r="N353" i="6"/>
  <c r="J354" i="6"/>
  <c r="K354" i="6"/>
  <c r="L354" i="6"/>
  <c r="M354" i="6"/>
  <c r="N354" i="6"/>
  <c r="J355" i="6"/>
  <c r="K355" i="6"/>
  <c r="L355" i="6"/>
  <c r="M355" i="6"/>
  <c r="N355" i="6"/>
  <c r="J356" i="6"/>
  <c r="K356" i="6"/>
  <c r="L356" i="6"/>
  <c r="M356" i="6"/>
  <c r="N356" i="6"/>
  <c r="J357" i="6"/>
  <c r="K357" i="6"/>
  <c r="L357" i="6"/>
  <c r="M357" i="6"/>
  <c r="N357" i="6"/>
  <c r="J358" i="6"/>
  <c r="K358" i="6"/>
  <c r="L358" i="6"/>
  <c r="M358" i="6"/>
  <c r="N358" i="6"/>
  <c r="J359" i="6"/>
  <c r="K359" i="6"/>
  <c r="L359" i="6"/>
  <c r="M359" i="6"/>
  <c r="N359" i="6"/>
  <c r="J360" i="6"/>
  <c r="K360" i="6"/>
  <c r="L360" i="6"/>
  <c r="M360" i="6"/>
  <c r="N360" i="6"/>
  <c r="J361" i="6"/>
  <c r="K361" i="6"/>
  <c r="L361" i="6"/>
  <c r="M361" i="6"/>
  <c r="N361" i="6"/>
  <c r="J362" i="6"/>
  <c r="K362" i="6"/>
  <c r="L362" i="6"/>
  <c r="M362" i="6"/>
  <c r="N362" i="6"/>
  <c r="J363" i="6"/>
  <c r="K363" i="6"/>
  <c r="L363" i="6"/>
  <c r="M363" i="6"/>
  <c r="N363" i="6"/>
  <c r="J364" i="6"/>
  <c r="K364" i="6"/>
  <c r="L364" i="6"/>
  <c r="M364" i="6"/>
  <c r="N364" i="6"/>
  <c r="J365" i="6"/>
  <c r="K365" i="6"/>
  <c r="L365" i="6"/>
  <c r="M365" i="6"/>
  <c r="N365" i="6"/>
  <c r="J366" i="6"/>
  <c r="K366" i="6"/>
  <c r="L366" i="6"/>
  <c r="M366" i="6"/>
  <c r="N366" i="6"/>
  <c r="J367" i="6"/>
  <c r="K367" i="6"/>
  <c r="L367" i="6"/>
  <c r="M367" i="6"/>
  <c r="N367" i="6"/>
  <c r="J368" i="6"/>
  <c r="K368" i="6"/>
  <c r="L368" i="6"/>
  <c r="M368" i="6"/>
  <c r="N368" i="6"/>
  <c r="J369" i="6"/>
  <c r="K369" i="6"/>
  <c r="L369" i="6"/>
  <c r="M369" i="6"/>
  <c r="N369" i="6"/>
  <c r="J370" i="6"/>
  <c r="K370" i="6"/>
  <c r="L370" i="6"/>
  <c r="M370" i="6"/>
  <c r="N370" i="6"/>
  <c r="J371" i="6"/>
  <c r="K371" i="6"/>
  <c r="L371" i="6"/>
  <c r="M371" i="6"/>
  <c r="N371" i="6"/>
  <c r="J372" i="6"/>
  <c r="K372" i="6"/>
  <c r="L372" i="6"/>
  <c r="M372" i="6"/>
  <c r="N372" i="6"/>
  <c r="J373" i="6"/>
  <c r="K373" i="6"/>
  <c r="L373" i="6"/>
  <c r="M373" i="6"/>
  <c r="N373" i="6"/>
  <c r="J374" i="6"/>
  <c r="K374" i="6"/>
  <c r="L374" i="6"/>
  <c r="M374" i="6"/>
  <c r="N374" i="6"/>
  <c r="J375" i="6"/>
  <c r="K375" i="6"/>
  <c r="L375" i="6"/>
  <c r="M375" i="6"/>
  <c r="N375" i="6"/>
  <c r="J376" i="6"/>
  <c r="K376" i="6"/>
  <c r="L376" i="6"/>
  <c r="M376" i="6"/>
  <c r="N376" i="6"/>
  <c r="J377" i="6"/>
  <c r="K377" i="6"/>
  <c r="L377" i="6"/>
  <c r="M377" i="6"/>
  <c r="N377" i="6"/>
  <c r="J378" i="6"/>
  <c r="K378" i="6"/>
  <c r="L378" i="6"/>
  <c r="M378" i="6"/>
  <c r="N378" i="6"/>
  <c r="J379" i="6"/>
  <c r="K379" i="6"/>
  <c r="L379" i="6"/>
  <c r="M379" i="6"/>
  <c r="N379" i="6"/>
  <c r="J380" i="6"/>
  <c r="K380" i="6"/>
  <c r="L380" i="6"/>
  <c r="M380" i="6"/>
  <c r="N380" i="6"/>
  <c r="J381" i="6"/>
  <c r="K381" i="6"/>
  <c r="L381" i="6"/>
  <c r="M381" i="6"/>
  <c r="N381" i="6"/>
  <c r="J382" i="6"/>
  <c r="K382" i="6"/>
  <c r="L382" i="6"/>
  <c r="M382" i="6"/>
  <c r="N382" i="6"/>
  <c r="J383" i="6"/>
  <c r="K383" i="6"/>
  <c r="L383" i="6"/>
  <c r="M383" i="6"/>
  <c r="N383" i="6"/>
  <c r="J384" i="6"/>
  <c r="K384" i="6"/>
  <c r="L384" i="6"/>
  <c r="M384" i="6"/>
  <c r="N384" i="6"/>
  <c r="J385" i="6"/>
  <c r="K385" i="6"/>
  <c r="L385" i="6"/>
  <c r="M385" i="6"/>
  <c r="N385" i="6"/>
  <c r="J386" i="6"/>
  <c r="K386" i="6"/>
  <c r="L386" i="6"/>
  <c r="M386" i="6"/>
  <c r="N386" i="6"/>
  <c r="J387" i="6"/>
  <c r="K387" i="6"/>
  <c r="L387" i="6"/>
  <c r="M387" i="6"/>
  <c r="N387" i="6"/>
  <c r="J388" i="6"/>
  <c r="K388" i="6"/>
  <c r="L388" i="6"/>
  <c r="M388" i="6"/>
  <c r="N388" i="6"/>
  <c r="J389" i="6"/>
  <c r="K389" i="6"/>
  <c r="L389" i="6"/>
  <c r="M389" i="6"/>
  <c r="N389" i="6"/>
  <c r="J390" i="6"/>
  <c r="K390" i="6"/>
  <c r="L390" i="6"/>
  <c r="M390" i="6"/>
  <c r="N390" i="6"/>
  <c r="J391" i="6"/>
  <c r="K391" i="6"/>
  <c r="L391" i="6"/>
  <c r="M391" i="6"/>
  <c r="N391" i="6"/>
  <c r="J392" i="6"/>
  <c r="K392" i="6"/>
  <c r="L392" i="6"/>
  <c r="M392" i="6"/>
  <c r="N392" i="6"/>
  <c r="J393" i="6"/>
  <c r="K393" i="6"/>
  <c r="L393" i="6"/>
  <c r="M393" i="6"/>
  <c r="N393" i="6"/>
  <c r="G397" i="30"/>
  <c r="F397" i="30"/>
  <c r="E397" i="30"/>
  <c r="G396" i="30"/>
  <c r="F396" i="30"/>
  <c r="E396" i="30"/>
  <c r="G395" i="30"/>
  <c r="F395" i="30"/>
  <c r="E395" i="30"/>
  <c r="G394" i="30"/>
  <c r="F394" i="30"/>
  <c r="E394" i="30"/>
  <c r="G393" i="30"/>
  <c r="F393" i="30"/>
  <c r="E393" i="30"/>
  <c r="G392" i="30"/>
  <c r="F392" i="30"/>
  <c r="E392" i="30"/>
  <c r="G391" i="30"/>
  <c r="F391" i="30"/>
  <c r="E391" i="30"/>
  <c r="G390" i="30"/>
  <c r="F390" i="30"/>
  <c r="E390" i="30"/>
  <c r="G389" i="30"/>
  <c r="F389" i="30"/>
  <c r="E389" i="30"/>
  <c r="G388" i="30"/>
  <c r="F388" i="30"/>
  <c r="E388" i="30"/>
  <c r="G387" i="30"/>
  <c r="F387" i="30"/>
  <c r="E387" i="30"/>
  <c r="G386" i="30"/>
  <c r="F386" i="30"/>
  <c r="E386" i="30"/>
  <c r="G385" i="30"/>
  <c r="F385" i="30"/>
  <c r="E385" i="30"/>
  <c r="G384" i="30"/>
  <c r="F384" i="30"/>
  <c r="E384" i="30"/>
  <c r="G383" i="30"/>
  <c r="F383" i="30"/>
  <c r="E383" i="30"/>
  <c r="G382" i="30"/>
  <c r="F382" i="30"/>
  <c r="E382" i="30"/>
  <c r="G381" i="30"/>
  <c r="F381" i="30"/>
  <c r="E381" i="30"/>
  <c r="G380" i="30"/>
  <c r="F380" i="30"/>
  <c r="E380" i="30"/>
  <c r="G379" i="30"/>
  <c r="F379" i="30"/>
  <c r="E379" i="30"/>
  <c r="G378" i="30"/>
  <c r="F378" i="30"/>
  <c r="E378" i="30"/>
  <c r="G377" i="30"/>
  <c r="F377" i="30"/>
  <c r="E377" i="30"/>
  <c r="G376" i="30"/>
  <c r="F376" i="30"/>
  <c r="E376" i="30"/>
  <c r="G375" i="30"/>
  <c r="F375" i="30"/>
  <c r="E375" i="30"/>
  <c r="G374" i="30"/>
  <c r="F374" i="30"/>
  <c r="E374" i="30"/>
  <c r="G373" i="30"/>
  <c r="F373" i="30"/>
  <c r="E373" i="30"/>
  <c r="G372" i="30"/>
  <c r="F372" i="30"/>
  <c r="E372" i="30"/>
  <c r="G371" i="30"/>
  <c r="F371" i="30"/>
  <c r="E371" i="30"/>
  <c r="G370" i="30"/>
  <c r="F370" i="30"/>
  <c r="E370" i="30"/>
  <c r="G369" i="30"/>
  <c r="F369" i="30"/>
  <c r="E369" i="30"/>
  <c r="G368" i="30"/>
  <c r="F368" i="30"/>
  <c r="E368" i="30"/>
  <c r="G367" i="30"/>
  <c r="F367" i="30"/>
  <c r="E367" i="30"/>
  <c r="G366" i="30"/>
  <c r="F366" i="30"/>
  <c r="E366" i="30"/>
  <c r="G365" i="30"/>
  <c r="F365" i="30"/>
  <c r="E365" i="30"/>
  <c r="G364" i="30"/>
  <c r="F364" i="30"/>
  <c r="E364" i="30"/>
  <c r="G363" i="30"/>
  <c r="F363" i="30"/>
  <c r="E363" i="30"/>
  <c r="G362" i="30"/>
  <c r="F362" i="30"/>
  <c r="E362" i="30"/>
  <c r="G361" i="30"/>
  <c r="F361" i="30"/>
  <c r="E361" i="30"/>
  <c r="G360" i="30"/>
  <c r="F360" i="30"/>
  <c r="E360" i="30"/>
  <c r="G359" i="30"/>
  <c r="F359" i="30"/>
  <c r="E359" i="30"/>
  <c r="G358" i="30"/>
  <c r="F358" i="30"/>
  <c r="E358" i="30"/>
  <c r="G357" i="30"/>
  <c r="F357" i="30"/>
  <c r="E357" i="30"/>
  <c r="G356" i="30"/>
  <c r="F356" i="30"/>
  <c r="E356" i="30"/>
  <c r="G355" i="30"/>
  <c r="F355" i="30"/>
  <c r="E355" i="30"/>
  <c r="G354" i="30"/>
  <c r="F354" i="30"/>
  <c r="E354" i="30"/>
  <c r="G353" i="30"/>
  <c r="F353" i="30"/>
  <c r="E353" i="30"/>
  <c r="G352" i="30"/>
  <c r="F352" i="30"/>
  <c r="E352" i="30"/>
  <c r="G351" i="30"/>
  <c r="F351" i="30"/>
  <c r="E351" i="30"/>
  <c r="G350" i="30"/>
  <c r="F350" i="30"/>
  <c r="E350" i="30"/>
  <c r="G349" i="30"/>
  <c r="F349" i="30"/>
  <c r="E349" i="30"/>
  <c r="G348" i="30"/>
  <c r="F348" i="30"/>
  <c r="E348" i="30"/>
  <c r="G347" i="30"/>
  <c r="F347" i="30"/>
  <c r="E347" i="30"/>
  <c r="G346" i="30"/>
  <c r="F346" i="30"/>
  <c r="E346" i="30"/>
  <c r="G345" i="30"/>
  <c r="F345" i="30"/>
  <c r="E345" i="30"/>
  <c r="G344" i="30"/>
  <c r="F344" i="30"/>
  <c r="E344" i="30"/>
  <c r="G343" i="30"/>
  <c r="F343" i="30"/>
  <c r="E343" i="30"/>
  <c r="G342" i="30"/>
  <c r="F342" i="30"/>
  <c r="E342" i="30"/>
  <c r="G341" i="30"/>
  <c r="F341" i="30"/>
  <c r="E341" i="30"/>
  <c r="G340" i="30"/>
  <c r="F340" i="30"/>
  <c r="E340" i="30"/>
  <c r="G339" i="30"/>
  <c r="F339" i="30"/>
  <c r="E339" i="30"/>
  <c r="G338" i="30"/>
  <c r="F338" i="30"/>
  <c r="E338" i="30"/>
  <c r="G337" i="30"/>
  <c r="F337" i="30"/>
  <c r="E337" i="30"/>
  <c r="G336" i="30"/>
  <c r="F336" i="30"/>
  <c r="E336" i="30"/>
  <c r="G335" i="30"/>
  <c r="F335" i="30"/>
  <c r="E335" i="30"/>
  <c r="G334" i="30"/>
  <c r="F334" i="30"/>
  <c r="E334" i="30"/>
  <c r="G333" i="30"/>
  <c r="F333" i="30"/>
  <c r="E333" i="30"/>
  <c r="G332" i="30"/>
  <c r="F332" i="30"/>
  <c r="E332" i="30"/>
  <c r="G331" i="30"/>
  <c r="F331" i="30"/>
  <c r="E331" i="30"/>
  <c r="G330" i="30"/>
  <c r="F330" i="30"/>
  <c r="E330" i="30"/>
  <c r="G329" i="30"/>
  <c r="F329" i="30"/>
  <c r="E329" i="30"/>
  <c r="G328" i="30"/>
  <c r="F328" i="30"/>
  <c r="E328" i="30"/>
  <c r="G327" i="30"/>
  <c r="F327" i="30"/>
  <c r="E327" i="30"/>
  <c r="G326" i="30"/>
  <c r="F326" i="30"/>
  <c r="E326" i="30"/>
  <c r="G325" i="30"/>
  <c r="F325" i="30"/>
  <c r="E325" i="30"/>
  <c r="G324" i="30"/>
  <c r="F324" i="30"/>
  <c r="E324" i="30"/>
  <c r="G323" i="30"/>
  <c r="F323" i="30"/>
  <c r="E323" i="30"/>
  <c r="G322" i="30"/>
  <c r="F322" i="30"/>
  <c r="E322" i="30"/>
  <c r="G321" i="30"/>
  <c r="F321" i="30"/>
  <c r="E321" i="30"/>
  <c r="G320" i="30"/>
  <c r="F320" i="30"/>
  <c r="E320" i="30"/>
  <c r="G319" i="30"/>
  <c r="F319" i="30"/>
  <c r="E319" i="30"/>
  <c r="G318" i="30"/>
  <c r="F318" i="30"/>
  <c r="E318" i="30"/>
  <c r="G317" i="30"/>
  <c r="F317" i="30"/>
  <c r="E317" i="30"/>
  <c r="G316" i="30"/>
  <c r="F316" i="30"/>
  <c r="E316" i="30"/>
  <c r="G315" i="30"/>
  <c r="F315" i="30"/>
  <c r="E315" i="30"/>
  <c r="G314" i="30"/>
  <c r="F314" i="30"/>
  <c r="E314" i="30"/>
  <c r="G313" i="30"/>
  <c r="F313" i="30"/>
  <c r="E313" i="30"/>
  <c r="G312" i="30"/>
  <c r="F312" i="30"/>
  <c r="E312" i="30"/>
  <c r="G311" i="30"/>
  <c r="F311" i="30"/>
  <c r="E311" i="30"/>
  <c r="G310" i="30"/>
  <c r="F310" i="30"/>
  <c r="E310" i="30"/>
  <c r="G309" i="30"/>
  <c r="F309" i="30"/>
  <c r="E309" i="30"/>
  <c r="G308" i="30"/>
  <c r="F308" i="30"/>
  <c r="E308" i="30"/>
  <c r="G307" i="30"/>
  <c r="F307" i="30"/>
  <c r="E307" i="30"/>
  <c r="G306" i="30"/>
  <c r="F306" i="30"/>
  <c r="E306" i="30"/>
  <c r="G305" i="30"/>
  <c r="F305" i="30"/>
  <c r="E305" i="30"/>
  <c r="G304" i="30"/>
  <c r="F304" i="30"/>
  <c r="E304" i="30"/>
  <c r="G303" i="30"/>
  <c r="F303" i="30"/>
  <c r="E303" i="30"/>
  <c r="G302" i="30"/>
  <c r="F302" i="30"/>
  <c r="E302" i="30"/>
  <c r="G301" i="30"/>
  <c r="F301" i="30"/>
  <c r="E301" i="30"/>
  <c r="G300" i="30"/>
  <c r="F300" i="30"/>
  <c r="E300" i="30"/>
  <c r="G299" i="30"/>
  <c r="F299" i="30"/>
  <c r="E299" i="30"/>
  <c r="G298" i="30"/>
  <c r="F298" i="30"/>
  <c r="E298" i="30"/>
  <c r="G297" i="30"/>
  <c r="F297" i="30"/>
  <c r="E297" i="30"/>
  <c r="G296" i="30"/>
  <c r="F296" i="30"/>
  <c r="E296" i="30"/>
  <c r="G295" i="30"/>
  <c r="F295" i="30"/>
  <c r="E295" i="30"/>
  <c r="G294" i="30"/>
  <c r="F294" i="30"/>
  <c r="E294" i="30"/>
  <c r="G293" i="30"/>
  <c r="F293" i="30"/>
  <c r="E293" i="30"/>
  <c r="G292" i="30"/>
  <c r="F292" i="30"/>
  <c r="E292" i="30"/>
  <c r="G291" i="30"/>
  <c r="F291" i="30"/>
  <c r="E291" i="30"/>
  <c r="G290" i="30"/>
  <c r="F290" i="30"/>
  <c r="E290" i="30"/>
  <c r="G289" i="30"/>
  <c r="F289" i="30"/>
  <c r="E289" i="30"/>
  <c r="G288" i="30"/>
  <c r="F288" i="30"/>
  <c r="E288" i="30"/>
  <c r="G287" i="30"/>
  <c r="F287" i="30"/>
  <c r="E287" i="30"/>
  <c r="G286" i="30"/>
  <c r="F286" i="30"/>
  <c r="E286" i="30"/>
  <c r="G285" i="30"/>
  <c r="F285" i="30"/>
  <c r="E285" i="30"/>
  <c r="G284" i="30"/>
  <c r="F284" i="30"/>
  <c r="E284" i="30"/>
  <c r="G283" i="30"/>
  <c r="F283" i="30"/>
  <c r="E283" i="30"/>
  <c r="G282" i="30"/>
  <c r="F282" i="30"/>
  <c r="E282" i="30"/>
  <c r="G281" i="30"/>
  <c r="F281" i="30"/>
  <c r="E281" i="30"/>
  <c r="G280" i="30"/>
  <c r="F280" i="30"/>
  <c r="E280" i="30"/>
  <c r="G279" i="30"/>
  <c r="F279" i="30"/>
  <c r="E279" i="30"/>
  <c r="G278" i="30"/>
  <c r="F278" i="30"/>
  <c r="E278" i="30"/>
  <c r="G277" i="30"/>
  <c r="F277" i="30"/>
  <c r="E277" i="30"/>
  <c r="G276" i="30"/>
  <c r="F276" i="30"/>
  <c r="E276" i="30"/>
  <c r="G275" i="30"/>
  <c r="F275" i="30"/>
  <c r="E275" i="30"/>
  <c r="G274" i="30"/>
  <c r="F274" i="30"/>
  <c r="E274" i="30"/>
  <c r="G273" i="30"/>
  <c r="F273" i="30"/>
  <c r="E273" i="30"/>
  <c r="G272" i="30"/>
  <c r="N268" i="6" s="1"/>
  <c r="F272" i="30"/>
  <c r="E272" i="30"/>
  <c r="G271" i="30"/>
  <c r="N267" i="6" s="1"/>
  <c r="F271" i="30"/>
  <c r="E271" i="30"/>
  <c r="G270" i="30"/>
  <c r="N266" i="6" s="1"/>
  <c r="F270" i="30"/>
  <c r="E270" i="30"/>
  <c r="G269" i="30"/>
  <c r="N265" i="6"/>
  <c r="F269" i="30"/>
  <c r="E269" i="30"/>
  <c r="G268" i="30"/>
  <c r="N264" i="6" s="1"/>
  <c r="F268" i="30"/>
  <c r="E268" i="30"/>
  <c r="G267" i="30"/>
  <c r="N263" i="6" s="1"/>
  <c r="F267" i="30"/>
  <c r="E267" i="30"/>
  <c r="G266" i="30"/>
  <c r="N262" i="6" s="1"/>
  <c r="F266" i="30"/>
  <c r="E266" i="30"/>
  <c r="G265" i="30"/>
  <c r="N261" i="6" s="1"/>
  <c r="F265" i="30"/>
  <c r="E265" i="30"/>
  <c r="G264" i="30"/>
  <c r="N260" i="6" s="1"/>
  <c r="F264" i="30"/>
  <c r="E264" i="30"/>
  <c r="G263" i="30"/>
  <c r="N259" i="6" s="1"/>
  <c r="F263" i="30"/>
  <c r="E263" i="30"/>
  <c r="G262" i="30"/>
  <c r="N258" i="6" s="1"/>
  <c r="F262" i="30"/>
  <c r="E262" i="30"/>
  <c r="G261" i="30"/>
  <c r="N257" i="6" s="1"/>
  <c r="F261" i="30"/>
  <c r="E261" i="30"/>
  <c r="G260" i="30"/>
  <c r="N256" i="6" s="1"/>
  <c r="F260" i="30"/>
  <c r="E260" i="30"/>
  <c r="G259" i="30"/>
  <c r="N255" i="6" s="1"/>
  <c r="F259" i="30"/>
  <c r="E259" i="30"/>
  <c r="G258" i="30"/>
  <c r="N254" i="6" s="1"/>
  <c r="F258" i="30"/>
  <c r="E258" i="30"/>
  <c r="G257" i="30"/>
  <c r="N253" i="6" s="1"/>
  <c r="F257" i="30"/>
  <c r="E257" i="30"/>
  <c r="G256" i="30"/>
  <c r="N252" i="6" s="1"/>
  <c r="F256" i="30"/>
  <c r="E256" i="30"/>
  <c r="G255" i="30"/>
  <c r="N251" i="6" s="1"/>
  <c r="F255" i="30"/>
  <c r="E255" i="30"/>
  <c r="G254" i="30"/>
  <c r="N250" i="6" s="1"/>
  <c r="F254" i="30"/>
  <c r="E254" i="30"/>
  <c r="G253" i="30"/>
  <c r="N249" i="6" s="1"/>
  <c r="F253" i="30"/>
  <c r="E253" i="30"/>
  <c r="G252" i="30"/>
  <c r="N248" i="6" s="1"/>
  <c r="F252" i="30"/>
  <c r="E252" i="30"/>
  <c r="G251" i="30"/>
  <c r="N247" i="6" s="1"/>
  <c r="F251" i="30"/>
  <c r="E251" i="30"/>
  <c r="G250" i="30"/>
  <c r="N246" i="6" s="1"/>
  <c r="F250" i="30"/>
  <c r="E250" i="30"/>
  <c r="G249" i="30"/>
  <c r="N245" i="6" s="1"/>
  <c r="F249" i="30"/>
  <c r="E249" i="30"/>
  <c r="G248" i="30"/>
  <c r="N244" i="6" s="1"/>
  <c r="F248" i="30"/>
  <c r="E248" i="30"/>
  <c r="G247" i="30"/>
  <c r="N243" i="6" s="1"/>
  <c r="F247" i="30"/>
  <c r="E247" i="30"/>
  <c r="G246" i="30"/>
  <c r="N242" i="6" s="1"/>
  <c r="F246" i="30"/>
  <c r="E246" i="30"/>
  <c r="G245" i="30"/>
  <c r="N241" i="6" s="1"/>
  <c r="F245" i="30"/>
  <c r="E245" i="30"/>
  <c r="G244" i="30"/>
  <c r="N240" i="6" s="1"/>
  <c r="F244" i="30"/>
  <c r="E244" i="30"/>
  <c r="G243" i="30"/>
  <c r="N239" i="6" s="1"/>
  <c r="F243" i="30"/>
  <c r="E243" i="30"/>
  <c r="G242" i="30"/>
  <c r="N238" i="6" s="1"/>
  <c r="F242" i="30"/>
  <c r="E242" i="30"/>
  <c r="G241" i="30"/>
  <c r="N237" i="6" s="1"/>
  <c r="F241" i="30"/>
  <c r="E241" i="30"/>
  <c r="G240" i="30"/>
  <c r="N236" i="6" s="1"/>
  <c r="F240" i="30"/>
  <c r="E240" i="30"/>
  <c r="G239" i="30"/>
  <c r="N235" i="6" s="1"/>
  <c r="F239" i="30"/>
  <c r="E239" i="30"/>
  <c r="G238" i="30"/>
  <c r="N234" i="6" s="1"/>
  <c r="F238" i="30"/>
  <c r="E238" i="30"/>
  <c r="G237" i="30"/>
  <c r="N233" i="6"/>
  <c r="F237" i="30"/>
  <c r="E237" i="30"/>
  <c r="G236" i="30"/>
  <c r="N232" i="6" s="1"/>
  <c r="F236" i="30"/>
  <c r="E236" i="30"/>
  <c r="G235" i="30"/>
  <c r="N231" i="6" s="1"/>
  <c r="F235" i="30"/>
  <c r="E235" i="30"/>
  <c r="G234" i="30"/>
  <c r="N230" i="6" s="1"/>
  <c r="F234" i="30"/>
  <c r="E234" i="30"/>
  <c r="G233" i="30"/>
  <c r="N229" i="6" s="1"/>
  <c r="F233" i="30"/>
  <c r="E233" i="30"/>
  <c r="G232" i="30"/>
  <c r="N228" i="6" s="1"/>
  <c r="F232" i="30"/>
  <c r="E232" i="30"/>
  <c r="G231" i="30"/>
  <c r="N227" i="6" s="1"/>
  <c r="F231" i="30"/>
  <c r="E231" i="30"/>
  <c r="G230" i="30"/>
  <c r="N226" i="6" s="1"/>
  <c r="F230" i="30"/>
  <c r="E230" i="30"/>
  <c r="G229" i="30"/>
  <c r="N225" i="6" s="1"/>
  <c r="F229" i="30"/>
  <c r="E229" i="30"/>
  <c r="G228" i="30"/>
  <c r="N224" i="6" s="1"/>
  <c r="F228" i="30"/>
  <c r="E228" i="30"/>
  <c r="G227" i="30"/>
  <c r="N223" i="6" s="1"/>
  <c r="F227" i="30"/>
  <c r="E227" i="30"/>
  <c r="G226" i="30"/>
  <c r="N222" i="6" s="1"/>
  <c r="F226" i="30"/>
  <c r="E226" i="30"/>
  <c r="G225" i="30"/>
  <c r="N221" i="6" s="1"/>
  <c r="F225" i="30"/>
  <c r="E225" i="30"/>
  <c r="G224" i="30"/>
  <c r="N220" i="6" s="1"/>
  <c r="F224" i="30"/>
  <c r="E224" i="30"/>
  <c r="G223" i="30"/>
  <c r="N219" i="6" s="1"/>
  <c r="F223" i="30"/>
  <c r="E223" i="30"/>
  <c r="G222" i="30"/>
  <c r="N218" i="6" s="1"/>
  <c r="F222" i="30"/>
  <c r="E222" i="30"/>
  <c r="G221" i="30"/>
  <c r="N217" i="6" s="1"/>
  <c r="F221" i="30"/>
  <c r="E221" i="30"/>
  <c r="G220" i="30"/>
  <c r="N216" i="6" s="1"/>
  <c r="F220" i="30"/>
  <c r="E220" i="30"/>
  <c r="G219" i="30"/>
  <c r="N215" i="6" s="1"/>
  <c r="F219" i="30"/>
  <c r="E219" i="30"/>
  <c r="G218" i="30"/>
  <c r="N214" i="6" s="1"/>
  <c r="F218" i="30"/>
  <c r="E218" i="30"/>
  <c r="G217" i="30"/>
  <c r="N213" i="6" s="1"/>
  <c r="F217" i="30"/>
  <c r="E217" i="30"/>
  <c r="G216" i="30"/>
  <c r="N212" i="6" s="1"/>
  <c r="F216" i="30"/>
  <c r="E216" i="30"/>
  <c r="G215" i="30"/>
  <c r="N211" i="6" s="1"/>
  <c r="F215" i="30"/>
  <c r="E215" i="30"/>
  <c r="G214" i="30"/>
  <c r="N210" i="6" s="1"/>
  <c r="F214" i="30"/>
  <c r="E214" i="30"/>
  <c r="G213" i="30"/>
  <c r="N209" i="6" s="1"/>
  <c r="F213" i="30"/>
  <c r="E213" i="30"/>
  <c r="G212" i="30"/>
  <c r="N208" i="6" s="1"/>
  <c r="F212" i="30"/>
  <c r="E212" i="30"/>
  <c r="G211" i="30"/>
  <c r="N207" i="6" s="1"/>
  <c r="F211" i="30"/>
  <c r="E211" i="30"/>
  <c r="G210" i="30"/>
  <c r="N206" i="6" s="1"/>
  <c r="F210" i="30"/>
  <c r="E210" i="30"/>
  <c r="G209" i="30"/>
  <c r="N205" i="6" s="1"/>
  <c r="F209" i="30"/>
  <c r="E209" i="30"/>
  <c r="G208" i="30"/>
  <c r="N204" i="6" s="1"/>
  <c r="F208" i="30"/>
  <c r="E208" i="30"/>
  <c r="G207" i="30"/>
  <c r="N203" i="6" s="1"/>
  <c r="F207" i="30"/>
  <c r="E207" i="30"/>
  <c r="G206" i="30"/>
  <c r="N202" i="6" s="1"/>
  <c r="F206" i="30"/>
  <c r="E206" i="30"/>
  <c r="G205" i="30"/>
  <c r="N201" i="6" s="1"/>
  <c r="F205" i="30"/>
  <c r="E205" i="30"/>
  <c r="G204" i="30"/>
  <c r="N200" i="6" s="1"/>
  <c r="F204" i="30"/>
  <c r="E204" i="30"/>
  <c r="G203" i="30"/>
  <c r="N199" i="6" s="1"/>
  <c r="F203" i="30"/>
  <c r="E203" i="30"/>
  <c r="G202" i="30"/>
  <c r="N198" i="6" s="1"/>
  <c r="F202" i="30"/>
  <c r="E202" i="30"/>
  <c r="G201" i="30"/>
  <c r="N197" i="6" s="1"/>
  <c r="F201" i="30"/>
  <c r="E201" i="30"/>
  <c r="G200" i="30"/>
  <c r="N196" i="6" s="1"/>
  <c r="F200" i="30"/>
  <c r="E200" i="30"/>
  <c r="G199" i="30"/>
  <c r="N195" i="6" s="1"/>
  <c r="F199" i="30"/>
  <c r="E199" i="30"/>
  <c r="G198" i="30"/>
  <c r="N194" i="6" s="1"/>
  <c r="F198" i="30"/>
  <c r="E198" i="30"/>
  <c r="G197" i="30"/>
  <c r="N193" i="6" s="1"/>
  <c r="F197" i="30"/>
  <c r="E197" i="30"/>
  <c r="G196" i="30"/>
  <c r="N192" i="6" s="1"/>
  <c r="F196" i="30"/>
  <c r="E196" i="30"/>
  <c r="G195" i="30"/>
  <c r="N191" i="6" s="1"/>
  <c r="F195" i="30"/>
  <c r="E195" i="30"/>
  <c r="G194" i="30"/>
  <c r="N190" i="6" s="1"/>
  <c r="F194" i="30"/>
  <c r="E194" i="30"/>
  <c r="G193" i="30"/>
  <c r="N189" i="6" s="1"/>
  <c r="F193" i="30"/>
  <c r="E193" i="30"/>
  <c r="G192" i="30"/>
  <c r="N188" i="6" s="1"/>
  <c r="F192" i="30"/>
  <c r="E192" i="30"/>
  <c r="G191" i="30"/>
  <c r="N187" i="6" s="1"/>
  <c r="F191" i="30"/>
  <c r="E191" i="30"/>
  <c r="G190" i="30"/>
  <c r="N186" i="6" s="1"/>
  <c r="F190" i="30"/>
  <c r="E190" i="30"/>
  <c r="G189" i="30"/>
  <c r="N185" i="6" s="1"/>
  <c r="F189" i="30"/>
  <c r="E189" i="30"/>
  <c r="G188" i="30"/>
  <c r="N184" i="6" s="1"/>
  <c r="F188" i="30"/>
  <c r="E188" i="30"/>
  <c r="G187" i="30"/>
  <c r="N183" i="6" s="1"/>
  <c r="F187" i="30"/>
  <c r="E187" i="30"/>
  <c r="G186" i="30"/>
  <c r="N182" i="6" s="1"/>
  <c r="F186" i="30"/>
  <c r="E186" i="30"/>
  <c r="G185" i="30"/>
  <c r="N181" i="6" s="1"/>
  <c r="F185" i="30"/>
  <c r="E185" i="30"/>
  <c r="G184" i="30"/>
  <c r="N180" i="6" s="1"/>
  <c r="F184" i="30"/>
  <c r="E184" i="30"/>
  <c r="G183" i="30"/>
  <c r="N179" i="6" s="1"/>
  <c r="F183" i="30"/>
  <c r="E183" i="30"/>
  <c r="G182" i="30"/>
  <c r="N178" i="6" s="1"/>
  <c r="F182" i="30"/>
  <c r="E182" i="30"/>
  <c r="G181" i="30"/>
  <c r="N177" i="6" s="1"/>
  <c r="F181" i="30"/>
  <c r="E181" i="30"/>
  <c r="G180" i="30"/>
  <c r="N176" i="6" s="1"/>
  <c r="F180" i="30"/>
  <c r="E180" i="30"/>
  <c r="G179" i="30"/>
  <c r="N175" i="6" s="1"/>
  <c r="F179" i="30"/>
  <c r="E179" i="30"/>
  <c r="G178" i="30"/>
  <c r="N174" i="6" s="1"/>
  <c r="F178" i="30"/>
  <c r="E178" i="30"/>
  <c r="G177" i="30"/>
  <c r="N173" i="6" s="1"/>
  <c r="F177" i="30"/>
  <c r="E177" i="30"/>
  <c r="G176" i="30"/>
  <c r="N172" i="6" s="1"/>
  <c r="F176" i="30"/>
  <c r="E176" i="30"/>
  <c r="G175" i="30"/>
  <c r="N171" i="6" s="1"/>
  <c r="F175" i="30"/>
  <c r="E175" i="30"/>
  <c r="G174" i="30"/>
  <c r="N170" i="6" s="1"/>
  <c r="F174" i="30"/>
  <c r="E174" i="30"/>
  <c r="G173" i="30"/>
  <c r="N169" i="6" s="1"/>
  <c r="F173" i="30"/>
  <c r="E173" i="30"/>
  <c r="G172" i="30"/>
  <c r="N168" i="6" s="1"/>
  <c r="F172" i="30"/>
  <c r="E172" i="30"/>
  <c r="G171" i="30"/>
  <c r="N167" i="6" s="1"/>
  <c r="F171" i="30"/>
  <c r="E171" i="30"/>
  <c r="G170" i="30"/>
  <c r="N166" i="6" s="1"/>
  <c r="F170" i="30"/>
  <c r="E170" i="30"/>
  <c r="G169" i="30"/>
  <c r="N165" i="6" s="1"/>
  <c r="F169" i="30"/>
  <c r="E169" i="30"/>
  <c r="G168" i="30"/>
  <c r="N164" i="6" s="1"/>
  <c r="F168" i="30"/>
  <c r="E168" i="30"/>
  <c r="G167" i="30"/>
  <c r="N163" i="6" s="1"/>
  <c r="F167" i="30"/>
  <c r="E167" i="30"/>
  <c r="G166" i="30"/>
  <c r="N162" i="6" s="1"/>
  <c r="F166" i="30"/>
  <c r="E166" i="30"/>
  <c r="G165" i="30"/>
  <c r="N161" i="6" s="1"/>
  <c r="F165" i="30"/>
  <c r="E165" i="30"/>
  <c r="G164" i="30"/>
  <c r="N160" i="6" s="1"/>
  <c r="F164" i="30"/>
  <c r="E164" i="30"/>
  <c r="G163" i="30"/>
  <c r="N159" i="6" s="1"/>
  <c r="F163" i="30"/>
  <c r="E163" i="30"/>
  <c r="G162" i="30"/>
  <c r="N158" i="6" s="1"/>
  <c r="F162" i="30"/>
  <c r="E162" i="30"/>
  <c r="G161" i="30"/>
  <c r="N157" i="6" s="1"/>
  <c r="F161" i="30"/>
  <c r="E161" i="30"/>
  <c r="G160" i="30"/>
  <c r="N156" i="6" s="1"/>
  <c r="F160" i="30"/>
  <c r="E160" i="30"/>
  <c r="G159" i="30"/>
  <c r="N155" i="6" s="1"/>
  <c r="F159" i="30"/>
  <c r="E159" i="30"/>
  <c r="G158" i="30"/>
  <c r="N154" i="6" s="1"/>
  <c r="F158" i="30"/>
  <c r="E158" i="30"/>
  <c r="G157" i="30"/>
  <c r="N153" i="6" s="1"/>
  <c r="F157" i="30"/>
  <c r="E157" i="30"/>
  <c r="G156" i="30"/>
  <c r="N152" i="6" s="1"/>
  <c r="F156" i="30"/>
  <c r="E156" i="30"/>
  <c r="G155" i="30"/>
  <c r="N151" i="6" s="1"/>
  <c r="F155" i="30"/>
  <c r="E155" i="30"/>
  <c r="G154" i="30"/>
  <c r="N150" i="6" s="1"/>
  <c r="F154" i="30"/>
  <c r="E154" i="30"/>
  <c r="G153" i="30"/>
  <c r="N149" i="6" s="1"/>
  <c r="F153" i="30"/>
  <c r="E153" i="30"/>
  <c r="G152" i="30"/>
  <c r="N148" i="6" s="1"/>
  <c r="F152" i="30"/>
  <c r="E152" i="30"/>
  <c r="G151" i="30"/>
  <c r="N147" i="6"/>
  <c r="F151" i="30"/>
  <c r="E151" i="30"/>
  <c r="G150" i="30"/>
  <c r="N146" i="6" s="1"/>
  <c r="F150" i="30"/>
  <c r="E150" i="30"/>
  <c r="G149" i="30"/>
  <c r="N145" i="6" s="1"/>
  <c r="F149" i="30"/>
  <c r="E149" i="30"/>
  <c r="G148" i="30"/>
  <c r="N144" i="6" s="1"/>
  <c r="F148" i="30"/>
  <c r="E148" i="30"/>
  <c r="G147" i="30"/>
  <c r="N143" i="6" s="1"/>
  <c r="F147" i="30"/>
  <c r="E147" i="30"/>
  <c r="G146" i="30"/>
  <c r="N142" i="6" s="1"/>
  <c r="F146" i="30"/>
  <c r="E146" i="30"/>
  <c r="G145" i="30"/>
  <c r="N141" i="6" s="1"/>
  <c r="F145" i="30"/>
  <c r="E145" i="30"/>
  <c r="G144" i="30"/>
  <c r="N140" i="6" s="1"/>
  <c r="F144" i="30"/>
  <c r="E144" i="30"/>
  <c r="G143" i="30"/>
  <c r="N139" i="6" s="1"/>
  <c r="F143" i="30"/>
  <c r="E143" i="30"/>
  <c r="G142" i="30"/>
  <c r="N138" i="6" s="1"/>
  <c r="F142" i="30"/>
  <c r="E142" i="30"/>
  <c r="G141" i="30"/>
  <c r="N137" i="6" s="1"/>
  <c r="F141" i="30"/>
  <c r="E141" i="30"/>
  <c r="G140" i="30"/>
  <c r="N136" i="6" s="1"/>
  <c r="F140" i="30"/>
  <c r="E140" i="30"/>
  <c r="G139" i="30"/>
  <c r="N135" i="6" s="1"/>
  <c r="F139" i="30"/>
  <c r="E139" i="30"/>
  <c r="G138" i="30"/>
  <c r="N134" i="6" s="1"/>
  <c r="F138" i="30"/>
  <c r="E138" i="30"/>
  <c r="G137" i="30"/>
  <c r="N133" i="6" s="1"/>
  <c r="F137" i="30"/>
  <c r="E137" i="30"/>
  <c r="G136" i="30"/>
  <c r="N132" i="6" s="1"/>
  <c r="F136" i="30"/>
  <c r="E136" i="30"/>
  <c r="G135" i="30"/>
  <c r="N131" i="6" s="1"/>
  <c r="F135" i="30"/>
  <c r="E135" i="30"/>
  <c r="G134" i="30"/>
  <c r="N130" i="6" s="1"/>
  <c r="F134" i="30"/>
  <c r="E134" i="30"/>
  <c r="G133" i="30"/>
  <c r="N129" i="6" s="1"/>
  <c r="F133" i="30"/>
  <c r="E133" i="30"/>
  <c r="G132" i="30"/>
  <c r="N128" i="6" s="1"/>
  <c r="F132" i="30"/>
  <c r="E132" i="30"/>
  <c r="G131" i="30"/>
  <c r="N127" i="6" s="1"/>
  <c r="F131" i="30"/>
  <c r="E131" i="30"/>
  <c r="G130" i="30"/>
  <c r="N126" i="6" s="1"/>
  <c r="F130" i="30"/>
  <c r="E130" i="30"/>
  <c r="G129" i="30"/>
  <c r="N125" i="6" s="1"/>
  <c r="F129" i="30"/>
  <c r="E129" i="30"/>
  <c r="G128" i="30"/>
  <c r="N124" i="6" s="1"/>
  <c r="F128" i="30"/>
  <c r="E128" i="30"/>
  <c r="G127" i="30"/>
  <c r="F127" i="30"/>
  <c r="E127" i="30"/>
  <c r="G126" i="30"/>
  <c r="N122" i="6" s="1"/>
  <c r="F126" i="30"/>
  <c r="E126" i="30"/>
  <c r="G125" i="30"/>
  <c r="N121" i="6" s="1"/>
  <c r="F125" i="30"/>
  <c r="E125" i="30"/>
  <c r="G124" i="30"/>
  <c r="N120" i="6" s="1"/>
  <c r="F124" i="30"/>
  <c r="E124" i="30"/>
  <c r="G123" i="30"/>
  <c r="N119" i="6" s="1"/>
  <c r="F123" i="30"/>
  <c r="E123" i="30"/>
  <c r="G122" i="30"/>
  <c r="N118" i="6" s="1"/>
  <c r="F122" i="30"/>
  <c r="E122" i="30"/>
  <c r="G121" i="30"/>
  <c r="N117" i="6"/>
  <c r="F121" i="30"/>
  <c r="E121" i="30"/>
  <c r="G120" i="30"/>
  <c r="N116" i="6" s="1"/>
  <c r="F120" i="30"/>
  <c r="E120" i="30"/>
  <c r="G119" i="30"/>
  <c r="N115" i="6" s="1"/>
  <c r="F119" i="30"/>
  <c r="E119" i="30"/>
  <c r="G118" i="30"/>
  <c r="N114" i="6" s="1"/>
  <c r="F118" i="30"/>
  <c r="E118" i="30"/>
  <c r="G117" i="30"/>
  <c r="N113" i="6"/>
  <c r="F117" i="30"/>
  <c r="E117" i="30"/>
  <c r="G116" i="30"/>
  <c r="N112" i="6" s="1"/>
  <c r="F116" i="30"/>
  <c r="E116" i="30"/>
  <c r="G115" i="30"/>
  <c r="N111" i="6" s="1"/>
  <c r="F115" i="30"/>
  <c r="E115" i="30"/>
  <c r="G114" i="30"/>
  <c r="N110" i="6" s="1"/>
  <c r="F114" i="30"/>
  <c r="E114" i="30"/>
  <c r="G113" i="30"/>
  <c r="N109" i="6" s="1"/>
  <c r="F113" i="30"/>
  <c r="E113" i="30"/>
  <c r="G112" i="30"/>
  <c r="N108" i="6" s="1"/>
  <c r="F112" i="30"/>
  <c r="E112" i="30"/>
  <c r="G111" i="30"/>
  <c r="N107" i="6" s="1"/>
  <c r="F111" i="30"/>
  <c r="E111" i="30"/>
  <c r="G110" i="30"/>
  <c r="N106" i="6" s="1"/>
  <c r="F110" i="30"/>
  <c r="E110" i="30"/>
  <c r="G109" i="30"/>
  <c r="N105" i="6" s="1"/>
  <c r="F109" i="30"/>
  <c r="E109" i="30"/>
  <c r="G108" i="30"/>
  <c r="N104" i="6" s="1"/>
  <c r="F108" i="30"/>
  <c r="E108" i="30"/>
  <c r="G107" i="30"/>
  <c r="N103" i="6" s="1"/>
  <c r="F107" i="30"/>
  <c r="E107" i="30"/>
  <c r="G106" i="30"/>
  <c r="N102" i="6" s="1"/>
  <c r="F106" i="30"/>
  <c r="E106" i="30"/>
  <c r="G105" i="30"/>
  <c r="N101" i="6"/>
  <c r="F105" i="30"/>
  <c r="E105" i="30"/>
  <c r="G104" i="30"/>
  <c r="N100" i="6" s="1"/>
  <c r="F104" i="30"/>
  <c r="E104" i="30"/>
  <c r="G103" i="30"/>
  <c r="N99" i="6" s="1"/>
  <c r="F103" i="30"/>
  <c r="E103" i="30"/>
  <c r="G102" i="30"/>
  <c r="N98" i="6" s="1"/>
  <c r="F102" i="30"/>
  <c r="E102" i="30"/>
  <c r="G101" i="30"/>
  <c r="N97" i="6" s="1"/>
  <c r="F101" i="30"/>
  <c r="E101" i="30"/>
  <c r="G100" i="30"/>
  <c r="N96" i="6" s="1"/>
  <c r="F100" i="30"/>
  <c r="E100" i="30"/>
  <c r="G99" i="30"/>
  <c r="N95" i="6" s="1"/>
  <c r="F99" i="30"/>
  <c r="E99" i="30"/>
  <c r="G98" i="30"/>
  <c r="N94" i="6" s="1"/>
  <c r="F98" i="30"/>
  <c r="E98" i="30"/>
  <c r="G97" i="30"/>
  <c r="N93" i="6" s="1"/>
  <c r="F97" i="30"/>
  <c r="E97" i="30"/>
  <c r="G96" i="30"/>
  <c r="N92" i="6" s="1"/>
  <c r="F96" i="30"/>
  <c r="E96" i="30"/>
  <c r="G95" i="30"/>
  <c r="N91" i="6" s="1"/>
  <c r="F95" i="30"/>
  <c r="E95" i="30"/>
  <c r="G94" i="30"/>
  <c r="N90" i="6" s="1"/>
  <c r="F94" i="30"/>
  <c r="E94" i="30"/>
  <c r="G93" i="30"/>
  <c r="N89" i="6" s="1"/>
  <c r="F93" i="30"/>
  <c r="E93" i="30"/>
  <c r="G92" i="30"/>
  <c r="N88" i="6" s="1"/>
  <c r="F92" i="30"/>
  <c r="E92" i="30"/>
  <c r="G91" i="30"/>
  <c r="N87" i="6" s="1"/>
  <c r="F91" i="30"/>
  <c r="E91" i="30"/>
  <c r="G90" i="30"/>
  <c r="N86" i="6" s="1"/>
  <c r="F90" i="30"/>
  <c r="E90" i="30"/>
  <c r="G89" i="30"/>
  <c r="N85" i="6" s="1"/>
  <c r="F89" i="30"/>
  <c r="E89" i="30"/>
  <c r="G88" i="30"/>
  <c r="N84" i="6" s="1"/>
  <c r="F88" i="30"/>
  <c r="E88" i="30"/>
  <c r="G87" i="30"/>
  <c r="N83" i="6" s="1"/>
  <c r="F87" i="30"/>
  <c r="E87" i="30"/>
  <c r="G86" i="30"/>
  <c r="N82" i="6" s="1"/>
  <c r="F86" i="30"/>
  <c r="E86" i="30"/>
  <c r="G85" i="30"/>
  <c r="N81" i="6"/>
  <c r="F85" i="30"/>
  <c r="E85" i="30"/>
  <c r="G84" i="30"/>
  <c r="N80" i="6" s="1"/>
  <c r="F84" i="30"/>
  <c r="E84" i="30"/>
  <c r="G83" i="30"/>
  <c r="N79" i="6"/>
  <c r="F83" i="30"/>
  <c r="E83" i="30"/>
  <c r="G82" i="30"/>
  <c r="N78" i="6" s="1"/>
  <c r="F82" i="30"/>
  <c r="E82" i="30"/>
  <c r="G81" i="30"/>
  <c r="N77" i="6" s="1"/>
  <c r="F81" i="30"/>
  <c r="E81" i="30"/>
  <c r="G80" i="30"/>
  <c r="N76" i="6" s="1"/>
  <c r="F80" i="30"/>
  <c r="E80" i="30"/>
  <c r="G79" i="30"/>
  <c r="N75" i="6" s="1"/>
  <c r="F79" i="30"/>
  <c r="E79" i="30"/>
  <c r="G78" i="30"/>
  <c r="N74" i="6" s="1"/>
  <c r="F78" i="30"/>
  <c r="E78" i="30"/>
  <c r="G77" i="30"/>
  <c r="N73" i="6" s="1"/>
  <c r="F77" i="30"/>
  <c r="E77" i="30"/>
  <c r="G76" i="30"/>
  <c r="N72" i="6" s="1"/>
  <c r="F76" i="30"/>
  <c r="E76" i="30"/>
  <c r="G75" i="30"/>
  <c r="N71" i="6" s="1"/>
  <c r="F75" i="30"/>
  <c r="E75" i="30"/>
  <c r="G74" i="30"/>
  <c r="N70" i="6" s="1"/>
  <c r="F74" i="30"/>
  <c r="E74" i="30"/>
  <c r="G73" i="30"/>
  <c r="N69" i="6" s="1"/>
  <c r="F73" i="30"/>
  <c r="E73" i="30"/>
  <c r="G72" i="30"/>
  <c r="N68" i="6" s="1"/>
  <c r="F72" i="30"/>
  <c r="E72" i="30"/>
  <c r="G71" i="30"/>
  <c r="N67" i="6" s="1"/>
  <c r="F71" i="30"/>
  <c r="E71" i="30"/>
  <c r="G70" i="30"/>
  <c r="N66" i="6" s="1"/>
  <c r="F70" i="30"/>
  <c r="E70" i="30"/>
  <c r="G69" i="30"/>
  <c r="N65" i="6"/>
  <c r="F69" i="30"/>
  <c r="E69" i="30"/>
  <c r="G68" i="30"/>
  <c r="N64" i="6" s="1"/>
  <c r="F68" i="30"/>
  <c r="E68" i="30"/>
  <c r="G67" i="30"/>
  <c r="N63" i="6" s="1"/>
  <c r="F67" i="30"/>
  <c r="E67" i="30"/>
  <c r="G66" i="30"/>
  <c r="N62" i="6" s="1"/>
  <c r="F66" i="30"/>
  <c r="E66" i="30"/>
  <c r="G65" i="30"/>
  <c r="N61" i="6" s="1"/>
  <c r="F65" i="30"/>
  <c r="E65" i="30"/>
  <c r="G64" i="30"/>
  <c r="N60" i="6" s="1"/>
  <c r="F64" i="30"/>
  <c r="E64" i="30"/>
  <c r="G63" i="30"/>
  <c r="N59" i="6"/>
  <c r="F63" i="30"/>
  <c r="E63" i="30"/>
  <c r="G62" i="30"/>
  <c r="N58" i="6" s="1"/>
  <c r="F62" i="30"/>
  <c r="E62" i="30"/>
  <c r="G61" i="30"/>
  <c r="N57" i="6" s="1"/>
  <c r="F61" i="30"/>
  <c r="E61" i="30"/>
  <c r="G60" i="30"/>
  <c r="N56" i="6" s="1"/>
  <c r="F60" i="30"/>
  <c r="E60" i="30"/>
  <c r="G59" i="30"/>
  <c r="N55" i="6" s="1"/>
  <c r="F59" i="30"/>
  <c r="E59" i="30"/>
  <c r="G58" i="30"/>
  <c r="N54" i="6" s="1"/>
  <c r="F58" i="30"/>
  <c r="E58" i="30"/>
  <c r="G57" i="30"/>
  <c r="N53" i="6" s="1"/>
  <c r="F57" i="30"/>
  <c r="E57" i="30"/>
  <c r="G56" i="30"/>
  <c r="N52" i="6" s="1"/>
  <c r="F56" i="30"/>
  <c r="E56" i="30"/>
  <c r="G55" i="30"/>
  <c r="N51" i="6" s="1"/>
  <c r="F55" i="30"/>
  <c r="E55" i="30"/>
  <c r="G54" i="30"/>
  <c r="N50" i="6" s="1"/>
  <c r="F54" i="30"/>
  <c r="E54" i="30"/>
  <c r="G53" i="30"/>
  <c r="N49" i="6" s="1"/>
  <c r="F53" i="30"/>
  <c r="E53" i="30"/>
  <c r="G52" i="30"/>
  <c r="N48" i="6" s="1"/>
  <c r="F52" i="30"/>
  <c r="E52" i="30"/>
  <c r="G51" i="30"/>
  <c r="N47" i="6"/>
  <c r="F51" i="30"/>
  <c r="E51" i="30"/>
  <c r="G50" i="30"/>
  <c r="N46" i="6" s="1"/>
  <c r="F50" i="30"/>
  <c r="E50" i="30"/>
  <c r="G49" i="30"/>
  <c r="N45" i="6" s="1"/>
  <c r="F49" i="30"/>
  <c r="E49" i="30"/>
  <c r="G48" i="30"/>
  <c r="N44" i="6" s="1"/>
  <c r="F48" i="30"/>
  <c r="E48" i="30"/>
  <c r="G47" i="30"/>
  <c r="N43" i="6" s="1"/>
  <c r="F47" i="30"/>
  <c r="E47" i="30"/>
  <c r="G46" i="30"/>
  <c r="N42" i="6" s="1"/>
  <c r="F46" i="30"/>
  <c r="E46" i="30"/>
  <c r="G45" i="30"/>
  <c r="N41" i="6" s="1"/>
  <c r="F45" i="30"/>
  <c r="E45" i="30"/>
  <c r="G44" i="30"/>
  <c r="N40" i="6" s="1"/>
  <c r="F44" i="30"/>
  <c r="E44" i="30"/>
  <c r="G43" i="30"/>
  <c r="N39" i="6" s="1"/>
  <c r="F43" i="30"/>
  <c r="E43" i="30"/>
  <c r="G42" i="30"/>
  <c r="N38" i="6" s="1"/>
  <c r="F42" i="30"/>
  <c r="E42" i="30"/>
  <c r="G41" i="30"/>
  <c r="N37" i="6" s="1"/>
  <c r="F41" i="30"/>
  <c r="E41" i="30"/>
  <c r="G40" i="30"/>
  <c r="N36" i="6" s="1"/>
  <c r="F40" i="30"/>
  <c r="E40" i="30"/>
  <c r="G39" i="30"/>
  <c r="N35" i="6" s="1"/>
  <c r="F39" i="30"/>
  <c r="E39" i="30"/>
  <c r="G38" i="30"/>
  <c r="N34" i="6" s="1"/>
  <c r="F38" i="30"/>
  <c r="E38" i="30"/>
  <c r="G37" i="30"/>
  <c r="N33" i="6" s="1"/>
  <c r="F37" i="30"/>
  <c r="E37" i="30"/>
  <c r="G36" i="30"/>
  <c r="N32" i="6" s="1"/>
  <c r="F36" i="30"/>
  <c r="E36" i="30"/>
  <c r="G35" i="30"/>
  <c r="N31" i="6"/>
  <c r="F35" i="30"/>
  <c r="E35" i="30"/>
  <c r="G34" i="30"/>
  <c r="N30" i="6" s="1"/>
  <c r="F34" i="30"/>
  <c r="E34" i="30"/>
  <c r="G33" i="30"/>
  <c r="N29" i="6" s="1"/>
  <c r="F33" i="30"/>
  <c r="E33" i="30"/>
  <c r="G32" i="30"/>
  <c r="N28" i="6" s="1"/>
  <c r="F32" i="30"/>
  <c r="E32" i="30"/>
  <c r="G31" i="30"/>
  <c r="N27" i="6" s="1"/>
  <c r="F31" i="30"/>
  <c r="E31" i="30"/>
  <c r="G30" i="30"/>
  <c r="N26" i="6" s="1"/>
  <c r="F30" i="30"/>
  <c r="E30" i="30"/>
  <c r="G29" i="30"/>
  <c r="N25" i="6" s="1"/>
  <c r="F29" i="30"/>
  <c r="E29" i="30"/>
  <c r="G28" i="30"/>
  <c r="N24" i="6" s="1"/>
  <c r="F28" i="30"/>
  <c r="E28" i="30"/>
  <c r="G27" i="30"/>
  <c r="N23" i="6" s="1"/>
  <c r="F27" i="30"/>
  <c r="E27" i="30"/>
  <c r="G26" i="30"/>
  <c r="N22" i="6" s="1"/>
  <c r="F26" i="30"/>
  <c r="E26" i="30"/>
  <c r="G25" i="30"/>
  <c r="N21" i="6"/>
  <c r="F25" i="30"/>
  <c r="E25" i="30"/>
  <c r="G24" i="30"/>
  <c r="N20" i="6" s="1"/>
  <c r="F24" i="30"/>
  <c r="E24" i="30"/>
  <c r="G23" i="30"/>
  <c r="N19" i="6" s="1"/>
  <c r="F23" i="30"/>
  <c r="E23" i="30"/>
  <c r="G22" i="30"/>
  <c r="N18" i="6" s="1"/>
  <c r="F22" i="30"/>
  <c r="E22" i="30"/>
  <c r="G21" i="30"/>
  <c r="N17" i="6" s="1"/>
  <c r="F21" i="30"/>
  <c r="E21" i="30"/>
  <c r="G20" i="30"/>
  <c r="N16" i="6" s="1"/>
  <c r="F20" i="30"/>
  <c r="E20" i="30"/>
  <c r="G19" i="30"/>
  <c r="N15" i="6" s="1"/>
  <c r="F19" i="30"/>
  <c r="E19" i="30"/>
  <c r="G18" i="30"/>
  <c r="N14" i="6" s="1"/>
  <c r="F18" i="30"/>
  <c r="E18" i="30"/>
  <c r="G17" i="30"/>
  <c r="N13" i="6" s="1"/>
  <c r="F17" i="30"/>
  <c r="E17" i="30"/>
  <c r="G16" i="30"/>
  <c r="N12" i="6" s="1"/>
  <c r="F16" i="30"/>
  <c r="E16" i="30"/>
  <c r="G15" i="30"/>
  <c r="N11" i="6"/>
  <c r="F15" i="30"/>
  <c r="E15" i="30"/>
  <c r="G14" i="30"/>
  <c r="N10" i="6" s="1"/>
  <c r="F14" i="30"/>
  <c r="E14" i="30"/>
  <c r="G13" i="30"/>
  <c r="N9" i="6" s="1"/>
  <c r="F13" i="30"/>
  <c r="E13" i="30"/>
  <c r="G12" i="30"/>
  <c r="N8" i="6" s="1"/>
  <c r="F12" i="30"/>
  <c r="E12" i="30"/>
  <c r="G11" i="30"/>
  <c r="N7" i="6" s="1"/>
  <c r="F11" i="30"/>
  <c r="E11" i="30"/>
  <c r="G10" i="30"/>
  <c r="N6" i="6" s="1"/>
  <c r="F10" i="30"/>
  <c r="E10" i="30"/>
  <c r="G9" i="30"/>
  <c r="N5" i="6" s="1"/>
  <c r="F9" i="30"/>
  <c r="E9" i="30"/>
  <c r="G8" i="30"/>
  <c r="N4" i="6" s="1"/>
  <c r="F8" i="30"/>
  <c r="E8" i="30"/>
  <c r="G2" i="30"/>
  <c r="G397" i="29"/>
  <c r="F397" i="29"/>
  <c r="E397" i="29"/>
  <c r="G396" i="29"/>
  <c r="F396" i="29"/>
  <c r="E396" i="29"/>
  <c r="G395" i="29"/>
  <c r="F395" i="29"/>
  <c r="E395" i="29"/>
  <c r="G394" i="29"/>
  <c r="F394" i="29"/>
  <c r="E394" i="29"/>
  <c r="G393" i="29"/>
  <c r="F393" i="29"/>
  <c r="E393" i="29"/>
  <c r="G392" i="29"/>
  <c r="F392" i="29"/>
  <c r="E392" i="29"/>
  <c r="G391" i="29"/>
  <c r="F391" i="29"/>
  <c r="E391" i="29"/>
  <c r="G390" i="29"/>
  <c r="F390" i="29"/>
  <c r="E390" i="29"/>
  <c r="G389" i="29"/>
  <c r="F389" i="29"/>
  <c r="E389" i="29"/>
  <c r="G388" i="29"/>
  <c r="F388" i="29"/>
  <c r="E388" i="29"/>
  <c r="G387" i="29"/>
  <c r="F387" i="29"/>
  <c r="E387" i="29"/>
  <c r="G386" i="29"/>
  <c r="F386" i="29"/>
  <c r="E386" i="29"/>
  <c r="G385" i="29"/>
  <c r="F385" i="29"/>
  <c r="E385" i="29"/>
  <c r="G384" i="29"/>
  <c r="F384" i="29"/>
  <c r="E384" i="29"/>
  <c r="G383" i="29"/>
  <c r="F383" i="29"/>
  <c r="E383" i="29"/>
  <c r="G382" i="29"/>
  <c r="F382" i="29"/>
  <c r="E382" i="29"/>
  <c r="G381" i="29"/>
  <c r="F381" i="29"/>
  <c r="E381" i="29"/>
  <c r="G380" i="29"/>
  <c r="F380" i="29"/>
  <c r="E380" i="29"/>
  <c r="G379" i="29"/>
  <c r="F379" i="29"/>
  <c r="E379" i="29"/>
  <c r="G378" i="29"/>
  <c r="F378" i="29"/>
  <c r="E378" i="29"/>
  <c r="G377" i="29"/>
  <c r="F377" i="29"/>
  <c r="E377" i="29"/>
  <c r="G376" i="29"/>
  <c r="F376" i="29"/>
  <c r="E376" i="29"/>
  <c r="G375" i="29"/>
  <c r="F375" i="29"/>
  <c r="E375" i="29"/>
  <c r="G374" i="29"/>
  <c r="F374" i="29"/>
  <c r="E374" i="29"/>
  <c r="G373" i="29"/>
  <c r="F373" i="29"/>
  <c r="E373" i="29"/>
  <c r="G372" i="29"/>
  <c r="F372" i="29"/>
  <c r="E372" i="29"/>
  <c r="G371" i="29"/>
  <c r="F371" i="29"/>
  <c r="E371" i="29"/>
  <c r="G370" i="29"/>
  <c r="F370" i="29"/>
  <c r="E370" i="29"/>
  <c r="G369" i="29"/>
  <c r="F369" i="29"/>
  <c r="E369" i="29"/>
  <c r="G368" i="29"/>
  <c r="F368" i="29"/>
  <c r="E368" i="29"/>
  <c r="G367" i="29"/>
  <c r="F367" i="29"/>
  <c r="E367" i="29"/>
  <c r="G366" i="29"/>
  <c r="F366" i="29"/>
  <c r="E366" i="29"/>
  <c r="G365" i="29"/>
  <c r="F365" i="29"/>
  <c r="E365" i="29"/>
  <c r="G364" i="29"/>
  <c r="F364" i="29"/>
  <c r="E364" i="29"/>
  <c r="G363" i="29"/>
  <c r="F363" i="29"/>
  <c r="E363" i="29"/>
  <c r="G362" i="29"/>
  <c r="F362" i="29"/>
  <c r="E362" i="29"/>
  <c r="G361" i="29"/>
  <c r="F361" i="29"/>
  <c r="E361" i="29"/>
  <c r="G360" i="29"/>
  <c r="F360" i="29"/>
  <c r="E360" i="29"/>
  <c r="G359" i="29"/>
  <c r="F359" i="29"/>
  <c r="E359" i="29"/>
  <c r="G358" i="29"/>
  <c r="F358" i="29"/>
  <c r="E358" i="29"/>
  <c r="G357" i="29"/>
  <c r="F357" i="29"/>
  <c r="E357" i="29"/>
  <c r="G356" i="29"/>
  <c r="F356" i="29"/>
  <c r="E356" i="29"/>
  <c r="G355" i="29"/>
  <c r="F355" i="29"/>
  <c r="E355" i="29"/>
  <c r="G354" i="29"/>
  <c r="F354" i="29"/>
  <c r="E354" i="29"/>
  <c r="G353" i="29"/>
  <c r="F353" i="29"/>
  <c r="E353" i="29"/>
  <c r="G352" i="29"/>
  <c r="F352" i="29"/>
  <c r="E352" i="29"/>
  <c r="G351" i="29"/>
  <c r="F351" i="29"/>
  <c r="E351" i="29"/>
  <c r="G350" i="29"/>
  <c r="F350" i="29"/>
  <c r="E350" i="29"/>
  <c r="G349" i="29"/>
  <c r="F349" i="29"/>
  <c r="E349" i="29"/>
  <c r="G348" i="29"/>
  <c r="F348" i="29"/>
  <c r="E348" i="29"/>
  <c r="G347" i="29"/>
  <c r="F347" i="29"/>
  <c r="E347" i="29"/>
  <c r="G346" i="29"/>
  <c r="F346" i="29"/>
  <c r="E346" i="29"/>
  <c r="G345" i="29"/>
  <c r="F345" i="29"/>
  <c r="E345" i="29"/>
  <c r="G344" i="29"/>
  <c r="F344" i="29"/>
  <c r="E344" i="29"/>
  <c r="G343" i="29"/>
  <c r="F343" i="29"/>
  <c r="E343" i="29"/>
  <c r="G342" i="29"/>
  <c r="F342" i="29"/>
  <c r="E342" i="29"/>
  <c r="G341" i="29"/>
  <c r="F341" i="29"/>
  <c r="E341" i="29"/>
  <c r="G340" i="29"/>
  <c r="F340" i="29"/>
  <c r="E340" i="29"/>
  <c r="G339" i="29"/>
  <c r="F339" i="29"/>
  <c r="E339" i="29"/>
  <c r="G338" i="29"/>
  <c r="F338" i="29"/>
  <c r="E338" i="29"/>
  <c r="G337" i="29"/>
  <c r="F337" i="29"/>
  <c r="E337" i="29"/>
  <c r="G336" i="29"/>
  <c r="F336" i="29"/>
  <c r="E336" i="29"/>
  <c r="G335" i="29"/>
  <c r="F335" i="29"/>
  <c r="E335" i="29"/>
  <c r="G334" i="29"/>
  <c r="F334" i="29"/>
  <c r="E334" i="29"/>
  <c r="G333" i="29"/>
  <c r="F333" i="29"/>
  <c r="E333" i="29"/>
  <c r="G332" i="29"/>
  <c r="F332" i="29"/>
  <c r="E332" i="29"/>
  <c r="G331" i="29"/>
  <c r="F331" i="29"/>
  <c r="E331" i="29"/>
  <c r="G330" i="29"/>
  <c r="F330" i="29"/>
  <c r="E330" i="29"/>
  <c r="G329" i="29"/>
  <c r="F329" i="29"/>
  <c r="E329" i="29"/>
  <c r="G328" i="29"/>
  <c r="F328" i="29"/>
  <c r="E328" i="29"/>
  <c r="G327" i="29"/>
  <c r="F327" i="29"/>
  <c r="E327" i="29"/>
  <c r="G326" i="29"/>
  <c r="F326" i="29"/>
  <c r="E326" i="29"/>
  <c r="G325" i="29"/>
  <c r="F325" i="29"/>
  <c r="E325" i="29"/>
  <c r="G324" i="29"/>
  <c r="F324" i="29"/>
  <c r="E324" i="29"/>
  <c r="G323" i="29"/>
  <c r="F323" i="29"/>
  <c r="E323" i="29"/>
  <c r="G322" i="29"/>
  <c r="F322" i="29"/>
  <c r="E322" i="29"/>
  <c r="G321" i="29"/>
  <c r="F321" i="29"/>
  <c r="E321" i="29"/>
  <c r="G320" i="29"/>
  <c r="F320" i="29"/>
  <c r="E320" i="29"/>
  <c r="G319" i="29"/>
  <c r="F319" i="29"/>
  <c r="E319" i="29"/>
  <c r="G318" i="29"/>
  <c r="F318" i="29"/>
  <c r="E318" i="29"/>
  <c r="G317" i="29"/>
  <c r="F317" i="29"/>
  <c r="E317" i="29"/>
  <c r="G316" i="29"/>
  <c r="F316" i="29"/>
  <c r="E316" i="29"/>
  <c r="G315" i="29"/>
  <c r="F315" i="29"/>
  <c r="E315" i="29"/>
  <c r="G314" i="29"/>
  <c r="F314" i="29"/>
  <c r="E314" i="29"/>
  <c r="G313" i="29"/>
  <c r="F313" i="29"/>
  <c r="E313" i="29"/>
  <c r="G312" i="29"/>
  <c r="F312" i="29"/>
  <c r="E312" i="29"/>
  <c r="G311" i="29"/>
  <c r="F311" i="29"/>
  <c r="E311" i="29"/>
  <c r="G310" i="29"/>
  <c r="F310" i="29"/>
  <c r="E310" i="29"/>
  <c r="G309" i="29"/>
  <c r="F309" i="29"/>
  <c r="E309" i="29"/>
  <c r="G308" i="29"/>
  <c r="F308" i="29"/>
  <c r="E308" i="29"/>
  <c r="G307" i="29"/>
  <c r="F307" i="29"/>
  <c r="E307" i="29"/>
  <c r="G306" i="29"/>
  <c r="F306" i="29"/>
  <c r="E306" i="29"/>
  <c r="G305" i="29"/>
  <c r="F305" i="29"/>
  <c r="E305" i="29"/>
  <c r="G304" i="29"/>
  <c r="F304" i="29"/>
  <c r="E304" i="29"/>
  <c r="G303" i="29"/>
  <c r="F303" i="29"/>
  <c r="E303" i="29"/>
  <c r="G302" i="29"/>
  <c r="F302" i="29"/>
  <c r="E302" i="29"/>
  <c r="G301" i="29"/>
  <c r="F301" i="29"/>
  <c r="E301" i="29"/>
  <c r="G300" i="29"/>
  <c r="F300" i="29"/>
  <c r="E300" i="29"/>
  <c r="G299" i="29"/>
  <c r="F299" i="29"/>
  <c r="E299" i="29"/>
  <c r="G298" i="29"/>
  <c r="F298" i="29"/>
  <c r="E298" i="29"/>
  <c r="G297" i="29"/>
  <c r="F297" i="29"/>
  <c r="E297" i="29"/>
  <c r="G296" i="29"/>
  <c r="F296" i="29"/>
  <c r="E296" i="29"/>
  <c r="G295" i="29"/>
  <c r="F295" i="29"/>
  <c r="E295" i="29"/>
  <c r="G294" i="29"/>
  <c r="F294" i="29"/>
  <c r="E294" i="29"/>
  <c r="G293" i="29"/>
  <c r="F293" i="29"/>
  <c r="E293" i="29"/>
  <c r="G292" i="29"/>
  <c r="F292" i="29"/>
  <c r="E292" i="29"/>
  <c r="G291" i="29"/>
  <c r="F291" i="29"/>
  <c r="E291" i="29"/>
  <c r="G290" i="29"/>
  <c r="F290" i="29"/>
  <c r="E290" i="29"/>
  <c r="G289" i="29"/>
  <c r="F289" i="29"/>
  <c r="E289" i="29"/>
  <c r="G288" i="29"/>
  <c r="F288" i="29"/>
  <c r="E288" i="29"/>
  <c r="G287" i="29"/>
  <c r="F287" i="29"/>
  <c r="E287" i="29"/>
  <c r="G286" i="29"/>
  <c r="F286" i="29"/>
  <c r="E286" i="29"/>
  <c r="G285" i="29"/>
  <c r="F285" i="29"/>
  <c r="E285" i="29"/>
  <c r="G284" i="29"/>
  <c r="F284" i="29"/>
  <c r="E284" i="29"/>
  <c r="G283" i="29"/>
  <c r="F283" i="29"/>
  <c r="E283" i="29"/>
  <c r="G282" i="29"/>
  <c r="F282" i="29"/>
  <c r="E282" i="29"/>
  <c r="G281" i="29"/>
  <c r="F281" i="29"/>
  <c r="E281" i="29"/>
  <c r="G280" i="29"/>
  <c r="F280" i="29"/>
  <c r="E280" i="29"/>
  <c r="G279" i="29"/>
  <c r="F279" i="29"/>
  <c r="E279" i="29"/>
  <c r="G278" i="29"/>
  <c r="F278" i="29"/>
  <c r="E278" i="29"/>
  <c r="G277" i="29"/>
  <c r="F277" i="29"/>
  <c r="E277" i="29"/>
  <c r="G276" i="29"/>
  <c r="F276" i="29"/>
  <c r="E276" i="29"/>
  <c r="G275" i="29"/>
  <c r="F275" i="29"/>
  <c r="E275" i="29"/>
  <c r="G274" i="29"/>
  <c r="F274" i="29"/>
  <c r="E274" i="29"/>
  <c r="G273" i="29"/>
  <c r="F273" i="29"/>
  <c r="E273" i="29"/>
  <c r="G272" i="29"/>
  <c r="M268" i="6"/>
  <c r="F272" i="29"/>
  <c r="E272" i="29"/>
  <c r="G271" i="29"/>
  <c r="M267" i="6" s="1"/>
  <c r="F271" i="29"/>
  <c r="E271" i="29"/>
  <c r="G270" i="29"/>
  <c r="M266" i="6"/>
  <c r="F270" i="29"/>
  <c r="E270" i="29"/>
  <c r="G269" i="29"/>
  <c r="M265" i="6" s="1"/>
  <c r="F269" i="29"/>
  <c r="E269" i="29"/>
  <c r="G268" i="29"/>
  <c r="M264" i="6" s="1"/>
  <c r="F268" i="29"/>
  <c r="E268" i="29"/>
  <c r="G267" i="29"/>
  <c r="M263" i="6" s="1"/>
  <c r="F267" i="29"/>
  <c r="E267" i="29"/>
  <c r="G266" i="29"/>
  <c r="M262" i="6" s="1"/>
  <c r="F266" i="29"/>
  <c r="E266" i="29"/>
  <c r="G265" i="29"/>
  <c r="M261" i="6" s="1"/>
  <c r="F265" i="29"/>
  <c r="E265" i="29"/>
  <c r="G264" i="29"/>
  <c r="M260" i="6"/>
  <c r="F264" i="29"/>
  <c r="E264" i="29"/>
  <c r="G263" i="29"/>
  <c r="M259" i="6" s="1"/>
  <c r="F263" i="29"/>
  <c r="E263" i="29"/>
  <c r="G262" i="29"/>
  <c r="M258" i="6" s="1"/>
  <c r="F262" i="29"/>
  <c r="E262" i="29"/>
  <c r="G261" i="29"/>
  <c r="M257" i="6" s="1"/>
  <c r="F261" i="29"/>
  <c r="E261" i="29"/>
  <c r="G260" i="29"/>
  <c r="M256" i="6" s="1"/>
  <c r="F260" i="29"/>
  <c r="E260" i="29"/>
  <c r="G259" i="29"/>
  <c r="M255" i="6" s="1"/>
  <c r="F259" i="29"/>
  <c r="E259" i="29"/>
  <c r="G258" i="29"/>
  <c r="M254" i="6" s="1"/>
  <c r="F258" i="29"/>
  <c r="E258" i="29"/>
  <c r="G257" i="29"/>
  <c r="M253" i="6" s="1"/>
  <c r="F257" i="29"/>
  <c r="E257" i="29"/>
  <c r="G256" i="29"/>
  <c r="M252" i="6" s="1"/>
  <c r="F256" i="29"/>
  <c r="E256" i="29"/>
  <c r="G255" i="29"/>
  <c r="M251" i="6" s="1"/>
  <c r="F255" i="29"/>
  <c r="E255" i="29"/>
  <c r="G254" i="29"/>
  <c r="M250" i="6" s="1"/>
  <c r="F254" i="29"/>
  <c r="E254" i="29"/>
  <c r="G253" i="29"/>
  <c r="M249" i="6" s="1"/>
  <c r="F253" i="29"/>
  <c r="E253" i="29"/>
  <c r="G252" i="29"/>
  <c r="M248" i="6" s="1"/>
  <c r="F252" i="29"/>
  <c r="E252" i="29"/>
  <c r="G251" i="29"/>
  <c r="M247" i="6" s="1"/>
  <c r="F251" i="29"/>
  <c r="E251" i="29"/>
  <c r="G250" i="29"/>
  <c r="M246" i="6" s="1"/>
  <c r="F250" i="29"/>
  <c r="E250" i="29"/>
  <c r="G249" i="29"/>
  <c r="M245" i="6" s="1"/>
  <c r="F249" i="29"/>
  <c r="E249" i="29"/>
  <c r="G248" i="29"/>
  <c r="M244" i="6"/>
  <c r="F248" i="29"/>
  <c r="E248" i="29"/>
  <c r="G247" i="29"/>
  <c r="M243" i="6" s="1"/>
  <c r="F247" i="29"/>
  <c r="E247" i="29"/>
  <c r="G246" i="29"/>
  <c r="M242" i="6" s="1"/>
  <c r="F246" i="29"/>
  <c r="E246" i="29"/>
  <c r="G245" i="29"/>
  <c r="M241" i="6" s="1"/>
  <c r="F245" i="29"/>
  <c r="E245" i="29"/>
  <c r="G244" i="29"/>
  <c r="M240" i="6" s="1"/>
  <c r="F244" i="29"/>
  <c r="E244" i="29"/>
  <c r="G243" i="29"/>
  <c r="M239" i="6" s="1"/>
  <c r="F243" i="29"/>
  <c r="E243" i="29"/>
  <c r="G242" i="29"/>
  <c r="M238" i="6" s="1"/>
  <c r="F242" i="29"/>
  <c r="E242" i="29"/>
  <c r="G241" i="29"/>
  <c r="M237" i="6" s="1"/>
  <c r="F241" i="29"/>
  <c r="E241" i="29"/>
  <c r="G240" i="29"/>
  <c r="M236" i="6" s="1"/>
  <c r="F240" i="29"/>
  <c r="E240" i="29"/>
  <c r="G239" i="29"/>
  <c r="M235" i="6" s="1"/>
  <c r="F239" i="29"/>
  <c r="E239" i="29"/>
  <c r="G238" i="29"/>
  <c r="M234" i="6" s="1"/>
  <c r="F238" i="29"/>
  <c r="E238" i="29"/>
  <c r="G237" i="29"/>
  <c r="M233" i="6" s="1"/>
  <c r="F237" i="29"/>
  <c r="E237" i="29"/>
  <c r="G236" i="29"/>
  <c r="M232" i="6" s="1"/>
  <c r="F236" i="29"/>
  <c r="E236" i="29"/>
  <c r="G235" i="29"/>
  <c r="M231" i="6" s="1"/>
  <c r="F235" i="29"/>
  <c r="E235" i="29"/>
  <c r="G234" i="29"/>
  <c r="M230" i="6"/>
  <c r="F234" i="29"/>
  <c r="E234" i="29"/>
  <c r="G233" i="29"/>
  <c r="M229" i="6" s="1"/>
  <c r="F233" i="29"/>
  <c r="E233" i="29"/>
  <c r="G232" i="29"/>
  <c r="M228" i="6"/>
  <c r="F232" i="29"/>
  <c r="E232" i="29"/>
  <c r="G231" i="29"/>
  <c r="M227" i="6" s="1"/>
  <c r="F231" i="29"/>
  <c r="E231" i="29"/>
  <c r="G230" i="29"/>
  <c r="M226" i="6" s="1"/>
  <c r="F230" i="29"/>
  <c r="E230" i="29"/>
  <c r="G229" i="29"/>
  <c r="M225" i="6" s="1"/>
  <c r="F229" i="29"/>
  <c r="E229" i="29"/>
  <c r="G228" i="29"/>
  <c r="M224" i="6" s="1"/>
  <c r="F228" i="29"/>
  <c r="E228" i="29"/>
  <c r="G227" i="29"/>
  <c r="M223" i="6" s="1"/>
  <c r="F227" i="29"/>
  <c r="E227" i="29"/>
  <c r="G226" i="29"/>
  <c r="M222" i="6" s="1"/>
  <c r="F226" i="29"/>
  <c r="E226" i="29"/>
  <c r="G225" i="29"/>
  <c r="M221" i="6" s="1"/>
  <c r="F225" i="29"/>
  <c r="E225" i="29"/>
  <c r="G224" i="29"/>
  <c r="M220" i="6"/>
  <c r="F224" i="29"/>
  <c r="E224" i="29"/>
  <c r="G223" i="29"/>
  <c r="M219" i="6" s="1"/>
  <c r="F223" i="29"/>
  <c r="E223" i="29"/>
  <c r="G222" i="29"/>
  <c r="M218" i="6" s="1"/>
  <c r="F222" i="29"/>
  <c r="E222" i="29"/>
  <c r="G221" i="29"/>
  <c r="M217" i="6" s="1"/>
  <c r="F221" i="29"/>
  <c r="E221" i="29"/>
  <c r="G220" i="29"/>
  <c r="M216" i="6" s="1"/>
  <c r="F220" i="29"/>
  <c r="E220" i="29"/>
  <c r="G219" i="29"/>
  <c r="M215" i="6" s="1"/>
  <c r="F219" i="29"/>
  <c r="E219" i="29"/>
  <c r="G218" i="29"/>
  <c r="M214" i="6" s="1"/>
  <c r="F218" i="29"/>
  <c r="E218" i="29"/>
  <c r="G217" i="29"/>
  <c r="M213" i="6" s="1"/>
  <c r="F217" i="29"/>
  <c r="E217" i="29"/>
  <c r="G216" i="29"/>
  <c r="M212" i="6" s="1"/>
  <c r="F216" i="29"/>
  <c r="E216" i="29"/>
  <c r="G215" i="29"/>
  <c r="M211" i="6" s="1"/>
  <c r="F215" i="29"/>
  <c r="E215" i="29"/>
  <c r="G214" i="29"/>
  <c r="M210" i="6" s="1"/>
  <c r="F214" i="29"/>
  <c r="E214" i="29"/>
  <c r="G213" i="29"/>
  <c r="M209" i="6" s="1"/>
  <c r="F213" i="29"/>
  <c r="E213" i="29"/>
  <c r="G212" i="29"/>
  <c r="M208" i="6" s="1"/>
  <c r="F212" i="29"/>
  <c r="E212" i="29"/>
  <c r="G211" i="29"/>
  <c r="M207" i="6" s="1"/>
  <c r="F211" i="29"/>
  <c r="E211" i="29"/>
  <c r="G210" i="29"/>
  <c r="M206" i="6" s="1"/>
  <c r="F210" i="29"/>
  <c r="E210" i="29"/>
  <c r="G209" i="29"/>
  <c r="M205" i="6" s="1"/>
  <c r="F209" i="29"/>
  <c r="E209" i="29"/>
  <c r="G208" i="29"/>
  <c r="M204" i="6" s="1"/>
  <c r="F208" i="29"/>
  <c r="E208" i="29"/>
  <c r="G207" i="29"/>
  <c r="M203" i="6" s="1"/>
  <c r="F207" i="29"/>
  <c r="E207" i="29"/>
  <c r="G206" i="29"/>
  <c r="M202" i="6" s="1"/>
  <c r="F206" i="29"/>
  <c r="E206" i="29"/>
  <c r="G205" i="29"/>
  <c r="M201" i="6" s="1"/>
  <c r="F205" i="29"/>
  <c r="E205" i="29"/>
  <c r="G204" i="29"/>
  <c r="M200" i="6" s="1"/>
  <c r="F204" i="29"/>
  <c r="E204" i="29"/>
  <c r="G203" i="29"/>
  <c r="M199" i="6" s="1"/>
  <c r="F203" i="29"/>
  <c r="E203" i="29"/>
  <c r="G202" i="29"/>
  <c r="M198" i="6" s="1"/>
  <c r="F202" i="29"/>
  <c r="E202" i="29"/>
  <c r="G201" i="29"/>
  <c r="M197" i="6" s="1"/>
  <c r="F201" i="29"/>
  <c r="E201" i="29"/>
  <c r="G200" i="29"/>
  <c r="M196" i="6"/>
  <c r="F200" i="29"/>
  <c r="E200" i="29"/>
  <c r="G199" i="29"/>
  <c r="M195" i="6" s="1"/>
  <c r="F199" i="29"/>
  <c r="E199" i="29"/>
  <c r="G198" i="29"/>
  <c r="M194" i="6" s="1"/>
  <c r="F198" i="29"/>
  <c r="E198" i="29"/>
  <c r="G197" i="29"/>
  <c r="M193" i="6" s="1"/>
  <c r="F197" i="29"/>
  <c r="E197" i="29"/>
  <c r="G196" i="29"/>
  <c r="M192" i="6" s="1"/>
  <c r="F196" i="29"/>
  <c r="E196" i="29"/>
  <c r="G195" i="29"/>
  <c r="M191" i="6" s="1"/>
  <c r="F195" i="29"/>
  <c r="E195" i="29"/>
  <c r="G194" i="29"/>
  <c r="M190" i="6" s="1"/>
  <c r="F194" i="29"/>
  <c r="E194" i="29"/>
  <c r="G193" i="29"/>
  <c r="M189" i="6" s="1"/>
  <c r="F193" i="29"/>
  <c r="E193" i="29"/>
  <c r="G192" i="29"/>
  <c r="M188" i="6" s="1"/>
  <c r="F192" i="29"/>
  <c r="E192" i="29"/>
  <c r="G191" i="29"/>
  <c r="M187" i="6" s="1"/>
  <c r="F191" i="29"/>
  <c r="E191" i="29"/>
  <c r="G190" i="29"/>
  <c r="M186" i="6"/>
  <c r="F190" i="29"/>
  <c r="E190" i="29"/>
  <c r="G189" i="29"/>
  <c r="M185" i="6" s="1"/>
  <c r="F189" i="29"/>
  <c r="E189" i="29"/>
  <c r="G188" i="29"/>
  <c r="M184" i="6" s="1"/>
  <c r="F188" i="29"/>
  <c r="E188" i="29"/>
  <c r="G187" i="29"/>
  <c r="M183" i="6" s="1"/>
  <c r="F187" i="29"/>
  <c r="E187" i="29"/>
  <c r="G186" i="29"/>
  <c r="M182" i="6" s="1"/>
  <c r="F186" i="29"/>
  <c r="E186" i="29"/>
  <c r="G185" i="29"/>
  <c r="M181" i="6" s="1"/>
  <c r="F185" i="29"/>
  <c r="E185" i="29"/>
  <c r="G184" i="29"/>
  <c r="M180" i="6" s="1"/>
  <c r="F184" i="29"/>
  <c r="E184" i="29"/>
  <c r="G183" i="29"/>
  <c r="M179" i="6" s="1"/>
  <c r="F183" i="29"/>
  <c r="E183" i="29"/>
  <c r="G182" i="29"/>
  <c r="M178" i="6" s="1"/>
  <c r="F182" i="29"/>
  <c r="E182" i="29"/>
  <c r="G181" i="29"/>
  <c r="M177" i="6" s="1"/>
  <c r="F181" i="29"/>
  <c r="E181" i="29"/>
  <c r="G180" i="29"/>
  <c r="M176" i="6" s="1"/>
  <c r="F180" i="29"/>
  <c r="E180" i="29"/>
  <c r="G179" i="29"/>
  <c r="M175" i="6" s="1"/>
  <c r="F179" i="29"/>
  <c r="E179" i="29"/>
  <c r="G178" i="29"/>
  <c r="M174" i="6" s="1"/>
  <c r="F178" i="29"/>
  <c r="E178" i="29"/>
  <c r="G177" i="29"/>
  <c r="M173" i="6" s="1"/>
  <c r="F177" i="29"/>
  <c r="E177" i="29"/>
  <c r="G176" i="29"/>
  <c r="M172" i="6"/>
  <c r="F176" i="29"/>
  <c r="E176" i="29"/>
  <c r="G175" i="29"/>
  <c r="M171" i="6" s="1"/>
  <c r="F175" i="29"/>
  <c r="E175" i="29"/>
  <c r="G174" i="29"/>
  <c r="M170" i="6"/>
  <c r="F174" i="29"/>
  <c r="E174" i="29"/>
  <c r="G173" i="29"/>
  <c r="M169" i="6" s="1"/>
  <c r="F173" i="29"/>
  <c r="E173" i="29"/>
  <c r="G172" i="29"/>
  <c r="M168" i="6" s="1"/>
  <c r="F172" i="29"/>
  <c r="E172" i="29"/>
  <c r="G171" i="29"/>
  <c r="M167" i="6" s="1"/>
  <c r="F171" i="29"/>
  <c r="E171" i="29"/>
  <c r="G170" i="29"/>
  <c r="M166" i="6" s="1"/>
  <c r="F170" i="29"/>
  <c r="E170" i="29"/>
  <c r="G169" i="29"/>
  <c r="M165" i="6" s="1"/>
  <c r="F169" i="29"/>
  <c r="E169" i="29"/>
  <c r="G168" i="29"/>
  <c r="M164" i="6"/>
  <c r="F168" i="29"/>
  <c r="E168" i="29"/>
  <c r="G167" i="29"/>
  <c r="M163" i="6" s="1"/>
  <c r="F167" i="29"/>
  <c r="E167" i="29"/>
  <c r="G166" i="29"/>
  <c r="M162" i="6" s="1"/>
  <c r="F166" i="29"/>
  <c r="E166" i="29"/>
  <c r="G165" i="29"/>
  <c r="M161" i="6" s="1"/>
  <c r="F165" i="29"/>
  <c r="E165" i="29"/>
  <c r="G164" i="29"/>
  <c r="M160" i="6" s="1"/>
  <c r="F164" i="29"/>
  <c r="E164" i="29"/>
  <c r="G163" i="29"/>
  <c r="M159" i="6" s="1"/>
  <c r="F163" i="29"/>
  <c r="E163" i="29"/>
  <c r="G162" i="29"/>
  <c r="M158" i="6" s="1"/>
  <c r="F162" i="29"/>
  <c r="E162" i="29"/>
  <c r="G161" i="29"/>
  <c r="M157" i="6" s="1"/>
  <c r="F161" i="29"/>
  <c r="E161" i="29"/>
  <c r="G160" i="29"/>
  <c r="M156" i="6" s="1"/>
  <c r="F160" i="29"/>
  <c r="E160" i="29"/>
  <c r="G159" i="29"/>
  <c r="M155" i="6" s="1"/>
  <c r="F159" i="29"/>
  <c r="E159" i="29"/>
  <c r="G158" i="29"/>
  <c r="M154" i="6" s="1"/>
  <c r="F158" i="29"/>
  <c r="E158" i="29"/>
  <c r="G157" i="29"/>
  <c r="M153" i="6" s="1"/>
  <c r="F157" i="29"/>
  <c r="E157" i="29"/>
  <c r="G156" i="29"/>
  <c r="M152" i="6" s="1"/>
  <c r="F156" i="29"/>
  <c r="E156" i="29"/>
  <c r="G155" i="29"/>
  <c r="M151" i="6" s="1"/>
  <c r="F155" i="29"/>
  <c r="E155" i="29"/>
  <c r="G154" i="29"/>
  <c r="M150" i="6" s="1"/>
  <c r="F154" i="29"/>
  <c r="E154" i="29"/>
  <c r="G153" i="29"/>
  <c r="M149" i="6" s="1"/>
  <c r="F153" i="29"/>
  <c r="E153" i="29"/>
  <c r="G152" i="29"/>
  <c r="M148" i="6"/>
  <c r="F152" i="29"/>
  <c r="E152" i="29"/>
  <c r="G151" i="29"/>
  <c r="M147" i="6" s="1"/>
  <c r="F151" i="29"/>
  <c r="E151" i="29"/>
  <c r="G150" i="29"/>
  <c r="M146" i="6" s="1"/>
  <c r="F150" i="29"/>
  <c r="E150" i="29"/>
  <c r="G149" i="29"/>
  <c r="M145" i="6" s="1"/>
  <c r="F149" i="29"/>
  <c r="E149" i="29"/>
  <c r="G148" i="29"/>
  <c r="M144" i="6" s="1"/>
  <c r="F148" i="29"/>
  <c r="E148" i="29"/>
  <c r="G147" i="29"/>
  <c r="M143" i="6" s="1"/>
  <c r="F147" i="29"/>
  <c r="E147" i="29"/>
  <c r="G146" i="29"/>
  <c r="M142" i="6" s="1"/>
  <c r="F146" i="29"/>
  <c r="E146" i="29"/>
  <c r="G145" i="29"/>
  <c r="M141" i="6" s="1"/>
  <c r="F145" i="29"/>
  <c r="E145" i="29"/>
  <c r="G144" i="29"/>
  <c r="M140" i="6" s="1"/>
  <c r="F144" i="29"/>
  <c r="E144" i="29"/>
  <c r="G143" i="29"/>
  <c r="M139" i="6" s="1"/>
  <c r="F143" i="29"/>
  <c r="E143" i="29"/>
  <c r="G142" i="29"/>
  <c r="M138" i="6" s="1"/>
  <c r="F142" i="29"/>
  <c r="E142" i="29"/>
  <c r="G141" i="29"/>
  <c r="M137" i="6" s="1"/>
  <c r="F141" i="29"/>
  <c r="E141" i="29"/>
  <c r="G140" i="29"/>
  <c r="M136" i="6" s="1"/>
  <c r="F140" i="29"/>
  <c r="E140" i="29"/>
  <c r="G139" i="29"/>
  <c r="M135" i="6" s="1"/>
  <c r="F139" i="29"/>
  <c r="E139" i="29"/>
  <c r="G138" i="29"/>
  <c r="M134" i="6"/>
  <c r="F138" i="29"/>
  <c r="E138" i="29"/>
  <c r="G137" i="29"/>
  <c r="M133" i="6" s="1"/>
  <c r="F137" i="29"/>
  <c r="E137" i="29"/>
  <c r="G136" i="29"/>
  <c r="M132" i="6" s="1"/>
  <c r="F136" i="29"/>
  <c r="E136" i="29"/>
  <c r="G135" i="29"/>
  <c r="M131" i="6" s="1"/>
  <c r="F135" i="29"/>
  <c r="E135" i="29"/>
  <c r="G134" i="29"/>
  <c r="M130" i="6" s="1"/>
  <c r="F134" i="29"/>
  <c r="E134" i="29"/>
  <c r="G133" i="29"/>
  <c r="M129" i="6" s="1"/>
  <c r="F133" i="29"/>
  <c r="E133" i="29"/>
  <c r="G132" i="29"/>
  <c r="M128" i="6" s="1"/>
  <c r="F132" i="29"/>
  <c r="E132" i="29"/>
  <c r="G131" i="29"/>
  <c r="M127" i="6" s="1"/>
  <c r="F131" i="29"/>
  <c r="E131" i="29"/>
  <c r="G130" i="29"/>
  <c r="M126" i="6" s="1"/>
  <c r="F130" i="29"/>
  <c r="E130" i="29"/>
  <c r="G129" i="29"/>
  <c r="M125" i="6" s="1"/>
  <c r="F129" i="29"/>
  <c r="E129" i="29"/>
  <c r="G128" i="29"/>
  <c r="M124" i="6" s="1"/>
  <c r="F128" i="29"/>
  <c r="E128" i="29"/>
  <c r="G127" i="29"/>
  <c r="M123" i="6" s="1"/>
  <c r="F127" i="29"/>
  <c r="E127" i="29"/>
  <c r="G126" i="29"/>
  <c r="M122" i="6" s="1"/>
  <c r="F126" i="29"/>
  <c r="E126" i="29"/>
  <c r="G125" i="29"/>
  <c r="M121" i="6" s="1"/>
  <c r="F125" i="29"/>
  <c r="E125" i="29"/>
  <c r="G124" i="29"/>
  <c r="M120" i="6" s="1"/>
  <c r="F124" i="29"/>
  <c r="E124" i="29"/>
  <c r="G123" i="29"/>
  <c r="M119" i="6" s="1"/>
  <c r="F123" i="29"/>
  <c r="E123" i="29"/>
  <c r="G122" i="29"/>
  <c r="M118" i="6"/>
  <c r="F122" i="29"/>
  <c r="E122" i="29"/>
  <c r="G121" i="29"/>
  <c r="M117" i="6" s="1"/>
  <c r="F121" i="29"/>
  <c r="E121" i="29"/>
  <c r="G120" i="29"/>
  <c r="M116" i="6" s="1"/>
  <c r="F120" i="29"/>
  <c r="E120" i="29"/>
  <c r="G119" i="29"/>
  <c r="M115" i="6" s="1"/>
  <c r="F119" i="29"/>
  <c r="E119" i="29"/>
  <c r="G118" i="29"/>
  <c r="M114" i="6" s="1"/>
  <c r="F118" i="29"/>
  <c r="E118" i="29"/>
  <c r="G117" i="29"/>
  <c r="M113" i="6" s="1"/>
  <c r="F117" i="29"/>
  <c r="E117" i="29"/>
  <c r="G116" i="29"/>
  <c r="M112" i="6" s="1"/>
  <c r="F116" i="29"/>
  <c r="E116" i="29"/>
  <c r="G115" i="29"/>
  <c r="M111" i="6" s="1"/>
  <c r="F115" i="29"/>
  <c r="E115" i="29"/>
  <c r="G114" i="29"/>
  <c r="M110" i="6" s="1"/>
  <c r="F114" i="29"/>
  <c r="E114" i="29"/>
  <c r="G113" i="29"/>
  <c r="M109" i="6" s="1"/>
  <c r="F113" i="29"/>
  <c r="E113" i="29"/>
  <c r="G112" i="29"/>
  <c r="M108" i="6" s="1"/>
  <c r="F112" i="29"/>
  <c r="E112" i="29"/>
  <c r="G111" i="29"/>
  <c r="M107" i="6" s="1"/>
  <c r="F111" i="29"/>
  <c r="E111" i="29"/>
  <c r="G110" i="29"/>
  <c r="M106" i="6"/>
  <c r="F110" i="29"/>
  <c r="E110" i="29"/>
  <c r="G109" i="29"/>
  <c r="M105" i="6" s="1"/>
  <c r="F109" i="29"/>
  <c r="E109" i="29"/>
  <c r="G108" i="29"/>
  <c r="M104" i="6" s="1"/>
  <c r="F108" i="29"/>
  <c r="E108" i="29"/>
  <c r="G107" i="29"/>
  <c r="M103" i="6" s="1"/>
  <c r="F107" i="29"/>
  <c r="E107" i="29"/>
  <c r="G106" i="29"/>
  <c r="M102" i="6" s="1"/>
  <c r="F106" i="29"/>
  <c r="E106" i="29"/>
  <c r="G105" i="29"/>
  <c r="M101" i="6" s="1"/>
  <c r="F105" i="29"/>
  <c r="E105" i="29"/>
  <c r="G104" i="29"/>
  <c r="M100" i="6" s="1"/>
  <c r="F104" i="29"/>
  <c r="E104" i="29"/>
  <c r="G103" i="29"/>
  <c r="M99" i="6" s="1"/>
  <c r="F103" i="29"/>
  <c r="E103" i="29"/>
  <c r="G102" i="29"/>
  <c r="M98" i="6" s="1"/>
  <c r="F102" i="29"/>
  <c r="E102" i="29"/>
  <c r="G101" i="29"/>
  <c r="M97" i="6" s="1"/>
  <c r="F101" i="29"/>
  <c r="E101" i="29"/>
  <c r="G100" i="29"/>
  <c r="M96" i="6" s="1"/>
  <c r="F100" i="29"/>
  <c r="E100" i="29"/>
  <c r="G99" i="29"/>
  <c r="M95" i="6" s="1"/>
  <c r="F99" i="29"/>
  <c r="E99" i="29"/>
  <c r="G98" i="29"/>
  <c r="M94" i="6" s="1"/>
  <c r="F98" i="29"/>
  <c r="E98" i="29"/>
  <c r="G97" i="29"/>
  <c r="M93" i="6" s="1"/>
  <c r="F97" i="29"/>
  <c r="E97" i="29"/>
  <c r="G96" i="29"/>
  <c r="M92" i="6" s="1"/>
  <c r="F96" i="29"/>
  <c r="E96" i="29"/>
  <c r="G95" i="29"/>
  <c r="M91" i="6" s="1"/>
  <c r="F95" i="29"/>
  <c r="E95" i="29"/>
  <c r="G94" i="29"/>
  <c r="M90" i="6"/>
  <c r="F94" i="29"/>
  <c r="E94" i="29"/>
  <c r="G93" i="29"/>
  <c r="M89" i="6" s="1"/>
  <c r="F93" i="29"/>
  <c r="E93" i="29"/>
  <c r="G92" i="29"/>
  <c r="M88" i="6" s="1"/>
  <c r="F92" i="29"/>
  <c r="E92" i="29"/>
  <c r="G91" i="29"/>
  <c r="M87" i="6" s="1"/>
  <c r="F91" i="29"/>
  <c r="E91" i="29"/>
  <c r="G90" i="29"/>
  <c r="M86" i="6" s="1"/>
  <c r="F90" i="29"/>
  <c r="E90" i="29"/>
  <c r="G89" i="29"/>
  <c r="M85" i="6" s="1"/>
  <c r="F89" i="29"/>
  <c r="E89" i="29"/>
  <c r="G88" i="29"/>
  <c r="M84" i="6" s="1"/>
  <c r="F88" i="29"/>
  <c r="E88" i="29"/>
  <c r="G87" i="29"/>
  <c r="M83" i="6" s="1"/>
  <c r="F87" i="29"/>
  <c r="E87" i="29"/>
  <c r="G86" i="29"/>
  <c r="M82" i="6" s="1"/>
  <c r="F86" i="29"/>
  <c r="E86" i="29"/>
  <c r="G85" i="29"/>
  <c r="M81" i="6" s="1"/>
  <c r="F85" i="29"/>
  <c r="E85" i="29"/>
  <c r="G84" i="29"/>
  <c r="M80" i="6" s="1"/>
  <c r="F84" i="29"/>
  <c r="E84" i="29"/>
  <c r="G83" i="29"/>
  <c r="M79" i="6" s="1"/>
  <c r="F83" i="29"/>
  <c r="E83" i="29"/>
  <c r="G82" i="29"/>
  <c r="M78" i="6" s="1"/>
  <c r="F82" i="29"/>
  <c r="E82" i="29"/>
  <c r="G81" i="29"/>
  <c r="M77" i="6" s="1"/>
  <c r="F81" i="29"/>
  <c r="E81" i="29"/>
  <c r="G80" i="29"/>
  <c r="M76" i="6"/>
  <c r="F80" i="29"/>
  <c r="E80" i="29"/>
  <c r="G79" i="29"/>
  <c r="M75" i="6" s="1"/>
  <c r="F79" i="29"/>
  <c r="E79" i="29"/>
  <c r="G78" i="29"/>
  <c r="M74" i="6" s="1"/>
  <c r="F78" i="29"/>
  <c r="E78" i="29"/>
  <c r="G77" i="29"/>
  <c r="M73" i="6" s="1"/>
  <c r="F77" i="29"/>
  <c r="E77" i="29"/>
  <c r="G76" i="29"/>
  <c r="M72" i="6" s="1"/>
  <c r="F76" i="29"/>
  <c r="E76" i="29"/>
  <c r="G75" i="29"/>
  <c r="M71" i="6" s="1"/>
  <c r="F75" i="29"/>
  <c r="E75" i="29"/>
  <c r="G74" i="29"/>
  <c r="M70" i="6" s="1"/>
  <c r="F74" i="29"/>
  <c r="E74" i="29"/>
  <c r="G73" i="29"/>
  <c r="M69" i="6" s="1"/>
  <c r="F73" i="29"/>
  <c r="E73" i="29"/>
  <c r="G72" i="29"/>
  <c r="M68" i="6" s="1"/>
  <c r="F72" i="29"/>
  <c r="E72" i="29"/>
  <c r="G71" i="29"/>
  <c r="M67" i="6" s="1"/>
  <c r="F71" i="29"/>
  <c r="E71" i="29"/>
  <c r="G70" i="29"/>
  <c r="M66" i="6" s="1"/>
  <c r="F70" i="29"/>
  <c r="E70" i="29"/>
  <c r="G69" i="29"/>
  <c r="M65" i="6" s="1"/>
  <c r="F69" i="29"/>
  <c r="E69" i="29"/>
  <c r="G68" i="29"/>
  <c r="M64" i="6" s="1"/>
  <c r="F68" i="29"/>
  <c r="E68" i="29"/>
  <c r="G67" i="29"/>
  <c r="M63" i="6" s="1"/>
  <c r="F67" i="29"/>
  <c r="E67" i="29"/>
  <c r="G66" i="29"/>
  <c r="M62" i="6" s="1"/>
  <c r="F66" i="29"/>
  <c r="E66" i="29"/>
  <c r="G65" i="29"/>
  <c r="M61" i="6" s="1"/>
  <c r="F65" i="29"/>
  <c r="E65" i="29"/>
  <c r="G64" i="29"/>
  <c r="M60" i="6"/>
  <c r="F64" i="29"/>
  <c r="E64" i="29"/>
  <c r="G63" i="29"/>
  <c r="M59" i="6" s="1"/>
  <c r="F63" i="29"/>
  <c r="E63" i="29"/>
  <c r="G62" i="29"/>
  <c r="M58" i="6"/>
  <c r="F62" i="29"/>
  <c r="E62" i="29"/>
  <c r="G61" i="29"/>
  <c r="M57" i="6" s="1"/>
  <c r="F61" i="29"/>
  <c r="E61" i="29"/>
  <c r="G60" i="29"/>
  <c r="M56" i="6" s="1"/>
  <c r="F60" i="29"/>
  <c r="E60" i="29"/>
  <c r="G59" i="29"/>
  <c r="M55" i="6" s="1"/>
  <c r="F59" i="29"/>
  <c r="E59" i="29"/>
  <c r="G58" i="29"/>
  <c r="M54" i="6" s="1"/>
  <c r="F58" i="29"/>
  <c r="E58" i="29"/>
  <c r="G57" i="29"/>
  <c r="M53" i="6" s="1"/>
  <c r="F57" i="29"/>
  <c r="E57" i="29"/>
  <c r="G56" i="29"/>
  <c r="M52" i="6" s="1"/>
  <c r="F56" i="29"/>
  <c r="E56" i="29"/>
  <c r="G55" i="29"/>
  <c r="M51" i="6" s="1"/>
  <c r="F55" i="29"/>
  <c r="E55" i="29"/>
  <c r="G54" i="29"/>
  <c r="M50" i="6"/>
  <c r="F54" i="29"/>
  <c r="E54" i="29"/>
  <c r="G53" i="29"/>
  <c r="M49" i="6" s="1"/>
  <c r="F53" i="29"/>
  <c r="E53" i="29"/>
  <c r="G52" i="29"/>
  <c r="M48" i="6" s="1"/>
  <c r="F52" i="29"/>
  <c r="E52" i="29"/>
  <c r="G51" i="29"/>
  <c r="M47" i="6" s="1"/>
  <c r="F51" i="29"/>
  <c r="E51" i="29"/>
  <c r="G50" i="29"/>
  <c r="M46" i="6"/>
  <c r="F50" i="29"/>
  <c r="E50" i="29"/>
  <c r="G49" i="29"/>
  <c r="M45" i="6" s="1"/>
  <c r="F49" i="29"/>
  <c r="E49" i="29"/>
  <c r="G48" i="29"/>
  <c r="M44" i="6" s="1"/>
  <c r="F48" i="29"/>
  <c r="E48" i="29"/>
  <c r="G47" i="29"/>
  <c r="M43" i="6" s="1"/>
  <c r="F47" i="29"/>
  <c r="E47" i="29"/>
  <c r="G46" i="29"/>
  <c r="M42" i="6" s="1"/>
  <c r="F46" i="29"/>
  <c r="E46" i="29"/>
  <c r="G45" i="29"/>
  <c r="M41" i="6" s="1"/>
  <c r="F45" i="29"/>
  <c r="E45" i="29"/>
  <c r="G44" i="29"/>
  <c r="M40" i="6"/>
  <c r="F44" i="29"/>
  <c r="E44" i="29"/>
  <c r="G43" i="29"/>
  <c r="M39" i="6" s="1"/>
  <c r="F43" i="29"/>
  <c r="E43" i="29"/>
  <c r="G42" i="29"/>
  <c r="M38" i="6" s="1"/>
  <c r="F42" i="29"/>
  <c r="E42" i="29"/>
  <c r="G41" i="29"/>
  <c r="M37" i="6" s="1"/>
  <c r="F41" i="29"/>
  <c r="E41" i="29"/>
  <c r="G40" i="29"/>
  <c r="M36" i="6" s="1"/>
  <c r="F40" i="29"/>
  <c r="E40" i="29"/>
  <c r="G39" i="29"/>
  <c r="M35" i="6" s="1"/>
  <c r="F39" i="29"/>
  <c r="E39" i="29"/>
  <c r="G38" i="29"/>
  <c r="M34" i="6" s="1"/>
  <c r="F38" i="29"/>
  <c r="E38" i="29"/>
  <c r="G37" i="29"/>
  <c r="M33" i="6" s="1"/>
  <c r="F37" i="29"/>
  <c r="E37" i="29"/>
  <c r="G36" i="29"/>
  <c r="M32" i="6"/>
  <c r="F36" i="29"/>
  <c r="E36" i="29"/>
  <c r="G35" i="29"/>
  <c r="M31" i="6" s="1"/>
  <c r="F35" i="29"/>
  <c r="E35" i="29"/>
  <c r="G34" i="29"/>
  <c r="M30" i="6" s="1"/>
  <c r="F34" i="29"/>
  <c r="E34" i="29"/>
  <c r="G33" i="29"/>
  <c r="M29" i="6" s="1"/>
  <c r="F33" i="29"/>
  <c r="E33" i="29"/>
  <c r="G32" i="29"/>
  <c r="M28" i="6"/>
  <c r="F32" i="29"/>
  <c r="E32" i="29"/>
  <c r="G31" i="29"/>
  <c r="M27" i="6" s="1"/>
  <c r="F31" i="29"/>
  <c r="E31" i="29"/>
  <c r="G30" i="29"/>
  <c r="M26" i="6" s="1"/>
  <c r="F30" i="29"/>
  <c r="E30" i="29"/>
  <c r="G29" i="29"/>
  <c r="M25" i="6" s="1"/>
  <c r="F29" i="29"/>
  <c r="E29" i="29"/>
  <c r="G28" i="29"/>
  <c r="M24" i="6" s="1"/>
  <c r="F28" i="29"/>
  <c r="E28" i="29"/>
  <c r="G27" i="29"/>
  <c r="M23" i="6" s="1"/>
  <c r="F27" i="29"/>
  <c r="E27" i="29"/>
  <c r="G26" i="29"/>
  <c r="M22" i="6"/>
  <c r="F26" i="29"/>
  <c r="E26" i="29"/>
  <c r="G25" i="29"/>
  <c r="M21" i="6" s="1"/>
  <c r="F25" i="29"/>
  <c r="E25" i="29"/>
  <c r="G24" i="29"/>
  <c r="M20" i="6" s="1"/>
  <c r="F24" i="29"/>
  <c r="E24" i="29"/>
  <c r="G23" i="29"/>
  <c r="M19" i="6" s="1"/>
  <c r="F23" i="29"/>
  <c r="E23" i="29"/>
  <c r="G22" i="29"/>
  <c r="M18" i="6" s="1"/>
  <c r="F22" i="29"/>
  <c r="E22" i="29"/>
  <c r="G21" i="29"/>
  <c r="M17" i="6" s="1"/>
  <c r="F21" i="29"/>
  <c r="E21" i="29"/>
  <c r="G20" i="29"/>
  <c r="M16" i="6" s="1"/>
  <c r="F20" i="29"/>
  <c r="E20" i="29"/>
  <c r="G19" i="29"/>
  <c r="M15" i="6" s="1"/>
  <c r="F19" i="29"/>
  <c r="E19" i="29"/>
  <c r="G18" i="29"/>
  <c r="M14" i="6"/>
  <c r="F18" i="29"/>
  <c r="E18" i="29"/>
  <c r="G17" i="29"/>
  <c r="M13" i="6" s="1"/>
  <c r="F17" i="29"/>
  <c r="E17" i="29"/>
  <c r="G16" i="29"/>
  <c r="M12" i="6" s="1"/>
  <c r="F16" i="29"/>
  <c r="E16" i="29"/>
  <c r="G15" i="29"/>
  <c r="M11" i="6" s="1"/>
  <c r="F15" i="29"/>
  <c r="E15" i="29"/>
  <c r="G14" i="29"/>
  <c r="M10" i="6"/>
  <c r="F14" i="29"/>
  <c r="E14" i="29"/>
  <c r="G13" i="29"/>
  <c r="M9" i="6" s="1"/>
  <c r="F13" i="29"/>
  <c r="E13" i="29"/>
  <c r="G12" i="29"/>
  <c r="M8" i="6" s="1"/>
  <c r="F12" i="29"/>
  <c r="E12" i="29"/>
  <c r="G11" i="29"/>
  <c r="M7" i="6" s="1"/>
  <c r="F11" i="29"/>
  <c r="E11" i="29"/>
  <c r="G10" i="29"/>
  <c r="M6" i="6" s="1"/>
  <c r="F10" i="29"/>
  <c r="E10" i="29"/>
  <c r="G9" i="29"/>
  <c r="M5" i="6" s="1"/>
  <c r="F9" i="29"/>
  <c r="E9" i="29"/>
  <c r="G8" i="29"/>
  <c r="M4" i="6"/>
  <c r="F8" i="29"/>
  <c r="E8" i="29"/>
  <c r="G2" i="29"/>
  <c r="G397" i="28"/>
  <c r="F397" i="28"/>
  <c r="E397" i="28"/>
  <c r="G396" i="28"/>
  <c r="F396" i="28"/>
  <c r="E396" i="28"/>
  <c r="G395" i="28"/>
  <c r="F395" i="28"/>
  <c r="E395" i="28"/>
  <c r="G394" i="28"/>
  <c r="F394" i="28"/>
  <c r="E394" i="28"/>
  <c r="G393" i="28"/>
  <c r="F393" i="28"/>
  <c r="E393" i="28"/>
  <c r="G392" i="28"/>
  <c r="F392" i="28"/>
  <c r="E392" i="28"/>
  <c r="G391" i="28"/>
  <c r="F391" i="28"/>
  <c r="E391" i="28"/>
  <c r="G390" i="28"/>
  <c r="F390" i="28"/>
  <c r="E390" i="28"/>
  <c r="G389" i="28"/>
  <c r="F389" i="28"/>
  <c r="E389" i="28"/>
  <c r="G388" i="28"/>
  <c r="F388" i="28"/>
  <c r="E388" i="28"/>
  <c r="G387" i="28"/>
  <c r="F387" i="28"/>
  <c r="E387" i="28"/>
  <c r="G386" i="28"/>
  <c r="F386" i="28"/>
  <c r="E386" i="28"/>
  <c r="G385" i="28"/>
  <c r="F385" i="28"/>
  <c r="E385" i="28"/>
  <c r="G384" i="28"/>
  <c r="F384" i="28"/>
  <c r="E384" i="28"/>
  <c r="G383" i="28"/>
  <c r="F383" i="28"/>
  <c r="E383" i="28"/>
  <c r="G382" i="28"/>
  <c r="F382" i="28"/>
  <c r="E382" i="28"/>
  <c r="G381" i="28"/>
  <c r="F381" i="28"/>
  <c r="E381" i="28"/>
  <c r="G380" i="28"/>
  <c r="F380" i="28"/>
  <c r="E380" i="28"/>
  <c r="G379" i="28"/>
  <c r="F379" i="28"/>
  <c r="E379" i="28"/>
  <c r="G378" i="28"/>
  <c r="F378" i="28"/>
  <c r="E378" i="28"/>
  <c r="G377" i="28"/>
  <c r="F377" i="28"/>
  <c r="E377" i="28"/>
  <c r="G376" i="28"/>
  <c r="F376" i="28"/>
  <c r="E376" i="28"/>
  <c r="G375" i="28"/>
  <c r="F375" i="28"/>
  <c r="E375" i="28"/>
  <c r="G374" i="28"/>
  <c r="F374" i="28"/>
  <c r="E374" i="28"/>
  <c r="G373" i="28"/>
  <c r="F373" i="28"/>
  <c r="E373" i="28"/>
  <c r="G372" i="28"/>
  <c r="F372" i="28"/>
  <c r="E372" i="28"/>
  <c r="G371" i="28"/>
  <c r="F371" i="28"/>
  <c r="E371" i="28"/>
  <c r="G370" i="28"/>
  <c r="F370" i="28"/>
  <c r="E370" i="28"/>
  <c r="G369" i="28"/>
  <c r="F369" i="28"/>
  <c r="E369" i="28"/>
  <c r="G368" i="28"/>
  <c r="F368" i="28"/>
  <c r="E368" i="28"/>
  <c r="G367" i="28"/>
  <c r="F367" i="28"/>
  <c r="E367" i="28"/>
  <c r="G366" i="28"/>
  <c r="F366" i="28"/>
  <c r="E366" i="28"/>
  <c r="G365" i="28"/>
  <c r="F365" i="28"/>
  <c r="E365" i="28"/>
  <c r="G364" i="28"/>
  <c r="F364" i="28"/>
  <c r="E364" i="28"/>
  <c r="G363" i="28"/>
  <c r="F363" i="28"/>
  <c r="E363" i="28"/>
  <c r="G362" i="28"/>
  <c r="F362" i="28"/>
  <c r="E362" i="28"/>
  <c r="G361" i="28"/>
  <c r="F361" i="28"/>
  <c r="E361" i="28"/>
  <c r="G360" i="28"/>
  <c r="F360" i="28"/>
  <c r="E360" i="28"/>
  <c r="G359" i="28"/>
  <c r="F359" i="28"/>
  <c r="E359" i="28"/>
  <c r="G358" i="28"/>
  <c r="F358" i="28"/>
  <c r="E358" i="28"/>
  <c r="G357" i="28"/>
  <c r="F357" i="28"/>
  <c r="E357" i="28"/>
  <c r="G356" i="28"/>
  <c r="F356" i="28"/>
  <c r="E356" i="28"/>
  <c r="G355" i="28"/>
  <c r="F355" i="28"/>
  <c r="E355" i="28"/>
  <c r="G354" i="28"/>
  <c r="F354" i="28"/>
  <c r="E354" i="28"/>
  <c r="G353" i="28"/>
  <c r="F353" i="28"/>
  <c r="E353" i="28"/>
  <c r="G352" i="28"/>
  <c r="F352" i="28"/>
  <c r="E352" i="28"/>
  <c r="G351" i="28"/>
  <c r="F351" i="28"/>
  <c r="E351" i="28"/>
  <c r="G350" i="28"/>
  <c r="F350" i="28"/>
  <c r="E350" i="28"/>
  <c r="G349" i="28"/>
  <c r="F349" i="28"/>
  <c r="E349" i="28"/>
  <c r="G348" i="28"/>
  <c r="F348" i="28"/>
  <c r="E348" i="28"/>
  <c r="G347" i="28"/>
  <c r="F347" i="28"/>
  <c r="E347" i="28"/>
  <c r="G346" i="28"/>
  <c r="F346" i="28"/>
  <c r="E346" i="28"/>
  <c r="G345" i="28"/>
  <c r="F345" i="28"/>
  <c r="E345" i="28"/>
  <c r="G344" i="28"/>
  <c r="F344" i="28"/>
  <c r="E344" i="28"/>
  <c r="G343" i="28"/>
  <c r="F343" i="28"/>
  <c r="E343" i="28"/>
  <c r="G342" i="28"/>
  <c r="F342" i="28"/>
  <c r="E342" i="28"/>
  <c r="G341" i="28"/>
  <c r="F341" i="28"/>
  <c r="E341" i="28"/>
  <c r="G340" i="28"/>
  <c r="F340" i="28"/>
  <c r="E340" i="28"/>
  <c r="G339" i="28"/>
  <c r="F339" i="28"/>
  <c r="E339" i="28"/>
  <c r="G338" i="28"/>
  <c r="F338" i="28"/>
  <c r="E338" i="28"/>
  <c r="G337" i="28"/>
  <c r="F337" i="28"/>
  <c r="E337" i="28"/>
  <c r="G336" i="28"/>
  <c r="F336" i="28"/>
  <c r="E336" i="28"/>
  <c r="G335" i="28"/>
  <c r="F335" i="28"/>
  <c r="E335" i="28"/>
  <c r="G334" i="28"/>
  <c r="F334" i="28"/>
  <c r="E334" i="28"/>
  <c r="G333" i="28"/>
  <c r="F333" i="28"/>
  <c r="E333" i="28"/>
  <c r="G332" i="28"/>
  <c r="F332" i="28"/>
  <c r="E332" i="28"/>
  <c r="G331" i="28"/>
  <c r="F331" i="28"/>
  <c r="E331" i="28"/>
  <c r="G330" i="28"/>
  <c r="F330" i="28"/>
  <c r="E330" i="28"/>
  <c r="G329" i="28"/>
  <c r="F329" i="28"/>
  <c r="E329" i="28"/>
  <c r="G328" i="28"/>
  <c r="F328" i="28"/>
  <c r="E328" i="28"/>
  <c r="G327" i="28"/>
  <c r="F327" i="28"/>
  <c r="E327" i="28"/>
  <c r="G326" i="28"/>
  <c r="F326" i="28"/>
  <c r="E326" i="28"/>
  <c r="G325" i="28"/>
  <c r="F325" i="28"/>
  <c r="E325" i="28"/>
  <c r="G324" i="28"/>
  <c r="F324" i="28"/>
  <c r="E324" i="28"/>
  <c r="G323" i="28"/>
  <c r="F323" i="28"/>
  <c r="E323" i="28"/>
  <c r="G322" i="28"/>
  <c r="F322" i="28"/>
  <c r="E322" i="28"/>
  <c r="G321" i="28"/>
  <c r="F321" i="28"/>
  <c r="E321" i="28"/>
  <c r="G320" i="28"/>
  <c r="F320" i="28"/>
  <c r="E320" i="28"/>
  <c r="G319" i="28"/>
  <c r="F319" i="28"/>
  <c r="E319" i="28"/>
  <c r="G318" i="28"/>
  <c r="F318" i="28"/>
  <c r="E318" i="28"/>
  <c r="G317" i="28"/>
  <c r="F317" i="28"/>
  <c r="E317" i="28"/>
  <c r="G316" i="28"/>
  <c r="F316" i="28"/>
  <c r="E316" i="28"/>
  <c r="G315" i="28"/>
  <c r="F315" i="28"/>
  <c r="E315" i="28"/>
  <c r="G314" i="28"/>
  <c r="F314" i="28"/>
  <c r="E314" i="28"/>
  <c r="G313" i="28"/>
  <c r="F313" i="28"/>
  <c r="E313" i="28"/>
  <c r="G312" i="28"/>
  <c r="F312" i="28"/>
  <c r="E312" i="28"/>
  <c r="G311" i="28"/>
  <c r="F311" i="28"/>
  <c r="E311" i="28"/>
  <c r="G310" i="28"/>
  <c r="F310" i="28"/>
  <c r="E310" i="28"/>
  <c r="G309" i="28"/>
  <c r="F309" i="28"/>
  <c r="E309" i="28"/>
  <c r="G308" i="28"/>
  <c r="F308" i="28"/>
  <c r="E308" i="28"/>
  <c r="G307" i="28"/>
  <c r="F307" i="28"/>
  <c r="E307" i="28"/>
  <c r="G306" i="28"/>
  <c r="F306" i="28"/>
  <c r="E306" i="28"/>
  <c r="G305" i="28"/>
  <c r="F305" i="28"/>
  <c r="E305" i="28"/>
  <c r="G304" i="28"/>
  <c r="F304" i="28"/>
  <c r="E304" i="28"/>
  <c r="G303" i="28"/>
  <c r="F303" i="28"/>
  <c r="E303" i="28"/>
  <c r="G302" i="28"/>
  <c r="F302" i="28"/>
  <c r="E302" i="28"/>
  <c r="G301" i="28"/>
  <c r="F301" i="28"/>
  <c r="E301" i="28"/>
  <c r="G300" i="28"/>
  <c r="F300" i="28"/>
  <c r="E300" i="28"/>
  <c r="G299" i="28"/>
  <c r="F299" i="28"/>
  <c r="E299" i="28"/>
  <c r="G298" i="28"/>
  <c r="F298" i="28"/>
  <c r="E298" i="28"/>
  <c r="G297" i="28"/>
  <c r="F297" i="28"/>
  <c r="E297" i="28"/>
  <c r="G296" i="28"/>
  <c r="F296" i="28"/>
  <c r="E296" i="28"/>
  <c r="G295" i="28"/>
  <c r="F295" i="28"/>
  <c r="E295" i="28"/>
  <c r="G294" i="28"/>
  <c r="F294" i="28"/>
  <c r="E294" i="28"/>
  <c r="G293" i="28"/>
  <c r="F293" i="28"/>
  <c r="E293" i="28"/>
  <c r="G292" i="28"/>
  <c r="F292" i="28"/>
  <c r="E292" i="28"/>
  <c r="G291" i="28"/>
  <c r="F291" i="28"/>
  <c r="E291" i="28"/>
  <c r="G290" i="28"/>
  <c r="F290" i="28"/>
  <c r="E290" i="28"/>
  <c r="G289" i="28"/>
  <c r="F289" i="28"/>
  <c r="E289" i="28"/>
  <c r="G288" i="28"/>
  <c r="F288" i="28"/>
  <c r="E288" i="28"/>
  <c r="G287" i="28"/>
  <c r="F287" i="28"/>
  <c r="E287" i="28"/>
  <c r="G286" i="28"/>
  <c r="F286" i="28"/>
  <c r="E286" i="28"/>
  <c r="G285" i="28"/>
  <c r="F285" i="28"/>
  <c r="E285" i="28"/>
  <c r="G284" i="28"/>
  <c r="F284" i="28"/>
  <c r="E284" i="28"/>
  <c r="G283" i="28"/>
  <c r="F283" i="28"/>
  <c r="E283" i="28"/>
  <c r="G282" i="28"/>
  <c r="F282" i="28"/>
  <c r="E282" i="28"/>
  <c r="G281" i="28"/>
  <c r="F281" i="28"/>
  <c r="E281" i="28"/>
  <c r="G280" i="28"/>
  <c r="F280" i="28"/>
  <c r="E280" i="28"/>
  <c r="G279" i="28"/>
  <c r="F279" i="28"/>
  <c r="E279" i="28"/>
  <c r="G278" i="28"/>
  <c r="F278" i="28"/>
  <c r="E278" i="28"/>
  <c r="G277" i="28"/>
  <c r="F277" i="28"/>
  <c r="E277" i="28"/>
  <c r="G276" i="28"/>
  <c r="F276" i="28"/>
  <c r="E276" i="28"/>
  <c r="G275" i="28"/>
  <c r="F275" i="28"/>
  <c r="E275" i="28"/>
  <c r="G274" i="28"/>
  <c r="F274" i="28"/>
  <c r="E274" i="28"/>
  <c r="G273" i="28"/>
  <c r="F273" i="28"/>
  <c r="E273" i="28"/>
  <c r="G272" i="28"/>
  <c r="L268" i="6" s="1"/>
  <c r="F272" i="28"/>
  <c r="E272" i="28"/>
  <c r="G271" i="28"/>
  <c r="L267" i="6"/>
  <c r="F271" i="28"/>
  <c r="E271" i="28"/>
  <c r="G270" i="28"/>
  <c r="L266" i="6" s="1"/>
  <c r="F270" i="28"/>
  <c r="E270" i="28"/>
  <c r="G269" i="28"/>
  <c r="L265" i="6" s="1"/>
  <c r="F269" i="28"/>
  <c r="E269" i="28"/>
  <c r="G268" i="28"/>
  <c r="L264" i="6" s="1"/>
  <c r="F268" i="28"/>
  <c r="E268" i="28"/>
  <c r="G267" i="28"/>
  <c r="L263" i="6" s="1"/>
  <c r="F267" i="28"/>
  <c r="E267" i="28"/>
  <c r="G266" i="28"/>
  <c r="L262" i="6" s="1"/>
  <c r="F266" i="28"/>
  <c r="E266" i="28"/>
  <c r="G265" i="28"/>
  <c r="L261" i="6" s="1"/>
  <c r="F265" i="28"/>
  <c r="E265" i="28"/>
  <c r="G264" i="28"/>
  <c r="L260" i="6" s="1"/>
  <c r="F264" i="28"/>
  <c r="E264" i="28"/>
  <c r="G263" i="28"/>
  <c r="L259" i="6" s="1"/>
  <c r="F263" i="28"/>
  <c r="E263" i="28"/>
  <c r="G262" i="28"/>
  <c r="L258" i="6" s="1"/>
  <c r="F262" i="28"/>
  <c r="E262" i="28"/>
  <c r="G261" i="28"/>
  <c r="L257" i="6" s="1"/>
  <c r="F261" i="28"/>
  <c r="E261" i="28"/>
  <c r="G260" i="28"/>
  <c r="L256" i="6" s="1"/>
  <c r="F260" i="28"/>
  <c r="E260" i="28"/>
  <c r="G259" i="28"/>
  <c r="L255" i="6"/>
  <c r="F259" i="28"/>
  <c r="E259" i="28"/>
  <c r="G258" i="28"/>
  <c r="L254" i="6" s="1"/>
  <c r="F258" i="28"/>
  <c r="E258" i="28"/>
  <c r="G257" i="28"/>
  <c r="L253" i="6" s="1"/>
  <c r="F257" i="28"/>
  <c r="E257" i="28"/>
  <c r="G256" i="28"/>
  <c r="L252" i="6" s="1"/>
  <c r="F256" i="28"/>
  <c r="E256" i="28"/>
  <c r="G255" i="28"/>
  <c r="L251" i="6" s="1"/>
  <c r="F255" i="28"/>
  <c r="E255" i="28"/>
  <c r="G254" i="28"/>
  <c r="L250" i="6" s="1"/>
  <c r="F254" i="28"/>
  <c r="E254" i="28"/>
  <c r="G253" i="28"/>
  <c r="L249" i="6" s="1"/>
  <c r="F253" i="28"/>
  <c r="E253" i="28"/>
  <c r="G252" i="28"/>
  <c r="L248" i="6" s="1"/>
  <c r="F252" i="28"/>
  <c r="E252" i="28"/>
  <c r="G251" i="28"/>
  <c r="L247" i="6" s="1"/>
  <c r="F251" i="28"/>
  <c r="E251" i="28"/>
  <c r="G250" i="28"/>
  <c r="L246" i="6" s="1"/>
  <c r="F250" i="28"/>
  <c r="E250" i="28"/>
  <c r="G249" i="28"/>
  <c r="L245" i="6"/>
  <c r="F249" i="28"/>
  <c r="E249" i="28"/>
  <c r="G248" i="28"/>
  <c r="L244" i="6" s="1"/>
  <c r="F248" i="28"/>
  <c r="E248" i="28"/>
  <c r="G247" i="28"/>
  <c r="L243" i="6" s="1"/>
  <c r="F247" i="28"/>
  <c r="E247" i="28"/>
  <c r="G246" i="28"/>
  <c r="L242" i="6" s="1"/>
  <c r="F246" i="28"/>
  <c r="E246" i="28"/>
  <c r="G245" i="28"/>
  <c r="L241" i="6" s="1"/>
  <c r="F245" i="28"/>
  <c r="E245" i="28"/>
  <c r="G244" i="28"/>
  <c r="L240" i="6" s="1"/>
  <c r="F244" i="28"/>
  <c r="E244" i="28"/>
  <c r="G243" i="28"/>
  <c r="L239" i="6" s="1"/>
  <c r="F243" i="28"/>
  <c r="E243" i="28"/>
  <c r="G242" i="28"/>
  <c r="L238" i="6" s="1"/>
  <c r="F242" i="28"/>
  <c r="E242" i="28"/>
  <c r="G241" i="28"/>
  <c r="L237" i="6" s="1"/>
  <c r="F241" i="28"/>
  <c r="E241" i="28"/>
  <c r="G240" i="28"/>
  <c r="L236" i="6" s="1"/>
  <c r="F240" i="28"/>
  <c r="E240" i="28"/>
  <c r="G239" i="28"/>
  <c r="L235" i="6" s="1"/>
  <c r="F239" i="28"/>
  <c r="E239" i="28"/>
  <c r="G238" i="28"/>
  <c r="L234" i="6" s="1"/>
  <c r="F238" i="28"/>
  <c r="E238" i="28"/>
  <c r="G237" i="28"/>
  <c r="L233" i="6"/>
  <c r="F237" i="28"/>
  <c r="E237" i="28"/>
  <c r="G236" i="28"/>
  <c r="L232" i="6" s="1"/>
  <c r="F236" i="28"/>
  <c r="E236" i="28"/>
  <c r="G235" i="28"/>
  <c r="L231" i="6" s="1"/>
  <c r="F235" i="28"/>
  <c r="E235" i="28"/>
  <c r="G234" i="28"/>
  <c r="L230" i="6" s="1"/>
  <c r="F234" i="28"/>
  <c r="E234" i="28"/>
  <c r="G233" i="28"/>
  <c r="L229" i="6" s="1"/>
  <c r="F233" i="28"/>
  <c r="E233" i="28"/>
  <c r="G232" i="28"/>
  <c r="L228" i="6" s="1"/>
  <c r="F232" i="28"/>
  <c r="E232" i="28"/>
  <c r="G231" i="28"/>
  <c r="L227" i="6" s="1"/>
  <c r="F231" i="28"/>
  <c r="E231" i="28"/>
  <c r="G230" i="28"/>
  <c r="L226" i="6" s="1"/>
  <c r="F230" i="28"/>
  <c r="E230" i="28"/>
  <c r="G229" i="28"/>
  <c r="L225" i="6" s="1"/>
  <c r="F229" i="28"/>
  <c r="E229" i="28"/>
  <c r="G228" i="28"/>
  <c r="L224" i="6" s="1"/>
  <c r="F228" i="28"/>
  <c r="E228" i="28"/>
  <c r="G227" i="28"/>
  <c r="L223" i="6" s="1"/>
  <c r="F227" i="28"/>
  <c r="E227" i="28"/>
  <c r="G226" i="28"/>
  <c r="L222" i="6" s="1"/>
  <c r="F226" i="28"/>
  <c r="E226" i="28"/>
  <c r="G225" i="28"/>
  <c r="L221" i="6"/>
  <c r="F225" i="28"/>
  <c r="E225" i="28"/>
  <c r="G224" i="28"/>
  <c r="L220" i="6" s="1"/>
  <c r="F224" i="28"/>
  <c r="E224" i="28"/>
  <c r="G223" i="28"/>
  <c r="L219" i="6"/>
  <c r="F223" i="28"/>
  <c r="E223" i="28"/>
  <c r="G222" i="28"/>
  <c r="L218" i="6" s="1"/>
  <c r="F222" i="28"/>
  <c r="E222" i="28"/>
  <c r="G221" i="28"/>
  <c r="L217" i="6" s="1"/>
  <c r="F221" i="28"/>
  <c r="E221" i="28"/>
  <c r="G220" i="28"/>
  <c r="L216" i="6" s="1"/>
  <c r="F220" i="28"/>
  <c r="E220" i="28"/>
  <c r="G219" i="28"/>
  <c r="L215" i="6"/>
  <c r="F219" i="28"/>
  <c r="E219" i="28"/>
  <c r="G218" i="28"/>
  <c r="L214" i="6" s="1"/>
  <c r="F218" i="28"/>
  <c r="E218" i="28"/>
  <c r="G217" i="28"/>
  <c r="L213" i="6" s="1"/>
  <c r="F217" i="28"/>
  <c r="E217" i="28"/>
  <c r="G216" i="28"/>
  <c r="L212" i="6" s="1"/>
  <c r="F216" i="28"/>
  <c r="E216" i="28"/>
  <c r="G215" i="28"/>
  <c r="L211" i="6" s="1"/>
  <c r="F215" i="28"/>
  <c r="E215" i="28"/>
  <c r="G214" i="28"/>
  <c r="L210" i="6" s="1"/>
  <c r="F214" i="28"/>
  <c r="E214" i="28"/>
  <c r="G213" i="28"/>
  <c r="L209" i="6" s="1"/>
  <c r="F213" i="28"/>
  <c r="E213" i="28"/>
  <c r="G212" i="28"/>
  <c r="L208" i="6" s="1"/>
  <c r="F212" i="28"/>
  <c r="E212" i="28"/>
  <c r="G211" i="28"/>
  <c r="L207" i="6" s="1"/>
  <c r="F211" i="28"/>
  <c r="E211" i="28"/>
  <c r="G210" i="28"/>
  <c r="L206" i="6" s="1"/>
  <c r="F210" i="28"/>
  <c r="E210" i="28"/>
  <c r="G209" i="28"/>
  <c r="L205" i="6" s="1"/>
  <c r="F209" i="28"/>
  <c r="E209" i="28"/>
  <c r="G208" i="28"/>
  <c r="L204" i="6" s="1"/>
  <c r="F208" i="28"/>
  <c r="E208" i="28"/>
  <c r="G207" i="28"/>
  <c r="L203" i="6" s="1"/>
  <c r="F207" i="28"/>
  <c r="E207" i="28"/>
  <c r="G206" i="28"/>
  <c r="L202" i="6" s="1"/>
  <c r="F206" i="28"/>
  <c r="E206" i="28"/>
  <c r="G205" i="28"/>
  <c r="L201" i="6"/>
  <c r="F205" i="28"/>
  <c r="E205" i="28"/>
  <c r="G204" i="28"/>
  <c r="L200" i="6" s="1"/>
  <c r="F204" i="28"/>
  <c r="E204" i="28"/>
  <c r="G203" i="28"/>
  <c r="L199" i="6" s="1"/>
  <c r="F203" i="28"/>
  <c r="E203" i="28"/>
  <c r="G202" i="28"/>
  <c r="L198" i="6" s="1"/>
  <c r="F202" i="28"/>
  <c r="E202" i="28"/>
  <c r="G201" i="28"/>
  <c r="L197" i="6" s="1"/>
  <c r="F201" i="28"/>
  <c r="E201" i="28"/>
  <c r="G200" i="28"/>
  <c r="L196" i="6" s="1"/>
  <c r="F200" i="28"/>
  <c r="E200" i="28"/>
  <c r="G199" i="28"/>
  <c r="L195" i="6" s="1"/>
  <c r="F199" i="28"/>
  <c r="E199" i="28"/>
  <c r="G198" i="28"/>
  <c r="L194" i="6" s="1"/>
  <c r="F198" i="28"/>
  <c r="E198" i="28"/>
  <c r="G197" i="28"/>
  <c r="L193" i="6" s="1"/>
  <c r="F197" i="28"/>
  <c r="E197" i="28"/>
  <c r="G196" i="28"/>
  <c r="L192" i="6" s="1"/>
  <c r="F196" i="28"/>
  <c r="E196" i="28"/>
  <c r="G195" i="28"/>
  <c r="L191" i="6" s="1"/>
  <c r="F195" i="28"/>
  <c r="E195" i="28"/>
  <c r="G194" i="28"/>
  <c r="L190" i="6" s="1"/>
  <c r="F194" i="28"/>
  <c r="E194" i="28"/>
  <c r="G193" i="28"/>
  <c r="L189" i="6" s="1"/>
  <c r="F193" i="28"/>
  <c r="E193" i="28"/>
  <c r="G192" i="28"/>
  <c r="L188" i="6" s="1"/>
  <c r="F192" i="28"/>
  <c r="E192" i="28"/>
  <c r="G191" i="28"/>
  <c r="L187" i="6" s="1"/>
  <c r="F191" i="28"/>
  <c r="E191" i="28"/>
  <c r="G190" i="28"/>
  <c r="L186" i="6" s="1"/>
  <c r="F190" i="28"/>
  <c r="E190" i="28"/>
  <c r="G189" i="28"/>
  <c r="L185" i="6"/>
  <c r="F189" i="28"/>
  <c r="E189" i="28"/>
  <c r="G188" i="28"/>
  <c r="L184" i="6" s="1"/>
  <c r="F188" i="28"/>
  <c r="E188" i="28"/>
  <c r="G187" i="28"/>
  <c r="L183" i="6" s="1"/>
  <c r="F187" i="28"/>
  <c r="E187" i="28"/>
  <c r="G186" i="28"/>
  <c r="L182" i="6" s="1"/>
  <c r="F186" i="28"/>
  <c r="E186" i="28"/>
  <c r="G185" i="28"/>
  <c r="L181" i="6" s="1"/>
  <c r="F185" i="28"/>
  <c r="E185" i="28"/>
  <c r="G184" i="28"/>
  <c r="L180" i="6" s="1"/>
  <c r="F184" i="28"/>
  <c r="E184" i="28"/>
  <c r="G183" i="28"/>
  <c r="L179" i="6" s="1"/>
  <c r="F183" i="28"/>
  <c r="E183" i="28"/>
  <c r="G182" i="28"/>
  <c r="L178" i="6" s="1"/>
  <c r="F182" i="28"/>
  <c r="E182" i="28"/>
  <c r="G181" i="28"/>
  <c r="L177" i="6" s="1"/>
  <c r="F181" i="28"/>
  <c r="E181" i="28"/>
  <c r="G180" i="28"/>
  <c r="L176" i="6" s="1"/>
  <c r="F180" i="28"/>
  <c r="E180" i="28"/>
  <c r="G179" i="28"/>
  <c r="L175" i="6" s="1"/>
  <c r="F179" i="28"/>
  <c r="E179" i="28"/>
  <c r="G178" i="28"/>
  <c r="L174" i="6" s="1"/>
  <c r="F178" i="28"/>
  <c r="E178" i="28"/>
  <c r="G177" i="28"/>
  <c r="L173" i="6" s="1"/>
  <c r="F177" i="28"/>
  <c r="E177" i="28"/>
  <c r="G176" i="28"/>
  <c r="L172" i="6" s="1"/>
  <c r="F176" i="28"/>
  <c r="E176" i="28"/>
  <c r="G175" i="28"/>
  <c r="L171" i="6" s="1"/>
  <c r="F175" i="28"/>
  <c r="E175" i="28"/>
  <c r="G174" i="28"/>
  <c r="L170" i="6"/>
  <c r="F174" i="28"/>
  <c r="E174" i="28"/>
  <c r="G173" i="28"/>
  <c r="L169" i="6" s="1"/>
  <c r="F173" i="28"/>
  <c r="E173" i="28"/>
  <c r="G172" i="28"/>
  <c r="L168" i="6" s="1"/>
  <c r="F172" i="28"/>
  <c r="E172" i="28"/>
  <c r="G171" i="28"/>
  <c r="L167" i="6"/>
  <c r="F171" i="28"/>
  <c r="E171" i="28"/>
  <c r="G170" i="28"/>
  <c r="L166" i="6" s="1"/>
  <c r="F170" i="28"/>
  <c r="E170" i="28"/>
  <c r="G169" i="28"/>
  <c r="L165" i="6" s="1"/>
  <c r="F169" i="28"/>
  <c r="E169" i="28"/>
  <c r="G168" i="28"/>
  <c r="L164" i="6" s="1"/>
  <c r="F168" i="28"/>
  <c r="E168" i="28"/>
  <c r="G167" i="28"/>
  <c r="L163" i="6" s="1"/>
  <c r="F167" i="28"/>
  <c r="E167" i="28"/>
  <c r="G166" i="28"/>
  <c r="L162" i="6" s="1"/>
  <c r="F166" i="28"/>
  <c r="E166" i="28"/>
  <c r="G165" i="28"/>
  <c r="L161" i="6" s="1"/>
  <c r="F165" i="28"/>
  <c r="E165" i="28"/>
  <c r="G164" i="28"/>
  <c r="L160" i="6" s="1"/>
  <c r="F164" i="28"/>
  <c r="E164" i="28"/>
  <c r="G163" i="28"/>
  <c r="L159" i="6" s="1"/>
  <c r="F163" i="28"/>
  <c r="E163" i="28"/>
  <c r="G162" i="28"/>
  <c r="L158" i="6"/>
  <c r="F162" i="28"/>
  <c r="E162" i="28"/>
  <c r="G161" i="28"/>
  <c r="L157" i="6" s="1"/>
  <c r="F161" i="28"/>
  <c r="E161" i="28"/>
  <c r="G160" i="28"/>
  <c r="L156" i="6" s="1"/>
  <c r="F160" i="28"/>
  <c r="E160" i="28"/>
  <c r="G159" i="28"/>
  <c r="L155" i="6" s="1"/>
  <c r="F159" i="28"/>
  <c r="E159" i="28"/>
  <c r="G158" i="28"/>
  <c r="L154" i="6" s="1"/>
  <c r="F158" i="28"/>
  <c r="E158" i="28"/>
  <c r="G157" i="28"/>
  <c r="L153" i="6" s="1"/>
  <c r="F157" i="28"/>
  <c r="E157" i="28"/>
  <c r="G156" i="28"/>
  <c r="L152" i="6"/>
  <c r="F156" i="28"/>
  <c r="E156" i="28"/>
  <c r="G155" i="28"/>
  <c r="L151" i="6" s="1"/>
  <c r="F155" i="28"/>
  <c r="E155" i="28"/>
  <c r="G154" i="28"/>
  <c r="L150" i="6" s="1"/>
  <c r="F154" i="28"/>
  <c r="E154" i="28"/>
  <c r="G153" i="28"/>
  <c r="L149" i="6"/>
  <c r="F153" i="28"/>
  <c r="E153" i="28"/>
  <c r="G152" i="28"/>
  <c r="L148" i="6" s="1"/>
  <c r="F152" i="28"/>
  <c r="E152" i="28"/>
  <c r="G151" i="28"/>
  <c r="L147" i="6" s="1"/>
  <c r="F151" i="28"/>
  <c r="E151" i="28"/>
  <c r="G150" i="28"/>
  <c r="L146" i="6" s="1"/>
  <c r="F150" i="28"/>
  <c r="E150" i="28"/>
  <c r="G149" i="28"/>
  <c r="L145" i="6" s="1"/>
  <c r="F149" i="28"/>
  <c r="E149" i="28"/>
  <c r="G148" i="28"/>
  <c r="L144" i="6" s="1"/>
  <c r="F148" i="28"/>
  <c r="E148" i="28"/>
  <c r="G147" i="28"/>
  <c r="L143" i="6" s="1"/>
  <c r="F147" i="28"/>
  <c r="E147" i="28"/>
  <c r="G146" i="28"/>
  <c r="L142" i="6" s="1"/>
  <c r="F146" i="28"/>
  <c r="E146" i="28"/>
  <c r="G145" i="28"/>
  <c r="L141" i="6" s="1"/>
  <c r="F145" i="28"/>
  <c r="E145" i="28"/>
  <c r="G144" i="28"/>
  <c r="L140" i="6"/>
  <c r="F144" i="28"/>
  <c r="E144" i="28"/>
  <c r="G143" i="28"/>
  <c r="L139" i="6" s="1"/>
  <c r="F143" i="28"/>
  <c r="E143" i="28"/>
  <c r="G142" i="28"/>
  <c r="L138" i="6" s="1"/>
  <c r="F142" i="28"/>
  <c r="E142" i="28"/>
  <c r="G141" i="28"/>
  <c r="L137" i="6" s="1"/>
  <c r="F141" i="28"/>
  <c r="E141" i="28"/>
  <c r="G140" i="28"/>
  <c r="L136" i="6" s="1"/>
  <c r="F140" i="28"/>
  <c r="E140" i="28"/>
  <c r="G139" i="28"/>
  <c r="L135" i="6" s="1"/>
  <c r="F139" i="28"/>
  <c r="E139" i="28"/>
  <c r="G138" i="28"/>
  <c r="L134" i="6"/>
  <c r="F138" i="28"/>
  <c r="E138" i="28"/>
  <c r="G137" i="28"/>
  <c r="L133" i="6" s="1"/>
  <c r="F137" i="28"/>
  <c r="E137" i="28"/>
  <c r="G136" i="28"/>
  <c r="L132" i="6" s="1"/>
  <c r="F136" i="28"/>
  <c r="E136" i="28"/>
  <c r="G135" i="28"/>
  <c r="L131" i="6"/>
  <c r="F135" i="28"/>
  <c r="E135" i="28"/>
  <c r="G134" i="28"/>
  <c r="L130" i="6" s="1"/>
  <c r="F134" i="28"/>
  <c r="E134" i="28"/>
  <c r="G133" i="28"/>
  <c r="L129" i="6" s="1"/>
  <c r="F133" i="28"/>
  <c r="E133" i="28"/>
  <c r="G132" i="28"/>
  <c r="L128" i="6" s="1"/>
  <c r="F132" i="28"/>
  <c r="E132" i="28"/>
  <c r="G131" i="28"/>
  <c r="L127" i="6" s="1"/>
  <c r="F131" i="28"/>
  <c r="E131" i="28"/>
  <c r="G130" i="28"/>
  <c r="L126" i="6" s="1"/>
  <c r="F130" i="28"/>
  <c r="E130" i="28"/>
  <c r="G129" i="28"/>
  <c r="L125" i="6" s="1"/>
  <c r="F129" i="28"/>
  <c r="E129" i="28"/>
  <c r="G128" i="28"/>
  <c r="L124" i="6" s="1"/>
  <c r="F128" i="28"/>
  <c r="E128" i="28"/>
  <c r="G127" i="28"/>
  <c r="L123" i="6" s="1"/>
  <c r="F127" i="28"/>
  <c r="E127" i="28"/>
  <c r="G126" i="28"/>
  <c r="L122" i="6"/>
  <c r="F126" i="28"/>
  <c r="E126" i="28"/>
  <c r="G125" i="28"/>
  <c r="L121" i="6" s="1"/>
  <c r="F125" i="28"/>
  <c r="E125" i="28"/>
  <c r="G124" i="28"/>
  <c r="L120" i="6" s="1"/>
  <c r="F124" i="28"/>
  <c r="E124" i="28"/>
  <c r="G123" i="28"/>
  <c r="L119" i="6" s="1"/>
  <c r="F123" i="28"/>
  <c r="E123" i="28"/>
  <c r="G122" i="28"/>
  <c r="L118" i="6" s="1"/>
  <c r="F122" i="28"/>
  <c r="E122" i="28"/>
  <c r="G121" i="28"/>
  <c r="L117" i="6" s="1"/>
  <c r="F121" i="28"/>
  <c r="E121" i="28"/>
  <c r="G120" i="28"/>
  <c r="L116" i="6"/>
  <c r="F120" i="28"/>
  <c r="E120" i="28"/>
  <c r="G119" i="28"/>
  <c r="L115" i="6" s="1"/>
  <c r="F119" i="28"/>
  <c r="E119" i="28"/>
  <c r="G118" i="28"/>
  <c r="L114" i="6" s="1"/>
  <c r="F118" i="28"/>
  <c r="E118" i="28"/>
  <c r="G117" i="28"/>
  <c r="L113" i="6"/>
  <c r="F117" i="28"/>
  <c r="E117" i="28"/>
  <c r="G116" i="28"/>
  <c r="L112" i="6" s="1"/>
  <c r="F116" i="28"/>
  <c r="E116" i="28"/>
  <c r="G115" i="28"/>
  <c r="L111" i="6" s="1"/>
  <c r="F115" i="28"/>
  <c r="E115" i="28"/>
  <c r="G114" i="28"/>
  <c r="L110" i="6" s="1"/>
  <c r="F114" i="28"/>
  <c r="E114" i="28"/>
  <c r="G113" i="28"/>
  <c r="L109" i="6" s="1"/>
  <c r="F113" i="28"/>
  <c r="E113" i="28"/>
  <c r="G112" i="28"/>
  <c r="L108" i="6" s="1"/>
  <c r="F112" i="28"/>
  <c r="E112" i="28"/>
  <c r="G111" i="28"/>
  <c r="L107" i="6" s="1"/>
  <c r="F111" i="28"/>
  <c r="E111" i="28"/>
  <c r="G110" i="28"/>
  <c r="L106" i="6" s="1"/>
  <c r="F110" i="28"/>
  <c r="E110" i="28"/>
  <c r="G109" i="28"/>
  <c r="L105" i="6" s="1"/>
  <c r="F109" i="28"/>
  <c r="E109" i="28"/>
  <c r="G108" i="28"/>
  <c r="L104" i="6"/>
  <c r="F108" i="28"/>
  <c r="E108" i="28"/>
  <c r="G107" i="28"/>
  <c r="L103" i="6" s="1"/>
  <c r="F107" i="28"/>
  <c r="E107" i="28"/>
  <c r="G106" i="28"/>
  <c r="L102" i="6" s="1"/>
  <c r="F106" i="28"/>
  <c r="E106" i="28"/>
  <c r="G105" i="28"/>
  <c r="L101" i="6" s="1"/>
  <c r="F105" i="28"/>
  <c r="E105" i="28"/>
  <c r="G104" i="28"/>
  <c r="L100" i="6" s="1"/>
  <c r="F104" i="28"/>
  <c r="E104" i="28"/>
  <c r="G103" i="28"/>
  <c r="L99" i="6" s="1"/>
  <c r="F103" i="28"/>
  <c r="E103" i="28"/>
  <c r="G102" i="28"/>
  <c r="L98" i="6"/>
  <c r="F102" i="28"/>
  <c r="E102" i="28"/>
  <c r="G101" i="28"/>
  <c r="L97" i="6" s="1"/>
  <c r="F101" i="28"/>
  <c r="E101" i="28"/>
  <c r="G100" i="28"/>
  <c r="L96" i="6" s="1"/>
  <c r="F100" i="28"/>
  <c r="E100" i="28"/>
  <c r="G99" i="28"/>
  <c r="L95" i="6"/>
  <c r="F99" i="28"/>
  <c r="E99" i="28"/>
  <c r="G98" i="28"/>
  <c r="L94" i="6" s="1"/>
  <c r="F98" i="28"/>
  <c r="E98" i="28"/>
  <c r="G97" i="28"/>
  <c r="L93" i="6" s="1"/>
  <c r="F97" i="28"/>
  <c r="E97" i="28"/>
  <c r="G96" i="28"/>
  <c r="L92" i="6" s="1"/>
  <c r="F96" i="28"/>
  <c r="E96" i="28"/>
  <c r="G95" i="28"/>
  <c r="L91" i="6" s="1"/>
  <c r="F95" i="28"/>
  <c r="E95" i="28"/>
  <c r="G94" i="28"/>
  <c r="L90" i="6" s="1"/>
  <c r="F94" i="28"/>
  <c r="E94" i="28"/>
  <c r="G93" i="28"/>
  <c r="L89" i="6" s="1"/>
  <c r="F93" i="28"/>
  <c r="E93" i="28"/>
  <c r="G92" i="28"/>
  <c r="L88" i="6" s="1"/>
  <c r="F92" i="28"/>
  <c r="E92" i="28"/>
  <c r="G91" i="28"/>
  <c r="L87" i="6" s="1"/>
  <c r="F91" i="28"/>
  <c r="E91" i="28"/>
  <c r="G90" i="28"/>
  <c r="L86" i="6"/>
  <c r="F90" i="28"/>
  <c r="E90" i="28"/>
  <c r="G89" i="28"/>
  <c r="L85" i="6" s="1"/>
  <c r="F89" i="28"/>
  <c r="E89" i="28"/>
  <c r="G88" i="28"/>
  <c r="L84" i="6" s="1"/>
  <c r="F88" i="28"/>
  <c r="E88" i="28"/>
  <c r="G87" i="28"/>
  <c r="L83" i="6" s="1"/>
  <c r="F87" i="28"/>
  <c r="E87" i="28"/>
  <c r="G86" i="28"/>
  <c r="L82" i="6" s="1"/>
  <c r="F86" i="28"/>
  <c r="E86" i="28"/>
  <c r="G85" i="28"/>
  <c r="L81" i="6" s="1"/>
  <c r="F85" i="28"/>
  <c r="E85" i="28"/>
  <c r="G84" i="28"/>
  <c r="L80" i="6"/>
  <c r="F84" i="28"/>
  <c r="E84" i="28"/>
  <c r="G83" i="28"/>
  <c r="L79" i="6" s="1"/>
  <c r="F83" i="28"/>
  <c r="E83" i="28"/>
  <c r="G82" i="28"/>
  <c r="L78" i="6" s="1"/>
  <c r="F82" i="28"/>
  <c r="E82" i="28"/>
  <c r="G81" i="28"/>
  <c r="L77" i="6"/>
  <c r="F81" i="28"/>
  <c r="E81" i="28"/>
  <c r="G80" i="28"/>
  <c r="L76" i="6" s="1"/>
  <c r="F80" i="28"/>
  <c r="E80" i="28"/>
  <c r="G79" i="28"/>
  <c r="L75" i="6" s="1"/>
  <c r="F79" i="28"/>
  <c r="E79" i="28"/>
  <c r="G78" i="28"/>
  <c r="L74" i="6" s="1"/>
  <c r="F78" i="28"/>
  <c r="E78" i="28"/>
  <c r="G77" i="28"/>
  <c r="L73" i="6" s="1"/>
  <c r="F77" i="28"/>
  <c r="E77" i="28"/>
  <c r="G76" i="28"/>
  <c r="L72" i="6" s="1"/>
  <c r="F76" i="28"/>
  <c r="E76" i="28"/>
  <c r="G75" i="28"/>
  <c r="L71" i="6" s="1"/>
  <c r="F75" i="28"/>
  <c r="E75" i="28"/>
  <c r="G74" i="28"/>
  <c r="L70" i="6" s="1"/>
  <c r="F74" i="28"/>
  <c r="E74" i="28"/>
  <c r="G73" i="28"/>
  <c r="L69" i="6" s="1"/>
  <c r="F73" i="28"/>
  <c r="E73" i="28"/>
  <c r="G72" i="28"/>
  <c r="L68" i="6"/>
  <c r="F72" i="28"/>
  <c r="E72" i="28"/>
  <c r="G71" i="28"/>
  <c r="L67" i="6" s="1"/>
  <c r="F71" i="28"/>
  <c r="E71" i="28"/>
  <c r="G70" i="28"/>
  <c r="L66" i="6" s="1"/>
  <c r="F70" i="28"/>
  <c r="E70" i="28"/>
  <c r="G69" i="28"/>
  <c r="L65" i="6" s="1"/>
  <c r="F69" i="28"/>
  <c r="E69" i="28"/>
  <c r="G68" i="28"/>
  <c r="L64" i="6" s="1"/>
  <c r="F68" i="28"/>
  <c r="E68" i="28"/>
  <c r="G67" i="28"/>
  <c r="L63" i="6" s="1"/>
  <c r="F67" i="28"/>
  <c r="E67" i="28"/>
  <c r="G66" i="28"/>
  <c r="L62" i="6"/>
  <c r="F66" i="28"/>
  <c r="E66" i="28"/>
  <c r="G65" i="28"/>
  <c r="L61" i="6" s="1"/>
  <c r="F65" i="28"/>
  <c r="E65" i="28"/>
  <c r="G64" i="28"/>
  <c r="L60" i="6" s="1"/>
  <c r="F64" i="28"/>
  <c r="E64" i="28"/>
  <c r="G63" i="28"/>
  <c r="L59" i="6"/>
  <c r="F63" i="28"/>
  <c r="E63" i="28"/>
  <c r="G62" i="28"/>
  <c r="L58" i="6" s="1"/>
  <c r="F62" i="28"/>
  <c r="E62" i="28"/>
  <c r="G61" i="28"/>
  <c r="L57" i="6" s="1"/>
  <c r="F61" i="28"/>
  <c r="E61" i="28"/>
  <c r="G60" i="28"/>
  <c r="L56" i="6" s="1"/>
  <c r="F60" i="28"/>
  <c r="E60" i="28"/>
  <c r="G59" i="28"/>
  <c r="L55" i="6" s="1"/>
  <c r="F59" i="28"/>
  <c r="E59" i="28"/>
  <c r="G58" i="28"/>
  <c r="L54" i="6" s="1"/>
  <c r="F58" i="28"/>
  <c r="E58" i="28"/>
  <c r="G57" i="28"/>
  <c r="L53" i="6"/>
  <c r="F57" i="28"/>
  <c r="E57" i="28"/>
  <c r="G56" i="28"/>
  <c r="L52" i="6" s="1"/>
  <c r="F56" i="28"/>
  <c r="E56" i="28"/>
  <c r="G55" i="28"/>
  <c r="L51" i="6" s="1"/>
  <c r="F55" i="28"/>
  <c r="E55" i="28"/>
  <c r="G54" i="28"/>
  <c r="L50" i="6" s="1"/>
  <c r="F54" i="28"/>
  <c r="E54" i="28"/>
  <c r="G53" i="28"/>
  <c r="L49" i="6" s="1"/>
  <c r="F53" i="28"/>
  <c r="E53" i="28"/>
  <c r="G52" i="28"/>
  <c r="L48" i="6" s="1"/>
  <c r="F52" i="28"/>
  <c r="E52" i="28"/>
  <c r="G51" i="28"/>
  <c r="L47" i="6" s="1"/>
  <c r="F51" i="28"/>
  <c r="E51" i="28"/>
  <c r="G50" i="28"/>
  <c r="L46" i="6" s="1"/>
  <c r="F50" i="28"/>
  <c r="E50" i="28"/>
  <c r="G49" i="28"/>
  <c r="L45" i="6"/>
  <c r="F49" i="28"/>
  <c r="E49" i="28"/>
  <c r="G48" i="28"/>
  <c r="L44" i="6"/>
  <c r="F48" i="28"/>
  <c r="E48" i="28"/>
  <c r="G47" i="28"/>
  <c r="L43" i="6" s="1"/>
  <c r="F47" i="28"/>
  <c r="E47" i="28"/>
  <c r="G46" i="28"/>
  <c r="L42" i="6" s="1"/>
  <c r="F46" i="28"/>
  <c r="E46" i="28"/>
  <c r="G45" i="28"/>
  <c r="L41" i="6" s="1"/>
  <c r="F45" i="28"/>
  <c r="E45" i="28"/>
  <c r="G44" i="28"/>
  <c r="L40" i="6" s="1"/>
  <c r="F44" i="28"/>
  <c r="E44" i="28"/>
  <c r="G43" i="28"/>
  <c r="L39" i="6"/>
  <c r="F43" i="28"/>
  <c r="E43" i="28"/>
  <c r="G42" i="28"/>
  <c r="L38" i="6" s="1"/>
  <c r="F42" i="28"/>
  <c r="E42" i="28"/>
  <c r="G41" i="28"/>
  <c r="L37" i="6" s="1"/>
  <c r="F41" i="28"/>
  <c r="E41" i="28"/>
  <c r="G40" i="28"/>
  <c r="L36" i="6"/>
  <c r="F40" i="28"/>
  <c r="E40" i="28"/>
  <c r="G39" i="28"/>
  <c r="L35" i="6" s="1"/>
  <c r="F39" i="28"/>
  <c r="E39" i="28"/>
  <c r="G38" i="28"/>
  <c r="L34" i="6" s="1"/>
  <c r="F38" i="28"/>
  <c r="E38" i="28"/>
  <c r="G37" i="28"/>
  <c r="L33" i="6" s="1"/>
  <c r="F37" i="28"/>
  <c r="E37" i="28"/>
  <c r="G36" i="28"/>
  <c r="L32" i="6"/>
  <c r="F36" i="28"/>
  <c r="E36" i="28"/>
  <c r="G35" i="28"/>
  <c r="L31" i="6" s="1"/>
  <c r="F35" i="28"/>
  <c r="E35" i="28"/>
  <c r="G34" i="28"/>
  <c r="L30" i="6"/>
  <c r="F34" i="28"/>
  <c r="E34" i="28"/>
  <c r="G33" i="28"/>
  <c r="L29" i="6" s="1"/>
  <c r="F33" i="28"/>
  <c r="E33" i="28"/>
  <c r="G32" i="28"/>
  <c r="L28" i="6" s="1"/>
  <c r="F32" i="28"/>
  <c r="E32" i="28"/>
  <c r="G31" i="28"/>
  <c r="L27" i="6" s="1"/>
  <c r="F31" i="28"/>
  <c r="E31" i="28"/>
  <c r="G30" i="28"/>
  <c r="L26" i="6"/>
  <c r="F30" i="28"/>
  <c r="E30" i="28"/>
  <c r="G29" i="28"/>
  <c r="L25" i="6" s="1"/>
  <c r="F29" i="28"/>
  <c r="E29" i="28"/>
  <c r="G28" i="28"/>
  <c r="L24" i="6" s="1"/>
  <c r="F28" i="28"/>
  <c r="E28" i="28"/>
  <c r="G27" i="28"/>
  <c r="L23" i="6"/>
  <c r="F27" i="28"/>
  <c r="E27" i="28"/>
  <c r="G26" i="28"/>
  <c r="L22" i="6" s="1"/>
  <c r="F26" i="28"/>
  <c r="E26" i="28"/>
  <c r="G25" i="28"/>
  <c r="L21" i="6"/>
  <c r="F25" i="28"/>
  <c r="E25" i="28"/>
  <c r="G24" i="28"/>
  <c r="L20" i="6" s="1"/>
  <c r="F24" i="28"/>
  <c r="E24" i="28"/>
  <c r="G23" i="28"/>
  <c r="L19" i="6" s="1"/>
  <c r="F23" i="28"/>
  <c r="E23" i="28"/>
  <c r="G22" i="28"/>
  <c r="L18" i="6" s="1"/>
  <c r="F22" i="28"/>
  <c r="E22" i="28"/>
  <c r="G21" i="28"/>
  <c r="L17" i="6"/>
  <c r="F21" i="28"/>
  <c r="E21" i="28"/>
  <c r="G20" i="28"/>
  <c r="L16" i="6" s="1"/>
  <c r="F20" i="28"/>
  <c r="E20" i="28"/>
  <c r="G19" i="28"/>
  <c r="L15" i="6" s="1"/>
  <c r="F19" i="28"/>
  <c r="E19" i="28"/>
  <c r="G18" i="28"/>
  <c r="L14" i="6" s="1"/>
  <c r="F18" i="28"/>
  <c r="E18" i="28"/>
  <c r="G17" i="28"/>
  <c r="L13" i="6" s="1"/>
  <c r="F17" i="28"/>
  <c r="E17" i="28"/>
  <c r="G16" i="28"/>
  <c r="L12" i="6" s="1"/>
  <c r="F16" i="28"/>
  <c r="E16" i="28"/>
  <c r="G15" i="28"/>
  <c r="L11" i="6" s="1"/>
  <c r="F15" i="28"/>
  <c r="E15" i="28"/>
  <c r="G14" i="28"/>
  <c r="L10" i="6" s="1"/>
  <c r="F14" i="28"/>
  <c r="E14" i="28"/>
  <c r="G13" i="28"/>
  <c r="L9" i="6"/>
  <c r="F13" i="28"/>
  <c r="E13" i="28"/>
  <c r="G12" i="28"/>
  <c r="L8" i="6"/>
  <c r="F12" i="28"/>
  <c r="E12" i="28"/>
  <c r="G11" i="28"/>
  <c r="L7" i="6" s="1"/>
  <c r="F11" i="28"/>
  <c r="E11" i="28"/>
  <c r="G10" i="28"/>
  <c r="L6" i="6" s="1"/>
  <c r="F10" i="28"/>
  <c r="E10" i="28"/>
  <c r="G9" i="28"/>
  <c r="L5" i="6" s="1"/>
  <c r="F9" i="28"/>
  <c r="E9" i="28"/>
  <c r="G8" i="28"/>
  <c r="L4" i="6" s="1"/>
  <c r="F8" i="28"/>
  <c r="E8" i="28"/>
  <c r="G2" i="28"/>
  <c r="G397" i="27"/>
  <c r="F397" i="27"/>
  <c r="E397" i="27"/>
  <c r="G396" i="27"/>
  <c r="F396" i="27"/>
  <c r="E396" i="27"/>
  <c r="G395" i="27"/>
  <c r="F395" i="27"/>
  <c r="E395" i="27"/>
  <c r="G394" i="27"/>
  <c r="F394" i="27"/>
  <c r="E394" i="27"/>
  <c r="G393" i="27"/>
  <c r="F393" i="27"/>
  <c r="E393" i="27"/>
  <c r="G392" i="27"/>
  <c r="F392" i="27"/>
  <c r="E392" i="27"/>
  <c r="G391" i="27"/>
  <c r="F391" i="27"/>
  <c r="E391" i="27"/>
  <c r="G390" i="27"/>
  <c r="F390" i="27"/>
  <c r="E390" i="27"/>
  <c r="G389" i="27"/>
  <c r="F389" i="27"/>
  <c r="E389" i="27"/>
  <c r="G388" i="27"/>
  <c r="F388" i="27"/>
  <c r="E388" i="27"/>
  <c r="G387" i="27"/>
  <c r="F387" i="27"/>
  <c r="E387" i="27"/>
  <c r="G386" i="27"/>
  <c r="F386" i="27"/>
  <c r="E386" i="27"/>
  <c r="G385" i="27"/>
  <c r="F385" i="27"/>
  <c r="E385" i="27"/>
  <c r="G384" i="27"/>
  <c r="F384" i="27"/>
  <c r="E384" i="27"/>
  <c r="G383" i="27"/>
  <c r="F383" i="27"/>
  <c r="E383" i="27"/>
  <c r="G382" i="27"/>
  <c r="F382" i="27"/>
  <c r="E382" i="27"/>
  <c r="G381" i="27"/>
  <c r="F381" i="27"/>
  <c r="E381" i="27"/>
  <c r="G380" i="27"/>
  <c r="F380" i="27"/>
  <c r="E380" i="27"/>
  <c r="G379" i="27"/>
  <c r="F379" i="27"/>
  <c r="E379" i="27"/>
  <c r="G378" i="27"/>
  <c r="F378" i="27"/>
  <c r="E378" i="27"/>
  <c r="G377" i="27"/>
  <c r="F377" i="27"/>
  <c r="E377" i="27"/>
  <c r="G376" i="27"/>
  <c r="F376" i="27"/>
  <c r="E376" i="27"/>
  <c r="G375" i="27"/>
  <c r="F375" i="27"/>
  <c r="E375" i="27"/>
  <c r="G374" i="27"/>
  <c r="F374" i="27"/>
  <c r="E374" i="27"/>
  <c r="G373" i="27"/>
  <c r="F373" i="27"/>
  <c r="E373" i="27"/>
  <c r="G372" i="27"/>
  <c r="F372" i="27"/>
  <c r="E372" i="27"/>
  <c r="G371" i="27"/>
  <c r="F371" i="27"/>
  <c r="E371" i="27"/>
  <c r="G370" i="27"/>
  <c r="F370" i="27"/>
  <c r="E370" i="27"/>
  <c r="G369" i="27"/>
  <c r="F369" i="27"/>
  <c r="E369" i="27"/>
  <c r="G368" i="27"/>
  <c r="F368" i="27"/>
  <c r="E368" i="27"/>
  <c r="G367" i="27"/>
  <c r="F367" i="27"/>
  <c r="E367" i="27"/>
  <c r="G366" i="27"/>
  <c r="F366" i="27"/>
  <c r="E366" i="27"/>
  <c r="G365" i="27"/>
  <c r="F365" i="27"/>
  <c r="E365" i="27"/>
  <c r="G364" i="27"/>
  <c r="F364" i="27"/>
  <c r="E364" i="27"/>
  <c r="G363" i="27"/>
  <c r="F363" i="27"/>
  <c r="E363" i="27"/>
  <c r="G362" i="27"/>
  <c r="F362" i="27"/>
  <c r="E362" i="27"/>
  <c r="G361" i="27"/>
  <c r="F361" i="27"/>
  <c r="E361" i="27"/>
  <c r="G360" i="27"/>
  <c r="F360" i="27"/>
  <c r="E360" i="27"/>
  <c r="G359" i="27"/>
  <c r="F359" i="27"/>
  <c r="E359" i="27"/>
  <c r="G358" i="27"/>
  <c r="F358" i="27"/>
  <c r="E358" i="27"/>
  <c r="G357" i="27"/>
  <c r="F357" i="27"/>
  <c r="E357" i="27"/>
  <c r="G356" i="27"/>
  <c r="F356" i="27"/>
  <c r="E356" i="27"/>
  <c r="G355" i="27"/>
  <c r="F355" i="27"/>
  <c r="E355" i="27"/>
  <c r="G354" i="27"/>
  <c r="F354" i="27"/>
  <c r="E354" i="27"/>
  <c r="G353" i="27"/>
  <c r="F353" i="27"/>
  <c r="E353" i="27"/>
  <c r="G352" i="27"/>
  <c r="F352" i="27"/>
  <c r="E352" i="27"/>
  <c r="G351" i="27"/>
  <c r="F351" i="27"/>
  <c r="E351" i="27"/>
  <c r="G350" i="27"/>
  <c r="F350" i="27"/>
  <c r="E350" i="27"/>
  <c r="G349" i="27"/>
  <c r="F349" i="27"/>
  <c r="E349" i="27"/>
  <c r="G348" i="27"/>
  <c r="F348" i="27"/>
  <c r="E348" i="27"/>
  <c r="G347" i="27"/>
  <c r="F347" i="27"/>
  <c r="E347" i="27"/>
  <c r="G346" i="27"/>
  <c r="F346" i="27"/>
  <c r="E346" i="27"/>
  <c r="G345" i="27"/>
  <c r="F345" i="27"/>
  <c r="E345" i="27"/>
  <c r="G344" i="27"/>
  <c r="F344" i="27"/>
  <c r="E344" i="27"/>
  <c r="G343" i="27"/>
  <c r="F343" i="27"/>
  <c r="E343" i="27"/>
  <c r="G342" i="27"/>
  <c r="F342" i="27"/>
  <c r="E342" i="27"/>
  <c r="G341" i="27"/>
  <c r="F341" i="27"/>
  <c r="E341" i="27"/>
  <c r="G340" i="27"/>
  <c r="F340" i="27"/>
  <c r="E340" i="27"/>
  <c r="G339" i="27"/>
  <c r="F339" i="27"/>
  <c r="E339" i="27"/>
  <c r="G338" i="27"/>
  <c r="F338" i="27"/>
  <c r="E338" i="27"/>
  <c r="G337" i="27"/>
  <c r="F337" i="27"/>
  <c r="E337" i="27"/>
  <c r="G336" i="27"/>
  <c r="F336" i="27"/>
  <c r="E336" i="27"/>
  <c r="G335" i="27"/>
  <c r="F335" i="27"/>
  <c r="E335" i="27"/>
  <c r="G334" i="27"/>
  <c r="F334" i="27"/>
  <c r="E334" i="27"/>
  <c r="G333" i="27"/>
  <c r="F333" i="27"/>
  <c r="E333" i="27"/>
  <c r="G332" i="27"/>
  <c r="F332" i="27"/>
  <c r="E332" i="27"/>
  <c r="G331" i="27"/>
  <c r="F331" i="27"/>
  <c r="E331" i="27"/>
  <c r="G330" i="27"/>
  <c r="F330" i="27"/>
  <c r="E330" i="27"/>
  <c r="G329" i="27"/>
  <c r="F329" i="27"/>
  <c r="E329" i="27"/>
  <c r="G328" i="27"/>
  <c r="F328" i="27"/>
  <c r="E328" i="27"/>
  <c r="G327" i="27"/>
  <c r="F327" i="27"/>
  <c r="E327" i="27"/>
  <c r="G326" i="27"/>
  <c r="F326" i="27"/>
  <c r="E326" i="27"/>
  <c r="G325" i="27"/>
  <c r="F325" i="27"/>
  <c r="E325" i="27"/>
  <c r="G324" i="27"/>
  <c r="F324" i="27"/>
  <c r="E324" i="27"/>
  <c r="G323" i="27"/>
  <c r="F323" i="27"/>
  <c r="E323" i="27"/>
  <c r="G322" i="27"/>
  <c r="F322" i="27"/>
  <c r="E322" i="27"/>
  <c r="G321" i="27"/>
  <c r="F321" i="27"/>
  <c r="E321" i="27"/>
  <c r="G320" i="27"/>
  <c r="F320" i="27"/>
  <c r="E320" i="27"/>
  <c r="G319" i="27"/>
  <c r="F319" i="27"/>
  <c r="E319" i="27"/>
  <c r="G318" i="27"/>
  <c r="F318" i="27"/>
  <c r="E318" i="27"/>
  <c r="G317" i="27"/>
  <c r="F317" i="27"/>
  <c r="E317" i="27"/>
  <c r="G316" i="27"/>
  <c r="F316" i="27"/>
  <c r="E316" i="27"/>
  <c r="G315" i="27"/>
  <c r="F315" i="27"/>
  <c r="E315" i="27"/>
  <c r="G314" i="27"/>
  <c r="F314" i="27"/>
  <c r="E314" i="27"/>
  <c r="G313" i="27"/>
  <c r="F313" i="27"/>
  <c r="E313" i="27"/>
  <c r="G312" i="27"/>
  <c r="F312" i="27"/>
  <c r="E312" i="27"/>
  <c r="G311" i="27"/>
  <c r="F311" i="27"/>
  <c r="E311" i="27"/>
  <c r="G310" i="27"/>
  <c r="F310" i="27"/>
  <c r="E310" i="27"/>
  <c r="G309" i="27"/>
  <c r="F309" i="27"/>
  <c r="E309" i="27"/>
  <c r="G308" i="27"/>
  <c r="F308" i="27"/>
  <c r="E308" i="27"/>
  <c r="G307" i="27"/>
  <c r="F307" i="27"/>
  <c r="E307" i="27"/>
  <c r="G306" i="27"/>
  <c r="F306" i="27"/>
  <c r="E306" i="27"/>
  <c r="G305" i="27"/>
  <c r="F305" i="27"/>
  <c r="E305" i="27"/>
  <c r="G304" i="27"/>
  <c r="F304" i="27"/>
  <c r="E304" i="27"/>
  <c r="G303" i="27"/>
  <c r="F303" i="27"/>
  <c r="E303" i="27"/>
  <c r="G302" i="27"/>
  <c r="F302" i="27"/>
  <c r="E302" i="27"/>
  <c r="G301" i="27"/>
  <c r="F301" i="27"/>
  <c r="E301" i="27"/>
  <c r="G300" i="27"/>
  <c r="F300" i="27"/>
  <c r="E300" i="27"/>
  <c r="G299" i="27"/>
  <c r="F299" i="27"/>
  <c r="E299" i="27"/>
  <c r="G298" i="27"/>
  <c r="F298" i="27"/>
  <c r="E298" i="27"/>
  <c r="G297" i="27"/>
  <c r="F297" i="27"/>
  <c r="E297" i="27"/>
  <c r="G296" i="27"/>
  <c r="F296" i="27"/>
  <c r="E296" i="27"/>
  <c r="G295" i="27"/>
  <c r="F295" i="27"/>
  <c r="E295" i="27"/>
  <c r="G294" i="27"/>
  <c r="F294" i="27"/>
  <c r="E294" i="27"/>
  <c r="G293" i="27"/>
  <c r="F293" i="27"/>
  <c r="E293" i="27"/>
  <c r="G292" i="27"/>
  <c r="F292" i="27"/>
  <c r="E292" i="27"/>
  <c r="G291" i="27"/>
  <c r="F291" i="27"/>
  <c r="E291" i="27"/>
  <c r="G290" i="27"/>
  <c r="F290" i="27"/>
  <c r="E290" i="27"/>
  <c r="G289" i="27"/>
  <c r="F289" i="27"/>
  <c r="E289" i="27"/>
  <c r="G288" i="27"/>
  <c r="F288" i="27"/>
  <c r="E288" i="27"/>
  <c r="G287" i="27"/>
  <c r="F287" i="27"/>
  <c r="E287" i="27"/>
  <c r="G286" i="27"/>
  <c r="F286" i="27"/>
  <c r="E286" i="27"/>
  <c r="G285" i="27"/>
  <c r="F285" i="27"/>
  <c r="E285" i="27"/>
  <c r="G284" i="27"/>
  <c r="F284" i="27"/>
  <c r="E284" i="27"/>
  <c r="G283" i="27"/>
  <c r="F283" i="27"/>
  <c r="E283" i="27"/>
  <c r="G282" i="27"/>
  <c r="F282" i="27"/>
  <c r="E282" i="27"/>
  <c r="G281" i="27"/>
  <c r="F281" i="27"/>
  <c r="E281" i="27"/>
  <c r="G280" i="27"/>
  <c r="F280" i="27"/>
  <c r="E280" i="27"/>
  <c r="G279" i="27"/>
  <c r="F279" i="27"/>
  <c r="E279" i="27"/>
  <c r="G278" i="27"/>
  <c r="F278" i="27"/>
  <c r="E278" i="27"/>
  <c r="G277" i="27"/>
  <c r="F277" i="27"/>
  <c r="E277" i="27"/>
  <c r="G276" i="27"/>
  <c r="F276" i="27"/>
  <c r="E276" i="27"/>
  <c r="G275" i="27"/>
  <c r="F275" i="27"/>
  <c r="E275" i="27"/>
  <c r="G274" i="27"/>
  <c r="F274" i="27"/>
  <c r="E274" i="27"/>
  <c r="G273" i="27"/>
  <c r="F273" i="27"/>
  <c r="E273" i="27"/>
  <c r="G272" i="27"/>
  <c r="K268" i="6" s="1"/>
  <c r="F272" i="27"/>
  <c r="E272" i="27"/>
  <c r="G271" i="27"/>
  <c r="K267" i="6" s="1"/>
  <c r="F271" i="27"/>
  <c r="E271" i="27"/>
  <c r="G270" i="27"/>
  <c r="K266" i="6"/>
  <c r="F270" i="27"/>
  <c r="E270" i="27"/>
  <c r="G269" i="27"/>
  <c r="K265" i="6" s="1"/>
  <c r="F269" i="27"/>
  <c r="E269" i="27"/>
  <c r="G268" i="27"/>
  <c r="K264" i="6" s="1"/>
  <c r="F268" i="27"/>
  <c r="E268" i="27"/>
  <c r="G267" i="27"/>
  <c r="K263" i="6" s="1"/>
  <c r="F267" i="27"/>
  <c r="E267" i="27"/>
  <c r="G266" i="27"/>
  <c r="K262" i="6"/>
  <c r="F266" i="27"/>
  <c r="E266" i="27"/>
  <c r="G265" i="27"/>
  <c r="K261" i="6" s="1"/>
  <c r="F265" i="27"/>
  <c r="E265" i="27"/>
  <c r="G264" i="27"/>
  <c r="K260" i="6"/>
  <c r="F264" i="27"/>
  <c r="E264" i="27"/>
  <c r="G263" i="27"/>
  <c r="K259" i="6" s="1"/>
  <c r="F263" i="27"/>
  <c r="E263" i="27"/>
  <c r="G262" i="27"/>
  <c r="K258" i="6" s="1"/>
  <c r="F262" i="27"/>
  <c r="E262" i="27"/>
  <c r="G261" i="27"/>
  <c r="K257" i="6" s="1"/>
  <c r="F261" i="27"/>
  <c r="E261" i="27"/>
  <c r="G260" i="27"/>
  <c r="K256" i="6"/>
  <c r="F260" i="27"/>
  <c r="E260" i="27"/>
  <c r="G259" i="27"/>
  <c r="K255" i="6" s="1"/>
  <c r="F259" i="27"/>
  <c r="E259" i="27"/>
  <c r="G258" i="27"/>
  <c r="K254" i="6" s="1"/>
  <c r="F258" i="27"/>
  <c r="E258" i="27"/>
  <c r="G257" i="27"/>
  <c r="K253" i="6"/>
  <c r="F257" i="27"/>
  <c r="E257" i="27"/>
  <c r="G256" i="27"/>
  <c r="K252" i="6" s="1"/>
  <c r="F256" i="27"/>
  <c r="E256" i="27"/>
  <c r="G255" i="27"/>
  <c r="K251" i="6" s="1"/>
  <c r="F255" i="27"/>
  <c r="E255" i="27"/>
  <c r="G254" i="27"/>
  <c r="K250" i="6"/>
  <c r="F254" i="27"/>
  <c r="E254" i="27"/>
  <c r="G253" i="27"/>
  <c r="K249" i="6" s="1"/>
  <c r="F253" i="27"/>
  <c r="E253" i="27"/>
  <c r="G252" i="27"/>
  <c r="K248" i="6" s="1"/>
  <c r="F252" i="27"/>
  <c r="E252" i="27"/>
  <c r="G251" i="27"/>
  <c r="K247" i="6"/>
  <c r="F251" i="27"/>
  <c r="E251" i="27"/>
  <c r="G250" i="27"/>
  <c r="K246" i="6"/>
  <c r="F250" i="27"/>
  <c r="E250" i="27"/>
  <c r="G249" i="27"/>
  <c r="K245" i="6" s="1"/>
  <c r="F249" i="27"/>
  <c r="E249" i="27"/>
  <c r="G248" i="27"/>
  <c r="K244" i="6"/>
  <c r="F248" i="27"/>
  <c r="E248" i="27"/>
  <c r="G247" i="27"/>
  <c r="K243" i="6"/>
  <c r="F247" i="27"/>
  <c r="E247" i="27"/>
  <c r="G246" i="27"/>
  <c r="K242" i="6"/>
  <c r="F246" i="27"/>
  <c r="E246" i="27"/>
  <c r="G245" i="27"/>
  <c r="K241" i="6"/>
  <c r="F245" i="27"/>
  <c r="E245" i="27"/>
  <c r="G244" i="27"/>
  <c r="K240" i="6"/>
  <c r="F244" i="27"/>
  <c r="E244" i="27"/>
  <c r="G243" i="27"/>
  <c r="K239" i="6"/>
  <c r="F243" i="27"/>
  <c r="E243" i="27"/>
  <c r="G242" i="27"/>
  <c r="K238" i="6"/>
  <c r="F242" i="27"/>
  <c r="E242" i="27"/>
  <c r="G241" i="27"/>
  <c r="K237" i="6"/>
  <c r="F241" i="27"/>
  <c r="E241" i="27"/>
  <c r="G240" i="27"/>
  <c r="K236" i="6"/>
  <c r="F240" i="27"/>
  <c r="E240" i="27"/>
  <c r="G239" i="27"/>
  <c r="K235" i="6"/>
  <c r="F239" i="27"/>
  <c r="E239" i="27"/>
  <c r="G238" i="27"/>
  <c r="K234" i="6"/>
  <c r="F238" i="27"/>
  <c r="E238" i="27"/>
  <c r="G237" i="27"/>
  <c r="K233" i="6"/>
  <c r="F237" i="27"/>
  <c r="E237" i="27"/>
  <c r="G236" i="27"/>
  <c r="K232" i="6"/>
  <c r="F236" i="27"/>
  <c r="E236" i="27"/>
  <c r="G235" i="27"/>
  <c r="K231" i="6"/>
  <c r="F235" i="27"/>
  <c r="E235" i="27"/>
  <c r="G234" i="27"/>
  <c r="K230" i="6"/>
  <c r="F234" i="27"/>
  <c r="E234" i="27"/>
  <c r="G233" i="27"/>
  <c r="K229" i="6"/>
  <c r="F233" i="27"/>
  <c r="E233" i="27"/>
  <c r="G232" i="27"/>
  <c r="K228" i="6"/>
  <c r="F232" i="27"/>
  <c r="E232" i="27"/>
  <c r="G231" i="27"/>
  <c r="K227" i="6"/>
  <c r="F231" i="27"/>
  <c r="E231" i="27"/>
  <c r="G230" i="27"/>
  <c r="K226" i="6"/>
  <c r="F230" i="27"/>
  <c r="E230" i="27"/>
  <c r="G229" i="27"/>
  <c r="K225" i="6"/>
  <c r="F229" i="27"/>
  <c r="E229" i="27"/>
  <c r="G228" i="27"/>
  <c r="K224" i="6"/>
  <c r="F228" i="27"/>
  <c r="E228" i="27"/>
  <c r="G227" i="27"/>
  <c r="K223" i="6"/>
  <c r="F227" i="27"/>
  <c r="E227" i="27"/>
  <c r="G226" i="27"/>
  <c r="K222" i="6"/>
  <c r="F226" i="27"/>
  <c r="E226" i="27"/>
  <c r="G225" i="27"/>
  <c r="K221" i="6"/>
  <c r="F225" i="27"/>
  <c r="E225" i="27"/>
  <c r="G224" i="27"/>
  <c r="K220" i="6"/>
  <c r="F224" i="27"/>
  <c r="E224" i="27"/>
  <c r="G223" i="27"/>
  <c r="K219" i="6"/>
  <c r="F223" i="27"/>
  <c r="E223" i="27"/>
  <c r="G222" i="27"/>
  <c r="K218" i="6"/>
  <c r="F222" i="27"/>
  <c r="E222" i="27"/>
  <c r="G221" i="27"/>
  <c r="K217" i="6"/>
  <c r="F221" i="27"/>
  <c r="E221" i="27"/>
  <c r="G220" i="27"/>
  <c r="K216" i="6"/>
  <c r="F220" i="27"/>
  <c r="E220" i="27"/>
  <c r="G219" i="27"/>
  <c r="K215" i="6"/>
  <c r="F219" i="27"/>
  <c r="E219" i="27"/>
  <c r="G218" i="27"/>
  <c r="K214" i="6"/>
  <c r="F218" i="27"/>
  <c r="E218" i="27"/>
  <c r="G217" i="27"/>
  <c r="K213" i="6"/>
  <c r="F217" i="27"/>
  <c r="E217" i="27"/>
  <c r="G216" i="27"/>
  <c r="K212" i="6"/>
  <c r="F216" i="27"/>
  <c r="E216" i="27"/>
  <c r="G215" i="27"/>
  <c r="K211" i="6"/>
  <c r="F215" i="27"/>
  <c r="E215" i="27"/>
  <c r="G214" i="27"/>
  <c r="K210" i="6"/>
  <c r="F214" i="27"/>
  <c r="E214" i="27"/>
  <c r="G213" i="27"/>
  <c r="K209" i="6"/>
  <c r="F213" i="27"/>
  <c r="E213" i="27"/>
  <c r="G212" i="27"/>
  <c r="K208" i="6"/>
  <c r="F212" i="27"/>
  <c r="E212" i="27"/>
  <c r="G211" i="27"/>
  <c r="K207" i="6"/>
  <c r="F211" i="27"/>
  <c r="E211" i="27"/>
  <c r="G210" i="27"/>
  <c r="K206" i="6"/>
  <c r="F210" i="27"/>
  <c r="E210" i="27"/>
  <c r="G209" i="27"/>
  <c r="K205" i="6"/>
  <c r="F209" i="27"/>
  <c r="E209" i="27"/>
  <c r="G208" i="27"/>
  <c r="K204" i="6"/>
  <c r="F208" i="27"/>
  <c r="E208" i="27"/>
  <c r="G207" i="27"/>
  <c r="K203" i="6"/>
  <c r="F207" i="27"/>
  <c r="E207" i="27"/>
  <c r="G206" i="27"/>
  <c r="K202" i="6"/>
  <c r="F206" i="27"/>
  <c r="E206" i="27"/>
  <c r="G205" i="27"/>
  <c r="K201" i="6"/>
  <c r="F205" i="27"/>
  <c r="E205" i="27"/>
  <c r="G204" i="27"/>
  <c r="K200" i="6"/>
  <c r="F204" i="27"/>
  <c r="E204" i="27"/>
  <c r="G203" i="27"/>
  <c r="K199" i="6"/>
  <c r="F203" i="27"/>
  <c r="E203" i="27"/>
  <c r="G202" i="27"/>
  <c r="K198" i="6"/>
  <c r="F202" i="27"/>
  <c r="E202" i="27"/>
  <c r="G201" i="27"/>
  <c r="K197" i="6"/>
  <c r="F201" i="27"/>
  <c r="E201" i="27"/>
  <c r="G200" i="27"/>
  <c r="K196" i="6"/>
  <c r="F200" i="27"/>
  <c r="E200" i="27"/>
  <c r="G199" i="27"/>
  <c r="K195" i="6"/>
  <c r="F199" i="27"/>
  <c r="E199" i="27"/>
  <c r="G198" i="27"/>
  <c r="K194" i="6"/>
  <c r="F198" i="27"/>
  <c r="E198" i="27"/>
  <c r="G197" i="27"/>
  <c r="K193" i="6"/>
  <c r="F197" i="27"/>
  <c r="E197" i="27"/>
  <c r="G196" i="27"/>
  <c r="K192" i="6"/>
  <c r="F196" i="27"/>
  <c r="E196" i="27"/>
  <c r="G195" i="27"/>
  <c r="K191" i="6"/>
  <c r="F195" i="27"/>
  <c r="E195" i="27"/>
  <c r="G194" i="27"/>
  <c r="K190" i="6"/>
  <c r="F194" i="27"/>
  <c r="E194" i="27"/>
  <c r="G193" i="27"/>
  <c r="K189" i="6"/>
  <c r="F193" i="27"/>
  <c r="E193" i="27"/>
  <c r="G192" i="27"/>
  <c r="K188" i="6"/>
  <c r="F192" i="27"/>
  <c r="E192" i="27"/>
  <c r="G191" i="27"/>
  <c r="K187" i="6"/>
  <c r="F191" i="27"/>
  <c r="E191" i="27"/>
  <c r="G190" i="27"/>
  <c r="K186" i="6"/>
  <c r="F190" i="27"/>
  <c r="E190" i="27"/>
  <c r="G189" i="27"/>
  <c r="K185" i="6"/>
  <c r="F189" i="27"/>
  <c r="E189" i="27"/>
  <c r="G188" i="27"/>
  <c r="K184" i="6"/>
  <c r="F188" i="27"/>
  <c r="E188" i="27"/>
  <c r="G187" i="27"/>
  <c r="K183" i="6"/>
  <c r="F187" i="27"/>
  <c r="E187" i="27"/>
  <c r="G186" i="27"/>
  <c r="K182" i="6"/>
  <c r="F186" i="27"/>
  <c r="E186" i="27"/>
  <c r="G185" i="27"/>
  <c r="K181" i="6"/>
  <c r="F185" i="27"/>
  <c r="E185" i="27"/>
  <c r="G184" i="27"/>
  <c r="K180" i="6"/>
  <c r="F184" i="27"/>
  <c r="E184" i="27"/>
  <c r="G183" i="27"/>
  <c r="K179" i="6"/>
  <c r="F183" i="27"/>
  <c r="E183" i="27"/>
  <c r="G182" i="27"/>
  <c r="K178" i="6"/>
  <c r="F182" i="27"/>
  <c r="E182" i="27"/>
  <c r="G181" i="27"/>
  <c r="K177" i="6"/>
  <c r="F181" i="27"/>
  <c r="E181" i="27"/>
  <c r="G180" i="27"/>
  <c r="K176" i="6"/>
  <c r="F180" i="27"/>
  <c r="E180" i="27"/>
  <c r="G179" i="27"/>
  <c r="K175" i="6"/>
  <c r="F179" i="27"/>
  <c r="E179" i="27"/>
  <c r="G178" i="27"/>
  <c r="K174" i="6"/>
  <c r="F178" i="27"/>
  <c r="E178" i="27"/>
  <c r="G177" i="27"/>
  <c r="K173" i="6"/>
  <c r="F177" i="27"/>
  <c r="E177" i="27"/>
  <c r="G176" i="27"/>
  <c r="K172" i="6"/>
  <c r="F176" i="27"/>
  <c r="E176" i="27"/>
  <c r="G175" i="27"/>
  <c r="K171" i="6"/>
  <c r="F175" i="27"/>
  <c r="E175" i="27"/>
  <c r="G174" i="27"/>
  <c r="K170" i="6"/>
  <c r="F174" i="27"/>
  <c r="E174" i="27"/>
  <c r="G173" i="27"/>
  <c r="K169" i="6"/>
  <c r="F173" i="27"/>
  <c r="E173" i="27"/>
  <c r="G172" i="27"/>
  <c r="K168" i="6"/>
  <c r="F172" i="27"/>
  <c r="E172" i="27"/>
  <c r="G171" i="27"/>
  <c r="K167" i="6"/>
  <c r="F171" i="27"/>
  <c r="E171" i="27"/>
  <c r="G170" i="27"/>
  <c r="K166" i="6"/>
  <c r="F170" i="27"/>
  <c r="E170" i="27"/>
  <c r="G169" i="27"/>
  <c r="K165" i="6"/>
  <c r="F169" i="27"/>
  <c r="E169" i="27"/>
  <c r="G168" i="27"/>
  <c r="K164" i="6"/>
  <c r="F168" i="27"/>
  <c r="E168" i="27"/>
  <c r="G167" i="27"/>
  <c r="K163" i="6"/>
  <c r="F167" i="27"/>
  <c r="E167" i="27"/>
  <c r="G166" i="27"/>
  <c r="K162" i="6"/>
  <c r="F166" i="27"/>
  <c r="E166" i="27"/>
  <c r="G165" i="27"/>
  <c r="K161" i="6"/>
  <c r="F165" i="27"/>
  <c r="E165" i="27"/>
  <c r="G164" i="27"/>
  <c r="K160" i="6"/>
  <c r="F164" i="27"/>
  <c r="E164" i="27"/>
  <c r="G163" i="27"/>
  <c r="K159" i="6"/>
  <c r="F163" i="27"/>
  <c r="E163" i="27"/>
  <c r="G162" i="27"/>
  <c r="K158" i="6"/>
  <c r="F162" i="27"/>
  <c r="E162" i="27"/>
  <c r="G161" i="27"/>
  <c r="K157" i="6"/>
  <c r="F161" i="27"/>
  <c r="E161" i="27"/>
  <c r="G160" i="27"/>
  <c r="K156" i="6"/>
  <c r="F160" i="27"/>
  <c r="E160" i="27"/>
  <c r="G159" i="27"/>
  <c r="K155" i="6"/>
  <c r="F159" i="27"/>
  <c r="E159" i="27"/>
  <c r="G158" i="27"/>
  <c r="K154" i="6"/>
  <c r="F158" i="27"/>
  <c r="E158" i="27"/>
  <c r="G157" i="27"/>
  <c r="K153" i="6"/>
  <c r="F157" i="27"/>
  <c r="E157" i="27"/>
  <c r="G156" i="27"/>
  <c r="K152" i="6"/>
  <c r="F156" i="27"/>
  <c r="E156" i="27"/>
  <c r="G155" i="27"/>
  <c r="K151" i="6"/>
  <c r="F155" i="27"/>
  <c r="E155" i="27"/>
  <c r="G154" i="27"/>
  <c r="K150" i="6"/>
  <c r="F154" i="27"/>
  <c r="E154" i="27"/>
  <c r="G153" i="27"/>
  <c r="K149" i="6"/>
  <c r="F153" i="27"/>
  <c r="E153" i="27"/>
  <c r="G152" i="27"/>
  <c r="K148" i="6"/>
  <c r="F152" i="27"/>
  <c r="E152" i="27"/>
  <c r="G151" i="27"/>
  <c r="K147" i="6"/>
  <c r="F151" i="27"/>
  <c r="E151" i="27"/>
  <c r="G150" i="27"/>
  <c r="K146" i="6"/>
  <c r="F150" i="27"/>
  <c r="E150" i="27"/>
  <c r="G149" i="27"/>
  <c r="K145" i="6"/>
  <c r="F149" i="27"/>
  <c r="E149" i="27"/>
  <c r="G148" i="27"/>
  <c r="K144" i="6"/>
  <c r="F148" i="27"/>
  <c r="E148" i="27"/>
  <c r="G147" i="27"/>
  <c r="K143" i="6"/>
  <c r="F147" i="27"/>
  <c r="E147" i="27"/>
  <c r="G146" i="27"/>
  <c r="K142" i="6"/>
  <c r="F146" i="27"/>
  <c r="E146" i="27"/>
  <c r="G145" i="27"/>
  <c r="K141" i="6"/>
  <c r="F145" i="27"/>
  <c r="E145" i="27"/>
  <c r="G144" i="27"/>
  <c r="K140" i="6"/>
  <c r="F144" i="27"/>
  <c r="E144" i="27"/>
  <c r="G143" i="27"/>
  <c r="K139" i="6"/>
  <c r="F143" i="27"/>
  <c r="E143" i="27"/>
  <c r="G142" i="27"/>
  <c r="K138" i="6"/>
  <c r="F142" i="27"/>
  <c r="E142" i="27"/>
  <c r="G141" i="27"/>
  <c r="K137" i="6"/>
  <c r="F141" i="27"/>
  <c r="E141" i="27"/>
  <c r="G140" i="27"/>
  <c r="K136" i="6"/>
  <c r="F140" i="27"/>
  <c r="E140" i="27"/>
  <c r="G139" i="27"/>
  <c r="K135" i="6"/>
  <c r="F139" i="27"/>
  <c r="E139" i="27"/>
  <c r="G138" i="27"/>
  <c r="K134" i="6"/>
  <c r="F138" i="27"/>
  <c r="E138" i="27"/>
  <c r="G137" i="27"/>
  <c r="K133" i="6"/>
  <c r="F137" i="27"/>
  <c r="E137" i="27"/>
  <c r="G136" i="27"/>
  <c r="K132" i="6"/>
  <c r="F136" i="27"/>
  <c r="E136" i="27"/>
  <c r="G135" i="27"/>
  <c r="K131" i="6"/>
  <c r="F135" i="27"/>
  <c r="E135" i="27"/>
  <c r="G134" i="27"/>
  <c r="K130" i="6"/>
  <c r="F134" i="27"/>
  <c r="E134" i="27"/>
  <c r="G133" i="27"/>
  <c r="K129" i="6"/>
  <c r="F133" i="27"/>
  <c r="E133" i="27"/>
  <c r="G132" i="27"/>
  <c r="K128" i="6"/>
  <c r="F132" i="27"/>
  <c r="E132" i="27"/>
  <c r="G131" i="27"/>
  <c r="K127" i="6"/>
  <c r="F131" i="27"/>
  <c r="E131" i="27"/>
  <c r="G130" i="27"/>
  <c r="K126" i="6"/>
  <c r="F130" i="27"/>
  <c r="E130" i="27"/>
  <c r="G129" i="27"/>
  <c r="K125" i="6"/>
  <c r="F129" i="27"/>
  <c r="E129" i="27"/>
  <c r="G128" i="27"/>
  <c r="K124" i="6"/>
  <c r="F128" i="27"/>
  <c r="E128" i="27"/>
  <c r="G127" i="27"/>
  <c r="K123" i="6"/>
  <c r="F127" i="27"/>
  <c r="E127" i="27"/>
  <c r="G126" i="27"/>
  <c r="K122" i="6"/>
  <c r="F126" i="27"/>
  <c r="E126" i="27"/>
  <c r="G125" i="27"/>
  <c r="K121" i="6"/>
  <c r="F125" i="27"/>
  <c r="E125" i="27"/>
  <c r="G124" i="27"/>
  <c r="K120" i="6"/>
  <c r="F124" i="27"/>
  <c r="E124" i="27"/>
  <c r="G123" i="27"/>
  <c r="K119" i="6"/>
  <c r="F123" i="27"/>
  <c r="E123" i="27"/>
  <c r="G122" i="27"/>
  <c r="K118" i="6"/>
  <c r="F122" i="27"/>
  <c r="E122" i="27"/>
  <c r="G121" i="27"/>
  <c r="K117" i="6"/>
  <c r="F121" i="27"/>
  <c r="E121" i="27"/>
  <c r="G120" i="27"/>
  <c r="K116" i="6"/>
  <c r="F120" i="27"/>
  <c r="E120" i="27"/>
  <c r="G119" i="27"/>
  <c r="K115" i="6"/>
  <c r="F119" i="27"/>
  <c r="E119" i="27"/>
  <c r="G118" i="27"/>
  <c r="K114" i="6"/>
  <c r="F118" i="27"/>
  <c r="E118" i="27"/>
  <c r="G117" i="27"/>
  <c r="K113" i="6"/>
  <c r="F117" i="27"/>
  <c r="E117" i="27"/>
  <c r="G116" i="27"/>
  <c r="K112" i="6"/>
  <c r="F116" i="27"/>
  <c r="E116" i="27"/>
  <c r="G115" i="27"/>
  <c r="K111" i="6"/>
  <c r="F115" i="27"/>
  <c r="E115" i="27"/>
  <c r="G114" i="27"/>
  <c r="K110" i="6"/>
  <c r="F114" i="27"/>
  <c r="E114" i="27"/>
  <c r="G113" i="27"/>
  <c r="K109" i="6"/>
  <c r="F113" i="27"/>
  <c r="E113" i="27"/>
  <c r="G112" i="27"/>
  <c r="K108" i="6"/>
  <c r="F112" i="27"/>
  <c r="E112" i="27"/>
  <c r="G111" i="27"/>
  <c r="K107" i="6"/>
  <c r="F111" i="27"/>
  <c r="E111" i="27"/>
  <c r="G110" i="27"/>
  <c r="K106" i="6"/>
  <c r="F110" i="27"/>
  <c r="E110" i="27"/>
  <c r="G109" i="27"/>
  <c r="K105" i="6"/>
  <c r="F109" i="27"/>
  <c r="E109" i="27"/>
  <c r="G108" i="27"/>
  <c r="K104" i="6"/>
  <c r="F108" i="27"/>
  <c r="E108" i="27"/>
  <c r="G107" i="27"/>
  <c r="K103" i="6"/>
  <c r="F107" i="27"/>
  <c r="E107" i="27"/>
  <c r="G106" i="27"/>
  <c r="K102" i="6"/>
  <c r="F106" i="27"/>
  <c r="E106" i="27"/>
  <c r="G105" i="27"/>
  <c r="K101" i="6"/>
  <c r="F105" i="27"/>
  <c r="E105" i="27"/>
  <c r="G104" i="27"/>
  <c r="K100" i="6"/>
  <c r="F104" i="27"/>
  <c r="E104" i="27"/>
  <c r="G103" i="27"/>
  <c r="K99" i="6"/>
  <c r="F103" i="27"/>
  <c r="E103" i="27"/>
  <c r="G102" i="27"/>
  <c r="K98" i="6"/>
  <c r="F102" i="27"/>
  <c r="E102" i="27"/>
  <c r="G101" i="27"/>
  <c r="K97" i="6"/>
  <c r="F101" i="27"/>
  <c r="E101" i="27"/>
  <c r="G100" i="27"/>
  <c r="K96" i="6"/>
  <c r="F100" i="27"/>
  <c r="E100" i="27"/>
  <c r="G99" i="27"/>
  <c r="K95" i="6"/>
  <c r="F99" i="27"/>
  <c r="E99" i="27"/>
  <c r="G98" i="27"/>
  <c r="K94" i="6"/>
  <c r="F98" i="27"/>
  <c r="E98" i="27"/>
  <c r="G97" i="27"/>
  <c r="K93" i="6"/>
  <c r="F97" i="27"/>
  <c r="E97" i="27"/>
  <c r="G96" i="27"/>
  <c r="K92" i="6"/>
  <c r="F96" i="27"/>
  <c r="E96" i="27"/>
  <c r="G95" i="27"/>
  <c r="K91" i="6"/>
  <c r="F95" i="27"/>
  <c r="E95" i="27"/>
  <c r="G94" i="27"/>
  <c r="K90" i="6"/>
  <c r="F94" i="27"/>
  <c r="E94" i="27"/>
  <c r="G93" i="27"/>
  <c r="K89" i="6"/>
  <c r="F93" i="27"/>
  <c r="E93" i="27"/>
  <c r="G92" i="27"/>
  <c r="K88" i="6"/>
  <c r="F92" i="27"/>
  <c r="E92" i="27"/>
  <c r="G91" i="27"/>
  <c r="K87" i="6"/>
  <c r="F91" i="27"/>
  <c r="E91" i="27"/>
  <c r="G90" i="27"/>
  <c r="K86" i="6"/>
  <c r="F90" i="27"/>
  <c r="E90" i="27"/>
  <c r="G89" i="27"/>
  <c r="K85" i="6"/>
  <c r="F89" i="27"/>
  <c r="E89" i="27"/>
  <c r="G88" i="27"/>
  <c r="K84" i="6"/>
  <c r="F88" i="27"/>
  <c r="E88" i="27"/>
  <c r="G87" i="27"/>
  <c r="K83" i="6"/>
  <c r="F87" i="27"/>
  <c r="E87" i="27"/>
  <c r="G86" i="27"/>
  <c r="K82" i="6"/>
  <c r="F86" i="27"/>
  <c r="E86" i="27"/>
  <c r="G85" i="27"/>
  <c r="K81" i="6"/>
  <c r="F85" i="27"/>
  <c r="E85" i="27"/>
  <c r="G84" i="27"/>
  <c r="K80" i="6"/>
  <c r="F84" i="27"/>
  <c r="E84" i="27"/>
  <c r="G83" i="27"/>
  <c r="K79" i="6"/>
  <c r="F83" i="27"/>
  <c r="E83" i="27"/>
  <c r="G82" i="27"/>
  <c r="K78" i="6"/>
  <c r="F82" i="27"/>
  <c r="E82" i="27"/>
  <c r="G81" i="27"/>
  <c r="K77" i="6"/>
  <c r="F81" i="27"/>
  <c r="E81" i="27"/>
  <c r="G80" i="27"/>
  <c r="K76" i="6"/>
  <c r="F80" i="27"/>
  <c r="E80" i="27"/>
  <c r="G79" i="27"/>
  <c r="K75" i="6"/>
  <c r="F79" i="27"/>
  <c r="E79" i="27"/>
  <c r="G78" i="27"/>
  <c r="K74" i="6"/>
  <c r="F78" i="27"/>
  <c r="E78" i="27"/>
  <c r="G77" i="27"/>
  <c r="K73" i="6"/>
  <c r="F77" i="27"/>
  <c r="E77" i="27"/>
  <c r="G76" i="27"/>
  <c r="K72" i="6"/>
  <c r="F76" i="27"/>
  <c r="E76" i="27"/>
  <c r="G75" i="27"/>
  <c r="K71" i="6"/>
  <c r="F75" i="27"/>
  <c r="E75" i="27"/>
  <c r="G74" i="27"/>
  <c r="K70" i="6"/>
  <c r="F74" i="27"/>
  <c r="E74" i="27"/>
  <c r="G73" i="27"/>
  <c r="K69" i="6"/>
  <c r="F73" i="27"/>
  <c r="E73" i="27"/>
  <c r="G72" i="27"/>
  <c r="K68" i="6"/>
  <c r="F72" i="27"/>
  <c r="E72" i="27"/>
  <c r="G71" i="27"/>
  <c r="K67" i="6"/>
  <c r="F71" i="27"/>
  <c r="E71" i="27"/>
  <c r="G70" i="27"/>
  <c r="K66" i="6"/>
  <c r="F70" i="27"/>
  <c r="E70" i="27"/>
  <c r="G69" i="27"/>
  <c r="K65" i="6"/>
  <c r="F69" i="27"/>
  <c r="E69" i="27"/>
  <c r="G68" i="27"/>
  <c r="K64" i="6"/>
  <c r="F68" i="27"/>
  <c r="E68" i="27"/>
  <c r="G67" i="27"/>
  <c r="K63" i="6"/>
  <c r="F67" i="27"/>
  <c r="E67" i="27"/>
  <c r="G66" i="27"/>
  <c r="K62" i="6"/>
  <c r="F66" i="27"/>
  <c r="E66" i="27"/>
  <c r="G65" i="27"/>
  <c r="K61" i="6"/>
  <c r="F65" i="27"/>
  <c r="E65" i="27"/>
  <c r="G64" i="27"/>
  <c r="K60" i="6"/>
  <c r="F64" i="27"/>
  <c r="E64" i="27"/>
  <c r="G63" i="27"/>
  <c r="K59" i="6"/>
  <c r="F63" i="27"/>
  <c r="E63" i="27"/>
  <c r="G62" i="27"/>
  <c r="K58" i="6"/>
  <c r="F62" i="27"/>
  <c r="E62" i="27"/>
  <c r="G61" i="27"/>
  <c r="K57" i="6"/>
  <c r="F61" i="27"/>
  <c r="E61" i="27"/>
  <c r="G60" i="27"/>
  <c r="K56" i="6"/>
  <c r="F60" i="27"/>
  <c r="E60" i="27"/>
  <c r="G59" i="27"/>
  <c r="K55" i="6"/>
  <c r="F59" i="27"/>
  <c r="E59" i="27"/>
  <c r="G58" i="27"/>
  <c r="K54" i="6"/>
  <c r="F58" i="27"/>
  <c r="E58" i="27"/>
  <c r="G57" i="27"/>
  <c r="K53" i="6"/>
  <c r="F57" i="27"/>
  <c r="E57" i="27"/>
  <c r="G56" i="27"/>
  <c r="K52" i="6"/>
  <c r="F56" i="27"/>
  <c r="E56" i="27"/>
  <c r="G55" i="27"/>
  <c r="K51" i="6"/>
  <c r="F55" i="27"/>
  <c r="E55" i="27"/>
  <c r="G54" i="27"/>
  <c r="K50" i="6"/>
  <c r="F54" i="27"/>
  <c r="E54" i="27"/>
  <c r="G53" i="27"/>
  <c r="K49" i="6"/>
  <c r="F53" i="27"/>
  <c r="E53" i="27"/>
  <c r="G52" i="27"/>
  <c r="K48" i="6"/>
  <c r="F52" i="27"/>
  <c r="E52" i="27"/>
  <c r="G51" i="27"/>
  <c r="K47" i="6"/>
  <c r="F51" i="27"/>
  <c r="E51" i="27"/>
  <c r="G50" i="27"/>
  <c r="K46" i="6"/>
  <c r="F50" i="27"/>
  <c r="E50" i="27"/>
  <c r="G49" i="27"/>
  <c r="K45" i="6"/>
  <c r="F49" i="27"/>
  <c r="E49" i="27"/>
  <c r="G48" i="27"/>
  <c r="K44" i="6"/>
  <c r="F48" i="27"/>
  <c r="E48" i="27"/>
  <c r="G47" i="27"/>
  <c r="K43" i="6"/>
  <c r="F47" i="27"/>
  <c r="E47" i="27"/>
  <c r="G46" i="27"/>
  <c r="K42" i="6"/>
  <c r="F46" i="27"/>
  <c r="E46" i="27"/>
  <c r="G45" i="27"/>
  <c r="K41" i="6"/>
  <c r="F45" i="27"/>
  <c r="E45" i="27"/>
  <c r="G44" i="27"/>
  <c r="K40" i="6"/>
  <c r="F44" i="27"/>
  <c r="E44" i="27"/>
  <c r="G43" i="27"/>
  <c r="K39" i="6"/>
  <c r="F43" i="27"/>
  <c r="E43" i="27"/>
  <c r="G42" i="27"/>
  <c r="K38" i="6"/>
  <c r="F42" i="27"/>
  <c r="E42" i="27"/>
  <c r="G41" i="27"/>
  <c r="K37" i="6"/>
  <c r="F41" i="27"/>
  <c r="E41" i="27"/>
  <c r="G40" i="27"/>
  <c r="K36" i="6"/>
  <c r="F40" i="27"/>
  <c r="E40" i="27"/>
  <c r="G39" i="27"/>
  <c r="K35" i="6"/>
  <c r="F39" i="27"/>
  <c r="E39" i="27"/>
  <c r="G38" i="27"/>
  <c r="K34" i="6"/>
  <c r="F38" i="27"/>
  <c r="E38" i="27"/>
  <c r="G37" i="27"/>
  <c r="K33" i="6"/>
  <c r="F37" i="27"/>
  <c r="E37" i="27"/>
  <c r="G36" i="27"/>
  <c r="K32" i="6"/>
  <c r="F36" i="27"/>
  <c r="E36" i="27"/>
  <c r="G35" i="27"/>
  <c r="K31" i="6"/>
  <c r="F35" i="27"/>
  <c r="E35" i="27"/>
  <c r="G34" i="27"/>
  <c r="K30" i="6"/>
  <c r="F34" i="27"/>
  <c r="E34" i="27"/>
  <c r="G33" i="27"/>
  <c r="K29" i="6"/>
  <c r="F33" i="27"/>
  <c r="E33" i="27"/>
  <c r="G32" i="27"/>
  <c r="K28" i="6"/>
  <c r="F32" i="27"/>
  <c r="E32" i="27"/>
  <c r="G31" i="27"/>
  <c r="K27" i="6"/>
  <c r="F31" i="27"/>
  <c r="E31" i="27"/>
  <c r="G30" i="27"/>
  <c r="K26" i="6"/>
  <c r="F30" i="27"/>
  <c r="E30" i="27"/>
  <c r="G29" i="27"/>
  <c r="K25" i="6"/>
  <c r="F29" i="27"/>
  <c r="E29" i="27"/>
  <c r="G28" i="27"/>
  <c r="K24" i="6"/>
  <c r="F28" i="27"/>
  <c r="E28" i="27"/>
  <c r="G27" i="27"/>
  <c r="K23" i="6"/>
  <c r="F27" i="27"/>
  <c r="E27" i="27"/>
  <c r="G26" i="27"/>
  <c r="K22" i="6"/>
  <c r="F26" i="27"/>
  <c r="E26" i="27"/>
  <c r="G25" i="27"/>
  <c r="K21" i="6"/>
  <c r="F25" i="27"/>
  <c r="E25" i="27"/>
  <c r="G24" i="27"/>
  <c r="K20" i="6"/>
  <c r="F24" i="27"/>
  <c r="E24" i="27"/>
  <c r="G23" i="27"/>
  <c r="K19" i="6"/>
  <c r="F23" i="27"/>
  <c r="E23" i="27"/>
  <c r="G22" i="27"/>
  <c r="K18" i="6"/>
  <c r="F22" i="27"/>
  <c r="E22" i="27"/>
  <c r="G21" i="27"/>
  <c r="K17" i="6"/>
  <c r="F21" i="27"/>
  <c r="E21" i="27"/>
  <c r="G20" i="27"/>
  <c r="K16" i="6"/>
  <c r="F20" i="27"/>
  <c r="E20" i="27"/>
  <c r="G19" i="27"/>
  <c r="K15" i="6"/>
  <c r="F19" i="27"/>
  <c r="E19" i="27"/>
  <c r="G18" i="27"/>
  <c r="K14" i="6"/>
  <c r="F18" i="27"/>
  <c r="E18" i="27"/>
  <c r="G17" i="27"/>
  <c r="K13" i="6"/>
  <c r="F17" i="27"/>
  <c r="E17" i="27"/>
  <c r="G16" i="27"/>
  <c r="K12" i="6"/>
  <c r="F16" i="27"/>
  <c r="E16" i="27"/>
  <c r="G15" i="27"/>
  <c r="K11" i="6"/>
  <c r="F15" i="27"/>
  <c r="E15" i="27"/>
  <c r="G14" i="27"/>
  <c r="K10" i="6"/>
  <c r="F14" i="27"/>
  <c r="E14" i="27"/>
  <c r="G13" i="27"/>
  <c r="K9" i="6"/>
  <c r="F13" i="27"/>
  <c r="E13" i="27"/>
  <c r="G12" i="27"/>
  <c r="K8" i="6"/>
  <c r="F12" i="27"/>
  <c r="E12" i="27"/>
  <c r="G11" i="27"/>
  <c r="K7" i="6"/>
  <c r="F11" i="27"/>
  <c r="E11" i="27"/>
  <c r="G10" i="27"/>
  <c r="K6" i="6"/>
  <c r="F10" i="27"/>
  <c r="E10" i="27"/>
  <c r="G9" i="27"/>
  <c r="K5" i="6"/>
  <c r="F9" i="27"/>
  <c r="E9" i="27"/>
  <c r="G8" i="27"/>
  <c r="K4" i="6"/>
  <c r="F8" i="27"/>
  <c r="E8" i="27"/>
  <c r="G2" i="27"/>
  <c r="G397" i="26"/>
  <c r="F397" i="26"/>
  <c r="E397" i="26"/>
  <c r="G396" i="26"/>
  <c r="F396" i="26"/>
  <c r="E396" i="26"/>
  <c r="G395" i="26"/>
  <c r="F395" i="26"/>
  <c r="E395" i="26"/>
  <c r="G394" i="26"/>
  <c r="F394" i="26"/>
  <c r="E394" i="26"/>
  <c r="G393" i="26"/>
  <c r="F393" i="26"/>
  <c r="E393" i="26"/>
  <c r="G392" i="26"/>
  <c r="F392" i="26"/>
  <c r="E392" i="26"/>
  <c r="G391" i="26"/>
  <c r="F391" i="26"/>
  <c r="E391" i="26"/>
  <c r="G390" i="26"/>
  <c r="F390" i="26"/>
  <c r="E390" i="26"/>
  <c r="G389" i="26"/>
  <c r="F389" i="26"/>
  <c r="E389" i="26"/>
  <c r="G388" i="26"/>
  <c r="F388" i="26"/>
  <c r="E388" i="26"/>
  <c r="G387" i="26"/>
  <c r="F387" i="26"/>
  <c r="E387" i="26"/>
  <c r="G386" i="26"/>
  <c r="F386" i="26"/>
  <c r="E386" i="26"/>
  <c r="G385" i="26"/>
  <c r="F385" i="26"/>
  <c r="E385" i="26"/>
  <c r="G384" i="26"/>
  <c r="F384" i="26"/>
  <c r="E384" i="26"/>
  <c r="G383" i="26"/>
  <c r="F383" i="26"/>
  <c r="E383" i="26"/>
  <c r="G382" i="26"/>
  <c r="F382" i="26"/>
  <c r="E382" i="26"/>
  <c r="G381" i="26"/>
  <c r="F381" i="26"/>
  <c r="E381" i="26"/>
  <c r="G380" i="26"/>
  <c r="F380" i="26"/>
  <c r="E380" i="26"/>
  <c r="G379" i="26"/>
  <c r="F379" i="26"/>
  <c r="E379" i="26"/>
  <c r="G378" i="26"/>
  <c r="F378" i="26"/>
  <c r="E378" i="26"/>
  <c r="G377" i="26"/>
  <c r="F377" i="26"/>
  <c r="E377" i="26"/>
  <c r="G376" i="26"/>
  <c r="F376" i="26"/>
  <c r="E376" i="26"/>
  <c r="G375" i="26"/>
  <c r="F375" i="26"/>
  <c r="E375" i="26"/>
  <c r="G374" i="26"/>
  <c r="F374" i="26"/>
  <c r="E374" i="26"/>
  <c r="G373" i="26"/>
  <c r="F373" i="26"/>
  <c r="E373" i="26"/>
  <c r="G372" i="26"/>
  <c r="F372" i="26"/>
  <c r="E372" i="26"/>
  <c r="G371" i="26"/>
  <c r="F371" i="26"/>
  <c r="E371" i="26"/>
  <c r="G370" i="26"/>
  <c r="F370" i="26"/>
  <c r="E370" i="26"/>
  <c r="G369" i="26"/>
  <c r="F369" i="26"/>
  <c r="E369" i="26"/>
  <c r="G368" i="26"/>
  <c r="F368" i="26"/>
  <c r="E368" i="26"/>
  <c r="G367" i="26"/>
  <c r="F367" i="26"/>
  <c r="E367" i="26"/>
  <c r="G366" i="26"/>
  <c r="F366" i="26"/>
  <c r="E366" i="26"/>
  <c r="G365" i="26"/>
  <c r="F365" i="26"/>
  <c r="E365" i="26"/>
  <c r="G364" i="26"/>
  <c r="F364" i="26"/>
  <c r="E364" i="26"/>
  <c r="G363" i="26"/>
  <c r="F363" i="26"/>
  <c r="E363" i="26"/>
  <c r="G362" i="26"/>
  <c r="F362" i="26"/>
  <c r="E362" i="26"/>
  <c r="G361" i="26"/>
  <c r="F361" i="26"/>
  <c r="E361" i="26"/>
  <c r="G360" i="26"/>
  <c r="F360" i="26"/>
  <c r="E360" i="26"/>
  <c r="G359" i="26"/>
  <c r="F359" i="26"/>
  <c r="E359" i="26"/>
  <c r="G358" i="26"/>
  <c r="F358" i="26"/>
  <c r="E358" i="26"/>
  <c r="G357" i="26"/>
  <c r="F357" i="26"/>
  <c r="E357" i="26"/>
  <c r="G356" i="26"/>
  <c r="F356" i="26"/>
  <c r="E356" i="26"/>
  <c r="G355" i="26"/>
  <c r="F355" i="26"/>
  <c r="E355" i="26"/>
  <c r="G354" i="26"/>
  <c r="F354" i="26"/>
  <c r="E354" i="26"/>
  <c r="G353" i="26"/>
  <c r="F353" i="26"/>
  <c r="E353" i="26"/>
  <c r="G352" i="26"/>
  <c r="F352" i="26"/>
  <c r="E352" i="26"/>
  <c r="G351" i="26"/>
  <c r="F351" i="26"/>
  <c r="E351" i="26"/>
  <c r="G350" i="26"/>
  <c r="F350" i="26"/>
  <c r="E350" i="26"/>
  <c r="G349" i="26"/>
  <c r="F349" i="26"/>
  <c r="E349" i="26"/>
  <c r="G348" i="26"/>
  <c r="F348" i="26"/>
  <c r="E348" i="26"/>
  <c r="G347" i="26"/>
  <c r="F347" i="26"/>
  <c r="E347" i="26"/>
  <c r="G346" i="26"/>
  <c r="F346" i="26"/>
  <c r="E346" i="26"/>
  <c r="G345" i="26"/>
  <c r="F345" i="26"/>
  <c r="E345" i="26"/>
  <c r="G344" i="26"/>
  <c r="F344" i="26"/>
  <c r="E344" i="26"/>
  <c r="G343" i="26"/>
  <c r="F343" i="26"/>
  <c r="E343" i="26"/>
  <c r="G342" i="26"/>
  <c r="F342" i="26"/>
  <c r="E342" i="26"/>
  <c r="G341" i="26"/>
  <c r="F341" i="26"/>
  <c r="E341" i="26"/>
  <c r="G340" i="26"/>
  <c r="F340" i="26"/>
  <c r="E340" i="26"/>
  <c r="G339" i="26"/>
  <c r="F339" i="26"/>
  <c r="E339" i="26"/>
  <c r="G338" i="26"/>
  <c r="F338" i="26"/>
  <c r="E338" i="26"/>
  <c r="G337" i="26"/>
  <c r="F337" i="26"/>
  <c r="E337" i="26"/>
  <c r="G336" i="26"/>
  <c r="F336" i="26"/>
  <c r="E336" i="26"/>
  <c r="G335" i="26"/>
  <c r="F335" i="26"/>
  <c r="E335" i="26"/>
  <c r="G334" i="26"/>
  <c r="F334" i="26"/>
  <c r="E334" i="26"/>
  <c r="G333" i="26"/>
  <c r="F333" i="26"/>
  <c r="E333" i="26"/>
  <c r="G332" i="26"/>
  <c r="F332" i="26"/>
  <c r="E332" i="26"/>
  <c r="G331" i="26"/>
  <c r="F331" i="26"/>
  <c r="E331" i="26"/>
  <c r="G330" i="26"/>
  <c r="F330" i="26"/>
  <c r="E330" i="26"/>
  <c r="G329" i="26"/>
  <c r="F329" i="26"/>
  <c r="E329" i="26"/>
  <c r="G328" i="26"/>
  <c r="F328" i="26"/>
  <c r="E328" i="26"/>
  <c r="G327" i="26"/>
  <c r="F327" i="26"/>
  <c r="E327" i="26"/>
  <c r="G326" i="26"/>
  <c r="F326" i="26"/>
  <c r="E326" i="26"/>
  <c r="G325" i="26"/>
  <c r="F325" i="26"/>
  <c r="E325" i="26"/>
  <c r="G324" i="26"/>
  <c r="F324" i="26"/>
  <c r="E324" i="26"/>
  <c r="G323" i="26"/>
  <c r="F323" i="26"/>
  <c r="E323" i="26"/>
  <c r="G322" i="26"/>
  <c r="F322" i="26"/>
  <c r="E322" i="26"/>
  <c r="G321" i="26"/>
  <c r="F321" i="26"/>
  <c r="E321" i="26"/>
  <c r="G320" i="26"/>
  <c r="F320" i="26"/>
  <c r="E320" i="26"/>
  <c r="G319" i="26"/>
  <c r="F319" i="26"/>
  <c r="E319" i="26"/>
  <c r="G318" i="26"/>
  <c r="F318" i="26"/>
  <c r="E318" i="26"/>
  <c r="G317" i="26"/>
  <c r="F317" i="26"/>
  <c r="E317" i="26"/>
  <c r="G316" i="26"/>
  <c r="F316" i="26"/>
  <c r="E316" i="26"/>
  <c r="G315" i="26"/>
  <c r="F315" i="26"/>
  <c r="E315" i="26"/>
  <c r="G314" i="26"/>
  <c r="F314" i="26"/>
  <c r="E314" i="26"/>
  <c r="G313" i="26"/>
  <c r="F313" i="26"/>
  <c r="E313" i="26"/>
  <c r="G312" i="26"/>
  <c r="F312" i="26"/>
  <c r="E312" i="26"/>
  <c r="G311" i="26"/>
  <c r="F311" i="26"/>
  <c r="E311" i="26"/>
  <c r="G310" i="26"/>
  <c r="F310" i="26"/>
  <c r="E310" i="26"/>
  <c r="G309" i="26"/>
  <c r="F309" i="26"/>
  <c r="E309" i="26"/>
  <c r="G308" i="26"/>
  <c r="F308" i="26"/>
  <c r="E308" i="26"/>
  <c r="G307" i="26"/>
  <c r="F307" i="26"/>
  <c r="E307" i="26"/>
  <c r="G306" i="26"/>
  <c r="F306" i="26"/>
  <c r="E306" i="26"/>
  <c r="G305" i="26"/>
  <c r="F305" i="26"/>
  <c r="E305" i="26"/>
  <c r="G304" i="26"/>
  <c r="F304" i="26"/>
  <c r="E304" i="26"/>
  <c r="G303" i="26"/>
  <c r="F303" i="26"/>
  <c r="E303" i="26"/>
  <c r="G302" i="26"/>
  <c r="F302" i="26"/>
  <c r="E302" i="26"/>
  <c r="G301" i="26"/>
  <c r="F301" i="26"/>
  <c r="E301" i="26"/>
  <c r="G300" i="26"/>
  <c r="F300" i="26"/>
  <c r="E300" i="26"/>
  <c r="G299" i="26"/>
  <c r="F299" i="26"/>
  <c r="E299" i="26"/>
  <c r="G298" i="26"/>
  <c r="F298" i="26"/>
  <c r="E298" i="26"/>
  <c r="G297" i="26"/>
  <c r="F297" i="26"/>
  <c r="E297" i="26"/>
  <c r="G296" i="26"/>
  <c r="F296" i="26"/>
  <c r="E296" i="26"/>
  <c r="G295" i="26"/>
  <c r="F295" i="26"/>
  <c r="E295" i="26"/>
  <c r="G294" i="26"/>
  <c r="F294" i="26"/>
  <c r="E294" i="26"/>
  <c r="G293" i="26"/>
  <c r="F293" i="26"/>
  <c r="E293" i="26"/>
  <c r="G292" i="26"/>
  <c r="F292" i="26"/>
  <c r="E292" i="26"/>
  <c r="G291" i="26"/>
  <c r="F291" i="26"/>
  <c r="E291" i="26"/>
  <c r="G290" i="26"/>
  <c r="F290" i="26"/>
  <c r="E290" i="26"/>
  <c r="G289" i="26"/>
  <c r="F289" i="26"/>
  <c r="E289" i="26"/>
  <c r="G288" i="26"/>
  <c r="F288" i="26"/>
  <c r="E288" i="26"/>
  <c r="G287" i="26"/>
  <c r="F287" i="26"/>
  <c r="E287" i="26"/>
  <c r="G286" i="26"/>
  <c r="F286" i="26"/>
  <c r="E286" i="26"/>
  <c r="G285" i="26"/>
  <c r="F285" i="26"/>
  <c r="E285" i="26"/>
  <c r="G284" i="26"/>
  <c r="F284" i="26"/>
  <c r="E284" i="26"/>
  <c r="G283" i="26"/>
  <c r="F283" i="26"/>
  <c r="E283" i="26"/>
  <c r="G282" i="26"/>
  <c r="F282" i="26"/>
  <c r="E282" i="26"/>
  <c r="G281" i="26"/>
  <c r="F281" i="26"/>
  <c r="E281" i="26"/>
  <c r="G280" i="26"/>
  <c r="F280" i="26"/>
  <c r="E280" i="26"/>
  <c r="G279" i="26"/>
  <c r="F279" i="26"/>
  <c r="E279" i="26"/>
  <c r="G278" i="26"/>
  <c r="F278" i="26"/>
  <c r="E278" i="26"/>
  <c r="G277" i="26"/>
  <c r="F277" i="26"/>
  <c r="E277" i="26"/>
  <c r="G276" i="26"/>
  <c r="F276" i="26"/>
  <c r="E276" i="26"/>
  <c r="G275" i="26"/>
  <c r="F275" i="26"/>
  <c r="E275" i="26"/>
  <c r="G274" i="26"/>
  <c r="F274" i="26"/>
  <c r="E274" i="26"/>
  <c r="G273" i="26"/>
  <c r="F273" i="26"/>
  <c r="E273" i="26"/>
  <c r="F272" i="26"/>
  <c r="G272" i="26" s="1"/>
  <c r="J268" i="6" s="1"/>
  <c r="E272" i="26"/>
  <c r="G271" i="26"/>
  <c r="J267" i="6" s="1"/>
  <c r="F271" i="26"/>
  <c r="E271" i="26"/>
  <c r="G270" i="26"/>
  <c r="J266" i="6" s="1"/>
  <c r="F270" i="26"/>
  <c r="E270" i="26"/>
  <c r="G269" i="26"/>
  <c r="J265" i="6" s="1"/>
  <c r="F269" i="26"/>
  <c r="E269" i="26"/>
  <c r="G268" i="26"/>
  <c r="J264" i="6" s="1"/>
  <c r="F268" i="26"/>
  <c r="E268" i="26"/>
  <c r="F267" i="26"/>
  <c r="G267" i="26" s="1"/>
  <c r="J263" i="6" s="1"/>
  <c r="E267" i="26"/>
  <c r="F266" i="26"/>
  <c r="G266" i="26" s="1"/>
  <c r="J262" i="6" s="1"/>
  <c r="H262" i="6" s="1"/>
  <c r="E266" i="26"/>
  <c r="G265" i="26"/>
  <c r="J261" i="6" s="1"/>
  <c r="F265" i="26"/>
  <c r="E265" i="26"/>
  <c r="G264" i="26"/>
  <c r="J260" i="6" s="1"/>
  <c r="H260" i="6" s="1"/>
  <c r="F264" i="26"/>
  <c r="E264" i="26"/>
  <c r="F263" i="26"/>
  <c r="G263" i="26" s="1"/>
  <c r="J259" i="6" s="1"/>
  <c r="E263" i="26"/>
  <c r="F262" i="26"/>
  <c r="G262" i="26" s="1"/>
  <c r="J258" i="6" s="1"/>
  <c r="E262" i="26"/>
  <c r="G261" i="26"/>
  <c r="J257" i="6" s="1"/>
  <c r="F261" i="26"/>
  <c r="E261" i="26"/>
  <c r="G260" i="26"/>
  <c r="J256" i="6" s="1"/>
  <c r="F260" i="26"/>
  <c r="E260" i="26"/>
  <c r="F259" i="26"/>
  <c r="G259" i="26" s="1"/>
  <c r="J255" i="6" s="1"/>
  <c r="E259" i="26"/>
  <c r="F258" i="26"/>
  <c r="G258" i="26" s="1"/>
  <c r="J254" i="6" s="1"/>
  <c r="H254" i="6" s="1"/>
  <c r="E258" i="26"/>
  <c r="G257" i="26"/>
  <c r="J253" i="6" s="1"/>
  <c r="F257" i="26"/>
  <c r="E257" i="26"/>
  <c r="G256" i="26"/>
  <c r="J252" i="6" s="1"/>
  <c r="F256" i="26"/>
  <c r="E256" i="26"/>
  <c r="F255" i="26"/>
  <c r="G255" i="26" s="1"/>
  <c r="J251" i="6" s="1"/>
  <c r="E255" i="26"/>
  <c r="F254" i="26"/>
  <c r="G254" i="26" s="1"/>
  <c r="J250" i="6" s="1"/>
  <c r="H250" i="6" s="1"/>
  <c r="E254" i="26"/>
  <c r="G253" i="26"/>
  <c r="J249" i="6" s="1"/>
  <c r="F253" i="26"/>
  <c r="E253" i="26"/>
  <c r="G252" i="26"/>
  <c r="J248" i="6" s="1"/>
  <c r="F252" i="26"/>
  <c r="E252" i="26"/>
  <c r="F251" i="26"/>
  <c r="G251" i="26" s="1"/>
  <c r="J247" i="6" s="1"/>
  <c r="E251" i="26"/>
  <c r="F250" i="26"/>
  <c r="G250" i="26" s="1"/>
  <c r="J246" i="6" s="1"/>
  <c r="E250" i="26"/>
  <c r="G249" i="26"/>
  <c r="J245" i="6" s="1"/>
  <c r="F249" i="26"/>
  <c r="E249" i="26"/>
  <c r="G248" i="26"/>
  <c r="J244" i="6" s="1"/>
  <c r="H244" i="6" s="1"/>
  <c r="F248" i="26"/>
  <c r="E248" i="26"/>
  <c r="F247" i="26"/>
  <c r="G247" i="26" s="1"/>
  <c r="J243" i="6" s="1"/>
  <c r="E247" i="26"/>
  <c r="F246" i="26"/>
  <c r="G246" i="26" s="1"/>
  <c r="J242" i="6" s="1"/>
  <c r="E246" i="26"/>
  <c r="G245" i="26"/>
  <c r="J241" i="6" s="1"/>
  <c r="F245" i="26"/>
  <c r="E245" i="26"/>
  <c r="F244" i="26"/>
  <c r="G244" i="26" s="1"/>
  <c r="J240" i="6" s="1"/>
  <c r="H240" i="6" s="1"/>
  <c r="E244" i="26"/>
  <c r="G243" i="26"/>
  <c r="J239" i="6" s="1"/>
  <c r="F243" i="26"/>
  <c r="E243" i="26"/>
  <c r="G242" i="26"/>
  <c r="J238" i="6" s="1"/>
  <c r="H238" i="6" s="1"/>
  <c r="F242" i="26"/>
  <c r="E242" i="26"/>
  <c r="F241" i="26"/>
  <c r="G241" i="26" s="1"/>
  <c r="J237" i="6" s="1"/>
  <c r="E241" i="26"/>
  <c r="F240" i="26"/>
  <c r="G240" i="26" s="1"/>
  <c r="J236" i="6" s="1"/>
  <c r="H236" i="6" s="1"/>
  <c r="E240" i="26"/>
  <c r="G239" i="26"/>
  <c r="J235" i="6" s="1"/>
  <c r="F239" i="26"/>
  <c r="E239" i="26"/>
  <c r="F238" i="26"/>
  <c r="G238" i="26" s="1"/>
  <c r="J234" i="6" s="1"/>
  <c r="E238" i="26"/>
  <c r="F237" i="26"/>
  <c r="G237" i="26" s="1"/>
  <c r="J233" i="6" s="1"/>
  <c r="E237" i="26"/>
  <c r="F236" i="26"/>
  <c r="G236" i="26" s="1"/>
  <c r="J232" i="6" s="1"/>
  <c r="E236" i="26"/>
  <c r="G235" i="26"/>
  <c r="J231" i="6" s="1"/>
  <c r="F235" i="26"/>
  <c r="E235" i="26"/>
  <c r="F234" i="26"/>
  <c r="G234" i="26" s="1"/>
  <c r="J230" i="6" s="1"/>
  <c r="H230" i="6" s="1"/>
  <c r="E234" i="26"/>
  <c r="F233" i="26"/>
  <c r="G233" i="26" s="1"/>
  <c r="J229" i="6" s="1"/>
  <c r="E233" i="26"/>
  <c r="F232" i="26"/>
  <c r="G232" i="26" s="1"/>
  <c r="J228" i="6" s="1"/>
  <c r="H228" i="6" s="1"/>
  <c r="E232" i="26"/>
  <c r="F231" i="26"/>
  <c r="G231" i="26" s="1"/>
  <c r="J227" i="6" s="1"/>
  <c r="E231" i="26"/>
  <c r="F230" i="26"/>
  <c r="G230" i="26" s="1"/>
  <c r="J226" i="6" s="1"/>
  <c r="E230" i="26"/>
  <c r="G229" i="26"/>
  <c r="J225" i="6" s="1"/>
  <c r="F229" i="26"/>
  <c r="E229" i="26"/>
  <c r="F228" i="26"/>
  <c r="G228" i="26" s="1"/>
  <c r="J224" i="6" s="1"/>
  <c r="E228" i="26"/>
  <c r="G227" i="26"/>
  <c r="J223" i="6" s="1"/>
  <c r="F227" i="26"/>
  <c r="E227" i="26"/>
  <c r="F226" i="26"/>
  <c r="G226" i="26" s="1"/>
  <c r="J222" i="6" s="1"/>
  <c r="H222" i="6" s="1"/>
  <c r="E226" i="26"/>
  <c r="F225" i="26"/>
  <c r="G225" i="26" s="1"/>
  <c r="J221" i="6" s="1"/>
  <c r="E225" i="26"/>
  <c r="F224" i="26"/>
  <c r="G224" i="26" s="1"/>
  <c r="J220" i="6" s="1"/>
  <c r="H220" i="6" s="1"/>
  <c r="E224" i="26"/>
  <c r="F223" i="26"/>
  <c r="G223" i="26" s="1"/>
  <c r="J219" i="6" s="1"/>
  <c r="E223" i="26"/>
  <c r="G222" i="26"/>
  <c r="J218" i="6" s="1"/>
  <c r="F222" i="26"/>
  <c r="E222" i="26"/>
  <c r="F221" i="26"/>
  <c r="G221" i="26" s="1"/>
  <c r="J217" i="6" s="1"/>
  <c r="E221" i="26"/>
  <c r="F220" i="26"/>
  <c r="G220" i="26" s="1"/>
  <c r="J216" i="6" s="1"/>
  <c r="H216" i="6" s="1"/>
  <c r="E220" i="26"/>
  <c r="F219" i="26"/>
  <c r="G219" i="26" s="1"/>
  <c r="J215" i="6" s="1"/>
  <c r="E219" i="26"/>
  <c r="F218" i="26"/>
  <c r="G218" i="26" s="1"/>
  <c r="J214" i="6" s="1"/>
  <c r="H214" i="6" s="1"/>
  <c r="E218" i="26"/>
  <c r="F217" i="26"/>
  <c r="G217" i="26" s="1"/>
  <c r="J213" i="6" s="1"/>
  <c r="E217" i="26"/>
  <c r="F216" i="26"/>
  <c r="G216" i="26" s="1"/>
  <c r="J212" i="6" s="1"/>
  <c r="H212" i="6" s="1"/>
  <c r="E216" i="26"/>
  <c r="F215" i="26"/>
  <c r="G215" i="26" s="1"/>
  <c r="J211" i="6" s="1"/>
  <c r="E215" i="26"/>
  <c r="F214" i="26"/>
  <c r="G214" i="26" s="1"/>
  <c r="J210" i="6" s="1"/>
  <c r="E214" i="26"/>
  <c r="F213" i="26"/>
  <c r="G213" i="26" s="1"/>
  <c r="J209" i="6" s="1"/>
  <c r="E213" i="26"/>
  <c r="F212" i="26"/>
  <c r="G212" i="26" s="1"/>
  <c r="J208" i="6" s="1"/>
  <c r="H208" i="6" s="1"/>
  <c r="E212" i="26"/>
  <c r="F211" i="26"/>
  <c r="G211" i="26" s="1"/>
  <c r="J207" i="6" s="1"/>
  <c r="E211" i="26"/>
  <c r="G210" i="26"/>
  <c r="J206" i="6"/>
  <c r="F210" i="26"/>
  <c r="E210" i="26"/>
  <c r="F209" i="26"/>
  <c r="G209" i="26" s="1"/>
  <c r="J205" i="6" s="1"/>
  <c r="E209" i="26"/>
  <c r="F208" i="26"/>
  <c r="G208" i="26" s="1"/>
  <c r="J204" i="6" s="1"/>
  <c r="E208" i="26"/>
  <c r="F207" i="26"/>
  <c r="G207" i="26" s="1"/>
  <c r="J203" i="6" s="1"/>
  <c r="E207" i="26"/>
  <c r="F206" i="26"/>
  <c r="G206" i="26" s="1"/>
  <c r="J202" i="6" s="1"/>
  <c r="E206" i="26"/>
  <c r="F205" i="26"/>
  <c r="G205" i="26" s="1"/>
  <c r="J201" i="6" s="1"/>
  <c r="H201" i="6" s="1"/>
  <c r="E205" i="26"/>
  <c r="F204" i="26"/>
  <c r="G204" i="26" s="1"/>
  <c r="J200" i="6" s="1"/>
  <c r="E204" i="26"/>
  <c r="F203" i="26"/>
  <c r="G203" i="26" s="1"/>
  <c r="J199" i="6" s="1"/>
  <c r="H199" i="6" s="1"/>
  <c r="E203" i="26"/>
  <c r="F202" i="26"/>
  <c r="G202" i="26" s="1"/>
  <c r="J198" i="6" s="1"/>
  <c r="E202" i="26"/>
  <c r="F201" i="26"/>
  <c r="G201" i="26" s="1"/>
  <c r="J197" i="6" s="1"/>
  <c r="E201" i="26"/>
  <c r="G200" i="26"/>
  <c r="J196" i="6"/>
  <c r="H196" i="6" s="1"/>
  <c r="F200" i="26"/>
  <c r="E200" i="26"/>
  <c r="G199" i="26"/>
  <c r="J195" i="6" s="1"/>
  <c r="F199" i="26"/>
  <c r="E199" i="26"/>
  <c r="F198" i="26"/>
  <c r="G198" i="26" s="1"/>
  <c r="J194" i="6" s="1"/>
  <c r="E198" i="26"/>
  <c r="G197" i="26"/>
  <c r="J193" i="6" s="1"/>
  <c r="F197" i="26"/>
  <c r="E197" i="26"/>
  <c r="F196" i="26"/>
  <c r="G196" i="26" s="1"/>
  <c r="J192" i="6" s="1"/>
  <c r="H192" i="6" s="1"/>
  <c r="E196" i="26"/>
  <c r="F195" i="26"/>
  <c r="G195" i="26" s="1"/>
  <c r="J191" i="6" s="1"/>
  <c r="E195" i="26"/>
  <c r="F194" i="26"/>
  <c r="G194" i="26" s="1"/>
  <c r="J190" i="6" s="1"/>
  <c r="E194" i="26"/>
  <c r="F193" i="26"/>
  <c r="G193" i="26" s="1"/>
  <c r="J189" i="6" s="1"/>
  <c r="E193" i="26"/>
  <c r="G192" i="26"/>
  <c r="J188" i="6" s="1"/>
  <c r="F192" i="26"/>
  <c r="E192" i="26"/>
  <c r="G191" i="26"/>
  <c r="J187" i="6" s="1"/>
  <c r="F191" i="26"/>
  <c r="E191" i="26"/>
  <c r="F190" i="26"/>
  <c r="G190" i="26" s="1"/>
  <c r="J186" i="6" s="1"/>
  <c r="H186" i="6" s="1"/>
  <c r="E190" i="26"/>
  <c r="F189" i="26"/>
  <c r="G189" i="26" s="1"/>
  <c r="J185" i="6" s="1"/>
  <c r="E189" i="26"/>
  <c r="G188" i="26"/>
  <c r="J184" i="6"/>
  <c r="F188" i="26"/>
  <c r="E188" i="26"/>
  <c r="G187" i="26"/>
  <c r="J183" i="6" s="1"/>
  <c r="F187" i="26"/>
  <c r="E187" i="26"/>
  <c r="G186" i="26"/>
  <c r="J182" i="6" s="1"/>
  <c r="F186" i="26"/>
  <c r="E186" i="26"/>
  <c r="F185" i="26"/>
  <c r="G185" i="26" s="1"/>
  <c r="J181" i="6" s="1"/>
  <c r="E185" i="26"/>
  <c r="F184" i="26"/>
  <c r="G184" i="26" s="1"/>
  <c r="J180" i="6" s="1"/>
  <c r="E184" i="26"/>
  <c r="F183" i="26"/>
  <c r="G183" i="26" s="1"/>
  <c r="J179" i="6" s="1"/>
  <c r="E183" i="26"/>
  <c r="F182" i="26"/>
  <c r="G182" i="26" s="1"/>
  <c r="J178" i="6" s="1"/>
  <c r="E182" i="26"/>
  <c r="G181" i="26"/>
  <c r="J177" i="6" s="1"/>
  <c r="F181" i="26"/>
  <c r="E181" i="26"/>
  <c r="F180" i="26"/>
  <c r="G180" i="26" s="1"/>
  <c r="J176" i="6" s="1"/>
  <c r="H176" i="6" s="1"/>
  <c r="E180" i="26"/>
  <c r="G179" i="26"/>
  <c r="J175" i="6"/>
  <c r="F179" i="26"/>
  <c r="E179" i="26"/>
  <c r="F178" i="26"/>
  <c r="G178" i="26" s="1"/>
  <c r="J174" i="6" s="1"/>
  <c r="E178" i="26"/>
  <c r="F177" i="26"/>
  <c r="G177" i="26" s="1"/>
  <c r="J173" i="6" s="1"/>
  <c r="E177" i="26"/>
  <c r="F176" i="26"/>
  <c r="G176" i="26" s="1"/>
  <c r="J172" i="6" s="1"/>
  <c r="H172" i="6" s="1"/>
  <c r="E176" i="26"/>
  <c r="F175" i="26"/>
  <c r="G175" i="26" s="1"/>
  <c r="J171" i="6" s="1"/>
  <c r="E175" i="26"/>
  <c r="G174" i="26"/>
  <c r="J170" i="6" s="1"/>
  <c r="H170" i="6" s="1"/>
  <c r="F174" i="26"/>
  <c r="E174" i="26"/>
  <c r="F173" i="26"/>
  <c r="G173" i="26" s="1"/>
  <c r="J169" i="6" s="1"/>
  <c r="E173" i="26"/>
  <c r="F172" i="26"/>
  <c r="G172" i="26" s="1"/>
  <c r="J168" i="6" s="1"/>
  <c r="E172" i="26"/>
  <c r="F171" i="26"/>
  <c r="G171" i="26" s="1"/>
  <c r="J167" i="6" s="1"/>
  <c r="E171" i="26"/>
  <c r="F170" i="26"/>
  <c r="G170" i="26" s="1"/>
  <c r="J166" i="6" s="1"/>
  <c r="E170" i="26"/>
  <c r="F169" i="26"/>
  <c r="G169" i="26" s="1"/>
  <c r="J165" i="6" s="1"/>
  <c r="E169" i="26"/>
  <c r="F168" i="26"/>
  <c r="G168" i="26" s="1"/>
  <c r="J164" i="6" s="1"/>
  <c r="E168" i="26"/>
  <c r="F167" i="26"/>
  <c r="G167" i="26" s="1"/>
  <c r="J163" i="6" s="1"/>
  <c r="E167" i="26"/>
  <c r="F166" i="26"/>
  <c r="G166" i="26" s="1"/>
  <c r="J162" i="6" s="1"/>
  <c r="E166" i="26"/>
  <c r="F165" i="26"/>
  <c r="G165" i="26" s="1"/>
  <c r="J161" i="6" s="1"/>
  <c r="E165" i="26"/>
  <c r="F164" i="26"/>
  <c r="G164" i="26" s="1"/>
  <c r="J160" i="6" s="1"/>
  <c r="E164" i="26"/>
  <c r="F163" i="26"/>
  <c r="G163" i="26" s="1"/>
  <c r="J159" i="6" s="1"/>
  <c r="E163" i="26"/>
  <c r="F162" i="26"/>
  <c r="G162" i="26" s="1"/>
  <c r="J158" i="6" s="1"/>
  <c r="E162" i="26"/>
  <c r="F161" i="26"/>
  <c r="G161" i="26" s="1"/>
  <c r="J157" i="6" s="1"/>
  <c r="E161" i="26"/>
  <c r="F160" i="26"/>
  <c r="G160" i="26" s="1"/>
  <c r="J156" i="6" s="1"/>
  <c r="E160" i="26"/>
  <c r="G159" i="26"/>
  <c r="J155" i="6"/>
  <c r="F159" i="26"/>
  <c r="E159" i="26"/>
  <c r="G158" i="26"/>
  <c r="J154" i="6" s="1"/>
  <c r="F158" i="26"/>
  <c r="E158" i="26"/>
  <c r="F157" i="26"/>
  <c r="G157" i="26" s="1"/>
  <c r="J153" i="6" s="1"/>
  <c r="E157" i="26"/>
  <c r="F156" i="26"/>
  <c r="G156" i="26" s="1"/>
  <c r="J152" i="6" s="1"/>
  <c r="H152" i="6" s="1"/>
  <c r="E156" i="26"/>
  <c r="F155" i="26"/>
  <c r="G155" i="26" s="1"/>
  <c r="J151" i="6" s="1"/>
  <c r="E155" i="26"/>
  <c r="F154" i="26"/>
  <c r="G154" i="26" s="1"/>
  <c r="J150" i="6" s="1"/>
  <c r="E154" i="26"/>
  <c r="F153" i="26"/>
  <c r="G153" i="26" s="1"/>
  <c r="J149" i="6" s="1"/>
  <c r="E153" i="26"/>
  <c r="F152" i="26"/>
  <c r="G152" i="26" s="1"/>
  <c r="J148" i="6" s="1"/>
  <c r="E152" i="26"/>
  <c r="F151" i="26"/>
  <c r="G151" i="26" s="1"/>
  <c r="J147" i="6" s="1"/>
  <c r="E151" i="26"/>
  <c r="F150" i="26"/>
  <c r="G150" i="26" s="1"/>
  <c r="J146" i="6" s="1"/>
  <c r="E150" i="26"/>
  <c r="F149" i="26"/>
  <c r="G149" i="26" s="1"/>
  <c r="J145" i="6" s="1"/>
  <c r="E149" i="26"/>
  <c r="F148" i="26"/>
  <c r="G148" i="26" s="1"/>
  <c r="J144" i="6" s="1"/>
  <c r="E148" i="26"/>
  <c r="F147" i="26"/>
  <c r="G147" i="26" s="1"/>
  <c r="J143" i="6" s="1"/>
  <c r="E147" i="26"/>
  <c r="F146" i="26"/>
  <c r="G146" i="26" s="1"/>
  <c r="J142" i="6" s="1"/>
  <c r="E146" i="26"/>
  <c r="F145" i="26"/>
  <c r="G145" i="26" s="1"/>
  <c r="J141" i="6" s="1"/>
  <c r="E145" i="26"/>
  <c r="F144" i="26"/>
  <c r="G144" i="26" s="1"/>
  <c r="J140" i="6" s="1"/>
  <c r="E144" i="26"/>
  <c r="F143" i="26"/>
  <c r="G143" i="26" s="1"/>
  <c r="J139" i="6" s="1"/>
  <c r="E143" i="26"/>
  <c r="F142" i="26"/>
  <c r="G142" i="26" s="1"/>
  <c r="J138" i="6" s="1"/>
  <c r="E142" i="26"/>
  <c r="F141" i="26"/>
  <c r="G141" i="26" s="1"/>
  <c r="J137" i="6" s="1"/>
  <c r="E141" i="26"/>
  <c r="F140" i="26"/>
  <c r="G140" i="26" s="1"/>
  <c r="J136" i="6" s="1"/>
  <c r="E140" i="26"/>
  <c r="F139" i="26"/>
  <c r="G139" i="26" s="1"/>
  <c r="J135" i="6" s="1"/>
  <c r="E139" i="26"/>
  <c r="F138" i="26"/>
  <c r="G138" i="26" s="1"/>
  <c r="J134" i="6" s="1"/>
  <c r="E138" i="26"/>
  <c r="F137" i="26"/>
  <c r="G137" i="26" s="1"/>
  <c r="J133" i="6" s="1"/>
  <c r="E137" i="26"/>
  <c r="F136" i="26"/>
  <c r="G136" i="26" s="1"/>
  <c r="J132" i="6" s="1"/>
  <c r="E136" i="26"/>
  <c r="F135" i="26"/>
  <c r="G135" i="26" s="1"/>
  <c r="J131" i="6" s="1"/>
  <c r="E135" i="26"/>
  <c r="F134" i="26"/>
  <c r="G134" i="26" s="1"/>
  <c r="J130" i="6" s="1"/>
  <c r="E134" i="26"/>
  <c r="F133" i="26"/>
  <c r="G133" i="26" s="1"/>
  <c r="J129" i="6" s="1"/>
  <c r="E133" i="26"/>
  <c r="F132" i="26"/>
  <c r="G132" i="26" s="1"/>
  <c r="J128" i="6" s="1"/>
  <c r="E132" i="26"/>
  <c r="F131" i="26"/>
  <c r="G131" i="26" s="1"/>
  <c r="J127" i="6" s="1"/>
  <c r="E131" i="26"/>
  <c r="F130" i="26"/>
  <c r="G130" i="26" s="1"/>
  <c r="J126" i="6" s="1"/>
  <c r="E130" i="26"/>
  <c r="F129" i="26"/>
  <c r="G129" i="26" s="1"/>
  <c r="J125" i="6" s="1"/>
  <c r="E129" i="26"/>
  <c r="F128" i="26"/>
  <c r="G128" i="26" s="1"/>
  <c r="J124" i="6" s="1"/>
  <c r="E128" i="26"/>
  <c r="F127" i="26"/>
  <c r="G127" i="26" s="1"/>
  <c r="J123" i="6" s="1"/>
  <c r="E127" i="26"/>
  <c r="F126" i="26"/>
  <c r="G126" i="26" s="1"/>
  <c r="J122" i="6" s="1"/>
  <c r="E126" i="26"/>
  <c r="F125" i="26"/>
  <c r="G125" i="26" s="1"/>
  <c r="J121" i="6" s="1"/>
  <c r="E125" i="26"/>
  <c r="F124" i="26"/>
  <c r="G124" i="26" s="1"/>
  <c r="J120" i="6" s="1"/>
  <c r="E124" i="26"/>
  <c r="F123" i="26"/>
  <c r="G123" i="26" s="1"/>
  <c r="J119" i="6" s="1"/>
  <c r="E123" i="26"/>
  <c r="F122" i="26"/>
  <c r="G122" i="26" s="1"/>
  <c r="J118" i="6" s="1"/>
  <c r="E122" i="26"/>
  <c r="F121" i="26"/>
  <c r="G121" i="26" s="1"/>
  <c r="J117" i="6" s="1"/>
  <c r="H117" i="6" s="1"/>
  <c r="E121" i="26"/>
  <c r="F120" i="26"/>
  <c r="G120" i="26" s="1"/>
  <c r="J116" i="6" s="1"/>
  <c r="E120" i="26"/>
  <c r="F119" i="26"/>
  <c r="G119" i="26" s="1"/>
  <c r="J115" i="6" s="1"/>
  <c r="E119" i="26"/>
  <c r="F118" i="26"/>
  <c r="G118" i="26" s="1"/>
  <c r="J114" i="6" s="1"/>
  <c r="E118" i="26"/>
  <c r="F117" i="26"/>
  <c r="G117" i="26" s="1"/>
  <c r="J113" i="6" s="1"/>
  <c r="E117" i="26"/>
  <c r="F116" i="26"/>
  <c r="G116" i="26" s="1"/>
  <c r="J112" i="6" s="1"/>
  <c r="E116" i="26"/>
  <c r="F115" i="26"/>
  <c r="G115" i="26" s="1"/>
  <c r="J111" i="6" s="1"/>
  <c r="E115" i="26"/>
  <c r="F114" i="26"/>
  <c r="G114" i="26" s="1"/>
  <c r="J110" i="6" s="1"/>
  <c r="E114" i="26"/>
  <c r="F113" i="26"/>
  <c r="G113" i="26" s="1"/>
  <c r="J109" i="6" s="1"/>
  <c r="E113" i="26"/>
  <c r="F112" i="26"/>
  <c r="G112" i="26" s="1"/>
  <c r="J108" i="6" s="1"/>
  <c r="E112" i="26"/>
  <c r="F111" i="26"/>
  <c r="G111" i="26" s="1"/>
  <c r="J107" i="6" s="1"/>
  <c r="E111" i="26"/>
  <c r="F110" i="26"/>
  <c r="G110" i="26" s="1"/>
  <c r="J106" i="6" s="1"/>
  <c r="E110" i="26"/>
  <c r="F109" i="26"/>
  <c r="G109" i="26" s="1"/>
  <c r="J105" i="6" s="1"/>
  <c r="E109" i="26"/>
  <c r="F108" i="26"/>
  <c r="G108" i="26" s="1"/>
  <c r="J104" i="6" s="1"/>
  <c r="E108" i="26"/>
  <c r="G107" i="26"/>
  <c r="J103" i="6"/>
  <c r="F107" i="26"/>
  <c r="F106" i="26"/>
  <c r="G106" i="26" s="1"/>
  <c r="J102" i="6" s="1"/>
  <c r="E106" i="26"/>
  <c r="F105" i="26"/>
  <c r="G105" i="26" s="1"/>
  <c r="J101" i="6" s="1"/>
  <c r="E105" i="26"/>
  <c r="F104" i="26"/>
  <c r="G104" i="26" s="1"/>
  <c r="J100" i="6" s="1"/>
  <c r="E104" i="26"/>
  <c r="F103" i="26"/>
  <c r="G103" i="26" s="1"/>
  <c r="J99" i="6" s="1"/>
  <c r="E103" i="26"/>
  <c r="F102" i="26"/>
  <c r="G102" i="26" s="1"/>
  <c r="J98" i="6" s="1"/>
  <c r="E102" i="26"/>
  <c r="F101" i="26"/>
  <c r="G101" i="26" s="1"/>
  <c r="J97" i="6" s="1"/>
  <c r="E101" i="26"/>
  <c r="F100" i="26"/>
  <c r="G100" i="26" s="1"/>
  <c r="J96" i="6" s="1"/>
  <c r="E100" i="26"/>
  <c r="F99" i="26"/>
  <c r="G99" i="26" s="1"/>
  <c r="J95" i="6" s="1"/>
  <c r="E99" i="26"/>
  <c r="F98" i="26"/>
  <c r="G98" i="26" s="1"/>
  <c r="J94" i="6" s="1"/>
  <c r="E98" i="26"/>
  <c r="F97" i="26"/>
  <c r="G97" i="26" s="1"/>
  <c r="J93" i="6" s="1"/>
  <c r="E97" i="26"/>
  <c r="F96" i="26"/>
  <c r="G96" i="26" s="1"/>
  <c r="J92" i="6" s="1"/>
  <c r="E96" i="26"/>
  <c r="F95" i="26"/>
  <c r="G95" i="26" s="1"/>
  <c r="J91" i="6" s="1"/>
  <c r="E95" i="26"/>
  <c r="F94" i="26"/>
  <c r="G94" i="26" s="1"/>
  <c r="J90" i="6" s="1"/>
  <c r="E94" i="26"/>
  <c r="F93" i="26"/>
  <c r="G93" i="26" s="1"/>
  <c r="J89" i="6" s="1"/>
  <c r="E93" i="26"/>
  <c r="F92" i="26"/>
  <c r="G92" i="26" s="1"/>
  <c r="J88" i="6" s="1"/>
  <c r="E92" i="26"/>
  <c r="F91" i="26"/>
  <c r="G91" i="26" s="1"/>
  <c r="J87" i="6" s="1"/>
  <c r="E91" i="26"/>
  <c r="F90" i="26"/>
  <c r="G90" i="26" s="1"/>
  <c r="J86" i="6" s="1"/>
  <c r="E90" i="26"/>
  <c r="F89" i="26"/>
  <c r="G89" i="26" s="1"/>
  <c r="J85" i="6" s="1"/>
  <c r="E89" i="26"/>
  <c r="F88" i="26"/>
  <c r="G88" i="26" s="1"/>
  <c r="J84" i="6" s="1"/>
  <c r="E88" i="26"/>
  <c r="F87" i="26"/>
  <c r="G87" i="26" s="1"/>
  <c r="J83" i="6" s="1"/>
  <c r="E87" i="26"/>
  <c r="F86" i="26"/>
  <c r="G86" i="26" s="1"/>
  <c r="J82" i="6" s="1"/>
  <c r="E86" i="26"/>
  <c r="F85" i="26"/>
  <c r="G85" i="26" s="1"/>
  <c r="J81" i="6" s="1"/>
  <c r="E85" i="26"/>
  <c r="F84" i="26"/>
  <c r="G84" i="26" s="1"/>
  <c r="J80" i="6" s="1"/>
  <c r="H80" i="6" s="1"/>
  <c r="E84" i="26"/>
  <c r="F83" i="26"/>
  <c r="G83" i="26" s="1"/>
  <c r="J79" i="6" s="1"/>
  <c r="E83" i="26"/>
  <c r="F82" i="26"/>
  <c r="G82" i="26" s="1"/>
  <c r="J78" i="6" s="1"/>
  <c r="E82" i="26"/>
  <c r="F81" i="26"/>
  <c r="G81" i="26" s="1"/>
  <c r="J77" i="6" s="1"/>
  <c r="E81" i="26"/>
  <c r="F80" i="26"/>
  <c r="G80" i="26" s="1"/>
  <c r="J76" i="6" s="1"/>
  <c r="E80" i="26"/>
  <c r="F79" i="26"/>
  <c r="G79" i="26" s="1"/>
  <c r="J75" i="6" s="1"/>
  <c r="E79" i="26"/>
  <c r="F78" i="26"/>
  <c r="G78" i="26" s="1"/>
  <c r="J74" i="6" s="1"/>
  <c r="E78" i="26"/>
  <c r="F77" i="26"/>
  <c r="G77" i="26" s="1"/>
  <c r="J73" i="6" s="1"/>
  <c r="E77" i="26"/>
  <c r="F76" i="26"/>
  <c r="G76" i="26" s="1"/>
  <c r="J72" i="6" s="1"/>
  <c r="E76" i="26"/>
  <c r="F75" i="26"/>
  <c r="G75" i="26" s="1"/>
  <c r="J71" i="6" s="1"/>
  <c r="E75" i="26"/>
  <c r="F74" i="26"/>
  <c r="G74" i="26" s="1"/>
  <c r="J70" i="6" s="1"/>
  <c r="E74" i="26"/>
  <c r="F73" i="26"/>
  <c r="G73" i="26" s="1"/>
  <c r="J69" i="6" s="1"/>
  <c r="E73" i="26"/>
  <c r="F72" i="26"/>
  <c r="G72" i="26" s="1"/>
  <c r="J68" i="6" s="1"/>
  <c r="E72" i="26"/>
  <c r="F71" i="26"/>
  <c r="G71" i="26" s="1"/>
  <c r="J67" i="6" s="1"/>
  <c r="E71" i="26"/>
  <c r="F70" i="26"/>
  <c r="G70" i="26" s="1"/>
  <c r="J66" i="6" s="1"/>
  <c r="E70" i="26"/>
  <c r="F69" i="26"/>
  <c r="G69" i="26" s="1"/>
  <c r="J65" i="6" s="1"/>
  <c r="E69" i="26"/>
  <c r="F68" i="26"/>
  <c r="G68" i="26" s="1"/>
  <c r="J64" i="6" s="1"/>
  <c r="E68" i="26"/>
  <c r="F67" i="26"/>
  <c r="G67" i="26" s="1"/>
  <c r="J63" i="6" s="1"/>
  <c r="E67" i="26"/>
  <c r="F66" i="26"/>
  <c r="G66" i="26" s="1"/>
  <c r="J62" i="6" s="1"/>
  <c r="H62" i="6" s="1"/>
  <c r="E66" i="26"/>
  <c r="F65" i="26"/>
  <c r="G65" i="26" s="1"/>
  <c r="J61" i="6" s="1"/>
  <c r="E65" i="26"/>
  <c r="F64" i="26"/>
  <c r="G64" i="26" s="1"/>
  <c r="J60" i="6" s="1"/>
  <c r="E64" i="26"/>
  <c r="F63" i="26"/>
  <c r="G63" i="26" s="1"/>
  <c r="J59" i="6" s="1"/>
  <c r="E63" i="26"/>
  <c r="F62" i="26"/>
  <c r="G62" i="26" s="1"/>
  <c r="J58" i="6" s="1"/>
  <c r="E62" i="26"/>
  <c r="F61" i="26"/>
  <c r="G61" i="26" s="1"/>
  <c r="J57" i="6" s="1"/>
  <c r="E61" i="26"/>
  <c r="F60" i="26"/>
  <c r="G60" i="26" s="1"/>
  <c r="J56" i="6" s="1"/>
  <c r="E60" i="26"/>
  <c r="F59" i="26"/>
  <c r="G59" i="26" s="1"/>
  <c r="J55" i="6" s="1"/>
  <c r="E59" i="26"/>
  <c r="F58" i="26"/>
  <c r="G58" i="26" s="1"/>
  <c r="J54" i="6" s="1"/>
  <c r="E58" i="26"/>
  <c r="F57" i="26"/>
  <c r="G57" i="26" s="1"/>
  <c r="J53" i="6" s="1"/>
  <c r="E57" i="26"/>
  <c r="F56" i="26"/>
  <c r="G56" i="26" s="1"/>
  <c r="J52" i="6" s="1"/>
  <c r="E56" i="26"/>
  <c r="F55" i="26"/>
  <c r="G55" i="26" s="1"/>
  <c r="J51" i="6" s="1"/>
  <c r="E55" i="26"/>
  <c r="F54" i="26"/>
  <c r="G54" i="26" s="1"/>
  <c r="J50" i="6" s="1"/>
  <c r="E54" i="26"/>
  <c r="F53" i="26"/>
  <c r="G53" i="26" s="1"/>
  <c r="J49" i="6" s="1"/>
  <c r="E53" i="26"/>
  <c r="F52" i="26"/>
  <c r="G52" i="26" s="1"/>
  <c r="J48" i="6" s="1"/>
  <c r="E52" i="26"/>
  <c r="F51" i="26"/>
  <c r="G51" i="26" s="1"/>
  <c r="J47" i="6" s="1"/>
  <c r="E51" i="26"/>
  <c r="F50" i="26"/>
  <c r="G50" i="26" s="1"/>
  <c r="J46" i="6" s="1"/>
  <c r="E50" i="26"/>
  <c r="F49" i="26"/>
  <c r="G49" i="26" s="1"/>
  <c r="J45" i="6" s="1"/>
  <c r="E49" i="26"/>
  <c r="F48" i="26"/>
  <c r="G48" i="26" s="1"/>
  <c r="J44" i="6" s="1"/>
  <c r="E48" i="26"/>
  <c r="F47" i="26"/>
  <c r="G47" i="26" s="1"/>
  <c r="J43" i="6" s="1"/>
  <c r="E47" i="26"/>
  <c r="F46" i="26"/>
  <c r="G46" i="26" s="1"/>
  <c r="J42" i="6" s="1"/>
  <c r="E46" i="26"/>
  <c r="F45" i="26"/>
  <c r="G45" i="26" s="1"/>
  <c r="J41" i="6" s="1"/>
  <c r="E45" i="26"/>
  <c r="F44" i="26"/>
  <c r="G44" i="26" s="1"/>
  <c r="J40" i="6" s="1"/>
  <c r="E44" i="26"/>
  <c r="F43" i="26"/>
  <c r="G43" i="26" s="1"/>
  <c r="J39" i="6" s="1"/>
  <c r="E43" i="26"/>
  <c r="F42" i="26"/>
  <c r="G42" i="26" s="1"/>
  <c r="J38" i="6" s="1"/>
  <c r="E42" i="26"/>
  <c r="F41" i="26"/>
  <c r="G41" i="26" s="1"/>
  <c r="J37" i="6" s="1"/>
  <c r="E41" i="26"/>
  <c r="F40" i="26"/>
  <c r="G40" i="26" s="1"/>
  <c r="J36" i="6" s="1"/>
  <c r="E40" i="26"/>
  <c r="F39" i="26"/>
  <c r="G39" i="26" s="1"/>
  <c r="J35" i="6" s="1"/>
  <c r="E39" i="26"/>
  <c r="F38" i="26"/>
  <c r="G38" i="26" s="1"/>
  <c r="J34" i="6" s="1"/>
  <c r="E38" i="26"/>
  <c r="F37" i="26"/>
  <c r="G37" i="26" s="1"/>
  <c r="J33" i="6" s="1"/>
  <c r="E37" i="26"/>
  <c r="F36" i="26"/>
  <c r="G36" i="26" s="1"/>
  <c r="J32" i="6" s="1"/>
  <c r="H32" i="6" s="1"/>
  <c r="E36" i="26"/>
  <c r="F35" i="26"/>
  <c r="G35" i="26" s="1"/>
  <c r="J31" i="6" s="1"/>
  <c r="E35" i="26"/>
  <c r="F34" i="26"/>
  <c r="G34" i="26" s="1"/>
  <c r="J30" i="6" s="1"/>
  <c r="E34" i="26"/>
  <c r="F33" i="26"/>
  <c r="G33" i="26" s="1"/>
  <c r="J29" i="6" s="1"/>
  <c r="E33" i="26"/>
  <c r="F32" i="26"/>
  <c r="G32" i="26" s="1"/>
  <c r="J28" i="6" s="1"/>
  <c r="E32" i="26"/>
  <c r="F31" i="26"/>
  <c r="G31" i="26" s="1"/>
  <c r="J27" i="6" s="1"/>
  <c r="E31" i="26"/>
  <c r="F30" i="26"/>
  <c r="G30" i="26" s="1"/>
  <c r="J26" i="6" s="1"/>
  <c r="E30" i="26"/>
  <c r="F29" i="26"/>
  <c r="G29" i="26" s="1"/>
  <c r="J25" i="6" s="1"/>
  <c r="E29" i="26"/>
  <c r="F28" i="26"/>
  <c r="G28" i="26" s="1"/>
  <c r="J24" i="6" s="1"/>
  <c r="E28" i="26"/>
  <c r="F27" i="26"/>
  <c r="G27" i="26" s="1"/>
  <c r="J23" i="6" s="1"/>
  <c r="E27" i="26"/>
  <c r="F26" i="26"/>
  <c r="G26" i="26" s="1"/>
  <c r="J22" i="6" s="1"/>
  <c r="E26" i="26"/>
  <c r="F25" i="26"/>
  <c r="G25" i="26" s="1"/>
  <c r="J21" i="6" s="1"/>
  <c r="E25" i="26"/>
  <c r="F24" i="26"/>
  <c r="G24" i="26" s="1"/>
  <c r="J20" i="6" s="1"/>
  <c r="E24" i="26"/>
  <c r="F23" i="26"/>
  <c r="G23" i="26" s="1"/>
  <c r="J19" i="6" s="1"/>
  <c r="E23" i="26"/>
  <c r="F22" i="26"/>
  <c r="G22" i="26" s="1"/>
  <c r="J18" i="6" s="1"/>
  <c r="E22" i="26"/>
  <c r="F21" i="26"/>
  <c r="G21" i="26" s="1"/>
  <c r="J17" i="6" s="1"/>
  <c r="E21" i="26"/>
  <c r="F20" i="26"/>
  <c r="G20" i="26" s="1"/>
  <c r="J16" i="6" s="1"/>
  <c r="E20" i="26"/>
  <c r="F19" i="26"/>
  <c r="G19" i="26" s="1"/>
  <c r="J15" i="6" s="1"/>
  <c r="E19" i="26"/>
  <c r="F18" i="26"/>
  <c r="G18" i="26" s="1"/>
  <c r="J14" i="6" s="1"/>
  <c r="E18" i="26"/>
  <c r="F17" i="26"/>
  <c r="G17" i="26" s="1"/>
  <c r="J13" i="6" s="1"/>
  <c r="E17" i="26"/>
  <c r="F16" i="26"/>
  <c r="G16" i="26" s="1"/>
  <c r="J12" i="6" s="1"/>
  <c r="E16" i="26"/>
  <c r="F15" i="26"/>
  <c r="G15" i="26" s="1"/>
  <c r="J11" i="6" s="1"/>
  <c r="E15" i="26"/>
  <c r="F14" i="26"/>
  <c r="G14" i="26" s="1"/>
  <c r="J10" i="6" s="1"/>
  <c r="E14" i="26"/>
  <c r="F13" i="26"/>
  <c r="G13" i="26" s="1"/>
  <c r="J9" i="6" s="1"/>
  <c r="E13" i="26"/>
  <c r="F12" i="26"/>
  <c r="G12" i="26" s="1"/>
  <c r="J8" i="6" s="1"/>
  <c r="E12" i="26"/>
  <c r="F11" i="26"/>
  <c r="G11" i="26" s="1"/>
  <c r="J7" i="6" s="1"/>
  <c r="E11" i="26"/>
  <c r="F10" i="26"/>
  <c r="G10" i="26" s="1"/>
  <c r="J6" i="6" s="1"/>
  <c r="E10" i="26"/>
  <c r="F9" i="26"/>
  <c r="G9" i="26" s="1"/>
  <c r="J5" i="6" s="1"/>
  <c r="E9" i="26"/>
  <c r="F8" i="26"/>
  <c r="G8" i="26" s="1"/>
  <c r="J4" i="6" s="1"/>
  <c r="E8" i="26"/>
  <c r="G2" i="26"/>
  <c r="G2" i="25"/>
  <c r="F9" i="25"/>
  <c r="F10" i="25"/>
  <c r="F11" i="25"/>
  <c r="F12"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F57" i="25"/>
  <c r="F58" i="25"/>
  <c r="F59" i="25"/>
  <c r="F60" i="25"/>
  <c r="F61" i="25"/>
  <c r="F62" i="25"/>
  <c r="F63" i="25"/>
  <c r="F64" i="25"/>
  <c r="F65" i="25"/>
  <c r="F66" i="25"/>
  <c r="F67" i="25"/>
  <c r="F68" i="25"/>
  <c r="F69" i="25"/>
  <c r="F70" i="25"/>
  <c r="F71" i="25"/>
  <c r="F72" i="25"/>
  <c r="F73" i="25"/>
  <c r="F74" i="25"/>
  <c r="F75" i="25"/>
  <c r="F76" i="25"/>
  <c r="F77" i="25"/>
  <c r="F78" i="25"/>
  <c r="F79" i="25"/>
  <c r="F80" i="25"/>
  <c r="F81" i="25"/>
  <c r="F82" i="25"/>
  <c r="F83" i="25"/>
  <c r="F84" i="25"/>
  <c r="F85" i="25"/>
  <c r="F86" i="25"/>
  <c r="F87" i="25"/>
  <c r="F88" i="25"/>
  <c r="F89" i="25"/>
  <c r="F90" i="25"/>
  <c r="F91" i="25"/>
  <c r="F92" i="25"/>
  <c r="F93" i="25"/>
  <c r="F94" i="25"/>
  <c r="F95" i="25"/>
  <c r="F96" i="25"/>
  <c r="F97" i="25"/>
  <c r="F98" i="25"/>
  <c r="F99" i="25"/>
  <c r="F100" i="25"/>
  <c r="F101" i="25"/>
  <c r="F102" i="25"/>
  <c r="F103" i="25"/>
  <c r="F104" i="25"/>
  <c r="F105" i="25"/>
  <c r="F106" i="25"/>
  <c r="F107" i="25"/>
  <c r="F108" i="25"/>
  <c r="F109" i="25"/>
  <c r="F110" i="25"/>
  <c r="F111" i="25"/>
  <c r="F112" i="25"/>
  <c r="F113" i="25"/>
  <c r="F114" i="25"/>
  <c r="F115" i="25"/>
  <c r="F116" i="25"/>
  <c r="F117" i="25"/>
  <c r="F118" i="25"/>
  <c r="F119" i="25"/>
  <c r="F120" i="25"/>
  <c r="F121" i="25"/>
  <c r="F122" i="25"/>
  <c r="F123" i="25"/>
  <c r="F124" i="25"/>
  <c r="F125" i="25"/>
  <c r="F126" i="25"/>
  <c r="F127" i="25"/>
  <c r="F128" i="25"/>
  <c r="F129" i="25"/>
  <c r="F130" i="25"/>
  <c r="F131" i="25"/>
  <c r="F132" i="25"/>
  <c r="F133" i="25"/>
  <c r="F134" i="25"/>
  <c r="F135" i="25"/>
  <c r="F136" i="25"/>
  <c r="F137" i="25"/>
  <c r="F138" i="25"/>
  <c r="F139" i="25"/>
  <c r="F140" i="25"/>
  <c r="F141" i="25"/>
  <c r="F142" i="25"/>
  <c r="F143" i="25"/>
  <c r="F144" i="25"/>
  <c r="F145" i="25"/>
  <c r="F146" i="25"/>
  <c r="F147" i="25"/>
  <c r="F148" i="25"/>
  <c r="F149" i="25"/>
  <c r="F150" i="25"/>
  <c r="F151" i="25"/>
  <c r="F152" i="25"/>
  <c r="F153" i="25"/>
  <c r="F154" i="25"/>
  <c r="F155" i="25"/>
  <c r="F156" i="25"/>
  <c r="F157" i="25"/>
  <c r="F158" i="25"/>
  <c r="F159" i="25"/>
  <c r="F160" i="25"/>
  <c r="F161" i="25"/>
  <c r="F162" i="25"/>
  <c r="F163" i="25"/>
  <c r="F164" i="25"/>
  <c r="F165" i="25"/>
  <c r="F166" i="25"/>
  <c r="F167" i="25"/>
  <c r="F168" i="25"/>
  <c r="F169" i="25"/>
  <c r="F170" i="25"/>
  <c r="F171" i="25"/>
  <c r="F172" i="25"/>
  <c r="F173" i="25"/>
  <c r="F174" i="25"/>
  <c r="F175" i="25"/>
  <c r="F176" i="25"/>
  <c r="F177" i="25"/>
  <c r="F178" i="25"/>
  <c r="F179" i="25"/>
  <c r="F180" i="25"/>
  <c r="F181" i="25"/>
  <c r="F182" i="25"/>
  <c r="F183" i="25"/>
  <c r="F184" i="25"/>
  <c r="F185" i="25"/>
  <c r="F186" i="25"/>
  <c r="F187" i="25"/>
  <c r="F188" i="25"/>
  <c r="F189" i="25"/>
  <c r="F190" i="25"/>
  <c r="F191" i="25"/>
  <c r="F192" i="25"/>
  <c r="F193" i="25"/>
  <c r="F194" i="25"/>
  <c r="F195" i="25"/>
  <c r="F196" i="25"/>
  <c r="F197" i="25"/>
  <c r="F198" i="25"/>
  <c r="F199" i="25"/>
  <c r="F200" i="25"/>
  <c r="F201" i="25"/>
  <c r="F202" i="25"/>
  <c r="F203" i="25"/>
  <c r="F204" i="25"/>
  <c r="F205" i="25"/>
  <c r="F206" i="25"/>
  <c r="F207" i="25"/>
  <c r="F208" i="25"/>
  <c r="F209" i="25"/>
  <c r="F210" i="25"/>
  <c r="F211" i="25"/>
  <c r="F212" i="25"/>
  <c r="F213" i="25"/>
  <c r="F214" i="25"/>
  <c r="F215" i="25"/>
  <c r="F216" i="25"/>
  <c r="F217" i="25"/>
  <c r="F218" i="25"/>
  <c r="F219" i="25"/>
  <c r="F220" i="25"/>
  <c r="F221" i="25"/>
  <c r="F222" i="25"/>
  <c r="F223" i="25"/>
  <c r="F224" i="25"/>
  <c r="F225" i="25"/>
  <c r="F226" i="25"/>
  <c r="F227" i="25"/>
  <c r="F228" i="25"/>
  <c r="F229" i="25"/>
  <c r="F230" i="25"/>
  <c r="F231" i="25"/>
  <c r="F232" i="25"/>
  <c r="F233" i="25"/>
  <c r="F234" i="25"/>
  <c r="F235" i="25"/>
  <c r="F236" i="25"/>
  <c r="F237" i="25"/>
  <c r="F238" i="25"/>
  <c r="F239" i="25"/>
  <c r="F240" i="25"/>
  <c r="F241" i="25"/>
  <c r="F242" i="25"/>
  <c r="F243" i="25"/>
  <c r="F244" i="25"/>
  <c r="F245" i="25"/>
  <c r="F246" i="25"/>
  <c r="F247" i="25"/>
  <c r="F248" i="25"/>
  <c r="F249" i="25"/>
  <c r="F250" i="25"/>
  <c r="F251" i="25"/>
  <c r="F252" i="25"/>
  <c r="F253" i="25"/>
  <c r="F254" i="25"/>
  <c r="F255" i="25"/>
  <c r="F256" i="25"/>
  <c r="F257" i="25"/>
  <c r="F258" i="25"/>
  <c r="F259" i="25"/>
  <c r="F260" i="25"/>
  <c r="F261" i="25"/>
  <c r="F262" i="25"/>
  <c r="F263" i="25"/>
  <c r="F264" i="25"/>
  <c r="F265" i="25"/>
  <c r="F266" i="25"/>
  <c r="F267" i="25"/>
  <c r="F268" i="25"/>
  <c r="F269" i="25"/>
  <c r="F270" i="25"/>
  <c r="F271" i="25"/>
  <c r="F272" i="25"/>
  <c r="F273" i="25"/>
  <c r="F274" i="25"/>
  <c r="F275" i="25"/>
  <c r="F276" i="25"/>
  <c r="F277" i="25"/>
  <c r="F278" i="25"/>
  <c r="F279" i="25"/>
  <c r="F280" i="25"/>
  <c r="F281" i="25"/>
  <c r="F282" i="25"/>
  <c r="F283" i="25"/>
  <c r="F284" i="25"/>
  <c r="F285" i="25"/>
  <c r="F286" i="25"/>
  <c r="F287" i="25"/>
  <c r="F288" i="25"/>
  <c r="F289" i="25"/>
  <c r="F290" i="25"/>
  <c r="F291" i="25"/>
  <c r="F292" i="25"/>
  <c r="F293" i="25"/>
  <c r="F294" i="25"/>
  <c r="F295" i="25"/>
  <c r="F296" i="25"/>
  <c r="F297" i="25"/>
  <c r="F298" i="25"/>
  <c r="F299" i="25"/>
  <c r="F300" i="25"/>
  <c r="F301" i="25"/>
  <c r="F302" i="25"/>
  <c r="F303" i="25"/>
  <c r="F304" i="25"/>
  <c r="F305" i="25"/>
  <c r="F306" i="25"/>
  <c r="F307" i="25"/>
  <c r="F308" i="25"/>
  <c r="F309" i="25"/>
  <c r="F310" i="25"/>
  <c r="F311" i="25"/>
  <c r="F312" i="25"/>
  <c r="F313" i="25"/>
  <c r="F314" i="25"/>
  <c r="F315" i="25"/>
  <c r="F316" i="25"/>
  <c r="F317" i="25"/>
  <c r="F318" i="25"/>
  <c r="F319" i="25"/>
  <c r="F320" i="25"/>
  <c r="F321" i="25"/>
  <c r="F322" i="25"/>
  <c r="F323" i="25"/>
  <c r="F324" i="25"/>
  <c r="F325" i="25"/>
  <c r="F326" i="25"/>
  <c r="F327" i="25"/>
  <c r="F328" i="25"/>
  <c r="F329" i="25"/>
  <c r="F330" i="25"/>
  <c r="F331" i="25"/>
  <c r="F332" i="25"/>
  <c r="F333" i="25"/>
  <c r="F334" i="25"/>
  <c r="F335" i="25"/>
  <c r="F336" i="25"/>
  <c r="F337" i="25"/>
  <c r="F338" i="25"/>
  <c r="F339" i="25"/>
  <c r="F340" i="25"/>
  <c r="F341" i="25"/>
  <c r="F342" i="25"/>
  <c r="F343" i="25"/>
  <c r="F344" i="25"/>
  <c r="F345" i="25"/>
  <c r="F346" i="25"/>
  <c r="F347" i="25"/>
  <c r="F348" i="25"/>
  <c r="F349" i="25"/>
  <c r="F350" i="25"/>
  <c r="F351" i="25"/>
  <c r="F352" i="25"/>
  <c r="F353" i="25"/>
  <c r="F354" i="25"/>
  <c r="F355" i="25"/>
  <c r="F356" i="25"/>
  <c r="F357" i="25"/>
  <c r="F358" i="25"/>
  <c r="F359" i="25"/>
  <c r="F360" i="25"/>
  <c r="F361" i="25"/>
  <c r="F362" i="25"/>
  <c r="F363" i="25"/>
  <c r="F364" i="25"/>
  <c r="F365" i="25"/>
  <c r="F366" i="25"/>
  <c r="F367" i="25"/>
  <c r="F368" i="25"/>
  <c r="F369" i="25"/>
  <c r="F370" i="25"/>
  <c r="F371" i="25"/>
  <c r="F372" i="25"/>
  <c r="F373" i="25"/>
  <c r="F374" i="25"/>
  <c r="F375" i="25"/>
  <c r="F376" i="25"/>
  <c r="F377" i="25"/>
  <c r="F378" i="25"/>
  <c r="F379" i="25"/>
  <c r="F380" i="25"/>
  <c r="F381" i="25"/>
  <c r="F382" i="25"/>
  <c r="F383" i="25"/>
  <c r="F384" i="25"/>
  <c r="F385" i="25"/>
  <c r="F386" i="25"/>
  <c r="F387" i="25"/>
  <c r="F388" i="25"/>
  <c r="F389" i="25"/>
  <c r="F390" i="25"/>
  <c r="F391" i="25"/>
  <c r="F392" i="25"/>
  <c r="F393" i="25"/>
  <c r="F394" i="25"/>
  <c r="F395" i="25"/>
  <c r="F396" i="25"/>
  <c r="F397" i="25"/>
  <c r="F8" i="25"/>
  <c r="E9" i="25"/>
  <c r="E10" i="25"/>
  <c r="E11" i="25"/>
  <c r="E12" i="25"/>
  <c r="E13" i="25"/>
  <c r="E14" i="25"/>
  <c r="E15" i="25"/>
  <c r="E16" i="25"/>
  <c r="E17" i="25"/>
  <c r="E18" i="25"/>
  <c r="E19" i="25"/>
  <c r="E20" i="25"/>
  <c r="E21" i="25"/>
  <c r="E22" i="25"/>
  <c r="E23" i="25"/>
  <c r="E24" i="25"/>
  <c r="E25" i="25"/>
  <c r="E26" i="25"/>
  <c r="E27" i="25"/>
  <c r="E28" i="25"/>
  <c r="E29" i="25"/>
  <c r="E30" i="25"/>
  <c r="E31" i="25"/>
  <c r="E32" i="25"/>
  <c r="E33" i="25"/>
  <c r="E34" i="25"/>
  <c r="E35" i="25"/>
  <c r="E36" i="25"/>
  <c r="E37" i="25"/>
  <c r="E38" i="25"/>
  <c r="E39" i="25"/>
  <c r="E40" i="25"/>
  <c r="E41" i="25"/>
  <c r="E42" i="25"/>
  <c r="E43" i="25"/>
  <c r="E44" i="25"/>
  <c r="E45" i="25"/>
  <c r="E46" i="25"/>
  <c r="E47" i="25"/>
  <c r="E48" i="25"/>
  <c r="E49" i="25"/>
  <c r="E50" i="25"/>
  <c r="E51" i="25"/>
  <c r="E52" i="25"/>
  <c r="E53" i="25"/>
  <c r="E54" i="25"/>
  <c r="E55" i="25"/>
  <c r="E56" i="25"/>
  <c r="E57" i="25"/>
  <c r="E58" i="25"/>
  <c r="E59" i="25"/>
  <c r="E60" i="25"/>
  <c r="E61" i="25"/>
  <c r="E62" i="25"/>
  <c r="E63" i="25"/>
  <c r="E64" i="25"/>
  <c r="E65" i="25"/>
  <c r="E66" i="25"/>
  <c r="E67" i="25"/>
  <c r="E68" i="25"/>
  <c r="E69" i="25"/>
  <c r="E70" i="25"/>
  <c r="E71" i="25"/>
  <c r="E72" i="25"/>
  <c r="E73" i="25"/>
  <c r="E74" i="25"/>
  <c r="E75" i="25"/>
  <c r="E76" i="25"/>
  <c r="E77" i="25"/>
  <c r="E78" i="25"/>
  <c r="E79" i="25"/>
  <c r="E80" i="25"/>
  <c r="E81" i="25"/>
  <c r="E82" i="25"/>
  <c r="E83" i="25"/>
  <c r="E84" i="25"/>
  <c r="E85" i="25"/>
  <c r="E86" i="25"/>
  <c r="E87" i="25"/>
  <c r="E88" i="25"/>
  <c r="E89" i="25"/>
  <c r="E90" i="25"/>
  <c r="E91" i="25"/>
  <c r="E92" i="25"/>
  <c r="E93" i="25"/>
  <c r="E94" i="25"/>
  <c r="E95" i="25"/>
  <c r="E96" i="25"/>
  <c r="E97" i="25"/>
  <c r="E98" i="25"/>
  <c r="E99" i="25"/>
  <c r="E100" i="25"/>
  <c r="E101" i="25"/>
  <c r="E102" i="25"/>
  <c r="E103" i="25"/>
  <c r="E104" i="25"/>
  <c r="E105" i="25"/>
  <c r="E106" i="25"/>
  <c r="E107" i="25"/>
  <c r="E108" i="25"/>
  <c r="E109" i="25"/>
  <c r="E110" i="25"/>
  <c r="E111" i="25"/>
  <c r="E112" i="25"/>
  <c r="E113" i="25"/>
  <c r="E114" i="25"/>
  <c r="E115" i="25"/>
  <c r="E116" i="25"/>
  <c r="E117" i="25"/>
  <c r="E118" i="25"/>
  <c r="E119" i="25"/>
  <c r="E120" i="25"/>
  <c r="E121" i="25"/>
  <c r="E122" i="25"/>
  <c r="E123" i="25"/>
  <c r="E124" i="25"/>
  <c r="E125" i="25"/>
  <c r="E126" i="25"/>
  <c r="E127" i="25"/>
  <c r="E128" i="25"/>
  <c r="E129" i="25"/>
  <c r="E130" i="25"/>
  <c r="E131" i="25"/>
  <c r="E132" i="25"/>
  <c r="E133" i="25"/>
  <c r="E134" i="25"/>
  <c r="E135" i="25"/>
  <c r="E136" i="25"/>
  <c r="E137" i="25"/>
  <c r="E138" i="25"/>
  <c r="E139" i="25"/>
  <c r="E140" i="25"/>
  <c r="E141" i="25"/>
  <c r="E142" i="25"/>
  <c r="E143" i="25"/>
  <c r="E144" i="25"/>
  <c r="E145" i="25"/>
  <c r="E146" i="25"/>
  <c r="E147" i="25"/>
  <c r="E148" i="25"/>
  <c r="E149" i="25"/>
  <c r="E150" i="25"/>
  <c r="E151" i="25"/>
  <c r="E152" i="25"/>
  <c r="E153" i="25"/>
  <c r="E154" i="25"/>
  <c r="E155" i="25"/>
  <c r="E156" i="25"/>
  <c r="E157" i="25"/>
  <c r="E158" i="25"/>
  <c r="E159" i="25"/>
  <c r="E160" i="25"/>
  <c r="E161" i="25"/>
  <c r="E162" i="25"/>
  <c r="E163" i="25"/>
  <c r="E164" i="25"/>
  <c r="E165" i="25"/>
  <c r="E166" i="25"/>
  <c r="E167" i="25"/>
  <c r="E168" i="25"/>
  <c r="E169" i="25"/>
  <c r="E170" i="25"/>
  <c r="E171" i="25"/>
  <c r="E172" i="25"/>
  <c r="E173" i="25"/>
  <c r="E174" i="25"/>
  <c r="E175" i="25"/>
  <c r="E176" i="25"/>
  <c r="E177" i="25"/>
  <c r="E178" i="25"/>
  <c r="E179" i="25"/>
  <c r="E180" i="25"/>
  <c r="E181" i="25"/>
  <c r="E182" i="25"/>
  <c r="E183" i="25"/>
  <c r="E184" i="25"/>
  <c r="E185" i="25"/>
  <c r="E186" i="25"/>
  <c r="E187" i="25"/>
  <c r="E188" i="25"/>
  <c r="E189" i="25"/>
  <c r="E190" i="25"/>
  <c r="E191" i="25"/>
  <c r="E192" i="25"/>
  <c r="E193" i="25"/>
  <c r="E194" i="25"/>
  <c r="E195" i="25"/>
  <c r="E196" i="25"/>
  <c r="E197" i="25"/>
  <c r="E198" i="25"/>
  <c r="E199" i="25"/>
  <c r="E200" i="25"/>
  <c r="E201" i="25"/>
  <c r="E202" i="25"/>
  <c r="E203" i="25"/>
  <c r="E204" i="25"/>
  <c r="E205" i="25"/>
  <c r="E206" i="25"/>
  <c r="E207" i="25"/>
  <c r="E208" i="25"/>
  <c r="E209" i="25"/>
  <c r="E210" i="25"/>
  <c r="E211" i="25"/>
  <c r="E212" i="25"/>
  <c r="E213" i="25"/>
  <c r="E214" i="25"/>
  <c r="E215" i="25"/>
  <c r="E216" i="25"/>
  <c r="E217" i="25"/>
  <c r="E218" i="25"/>
  <c r="E219" i="25"/>
  <c r="E220" i="25"/>
  <c r="E221" i="25"/>
  <c r="E222" i="25"/>
  <c r="E223" i="25"/>
  <c r="E224" i="25"/>
  <c r="E225" i="25"/>
  <c r="E226" i="25"/>
  <c r="E227" i="25"/>
  <c r="E228" i="25"/>
  <c r="E229" i="25"/>
  <c r="E230" i="25"/>
  <c r="E231" i="25"/>
  <c r="E232" i="25"/>
  <c r="E233" i="25"/>
  <c r="E234" i="25"/>
  <c r="E235" i="25"/>
  <c r="E236" i="25"/>
  <c r="E237" i="25"/>
  <c r="E238" i="25"/>
  <c r="E239" i="25"/>
  <c r="E240" i="25"/>
  <c r="E241" i="25"/>
  <c r="E242" i="25"/>
  <c r="E243" i="25"/>
  <c r="E244" i="25"/>
  <c r="E245" i="25"/>
  <c r="E246" i="25"/>
  <c r="E247" i="25"/>
  <c r="E248" i="25"/>
  <c r="E249" i="25"/>
  <c r="E250" i="25"/>
  <c r="E251" i="25"/>
  <c r="E252" i="25"/>
  <c r="E253" i="25"/>
  <c r="E254" i="25"/>
  <c r="E255" i="25"/>
  <c r="E256" i="25"/>
  <c r="E257" i="25"/>
  <c r="E258" i="25"/>
  <c r="E259" i="25"/>
  <c r="E260" i="25"/>
  <c r="E261" i="25"/>
  <c r="E262" i="25"/>
  <c r="E263" i="25"/>
  <c r="E264" i="25"/>
  <c r="E265" i="25"/>
  <c r="E266" i="25"/>
  <c r="E267" i="25"/>
  <c r="E268" i="25"/>
  <c r="E269" i="25"/>
  <c r="E270" i="25"/>
  <c r="E271" i="25"/>
  <c r="E272" i="25"/>
  <c r="E273" i="25"/>
  <c r="E274" i="25"/>
  <c r="E275" i="25"/>
  <c r="E276" i="25"/>
  <c r="E277" i="25"/>
  <c r="E278" i="25"/>
  <c r="E279" i="25"/>
  <c r="E280" i="25"/>
  <c r="E281" i="25"/>
  <c r="E282" i="25"/>
  <c r="E283" i="25"/>
  <c r="E284" i="25"/>
  <c r="E285" i="25"/>
  <c r="E286" i="25"/>
  <c r="E287" i="25"/>
  <c r="E288" i="25"/>
  <c r="E289" i="25"/>
  <c r="E290" i="25"/>
  <c r="E291" i="25"/>
  <c r="E292" i="25"/>
  <c r="E293" i="25"/>
  <c r="E294" i="25"/>
  <c r="E295" i="25"/>
  <c r="E296" i="25"/>
  <c r="E297" i="25"/>
  <c r="E298" i="25"/>
  <c r="E299" i="25"/>
  <c r="E300" i="25"/>
  <c r="E301" i="25"/>
  <c r="E302" i="25"/>
  <c r="E303" i="25"/>
  <c r="E304" i="25"/>
  <c r="E305" i="25"/>
  <c r="E306" i="25"/>
  <c r="E307" i="25"/>
  <c r="E308" i="25"/>
  <c r="E309" i="25"/>
  <c r="E310" i="25"/>
  <c r="E311" i="25"/>
  <c r="E312" i="25"/>
  <c r="E313" i="25"/>
  <c r="E314" i="25"/>
  <c r="E315" i="25"/>
  <c r="E316" i="25"/>
  <c r="E317" i="25"/>
  <c r="E318" i="25"/>
  <c r="E319" i="25"/>
  <c r="E320" i="25"/>
  <c r="E321" i="25"/>
  <c r="E322" i="25"/>
  <c r="E323" i="25"/>
  <c r="E324" i="25"/>
  <c r="E325" i="25"/>
  <c r="E326" i="25"/>
  <c r="E327" i="25"/>
  <c r="E328" i="25"/>
  <c r="E329" i="25"/>
  <c r="E330" i="25"/>
  <c r="E331" i="25"/>
  <c r="E332" i="25"/>
  <c r="E333" i="25"/>
  <c r="E334" i="25"/>
  <c r="E335" i="25"/>
  <c r="E336" i="25"/>
  <c r="E337" i="25"/>
  <c r="E338" i="25"/>
  <c r="E339" i="25"/>
  <c r="E340" i="25"/>
  <c r="E341" i="25"/>
  <c r="E342" i="25"/>
  <c r="E343" i="25"/>
  <c r="E344" i="25"/>
  <c r="E345" i="25"/>
  <c r="E346" i="25"/>
  <c r="E347" i="25"/>
  <c r="E348" i="25"/>
  <c r="E349" i="25"/>
  <c r="E350" i="25"/>
  <c r="E351" i="25"/>
  <c r="E352" i="25"/>
  <c r="E353" i="25"/>
  <c r="E354" i="25"/>
  <c r="E355" i="25"/>
  <c r="E356" i="25"/>
  <c r="E357" i="25"/>
  <c r="E358" i="25"/>
  <c r="E359" i="25"/>
  <c r="E360" i="25"/>
  <c r="E361" i="25"/>
  <c r="E362" i="25"/>
  <c r="E363" i="25"/>
  <c r="E364" i="25"/>
  <c r="E365" i="25"/>
  <c r="E366" i="25"/>
  <c r="E367" i="25"/>
  <c r="E368" i="25"/>
  <c r="E369" i="25"/>
  <c r="E370" i="25"/>
  <c r="E371" i="25"/>
  <c r="E372" i="25"/>
  <c r="E373" i="25"/>
  <c r="E374" i="25"/>
  <c r="E375" i="25"/>
  <c r="E376" i="25"/>
  <c r="E377" i="25"/>
  <c r="E378" i="25"/>
  <c r="E379" i="25"/>
  <c r="E380" i="25"/>
  <c r="E381" i="25"/>
  <c r="E382" i="25"/>
  <c r="E383" i="25"/>
  <c r="E384" i="25"/>
  <c r="E385" i="25"/>
  <c r="E386" i="25"/>
  <c r="E387" i="25"/>
  <c r="E388" i="25"/>
  <c r="E389" i="25"/>
  <c r="E390" i="25"/>
  <c r="E391" i="25"/>
  <c r="E392" i="25"/>
  <c r="E393" i="25"/>
  <c r="E394" i="25"/>
  <c r="E395" i="25"/>
  <c r="E396" i="25"/>
  <c r="E397" i="25"/>
  <c r="E8" i="25"/>
  <c r="G397" i="25"/>
  <c r="G396" i="25"/>
  <c r="G395" i="25"/>
  <c r="G394" i="25"/>
  <c r="G393" i="25"/>
  <c r="G392" i="25"/>
  <c r="G391" i="25"/>
  <c r="G390" i="25"/>
  <c r="G389" i="25"/>
  <c r="G388" i="25"/>
  <c r="G387" i="25"/>
  <c r="G386" i="25"/>
  <c r="G385" i="25"/>
  <c r="G384" i="25"/>
  <c r="G383" i="25"/>
  <c r="G382" i="25"/>
  <c r="G381" i="25"/>
  <c r="G380" i="25"/>
  <c r="G379" i="25"/>
  <c r="G378" i="25"/>
  <c r="G377" i="25"/>
  <c r="G376" i="25"/>
  <c r="G375" i="25"/>
  <c r="G374" i="25"/>
  <c r="G373" i="25"/>
  <c r="G372" i="25"/>
  <c r="G371" i="25"/>
  <c r="G370" i="25"/>
  <c r="G369" i="25"/>
  <c r="G368" i="25"/>
  <c r="G367" i="25"/>
  <c r="G366" i="25"/>
  <c r="G365" i="25"/>
  <c r="G364" i="25"/>
  <c r="G363" i="25"/>
  <c r="G362" i="25"/>
  <c r="G361" i="25"/>
  <c r="G360" i="25"/>
  <c r="G359" i="25"/>
  <c r="G358" i="25"/>
  <c r="G357" i="25"/>
  <c r="G356" i="25"/>
  <c r="G355" i="25"/>
  <c r="G354" i="25"/>
  <c r="G353" i="25"/>
  <c r="G352" i="25"/>
  <c r="G351" i="25"/>
  <c r="G350" i="25"/>
  <c r="G349" i="25"/>
  <c r="G348" i="25"/>
  <c r="G347" i="25"/>
  <c r="G346" i="25"/>
  <c r="G345" i="25"/>
  <c r="G344" i="25"/>
  <c r="G343" i="25"/>
  <c r="G342" i="25"/>
  <c r="G341" i="25"/>
  <c r="G340" i="25"/>
  <c r="G339" i="25"/>
  <c r="G338" i="25"/>
  <c r="G337" i="25"/>
  <c r="G336" i="25"/>
  <c r="G335" i="25"/>
  <c r="G334" i="25"/>
  <c r="G333" i="25"/>
  <c r="G332" i="25"/>
  <c r="G331" i="25"/>
  <c r="G330" i="25"/>
  <c r="G329" i="25"/>
  <c r="G328" i="25"/>
  <c r="G327" i="25"/>
  <c r="G326" i="25"/>
  <c r="G325" i="25"/>
  <c r="G324" i="25"/>
  <c r="G323" i="25"/>
  <c r="G322" i="25"/>
  <c r="G321" i="25"/>
  <c r="G320" i="25"/>
  <c r="G319" i="25"/>
  <c r="G318" i="25"/>
  <c r="G317" i="25"/>
  <c r="G316" i="25"/>
  <c r="G315" i="25"/>
  <c r="G314" i="25"/>
  <c r="G313" i="25"/>
  <c r="G312" i="25"/>
  <c r="G311" i="25"/>
  <c r="G310" i="25"/>
  <c r="G309" i="25"/>
  <c r="G308" i="25"/>
  <c r="G307" i="25"/>
  <c r="G306" i="25"/>
  <c r="G305" i="25"/>
  <c r="G304" i="25"/>
  <c r="G303" i="25"/>
  <c r="G302" i="25"/>
  <c r="G301" i="25"/>
  <c r="G300" i="25"/>
  <c r="G299" i="25"/>
  <c r="G298" i="25"/>
  <c r="G297" i="25"/>
  <c r="G296" i="25"/>
  <c r="G295" i="25"/>
  <c r="G294" i="25"/>
  <c r="G293" i="25"/>
  <c r="G292" i="25"/>
  <c r="G291" i="25"/>
  <c r="G290" i="25"/>
  <c r="G289" i="25"/>
  <c r="G288" i="25"/>
  <c r="G287" i="25"/>
  <c r="G286" i="25"/>
  <c r="G285" i="25"/>
  <c r="G284" i="25"/>
  <c r="G283" i="25"/>
  <c r="G282" i="25"/>
  <c r="G281" i="25"/>
  <c r="G280" i="25"/>
  <c r="G279" i="25"/>
  <c r="G278" i="25"/>
  <c r="G277" i="25"/>
  <c r="G276" i="25"/>
  <c r="G275" i="25"/>
  <c r="G274" i="25"/>
  <c r="G273" i="25"/>
  <c r="G272" i="25"/>
  <c r="G271" i="25"/>
  <c r="G270" i="25"/>
  <c r="G269" i="25"/>
  <c r="G268" i="25"/>
  <c r="G267" i="25"/>
  <c r="G266" i="25"/>
  <c r="G265" i="25"/>
  <c r="G264" i="25"/>
  <c r="G263" i="25"/>
  <c r="G262" i="25"/>
  <c r="G261" i="25"/>
  <c r="G260" i="25"/>
  <c r="G259" i="25"/>
  <c r="G258" i="25"/>
  <c r="G257" i="25"/>
  <c r="G256" i="25"/>
  <c r="G255" i="25"/>
  <c r="G254" i="25"/>
  <c r="G253" i="25"/>
  <c r="G252" i="25"/>
  <c r="G251" i="25"/>
  <c r="G250" i="25"/>
  <c r="G249" i="25"/>
  <c r="G248" i="25"/>
  <c r="G247" i="25"/>
  <c r="G246" i="25"/>
  <c r="G245" i="25"/>
  <c r="G244" i="25"/>
  <c r="G243" i="25"/>
  <c r="G242" i="25"/>
  <c r="G241" i="25"/>
  <c r="G240" i="25"/>
  <c r="G239" i="25"/>
  <c r="G238" i="25"/>
  <c r="G237" i="25"/>
  <c r="G236" i="25"/>
  <c r="G235"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4" i="25"/>
  <c r="G43" i="25"/>
  <c r="G42" i="25"/>
  <c r="G41" i="25"/>
  <c r="G40" i="25"/>
  <c r="G39" i="25"/>
  <c r="G38" i="25"/>
  <c r="G37" i="25"/>
  <c r="G36" i="25"/>
  <c r="G35" i="25"/>
  <c r="G34" i="25"/>
  <c r="G33" i="25"/>
  <c r="G32" i="25"/>
  <c r="G31" i="25"/>
  <c r="G30" i="25"/>
  <c r="G29" i="25"/>
  <c r="G28" i="25"/>
  <c r="G27" i="25"/>
  <c r="G26" i="25"/>
  <c r="G25" i="25"/>
  <c r="G24" i="25"/>
  <c r="G23" i="25"/>
  <c r="G22" i="25"/>
  <c r="G21" i="25"/>
  <c r="G20" i="25"/>
  <c r="G19" i="25"/>
  <c r="G18" i="25"/>
  <c r="G17" i="25"/>
  <c r="G16" i="25"/>
  <c r="G15" i="25"/>
  <c r="G14" i="25"/>
  <c r="G13" i="25"/>
  <c r="G12" i="25"/>
  <c r="G11" i="25"/>
  <c r="G10" i="25"/>
  <c r="G9" i="25"/>
  <c r="G8" i="25"/>
  <c r="H343" i="6"/>
  <c r="H339" i="6"/>
  <c r="H334" i="6"/>
  <c r="H332" i="6"/>
  <c r="H329" i="6"/>
  <c r="H327" i="6"/>
  <c r="H322" i="6"/>
  <c r="H316" i="6"/>
  <c r="H310" i="6"/>
  <c r="H309" i="6"/>
  <c r="H308" i="6"/>
  <c r="H305" i="6"/>
  <c r="H303" i="6"/>
  <c r="H302" i="6"/>
  <c r="H301" i="6"/>
  <c r="H298" i="6"/>
  <c r="H297" i="6"/>
  <c r="H293" i="6"/>
  <c r="H292" i="6"/>
  <c r="H290" i="6"/>
  <c r="H288" i="6"/>
  <c r="H286" i="6"/>
  <c r="H285" i="6"/>
  <c r="H284" i="6"/>
  <c r="H281" i="6"/>
  <c r="H280" i="6"/>
  <c r="H279" i="6"/>
  <c r="H278" i="6"/>
  <c r="H274" i="6"/>
  <c r="H273" i="6"/>
  <c r="H17" i="6" l="1"/>
  <c r="H174" i="6"/>
  <c r="H194" i="6"/>
  <c r="H226" i="6"/>
  <c r="H5" i="6"/>
  <c r="H82" i="6"/>
  <c r="H112" i="6"/>
  <c r="H95" i="6"/>
  <c r="H164" i="6"/>
  <c r="H204" i="6"/>
  <c r="H217" i="6"/>
  <c r="H252" i="6"/>
  <c r="H178" i="6"/>
  <c r="H182" i="6"/>
  <c r="H42" i="6"/>
  <c r="H149" i="6"/>
  <c r="H231" i="6"/>
  <c r="H180" i="6"/>
  <c r="H132" i="6"/>
  <c r="H200" i="6"/>
  <c r="H232" i="6"/>
  <c r="H206" i="6"/>
  <c r="H224" i="6"/>
  <c r="H14" i="6"/>
  <c r="H188" i="6"/>
  <c r="H50" i="6"/>
  <c r="H56" i="6"/>
  <c r="H9" i="6"/>
  <c r="H86" i="6"/>
  <c r="H39" i="6"/>
  <c r="H110" i="6"/>
  <c r="H116" i="6"/>
  <c r="H146" i="6"/>
  <c r="H156" i="6"/>
  <c r="H215" i="6"/>
  <c r="H202" i="6"/>
  <c r="H234" i="6"/>
  <c r="H160" i="6"/>
  <c r="H91" i="6"/>
  <c r="H114" i="6"/>
  <c r="H136" i="6"/>
  <c r="H10" i="6"/>
  <c r="H166" i="6"/>
  <c r="H28" i="6"/>
  <c r="H248" i="6"/>
  <c r="H324" i="6"/>
  <c r="H331" i="6"/>
  <c r="H319" i="6"/>
  <c r="H295" i="6"/>
  <c r="H271" i="6"/>
  <c r="H157" i="6"/>
  <c r="H249" i="6"/>
  <c r="H256" i="6"/>
  <c r="H158" i="6"/>
  <c r="H242" i="6"/>
  <c r="H40" i="6"/>
  <c r="H148" i="6"/>
  <c r="H190" i="6"/>
  <c r="H36" i="6"/>
  <c r="H246" i="6"/>
  <c r="H264" i="6"/>
  <c r="H46" i="6"/>
  <c r="H58" i="6"/>
  <c r="H76" i="6"/>
  <c r="H122" i="6"/>
  <c r="H144" i="6"/>
  <c r="H154" i="6"/>
  <c r="H168" i="6"/>
  <c r="H184" i="6"/>
  <c r="H198" i="6"/>
  <c r="H150" i="6"/>
  <c r="H66" i="6"/>
  <c r="H140" i="6"/>
  <c r="H210" i="6"/>
  <c r="H277" i="6"/>
  <c r="H34" i="6"/>
  <c r="H162" i="6"/>
  <c r="H165" i="6"/>
  <c r="H218" i="6"/>
  <c r="H258" i="6"/>
  <c r="H233" i="6"/>
  <c r="H269" i="6"/>
  <c r="H25" i="6"/>
  <c r="H129" i="6"/>
  <c r="H153" i="6"/>
  <c r="H197" i="6"/>
  <c r="H245" i="6"/>
  <c r="H261" i="6"/>
  <c r="H33" i="6"/>
  <c r="H147" i="6"/>
  <c r="H195" i="6"/>
  <c r="H211" i="6"/>
  <c r="H227" i="6"/>
  <c r="H243" i="6"/>
  <c r="H259" i="6"/>
  <c r="H7" i="6"/>
  <c r="H30" i="6"/>
  <c r="H119" i="6"/>
  <c r="H141" i="6"/>
  <c r="H161" i="6"/>
  <c r="H193" i="6"/>
  <c r="H209" i="6"/>
  <c r="H225" i="6"/>
  <c r="H241" i="6"/>
  <c r="H257" i="6"/>
  <c r="H21" i="6"/>
  <c r="H29" i="6"/>
  <c r="H163" i="6"/>
  <c r="H213" i="6"/>
  <c r="H229" i="6"/>
  <c r="H151" i="6"/>
  <c r="H191" i="6"/>
  <c r="H207" i="6"/>
  <c r="H223" i="6"/>
  <c r="H19" i="6"/>
  <c r="H23" i="6"/>
  <c r="H109" i="6"/>
  <c r="H145" i="6"/>
  <c r="H159" i="6"/>
  <c r="H167" i="6"/>
  <c r="H205" i="6"/>
  <c r="H221" i="6"/>
  <c r="H60" i="6"/>
  <c r="H64" i="6"/>
  <c r="H68" i="6"/>
  <c r="H102" i="6"/>
  <c r="H203" i="6"/>
  <c r="H219" i="6"/>
  <c r="H265" i="6"/>
  <c r="H15" i="6"/>
  <c r="H44" i="6"/>
  <c r="H48" i="6"/>
  <c r="H74" i="6"/>
  <c r="H93" i="6"/>
  <c r="H97" i="6"/>
  <c r="H101" i="6"/>
  <c r="H104" i="6"/>
  <c r="H126" i="6"/>
  <c r="H133" i="6"/>
  <c r="H328" i="6"/>
  <c r="H304" i="6"/>
  <c r="H296" i="6"/>
  <c r="H272" i="6"/>
  <c r="H307" i="6"/>
  <c r="H283" i="6"/>
  <c r="H134" i="6"/>
  <c r="H155" i="6"/>
  <c r="H169" i="6"/>
  <c r="H171" i="6"/>
  <c r="H173" i="6"/>
  <c r="H175" i="6"/>
  <c r="H177" i="6"/>
  <c r="H179" i="6"/>
  <c r="H181" i="6"/>
  <c r="H183" i="6"/>
  <c r="H185" i="6"/>
  <c r="H187" i="6"/>
  <c r="H189" i="6"/>
  <c r="H120" i="6"/>
  <c r="H131" i="6"/>
  <c r="H142" i="6"/>
  <c r="G3" i="28"/>
  <c r="G4" i="28" s="1"/>
  <c r="G5" i="28" s="1"/>
  <c r="H381" i="6"/>
  <c r="H373" i="6"/>
  <c r="H365" i="6"/>
  <c r="H357" i="6"/>
  <c r="H349" i="6"/>
  <c r="H341" i="6"/>
  <c r="H333" i="6"/>
  <c r="H325" i="6"/>
  <c r="H317" i="6"/>
  <c r="H55" i="6"/>
  <c r="H267" i="6"/>
  <c r="H77" i="6"/>
  <c r="H103" i="6"/>
  <c r="H4" i="6"/>
  <c r="H18" i="6"/>
  <c r="H38" i="6"/>
  <c r="H49" i="6"/>
  <c r="H59" i="6"/>
  <c r="H67" i="6"/>
  <c r="H85" i="6"/>
  <c r="H92" i="6"/>
  <c r="H100" i="6"/>
  <c r="H113" i="6"/>
  <c r="H130" i="6"/>
  <c r="H11" i="6"/>
  <c r="H70" i="6"/>
  <c r="H81" i="6"/>
  <c r="H88" i="6"/>
  <c r="H106" i="6"/>
  <c r="H8" i="6"/>
  <c r="H22" i="6"/>
  <c r="H35" i="6"/>
  <c r="H45" i="6"/>
  <c r="H63" i="6"/>
  <c r="H96" i="6"/>
  <c r="H12" i="6"/>
  <c r="H26" i="6"/>
  <c r="H53" i="6"/>
  <c r="H71" i="6"/>
  <c r="H78" i="6"/>
  <c r="H89" i="6"/>
  <c r="H107" i="6"/>
  <c r="H124" i="6"/>
  <c r="H137" i="6"/>
  <c r="H16" i="6"/>
  <c r="H27" i="6"/>
  <c r="H57" i="6"/>
  <c r="H75" i="6"/>
  <c r="H79" i="6"/>
  <c r="H108" i="6"/>
  <c r="H121" i="6"/>
  <c r="H138" i="6"/>
  <c r="H268" i="6"/>
  <c r="H6" i="6"/>
  <c r="H13" i="6"/>
  <c r="H20" i="6"/>
  <c r="H24" i="6"/>
  <c r="H43" i="6"/>
  <c r="H47" i="6"/>
  <c r="H54" i="6"/>
  <c r="H61" i="6"/>
  <c r="H65" i="6"/>
  <c r="H69" i="6"/>
  <c r="H72" i="6"/>
  <c r="H83" i="6"/>
  <c r="H90" i="6"/>
  <c r="H94" i="6"/>
  <c r="H98" i="6"/>
  <c r="H115" i="6"/>
  <c r="H118" i="6"/>
  <c r="H125" i="6"/>
  <c r="H128" i="6"/>
  <c r="H135" i="6"/>
  <c r="H266" i="6"/>
  <c r="H31" i="6"/>
  <c r="H37" i="6"/>
  <c r="H51" i="6"/>
  <c r="H87" i="6"/>
  <c r="H105" i="6"/>
  <c r="H139" i="6"/>
  <c r="G3" i="30"/>
  <c r="G4" i="30" s="1"/>
  <c r="G5" i="30" s="1"/>
  <c r="H41" i="6"/>
  <c r="H52" i="6"/>
  <c r="H73" i="6"/>
  <c r="H84" i="6"/>
  <c r="H111" i="6"/>
  <c r="H127" i="6"/>
  <c r="H143" i="6"/>
  <c r="H99" i="6"/>
  <c r="G3" i="29"/>
  <c r="G4" i="29" s="1"/>
  <c r="G5" i="29" s="1"/>
  <c r="H389" i="6"/>
  <c r="G3" i="27"/>
  <c r="G4" i="27" s="1"/>
  <c r="G5" i="27" s="1"/>
  <c r="H235" i="6"/>
  <c r="H237" i="6"/>
  <c r="H239" i="6"/>
  <c r="H247" i="6"/>
  <c r="H251" i="6"/>
  <c r="H253" i="6"/>
  <c r="H255" i="6"/>
  <c r="H263" i="6"/>
  <c r="N123" i="6"/>
  <c r="H123" i="6" s="1"/>
  <c r="H392" i="6"/>
  <c r="H384" i="6"/>
  <c r="H376" i="6"/>
  <c r="H368" i="6"/>
  <c r="H360" i="6"/>
  <c r="H352" i="6"/>
  <c r="H344" i="6"/>
  <c r="H336" i="6"/>
  <c r="H320" i="6"/>
  <c r="H312" i="6"/>
  <c r="H387" i="6"/>
  <c r="H379" i="6"/>
  <c r="H371" i="6"/>
  <c r="H363" i="6"/>
  <c r="H355" i="6"/>
  <c r="H347" i="6"/>
  <c r="H323" i="6"/>
  <c r="H315" i="6"/>
  <c r="H299" i="6"/>
  <c r="H291" i="6"/>
  <c r="H275" i="6"/>
  <c r="H390" i="6"/>
  <c r="H382" i="6"/>
  <c r="H374" i="6"/>
  <c r="H366" i="6"/>
  <c r="H358" i="6"/>
  <c r="H350" i="6"/>
  <c r="H342" i="6"/>
  <c r="H326" i="6"/>
  <c r="H318" i="6"/>
  <c r="H294" i="6"/>
  <c r="H270" i="6"/>
  <c r="H393" i="6"/>
  <c r="H385" i="6"/>
  <c r="H377" i="6"/>
  <c r="H369" i="6"/>
  <c r="H361" i="6"/>
  <c r="H353" i="6"/>
  <c r="H345" i="6"/>
  <c r="H337" i="6"/>
  <c r="H321" i="6"/>
  <c r="H313" i="6"/>
  <c r="H289" i="6"/>
  <c r="H388" i="6"/>
  <c r="H380" i="6"/>
  <c r="H372" i="6"/>
  <c r="H364" i="6"/>
  <c r="H356" i="6"/>
  <c r="H348" i="6"/>
  <c r="H340" i="6"/>
  <c r="H300" i="6"/>
  <c r="H276" i="6"/>
  <c r="H391" i="6"/>
  <c r="H383" i="6"/>
  <c r="H375" i="6"/>
  <c r="H367" i="6"/>
  <c r="H359" i="6"/>
  <c r="H351" i="6"/>
  <c r="H335" i="6"/>
  <c r="H311" i="6"/>
  <c r="H287" i="6"/>
  <c r="H386" i="6"/>
  <c r="H378" i="6"/>
  <c r="H370" i="6"/>
  <c r="H362" i="6"/>
  <c r="H354" i="6"/>
  <c r="H346" i="6"/>
  <c r="H338" i="6"/>
  <c r="H330" i="6"/>
  <c r="H314" i="6"/>
  <c r="H306" i="6"/>
  <c r="H282" i="6"/>
  <c r="G3" i="26"/>
  <c r="G4" i="26" s="1"/>
  <c r="G5" i="26" s="1"/>
  <c r="G3" i="25"/>
  <c r="G4" i="25" s="1"/>
  <c r="G5" i="25" s="1"/>
</calcChain>
</file>

<file path=xl/sharedStrings.xml><?xml version="1.0" encoding="utf-8"?>
<sst xmlns="http://schemas.openxmlformats.org/spreadsheetml/2006/main" count="4074" uniqueCount="1152">
  <si>
    <t>No</t>
    <phoneticPr fontId="1" type="noConversion"/>
  </si>
  <si>
    <t>코드</t>
    <phoneticPr fontId="1" type="noConversion"/>
  </si>
  <si>
    <t>문제</t>
    <phoneticPr fontId="1" type="noConversion"/>
  </si>
  <si>
    <t>정답</t>
    <phoneticPr fontId="1" type="noConversion"/>
  </si>
  <si>
    <t>오답
횟수</t>
    <phoneticPr fontId="1" type="noConversion"/>
  </si>
  <si>
    <t>1-2023-076</t>
    <phoneticPr fontId="1" type="noConversion"/>
  </si>
  <si>
    <t>76. 사회보장기본법령에 관한 설명으로 옳은 것은?
① 국가와 지방자치단체는 모든 국민의 인간다운 생활과 자립, 사회참여, 자아실현 등을 지원하여 삶의 질이 향상될 수 있도록 사회서비스에 관한 시책을 마련하여야 한다.
② 보건복지부장관은 제공받은 사회보장 행정데이터의 원활한 분석, 활용 등을 위하여 사회보장 행정데이터 분석센터를 설치・운영하여야 한다.
③ 부담 능력이 있는 국민에 대한 사회서비스에 드는 비용은 국가가 부담함을 원칙으로 한다.
④ 사회보장수급권을 포기하는 것이 다른 사람에게 피해를 주는 경우에는 사회보장수급권을 포기할 수 있다.
⑤ 보건복지부장관은 재정추계의 결과를 사회보장위원회의 심의를 거쳐 같은 해 9월 30일까지 관계 중앙행정기관의 장에게 통보하여야 한다.</t>
  </si>
  <si>
    <t>1-2023-077</t>
  </si>
  <si>
    <t>77. 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
① 1개
② 2개
③ 3개
④ 4개
⑤ 5개</t>
  </si>
  <si>
    <t>1-2023-078</t>
  </si>
  <si>
    <t>78. 사회보장기본법에 관한 설명으로 옳은 것은?
① 사회보장수급권은 정당한 권한이 있는 기관에 서면이나 구두로 포기할 수 있다.
② 고용노동부장관은 관계 중앙행정기관의 장과 협의하여 사회보장에 관한 기본계획을 5년마다 수립하여야 한다.
③ 국가와 지방자치단체는 효과적인 사회보장정책의 수립・시행을 위하여 사회보장에 관한 통계를 작성・관리할 수 있다.
④ 국가는 사회보장제도의 안정적인 운영을 위하여 중장기 사회보장 재정추계를 매년 실시하고 이를 공표하여야 한다.
⑤ 국가와 지방자치단체는 평생사회안전망을 구축・운영함에 있어 사회적 취약계층을 위한 공공부조를 마련하여 최저생활을 보장하여야 한다.</t>
  </si>
  <si>
    <t>1-2023-079</t>
  </si>
  <si>
    <t>79. 고용보험법령상 구직급여에 관한 설명으로 옳지 않은 것은?
① 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
② 구직급여는 수급자격자가 실업한 상태에 있는 날 중에서 직업안정기관의 장으로부터 실업의 인정을 받은 날에 대하여 지급한다.
③ 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
④ 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
⑤ 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t>
    <phoneticPr fontId="1" type="noConversion"/>
  </si>
  <si>
    <t>1-2023-080</t>
  </si>
  <si>
    <t>1-2023-081</t>
  </si>
  <si>
    <t>81. 고용보험법령상 예술인인 피보험자가 임신 13주차에 유산을 한 경우 출산전후급여등의 지급기간은?
① 5일
② 10일
③ 15일
④ 20일
⑤ 30일</t>
    <phoneticPr fontId="1" type="noConversion"/>
  </si>
  <si>
    <t>1-2023-082</t>
  </si>
  <si>
    <t>1-2023-083</t>
  </si>
  <si>
    <t>83. 고용보험법상 고용보험심사관(이하 '심사관'이라 한다)에 관한 설명으로 옳지 않은 것은?
① 실업급여에 관한 처분에 이의가 있는 자는 심사관에게 심사를 청구할 수 있다.
② 심사관은 심사청구를 받으면 30일 이내에 그 심사청구에 대한 결정을 하여야 한다. 다만, 부득이한 사정으로 그 기간에 결정할 수 없을 때에는 한 차례만 10일을 넘지 아니하는 범위에서 그 기간을 연장할 수 있다.
③ 심사관은 심사의 청구에 대한 심리를 위하여 필요하다고 인정하면 심사청구인의 신청 또는 직권으로 심사청구인 또는 관계인을 지정 장소에 출석하게 하여 질문하거나 의견을 진술하게 할 수 있다.
④ 당사자는 심사관에게 심리・결정의 공정을 기대하기 어려운 사정이 있으면 그 심사관에 대한 기피신청을 고용노동부장관에게 할 수 있다.
⑤ 직업안정기관 또는 근로복지공단은 심사청구서를 받은 날부터 14일 이내에 의견서를 첨부하여 심사청구서를 심사관에게 보내야 한다.</t>
  </si>
  <si>
    <t>1-2023-084</t>
  </si>
  <si>
    <t>1-2023-085</t>
  </si>
  <si>
    <t>85. 고용보험법령상 고용노동부장관이 고용환경 개선, 근무형태 변경 등으로 고용의 기회를 확대한 사업주에게 임금의 일부를 지원할 수 있는 경우가 아닌 것은?
① 직무의 분할 등을 통하여 실업자를 근로계약기간을 정하지 않고 시간제로 근무하는 형태로 하여 새로 고용하는 경우
② 고용보험위원회에서 심의・의결한 국내복귀기업  또는 지역특화산업 등 고용지원이 필요한 업종에 해당하는 기업이 실업자를 고용하는 경우
③ 고용보험위원회에서 심의・의결한 업종에 해당하는 우선지원대상기업이 고용노동부장관이 정하는 전문적인 자격을 갖춘 자를 고용하는 경우
④ 임금을 감액하는 제도 또는 그 밖의 임금체계 개편 등을 통하여 18세 이상 35세 이하의 청년 실업자를 고용하는 경우
⑤ 고용노동부장관이 「고용상 연령차별 금지 및 고령자고용촉진에 관한 법률」에 따른 고령자가 근무하기에 적합한 것으로 인정하는 직무에 고령자를 새로 고용하는 경우</t>
  </si>
  <si>
    <t>1-2023-086</t>
  </si>
  <si>
    <t>86. 산업재해보상보험법상 진폐에 따른 보험급여 종류를 모두 고른 것은?
ㄱ. 장례비
ㄴ. 휴업급여
ㄷ. 직업재활급여
ㄹ. 간병급여
ㅁ. 유족급여
① ㄱ, ㄹ
② ㄱ, ㄴ, ㅁ
③ ㄱ, ㄷ, ㄹ
④ ㄴ, ㄷ, ㄹ, ㅁ
⑤ ㄱ, ㄴ, ㄷ, ㄹ, ㅁ</t>
    <phoneticPr fontId="1" type="noConversion"/>
  </si>
  <si>
    <t>1-2023-087</t>
  </si>
  <si>
    <t>1-2023-088</t>
  </si>
  <si>
    <t>88. 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특수형태근로종사자로부터 노무를 제공받지 아니하게 된 경우에 이를 대통령령으로 정하는 바에 따라 근로복지공단에 신고를 하지 아니한 사업주
① ㄱ
② ㄴ
③ ㄱ, ㄷ
④ ㄴ, ㄷ
⑤ ㄱ, ㄴ, ㄷ</t>
    <phoneticPr fontId="1" type="noConversion"/>
  </si>
  <si>
    <t>1-2023-089</t>
  </si>
  <si>
    <t>89. 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
① ㄱ, ㄴ
② ㄱ, ㄷ
③ ㄴ, ㄷ
④ ㄴ, ㄹ
⑤ ㄷ, ㄹ</t>
    <phoneticPr fontId="1" type="noConversion"/>
  </si>
  <si>
    <t>1-2023-090</t>
  </si>
  <si>
    <t>90. 산업재해보상보험법령상 업무상 사고에 해당하지 않는 것은?
① 근로자가 근로계약에 따른 업무수행 행위를 하던 중 발생한 사고
② 업무를 준비하는 행위를 하던 중 발생한 사고
③ 천재지변・화재 등 사업장 내에 발생한 돌발적인 사고에 따른 긴급피난・구조행위 등 사회통념상 예견되는 행위를 하던 중에 발생한 사고
④ 사업장 밖에서 업무를 수행하던 중 사업주의 구체적인 지시를 위반한 행위로 인한 사고
⑤ 휴게시간 중 사업주의 지배관리하에 있다고 볼 수 있는 행위로 발생한 사고</t>
  </si>
  <si>
    <t>1-2023-091</t>
  </si>
  <si>
    <t>91. 산업재해보상보험법령상 업무상질병판정위원회의 심의에서 제외되는 질병이 아닌 것은?
① 진폐
② 이황화탄소 중독증
③ 유해・위험요인에 지속적으로 소량 노출되어 나타나는 만성 중독 증상 또는 소견 등의 질병
④ 「한국산업안전보건공단법」에 따른 한국산업안전보건공단에 자문한 결과 업무와의 관련성이 높다고 인정된 질병
⑤ 업무와 그 질병 사이에 상당인과관계가 있는지를 명백히 알 수 있는 경우로서 근로복지공단이 정하는 질병</t>
  </si>
  <si>
    <t>1-2023-092</t>
  </si>
  <si>
    <t>1-2023-093</t>
  </si>
  <si>
    <t>1-2023-094</t>
  </si>
  <si>
    <t>1-2023-095</t>
  </si>
  <si>
    <t>1-2023-096</t>
  </si>
  <si>
    <t>96. 국민건강보험법령상 보험료에 관한 설명으로 옳은 것은?
① 가입자의 자격을 취득한 날이 속하는 달의 다음 달부터 가입자의 자격을 잃은 날이 속하는 달까지 징수한다.
② 직장가입자의 소득월액보험료는 사용자가 납부한다.
③ 보험료 납부의무가 있는 자는 가입자에 대한 그 달의 보험료를 그 달 말일까지 납부하여야 한다.
④ 직장가입자의 보험료율은 1만분의 709로 한다.
⑤ 60세 이상인 사람은 보험료 경감대상이 될 수 있다.</t>
    <phoneticPr fontId="1" type="noConversion"/>
  </si>
  <si>
    <t>1-2023-097</t>
  </si>
  <si>
    <t>97. 국민건강보험법령상 건강검진에 관한 설명으로 옳지 않은 것은?
① 사무직에 종사하지 않는 직장가입자에 대해서는 1년에 1회 실시한다.
② 검진기관이 건강검진을 받은 사람에게 직접 통보한 경우에는 국민건강보험공단은 그 통보를 생략할 수 있다.
③ 직장가입자, 세대주인 지역가입자, 18세 이상인 지역가입자는 일반건강검진 대상이다.
④ 영유아건강검진 대상은 6세 미만의 가입자 및 피부양자이다.
⑤ 국민건강보험공단은 직장가입자에게 실시하는 일반건강검진의 실시에 관한 사항을 해당 사용자에게 통보해야 한다.</t>
    <phoneticPr fontId="1" type="noConversion"/>
  </si>
  <si>
    <t>1-2023-099</t>
  </si>
  <si>
    <t>99. 고용보험 및 산업재해보상보험의 보험료징수 등에 관한 법령상 예술인과 이들을 상대방으로 하여 문화예술용역 관련 계약을 체결한 사업의 사업주에 대한 고용보험료율은?
① 1천분의 8
② 1천분의 16
③ 1천분의 24
④ 1천분의 32
⑤ 1천분의 40</t>
    <phoneticPr fontId="1" type="noConversion"/>
  </si>
  <si>
    <t>1-2023-100</t>
  </si>
  <si>
    <t>1-2021-076</t>
    <phoneticPr fontId="1" type="noConversion"/>
  </si>
  <si>
    <t>1-2021-077</t>
  </si>
  <si>
    <t>77. 사회보장기본법령상 사회보장위원회에 관한 내용으로 옳지 않은 것은?
① 사회보장위원회의 부위원장은 기획재정부장관, 교육부장관 및 보건복지부장관이 된다.
② 사회보장위원회의 사무를 효율적으로 처리하기 위하여 보건복지부에 사무국을 둔다.
③ 사회보장위원회에 간사 1명을 두고, 간사는 보건복지부 사회복지정책실장으로 한다.
④ 대통령은 위촉한 사회보장위원회의 위원이 직무와 관련된 비위사실이 있는 경우에는 해당 위원을 해촉할 수 있다.
⑤ 사회보장위원회에 두는 실무위원회는 공동위원장 2명을 포함하여 30명 이내의 위원으로 구성한다.</t>
    <phoneticPr fontId="1" type="noConversion"/>
  </si>
  <si>
    <t>1-2021-078</t>
  </si>
  <si>
    <t>78. 사회보장기본법령상 사회보장수급권에 관한 내용으로 옳지 않은 것은?
① 사회보장수급권이 정지되는 경우에는 정지하는 목적에 필요한 최소한의 범위에 그쳐야 한다.
② 사회보장수급권은 관계 법령에서 정하는 바에 따라 타인에게 양도할 수 있다.
③ 사회보장수급권은 관계 법령에서 따로 정하고 있는 경우에는 제한될 수 있다.
④ 사회보장수급권은 관계 법령에서 정하는 바에 따라 타인에게 담보로 제공할 수 없다.
⑤ 사회보장수급권을 포기하는 것이 다른 사람에게 피해를 주는 경우에는 사회보장수급권을 포기할 수 없다.</t>
    <phoneticPr fontId="1" type="noConversion"/>
  </si>
  <si>
    <t>1-2021-079</t>
  </si>
  <si>
    <t>1-2021-080</t>
  </si>
  <si>
    <t>80. 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
① 120일
② 180일
③ 210일
④ 240일
⑤ 270일</t>
    <phoneticPr fontId="1" type="noConversion"/>
  </si>
  <si>
    <t>1-2021-081</t>
  </si>
  <si>
    <t>1-2021-082</t>
  </si>
  <si>
    <t>1-2021-083</t>
  </si>
  <si>
    <t>83. 고용보험법령상 피보험자격에 관한 내용으로 옳지 않은 것은?
① 사업주는 그 사업에 고용된 근로자의 피보험자격 취득에 관한 사항을 신고하려는 경우 그 사유가 발생한 날이 속하는 달의 다음 달 말일까지 고용노동부장관에게 신고해야 한다.
② 사업주가 그 사업에 고용된 근로자의 피보험자격의 취득에 관한 사항을 신고하지 아니하면 근로자가 근로계약서 등 고용관계를 증명할 수 있는 서류를 제출하여 신고할 수 있다.
③ 자영업자인 피보험자는 피보험자격의 취득 및 상실에 관한 신고를 하지 아니한다.
④ 근로자가 보험관계가 성립되어 있는 둘 이상의 사업에 동시에 고용되어 있는 경우에는 고용노동부령으로 정하는 바에 따라 그 중 한 사업의 근로자로서의 피보험자격을 취득한다.
⑤ 피보험자는 언제든지 고용노동부장관에게 피보험자격의 취득 또는 상실에 관한 확인을 청구할 수 있다.</t>
    <phoneticPr fontId="1" type="noConversion"/>
  </si>
  <si>
    <t>1-2021-084</t>
  </si>
  <si>
    <t>84. 고용보험법령상 자영업자인 피보험자에 대한 실업급여 적용의 특례에 관한 내용으로 옳은 것은?
① 자영업자인 피보험자의 실업급여의 종류에는 광역 구직활동비가 포함되지 않는다.
② 폐업일 이전 12개월간 자영업자인 피보험자로서 갖춘 피보험 단위기간이 합산하여 6개월이면 구직급여를 지급한다.
③ 자영업자인 피보험자로서 폐업한 수급자격자에 대한 구직급여일액은 그 수급자격자의 기초일액에 100분의 60을 곱한 금액으로 한다.
④ 고용노동부장관은 자영업자의 피보험기간이 3년이면서 보험료 체납 횟수가 1회인 경우 실업급여를 지급하지 아니한다.
⑤ 자영업자의 실업급여를 받을 권리는 양도하거나 담보로 제공할 수 있다.</t>
    <phoneticPr fontId="1" type="noConversion"/>
  </si>
  <si>
    <t>1-2021-085</t>
  </si>
  <si>
    <t>1-2021-086</t>
  </si>
  <si>
    <t>86. 산업재해보상보험법령상 업무상질병판정위원회에 관한 내용으로 옳지 않은 것은?
① 한의사는 업무상질병판정위원회의 위원이 될 수 있다.
② 업무상질병판정위원회의 위원장과 위원의 임기는 2년으로 하되, 연임할 수 있다.
③ 이황화탄소 중독증은 업무상질병판정위원회의 심의에서 제외되는 질병에 해당한다.
④ 업무상질병판정위원회는 부득이한 사유로 심의를 의뢰받은 날부터 60일 이내에 심의를 마칠 수 없으면 20일 단위로 두 차례 연장할 수 있다.
⑤ 업무상질병판정위원회의 원활한 운영을 위하여 필요하면 위원장이 지명하는 위원이 회의를 주재할 수 있다.</t>
    <phoneticPr fontId="1" type="noConversion"/>
  </si>
  <si>
    <t>1-2021-087</t>
  </si>
  <si>
    <t>87. 산업재해보상보험법령상 보험급여에 관한 내용으로 옳지 않은 것은?
① 장해보상연금의 수급권자가 재요양을 받는 경우에도 그 연금의 지급을 정지하지 아니한다.
② 진폐유족연금의 지급은 그 지급사유가 발생한 달의 다음 달 첫날부터 시작된다.
③ 유족보상연금 수급자격자인 손자녀 또는 형제자매가 19세가 된 때에는 그 자격을 잃는다.
④ 요양급여를 받는 근로자가 요양을 시작한 지 1년이 지난 이후에 취업하지 못하면 휴업급여 대신 상병보상연금을 그 근로자에게 지급한다.
⑤ 장해보상연금은 그 지급을 정지할 사유가 발생한 때에는 그 사유가 발생한 달의 다음 달 첫날부터 그 사유가 소멸한 달의 말일까지 지급하지 아니한다.</t>
    <phoneticPr fontId="1" type="noConversion"/>
  </si>
  <si>
    <t>1-2021-088</t>
  </si>
  <si>
    <t>1-2021-089</t>
  </si>
  <si>
    <t>1-2021-090</t>
  </si>
  <si>
    <t>90. 산업재해보상보험법령상 간병 및 이송에 관한 내용으로 옳지 않은 것은?
① 요양 중인 근로자가 회복실에서 요양 중인 경우 그 기간에는 별도의 간병을 제공하지 않는다.
② 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
③ 해당 근로자의 13세 이상의 자녀 또는 형제자매도 간병을 할 수 있는 사람이다.
④ 간병의 대상이 되는 근로자의 부상・질병 상태 등이 전문적인 간병을 필요로 하는 경우에는 의료법에 따른 간호사만 간병을 하도록 할 수 있다.
⑤ 해당 근로자의 부상・질병 상태로 보아 이송 시 간호인의 동행이 필요하다고 인정되는 경우에는 간호인 1명이 동행할 수 있으나, 의학적으로 특별히 필요하다고 인정되는 경우에는 2명까지 동행할 수 있다.</t>
  </si>
  <si>
    <t>1-2021-091</t>
  </si>
  <si>
    <t>1-2021-092</t>
  </si>
  <si>
    <t>92. 국민연금법령에 관한 내용으로 옳지 않은 것은?
① 국민기초생활 보장법에 따른 생계급여 수급자는 지역가입자에서 제외된다.
② 지역가입자가 국적을 상실한 때에는 그에 해당하게 된 날에 그 자격을 상실한다.
③ 지역가입자가 사업장가입자의 자격을 취득한 때에는 그에 해당하게 된 날에 그 자격을 상실한다.
④ 임의가입자는 가입 신청이 수리된 날에 자격을 취득한다.
⑤ 사립학교교직원 연금법을 적용받는 사립학교 교직원은 국민연금 가입대상에서 제외된다.</t>
    <phoneticPr fontId="1" type="noConversion"/>
  </si>
  <si>
    <t>1-2021-093</t>
  </si>
  <si>
    <t>93. 국민건강보험법령상 일반건강검진의 대상이 아닌 자는?
① 직장가입자
② 6세 미만의 피부양자
③ 20세 이상인 지역가입자
④ 20세 이상인 피부양자
⑤ 세대주인 지역가입자</t>
    <phoneticPr fontId="1" type="noConversion"/>
  </si>
  <si>
    <t>1-2021-094</t>
  </si>
  <si>
    <t>94. 국민건강보험법령상 보험가입자의 자격 상실 시기로 옳은 것을 모두 고른 것은?
ㄱ. 사망한 날
ㄴ. 국적을 잃은 날
ㄷ. 국내에 거주하지 아니하게 된 날
ㄹ. 직장가입자의 피부양자가 된 날
① ㄹ
② ㄱ, ㄷ
③ ㄱ, ㄴ, ㄷ
④ ㄴ, ㄷ, ㄹ
⑤ ㄱ, ㄴ, ㄷ, ㄹ</t>
    <phoneticPr fontId="1" type="noConversion"/>
  </si>
  <si>
    <t>1-2021-095</t>
  </si>
  <si>
    <t>95. 고용보험 및 산업재해보상보험의 보험료 징수 등에 관한 법령상 보험료의 부과 및 징수에 관한 내용으로 옳은 것은?
① 건설업 중 건설장비운영업은 보험료의 월별 부과・징수 제외대상 사업에 해당한다.
② 임업 중 벌목업은 보험료의 월별 부과・징수 대상 사업에 해당한다.
③ 근로복지공단은 사업주에게 납부기한 20일 전까지 월별보험료의 납입을 고지하여야 한다.
④ 장애인고용촉진 및 직업재활법상 장애인인 보험가입자의 보험료는 근로복지공단이 매월 부과하고, 한국장애인고용공단이 이를 징수한다.
⑤ 제조업의 보험료는 근로복지공단이 매월 부과하고, 국민건강보험공단이 이를 징수한다.</t>
  </si>
  <si>
    <t>1-2021-096</t>
  </si>
  <si>
    <t>96. 고용보험 및 산업재해보상보험의 보험료 징수 등에 관한 법령상 보험료의 납부 등에 관한 내용으로 옳지 않은 것은?
① 법인이 합병한 경우에 합병 후 존속하는 법인은 합병으로 소멸된 법인이 내야 하는 보험료를 낼 의무를 진다.
② 근로복지공단은 사업주가 국세를 체납하여 체납처분을 받은 경우에는 보험료와 이 법에 따른 징수금 총액이 300만원 미만이면 납부기한 전이라도 즉시 보험료를 징수하여야 한다.
③ 국민건강보험공단은 소멸시효가 완성된 경우에는 고용노동부장관의 승인을 받아 보험료와 이 법에 따른 그 밖의 징수금을 결손처분할 수 있다.
④ 공동사업에 관계되는 보험료, 이 법에 따른 그 밖의 징수금과 체납처분비는 공동사업자가 연대하여 낼 의무를 진다.
⑤ 상속이 개시된 때에 그 상속인은 피상속인에게 부과되거나 피상속인이 내야 하는 보험료를 상속받은 재산의 한도에서 낼 의무를 진다.</t>
    <phoneticPr fontId="1" type="noConversion"/>
  </si>
  <si>
    <t>1-2021-097</t>
  </si>
  <si>
    <t>97. 고용보험 및 산업재해보상보험의 보험료 징수 등에 관한 법령상 보험관계의 성립일 또는 소멸일에 관한 내용으로 옳지 않은 것은?
① 사업이 폐업되거나 끝난 날의 다음 날에 소멸한다.
② 일괄적용을 받는 사업의 경우에는 처음 하는 사업이 시작된 날에 성립한다.
③ 근로복지공단이 계속하여 보험관계를 유지할 수 없다고 인정하여 그 보험관계를 소멸시키는 경우에는 그 소멸을 결정・통지한 날의 다음 날에 소멸한다.
④ 근로복지공단의 승인을 얻어 가입한 보험계약을 해지하는 경우에는 그 해지에 관하여 근로복지공단의 승인을 받은 날의 다음 날에 소멸한다.
⑤ 보험에 가입한 하수급인의 경우에는 그 하도급공사의 착공일의 다음 날에 성립한다.</t>
  </si>
  <si>
    <t>1-2021-098</t>
  </si>
  <si>
    <t>1-2021-099</t>
  </si>
  <si>
    <t>99. 고용보험 및 산업재해보상보험의 보험료 징수 등에 관한 법령상 국가・지방자치단체가 직접 하는 사업의 고용안정・직업능력개발사업의 보험료율은?
① 1만분의 25
② 1만분의 45
③ 1만분의 65
④ 1만분의 85
⑤ 1천분의 16</t>
  </si>
  <si>
    <t>1-2021-100</t>
  </si>
  <si>
    <t>100. 고용보험 및 산업재해보상보험의 보험료 징수 등에 관한 법령상 소멸시효에 관한 내용을 옳지 않은 것은?
① 월별보험료의 고지로 중단된 소멸시효는 월별보험료를 고지한 날부터 새로 진행한다.
② 소멸시효에 관하여는 이 법에 규정된 것을 제외하고는 민법에 따른다.
③ 징수금의 독촉에 따라 중단된 소멸시효는 독촉에 의한 납부기한이 지난 때부터 새로 진행한다.
④ 이 법에 따른 그 밖의 징수금을 징수할 수 있는 권리는 3년간 행사하지 아니하면 시효로 인하여 소멸한다.
⑤ 이 법에 따른 체납처분 절차에 따라 하는 교부청구로 중단된 소멸시효는 교부청구중의 기간이 지난 때부터 새로 진행한다.</t>
    <phoneticPr fontId="1" type="noConversion"/>
  </si>
  <si>
    <t>1-2020-076</t>
    <phoneticPr fontId="1" type="noConversion"/>
  </si>
  <si>
    <t>76. 사회보장기본법에 관한 설명으로 옳은 것은?
① 사회보장수급권은 다른 사람에게 양도하거나 담보로 제공할 수 있으며, 이를 압류할 수 있다.
② 국내에 거주하는 외국인에게 사회보장제도를 적용할 때에는 상호주의에 따르되, 관계법령에서 정하는 바에 따른다.
③ 사회보장수급권의 포기는 원칙적으로 취소할 수 없다.
④ 국가는 사회보장제도의 안정적인 운영을 위하여 중장기 사회보장 재정추계를 3년마다 실시한다.
⑤ 공공부조란 국민에게 발생하는 사회적 위험을 보험의 방식으로 대처함으로써 국민의 건강과 소득을 보장하는 제도를 말한다.</t>
    <phoneticPr fontId="1" type="noConversion"/>
  </si>
  <si>
    <t>1-2020-077</t>
  </si>
  <si>
    <t>1-2020-078</t>
  </si>
  <si>
    <t>1-2020-079</t>
  </si>
  <si>
    <t>79. 고용보험법상 구직급여에 관한 설명으로 옳지 않은 것은?
① 피보험 단위기간을 계산할 때, 최후로 피보험자격을 취득한 날 이전에 구직급여를 받은 사실이 있는 경우에는 그 구직급여와 관련된 피보험자격 상실일 이전의 피보험 단위기간은 산입한다.
② 최종 이직 당시 건설일용근로자였던 피보험자가 구직급여를 받으려는 경우에는 건설일용근로자로서 수급자격 인정신청일 이전 14일간 연속하여 근로내역이 없어야 한다.
③ 구직급여를 지급받으려는 자는 이직 후 지체없이 직업안정기관에 출석하여 실업을 신고하여야 한다.
④ 직업안정기관의 장은 필요하다고 인정하면 수급자격자의 실업인정대상기간 중의 취업사실에 대하여 조사할 수 있다.
⑤ 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t>
    <phoneticPr fontId="1" type="noConversion"/>
  </si>
  <si>
    <t>1-2020-080</t>
  </si>
  <si>
    <t>1-2020-081</t>
  </si>
  <si>
    <t>81. 고용보험법령상 육아휴직 급여 신청기간의 연장 사유가 아닌 것은?
① 천재지변
② 배우자의 질병・부상
③ 「병역법」에 따른 의무복무
④ 범죄혐의로 인한 구속
⑤ 배우자의 국외발령 등에 따른 동거 목적의 거소 이전</t>
  </si>
  <si>
    <t>1-2020-082</t>
  </si>
  <si>
    <t>82. 고용보험법상의 취업촉진 수당에 해당하지 않는 것은?
① 이주비
② 직업능력개발 수당
③ 구직급여
④ 광역 구직활동비
⑤ 조기(早期)재취업 수당</t>
    <phoneticPr fontId="1" type="noConversion"/>
  </si>
  <si>
    <t>1-2020-083</t>
  </si>
  <si>
    <t>1-2020-084</t>
  </si>
  <si>
    <t>1-2020-085</t>
  </si>
  <si>
    <t>1-2020-086</t>
  </si>
  <si>
    <t>1-2020-087</t>
  </si>
  <si>
    <t>1-2020-088</t>
  </si>
  <si>
    <t>88. 산업재해보상보험법령상 휴업급여에 관한 설명으로 옳은 것은?
① 1일당 지급액은 평균임금의 100분의 70에 상당하는 금액으로 하며 취업하지 못한 기간이 5일 이내이면 지급하지 아니한다.
② 요양을 받고 있는 근로자가 그 요양기간 중 단시간 취업을 하는 경우에는 취업한 시간에 해당하는 그 근로자의 평균임금에서 취업한 시간에 대한 임금을 뺀 금액의 100분의 70에 상당하는 금액을 지급할 수 있다.
③ 휴업급여를 받는 근로자가 60세가 되면 그 이후의 휴업급여는 감액하여 지급한다.
④ 재요양을 받는 자에 대하여는 재요양 당시의 임금을 기준으로 산정한 평균임금의 100분의 90에 상당하는 금액을 1일당 휴업급여 지급액으로 한다.
⑤ 재요양을 받는 자에 대하여 산정한 1일당 휴업급여 지급액이 최저임금액보다 적으면 최저임금액을 1일당 휴업급여 지급액으로 한다.</t>
    <phoneticPr fontId="1" type="noConversion"/>
  </si>
  <si>
    <t>1-2020-089</t>
  </si>
  <si>
    <t>89. 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
① ㄱ, ㄴ
② ㄴ, ㄷ
③ ㄱ, ㄴ, ㄹ
④ ㄱ, ㄷ, ㄹ
⑤ ㄴ, ㄷ, ㄹ</t>
    <phoneticPr fontId="1" type="noConversion"/>
  </si>
  <si>
    <t>1-2020-091</t>
  </si>
  <si>
    <t>91. 산업재해보상보험법상 보험급여의 일시 중지를 할 수 있는 사유가 아닌 것은?
① 질문이나 조사에 응하지 아니하는 경우
② 보고・서류제출 또는 신고를 하지 아니하는 경우
③ 거짓이나 그 밖의 부정한 방법으로 진료비나 약제비를 지급받은 경우
④ 진찰 요구에 따르지 아니하는 경우
⑤ 근로복지공단이 직권으로 실시하는 장해등급 또는 진폐장해등급 재판정 요구에 응하지 아니하는 경우</t>
  </si>
  <si>
    <t>1-2020-092</t>
  </si>
  <si>
    <t>92. 국민연금법상 가입자 자격의 상실 시기가 옳지 않은 것은?
① 사업장가입자의 경우 사용관계가 끝난 날
② 지역가입자의 경우 사망한 날의 다음 날
③ 지역가입자의 경우 국민연금가입 대상 제외자에 해당하게 된 날
④ 임의가입자의 경우 사업장 가입자의 자격을 취득한 날
⑤ 임의가입자의 경우 60세가 된 날의 다음 날</t>
    <phoneticPr fontId="1" type="noConversion"/>
  </si>
  <si>
    <t>1-2020-093</t>
  </si>
  <si>
    <t>93. 국민연금법상 급여에 관한 설명으로 옳지 않은 것은?
① 급여의 종류는 노령연금, 장애연금, 유족연금, 반환일시금이 있다.
② 급여는 수급권자의 청구에 따라 국민연금공단이 지급한다.
③ 연금액은 지급사유에 따라 기본연금액과 부양가족연금액을 기초로 산정한다.
④ 연금은 매월 25일에 그 달의 금액을 지급하되, 지급일이 공휴일이면 그 다음날에 지급한다.
⑤ 급여수급전용계좌에 입금된 급여와 이에 관한 채권은 압류할 수 없다.</t>
    <phoneticPr fontId="1" type="noConversion"/>
  </si>
  <si>
    <t>1-2020-094</t>
  </si>
  <si>
    <t>1-2020-095</t>
  </si>
  <si>
    <t>95. 국민건강보험법상의 요양급여가 아닌 것은?
① 입원
② 이송
③ 상병수당
④ 예방・재활
⑤ 약제・치료재료의 지급</t>
  </si>
  <si>
    <t>1-2020-096</t>
  </si>
  <si>
    <t>1-2020-097</t>
  </si>
  <si>
    <t>1-2020-098</t>
  </si>
  <si>
    <t>98. 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
① ㄱ
② ㄱ, ㄴ
③ ㄱ, ㄷ
④ ㄴ, ㄷ
⑤ ㄱ, ㄴ, ㄷ</t>
    <phoneticPr fontId="1" type="noConversion"/>
  </si>
  <si>
    <t>1-2020-099</t>
  </si>
  <si>
    <t>1-2020-100</t>
  </si>
  <si>
    <t>100. 고용보험 및 산업재해보상보험의 보험료징수 등에 관한 법령상 보수총액 등의 신고와 관련한 내용으로 옳지 않은 것은?
① 보수총액신고는 문서로 함을 원칙으로 한다.
② 사업주는 근로자가 다른 사업장으로 전보되는 등 대통령령으로 정하는 사유가 발생한 때에는 그 사유 발생일부터 14일 이내에 그 사실을 근로복지공단에 신고하여야 한다.
③ 사업주는 사업의 폐지 등으로 보험관계가 소멸한 때에는 그 보험관계가 소멸한 날부터 14일 이내에 근로자에게 지급한 보수총액 등을 근로복지공단에 신고하여야 한다.
④ 사업주는 전년도에 근로자에게 지급한 보수총액 등을 매년 3월 15일까지 근로복지공단에 신고하여야 한다.
⑤ 사업주는 근로자와 고용관계를 종료한 때에는 그 근로자에게 지급한 보수총액, 고용관계 종료일 등을 그 근로자의 고용관계가 종료한 날이 속하는 달의 다음 달 15일까지 근로복지공단에 신고하여야 한다.</t>
    <phoneticPr fontId="1" type="noConversion"/>
  </si>
  <si>
    <t>1-2019-076</t>
    <phoneticPr fontId="1" type="noConversion"/>
  </si>
  <si>
    <t>76. 사회보장기본법령상 사회보장제도의 운영에 관한 설명으로 옳지 않은 것은?
① 사회보험은 국가와 지방자치단체의 책임으로 시행하고, 공공부조와 사회서비스는 국가의 책임으로 시행하는 것을 원칙으로 한다.
② 국가와 지방자치단체는 효과적인 사회보장정책의 수립・시행을 위하여 사회보장에 관한 통계를 작성・관리하여야 한다.
③ 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
④ 보건복지부장관은 사회서비스의 품질기준 마련, 평가 및 개선 등의 업무를 수행하기 위하여 필요한 전담기구를 설치할 수 있다.
⑤ 국가와 지방자치단체는 개인・법인 또는 단체가 사회보장에 참여하는 데에 드는 경비의 전부 또는 일부를 지원하거나 그 업무를 수행하기 위하여 필요한 지원을 할 수 있다.</t>
  </si>
  <si>
    <t>1-2019-077</t>
  </si>
  <si>
    <t>77. 사회보장기본법령상 사회보장 비용의 부담에 관한 설명으로 옳지 않은 것은?
① 사회보장 비용의 부담은 각각의 사회보장제도의 목적에 따라 국가, 지방자치단체 및 민간부문 간에 합리적으로 조정되어야 한다.
② 사회보험에 드는 비용은 사용자, 피용자 및 자영업자가 부담하는 것을 원칙으로 한다.
③ 부담 능력이 있는 국민에 대한 사회서비스에 드는 비용은 그 수익자가 부담함을 원칙으로 한다.
④ 공공부조에 드는 비용은 수익자가 부담함을 원칙으로 한다.
⑤ 공공부조 및 관계 법령에서 정하는 일정 소득 수준 이하의 국민에 대한 사회서비스에 드는 비용의 전부 또는 일부는 국가와 지방자치단체가 부담한다.</t>
    <phoneticPr fontId="1" type="noConversion"/>
  </si>
  <si>
    <t>1-2019-078</t>
  </si>
  <si>
    <t>78. 사회보험 관련법령의 적용에 관한 내용으로 옳지 않은 것은?
① 사립학교교직원 연금법의 적용을 받는 자에게는 고용보험법을 적용하지 아니한다.
② 1개월 미만 동안 고용된 일용근로자는 고용보험법의 적용이 제외되는 근로자이다.
③ 국민연금에 가입된 사업장에 종사하는 18세 미만 근로자는 사업장가입자가 되는 것으로 보나, 본인이 원하지 아니하면 사업장가입자가 되지 아니할 수 있다.
④ 비상근 근로자는 국민건강보험법의 직장가입자에서 제외된다.
⑤ 1개월 동안의 소정근로시간이 60시간 미만인 단시간근로자는 국민건강보험법의 직장가입자에서 제외된다.</t>
    <phoneticPr fontId="1" type="noConversion"/>
  </si>
  <si>
    <t>1-2019-079</t>
  </si>
  <si>
    <t>79. 사회보장기본법령상 사회보장수급권에 관한 설명으로 옳지 않은 것은?
① 사회보장수급권은 관계 법령에서 정하는 바에 따라 다른 사람에게 양도하거나 담보로 제공할 수 없다.
② 사회보장수급권은 제한되거나 정지될 수 없으나, 관계 법령에서 따로 정하고 있는 경우에는 그러하지 아니하다.
③ 사회보장수급권이 정지되는 경우에는 정지하는 목적에 필요한 최소한의 범위에 그쳐야 한다.
④ 사회보장수급권은 포기할 수 있으나 포기한 후에는 이를 취소할 수 없다.
⑤ 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t>
    <phoneticPr fontId="1" type="noConversion"/>
  </si>
  <si>
    <t>1-2019-080</t>
  </si>
  <si>
    <t>80. 고용보험법령의 내용으로 옳지 않은 것은?
① 국민기초생활 보장법에 따라 자활을 위한 근로기회를 제공하기 위한 사업은 고용보험법의 적용을 받는 사업으로 본다.
② 국가는 매년 고용보험사업에 드는 비용의 일부를 일반회계에서 부담하여야 한다.
③ 피보험자가 사망한 경우에는 사망한 날에 그 피보험자격을 상실한다.
④ 고용보험법에 따른 보험관계의 성립 및 소멸에 대하여는 고용보험 및 산업재해보상보험의 보험료징수 등에 관한 법률로 정하는 바에 따른다.
⑤ 구직급여는 수급자격자가 실업한 상태에 있는 날 중에서 직업안정기관의 장으로부터 실업의 인정을 받은 날에 대하여 지급한다.</t>
    <phoneticPr fontId="1" type="noConversion"/>
  </si>
  <si>
    <t>1-2019-081</t>
  </si>
  <si>
    <t>81. 고용보험법령상 폐업한 자영업자인 피보험자의 구직급여 수급 요건으로 옳지 않은 것은?
① 법령을 위반하여 허가 취소를 받음에 따라 폐업한 경우가 아니어야 한다.
② 폐업일 이전 18개월간 자영업자인 피보험자로서 갖춘 피보험 단위기간이 통산하여 180일 이상이어야 한다.
③ 법령을 위반하여 영업 정지를 받음에 따라 폐업한 경우가 아니어야 한다.
④ 재취업을 위한 노력을 적극적으로 하여야 한다.
⑤ 근로의 의사와 능력이 있음에도 불구하고 취업을 하지 못한 상태에 있어야 한다.</t>
    <phoneticPr fontId="1" type="noConversion"/>
  </si>
  <si>
    <t>1-2019-082</t>
  </si>
  <si>
    <t>82. 고용보험법령상 심사 및 재심사에 관한 설명으로 옳지 않은 것은?
① 실업급여에 관한 처분에 이의가 있는 자는 고용보험심사관에게 심사를 청구할 수 있다.
② 심사의 청구가 법령으로 정한 방식을 위반하여 보정하지 못할 것인 경우에 고용보험심사관은 그 심사의 청구를 결정으로 각하하여야 한다.
③ 재심사청구인은 법정대리인 외에 자신의 형제자매를 대리인으로 선임할 수 없다.
④ 심사 및 재심사의 청구는 시효중단에 관하여 재판상의 청구로 본다.
⑤ 재심사청구에 대한 심리는 공개로 하나, 당사자의 양쪽 또는 어느 한 쪽이 신청한 경우에는 공개하지 아니할 수 있다.</t>
    <phoneticPr fontId="1" type="noConversion"/>
  </si>
  <si>
    <t>1-2019-083</t>
  </si>
  <si>
    <t>83. 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
① ㄱ, ㄴ, ㅁ
② ㄴ, ㄷ, ㄹ
③ ㄷ, ㄹ, ㅁ
④ ㄱ, ㄴ, ㄷ, ㄹ
⑤ ㄱ, ㄷ, ㄹ, ㅁ</t>
    <phoneticPr fontId="1" type="noConversion"/>
  </si>
  <si>
    <t>1-2019-084</t>
  </si>
  <si>
    <t>1-2019-085</t>
  </si>
  <si>
    <t>85. 산업재해보상보험법령상 보험급여 중 시효의 완성 기간이 다른 것은?
① 요양급여를 받을 권리
② 간병급여를 받을 권리
③ 상병보상연금을 받을 권리
④ 장의비를 받을 권리
⑤ 직업재활급여를 받을 권리</t>
    <phoneticPr fontId="1" type="noConversion"/>
  </si>
  <si>
    <t>1-2019-086</t>
  </si>
  <si>
    <t>86. 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
① ㄱ, ㄴ
② ㄱ, ㄹ
③ ㄴ, ㄷ
④ ㄱ, ㄷ, ㄹ
⑤ ㄱ, ㄴ, ㄷ, ㄹ</t>
    <phoneticPr fontId="1" type="noConversion"/>
  </si>
  <si>
    <t>1-2019-087</t>
  </si>
  <si>
    <t>1-2019-088</t>
  </si>
  <si>
    <t>88. 산업재해보상보험법령상 심사청구의 대상이 아닌 것은?
① 약제비에 관한 결정
② 보험급여에 관한 결정
③ 보험료 부과에 관한 결정
④ 수급권의 대위에 관한 결정
⑤ 부당이득의 징수에 관한 결정</t>
    <phoneticPr fontId="1" type="noConversion"/>
  </si>
  <si>
    <t>1-2019-089</t>
  </si>
  <si>
    <t>89. 산업재해보상보험법령상 보험급여에 관한 설명으로 옳은 것은?
① 부상 또는 질병이 7일 이내의 요양으로 치유될 수 있으면 요양급여를 지급하지 아니한다.
② 요양급여의 신청을 한 자는 근로복지공단이 요양급여에 관한 결정을 하기 전에는 국민건강보험법상 요양급여를 받을 수 있다.
③ 장해급여는 근로자가 업무상의 사유로 질병에 걸려 치유된 후 신체 등에 장해가 있는 경우에 한국장애인고용공단에서 지급한다.
④ 장해보상연금의 수급권자가 재요양을 받는 경우에는 그 연금의 지급을 정지한다.
⑤ 간병급여는 실제로 간병을 실시한 자에게 직접 지급한다.</t>
    <phoneticPr fontId="1" type="noConversion"/>
  </si>
  <si>
    <t>1-2019-090</t>
  </si>
  <si>
    <t>90. 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
① 1개
② 2개
③ 3개
④ 4개
⑤ 5개</t>
    <phoneticPr fontId="1" type="noConversion"/>
  </si>
  <si>
    <t>1-2019-091</t>
  </si>
  <si>
    <t>1-2019-092</t>
  </si>
  <si>
    <t>92. 국민연금법령상 유족연금에 관한 설명으로 옳은 것은?
① 사실상의 혼인관계에 있는 배우자는 유족연금을 지급받을 수 있는 유족에 해당하지 않는다.
② 수급권자가 산업재해보상보험법에 의한 유족급여를 받는 경우에는 유족연금을 지급하지 않는다.
③ 유족연금을 지급받을 수 있는 유족의 범위는 배우자, 자녀, 부모, 손자녀, 조부모 및 형제자매이다.
④ 유족연금 수급권자인 자녀가 사망 시 다음 순위자인 부모에게 유족연금을 지급한다.
⑤ 부모, 손자녀 또는 조부모인 유족의 유족연금 수급권은 가입자 또는 가입자였던 사람이 사망할 당시에 그 가입자 또는 가입자였던 사람의 태아가 출생하여 수급권을 갖게 되면 소멸한다.</t>
    <phoneticPr fontId="1" type="noConversion"/>
  </si>
  <si>
    <t>1-2019-093</t>
  </si>
  <si>
    <t>93. 국민건강보험법령상 급여의 제한 및 정지에 관한 설명으로 옳지 않은 것은?
① 국민건강보험공단은 보험급여를 받을 수 있는 사람이 중대한 과실로 인한 범죄행위에 그 원인이 있는 경우 보험급여를 하지 아니한다.
② 국민건강보험공단은 보험급여를 받을 수 있는 사람이 다른 법령에 따라 국가로부터 보험급여에 상당하는 비용을 지급받게 되는 경우에는 그 한도에서 보험급여를 하지 아니한다.
③ 보험급여를 받을 수 있는 사람이 국외에 여행 중인 경우 그 기간에는 보험급여를 하지 아니한다.
④ 국민건강보험공단은 지역가입자가 1개월 이상 세대단위의 보험료를 체납한 경우 그 체납한 보험료를 완납할 때까지 그 가입자를 제외한 피부양자에 대하여 보험급여를 실시하지 아니한다.
⑤ 보험급여를 받을 수 있는 사람이 국외에서 업무에 종사하고 있는 경우 그 기간에는 보험급여를 하지 아니한다.</t>
    <phoneticPr fontId="1" type="noConversion"/>
  </si>
  <si>
    <t>1-2019-094</t>
  </si>
  <si>
    <t>94. 국민건강보험법령상 보험료에 관한 설명으로 옳지 않은 것은?
① 지역가입자의 월별 보험료액은 세대 단위로 산정한다.
② 직장가입자의 소득월액보험료는 직장가입자가 부담한다.
③ 지역가입자의 보험료는 그 가입자가 속한 세대의 지역가입자 전원이 연대하여 부담한다.
④ 직장가입자가 교직원으로서 사립학교에 근무하는 교원인 경우 보수월액보험료는 그 직장가입자와 사립학교를 설립・운영하는 자가 각각 보험료액의 100분의 50씩 부담한다.
⑤ 직장가입자가 공무원인 경우 보수월액보험료는 그 직장가입자와 그 공무원이 소속되어 있는 국가 또는 지방자치단체가 각각 보험료액의 100분의 50씩 부담한다.</t>
  </si>
  <si>
    <t>1-2019-095</t>
  </si>
  <si>
    <t>95. 국민건강보험법령상 보험료의 경감 대상이 될 수 있는 가입자는?
① 직장가입자로서 65세 이상인 사람
② 직장가입자로서 출산 휴가 중인 사람
③ 직장가입자 중 휴직기간이 1개월 이상인 사람
④ 직장가입자 중 장애인복지법에 따라 등록한 장애인
⑤ 직장가입자 중 국가유공자 등 예우 및 지원에 관한 법률에 따른 국가유공자</t>
    <phoneticPr fontId="1" type="noConversion"/>
  </si>
  <si>
    <t>1-2019-096</t>
  </si>
  <si>
    <t>96. 고용보험 및 산업재해보상보험의 보험료징수 등에 관한 법령의 내용으로 옳은 것은?
① 사업의 도산으로 보수 관련 자료가 없는 경우에는 고용노동부장관이 정하여 고시하는 금액을 보수로 할 수 있다.
② 원수급인으로부터 사업의 전부를 도급받아 하는 자는 하수급인에 해당하지 않는다.
③ 고용보험료를 징수하는 경우에는 근로자가 휴직기간 중에 사업주 외의 자로부터 지급받는 금품 일체는 보수로 보지 않는다.
④ 보험에 가입한 사업주는 사업의 명칭 및 소재지, 사업의 종류 등이 변경된 경우에는 다음 보험연도 첫날부터 14일 이내에 그 변경사항을 근로복지공단에 신고하여야 한다.
⑤ 산업재해보상보험법을 적용받는 사업의 사업주는 근로복지공단의 승인을 받아 산업재해보상보험에 가입할 수 있다.</t>
    <phoneticPr fontId="1" type="noConversion"/>
  </si>
  <si>
    <t>1-2019-097</t>
  </si>
  <si>
    <t>97. 고용보험 및 산업재해보상보험의 보험료징수 등에 관한 법령상 보험사무대행기관에 보험사무를 위임할 수 있는 업무의 범위가 아닌 것은?
① 확정보험료의 부과
② 개산보험료의 신고
③ 고용보험 피보험자의 자격 관리에 관한 사무
④ 보험관계의 소멸의 신고
⑤ 보험관계의 변경의 신고</t>
    <phoneticPr fontId="1" type="noConversion"/>
  </si>
  <si>
    <t>1-2019-098</t>
  </si>
  <si>
    <t>98. 고용보험 및 산업재해보상보험의 보험료징수 등에 관한 법령의 내용으로 옳지 않은 것은?
① 근로복지공단은 사업 실체가 없는 등의 사유로 계속하여 보험관계를 유지할 수 없다고 인정하는 경우에는 그 보험관계를 소멸시킬 수 있다.
② 근로자가 동일한 사업주의 하나의 사업장에서 다른 사업장으로 전근되는 경우에는 그 근로자에 대한 그 월별보험료는 일할계산한다.
③ 근로복지공단은 소멸시효가 완성된 경우에는 고용노동부장관의 승인을 받아 보험료와 이 법에 따른 그 밖의 징수금을 결손처분할 수 있다.
④ 사업종류의 변경으로 보험료 납부방법이 변경되는 경우에는 사업종류의 변경일 전일을 변경 전 사업 폐지일로, 사업종류의 변경일을 새로운 사업성립일로 본다.
⑤ 공동사업에 관계되는 보험료, 이 법에 따른 그 밖의 징수금과 체납처분비는 공동사업자가 연대하여 낼 의무를 진다.</t>
    <phoneticPr fontId="1" type="noConversion"/>
  </si>
  <si>
    <t>1-2019-099</t>
  </si>
  <si>
    <t>1-2019-100</t>
  </si>
  <si>
    <t>100. 고용보험 및 산업재해보상보험의 보험료징수 등에 관한 법령상 보험료율의 인상 또는 인하 등에 따른 조치로 옳지 않은 것은?
① 보험료율이 인상된 경우 근로복지공단은 월별보험료를 증액 조정한다.
② 보험료율이 인상된 경우 국민건강보험공단은 개산보험료를 증액 조정한다.
③ 보험료율 인상으로 개산보험료가 증액된 때에는 근로복지공단이 징수한다.
④ 보험료율 인상으로 월별보험료가 증액된 때에는 국민건강보험공단이 징수한다.
⑤ 근로복지공단은 보험료를 감액 조정한 경우에는 보험료율의 인하를 결정한 날부터 20일 이내에 그 감액 조정 사실을 사업주에게 알려야 한다.</t>
    <phoneticPr fontId="1" type="noConversion"/>
  </si>
  <si>
    <t>1-2018-076</t>
    <phoneticPr fontId="1" type="noConversion"/>
  </si>
  <si>
    <t>76. 사회보장기본법상 내용으로 옳은 것은?
① 국가는 중장기 사회보장 재정추계를 매년 실시하고 공표하여야 한다.
② 사회보장수급권의 포기는 취소할 수 없다.
③ 사회서비스란 사회적 위험을 보험의 방식으로 대처함으로써 국민의 건강과 소득을 보장하는 제도를 말한다.
④ 사회보장수급권은 다른 사람에게 양도할 수 있다.
⑤ 국가와 지방자치단체는 최저보장수준과 최저임금 등을 고려하여 사회보장급여의 수준을 결정하여야 한다.</t>
    <phoneticPr fontId="1" type="noConversion"/>
  </si>
  <si>
    <t>1-2018-077</t>
  </si>
  <si>
    <t>77. 사회보장기본법상 내용으로 옳지 않은 것은?
① 사회보장기본법은 사회보장에 관한 국민의 권리와 국가 및 지방자치단체의 책임을 정하고 있다.
② 사회보장은 사회참여・자아실현에 필요한 제도와 여건을 조성하여 사회통합과 행복한 복지사회를 실현하는 것을 기본 이념으로 한다.
③ 국가와 지방자치단체의 책임하에 생활 유지 능력이 없거나 생활이 어려운 국민의 최저생활을 보장하고 자립을 지원하는 제도를 공공부조라고 한다.
④ 사회보장위원회는 사회보장급여 관련 업무에 공통적으로 적용되는 기준을 마련하여야 한다.
⑤ 국내에 거주하는 외국인에게 사회보장제도를 적용할 때에는 상호주의의 원칙에 따르되, 관계 법령에서 정하는 바에 따른다.</t>
  </si>
  <si>
    <t>1-2018-078</t>
  </si>
  <si>
    <t>1-2018-079</t>
  </si>
  <si>
    <t>1-2018-080</t>
  </si>
  <si>
    <t>80. 고용보험법에서 사용하는 용어의 뜻으로 옳은 것은?
① 피보험자 : 근로기준법상 근로자와 사업주를 말한다.
② 이직 : 근로계약이 당사자의 합의에 의해 해지되는 것을 말하며, 정년퇴직은 포함되지 아니한다.
③ 실업 : 근로의 의사와 능력이 있음에도 불구하고 취업하지 못한 상태에 있는 것을 말한다.
④ 보수 : 사용자로부터 받는 일체의 금품을 말한다.
⑤ 일용근로자 : 3개월 미만 동안 고용된 자를 말한다.</t>
    <phoneticPr fontId="1" type="noConversion"/>
  </si>
  <si>
    <t>1-2018-081</t>
  </si>
  <si>
    <t>1-2018-082</t>
  </si>
  <si>
    <t>82. 고용보험법상 피보험자의 관리에 관한 내용으로 옳은 것은?
① 피보험자가 이직을 한 경우에는 이직한 날에 그 피보험자격을 상실한다.
② 이 법의 적용 제외 근로자였던 자가 이 법의 적용을 받게 된 경우에는 해당 사업에 고용된 날에 피보험자격을 취득한다.
③ 피보험자 또는 피보험자였던 자는 언제든지 고용노동부장관에게 피보험자격의 취득 또는 상실에 관한 확인을 청구할 수 있다.
④ 근로자가 보험관계가 성립되어 있는 두 개의 사업에 동시에 고용되어 있는 경우에는 두 개의 피보험자격을 취득한다.
⑤ 피보험자가 사망한 경우에는 사망한 날에 그 피보험자격을 상실한다.</t>
    <phoneticPr fontId="1" type="noConversion"/>
  </si>
  <si>
    <t>1-2018-083</t>
  </si>
  <si>
    <t>83. 고용보험법령상 구직급여에 관한 내용으로 옳지 않은 것은?
① 구직급여는 수급자격자가 실업한 상태에 있는 날 중에서 직업안정기관의 장으로 부터 실업의 인정을 받은 날에 대하여 지급한다.
② 수급자격자가 인터넷 등을 이용하여 구인에 응모한 경우에는 적극적인 재취업 활동을 한 것으로 보지 아니한다.
③ 자영업자가 아닌 피보험자의 피보험 단위기간은 피보험기간 중 보수 지급의 기초가 된 날을 합하여 계산한다.
④ 최종 이직 당시 일용근로자였던 피보험자가 구직급여를 받으려는 경우에는 수급자격 인정신청일 이전 1개월 동안의 근로일수가 10일 미만이어야 한다.
⑤ 구직급여를 지급받으려는 자는 이직 후 지체없이 직업안정기관에 출석하여 실업을 신고해야 한다.</t>
    <phoneticPr fontId="1" type="noConversion"/>
  </si>
  <si>
    <t>1-2018-084</t>
  </si>
  <si>
    <t>84. 고용보험법령상 고용조정의 지원에 관한 내용으로 옳지 않은 것은?
① 고용노동부장관은 산업구조의 변화에 따른 사업의 전환으로 고용조정이 불가피하게 된 사업주가 근로자에 대한 휴직, 인력의 재배치 등을 실시하면 그 사업주에게 필요한 지원을 할 수 있다.
② 경영상 이유에 따른 사업주의 권고에 따라 퇴직이 예정된 자를 1개월 동안 이직시키지 아니한 경우에는 고용유지지원금을 지급한다.
③ 사업주가 고용유지조치 기간 동안 근로자를 새로 고용하는 경우에는 관할 직업안정기관의 장이 불가피하다고 인정하는 경우를 제외하고는 해당 달에 대한 고용유지지원금을 지급하지 아니한다.
④ 고용노동부장관은 신고한 고용유지조치계획과 다르게 고용유지조치를 이행한 사업주에게는 해당 사실이 발생한 날이 속한 달에 대한 고용유지지원금의 전부 또는 일부를 지급하지 아니할 수 있다.
⑤ 고용유지지원금을 받으려는 사업주는 그 사업의 근로자대표와 협의를 거쳐 고용유지조치계획을 수립해야 한다.</t>
    <phoneticPr fontId="1" type="noConversion"/>
  </si>
  <si>
    <t>1-2018-085</t>
  </si>
  <si>
    <t>1-2018-086</t>
  </si>
  <si>
    <t>86. 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
① ㄱ
② ㄴ
③ ㄱ, ㄴ
④ ㄴ, ㄷ
⑤ ㄱ, ㄴ, ㄷ</t>
    <phoneticPr fontId="1" type="noConversion"/>
  </si>
  <si>
    <t>1-2018-087</t>
  </si>
  <si>
    <t>87. 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
① ㄱ, ㄷ
② ㄴ, ㄹ
③ ㄱ, ㄴ, ㄹ
④ ㄴ, ㄷ, ㄹ
⑤ ㄱ, ㄴ, ㄷ, ㄹ</t>
    <phoneticPr fontId="1" type="noConversion"/>
  </si>
  <si>
    <t>1-2018-088</t>
  </si>
  <si>
    <t>88. 산업재해보상보험법령상 보험급여에 관한 설명으로 옳지 않은 것은?
① 장해급여 청구사유 발생 당시 대한민국 국민이 아닌 자로서 외국에서 거주하고 있는 근로자에게는 장해보상일시금을 지급한다.
② 2급 장해등급 근로자에게는 장해보상연금 또는 장해보상일시금을 근로자의 선택에 따라 지급한다.
③ 장의비는 장제를 지낼 유족이 없는 경우에는 평균임금의 120일분에 상당하는 금액의 범위에서 실제 드는 비용을 그 장제를 지낸 자에게 지급한다.
④ 상병보상연금을 산정할 때 평균임금이 최저임금액의 70분의 100보다 적을 때에는 최저임금액의 70분의 100에 해당하는 금액을 평균임금으로 본다.
⑤ 요양급여는 소정의 산재보험 의료기관에서 요양을 하게 하는 것이고 부득이한 경우에는 요양을 갈음하여 요양비를 지급할 수 있다.</t>
    <phoneticPr fontId="1" type="noConversion"/>
  </si>
  <si>
    <t>1-2018-089</t>
  </si>
  <si>
    <t>89. 산업재해보상보험법에 관한 설명으로 옳은 것은?
① 근로자를 진료한 산재보험 의료기관은 요양급여의 신청을 대행할 수 없다.
② 보험급여는 지급결정일로부터 30일 이내에 지급하여야 한다.
③ 근로복지공단은 제3자의 행위에 따른 재해로 보험급여를 지급한 경우에는 손해배상청구권을 대위할 수 없다.
④ 요양급여가 지급된 후 그 지급결정이 취소된 경우 국민건강보험공단은 그 건강보험 요양급여액을 근로복지공단에 청구할 수 있다.
⑤ 보험급여로서 지급된 금품에 대하여는 국가나 지방자치단체의 공과금을 부과하지 아니한다.</t>
    <phoneticPr fontId="1" type="noConversion"/>
  </si>
  <si>
    <t>1-2018-090</t>
  </si>
  <si>
    <t>90. 산업재해보상보험법령상 특수형태근로종사자의 직종에 해당하는 자는?
① 여신전문금융업법에 따른 신용카드회원 모집인
② 예술인 복지법에 따른 예술인
③ 화물자동차 운수사업법에 따른 화물자동차 운송사업자
④ 자동차관리법에 따른 자동차정비업자
⑤ 여객자동차 운수사업법에 따른 여객자동차 운송사업자</t>
    <phoneticPr fontId="1" type="noConversion"/>
  </si>
  <si>
    <t>1-2018-091</t>
  </si>
  <si>
    <t>91. 산업재해보상보험법상 과태료 부과 대상이 아닌 경우는?
① 거짓으로 보험급여를 받은 경우
② 심사 청구의 심리・결정 등을 위하여 확인이 필요하다고 인정된 사업장의 조사를 거부한 경우
③ 보험급여 결정 등을 위하여 확인이 필요하다고 인정된 사업장의 조사를 방해한 경우
④ 유사명칭의 사용 금지를 위반하여 근로복지공단 또는 이와 비슷한 명칭을 사용한 경우
⑤ 요양기간을 연장할 필요가 있는 때 제출해야할 진료계획을 정당한 사유 없이 제출하지 아니한 경우</t>
  </si>
  <si>
    <t>1-2018-092</t>
  </si>
  <si>
    <t>92. 국민연금법상 사업장가입자 자격의 상실 사유에 해당하는 것을 모두 고른 것은?
ㄱ. 사망한 때
ㄴ. 60세가 된 때
ㄷ. 사용관계가 끝난 때
ㄹ. 국적을 상실하거나 국외로 이주한 때
① ㄱ, ㄴ
② ㄱ, ㄴ, ㄷ
③ ㄱ, ㄷ, ㄹ
④ ㄴ, ㄷ, ㄹ
⑤ ㄱ, ㄴ, ㄷ, ㄹ</t>
    <phoneticPr fontId="1" type="noConversion"/>
  </si>
  <si>
    <t>1-2018-093</t>
  </si>
  <si>
    <t>1-2018-094</t>
  </si>
  <si>
    <t>94. 국민건강보험법령상 보험급여의 제한에 관한 내용으로 옳지 않은 것은?
① 공단은 보험급여를 제한하는 경우에는 지체없이 구두로 그 내용과 사유를 가입자에게 알려야 한다.
② 공단은 보험급여를 받을 수 있는 사람이 중대한 과실로 요양기관의 요양에 관한 지시에 따르지 아니한 경우에는 보험급여를 하지 아니한다.
③ 공단은 보험급여를 받을 수 있는 사람이 다른 법령에 따라 국가나 지방자치단체로부터 보험급여에 상당하는 급여를 받은 경우에는 그 한도에서 보험급여를 하지 아니한다.
④ 공단은 보험급여를 받을 수 있는 사람이 업무로 생긴 질병으로 다른 법령에 따른 보험급여를 받게 된 경우에는 보험급여를 하지 아니한다.
⑤ 공단은 보험급여를 받을 수 있는 사람이 고의로 사고를 일으킨 경우에는 보험급여를 하지 아니한다.</t>
    <phoneticPr fontId="1" type="noConversion"/>
  </si>
  <si>
    <t>1-2018-095</t>
  </si>
  <si>
    <t>1-2018-096</t>
  </si>
  <si>
    <t>96. 고용보험 및 산업재해보상보험의 보험료징수 등에 관한 법률상 근로복지공단의 업무가 아닌 것은?
① 고용보험료의 월별 부과
② 환수대상이 되는 고용보험료의 지원금의 징수
③ 사업주가 법이 정한 기한까지 확정보험료를 신고하지 않은 경우 부과한 보험료 가산금의 징수
④ 사업주가 법이 정한 납부기한까지 보험료를 내지 아니한 경우 보험료 연체금의 징수
⑤ 사업주가 산재보험료의 납부를 게을리한 기간 중에 발생한 재해에 대하여 산재보험급여를 지급하는 경우 사업주로부터 그 급여에 해당하는 금액의 징수</t>
    <phoneticPr fontId="1" type="noConversion"/>
  </si>
  <si>
    <t>1-2018-097</t>
  </si>
  <si>
    <t>1-2018-098</t>
  </si>
  <si>
    <t>98. 고용보험 및 산업재해보상보험의 보험료징수 등에 관한 법령상 징수 및 체납 처분 등에 관한 설명으로 옳은 것은?
① 상속이 개시된 경우 피상속인에 대한 처분의 효력은 상속인에게 미치지 않는다.
② 근로복지공단은 월별보험료의 독촉을 받은 자가 그 기한까지 내지 아니한 경우에는 국세 체납처분의 예에 따라 이를 징수할 수 있다.
③ 한국자산관리공사는 공매대행의 의뢰를 받은 날부터 2년 이내에 공매되지 않은 재산이 있으면 국민건강보험공단에 그 재산에 대한 공매대행 의뢰의 해제를 요구할 수 있다.
④ 국민건강보험공단은 독촉할 경우 그 납부기한은 독촉장 발급일부터 7일 이상의 여유가 있도록 하여야 한다.
⑤ 사업주가 국세를 체납하여 체납처분을 받은 경우 보험료의 총액이 500만원이라면 납부기한 전에 이미 납부의무가 확정된 보험료를 징수할 수 없다.</t>
    <phoneticPr fontId="1" type="noConversion"/>
  </si>
  <si>
    <t>1-2018-099</t>
  </si>
  <si>
    <t>99. 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
① ㄷ
② ㄴ, ㄷ
③ ㄴ, ㄹ
④ ㄴ, ㄷ, ㄹ
⑤ ㄱ, ㄴ, ㄷ, ㄹ</t>
    <phoneticPr fontId="1" type="noConversion"/>
  </si>
  <si>
    <t>1-2018-100</t>
  </si>
  <si>
    <t>100. 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
① 6개월, 1000분의 15
② 6개월, 1000분의 30
③ 1년, 1000분의 15
④ 1년, 1000분의 30
⑤ 3년, 1000분의 30</t>
  </si>
  <si>
    <t>1-2017-076</t>
    <phoneticPr fontId="1" type="noConversion"/>
  </si>
  <si>
    <t>76. 사회보장기본법상 내용으로 옳은 것은?
① 사회보장위원회는 사회보장급여 관련 업무에 공통적으로 적용되는 기준을 마련하여야 한다.
② 사회보장 비용의 부담은 각각의 사회보장제도의 목적에 따라 국가, 지방자치단체가 민간부문보다 우선적으로 부담하여야 한다.
③ 국가와 지방자치단체는 관계 법령에서 정하는 바에 따라 공표된 최저보장수준과 최저임금 등을 고려하여 사회보장급여의 수준을 결정하여야 한다.
④ 사회보험에 드는 비용은 수익자가 부담함을 원칙으로 하되, 관계 법령에서 정하는 바에 따라 국가가 그 비용의 전부 또는 일부를 부담할 수 있다.
⑤ 사회보장에 관한 기본계획은 다른 법령에 따라 수립되는 사회보장에 관한 계획을 제외한 모든 계획의 기본이 된다.</t>
    <phoneticPr fontId="1" type="noConversion"/>
  </si>
  <si>
    <t>1-2017-077</t>
  </si>
  <si>
    <t>77. 사회보장기본법상 사회보장수급권에 관한 내용으로 옳지 않은 것은?
① 사회보장수급권은 관계 법령에서 정하는 바에 따라 다른 사람에게 양도하거나 담보로 제공할 수 없다.
② 사회보장수급권은 관계 법령에서 따로 정하고 있는 경우 외에는 제한되거나 정지될 수 없다.
③ 사회보장수급권이 제한되는 경우에는 제한하는 목적에 필요한 최소한의 범위에 그쳐야 한다.
④ 사회보장수급권은 정당한 권한이 있는 기관에 서면으로 통지하여 포기할 수 있다.
⑤ 사회보장수급권의 포기는 취소할 수 없다.</t>
    <phoneticPr fontId="1" type="noConversion"/>
  </si>
  <si>
    <t>1-2017-078</t>
  </si>
  <si>
    <t>1-2017-079</t>
  </si>
  <si>
    <t>79. 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
① 20만원
② 30만원
③ 40만원
④ 50만원
⑤ 60만원</t>
    <phoneticPr fontId="1" type="noConversion"/>
  </si>
  <si>
    <t>1-2017-080</t>
  </si>
  <si>
    <t>1-2017-081</t>
  </si>
  <si>
    <t>81. 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
① ㄱ
② ㄱ, ㄴ
③ ㄱ, ㄷ
④ ㄴ, ㄷ
⑤ ㄱ, ㄴ, ㄷ</t>
    <phoneticPr fontId="1" type="noConversion"/>
  </si>
  <si>
    <t>1-2017-082</t>
  </si>
  <si>
    <t>82. 고용보험법상 구직급여의 소정급여일수로 옳은 것은?
① 피보험기간 4년, 이직일 현재 25세인 비장애인: 90일
② 피보험기간 2년, 이직일 현재 35세인 장애인: 120일
③ 피보험기간 4년, 이직일 현재 40세인 비장애인: 120일
④ 피보험기간 6년, 이직일 현재 30세인 장애인: 180일
⑤ 피보험기간 10년, 이직일 현재 45세인 비장애인: 210일</t>
    <phoneticPr fontId="1" type="noConversion"/>
  </si>
  <si>
    <t>1-2017-083</t>
  </si>
  <si>
    <t>83. 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
① ㄱ
② ㄱ, ㄴ
③ ㄱ, ㄷ
④ ㄴ, ㄷ
⑤ ㄱ, ㄴ, ㄷ</t>
    <phoneticPr fontId="1" type="noConversion"/>
  </si>
  <si>
    <t>1-2017-084</t>
  </si>
  <si>
    <t>84. 고용보험법상 고용보험기금에 관한 설명으로 옳지 않은 것은?
① 고용노동부장관은 매년 고용보험기금운용 계획을 세워 고용보험위원회 및 국무회의의 심의를 거쳐 대통령의 승인을 받아야 한다.
② 고용보험기금을 지출할 때 자금 부족이 발생한 경우에는 고용보험기금의 부담으로 금융기관・다른 기금과 그 밖의 재원 등으로부터 차입을 할 수 있다.
③ 고용노동부장관은 매년 고용보험기금의 운용 결과에 대하여 고용보험위원회의 심의를 거쳐 공표하여야 한다.
④ 고용보험기금의 관리・운용에 관한 세부 사항은 국고금관리법의 규정에 따른다.
⑤ 고용보험기금의 결산상 손실금이 생기면 적립금을 사용하여 이를 보전(補塡)할 수 있다.</t>
  </si>
  <si>
    <t>1-2017-085</t>
  </si>
  <si>
    <t>85. 산업재해보상보험법령상의 보험급여의 내용으로 옳지 않은 것은?
① 장해급여 청구사유 발생 당시 대한민국 국민이 아닌 자로서 외국에서 거주하고 있는 근로자에게는 장해보상일시금을 지급한다.
② 간병급여 수급권자가 재요양을 받는 경우 그 재요양 기간 중에는 간병급여를 지급하지 않는다.
③ 유족보상일시금은 근로자가 사망할 당시 유족보상연금을 받을 수 있는 자격이 있는 자가 없는 경우에 지급한다.
④ 유족급여는 근로자가 업무상의 사유로 사망한 경우에 유족에게 지급한다.
⑤ 장의비는 유족이 아닌 자가 장제를 지낸 경우에는 평균임금의 120일분을 그 장제를 지낸 자에게 지급한다.</t>
    <phoneticPr fontId="1" type="noConversion"/>
  </si>
  <si>
    <t>1-2017-086</t>
  </si>
  <si>
    <t>86. 산업재해보상보험법상 심사청구의 제기와 관련한 내용으로 옳지 않은 것은?
① 심사 청구는 그 보험급여 결정등을 한 근로복지공단의 소속 기관을 거쳐 근로복지공단에 제기하여야 한다.
② 심사 청구는 보험급여 결정등이 있음을 안 날부터 90일 이내에 하여야 한다.
③ 심사 청구서를 받은 근로복지공단의 소속 기관은 5일 이내에 의견서를 첨부하여 근로복지공단에 보내야 한다.
④ 보험급여 결정등에 대하여 행정심판법에 따른 행정심판을 제기할 수 있다.
⑤ 약제비에 관한 근로복지공단의 결정에 불복하는 자는 근로복지공단에 심사 청구를 할 수 있다.</t>
    <phoneticPr fontId="1" type="noConversion"/>
  </si>
  <si>
    <t>1-2017-087</t>
  </si>
  <si>
    <t>1-2017-088</t>
  </si>
  <si>
    <t>88. 산업재해보상보험법령상 특수형태근로종사자가 아닌 것은?
① 한국표준직업분류표의 세분류에 따른 택배원인 사람으로서 택배사업에서 배송업무를 하는 사람
② 농업협동조합법에 따른 공제를 모집하는 사람
③ 대부업 등의 등록 및 금융이용자 보호에 관한 법률 제3조제1항 단서에 따른 대출모집인
④ 여신전문금융업법 제14조의2제1항제2호에 따른 신용카드회원 모집인
⑤ 고용노동부장관이 정하는 기준에 따라 주로 하나의 대리운전업자로부터 업무를 의뢰받아 대리운전업무를 하는 사람</t>
    <phoneticPr fontId="1" type="noConversion"/>
  </si>
  <si>
    <t>1-2017-089</t>
  </si>
  <si>
    <t>89. 산업재해보상보험법상 다음 내용으로 옳은 것은?
① 보험급여는 지급 결정일부터 30일 이내에 지급하여야 한다.
② 수급권자 및 보험가입자는 제3자의 행위로 재해가 발생하면 30일 이내에 근로복지공단에 신고하여야 한다.
③ 진폐의 진단결과에 대하여 진폐병형 및 합병증 등을 심사하기 위하여 안전보건공단에 관계 전문가 등으로 구성된 진폐심사회의를 둔다.
④ 근로복지공단은 산재보험 의료기관이 요양급여의 산정 기준을 위반하여 부당하게 진료비를 지급받은 경우에는 그 진료비의 2배에 해당하는 금액을 징수하여야 한다.
⑤ 근로복지공단은 보험급여를 받은 자가 거짓이나 그 밖의 부정한 방법으로 보험급여를 받은 경우에는 그 급여액의 2배에 해당하는 금액을 징수하여야 한다.</t>
    <phoneticPr fontId="1" type="noConversion"/>
  </si>
  <si>
    <t>1-2017-090</t>
  </si>
  <si>
    <t>90. 산업재해보상보험법령상 산업재해보상보험및예방심의위원회의 위원의 임기 등과 관련한 내용으로 옳지 않은 것은?
① 위원의 임기는 3년으로 하며, 연임할 수 없다.
② 보궐위원의 임기는 전임자의 남은 임기로 한다.
③ 고용노동부장관은 심신장애로 인하여 직무를 수행할 수 없게 된 경우 해당 위원을 해촉(解囑)할 수 있다.
④ 고용노동부장관은 직무와 관련된 비위사실이 있는 경우 해당 위원을 해촉(解囑)할 수 있다.
⑤ 고용노동부장관은 위원 스스로 직무를 수행하는 것이 곤란하다고 의사를 밝히는 경우 해당 위원을 해촉(解囑)할 수 있다.</t>
    <phoneticPr fontId="1" type="noConversion"/>
  </si>
  <si>
    <t>1-2017-091</t>
  </si>
  <si>
    <t>1-2017-092</t>
  </si>
  <si>
    <t>1-2017-093</t>
  </si>
  <si>
    <t>93. 국민연금법상 시효에 관한 설명으로 옳지 않은 것은?
① 연금보험료를 징수할 권리는 3년간 행사하지 아니하면 소멸시효가 완성된다.
② 환수금을 환수할 권리는 3년간 행사하지 아니하면 소멸시효가 완성된다.
③ 급여를 받거나 과오납금을 반환받을 수급권자 또는 가입자 등의 권리는 3년간 행사하지 아니하면 소멸시효가 완성된다.
④ 급여를 지급받을 권리는 그 급여 전액에 대하여 지급이 정지되어 있는 동안은 시효가 진행되지 아니한다.
⑤ 급여의 지급이나 과오납금 등의 반환청구에 관한 기간을 계산할 때 그 서류의 송달에 들어간 일수는 그 기간에 산입하지 아니한다.</t>
    <phoneticPr fontId="1" type="noConversion"/>
  </si>
  <si>
    <t>1-2017-094</t>
  </si>
  <si>
    <t>94. 국민건강보험법상 가입자의 자격변동 시기에 해당하지 않는 것은?
① 지역가입자가 적용대상사업장의 사용자로 된 날
② 직장가입자가 다른 적용대상사업장의 근로자로 사용된 날
③ 직장가입자인 근로자등이 그 사용관계가 끝난 날
④ 지역가입자가 적용대상사업장의 근로자로 사용된 날
⑤ 지역가입자가 다른 세대로 전입한 날</t>
    <phoneticPr fontId="1" type="noConversion"/>
  </si>
  <si>
    <t>1-2017-095</t>
  </si>
  <si>
    <t>95. 국민건강보험법상 다음 설명으로 옳지 않은 것은?
① 직장가입자의 보수월액보험료는 사용자가 납부한다.
② 직장가입자의 보수월액보험료는 보수월액에 보험료율을 곱하여 얻은 금액으로 한다.
③ 직장가입자의 보수월액은 직장가입자가 지급받는 보수를 기준으로 하여 산정하되, 상한과 하한을 정할 수 있다.
④ 국민건강보험공단 또는 건강보험심사평가원의 이의신청에 대한 결정에 불복하는 자는 보건복지부에 둔 건강보험분쟁조정위원회에 심판청구를 할 수 있다.
⑤ 이의신청은 처분이 있음을 안 날부터 60일 이내, 처분이 있은 날부터 180일 이내에 하여야 한다.</t>
    <phoneticPr fontId="1" type="noConversion"/>
  </si>
  <si>
    <t>1-2017-096</t>
  </si>
  <si>
    <t>96. 고용보험 및 산업재해보상보험의 보험료 징수 등에 관한 법률상 소멸시효 등 보칙에 관한 설명으로 옳은 것은?
① 보험료를 반환받을 수 있는 권리는 1년간 행사하지 아니하면 시효로 인하여 소멸한다.
② 월별보험료 납입을 전자문서로 고지한 경우에는 소멸시효가 중단되지 않는다.
③ 사업종류의 변경으로 보험료 납부방법이 변경되는 경우에는 사업종류의 변경일을 변경 전 사업 폐지일로, 사업종류의 변경일 다음 날을 새로운 사업성립일로 본다.
④ 보험료 과납액의 반환을 청구하는 경우에는 소멸시효가 중단되지 않는다.
⑤ 이 법에 따른 체납처분 절차에 따라 하는 교부청구로 중단된 소멸시효는 교부청구 중의 기간이 지난 때부터 새로 진행한다.</t>
    <phoneticPr fontId="1" type="noConversion"/>
  </si>
  <si>
    <t>1-2017-097</t>
  </si>
  <si>
    <t>97. 고용보험 및 산업재해보상보험의 보험료 징수 등에 관한 법령상 고용노동부장관이 정하여 고시하는 금액(기준보수)에 관한 설명으로 옳지 않은 것은?
① 사업의 도산으로 보수를 확인하기 곤란한 경우 기준보수를 보수로 할 수 있다.
② 사업장의 이전으로 사업의 소재지를 파악하기 곤란한 경우 기준보수를 보수로 할 수 있다.
③ 근로일에 따라 일당 형식의 보수를 지급받는 근로자에게는 주당 소정근로시간을 실제 근로한 시간으로 보아 일단위 기준보수를 적용한다.
④ 통상근로자로서 월정액으로 보수를 지급받는 근로자에게는 월단위 기준보수를 적용한다.
⑤ 시간급근로자 또는 일급근로자임이 명확하지 아니한 경우에는 월단위 기준보수를 적용한다.</t>
    <phoneticPr fontId="1" type="noConversion"/>
  </si>
  <si>
    <t>1-2017-098</t>
  </si>
  <si>
    <t>98. 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
① 10, 2, 15
② 10, 3, 15
③ 15, 2, 15
④ 15, 3, 15
⑤ 20, 2, 15</t>
    <phoneticPr fontId="1" type="noConversion"/>
  </si>
  <si>
    <t>1-2017-099</t>
  </si>
  <si>
    <t>1-2017-100</t>
  </si>
  <si>
    <t>1-2016-076</t>
    <phoneticPr fontId="1" type="noConversion"/>
  </si>
  <si>
    <t>1-2016-077</t>
  </si>
  <si>
    <t>1-2016-078</t>
  </si>
  <si>
    <t>78. 사회보장기본법상 내용으로 옳지 않은 것은?
① 국가와 지방자치단체는 모든 국민의 인간다운 생활을 유지・증진하는 책임을 가진다.
② 국가와 지방자치단체는 사회보장에 관한 책임과 역할을 합리적으로 분담하여야 한다.
③ 국가와 지방자치단체는 국가 발전수준에 부응하고 사회환경의 변화에 선제적으로 대응하며 지속가능한 사회보장제도를 확립하고 매년 이에 필요한 재원을 조달하여야 한다.
④ 국가와 지방자치단체는 가정이 건전하게 유지되고 그 기능이 향상되도록 노력하여야 한다.
⑤ 국가와 지방자치단체는 중장기 사회보장 재정추계를 격년으로 실시하고 이를 공표하여야 한다.</t>
  </si>
  <si>
    <t>1-2016-079</t>
  </si>
  <si>
    <t>1-2016-080</t>
  </si>
  <si>
    <t>80. 고용보험법령상 구직급여에 관한 설명으로 옳지 않은 것은?
① 구직급여를 받으려는 자는 이직 후 지체없이 직업안정기관에 출석하여 실업을 신고하여야 한다.
② 구직급여를 지급받기 위해 실업을 신고하려는 자가 사업주로부터 이직확인서를 발급받는 경우에는 이를 소재지 관할 직업안정기관의 장에게 제출하여야 한다.
③ 직업안정기관의 장은 수급자격 인정신청서를 제출한 자가 구직급여의 수급자격이 인정되지 아니하는 경우에는 그 신청인과 사업주에게 해당 사실을 알려야 한다.
④ 수급자격자가 주민등록번호를 변경하거나 정정한 경우에는 신청지 관할 직업안정기관의 장에게 신고하여야 한다.
⑤ 구직급여는 수급자격자가 실업한 상태에 있는 날 중에서 직업안정기관의 장으로 부터 인정을 받은 날에 대하여 지급한다.</t>
    <phoneticPr fontId="1" type="noConversion"/>
  </si>
  <si>
    <t>1-2016-081</t>
  </si>
  <si>
    <t>1-2016-082</t>
  </si>
  <si>
    <t>1-2016-083</t>
  </si>
  <si>
    <t>83. 고용보험법령상 과태료 부과 대상이 아닌 것은?
① 사업주가 이직확인서를 거짓으로 작성하여 제출하는 경우
② 고용노동부장관이 부정수급 조사를 위하여 관계인의 출석을 요구함에도 출석을 거부하는 경우
③ 심사의 청구를 받아 하는 고용보험심사관의 질문에 거짓으로 진술한 경우
④ 사업주가 피보험자격 취득에 관한 확인청구를 한 것을 이유로 그 근로자에게 불이익한 처우를 한 경우
⑤ 사업주가 그 사업에 고용된 근로자의 피보험자격 취득에 관한 사항을 고용노동부장관에게 신고하지 아니한 경우</t>
    <phoneticPr fontId="1" type="noConversion"/>
  </si>
  <si>
    <t>1-2016-084</t>
  </si>
  <si>
    <t>1-2016-085</t>
  </si>
  <si>
    <t>1-2016-086</t>
  </si>
  <si>
    <t>86. 산업재해보상보험법상 직업재활급여에 관한 설명으로 옳지 않은 것은?
① 훈련대상자에 대한 직업훈련은 근로복지공단과 계약을 체결한 직업훈련기관에서 실시하게 한다.
② 상병보상연금을 받는 훈련대상자에게는 직업훈련수당을 지급하지 아니한다.
③ 직장적응훈련비의 지급기간은 3개월 이내로 한다.
④ 재활운동비는 장해급여자에게 직접 지급한다.
⑤ 직장복귀지원금의 지급기간은 12개월 이내로 한다.</t>
    <phoneticPr fontId="1" type="noConversion"/>
  </si>
  <si>
    <t>1-2016-087</t>
  </si>
  <si>
    <t>1-2016-088</t>
  </si>
  <si>
    <t>88. 산업재해보상보험법상 근로자가 업무상의 사유로 사망한 경우 그 장제를 지낸 유족에게 장의비를 지급한다. 이 때 장의비는 평균임금의 몇 일분에 상당하는 금액을 지급하는가?
① 60일
② 90일
③ 120일
④ 150일
⑤ 180일</t>
    <phoneticPr fontId="1" type="noConversion"/>
  </si>
  <si>
    <t>1-2016-089</t>
  </si>
  <si>
    <t>1-2016-090</t>
  </si>
  <si>
    <t>90. 산업재해보상보험법령상 업무상 사고가 아닌 것은?
① 근로계약에 따른 업무수행 행위를 하던 중 발생한 사고
② 업무수행 과정에서 하는 용변 등 생리적 필요 행위를 하던 중 발생한 사고
③ 업무를 준비하거나 마무리하는 행위를 하던 중 발생한 사고
④ 업무에 따르는 필요적 부수행위를 하던 중 발생한 사고
⑤ 출장 중에 사적 행위 또는 정상적인 출장 경로를 벗어났을 때 발생한 사고</t>
    <phoneticPr fontId="1" type="noConversion"/>
  </si>
  <si>
    <t>1-2016-091</t>
  </si>
  <si>
    <t>91. 국민연금법상 유족연금 수급권자의 유족연금 수급권이 소멸되는 사유를 모두 고른 것은?
ㄱ. 장애등급 2등급인 자녀가 19세가 된 때
ㄴ. 손자녀인 수급권자가 파양된 때
ㄷ. 장애로 수급권을 취득한 자가 장애등급 3급에 해당하게 된 때
① ㄱ
② ㄱ, ㄴ
③ ㄱ, ㄷ
④ ㄴ, ㄷ
⑤ ㄱ, ㄴ, ㄷ</t>
    <phoneticPr fontId="1" type="noConversion"/>
  </si>
  <si>
    <t>1-2016-092</t>
  </si>
  <si>
    <t>1-2016-093</t>
  </si>
  <si>
    <t>1-2016-094</t>
  </si>
  <si>
    <t>94. 국민건강보험법상 보험급여의 정지 사유에 해당하는 것은?
① 고의로 인한 범죄행위에 그 원인이 있는 경우
② 국외에서 업무에 종사하고 있는 경우
③ 고의로 국민건강보험공단의 지시를 따르지 않은 경우
④ 중대한 과실로 국민건강보험공단에서 요구하는 문서나 물건을 제출하지 않은 경우
⑤ 업무로 생긴 질병으로 인해 다른 법령에 따라 보상을 받게 된 경우</t>
    <phoneticPr fontId="1" type="noConversion"/>
  </si>
  <si>
    <t>1-2016-095</t>
  </si>
  <si>
    <t>1-2016-096</t>
  </si>
  <si>
    <t>1-2016-097</t>
  </si>
  <si>
    <t>1-2016-098</t>
  </si>
  <si>
    <t>98. 고용보험 및 산업재해보상보험의 보험료징수 등에 관한 법령상 보험가입자에 관한 설명으로 옳지 않은 것은?
① 고용보험을 적용받는 사업의 사업주와 근로자는 당연히 고용보험법에 따른 고용보험의 보험가입자가 된다.
② 산업재해보상보험법을 적용받는 사업의 사업주는 당연히 산업재해보상보험법에 따른 산업재해보상보험의 보험가입자가 된다.
③ 고용보험법에 따라 같은 법을 적용하지 아니하는 사업장의 근로자는 개별적으로 고용보험에 가입할 수 있다.
④ 산업재해보상보험법에 따라 같은 법을 적용하지 아니하는 사업의 사업주는 근로복지공단의 승인을 받아 산재보험에 가입할 수 있다.
⑤ 근로복지공단은 사업 실체가 없는 등의 사유로 계속하여 보험관계를 유지할 수 없다고 인정하는 경우에는 그 보험관계를 소멸시킬 수 있다.</t>
    <phoneticPr fontId="1" type="noConversion"/>
  </si>
  <si>
    <t>1-2016-099</t>
  </si>
  <si>
    <t>99. 고용보험 및 산업재해보상보험의 보험료징수 등에 관한 법률상 고액・상습 체납자의 인적사항 공개에 관한 설명으로 옳지 않은 것은?
① 국민건강보험공단은 이 법에 따른 납부기한의 다음 날부터 1년이 지난 보험료의 총액이 1억원 이상인 체납자에 대하여는 그 인적사항등을 공개하여야 한다.
② 국민건강보험공단은 체납된 보험료, 이 법에 따른 그 밖의 징수금과 체납처분비와 관련하여 행정소송이 계류 중인 경우에는 체납자의 인적사항등을 공개할 수 없다.
③ 체납자의 인정사항등에 대한 공개 여부를 심의하기 위하여 국민건강보험공단에 보험료정보공개심의위원회를 둔다.
④ 국민건강보험공단은 보험료정보공개심의위원회의 심의를 거쳐 인정사항등의 공개가 결정된 자에 대하여 공개대상자임을 알림으로써 소명할 기회를 주어야 한다.
⑤ 체납자 인적사항등의 공개는 관보에 게재하거나, 고용・산재정보통신망 또는 국민건강보험공단 게시판에 게시하는 방법에 따른다.</t>
  </si>
  <si>
    <t>1-2016-100</t>
  </si>
  <si>
    <t>1-2015-076</t>
    <phoneticPr fontId="1" type="noConversion"/>
  </si>
  <si>
    <t>76. 사회보장기본법상 사회보장정책의 기본방향에 관한 설명으로 옳지 않은 것은?
① 국가와 지방자치단체는 평생사회안전망을 구축・운영함에 있어 사회적 취약계층을 위한 공공부조를 마련하여 최저생활을 보장하여야 한다.
② 국가와 지방자치단체는 공공부문과 민간부문의 소득보장제도가 각각 독자적으로 구축될 수 있는 시책을 강구하여야 한다.
③ 국가와 지방자치단체는 모든 국민이 생애 동안 삶의 질을 유지・증진할 수 있도록 평생사회안전망을 구축하여야 한다.
④ 국가와 지방자치단체는 사회서비스 보장과 소득보장이 효과적이고 균형적으로 연계되도록 하여야 한다.
⑤ 국가와 지방자치단체는 모든 국민의 인간다운 생활과 자립, 사회참여, 자아실현 등을 지원하여 삶의 질이 향상될 수 있도록 사회서비스에 관한 시책을 마련하여야 한다.</t>
  </si>
  <si>
    <t>1-2015-077</t>
  </si>
  <si>
    <t>77. 사회보장기본법상 사회보장위원회에 관한 설명으로 옳지 않은 것은?
① 사회보장에 관한 주요 시책을 심의・조정하기 위하여 국무총리 소속으로 사회보장위원회를 둔다.
② 관계 중앙행정기관의 장과 지방자치단체의 장은 사회보장위원회의 심의・조정사항을 반영하여 사회보장제도를 운영 또는 개선하여야 한다.
③ 사회보장위원회는 위원장 1명, 부위원장 3명과 행정자치부장관, 고용노동부장관, 여성가족부장관, 국토교통부장관을 포함한 20명 이내의 위원으로 구성한다.
④ 사회보장위원회의 위원장은 국무총리가 되고 부위원장은 기획재정부장관, 교육부장관 및 보건복지부장관이 된다.
⑤ 사회보장위원회를 효율적으로 운영하고 위원회의 심의사항을 전문적으로 검토하기 위하여 위원회에 실무위원회를 두며, 실무위원회에 분야별 전문위원회를 둘 수 있다.</t>
  </si>
  <si>
    <t>1-2015-078</t>
  </si>
  <si>
    <t>78. 사회보장기본법상 사회보장급여와 사회보장수급권에 관한 설명으로 옳은 것은?
① 사회보장수급권은 구두로 포기할 수 있다.
② 사회보장급여는 관계 법령에 따라 국가나 지방자치단체에 신청하여야 한다. 다만, 관계 법령이 따로 정하는 경우는 국가나 지방자치단체가 직권으로 결정할 수 있다.
③ 사회보장수급권은 관계 법령에서 따로 정하고 있는 경우에 압류할 수 있다.
④ 국가와 지방자치단체는 관계 법령이 정하는 바에 따라 최저생계비와 최저임금을 매년 공표하여야 한다.
⑤ 사회보장급여를 다른 기관에 신청한 경우에는 그 기관은 지체 없이 이를 정당한 권한이 있는 기관에 이송하여야 한다. 이 경우 정당한 권한이 있는 기관에 이송된 날을 사회보장급여의 신청일로 본다.</t>
    <phoneticPr fontId="1" type="noConversion"/>
  </si>
  <si>
    <t>1-2015-079</t>
  </si>
  <si>
    <t>79. 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
① ㄱ, ㄷ
② ㄴ, ㄹ
③ ㄱ, ㄴ, ㄷ
④ ㄱ, ㄷ, ㄹ
⑤ ㄴ, ㄷ, ㄹ</t>
  </si>
  <si>
    <t>1-2015-080</t>
  </si>
  <si>
    <t>80. 고용보험법령상 고용안정・직업능력개발 사업의 내용으로 옳지 않은 것은?
① 고용창출의 지원
② 조기재취업 수당 지원
③ 고용유지지원금의 지급
④ 지역 고용의 촉진
⑤ 임금피크제 지원금의 지급</t>
  </si>
  <si>
    <t>1-2015-081</t>
  </si>
  <si>
    <t>81. 고용보험법령상 급여에 관한 설명으로 옳은 것은?
① 이주비의 금액은 수급자격자 및 그 수급자격자에 의존하여 생계를 유지하는 동거친족의 이주에 일반적으로 드는 비용으로 하되, 그 금액의 산정은 고용노동부령으로 정하는 바에 따라 따른다.
② 근로자를 전혀 사용하지 아니하는 자영업자는 자신을 피보험자로 하여 조기재취업수당을 지급받을 수 있다.
③ 구직급여의 산정 기초가 되는 임금일액(기초일액)의 상한액은 9만 6천원이다.
④ 고용노동부장관은 고용조정이 불가피하게 된 사업주가 근로자에 대한 휴업을 실시한 경우, 근로자의 임금이 평균임금의 100분의 70 미만으로 감소할 때는 그 근로자에게도 필요한 지원을 할 수 있다.
⑤ 피보험자가 육아휴직 급여 기간 중에 그 사업에서 이직한 경우에도 육아휴직 급여를 지급한다.</t>
    <phoneticPr fontId="1" type="noConversion"/>
  </si>
  <si>
    <t>1-2015-082</t>
  </si>
  <si>
    <t>82. 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
① ㄱ
② ㄱ, ㄴ
③ ㄱ, ㄷ
④ ㄴ, ㄷ
⑤ ㄱ, ㄴ, ㄷ</t>
    <phoneticPr fontId="1" type="noConversion"/>
  </si>
  <si>
    <t>1-2015-083</t>
  </si>
  <si>
    <t>1-2015-084</t>
  </si>
  <si>
    <t>84. 고용보험법상 고용보험심사위원회의 재심사 청구에서 재심사 청구인의 대리인이 될 수 없는 자는?
① 청구인인 법인의 직원
② 청구인의 배우자
③ 청구인이 가입한 노동조합의 위원장
④ 변호사
⑤ 고용보험심사위원회의 허가를 받은 자</t>
    <phoneticPr fontId="1" type="noConversion"/>
  </si>
  <si>
    <t>1-2015-085</t>
  </si>
  <si>
    <t>85. 고용보험법상 구직급여(상병급여)의 수급자격 제한 또는 지급 제한이 되지 않는 경우는?
① 중대한 귀책사유로 해고된 피보험자로서 정당한 사유 없이 근로계약 또는 취업규칙 등을 위반하여 장기간 무단 결근한 경우
② 자기 사정으로 이직한 피보험자로서 전직 또는 자영업을 하기 위하여 이직한 경우
③ 중대한 귀책사유가 있는 자가 해고되지 아니하고 사업주의 권고로 이직한 경우
④ 퇴직한 근로자로서 국민연금법에 의한 노령연금을 지급받는 경우
⑤ 실업신고 이후 산업재해보상보험법에 따른 휴업급여를 지급받을 수 있는 경우</t>
    <phoneticPr fontId="1" type="noConversion"/>
  </si>
  <si>
    <t>1-2015-086</t>
  </si>
  <si>
    <t>86. 산업재해보상보험법상 심사 청구 및 재심사 청구에 관한 설명으로 옳은 것은?
① 근로복지공단은 심사 청구서를 받은 날부터 60일 이내에 결정을 하여야 하지만, 부득이한 사유로 그 기간 이내에 결정을 할 수 없으면 1차에 한하여 20일을 넘지 아니하는 범위에서 그 기간을 연장할 수 있다.
② 심사 청구 및 재심사 청구에 관하여 산업재해보상보험법에서 정하고 있지 아니한 사항에 대하여는 행정소송법에 따른다.
③ 업무상질병판정위원회의 심의를 거친 보험급여에 관한 결정에 불복하는 자는 근로복지공단에 심사 청구를 하지 아니하고는 산업재해보상보험재심사위원회에 재심사 청구를 할 수 없다.
④ 심사 청구는 보험급여 결정 등이 있음을 안 날로부터 180일 이내에 하여야 한다.
⑤ 재심사위원회의 위원장은 재심사위원회의 제청으로 고용노동부장관이 임명한다.</t>
    <phoneticPr fontId="1" type="noConversion"/>
  </si>
  <si>
    <t>1-2015-087</t>
  </si>
  <si>
    <t>87. 산업재해보상보험법령상 재요양의 요건에 해당하지 않는 것은?
① 치유된 업무상 부상 또는 질병과 재요양의 대상이 되는 부상 또는 질병 사이에 상당인과관계가 있을 것
② 재요양의 대상이 되는 부상 또는 질병의 상태가 치유 당시보다 악화된 경우로서 나이나 그 밖에 업무 외의 사유로 악화된 경우가 아닐 것
③ 재요양의 대상이 되는 부상 또는 질병 상태의 호전을 위하여 수술 등 적극적인 치료가 필요하다고 인정될 것
④ 재요양의 대상이 되는 부상 또는 질병의 상태가 재요양으로 치료효과를 기대할 수 있다고 인정될 것
⑤ 업무상의 사유로 발생한 부상 또는 질병으로 인하여 요양 중으로서 그 부상 또는 질병의 상태가 치유 후에도 장해등급에 해당할 것이라는 내용의 의학적 소견이 있을 것</t>
    <phoneticPr fontId="1" type="noConversion"/>
  </si>
  <si>
    <t>1-2015-088</t>
  </si>
  <si>
    <t>88. 산업재해보상보험법상 보험급여에 관한 설명으로 옳지 않은 것은?
① 진폐에 따른 보험급여의 종류는 요양급여, 간병급여, 장의비, 직업재활급여, 진폐보상연금 및 진폐유족연금으로 한다.
② 요양급여는 근로자가 업무상의 사유로 부상을 당하거나 질병에 걸린 경우에 그 보험가입자에게 지급한다.
③ 요양으로 취업하지 못한 기간이 3일 이내이면 휴업급여를 지급하지 아니한다.
④ 대한민국 국민이 아닌 장해보상연금의 수급권자가 외국에서 거주하기 위하여 출국하는 경우 그 수급권이 소멸한다.
⑤ 산업재해로 사망한 근로자의 배우자가 재혼한 때 유족보상연금 수급자격을 잃는다.</t>
    <phoneticPr fontId="1" type="noConversion"/>
  </si>
  <si>
    <t>1-2015-089</t>
  </si>
  <si>
    <t>1-2015-090</t>
  </si>
  <si>
    <t>90. 산업재해보상보험법상 연금의 지급기간 및 지급시기에 관한 설명으로 옳은 것은?
① 장해보상연금의 지급은 그 지급사유가 발생한 달의 초일부터 시작된다.
② 유족보상연금의 지급은 그 지급받을 권리가 소멸한 달의 다음 달 말일에 끝난다.
③ 진폐유족연금은 그 지급을 정지할 사유가 발생한 때에는 그 사유가 발생한 달의 다음 달 초일부터 그 사유가 소멸한 달의 말일까지 지급하지 아니한다.
④ 진폐보상연금은 매년 이를 12등분하여 매달 25일에 그 달 치의 금액을 지급하되, 지급일이 토요일이거나 공휴일이면 그 다음날에 지급한다.
⑤ 유족보상연금의 지급은 그 지급사유가 발생한 달의 초일부터 시작된다.</t>
    <phoneticPr fontId="1" type="noConversion"/>
  </si>
  <si>
    <t>1-2015-091</t>
  </si>
  <si>
    <t>91. 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
① ㄱ, ㄷ
② ㄴ, ㄹ
③ ㄱ, ㄴ, ㄷ
④ ㄱ, ㄴ, ㄹ
⑤ ㄴ, ㄷ, ㄹ</t>
    <phoneticPr fontId="1" type="noConversion"/>
  </si>
  <si>
    <t>1-2015-093</t>
  </si>
  <si>
    <t>93. 국민연금법상 장애등급 3급에 해당하는 자에 대하여 지급하는 장애연금액은?
① 기본연금액의 100%
② 기본연금액의 90%에 부양가족연금액을 더한 금액
③ 기본연금액의 80%에 부양가족연금액을 더한 금액
④ 기본연금액의 70%에 부양가족연금액을 더한 금액
⑤ 기본연금액의 60%에 부양가족연금액을 더한 금액</t>
    <phoneticPr fontId="1" type="noConversion"/>
  </si>
  <si>
    <t>1-2015-094</t>
  </si>
  <si>
    <t>94. 국민건강보험법령상 보험료에 관한 설명으로 옳지 않은 것은?
① 직장가입자의 보수월액보험료는 직장가입자가 납부한다.
② 보수가 지급되지 아니하는 사용자의 보수월액은 객관적인 자료를 통하여 확인된 금액으로 하고, 객관적인 자료가 없는 경우에는 사용자의 신고금액으로 한다.
③ 직장가입자의 소득월액보험료 및 지역가입자의 보험료는 분기별로 납부할 수 있다.
④ 직장가입자의 월별 보험료액은 보수월액에 보험료율을 곱하여 얻은 금액과 소득월액에 보험료율의 100분의 50을 곱하여 얻은 금액으로 한다.
⑤ 직장가입자의 소득월액보험료는 직장가입자가 전액 부담한다.</t>
    <phoneticPr fontId="1" type="noConversion"/>
  </si>
  <si>
    <t>1-2015-095</t>
  </si>
  <si>
    <t>95. 국민건강보험법상 건강보험심사평가원의 관장 업무가 아닌 것은?
① 요양급여비용의 심사
② 요양급여의 적정성 평가
③ 심사기준 및 평가기준의 개발
④ 직장가입자의 보험료율에 대한 심사
⑤ 건강보험과 관련하여 보건복지부장관이 필요하다고 인정한 업무</t>
    <phoneticPr fontId="1" type="noConversion"/>
  </si>
  <si>
    <t>1-2015-096</t>
  </si>
  <si>
    <t>96. 고용보험 및 산업재해보상보험의 보험료 징수 등에 관한 법률상 보험관계의 성립일 또는 소멸일에 해당하지 않는 것은?
① 보험에 가입한 하수급인의 경우에는 그 하도급공사의 착공일
② 사업이 폐업된 날의 다음 날
③ 사업 실체가 없는 등의 사유로 계속하여 보험관계를 유지할 수 없다고 인정하여 근로복지공단이 보험관계를 소멸시키는 경우에는 그 소멸을 결정・통지한 날의 다음 날
④ 근로복지공단의 승인을 얻어 가입한 보험계약을 해지하는 경우에는 그 해지에 관하여 공단의 승인을 받은 날
⑤ 사업이 끝난 날의 다음 날</t>
  </si>
  <si>
    <t>1-2015-097</t>
  </si>
  <si>
    <t>97. 고용보험 및 산업재해보상보험의 보험료 징수 등에 관한 법률상 보험료율에 관한 설명으로 옳은 것은?
① 개별실적요율의 적용을 받는 사업의 산재보험료율은 100분의 75의 범위에서 대통령령으로 정하는 바에 따라 인상하거나 인하할 수 있다.
② 고용보험료율을 결정하거나 변경하려면 고용보험법에 따른 고용보험위원회의 심의를 거쳐야 한다.
③ 산재보험료율은 매년 6월 30일 현재 과거 2년 동안의 보수총액에 대한 산재보험급여총액의 비율을 기초로 하여 정한다.
④ 고용노동부장관은 특정 사업 종류의 산재보험료율이 전체 사업의 평균 산재보험료율의 10배를 초과하지 아니하도록 하여야 한다.
⑤ 특정 사업 종류의 산재보험료율이 인상되거나 인하되는 경우에는 직전 보험연도 산재보험료율의 100분의 20의 범위에서 조정하여야 한다.</t>
    <phoneticPr fontId="1" type="noConversion"/>
  </si>
  <si>
    <t>1-2015-098</t>
  </si>
  <si>
    <t>98. 고용보험 및 산업재해보상보험의 보험료 징수 등에 관한 법률상 납부의무가 확정된 보험료의 총액이 600만원인 경우, 당해 보험료를 납부기한 전에 징수할 수 있는 사유로 옳지 않은 것은?
① 경매가 개시된 경우
② 국세를 체납한 경우
③ 강제집행을 받은 경우
④ 공과금을 체납하여 체납처분을 받은 경우
⑤ 어음법 및 수표법에 따른 어음교환소에서 거래정지처분을 받은 경우</t>
    <phoneticPr fontId="1" type="noConversion"/>
  </si>
  <si>
    <t>1-2015-099</t>
  </si>
  <si>
    <t>1-2015-100</t>
  </si>
  <si>
    <t>100. 고용보험 및 산업재해보상보험의 보험료 징수 등에 관한 법률상 보험료에 관한 설명으로 옳은 것은?
① 고용보험료는 근로복지공단이 부과하고 이를 징수한다.
② 근로자가 동일한 사업주의 하나의 사업장에서 다른 사업장으로 전근되는 경우 그 근로자에 대한 그 월별보험료는 일할계산한다.
③ 사업주는 그 달의 월별보험료를 다음 달 15일까지 납부하여야 한다.
④ 근로복지공단은 사업주에게 문서로써 납부기한 10일 전까지 월별보험료의 납입을 고지하여야 한다.
⑤ 사업주는 전년도에 근로자에게 지급한 보수총액 등을 매년 1월 31일까지 근로복지공단에 신고하여야 한다.</t>
    <phoneticPr fontId="1" type="noConversion"/>
  </si>
  <si>
    <t>1-2014-076</t>
    <phoneticPr fontId="1" type="noConversion"/>
  </si>
  <si>
    <t>76. 사회보장기본법의 내용으로 옳지 않은 것은?
① 국가와 지방자치단체는 가정이 건전하게 유지되고 그 기능이 향상되도록 노력하여야 한다.
② 공공부조란 국가와 지방자치단체의 책임 하에 노동능력이 없는 국민의 인간다운 생활을 보장하는 제도를 말한다.
③ 국가는 관계 법령에서 정하는 바에 따라 최저생계비와 최저임금을 매년 공표하여야 한다.
④ 모든 국민은 자신의 능력을 최대한 발휘하여 자립・자활할 수 있도록 노력하여야 한다.
⑤ 사회보장위원회를 효율적으로 운영하고 위원회의 심의사항을 전문적으로 검토하기 위하여 위원회에 실무위원회를 둔다.</t>
  </si>
  <si>
    <t>1-2014-077</t>
  </si>
  <si>
    <t>77. 사회보장기본법상 사회보장수급권에 관한 설명으로 옳지 않은 것은?
① 모든 국민은 사회보장 관계 법령에서 정하는 바에 따라 사회보장급여를 받을 권리를 가진다.
② 사회보장수급권은 정당한 권한이 있는 기관에 서면으로 통지하여 포기할 수 있다.
③ 국가는 사회보장급여를 받으려는 사람을 대리하여 사회보장급여를 신청할 수 있다.
④ 사회보장수급권은 관계 법령에서 정하는 바에 따라 담보로 제공할 수 없다.
⑤ 관계 법령에서 따로 정하고 있는 경우 사회보장수급권은 제한되거나 정지될 수 있다.</t>
    <phoneticPr fontId="1" type="noConversion"/>
  </si>
  <si>
    <t>1-2014-078</t>
  </si>
  <si>
    <t>78. 사회보장기본법상 사회보장제도의 운영에 관한 설명으로 옳지 않은 것은?
① 중앙행정기관의 장은 사회보장제도를 신설하거나 변경할 경우 그 타당성 등에 대하여 보건복지부장관과 합의하여야 한다.
② 사회보험은 국가의 책임으로 시행하고, 공공부조와 사회서비스는 국가와 지방자치단체의 책임으로 시행함을 원칙으로 한다.
③ 국가와 지방자치단체는 사회보장제도의 정책 결정 및 시행 과정에 공익의 대표자 및 이해관계인 등을 참여시켜 이를 민주적으로 결정하고 시행하여야 한다.
④ 국가와 지방자치단체는 사회보장에 대한 민간부문의 참여를 유도하기 위하여 자원봉사, 기부 등 나눔의 활성화를 위한 각종 지원 사업이 포함된 시책을 수립・시행할 수 있다.
⑤ 보건복지부장관은 사회서비스의 품질기준 마련, 평가 및 개선 등의 업무를 수행하기 위하여 필요한 전담기구를 설치할 수 있다.</t>
  </si>
  <si>
    <t>1-2014-079</t>
  </si>
  <si>
    <t>79. 사회보장기본법상 사회보장제도의 비용부담에 관한 설명으로 옳지 않은 것은?
① 사회보장 비용의 부담은 각각의 사회보장제도의 목적에 따라 국가, 지방자치단체 및 민간부문 간에 합리적으로 조정되어야 한다.
② 부담 능력이 있는 국민에 대한 사회서비스에 드는 비용은 국가와 지방자치단체가 부담하는 것을 원칙으로 한다.
③ 공공부조에 드는 비용의 전부 또는 일부는 국가와 지방자치단체가 부담한다.
④ 사회보험에 드는 비용은 사용자, 피용자 및 자영업자가 부담하는 것을 원칙으로 한다.
⑤ 국가와 지방자치단체는 개인・법인 또는 단체가 사회보장에 참여하는 데에 드는 경비의 전부 또는 일부를 지원할 수 있다.</t>
  </si>
  <si>
    <t>1-2014-080</t>
  </si>
  <si>
    <t>80. 고용보험법상 근로자인 피보험자가 구직급여를 받기 위한 요건에 관한 설명
으로 옳지 않은 것은?
① 전직을 위하여 이직한 경우가 아니어야 한다.
② 재취업을 위한 노력을 적극적으로 하여야 한다.
③ 이직일 이전 18개월간 피보험 단위기간이 통산하여 180일 이상이어야 한다.
④ 일용근로자는 수급자격 인정신청일 이전 30일 동안의 근로일수가 10일 이하이어야 한다.
⑤ 구직급여를 받으려는 자는 이직 후 지체없이 직업안정기관에 출석하여 실업을 신고하여야 한다.</t>
    <phoneticPr fontId="1" type="noConversion"/>
  </si>
  <si>
    <t>1-2014-081</t>
  </si>
  <si>
    <t>81. 고용보험법상 자영업자인 피보험자에게 지급될 수 있는 급여는 모두 몇 개인가?
ㄱ. 이주비
ㄴ. 훈련연장급여
ㄷ. 육아휴직 급여
ㄹ. 조기재취업 수당
ㅁ. 직업능력개발 수당
① 1개
② 2개
③ 3개
④ 4개
⑤ 5개</t>
    <phoneticPr fontId="1" type="noConversion"/>
  </si>
  <si>
    <t>1-2014-082</t>
  </si>
  <si>
    <t>82. 장애인 근로자인 甲(40세)이 다니던 회사가 도산하여 이직하였다. 甲의 피보험기간이 5년이라면 구직급여의 소정급여일수는 몇 일인가?
① 120일
② 150일
③ 180일
④ 210일
⑤ 240일</t>
    <phoneticPr fontId="1" type="noConversion"/>
  </si>
  <si>
    <t>1-2014-083</t>
  </si>
  <si>
    <t>83. 고용보험법상 심사의 청구에 관한 내용으로 옳지 않은 것은?
① 심사의 청구는 시효중단에 관하여 재판상의 청구로 본다.
② 심사의 청구는 원처분등을 한 직업안정기관을 거쳐 고용보험심사관에게 하여야 한다.
③ 심사의 청구는 확인 또는 처분이 있음을 안 날부터 90일 이내에 제기하여야 한다.
④ 결정은 심사청구인 및 직업안정기관의 장에게 결정서의 정본을 보낸 날부터 효력이 발생한다.
⑤ 고용보험심사관은 심사청구인의 신청에 의하여 원처분등의 집행을 정지시킬 수 있다.</t>
    <phoneticPr fontId="1" type="noConversion"/>
  </si>
  <si>
    <t>1-2014-084</t>
  </si>
  <si>
    <t>1-2014-085</t>
  </si>
  <si>
    <t>85. 고용보험법령의 적용대상인 자는?
① 지방공무원법에 따른 공무원
② 가사서비스업에 종사 중인 자
③ 별정우체국법에 따른 별정우체국 직원
④ 사립학교교직원연금법의 적용을 받는 자
⑤ 출입국관리법령상 영주(F-5)의 체류자격을 가진 외국인 근로자</t>
    <phoneticPr fontId="1" type="noConversion"/>
  </si>
  <si>
    <t>1-2014-086</t>
  </si>
  <si>
    <t>86. 산업재해보상보험법령상 특수형태근로종사자의 직종에 해당하지 않는 것은?
① 농업협동조합법에 따른 공제를 모집하는 사람
② 한국표준직업분류표의 세세분류에 따른 채권추심원
③ 한국표준직업분류표의 세세분류에 따른 학습지 교사
④ 한국표준직업분류표의 세분류에 따른 택배원으로서 택배사업에서 집화 업무를 하는 사람
⑤ 건설기계관리법에 따라 등록된 콘크리트믹서트럭을 소유하여 직접 운전하는 사람</t>
    <phoneticPr fontId="1" type="noConversion"/>
  </si>
  <si>
    <t>1-2014-087</t>
  </si>
  <si>
    <t>1-2014-088</t>
  </si>
  <si>
    <t>88. 산업재해보상보험법에 관한 설명으로 옳지 않은 것은?
① 국가는 회계연도마다 예산의 범위에서 보험사업에 드는 비용의 일부를 지원하여야 한다.
② 국가는 회계연도마다 예산의 범위에서 보험사업의 사무 집행에 드는 비용을 일반회계에서 부담하여야 한다.
③ 산업재해보상보험 및 예방에 관한 중요 사항을 심의하기 위하여 고용노동부에 산업재해보상보험및예방심의위원회를 둔다.
④ 산업재해보상보험및예방심의위원회는 근로자를 대표하는 자, 사용자를 대표하는 자 및 공익을 대표하는 자로 구성하되, 그 수는 각각 같은 수로 한다.
⑤ 요양급여를 받은 자가 치유 후 치유 당시보다 상태가 악화되어 이를 치유하기 위한 적극적인 치료가 필요하다는 의학적 소견이 있으면 재요양을 받을 수 있다.</t>
    <phoneticPr fontId="1" type="noConversion"/>
  </si>
  <si>
    <t>1-2014-089</t>
  </si>
  <si>
    <t>89. 산업재해보상보험법령상 업무상질병판정위원회에 관한 설명으로 옳은 것은?
① 업무상질병판정위원회의 위원장은 고용노동부차관이 된다.
② 업무상질병판정위원회는 위원장 1명을 포함하여 60명 이내의 위원으로 구성한다.
③ 업무상 질병의 인정 여부를 심의하기 위하여 고용노동부장관 소속으로 업무상질병판정위원회를 둔다.
④ 진폐는 업무상질병판정위원회의 심의에서 제외된다.
⑤ 업무상질병판정위원회 위원 중 근로자 단체와 사용자 단체가 추천하는 위원 수는 전체 위원 수의 3분의 2 미만으로 할 수 없다.</t>
    <phoneticPr fontId="1" type="noConversion"/>
  </si>
  <si>
    <t>1-2014-090</t>
  </si>
  <si>
    <t>90. 산업재해보상보험법령상 업무상 사고에 해당하지 않는 것은?
① 사업주의 승인을 받아 참가한 회사 야유회에서 발생한 사고
② 빌딩 경비원이 불법침입자를 퇴거시키는 과정에서 몸싸움 중 발생한 사고
③ 사업장 내에서 사업주 몰래 카드놀이를 하던 중 천재지변으로 인하여 발생한 사고
④ 업무수행 과정에서 하는 용변 등 생리적 필요 행위를 하던 중에 발생한 사고
⑤ 업무상 질병으로 요양을 하고 있는 근로자에게 요양급여와 관련하여 발생한 의료사고</t>
    <phoneticPr fontId="1" type="noConversion"/>
  </si>
  <si>
    <t>1-2014-091</t>
  </si>
  <si>
    <t>1-2014-092</t>
  </si>
  <si>
    <t>92. 국민연금법상 급여의 종류가 아닌 것은?
① 반환일시금
② 장애연금
③ 유족연금
④ 노령연금
⑤ 상병연금</t>
    <phoneticPr fontId="1" type="noConversion"/>
  </si>
  <si>
    <t>1-2014-093</t>
  </si>
  <si>
    <t>1-2014-094</t>
  </si>
  <si>
    <t>94. 국민건강보험법령상 직장가입자에 해당되는 자는?
① 고용기간이 1개월 미만인 일용근로자
② 의료급여법에 따라 의료급여를 받는 자
③ 소재지가 일정하지 아니한 사업장의 근로자
④ 비상근 근로자만을 고용하고 있는 사업장의 사업주
⑤ 1개월 동안의 소정근로시간이 60시간인 단시간근로자</t>
    <phoneticPr fontId="1" type="noConversion"/>
  </si>
  <si>
    <t>1-2014-095</t>
  </si>
  <si>
    <t>95. 국민건강보험법상 이의신청 및 심판청구에 관한 내용으로 옳은 것은?
① 이의신청에 대한 결정에 불복하는 자는 건강보험분쟁조정위원회에 심판청구를 할 수 있다.
② 가입자 및 피부양자의 자격에 관한 국민건강보험공단의 처분에 이의가 있는 자는 건강보험분쟁조정위원회에 이의신청을 할 수 있다.
③ 요양급여의 적정성 평가에 관한 심사평가원의 처분에 이의가 있는 요양기관은 심사평가원에 심판청구를 할 수 있다.
④ 이의신청은 처분이 있음을 안 날부터 180일 이내에 제기하여야 한다.
⑤ 이의신청에 불복하는 자는 심판청구를 거치지 아니하고는 행정소송을 제기할 수 없다.</t>
    <phoneticPr fontId="1" type="noConversion"/>
  </si>
  <si>
    <t>1-2014-096</t>
  </si>
  <si>
    <t>96. 고용보험 및 산업재해보상보험의 보험료징수 등에 관한 법률상 보험료의 부과・징수에 관한 설명으로 옳지 않은 것은?
① 월별보험료는 근로복지공단이 매월 부과한다.
② 월별보험료는 국민건강보험공단이 징수한다.
③ 보험료율이 인하된 경우 근로복지공단은 개산보험료를 감액 조정한다.
④ 보험료율이 인상된 경우 국민건강보험공단은 월별보험료를 증액 조정한다.
⑤ 원칙적으로 보험료와 그 밖의 징수금은 국세 및 지방세를 제외한 다른 채권보다 우선하여 징수한다.</t>
  </si>
  <si>
    <t>1-2014-097</t>
  </si>
  <si>
    <t>97. 고용보험 및 산업재해보상보험의 보험료징수 등에 관한 법령상 보험료의 납부의무 및 결손처분에 관한 설명으로 옳지 않은 것은?
① 국민건강보험공단은 근로복지공단의 승인을 받아 소멸시효가 완성된 보험료의 결손처분을 할 수 있다.
② 상속이 개시된 때에 상속인은 피상속인에게 부과되거나 피상속인이 내야 하는 보험료를 상속받은 재산의 한도에서 낼 의무를 진다.
③ 공동사업에 관계되는 보험료는 공동사업자가 연대하여 낼 의무를 진다.
④ 법인이 합병한 경우 합병 후 존속하는 법인은 합병으로 소멸된 법인에 부과되거나 그 법인이 내야 하는 보험료를 낼 의무를 진다.
⑤ 체납자의 행방이 분명하지 않은 경우 보험료의 결손처분 사유가 된다.</t>
    <phoneticPr fontId="1" type="noConversion"/>
  </si>
  <si>
    <t>1-2014-098</t>
  </si>
  <si>
    <t>98. 고용보험 및 산업재해보상보험의 보험료징수 등에 관한 법령에 관한 설명으로 옳지 않은 것은?
① 사업장 이전으로 사업의 소재지를 파악하기 곤란한 경우에는 고용노동부장관이 정하여 고시하는 금액을 보수로 할 수 있다.
② 사업이 여러 차례의 도급에 의하여 행하여지는 경우에 최초로 사업을 도급받아 행하는 자를 원수급인이라 한다.
③ 원수급인으로부터 사업의 전부를 도급받은 자로부터 그 사업의 전부를 도급받아 하는 자는 하수급인에 해당한다.
④ 근로복지공단은 사업의 실체가 없는 등의 사유로 계속하여 보험관계를 유지할 수 없다고 인정하는 경우에는 보험관계를 소멸시킬 수 있다.
⑤ 국민건강보험공단은 고용보험 및 산업재해보상보험사업의 보험료등에 대한 고지・수납・체납관리업무를 근로복지공단으로부터 위탁받아 수행한다.</t>
  </si>
  <si>
    <t>1-2014-099</t>
  </si>
  <si>
    <t>99. 고용보험 및 산업재해보상보험의 보험료징수 등에 관한 법률상 보험료에 관한 설명으로 옳지 않은 것은?
① 사업종류의 변경으로 보험료 납부방법이 변경되는 경우에는 사업종류의 변경일 전일을 변경 전 사업의 폐지일로 본다.
② 보험료를 징수하거나 반환받을 수 있는 권리는 3년간 행사하지 아니하면 시효로 인하여 소멸한다.
③ 확정보험료의 소멸시효는 다음 보험연도의 첫날부터 진행한다.
④ 사업주는 전년도에 근로자에게 지급한 보수총액 등을 매년 3월 31일까지 근로복지공단에 문서로 신고하여야 한다.
⑤ 보험료 징수권의 소멸시효는 체납처분 절차에 따라 하는 교부청구로 중단된다.</t>
    <phoneticPr fontId="1" type="noConversion"/>
  </si>
  <si>
    <t>1-2014-100</t>
  </si>
  <si>
    <t>100. 고용보험 및 산업재해보상보험의 보험료징수 등에 관한 법률상 5년 이하의 징역 또는 3천만원 이하의 벌금에 처하는 경우는?
① 사업주가 확정보험료의 신고를 거짓으로 한 경우
② 보험료 체납자의 재산조회를 위한 국민건강보험공단 이사장의 금융거래정보 제공요청에 응하는 과정에서 금융거래정보를 알게 된 자가 이를 타인에게 제공한 경우
③ 국민건강보험공단의 이사장으로부터 체납자의 재산조회를 위하여 금융거래정보의 제공을 요청받은 자가 정당한 사유 없이 그 제공을 거부한 경우
④ 국민건강보험공단으로부터 관계 서류의 제출을 요구받은 자가 거짓으로 적은 관계 서류를 제출한 경우
⑤ 근로복지공단이 보험사무대행기관의 지도를 위하여 필요하다고 인정하여 관계인에게 질문을 한 경우, 관계인이 그 질문에 거짓으로 답변한 경우</t>
    <phoneticPr fontId="1" type="noConversion"/>
  </si>
  <si>
    <t>1-2013-076</t>
    <phoneticPr fontId="1" type="noConversion"/>
  </si>
  <si>
    <t>76. 사회보장기본법상 생애주기에 걸쳐 보편적으로 충족되어야 하는 기본욕구와 특정한 사회위험에 의하여 발생하는 특수욕구를 동시에 고려하여 소득・서비스를 보장하는 맞춤형 사회보장제도는?
① 최저임금제
② 사회보험
③ 공공부조
④ 사회서비스
⑤ 평생사회안전망</t>
    <phoneticPr fontId="1" type="noConversion"/>
  </si>
  <si>
    <t>1-2013-077</t>
  </si>
  <si>
    <t>77. 사회보장기본법상 사회보장 기본계획에 관한 설명으로 옳은 것은?
① 사회보장 기본계획은 3년마다 수립하여야 한다.
② 사회보장 기본계획은 사회보장위원회의 심의만으로 확정한다.
③ 사회보장에 관한 지역계획은 사회보장 기본계획과 연계되어야 할 필요는 없다.
④ 국무총리는 관계 중앙행정기관의 장과 협의하여 사회보장 기본계획을 수립한다.
⑤ 사회보장 기본계획은 다른 법령에 따라 수립되는 사회보장에 관한 계획에 우선한다.</t>
    <phoneticPr fontId="1" type="noConversion"/>
  </si>
  <si>
    <t>1-2013-078</t>
  </si>
  <si>
    <t>78. 사회보장기본법상 사회보장정보의 관리에 관한 설명으로 옳지 않은 것은?
① 국가와 지방자치단체가 조사하거나 제공받은 개인・법인 또는 단체의 정보는 어떠한 경우에도 보유, 이용, 제공되어서는 아니 된다.
② 국가는 사회보장정보시스템을 구축・운영할 수 있다.
③ 보건복지부장관은 사회보장정보시스템의 구축・운영을 총괄한다.
④ 사회보장 업무에 종사하거나 종사하였던 자는 사회보장업무 수행과 관련하여 알게 된 개인・법인 또는 단체의 정보를 관계 법령에서 정하는 바에 따라 보호하여야 한다.
⑤ 국가와 지방자치단체는 국민편익의 증진과 사회보장업무의 효율성 향상을 위하여 사회보장업무를 전자적으로 관리하도록 노력하여야 한다.</t>
    <phoneticPr fontId="1" type="noConversion"/>
  </si>
  <si>
    <t>1-2013-079</t>
  </si>
  <si>
    <t>79. 사회보장기본법상 내용으로 옳은 것은?
① 국가는 중장기 사회보장 재정추계를 3년마다 실시하고 이를 공표해야 한다.
② 기업 및 노동조합은 사회보장급여에 필요한 비용의 부담, 정보의 제공 등 국가의 사회보장정책에 협력할 수 있다.
③ 국가와 지방자치단체는 국가 발전수준에 부응하고 사회환경의 변화에 선제적으로 대응하며 지속가능한 사회보장제도를 확립하고 매년 이에 필요한 재원을 조달하여야 한다.
④ 사회보장수급권은 어떠한 경우에도 제한되거나 정지될 수 없다.
⑤ 사회보장수급권의 포기는 취소할 수 없다.</t>
    <phoneticPr fontId="1" type="noConversion"/>
  </si>
  <si>
    <t>1-2013-080</t>
  </si>
  <si>
    <t>80. 고용보험법령상 고용안정・직업능력개발 사업이 적용되는 자는?
① 65세 이후에 고용된 자
② 별정우체국법에 따른 별정우체국 직원
③ 국가공무원법에 따른 일반직 공무원
④ 사립학교교직원 연금법의 적용을 받는 자
⑤ 지방공무원법에 따른 별정직 공무원</t>
    <phoneticPr fontId="1" type="noConversion"/>
  </si>
  <si>
    <t>1-2013-081</t>
  </si>
  <si>
    <t>81. 甲(55세)은 경기도 분당에서 음식점을 개업하면서 고용보험에 가입하여 자영업자인 피보험자가 되었다. 그런데 경기 불황으로 적자가 지속되자 폐업을 하고 직업안정기관의 장으로부터 구직급여 수급자격을 인정받았다. 고용보험법상 피보험기간이 1년 2개월인 폐업한 자영업자 甲이 받을 수 있는 구직급여의 소정급여일수는?
① 90일
② 120일
③ 150일
④ 180일
⑤ 210일</t>
    <phoneticPr fontId="1" type="noConversion"/>
  </si>
  <si>
    <t>1-2013-082</t>
  </si>
  <si>
    <t>82. 고용보험법상 고용보험기금에 관한 설명으로 옳은 것은?
① 고용보험기금을 지출할 때 자금 부족이 발생하더라도 고용보험기금의 부담으로 금융기관으로부터 차입을 할 수 없다.
② 고용보험기금계정은 모든 고용보험사업을 통합하여 관리한다.
③ 고용보험기금의 결산상 손실금이 생기면 적립금을 사용하여 이를 보전(補塡)할 수 없다.
④ 고용보험기금은 근로복지공단 이사장이 관리・운용한다.
⑤ 고용보험기금의 관리・운용에 관한 세부 사항은 국가재정법의 규정에 따른다.</t>
    <phoneticPr fontId="1" type="noConversion"/>
  </si>
  <si>
    <t>1-2013-083</t>
  </si>
  <si>
    <t>83. 고용보험법상 심사 및 재심사청구에 관한 설명으로 옳지 않은 것은?
① 심사청구 당사자는 고용보험심사관에게 심리・결정의 공정을 기대하기 어려운 사정이 있으면 그 심사관에 대한 기피신청을 고용노동부장관에게 할 수 있다.
② 심사청구인 또는 재심사청구인은 법정대리인 외에 청구인인 법인의 임원 또는 직원을 대리인으로 선임할 수 있다.
③ 재심사의 청구는 원처분등을 행한 직업안정기관의 장을 상대방으로 한다.
④ 결정은 심사청구인 및 직업안정기관의 장이 결정서의 정본을 받은 날부터 효력이 발생한다.
⑤ 고용보험심사관은 원처분등의 집행에 의하여 발생하는 중대한 위해(危害)를 피하기 위하여 긴급한 필요가 있다고 인정하면 직권으로 그 집행을 정지시킬 수 있다.</t>
    <phoneticPr fontId="1" type="noConversion"/>
  </si>
  <si>
    <t>1-2013-084</t>
  </si>
  <si>
    <t>1-2013-085</t>
  </si>
  <si>
    <t>85. 고용보험법령상 육아휴직 급여에 관한 설명으로 옳은 것은?
① 육아휴직 급여의 지급대상 기간이 1개월을 채우지 못하는 경우에는 근로기준법에 따라 산정한 월 평균임금의 100분의 70에 해당하는 금액을 해당 월에 휴직한 일수로 일할계산(日割計算)하여 지급한다.
② 피보험자가 육아휴직 급여 기간 중에 그 사업에서 이직(離職)한 경우에는 그 이직하였을 때부터 육아휴직 급여를 지급하지 아니한다.
③ 피보험자가 육아휴직 급여 기간 중에 사업주로부터 금품을 지급받은 경우에는 그 사실을 근로복지공단 이사장에게 신고하여야 한다.
④ 본인의 형제자매의 부상은 육아휴직급여 신청기간의 연장사유에 해당된다.
⑤ 직업안정기관의 장은 필요하다고 인정하면 직권으로 그 자에게 행하는 육아휴직급여에 관한 사무를 다른 직업안정기관의 장에게 위탁하여 처리할 수 있다.</t>
    <phoneticPr fontId="1" type="noConversion"/>
  </si>
  <si>
    <t>1-2013-086</t>
  </si>
  <si>
    <t>86. 산업재해보상보험법상 3년 이하의 징역 또는 3천만원 이하의 벌금에 처하는 경우에 해당하는 것은?
① 산재보험 의료기관이 요양을 실시하고 그 진료비를 근로복지공단이 아닌 자에게 청구한 경우
② 근로복지공단이 아닌 자가 근로복지공단 또는 이와 비슷한 명칭을 사용한 경우
③ 산재보험 의료기관의 종사자로서 거짓이나 그 밖의 부정한 방법으로 진료비를 지급받은 경우
④ 근로복지공단의 임직원이 그 직무상 알게 된 비밀을 누설한 경우
⑤ 거짓이나 그 밖의 부정한 방법으로 보험급여를 받은 경우</t>
    <phoneticPr fontId="1" type="noConversion"/>
  </si>
  <si>
    <t>1-2013-087</t>
  </si>
  <si>
    <t>87. 산업재해보상보험법상 내용으로 옳은 것은?
① 수급권자가 산업재해보상보험법에 따라 보험급여를 받으면 보험가입자는 동일한 사유에 대하여 근로기준법에 따른 재해보상 책임이 면제된다.
② 수급권자가 동일한 사유에 대하여 산업재해보상보험법에 따른 보험급여를 받으면 보험가입자는 민법에 따른 손해배상 책임이 전부 면제된다.
③ 보험급여는 지급 신청일부터 14일 이내에 지급하여야 한다.
④ 보험급여의 수급권자가 사망한 경우에 아직 지급되지 아니한 보험급여가 있으면 그 수급권자의 유족의 청구와 관계없이 그 보험급여를 지급한다.
⑤ 근로자의 보험급여를 받을 권리는 퇴직하면 소멸한다.</t>
    <phoneticPr fontId="1" type="noConversion"/>
  </si>
  <si>
    <t>1-2013-088</t>
  </si>
  <si>
    <t>1-2013-089</t>
  </si>
  <si>
    <t>89. 산업재해보상보험법상 보험급여에 관한 설명으로 옳지 않은 것은?
① 근로복지공단은 사망의 추정으로 보험급여를 지급한 후에 그 근로자의 생존이 확인되면 그 급여를 받은 자가 선의(善意)인 경우에는 받은 금액을 징수하여야 한다.
② 근로자를 진료한 산재보험 의료기관은 그 근로자의 재해가 업무상의 재해로 판단되면 그 근로자의 동의없이 요양급여의 신청을 대행할 수 있다.
③ 장해보상연금의 수급권자가 재요양을 받는 경우에도 그 연금의 지급을 정지하지 아니한다.
④ 진폐유족연금의 지급은 그 지급사유가 발생한 달의 다음 달 초일부터 시작된다.
⑤ 유족보상연금의 지급은 그 지급받을 권리가 소멸한 달의 말일에 끝난다.</t>
    <phoneticPr fontId="1" type="noConversion"/>
  </si>
  <si>
    <t>1-2013-090</t>
  </si>
  <si>
    <t>90. 산업재해보상보험법령상 업무상질병판정위원회에 관한 설명으로 옳은 것은?
① 업무상질병판정위원회는 업무상 질병의 인정 여부를 심의하기 위하여 보건복지부소속 기관에 둔다.
② 위원장 1명을 포함하여 50명 이내의 위원으로 구성한다.
③ 위원장과 위원은 비상임으로 한다.
④ 위원장의 임기는 3년으로 하고, 위원의 임기는 2년으로 한다.
⑤ 진폐는 업무상질병판정위원회의 심의에서 제외되는 질병이다.</t>
    <phoneticPr fontId="1" type="noConversion"/>
  </si>
  <si>
    <t>1-2013-091</t>
  </si>
  <si>
    <t>91. 산업재해보상보험법상 업무상의 부상 또는 질병에 따른 정신적 또는 육체적 훼손으로 노동능력이 상실되거나 감소된 상태로서 그 부상 또는 질병이 치유되지 아니한 상태를 뜻하는 용어는?
① 상병
② 장해
③ 폐질
④ 진폐
⑤ 요양</t>
    <phoneticPr fontId="1" type="noConversion"/>
  </si>
  <si>
    <t>1-2013-092</t>
  </si>
  <si>
    <t>92. 국민연금법상 유족연금 수급권의 소멸 사유에 해당하지 않는 것은?
① 유족연금 수급권자가 사망한 때
② 배우자인 유족연금 수급권자가 재혼한 때
③ 손자녀인 유족연금 수급권자가 다른 사람에게 입양된 때
④ 장애등급 2급 이상에 해당하지 아니한 자녀인 유족연금 수급권자가 18세가 된 때
⑤ 장애로 유족연금 수급권을 취득한 자가 장애등급 2급 이상에 해당하지 아니하게 된 때</t>
    <phoneticPr fontId="1" type="noConversion"/>
  </si>
  <si>
    <t>1-2013-093</t>
  </si>
  <si>
    <t>1-2013-094</t>
  </si>
  <si>
    <t>94. 국민건강보험법상 보험가입자의 자격상실 시기에 해당하지 않는 것은?
① 사망한 날의 다음 날
② 국적을 잃은 날의 다음 날
③ 직장가입자의 피부양자가 된 날
④ 국내에 거주하지 아니하게 된 날
⑤ 수급권자가 된 날</t>
    <phoneticPr fontId="1" type="noConversion"/>
  </si>
  <si>
    <t>1-2013-095</t>
  </si>
  <si>
    <t>95. 국민건강보험법상 보험급여가 정지되는 사유에 해당하는 것은?
① 업무로 생긴 재해로 다른 법령에 따른 보험급여를 받게 되는 경우
② 다른 법령에 따라 국가로부터 보험급여에 상당하는 비용을 지급받게 되는 경우
③ 고의 또는 중대한 과실로 요양기관의 요양에 관한 지시에 따르지 아니한 경우
④ 고의 또는 중대한 과실로 인한 범죄행위에 그 원인이 있거나 고의로 사고를 일으킨 경우
⑤ 국외에 여행 중인 경우</t>
    <phoneticPr fontId="1" type="noConversion"/>
  </si>
  <si>
    <t>1-2013-096</t>
  </si>
  <si>
    <t>96. 고용보험 및 산업재해보상보험의 보험료징수 등에 관한 법률에서 사용하는 용어의 뜻으로 옳지 않은 것은?
① "보험"이란 고용보험법에 따른 고용보험 또는 산업재해보상보험법에 따른 산업재해보상보험을 말한다.
② "근로자"란 근로기준법에 따른 근로자를 말한다.
③ "보수"란 근로기준법에 따른 임금을 말한다.
④ "하수급인"이란 원수급인으로부터 그 사업의 전부 또는 일부를 도급받아 하는 자와 그 자로부터 그 사업의 전부 또는 일부를 도급받아 하는 자를 말한다.
⑤ "정보통신망"이란 정보통신망 이용촉진 및 정보보호 등에 관한 법률에 따른 정보통신망을 말한다.</t>
    <phoneticPr fontId="1" type="noConversion"/>
  </si>
  <si>
    <t>1-2013-097</t>
  </si>
  <si>
    <t>97. 고용보험 및 산업재해보상보험의 보험료징수 등에 관한 법령상 보험사무대행기관 인가의 취소에 대한 설명으로 옳지 않은 것은?
① 근로복지공단은 보험사무대행기관이 거짓이나 그 밖의 부정한 방법으로 인가를 받은 경우에는 그 인가를 취소할 수 있다.
② 근로복지공단은 보험사무대행기관이 정당한 사유 없이 계속하여 2개월 이상 보험사무를 중단한 경우에는 그 인가를 취소할 수 있다.
③ 근로복지공단은 보험사무대행기관이 보험사무를 거짓이나 그 밖의 부정한 방법으로 운영한 경우에는 그 인가를 취소할 수 있다.
④ 근로복지공단은 보험사무대행기관이 고용보험 및 산업재해보상보험의 보험료징수 등에 관한 법률에 따른 명령을 따르지 않은 경우에는 그 인가를 취소할 수 있다.
⑤ 근로복지공단은 보험사무대행기관의 인가를 취소하면 지체 없이 그 사실을 해당 보험사무대행기관과 보험사무를 위임한 사업주에게 알려야 한다.</t>
    <phoneticPr fontId="1" type="noConversion"/>
  </si>
  <si>
    <t>1-2013-098</t>
  </si>
  <si>
    <t>98. 고용보험 및 산업재해보상보험의 보험료징수 등에 관한 법령상 고용노동부장관은 천재지변 등의 특수한 사유가 있어 고용보험료를 경감할 필요가 있다고 인정하는 보험가입자에 대하여 고용보험위원회의 심의를 거쳐 보험료와 그 밖의 징수금을 경감할 수 있다. 이 경우 이 법 시행령이 정하는 경감비율은?
① 100분의 10
② 100분의 20
③ 100분의 30
④ 100분의 40
⑤ 100분의 50</t>
    <phoneticPr fontId="1" type="noConversion"/>
  </si>
  <si>
    <t>1-2013-099</t>
  </si>
  <si>
    <t>1-2013-100</t>
  </si>
  <si>
    <t>1-2012-076</t>
    <phoneticPr fontId="1" type="noConversion"/>
  </si>
  <si>
    <t>76. 사회보장기본법상 내용으로 옳지 않은 것은?
① 국가와 지방자치단체는 사회보장제도에 관하여 국민이 필요한 정보를 관계 법령에서 정하는 바에 따라 공개하고, 이를 홍보하여야 한다.
② 사회보장 업무에 종사하는 자는 사회보장과 관련하여 알게 된 개인・법인 또는 단체의 비밀을 관계 법령에서 정하는 바에 따라 보호하여야 한다.
③ 국가와 지방자치단체는 사회보장에 관한 관계 법령에 규정된 권리를 해당 국민에게 의무적으로 설명하여야 한다.
④ 국가와 지방자치단체는 사회보장에 관한 관계 법령에서 정하는 바에 따라 사회보장에 관한 상담에 응하여야 한다.
⑤ 국가와 지방자치단체는 사회보장에 관한 관계 법령에서 정하는 바에 따라 사회보장에 관한 사항을 해당 국민에게 알려야 한다.</t>
    <phoneticPr fontId="1" type="noConversion"/>
  </si>
  <si>
    <t>1-2012-077</t>
  </si>
  <si>
    <t>77. 사회보장기본법령상 사회보장 장기발전방향의 수립에 관한 설명으로 옳지 않은 것은?
① 보건복지부장관은 관계 중앙행정기관의 장과 협의하여 사회보장심의위원회의 심의를 거쳐 사회보장 증진을 위한 장기발전방향을 3년마다 수립하여야 한다.
② 사회보장 장기발전방향에는 사회보장 관련 기금 운용방안이 포함되어야 한다.
③ 사회보장 장기발전방향은 국무회의의 심의를 거쳐 확정한다.
④ 보건복지부장관은 장기발전방향을 수립하려는 경우에는 공청회를 열어 국민과 관계 전문가 등으로부터 의견을 들을 수 있다.
⑤ 보건복지부장관은 확정된 사회보장 장기발전방향의 내용을 지체 없이 관계 중앙행정기관의 장 및 특별시장・광역시장・도지사・특별자치도지사에게 통보하여야 한다.</t>
    <phoneticPr fontId="1" type="noConversion"/>
  </si>
  <si>
    <t>1-2012-078</t>
  </si>
  <si>
    <t>78. 사회보장기본법상 비용부담에 관한 설명으로 옳은 것은?
① 사회보험에 드는 비용은 국가와 지방자치단체가 부담하는 것을 원칙으로 한다.
② 부담 능력에 관계없이 사회복지서비스에 드는 비용은 그 수익자가 부담함을 원칙으로 한다.
③ 공공부조에 드는 비용은 사용자, 피용자 및 자영업자가 부담하는 것을 원칙으로 한다.
④ 사회보험에 드는 비용은 관계 법령에서 정하는 바에 따라 국가와 지방자치단체가 그 비용의 일부를 부담할 수 있다.
⑤ 부담 능력이 있는 국민에 대한 사회복지서비스에 드는 비용은 관계 법령에서 정하는 바에 따라 국가와 지방자치단체가 그 비용의 일부를 부담할 수 있다.</t>
    <phoneticPr fontId="1" type="noConversion"/>
  </si>
  <si>
    <t>1-2012-079</t>
  </si>
  <si>
    <t>79. 사회보장기본법상 사회보장심의위원회의 심의사항으로 옳지 않은 것은?
① 사회보장제도의 도입 또는 확대에 따른 우선순위의 조정
② 둘 이상의 부처에 관련되는 주요 사회보장정책
③ 국가와 지방자치단체의 역할 및 비용 분담
④ 사회보장급여 및 비용 부담의 조정
⑤ 위원장인 대통령이 심의에 부치는 사항</t>
    <phoneticPr fontId="1" type="noConversion"/>
  </si>
  <si>
    <t>1-2012-080</t>
  </si>
  <si>
    <t>80. 고용보험법령상 다음 피보험자(비장애인)가 지급받을 수 있는 조기재취업 수당은 얼마인가?
○ 재취직한 때(2012년 1월)의 연령 : 50세
○ 구직급여일액 : 4만원
○ 미지급 소정급여일수 : 120일
① 120만원
② 240만원
③ 320만원
④ 360만원
⑤ 480만원</t>
    <phoneticPr fontId="1" type="noConversion"/>
  </si>
  <si>
    <t>1-2012-081</t>
  </si>
  <si>
    <t>81. 고용보험법령상 고용촉진 지원금을 지급받을 수 없는 경우로 옳지 않은 것은?
① 비상근 촉탁근로자를 고용하는 경우
② 다른 사업장에서 고용촉진 지원금의 지급대상이 된 후 자발적으로 이직한 사람을 이직한 날부터 1년 이내에 고용하는 경우
③ 사업주의 8촌 혈족을 고용하는 경우
④ 사업주가 고용촉진 지원금 지급대상자를 고용하기 전 3개월부터 고용 후 12개월까지 고용조정으로 근로자(고용촉진 지원금 지급대상 근로자보다 나중에 고용된 근로자는 제외한다)를 이직시키는 경우
⑤ 고용촉진 지원금 지급대상자를 고용한 사업주가 해당 근로자의 최종 이직 당시 사업주와 같은 경우</t>
    <phoneticPr fontId="1" type="noConversion"/>
  </si>
  <si>
    <t>1-2012-082</t>
  </si>
  <si>
    <t>82. 고용보험법령상 자영업자인 피보험자의 실업급여의 종류가 아닌 것은?
① 구직급여
② 조기재취업 수당
③ 직업능력개발 수당
④ 광역 구직활동비
⑤ 이주비</t>
    <phoneticPr fontId="1" type="noConversion"/>
  </si>
  <si>
    <t>1-2012-083</t>
  </si>
  <si>
    <t>83. 고용보험법령상 피보험자격에 관한 설명으로 옳지 않은 것은?
① 사업주는 그 사업에 고용된 근로자의 피보험자격의 취득 및 상실 등에 관한 사항을 고용노동부장관에게 신고하여야 한다.
② 사업주가 피보험자격에 관한 사항을 신고하지 아니하면 근로자가 신고할 수 있다.
③ 자영업자인 피보험자는 피보험자격의 취득 및 상실에 관한 신고를 하지 아니한다.
④ 피보험자격의 취득 및 상실 등에 관한 신고는 그 사유가 발생한 날로부터 14일 이내에 하여야 한다.
⑤ 이직으로 피보험자격을 상실한 자는 실업급여의 수급자격의 인정신청을 위하여 종전의 사업주에게 이직확인서의 교부를 청구할 수 있다.</t>
    <phoneticPr fontId="1" type="noConversion"/>
  </si>
  <si>
    <t>1-2012-084</t>
  </si>
  <si>
    <t>84. 고용보험법령상 육아휴직 급여 신청기간의 연장 사유에 해당하지 않는 것은?
① 천재지변
② 형제의 질병
③ 배우자의 직계존속의 부상
④ 범죄혐의로 인한 구속
⑤ 병역법에 따른 의무복무</t>
    <phoneticPr fontId="1" type="noConversion"/>
  </si>
  <si>
    <t>1-2012-085</t>
  </si>
  <si>
    <t>85. 다음은 고용보험법령에 관한 내용이다. ( )안에 들어갈 내용으로 옳은 것은?
사업주가 근로자대표의 동의를 받아 정년을 ( )세 이상으로 연장하면서 50세 이후부터 일정 나이, 근속시점 또는 임금액을 기준으로 임금을 줄이는 제도를 시행하는 경우 임금피크제 지원금을 지급한다.
① 56
② 57
③ 58
④ 59
⑤ 60</t>
    <phoneticPr fontId="1" type="noConversion"/>
  </si>
  <si>
    <t>1-2012-086</t>
  </si>
  <si>
    <t>86. 산업재해보상보험법령상 특수형태근로종사자의 범위에 해당하지 않는 자는?
① 보험을 모집하는 사람으로서 보험업법에 따른 보험설계사
② 체육시설의 설치・이용에 관한 법률에 따라 체육시설업의 등록을 한 골프장에서 골프경기를 보조하는 골프장 캐디
③ 건설기계관리법에 따라 등록된 덤프트럭을 소유하여 그 덤프트럭을 직접 운전하는 사람
④ 우체국 예금・보험에 관한 법률에 따른 우체국보험의 모집을 전업으로 하는 사람
⑤ 한국표준직업분류표의 세세분류에 따른 학습지 교사</t>
    <phoneticPr fontId="1" type="noConversion"/>
  </si>
  <si>
    <t>1-2012-087</t>
  </si>
  <si>
    <t>87. 산업재해보상보험법령상 내용으로 옳은 것은?
① 산업재해보상보험 사업은 근로복지공단 이사장이 관장한다.
② 장해란 업무상의 부상 또는 질병에 따른 정신적 또는 육체적 훼손으로 노동능력이 상실되거나 감소된 상태로서 그 부상 또는 질병이 치유되지 아니한 상태를 말한다.
③ 산업재해보상보험 및 예방에 관한 중요 사항을 심의하게 하기 위하여 고용노동부에 산업재해보상보험심사위원회를 둔다.
④ 고용노동부장관은 보험가입자에 대하여 장해급여 또는 진폐보상연금을 받은 자를 그 적성에 맞는 업무에 고용하도록 권고할 수 있다.
⑤ 산업재해보상보험및예방기금은 기획재정부장관이 관리・운용한다.</t>
    <phoneticPr fontId="1" type="noConversion"/>
  </si>
  <si>
    <t>1-2012-088</t>
  </si>
  <si>
    <t>1-2012-089</t>
  </si>
  <si>
    <t>89. 산업재해보상보험법상 진폐에 따른 보험급여의 종류가 아닌 것은?
① 요양급여
② 휴업급여
③ 간병급여
④ 장의비
⑤ 직업재활급여</t>
    <phoneticPr fontId="1" type="noConversion"/>
  </si>
  <si>
    <t>1-2012-090</t>
  </si>
  <si>
    <t>1-2012-091</t>
  </si>
  <si>
    <t>91. 산업재해보상보험법령상 심사 청구 및 재심사 청구에 관한 설명으로 옳지 않은 것을 모두 고른 것은? (다툼이 있는 경우에는 판례에 의함)
ㄱ. 근로복지공단의 보험급여 결정에 대하여는 행정심판법에 따른 행정심판을 제기할 수 있다.
ㄴ. 보험급여 결정 등에 대한 심사 청구는 보험급여 결정이 있은 날부터 90일 이내에 하여야 한다.
ㄷ. 심사 청구 및 재심사 청구에 관하여 산업재해보상보험법에서 정하고 있지 아니한 사항에 대하여는 행정심판법에 따른다.
ㄹ. 근로복지공단의 보험급여 결정에 불복하는 자는 행정소송을 제기하기 전에 근로복지공단에 심사 청구를 하여야 한다.
① ㄱ, ㄴ
② ㄱ, ㄴ, ㄹ
③ ㄱ, ㄷ, ㄹ
④ ㄴ, ㄷ, ㄹ
⑤ ㄷ, ㄹ</t>
    <phoneticPr fontId="1" type="noConversion"/>
  </si>
  <si>
    <t>1-2012-092</t>
  </si>
  <si>
    <t>92. 국민연금법령상 국민연금 가입기간에 관한 설명으로 옳지 않은 것은?
① 사용자가 근로자의 임금에서 기여금을 공제하고 연금보험료를 내지 아니한 경우에는 그 내지 아니한 기간은 근로자의 가입기간에 산입하지 아니한다.
② 가입자의 가입 종류가 변동되면 그 가입자의 가입기간은 각 종류별 가입기간을 합산한 기간으로 한다.
③ 가입자의 자격을 상실한 후 다시 그 자격을 취득한 자에 대하여는 전후의 가입기간을 합산한다.
④ 임의계속가입자의 자격을 취득한 경우에는 자격을 취득한 날이 속하는 달을 가입기간에 산입한다.
⑤ 가입자가 지급받은 반환일시금이 부당이득에 해당하는 경우 이를 반납하지 아니하는 때에는 그에 상응하는 기간을 가입기간에 산입하지 아니한다.</t>
    <phoneticPr fontId="1" type="noConversion"/>
  </si>
  <si>
    <t>1-2012-093</t>
  </si>
  <si>
    <t>93. 국민연금법상 가입자가 사망할 당시 그에 의하여 생계를 유지하고 있던 자(인정기준 충족) 중 유족연금을 지급받을 수 있는 유족의 범위에 해당하지 않는 자는?
① 45세인 사실상의 혼인관계에 있는 배우자
② 65세인 부(父)
③ 장애등급 3급인 25세의 자녀
④ 75세인 배우자의 조부
⑤ 8세인 손녀</t>
    <phoneticPr fontId="1" type="noConversion"/>
  </si>
  <si>
    <t>1-2012-094</t>
  </si>
  <si>
    <t>1-2012-095</t>
  </si>
  <si>
    <t>95. 국민건강보험법령상 요양급여비용계약에 관한 설명으로 옳지 않은 것은?
① 요양급여비용은 국민건강보험공단의 이사장과 대통령령이 정하는 의약계를 대표하는 자와의 계약으로 정한다.
② 계약이 체결된 경우 그 계약은 국민건강보험공단과 각 요양기관 간에 체결된 것으로 본다.
③ 계약기간 만료일의 60일 전까지 계약이 체결되지 아니하는 경우에는 전년도와 동일한 요양급여비용을 적용한다.
④ 건강보험심사평가원은 국민건강보험공단의 이사장이 계약을 체결하기 위하여 필요한 자료를 요청하는 경우에는, 이에 성실히 응하여야 한다.
⑤ 요양급여비용이 정하여지는 경우에 보건복지부장관은 그 요양급여비용의 내역을 지체없이 고시하여야 한다.</t>
    <phoneticPr fontId="1" type="noConversion"/>
  </si>
  <si>
    <t>1-2012-096</t>
  </si>
  <si>
    <t>96. 고용보험 및 산업재해보상보험의 보험료징수 등에 관한 법률에 따라 고용노동부장관이 고시하여야 하는 사항에 해당하지 않는 것은?
① 사업의 폐업・도산 등으로 보수를 산정・확인하기 곤란한 경우에 적용할 기준보수
② 특수형태근로종사자와 사업주에 대한 산업재해보상보험료 산정의 기초가 되는 보수액
③ 해외파견자의 산업재해보상보험료 산정에 적용할 산업재해보상보험료율
④ 자영업자에 대한 고용보험료 산정의 기초가 되는 보수액
⑤ 고용안정・직업능력개발사업 및 실업급여의 보험료율</t>
    <phoneticPr fontId="1" type="noConversion"/>
  </si>
  <si>
    <t>1-2012-097</t>
  </si>
  <si>
    <t>97. 고용보험 및 산업재해보상보험의 보험료징수 등에 관한 법률 및 같은 법 시행령상 일할계산에 따른 월별보험료의 산정사유에 해당하는 것을 모두 고른 것은?
ㄱ. 근로자의 휴업기간이 월의 중간에 걸쳐 있는 경우
ㄴ. 근로자가 동일한 사업주의 하나의 사업장에서 다른 사업장으로 전근되는 경우
ㄷ. 근로자가 월의 중간에 새로이 고용되는 경우
ㄹ. 근로기준법에 따른 산전후 보호휴가 기간이 월의 중간에 걸쳐 있는 경우
① ㄱ, ㄴ
② ㄴ, ㄹ
③ ㄱ, ㄷ, ㄹ
④ ㄴ, ㄷ, ㄹ
⑤ ㄱ, ㄴ, ㄷ, ㄹ</t>
    <phoneticPr fontId="1" type="noConversion"/>
  </si>
  <si>
    <t>1-2012-098</t>
  </si>
  <si>
    <t>98. 고용보험 및 산업재해보상보험의 보험료징수 등에 관한 법률상 소멸시효에 관한 설명으로 옳지 않은 것은?
① 보험료를 징수할 수 있는 권리는 3년간 행사하지 아니하면 시효로 인하여 소멸한다.
② 체납처분 절차에 따라 하는 교부청구가 있으면 소멸시효가 중단된다.
③ 독촉으로 중단된 소멸시효는 독촉에 의한 납부기한이 지난 때부터 새로 진행한다.
④ 확정보험료의 소멸시효는 보험연도 중에 보험관계가 소멸한 사업의 경우에는 보험관계가 소멸한 날의 다음 날로부터 진행한다.
⑤ 보험료 과납액을 반환받을 수 있는 권리는 3년간 행사하지 아니하면 시효로 인하여 소멸한다.</t>
    <phoneticPr fontId="1" type="noConversion"/>
  </si>
  <si>
    <t>1-2012-099</t>
  </si>
  <si>
    <t>99. 고용보험 및 산업재해보상보험의 보험료징수 등에 관한 법률상 보험료등 과납액의 충당순위를 바르게 나열한 것은?
ㄱ. 가산금
ㄴ. 연체금
ㄷ. 체납처분비
ㄹ. 산업재해보상보험 가입자로부터의 보험급여액의 징수금
ㅁ. 월별보험료, 개산보험료 및 확정보험료
① ㄱ-ㄴ-ㄷ-ㄹ-ㅁ
② ㄷ-ㄴ-ㄱ-ㅁ-ㄹ
③ ㄷ-ㄴ-ㄱ-ㄹ-ㅁ
④ ㅁ-ㄱ-ㄷ-ㄴ-ㄹ
⑤ ㅁ-ㄷ-ㄴ-ㄱ-ㄹ</t>
    <phoneticPr fontId="1" type="noConversion"/>
  </si>
  <si>
    <t>1-2012-100</t>
  </si>
  <si>
    <t>100. 고용보험 및 산업재해보상보험의 보험료징수 등에 관한 법률상 보험가입 및 해지에 관한 설명으로 옳지 않은 것은?
① 산업재해보상보험법 적용 제외 사업의 사업주는 근로복지공단의 승인을 받아 산업재해보상보험에 가입할 수 있다.
② 사업주 및 근로자가 고용보험의 당연가입자가 되는 사업이 사업규모의 변동 등의 사유로 적용 제외 사업에 해당하게 되었을 때에는 그 날부터 임의가입에 의하여 고용보험에 가입한 것으로 본다.
③ 근로복지공단은 사업실체가 없는 등의 사유로 계속하여 보험관계를 유지할 수 없다고 인정하는 경우에는 그 보험관계를 소멸시킬 수 있다.
④ 산업재해보상보험에 가입한 사업주가 그 사업을 운영하다가 근로자를 고용하지 아니하게 되었을 때에는 그 날부터 1년의 범위에서 근로자를 사용하지 아니한 기간에도 보험에 가입한 것으로 본다.
⑤ 산업재해보상보험에 임의가입한 사업주가 보험계약을 해지할 때에는 근로자 과반수의 동의와 근로복지공단의 승인을 받아야 한다.</t>
    <phoneticPr fontId="1" type="noConversion"/>
  </si>
  <si>
    <t>1-2011-076</t>
    <phoneticPr fontId="1" type="noConversion"/>
  </si>
  <si>
    <t>76. 다음은 사회보장기본법상 용어에 대한 정의이다. ( )안에 들어갈 내용으로 옳은 것은?
( )(이)란 국가・지방자치단체 및 민간부문의 도움이 필요한 모든 국민에게 상담, 재활, 직업의 소개 및 지도, 사회복지시설의 이용 등을 제공하여 정상적인 사회생활이 가능하도록 지원하는 제도를 말한다.
① 사회보장
② 사회보험
③ 공공부조
④ 사회복지서비스
⑤ 관련복지제도</t>
    <phoneticPr fontId="1" type="noConversion"/>
  </si>
  <si>
    <t>1-2011-077</t>
  </si>
  <si>
    <t>77. 사회보장기본법상 사회보장수급권에 관한 설명으로 옳지 않은 것은?
① 국가는 관계 법령에서 정하는 바에 따라 최저생계비를 매년 공표하여야 한다.
② 사회보장수급권은 관계 법령에서 정하는 바에 따라 타인에게 양도하거나 담보로 제공할 수 없으며, 이를 압류할 수 없다.
③ 사회보장수급권은 관계 법령에서 따로 정하고 있는 경우에는 제한되거나 정지될 수 있다.
④ 사회보장수급권을 포기하는 것이 타인에게 피해를 주는 경우에는 포기할 수 없다.
⑤ 사회보장수급권의 포기는 취소할 수 없다.</t>
    <phoneticPr fontId="1" type="noConversion"/>
  </si>
  <si>
    <t>1-2011-078</t>
  </si>
  <si>
    <t>78. 사회보장기본법상 내용으로 옳지 않은 것은?
① 국가와 지방자치단체는 국제적 기준에 부응하는 사회보장제도를 확립하여야 한다.
② 국가와 지방자치단체는 사회보장제도에 필요한 재원을 조달하여야 한다.
③ 국가와 지방자치단체는 가정이 건전하게 유지되고 그 기능이 향상되도록 노력하여야 한다.
④ 국가와 지방자치단체는 사회보장제도를 시행할 때에 가정과 지역공동체의 자발적인 복지 활동을 촉진하여야 한다.
⑤ 국가는 지방자치단체와 사회보장에 관한 책임과 역할을 합리적으로 조정하여야 한다.</t>
    <phoneticPr fontId="1" type="noConversion"/>
  </si>
  <si>
    <t>1-2011-079</t>
  </si>
  <si>
    <t>79. 고용보험법령상 고용창출에 대한 지원을 받을 수 없는 경우는?
① 직무의 분할을 통하여 실업자를 근로계약기간을 정하지 않고 시간제로 근무하는 형태로 하여 새로 고용하는 경우
② 고용보험위원회에서 심의・의결한 성장유망업종에 해당하는 창업기업이 다른 기업으로부터 전문인력을 지원받아 사용하는 경우
③ 근로시간 단축을 통하여 실업자를 고용함으로써 근로자 수가 증가한 경우
④ 고용보험위원회에서 심의・의결한 업종에 해당하는 우선지원 대상기업이 우선지원 대상기업이 아닌 다른 기업으로부터 전문인력을 지원받아 사용하는 경우
⑤ 고용노동부장관이 정하는 시설을 설치・운영하여 고용환경을 개선하고 실업자를 고용하여 근로자 수가 증가한 경우</t>
    <phoneticPr fontId="1" type="noConversion"/>
  </si>
  <si>
    <t>1-2011-080</t>
  </si>
  <si>
    <t>80. 30세인 甲은 A회사에 취업한 지 2년 6개월 만에 해고되어 90일간의 구직급여를 받은 후 B회사에 취업하여 1년 6개월간 근무하다가 자발적으로 이직하였다. 그 후 2년간 실업상태에서 구직급여를 받고 있지 않다가 C회사에 취업하여 3년 6개월 만에 해고당하였다. 이 경우 甲의 피보험기간은? (A, B, C회사는 모두 고용보험 적용사업장이며, 甲은 적용제외 근로자로 고용된 기간은 없음)
① 3년 6개월
② 4년
③ 5년
④ 5년 6개월
⑤ 7년 6개월</t>
    <phoneticPr fontId="1" type="noConversion"/>
  </si>
  <si>
    <t>1-2011-081</t>
  </si>
  <si>
    <t>81. 고용보험법상 구직급여의 수급요건으로 옳지 않은 것은?
① 이직일 이전 18개월간 피보험 단위기간이 통산하여 180일 이상일 것
② 근로의 의사와 능력이 있음에도 불구하고 취업하지 못한 상태에 있을 것
③ 이직사유가 수급자격의 제한 사유에 해당하지 아니할 것
④ 재취업을 위한 노력을 적극적으로 할 것
⑤ 최종 이직 당시 일용근로자였던 자는 수급자격 인정신청일 이전 1개월 동안의 근무일수가 10일 이상일 것</t>
    <phoneticPr fontId="1" type="noConversion"/>
  </si>
  <si>
    <t>1-2011-082</t>
  </si>
  <si>
    <t>82. 고용보험법상 구직급여의 수급자격 제한 또는 지급 제한 사유에 해당하지 않는 것은?
① 형법을 위반하여 벌금형을 선고받아 해고된 경우
② 전직을 하기 위하여 이직한 경우
③ 정당한 사유 없이 직업안정기관의 장이 소개하는 직업에 취직하는 것을 거부한 경우
④ 정당한 사유 없이 직업안정기관의 장이 지시한 직업능력개발 훈련을 거부한 경우
⑤ 사업장의 기물을 고의로 파손하여 사업에 막대한 지장을 초래한 자가 해고되지 아니하고 사업주의 권고로 이직한 경우</t>
    <phoneticPr fontId="1" type="noConversion"/>
  </si>
  <si>
    <t>1-2011-083</t>
  </si>
  <si>
    <t>83. 甲은 2000년 3월 1일에 고용보험 적용사업장인 A회사에 입사하였다. A회사는 2000년 4월 1일에 甲의 피보험자격의 취득을 고용노동부장관에게 신고하였다. 甲은 2011년 5월 1일에 이직하였고, A회사는 2011년 5월 15일에 甲의 피보험자격의 상실을 고용노동부장관에게 신고하였다. 이 경우 甲의 피보험자격의 취득일과 상실일이 순서대로 된 것은?
① 2000년 3월 1일, 2011년 5월 1일
② 2000년 3월 1일, 2011년 5월 2일
③ 2000년 3월 2일, 2011년 5월 1일
④ 2000년 4월 1일, 2011년 5월 15일
⑤ 2000년 4월 2일, 2011년 5월 16일</t>
    <phoneticPr fontId="1" type="noConversion"/>
  </si>
  <si>
    <t>1-2011-084</t>
  </si>
  <si>
    <t>1-2011-085</t>
  </si>
  <si>
    <t>85. 甲(28세)은 장애인고용촉진 및 직업재활법상 장애인으로 4년간 근무하던 A회사를 퇴사하여 직업안정기관으로부터 구직급여 수급자격을 인정받았다. 甲이 받을 수 있는 구직급여의 소정 급여일수는?
① 90일
② 120일
③ 150일
④ 180일
⑤ 210일</t>
    <phoneticPr fontId="1" type="noConversion"/>
  </si>
  <si>
    <t>1-2011-086</t>
  </si>
  <si>
    <t>86. 산업재해보상보험법상 제3자에 대한 구상권에 관한 설명으로 옳지 않은 것은? (다툼이 있는 경우에는 판례에 의함)
① 구상권 행사의 상대방인 제3자란 보험가입자인 사업주와 함께 재해근로자와의 사이에 산업재해보상보험관계가 없는 자로서 재해근로자에 대하여 불법행위 등으로 인한 손해배상책임을 지는 자를 의미한다.
② 제3자에 대한 구상권은 제3자와 보험가입자의 공동불법행위로 인하여 업무상 재해가 발생한 경우에도 행사할 수 있다.
③ 보험자가 구상할 수 있는 대상채권에는 정신적 손해의 전보도 포함된다.
④ 근로자가 동료 근로자의 행위로 인하여 업무상 재해를 입은 경우 그 동료 근로자는 구상권이 인정되는 제3자에서 제외된다.
⑤ 수급권자 및 보험가입자는 제3자의 행위로 재해가 발생하면 지체 없이 공단에 신고하여야 한다.</t>
    <phoneticPr fontId="1" type="noConversion"/>
  </si>
  <si>
    <t>1-2011-087</t>
  </si>
  <si>
    <t>87. 산업재해보상보험법상 장해보상연금이나 유족보상연금의 지급기간과 지급시기에 관한 설명으로 옳지 않은 것은?
① 연금의 지급은 그 지급사유가 발생한 달의 다음 달 초일부터 시작된다.
② 연금의 지급일이 토요일이거나 공휴일이면 그 익일에 지급한다.
③ 연금은 매년 이를 12등분하여 지급한다.
④ 연금의 지급은 그 지급받을 권리가 소멸한 달의 말일에 끝난다.
⑤ 연금을 받을 권리가 소멸한 경우에는 그 지급일 전이라도 지급할 수 있다.</t>
    <phoneticPr fontId="1" type="noConversion"/>
  </si>
  <si>
    <t>1-2011-088</t>
  </si>
  <si>
    <t>88. 산업재해보상보험법상 업무상 재해의 인정기준에 관한 설명으로 옳은 것은? (다툼이 있는 경우에는 판례에 의함)
① 업무상 과로나 스트레스가 질병의 주된 발생 원인에 겹쳐서 질병을 악화시켰더라도 그 사이에 인과관계가 없다고 보아야 한다.
② 인과관계는 반드시 의학적・자연과학적으로 명백히 입증되어야 하는 것은 아니다.
③ 평소에 정상적인 근무가 가능한 기존질병이 직무의 과중 등이 원인이 되어 자연적인 진행속도 이상으로 급격하게 악화되었더라도 인과관계가 있다고 볼 수는 없다.
④ 근로자의 업무와 질병 사이의 인과관계에 관하여는 사용자측에서 입증하여야 한다.
⑤ 업무와 질병과의 인과관계의 유무는 보통평균인의 건강과 신체조건을 기준으로 판단하여야 한다.</t>
    <phoneticPr fontId="1" type="noConversion"/>
  </si>
  <si>
    <t>1-2011-089</t>
  </si>
  <si>
    <t>89. 산업재해보상보험법상 유족보상연금의 수급자격 상실사유가 아닌 것은?
① 수급권자가 3개월 이상 행방불명된 경우
② 수급자격자인 자녀가 18세가 된 경우
③ 근로자가 사망할 당시 대한민국 국민이었던 수급자격자가 국적을 상실하고 외국에서 거주하기 위하여 출국하는 경우
④ 사망한 근로자의 배우자인 수급자격자가 다른 자와 사실상 혼인 관계에 있는 경우
⑤ 수급자격자인 자녀가 사망한 경우</t>
    <phoneticPr fontId="1" type="noConversion"/>
  </si>
  <si>
    <t>1-2011-090</t>
  </si>
  <si>
    <t>90. 산업재해보상보험법상 근로자로 간주되는 자가 아닌 것은?
① 보험가입자가 대한민국 밖의 지역(고용노동부령으로 정하는 지역은 제외)에서 하는 사업에 근로시키기 위하여 공단에 보험 가입 신청을 하여 승인을 받은 해외파견자
② 산업재해보상보험법이 적용되는 사업에서 현장 실습을 하고 있는 학생 및 직업훈련생 중 고용노동부장관이 정하는 자
③ 50명 미만의 근로자를 사용하는 중・소기업의 사업주로서 공단의 승인을 받은 보험가입자
④ 보험업법에 따른 보험설계사로서 노무를 제공함에 있어서 타인을 사용하는 자
⑤ 근로자가 아닌 자로서 국민기초생활 보장법에 따른 자활급여 수급자 중 고용노동부장관이 정하여 고시하는 사업에 종사하는 자</t>
    <phoneticPr fontId="1" type="noConversion"/>
  </si>
  <si>
    <t>1-2011-091</t>
  </si>
  <si>
    <t>91. 산업재해보상보험법상 유족특별급여에 관한 설명으로 옳지 않은 것은?
① 보험가입자의 고의 또는 과실로 발생한 업무상의 재해로 근로자가 사망한 경우에 지급할 수 있다.
② 유족급여 또는 진폐유족연금에 갈음하여 지급한다.
③ 수급권자가 민법에 따른 손해배상청구를 갈음하여 청구해야 한다.
④ 수급권자가 유족특별급여를 받으면 동일한 사유에 대하여 보험가입자에게 민법이나 그 밖의 법령에 따른 손해배상을 청구할 수 없다.
⑤ 공단은 유족특별급여를 지급하면 그 급여액 모두를 보험가입자로부터 징수한다.</t>
    <phoneticPr fontId="1" type="noConversion"/>
  </si>
  <si>
    <t>1-2011-092</t>
  </si>
  <si>
    <t>92. 다음은 국민연금법상 조기노령연금에 관한 설명이다. ( )안에 들어갈 숫자의 합은?
가입기간이 ( )년 이상인 가입자 또는 가입자였던 자로서 ( )세 이상인자가 소득이 있는 업무에 종사하지 아니하는 경우 본인이 희망하면 ( )세가 되기 전이라도 그가 생존하는 동안 일정한 금액의 연금을 받을 수 있다.
① 115
② 120
③ 125
④ 130
⑤ 135</t>
    <phoneticPr fontId="1" type="noConversion"/>
  </si>
  <si>
    <t>1-2011-093</t>
  </si>
  <si>
    <t>93. 국민연금 가입자에 관한 설명으로 옳지 않은 것은?
① 사립학교교직원 연금법을 적용받는 사립학교 교직원은 국민연금 가입대상에서 제외된다.
② 국민기초생활 보장법에 따른 수급자는 지역가입자에서 제외된다.
③ 사망한 때, 국적을 상실하거나 국외로 이주한 때, 60세가 된 때는 사업장가입자, 직장가입자의 공통된 자격상실 사유이다.
④ 사업장가입자가 3개월 이상 계속하여 연금보험료를 체납한 경우 가입자 자격을 상실한다.
⑤ 임의가입자는 가입 신청이 수리된 날에 자격을 취득한다.</t>
    <phoneticPr fontId="1" type="noConversion"/>
  </si>
  <si>
    <t>1-2011-094</t>
  </si>
  <si>
    <t>94. 국민건강보험법상 보험급여에 관한 설명으로 옳지 않은 것은?
① 보험급여를 받을 수 있는 자가 고의 또는 중대한 과실로 사고를 발생시킨 때에 는 보험급여를 하지 아니한다.
② 보험급여를 받을 수 있는 자가 업무상 질병・부상・재해로 인하여 다른 법령에 의한 보험급여를 받게 되는 때에는 보험급여를 하지 아니한다.
③ 보험급여를 받을 수 있는 자가 국외에서 업무에 종사하고 있는 때에는 그 기간 중 보험급여를 하지 아니한다.
④ 보험급여를 실시함에 있어서 필요하다고 인정되는 때에는 보험급여를 받는 자에 대하여 문서의 제출을 요구할 수 있다.
⑤ 공단은 제3자의 행위로 인한 보험급여사유가 발생하여 가입자에게 보험급여를 한 때에는 그 급여에 소요된 비용의 한도 내에서 그 제3자에 대한 손해배상청구의 권리를 얻는다.</t>
    <phoneticPr fontId="1" type="noConversion"/>
  </si>
  <si>
    <t>1-2011-095</t>
  </si>
  <si>
    <t>95. 국민건강보험법령상 가입자에 관한 설명으로 옳지 않은 것은?
① 1월 미만의 기간 동안 고용되는 일용근로자는 직장가입자에서 제외된다.
② 의료급여법에 따라 의료급여를 받는 자는 국민건강보험법의 적용대상자가 아니다.
③ 소재지가 일정하지 아니한 사업장의 근로자 및 사용자는 직장가입자에서 제외된다.
④ 선거에 의하여 취임하는 공무원으로서 매월 보수 또는 이에 준하는 급료를 받지 아니하는 자는 직장가입자에서 제외된다.
⑤ 병역법의 규정에 의한 무관후보생은 직장가입자가 된다.</t>
    <phoneticPr fontId="1" type="noConversion"/>
  </si>
  <si>
    <t>1-2011-096</t>
  </si>
  <si>
    <t>96. 고용보험 및 산업재해보상보험의 보험료징수 등에 관한 법률상 징수금의 결손처분 사유에 해당하지 않는 것은?
① 체납처분이 끝나고 체납액에 충당된 배분금액이 그 체납액보다 적은 경우
② 소멸시효가 완성된 경우
③ 체납자의 행방이 분명하지 않아 징수할 가능성이 없다고 인정하는 경우
④ 체납자의 재산이 없거나 체납처분의 목적물인 총재산의 견적가격이 체납처분비에 충당하고 나면 나머지가 생길 여지가 없음이 확인된 경우
⑤ 체납처분의 목적물에 보험료보다 우선하는 근저당권이 설정되어 있는 경우</t>
    <phoneticPr fontId="1" type="noConversion"/>
  </si>
  <si>
    <t>1-2011-097</t>
  </si>
  <si>
    <t>97. 고용보험 및 산업재해보상보험의 보험료징수 등에 관한 법률상 납부 기한 전 징수 사유에 해당하지 않는 것은? (보험료와 이 법에 따른 그 밖의 징수금의 총액이 500만원 이상인 경우에 한함)
① 국세를 체납하여 체납처분을 받은 경우
② 공과금을 체납하여 체납처분을 받은 경우
③ 강제집행을 받은 경우
④ 경매가 개시된 경우
⑤ 법인이 분할된 경우</t>
    <phoneticPr fontId="1" type="noConversion"/>
  </si>
  <si>
    <t>1-2011-098</t>
  </si>
  <si>
    <t>98. 고용보험 및 산업재해보상보험의 보험료징수 등에 관한 법률상 국민건강보험공단이 사업주에게 납부기한 10일 전까지 월별보험료의 납입을 문서로써 고지할 때 기재할 사항이 아닌 것은?
① 납부기한
② 납부장소
③ 보험료의 납부방법
④ 징수하고자 하는 보험료 등의 종류
⑤ 납부하여야 할 보험료 등의 금액</t>
    <phoneticPr fontId="1" type="noConversion"/>
  </si>
  <si>
    <t>1-2011-099</t>
  </si>
  <si>
    <t>99. 고용보험 및 산업재해보상보험의 보험료징수 등에 관한 법률상 보험관계의 소멸일에 해당하는 것은?
① 사업이 폐업된 날
② 사업이 끝난 날
③ 공단의 승인을 얻어 가입한 보험계약을 해지하는 경우에는 그 해지에 관하여 공단의 승인을 받은 날의 다음 날
④ 공단이 보험관계를 소멸시키는 경우에는 그 소멸결정・통지를 한 날
⑤ 사업주가 사망한 날의 다음 날</t>
    <phoneticPr fontId="1" type="noConversion"/>
  </si>
  <si>
    <t>1-2011-100</t>
  </si>
  <si>
    <t>1-2010-076</t>
    <phoneticPr fontId="1" type="noConversion"/>
  </si>
  <si>
    <t>76. 사회보장기본법상 사회보장심의위원회에 관한 내용으로 옳지 않은 것은?
① 사회보장에 관한 주요 시책을 심의하기 위하여 국무총리 소속으로 둔다.
② 위원장 1명과 부위원장 2명을 포함하여 위원 30명 이내로 구성한다.
③ 위원의 임기는 2년으로 하되, 공무원인 위원의 임기는 그 재임 기간으로 한다.
④ 위원장은 국무총리가 되고, 부위원장은 노동부장관 및 보건복지부장관이 된다.
⑤ 사회보장 증진을 위한 사회보장 장기발전방향을 심의한다.</t>
    <phoneticPr fontId="1" type="noConversion"/>
  </si>
  <si>
    <t>1-2010-077</t>
  </si>
  <si>
    <t>77. 사회보장기본법상 사회보장제도에 관한 설명으로 옳지 않은 것은?
① 사회보장제도를 필요로 하는 모든 국민에게 적용하여야 한다.
② 사회보장제도의 급여수준 및 비용부담 등에 있어 형평성을 유지하여야 한다.
③ 사회보장제도의 정책결정 및 시행과정에 공익의 대표자 및 이해관계인 등을 참여시켜 민주성을 확보하여야 한다.
④ 사회보장제도를 운영함에 있어서 국민의 다양한 복지욕구를 효율적으로 충족시키기 위하여 연계성․전문성을 높여야 한다.
⑤ 국내 거주 외국인에 대한 사회보장제도의 적용은 인권존중의 원칙에 의한다.</t>
    <phoneticPr fontId="1" type="noConversion"/>
  </si>
  <si>
    <t>1-2010-078</t>
  </si>
  <si>
    <t>78. 사회보장기본법의 내용으로 옳은 것은?
① 공공부조란 보건, 주거, 교육, 고용 등의 분야에서 인간다운 생활이 보장될 수 있도록 지원하는 각종 복지제도를 말한다.
② 사회복지서비스란 국민에게 발생하는 사회적 위험을 보험방식에 의하여 대처함으로써 국민건강과 소득을 보장하는 제도를 말한다.
③ 관련복지제도란 국가 및 지방자치단체의 책임 하에 생활유지능력이 없는 국민의 최저생활을 보장하고 자립을 지원하는 제도를 말한다.
④ 사회보험에 드는 비용은 사용자․피용자 및 자영업자가 부담하는 것을 원칙으로 하되, 국가가 일부를 부담할 수 있다.
⑤ 공공부조에 드는 비용의 전부 또는 일부는 민간부문에서 부담한다.</t>
    <phoneticPr fontId="1" type="noConversion"/>
  </si>
  <si>
    <t>1-2010-079</t>
  </si>
  <si>
    <t>79. 사회보장기본법상 사회보장수급권에 관한 설명으로 옳은 것은?
① 국가와 지방자치단체는 평균생계비와 실질임금을 고려하여 사회보장급여의 수준을 결정하여야 한다.
② 사회보장수급권은 관계 법령에서 정하는 바에 따라 타인에게 양도하거나 담보로 제공할 수 있으나, 이를 압류할 수 없다.
③ 사회보장수급권은 정당한 권한이 있는 기관에 서면으로 통지하여 포기할 수 있다.
④ 제3자의 불법행위로 피해를 입은 국민이 그로 인하여 사회보장수급권을 가지게 된 경우 사회보장제도를 운영하는 자는 그 불법행위에 책임이 있는 자에 대하여 구상권을 행사할 수 없다.
⑤ 사회보장급여를 신청하는 자가 다른 기관에 신청한 경우에는 그 기관은 지체 없이 이를 정당한 권한이 있는 기관에 이송하여야 하며, 이 경우 신청 기관에 접수된 날을 사회보장급여의 신청일로 본다.</t>
    <phoneticPr fontId="1" type="noConversion"/>
  </si>
  <si>
    <t>1-2010-080</t>
  </si>
  <si>
    <t>80. 고용보험법의 적용 사업 또는 적용 근로자에 해당하는 것은?
① 가사서비스업
② 상시 3명의 근로자를 사용하는 물품판매업
③ 상시 4명의 근로자를 사용하여 어업을 하는 개인 사업주
④ 별정우체국법에 따른 별정우체국 직원
⑤ 사립학교교직원 연금법의 적용을 받는 자</t>
    <phoneticPr fontId="1" type="noConversion"/>
  </si>
  <si>
    <t>1-2010-081</t>
  </si>
  <si>
    <t>81. 고용보험법상 구직급여에 관한 설명으로 옳지 않은 것은?
① 구직급여의 수급요건으로 근로의 의사와 능력을 필요로 한다.
② 구직급여는 수급자격자가 실업한 상태에 있는 날 중에서 직업안정기관의 장으로부터 실업의 인정을 받은 날에 대하여 지급한다.
③ 소정급여일수는 피보험기간 및 연령을 기준으로 정해진다.
④ 실업 신고일로부터 7일간은 대기기간으로 보아 구직급여를 지급하지 않는다.
⑤ 구직급여기초 임금일액의 상한액은 4만원이다.</t>
    <phoneticPr fontId="1" type="noConversion"/>
  </si>
  <si>
    <t>1-2010-082</t>
  </si>
  <si>
    <t>82. 고용보험법상 연장급여에 관한 설명으로 옳지 않은 것은?
① 훈련연장급여를 지급하는 경우에 그 일액은 해당 수급자격자의 구직급여일액의 100분의 100으로 한다.
② 개별연장급여 또는 특별연장급여를 지급하는 경우에 그 일액은 해당 수급자격자의 구직급여일액의 100분의 80을 곱한 금액으로 한다.
③ 훈련연장급여를 지급받고 있는 수급자격자에게는 그 훈련연장급여의 지급이 끝난 후가 아니면 개별연장급여 및 특별연장급여를 지급하지 아니한다.
④ 특별연장급여의 실시기간은 6개월 이내로 한다.
⑤ 개별연장급여를 지급받고 있는 수급자격자가 훈련연장급여를 지급받게 되면 개별연장급여를 지급하지 아니한다.</t>
    <phoneticPr fontId="1" type="noConversion"/>
  </si>
  <si>
    <t>1-2010-083</t>
  </si>
  <si>
    <t>83. 고용보험법상 구직급여를 받기 위한 적극적인 재취업 활동을 한 것으로 볼 수 없는 것은?
① 구인업체를 방문하거나 우편・인터넷 등을 이용하여 구인에 응모한 경우
② 채용관련 행사에 방문한 경우
③ 직업안정기관에서 실시하는 직업지도 프로그램에 참여한 경우
④ 직업안정기관의 지원을 받아 재취업활동에 관한 계획을 수립하는 경우
⑤ 해당 실업인정일부터 30일 이내에 취업하기로 확정된 경우</t>
    <phoneticPr fontId="1" type="noConversion"/>
  </si>
  <si>
    <t>1-2010-084</t>
  </si>
  <si>
    <t>1-2010-085</t>
  </si>
  <si>
    <t>85. 산업재해보상보험법상 업무상 재해에 해당하지 않는 것은? (다툼이 있는 경우에는 판례에 의함)
① 쟁의행위를 수행하던 중에 노조간부가 사고를 당한 경우
② 업무와 관련하여 기존 질병이 악화된 경우
③ 천재지변・화재 등 사업장 내에 발생한 돌발적인 사고에 따른 긴급피난・구조행위 등 사회통념상 예견되는 행위를 하던 중 발생한 경우
④ 업무상 재해로 요양 중인 사람이 그 업무상 재해로 인한 정신적 이상 상태에서 자해행위를 한 경우
⑤ 점심시간을 이용하여 회사의 화장실을 사용하던 중 그 시설물의 결함으로 부상을 입은 경우</t>
    <phoneticPr fontId="1" type="noConversion"/>
  </si>
  <si>
    <t>1-2010-086</t>
  </si>
  <si>
    <t>86. 산업재해보상보험법상 보험급여의 종류가 아닌 것은?
① 요양급여
② 장의비
③ 상병수당
④ 간병급여
⑤ 직업재활급여</t>
    <phoneticPr fontId="1" type="noConversion"/>
  </si>
  <si>
    <t>1-2010-087</t>
  </si>
  <si>
    <t>87. 산업재해보상보험법상 사망의 추정에 관한 설명으로 옳은 것은?
① 사망의 추정으로 보험급여 수급 후 근로자의 생존이 확인되면 보험급여를 받은 사람과 보험가입자는 생존이 확인된 날부터 1개월 이내에 신고하여야 한다.
② 항행 중인 선박에 타고 있던 근로자가 행방불명되어 그 생사가 행방불명된 날부터 3개월간 밝혀지지 아니한 경우 사망한 것으로 추정할 수 있다.
③ 사망의 추정으로 보험급여 수급 후 근로자의 생존이 확인되면 보험급여를 받은 자가 선의자의 경우에는 보험급여를 반환할 필요가 없다.
④ 공단은 사망의 추정으로 보험급여 지급 후 근로자의 생존이 확인되면 보험급여를 받은 자가 악의자의 경우에는 받은 금액 전부를 징수하여야 한다.
⑤ 사망이 추정되는 경우 유족급여는 지급하고, 장의비는 지급하지 않는다.</t>
    <phoneticPr fontId="1" type="noConversion"/>
  </si>
  <si>
    <t>1-2010-088</t>
  </si>
  <si>
    <t>88. 산업재해보상보험법상 유족보상연금 수급권자(장애인이 아님)에 해당되는 자는?
① 태아였던 자녀가 출생한 경우
② 59세 부모
③ 외국에 거주하는 35세 외국인 처
④ 19세 자녀
⑤ 55세 남편</t>
    <phoneticPr fontId="1" type="noConversion"/>
  </si>
  <si>
    <t>1-2010-089</t>
  </si>
  <si>
    <t>1-2010-090</t>
  </si>
  <si>
    <t>90. 산업재해보상보험법상 제3자에 대한 구상권에 관한 설명으로 옳은 것은? (다툼이 있는 경우에는 판례에 의함)
① 보험급여의 지급 여부와 관계없이 손해배상청구권을 대위할 수 있다.
② 지급한 보험급여액의 2배까지 대위할 수 있다.
③ 동일한 사업주에 의하여 고용된 동료 근로자의 경과실로 인하여 업무상의 재해를 입은 경우 동료 근로자에 대해서는 구상권을 행사할 수 없다.
④ 보험가입자인 2 이상의 사업주가 같은 장소에서 하나의 사업을 분할하여 각각 행하다가 그 중 사업주를 달리하는 근로자의 행위로 재해가 발생한 경우 제3자의 행위로서 구상권을 행사할 수 있다.
⑤ 수급권자가 제3자로부터 동일한 사유로 손해배상을 받은 경우 근로자의 복지증진을 위하여 보험급여를 지급하여야 한다.</t>
    <phoneticPr fontId="1" type="noConversion"/>
  </si>
  <si>
    <t>1-2010-091</t>
  </si>
  <si>
    <t>91. 산업재해보상보험법상 심사 청구 및 재심사 청구의 내용으로 옳지 않은 것은?
① 공단은 부득이한 사유가 없는 한 심사 청구서를 받은 날부터 60일 이내에 산업재해보상보험심사위원회의 심의를 거쳐 결정을 하여야 한다.
② 재심사 청구는 심사 청구에 대한 산업재해보상보험심사위원회의 결정이 있음을 안 날부터 90일 이내에 제기하여야 한다.
③ 심사 청구 및 재심사 청구에 관하여 이 법에서 정하고 있지 아니한 사항에 대하여는 행정심판법에 따른다.
④ 재심사 청구는 그 보험급여 결정 등을 한 공단의 소속 기관을 거쳐 산업재해보상보험재심사위원회에 제기하여야 한다.
⑤ 직업병의 경우에는 산업재해보상보험심사위원회의 심의를 거쳐 업무상질병판정위원회에서 결정한다.</t>
    <phoneticPr fontId="1" type="noConversion"/>
  </si>
  <si>
    <t>1-2010-092</t>
  </si>
  <si>
    <t>92. 다음 중 국민연금법상 지역가입자는?
ㄱ. 사업장가입자가 아닌 자로서 18세 이상 60세 미만인 자
ㄴ. 18세 이상 27세 미만의 학생으로서 소득이 없지만 연금 보험료를 납부한 사실이 있는 자
ㄷ. 사업장가입자의 배우자로서 별도의 소득이 없는 자
ㄹ. 국민기초생활 보장법에 따른 수급자
① ㄱ, ㄴ
② ㄱ, ㄷ
③ ㄴ, ㄷ
④ ㄴ, ㄹ
⑤ ㄷ, ㄹ</t>
    <phoneticPr fontId="1" type="noConversion"/>
  </si>
  <si>
    <t>1-2010-093</t>
  </si>
  <si>
    <t>1-2010-094</t>
  </si>
  <si>
    <t>94. 국민연금법상 노령연금과 분할연금의 관계에 관한 설명으로 옳지 않은 것은?
① 배우자의 가입기간 중 혼인 기간이 5년 이상인 자가 노령연금 수급권자인 배우자와 이혼한 후 60세가 된 때부터 분할연금을 받을 수 있다.
② 분할연금액은 배우자였던 자의 노령연금액 중 혼인기간에 해당하는 연금액을 균등하게 나눈 금액으로 한다.
③ 분할연금 수급권을 취득한 후 배우자였던 자에게 생긴 사유로 노령연금 수급권이 정지될 경우 분할연금 역시 그 기간 동안 지급이 정지된다.
④ 분할연금 수급권자에게 2 이상의 분할연금 수급권이 생기면 이를 합산하여 지급한다.
⑤ 분할연금 수급권자에게 노령연금 수급권이 발생한 경우에는 분할연금액과 노령연금액을 합산하여 지급한다.</t>
    <phoneticPr fontId="1" type="noConversion"/>
  </si>
  <si>
    <t>1-2010-095</t>
  </si>
  <si>
    <t>95. 국민건강보험법에 관한 설명으로 옳지 않은 것은?
① 요양급여는 진찰, 약제지급, 수술, 재활, 입원 등 현물급여이다.
② 일상생활에 지장이 없는 질환은 요양급여 대상에서 제외할 수 있다.
③ 요양기관으로 지정된 경우에는 정당한 이유 없이 요양급여를 거부하지 못한다.
④ 가입자가 긴급 기타 부득이한 사유로 요양기관과 유사한 기능을 수행하는 기관에서 요양을 받은 경우 그 요양급여에 상당하는 금액을 요양비로 지급한다.
⑤ 업무정지처분기간중인 요양기관에서 요양을 받은 경우에는 요양비를 지급하지 아니한다.</t>
    <phoneticPr fontId="1" type="noConversion"/>
  </si>
  <si>
    <t>1-2010-096</t>
  </si>
  <si>
    <t>96. 국민건강보험법상 보험료와 보험급여에 관한 설명으로 옳지 않은 것은?
① 보험급여를 받을 수 있는 자가 국외에 여행 중인 때에는 그 기간 중 보험급여는 정지한다.
② 직장가입자가 교도소에 수용되어 있는 경우에 그 기간 중 당해 가입자의 보험료는 면제한다.
③ 피부양자가 없는 직장가입자가 현역병으로 입영한 경우에 그 기간 중 당해 가입자의 보험료는 면제한다.
④ 피부양자가 없는 직장가입자가 국외에서 업무에 종사하고 있다면 그 기간에 대해서는 보험급여를 정지하고 당해 가입자의 보험료는 50% 감액한다.
⑤ 휴직 기타의 사유로 보수의 전부 또는 일부가 지급되지 아니하는 가입자의 보험료는 당해 사유가 발생하기 전월의 보수월액을 기준으로 보험료를 산정한다.</t>
    <phoneticPr fontId="1" type="noConversion"/>
  </si>
  <si>
    <t>1-2010-097</t>
  </si>
  <si>
    <t>97. 고용보험 및 산업재해보상보험의 보험료징수에 관한 설명으로 옳은 것은?
① 상속이 개시된 때에 원칙적으로 상속인은 피상속인이 내야 하는 보험료를 납부할 의무가 없다.
② 공동사업에 관계되는 보험료, 이 법에 따른 그 밖의 징수금과 체납처분비는 공동사업자가 연대하여 납부할 의무가 없다.
③ 법인이 합병한 경우에 합병 후 존속하는 법인은 합병으로 소멸된 법인에 부과되는 보험료를 납부할 의무가 없다.
④ 원칙적으로 보험료와 그 밖의 징수금은 국세와 지방세를 제외한 다른 채권에 우선하여 징수한다.
⑤ 체납된 보험료의 납부 독촉을 받은 자가 그 기한까지 보험료를 내지 아니한 경우 국세청장의 승인을 받아 국세 체납처분의 예에 따라 징수할 수 있다.</t>
    <phoneticPr fontId="1" type="noConversion"/>
  </si>
  <si>
    <t>1-2010-098</t>
  </si>
  <si>
    <t>98. 고용보험 및 산업재해보상보험의 보험관계 성립 및 소멸에 관한 설명으로 옳지 않은 것은?
① 임의가입 사업주가 고용보험계약을 해지하고자 할 때에는 근로자 전원의 동의를 얻어야 한다.
② 임의가입 사업주가 산업재해보상보험계약을 해지하고자 할 때에는 공단의 승인을 얻어야 한다.
③ 고용보험의 적용을 받는 사업의 당연가입자는 사업주와 근로자이다.
④ 보험관계는 사업이 폐지 또는 종료된 날의 다음 날에 소멸한다.
⑤ 공단은 사업의 실체가 없는 등의 사유로 계속하여 보험관계를 유지할 수 없다고 인정하는 경우에는 그 보험관계를 소멸시킬 수 있다.</t>
    <phoneticPr fontId="1" type="noConversion"/>
  </si>
  <si>
    <t>1-2010-099</t>
  </si>
  <si>
    <t>1-2010-100</t>
  </si>
  <si>
    <t>100. 고용보험 및 산업재해보상보험의 보험료에 관한 설명으로 옳지 않은 것은?
① 고용안정・직업능력개발사업의 보험료율은 업종에 따라 차등 적용된다.
② 원칙적으로 사업주는 개산보험료를 산정하여 납부하고, 확정보험료에 따라 정산한다.
③ 고용안정․직업능력개발사업에 대한 보험료는 사업주가 전액 부담한다.
④ 고용보험가입자인 근로자가 64세가 된 때에는 그 날이 속한 달부터 고용보험료를 징수하지 아니한다.
⑤ 고용보험료율은 고용안정・직업능력개발사업의 보험료율 및 실업급여의 보험료율로 구분하여 정한다.</t>
    <phoneticPr fontId="1" type="noConversion"/>
  </si>
  <si>
    <t>100. 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
① A
② B
③ C
④ D
⑤ E</t>
    <phoneticPr fontId="1" type="noConversion"/>
  </si>
  <si>
    <t>1-2022-076</t>
    <phoneticPr fontId="1" type="noConversion"/>
  </si>
  <si>
    <t>1-2022-077</t>
  </si>
  <si>
    <t>1-2022-078</t>
  </si>
  <si>
    <t>1-2022-079</t>
  </si>
  <si>
    <t>1-2022-080</t>
  </si>
  <si>
    <t>1-2022-081</t>
  </si>
  <si>
    <t>1-2022-082</t>
  </si>
  <si>
    <t>1-2022-083</t>
  </si>
  <si>
    <t>1-2022-084</t>
  </si>
  <si>
    <t>1-2022-085</t>
  </si>
  <si>
    <t>1-2022-086</t>
  </si>
  <si>
    <t>1-2022-087</t>
  </si>
  <si>
    <t>1-2022-088</t>
  </si>
  <si>
    <t>1-2022-089</t>
  </si>
  <si>
    <t>1-2022-090</t>
  </si>
  <si>
    <t>1-2022-091</t>
  </si>
  <si>
    <t>1-2022-092</t>
  </si>
  <si>
    <t>1-2022-093</t>
  </si>
  <si>
    <t>1-2022-094</t>
  </si>
  <si>
    <t>1-2022-095</t>
  </si>
  <si>
    <t>1-2022-096</t>
  </si>
  <si>
    <t>1-2022-097</t>
  </si>
  <si>
    <t>1-2022-098</t>
  </si>
  <si>
    <t>1-2022-099</t>
  </si>
  <si>
    <t>1-2022-100</t>
  </si>
  <si>
    <t>85. 고용보험법상 재심사에 관한 설명으로 옳지 않은 것은?
① 재심사의 청구는 심사청구에 대한 결정이 있음을 안 날부터 90일 이내에 제기하여야 한다.
② 재심사의 청구는 시효중단에 관하여 재판상의 청구로 본다.
③ 고용보험심사위원회의 재심사청구에 대한 심리는 공개하지 않음이 원칙이지만, 당사자의 양쪽 또는 어느 한 쪽이 신청한 경우에는 공개할 수 있다.
④ 고용보험심사위원회는 재심사의 청구를 받으면 그 청구에 대한 심리 기일(審理期日) 및 장소를 정하여 심리 기일 3일 전까지 당사자 및 그 사건을 심사한 고용보험심사관에게 알려야 한다.
⑤ 당사자는 고용보험심사위원회에 문서나 구두로 그 의견을 진술할 수 있다.</t>
    <phoneticPr fontId="1" type="noConversion"/>
  </si>
  <si>
    <t>88. 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
① ㄱ 
② ㄷ 
③ ㄱ, ㄴ 
④ ㄴ, ㄷ 
⑤ ㄱ, ㄴ, ㄷ</t>
    <phoneticPr fontId="1" type="noConversion"/>
  </si>
  <si>
    <t>89. 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
① ㄱ 
② ㄴ 
③ ㄱ, ㄴ 
④ ㄴ, ㄷ 
⑤ ㄱ, ㄴ, ㄷ</t>
    <phoneticPr fontId="1" type="noConversion"/>
  </si>
  <si>
    <t>90. 산업재해보상보험법령상 업무상의 재해의 인정 기준에 해당하는 사유가 아닌 것은?
① 근로자가 근로계약에 따른 업무나 그에 따르는 행위를 하던 중 발생한 사고
② 사업주의 구체적인 지시를 위반한 행위로 인한 사고
③ 사업주가 제공한 시설물 등을 이용하던 중 그 시설물 등의 결함이나 관리소홀로 발생한 사고
④ 사업주가 주관하거나 사업주의 지시에 따라 참여한 행사나 행사준비 중에 발생한 사고
⑤ 휴게시간 중 사업주의 지배관리하에 있다고 볼 수 있는 행위로 발생한 사고</t>
    <phoneticPr fontId="1" type="noConversion"/>
  </si>
  <si>
    <t>93. 국민연금법상 국민연금가입자에 관한 설명으로 옳지 않은 것은?
① 가입자는 사업장가입자, 지역가입자, 임의가입자 및 임의계속가입자로 구분한다.
② 임의가입자는 보건복지부령으로 정하는 바에 따라 국민연금공단에 신청하여 탈퇴할 수 있다.
③ 가입자의 가입 종류가 변동되면 그 가입자의 가입기간은 각 종류별 가입기간을 합산한 기간으로 한다.
④ 가입자의 자격을 상실한 후 다시 그 자격을 취득한 자에 대하여는 전후(前後)의 가입기간을 합산한다.
⑤ 임의가입자는 가입 신청을 한 날에 자격을 취득한다.</t>
    <phoneticPr fontId="1" type="noConversion"/>
  </si>
  <si>
    <t>94. 국민건강보험법령상 보수월액에 관한 설명으로 옳지 않은 것은?
① 직장가입자의 보수월액은 직장가입자가 지급받는 보수를 기준으로 하여 산정한다.
② 휴직으로 보수의 전부 또는 일부가 지급되지 아니하는 가입자의 보수월액보험료는 해당 사유가 생기기 전 달의 보수월액을 기준으로 산정한다.
③ 근로자가 근로를 제공하고 사용자로부터 지급받는 금품 중 퇴직금은 보수에서 제외한다.
④ 보수의 전부 또는 일부가 현물(現物)로 지급되는 경우에는 그 지역의 시가(時價)를 기준으로 국민건강보험공단이 정하는 가액(價額)을 그에 해당하는 보수로 본다.
⑤ 보수 관련 자료가 없거나 불명확한 경우에 해당하면 고용노동부장관이 정하여 고시하는 금액을 보수로 본다.</t>
    <phoneticPr fontId="1" type="noConversion"/>
  </si>
  <si>
    <t>97. 고용보험 및 산업재해보상보험의 보험료징수 등에 관한 법령상 보험관계의 성립 및 소멸에 관한 설명으로 옳지 않은 것은?
① 산업재해보상보험법을 적용하지 아니하는 사업의 사업주는 근로복지공단의 승인을 받아 산업재해보상보험에 가입할 수 있다.
② 일괄적용사업의 사업주는 사업의 개시일부터 14일 이내에 끝나는 사업의 경우에는 그 끝나는 날의 다음 날까지 개시 및 종료 사실을 근로복지공단에 신고하여야 한다.
③ 고용보험법을 적용하지 아니하는 사업의 사업주가 고용보험에 가입된 경우 그 보험계약을 해지할 때에는 미리 근로복지공단의 승인을 받아야 한다.
④ 고용보험에 가입한 사업주는 기간의 정함이 있는 건설사업의 경우 사업의 기간이 변경되면 그 변경된 날부터 14일 이내에 그 변경사항을 근로복지공단에 신고하여야 한다.
⑤ 고용보험법을 적용하지 아니하는 사업의 사업주가 근로자의 과반수의 동의를 받아 근로복지공단의 승인을 받으면 그 사업의 사업주와 근로자는 고용보험에 가입할 수 있다.</t>
    <phoneticPr fontId="1" type="noConversion"/>
  </si>
  <si>
    <t>채점</t>
    <phoneticPr fontId="1" type="noConversion"/>
  </si>
  <si>
    <t>76. 사회보장기본법에 관한 설명으로 옳지 않은 것은?
① 모든 국민은 자신의 능력을 최대한 발휘하여 자립・자활(自活)할 수 있도록 노력하여야 한다.
② 국가와 지방자치단체는 사회보장제도를 시행할 때에 가정과 지역공동체의 자발적인 복지활동을 촉진하여야 한다.
③ 사회보험이란 국민에게 발생하는 사회적 위험을 보험의 방식으로 대처함으로써 국민의 건강과 소득을 보장하는 제도를 말한다.
④ 국내에 거주하는 외국인에게 사회보장제도를 적용할 때에는 국민과 차별하지 아니하되 예외적으로 상호주의에 따를 수 있다.
⑤ 국가와 지방자치단체는 가정이 건전하게 유지되고 그 기능이 향상되도록 노력하여야 한다.</t>
    <phoneticPr fontId="1" type="noConversion"/>
  </si>
  <si>
    <t>79. 사회보장기본법에 관한 설명으로 옳지 않은 것은?
① 국가는 관계 법령에서 정하는 바에 따라 최저보장수준과 최저임금을 매년 공표하여야 한다.
② 국가와 지방자치단체는 사회보장에 관한 책임과 역할을 합리적으로 분담하여야 한다.
③ 사회보장수급권이 제한되거나 정지되는 경우에는 제한 또는 정지하는 목적에 필요한 최소한의 범위에 그쳐야 한다.
④ 사회보장수급권은 정당한 권한이 있는 기관에 구두 또는 서면으로 통지하여 포기할 수 있다.
⑤ 사회보장에 관한 다른 법률을 제정하거나 개정하는 경우에는 사회보장기본법에 부합되도록 하여야 한다.</t>
    <phoneticPr fontId="1" type="noConversion"/>
  </si>
  <si>
    <t>77. 사회보장기본법상 사회보장제도의 운영에 관한 설명으로 옳지 않은 것은?
① 국가와 지방자치단체가 사회보장제도를 운영할 때에는 이 제도를 필요로 하는 모든 국민에게 적용하여야 한다.
② 국가와 지방자치단체는 공공부문과 민간부문의 사회보장 전달체계가 효율적으로 연계되도록 노력하여야 한다.
③ 공공부조는 국가의 책임으로 시행하고, 사회보험과 사회서비스는 국가와 지방자치단체의 책임으로 시행하는 것을 원칙으로 한다.
④ 국가와 지방자치단체는 사회보장 관계 법령에서 정하는 바에 따라 사회보장에 관한 상담에 응하여야 한다.
⑤ 국가와 지방자치단체는 효과적인 사회보장정책의 수립・시행을 위하여 사회보장에 관한 통계를 작성・관리하여야 한다.</t>
  </si>
  <si>
    <t>86. 산업재해보상보험법령상 산업재해보상보험및예방심의위원회의 심의사항이 아닌 것은?
① 요양급여의 범위나 비용 등 요양급여의 산정 기준에 관한 사항
② 「고용보험 및 산업재해보상보험의 보험료징수 등에 관한 법률」에 따른 산재보험료율의 결정에 관한 사항
③ 「산업안전보건법」에 따른 산업재해 보상의 세부계획에 관한 사항
④ 산업재해보상보험및예방기금의 운용계획 수립에 관한 사항
⑤ 고용노동부장관이 산업재해보상보험 사업 및 산업안전・보건 업무에 관하여 심의에 부치는 사항</t>
  </si>
  <si>
    <t>98. 고용보험 및 산업재해보상보험의 보험료징수 등에 관한 법령상 상시근로자수가 150명 미만인 사업주의 사업의 고용안정・직업능력개발사업의 보험료율은?
① 1만분의 15 
② 1만분의 25 
③ 1만분의 35 
④ 1만분의 45 
⑤ 1만분의 55</t>
  </si>
  <si>
    <t>76. 사회보장기본법령상 국가와 지방자치단체의 책임에 관한 내용으로 옳지 않은 것은?
① 국가와 지방자치단체는 국가 발전수준에 부응하고 사회환경의 변화에 선제적으로 대응하며 지속가능한 사회보장제도를 확립하고 매년 이에 필요한 재원을 조달하여야 한다.
② 국가와 지방자치단체는 사회보장 관계 법령에서 규정한 권리나 의무를 모든 국민에게 설명하여야 한다.
③ 국가와 지방자치단체는 사회보장에 관한 책임과 역할을 합리적으로 분담하여야 한다.
④ 국가는 사회보장제도의 안정적인 운영을 위하여 중장기 사회보장 재정추계를 격년으로 실시하고 이를 공표하여야 한다.
⑤ 국가와 지방자치단체는 모든 국민의 인간다운 생활을 유지・증진하는 책임을 가진다.</t>
    <phoneticPr fontId="1" type="noConversion"/>
  </si>
  <si>
    <t>82. 고용보험법상 자영업자의 구직급여에 관한 사항으로 피보험기간과 소정급여일수가 옳게 연결된 것은?
① 피보험기간 6개월 - 소정급여일수 120일
② 피보험기간 1년 - 소정급여일수 150일
③ 피보험기간 3년 - 소정급여일수 180일
④ 피보험기간 10년 - 소정급여일수 210일
⑤ 피보험기간 15년 - 소정급여일수 240일</t>
    <phoneticPr fontId="1" type="noConversion"/>
  </si>
  <si>
    <t>풀이</t>
    <phoneticPr fontId="1" type="noConversion"/>
  </si>
  <si>
    <t>1-2015-092</t>
    <phoneticPr fontId="1" type="noConversion"/>
  </si>
  <si>
    <t>Y</t>
  </si>
  <si>
    <t>1-2020-090</t>
    <phoneticPr fontId="1" type="noConversion"/>
  </si>
  <si>
    <t>90. 산업재해보상보험법상 직업재활급여에 관한 설명으로 옳은 것은?
① 직업훈련비용은 직업훈련을 받은 자에게 지급한다.
② 직업훈련비용의 금액은 고용노동부장관이 훈련비용, 훈련기간 및 노동시장의 여건 등을 고려하여 고시하는 금액의 범위에서 실제 드는 비용으로 한다.
③ 직업훈련비용을 지급하는 훈련기간은 24개월 이내로 한다.
④ 직장적응훈련비 및 재활운동비의 지급기간은 6개월 이내로 한다.
⑤ 직업훈련수당의 1일당 지급액은 평균임금의 100분의 70에 상당하는 금액으로 한다.</t>
    <phoneticPr fontId="1" type="noConversion"/>
  </si>
  <si>
    <t>91. 산업재해보상보험법에 관한 설명으로 옳은 것은?
① "장해"란 부상 또는 질병이 완치되거나 치료의 효과를 더 이상 기대할 수 없고 그 증상이 고정된 상태에 이르게 된 것을 말한다.
② 근로복지공단의 이사장은 산업재해 예방 사업에 필요한 재원을 확보하고, 보험급여에 충당하기 위하여 산업재해보상보험및예방기금을 설치・운용한다.
③ 산업재해보상보험심사위원회는 근로복지공단에 두며, 산업재해보상보험재심사위원회는 고용노동부에 둔다.
④ "업무상의 사고"란 업무상의 사유에 따른 근로자의 부상, 질병, 장해 또는 사망을 말한다.
⑤ 근로복지공단은 심사청구서를 받은 날부터 90일 이내에 산업재해보상보험심사위원회의 심의를 거쳐 심사 청구에 대한 결정을 하여야 한다.</t>
    <phoneticPr fontId="1" type="noConversion"/>
  </si>
  <si>
    <t>97. 고용보험 및 산업재해보상보험의 보험료징수 등에 관한 법령상 보험료 등의 분할 납부에 관한 설명으로 옳은 것은?
① 사업주는 납부기한이 지난 고용보험료의 분할 납부의 승인을 근로복지공단에 신청할 수 있다.
② 사업주는 분할 납부를 신청하는 경우에는 사업주의 재산 목록을 제출하여야 한다.
③ 근로복지공단은 사업주의 총 재산의 추정가액이 보험료의 총액을 넘는 경우에는 보험료의 분할 납부를 승인하여야 한다.
④ 근로복지공단은 분할 납부 승인을 받은 사업주가 분할 납부하여야 하는 보험료를 정당한 사유 없이 내지 아니한 경우에는 분할 납부의 승인을 취소할 수 있다.
⑤ 분할 납부의 총 기간은 분할 납부의 승인을 받은 날의 다음 날부터 2년 이내로 한다.</t>
    <phoneticPr fontId="1" type="noConversion"/>
  </si>
  <si>
    <t>78. 사회보장기본법령상 사회보장위원회에 관한 설명으로 옳지 않은 것은?
① 국무총리 소속으로 둔다.
② 부위원장은 기획재정부장관, 교육부장관 및 보건복지부장관이 된다.
③ 보궐위원의 임기는 전임자 임기의 남은 기간으로 한다.
④ 사무 처리를 위한 사무국은 보건복지부에 둔다.
⑤ 심의사항을 전문적으로 검토하기 위하여 전문위원회를 두며, 전문위원회에 분야별 실무위원회를 둔다.</t>
    <phoneticPr fontId="1" type="noConversion"/>
  </si>
  <si>
    <t>85. 산업재해보상보험법상 재요양을 받는 자에 대한 1일당 휴업급여 지급액을 산정한 결과가 최저임금액보다 적은 경우, 1일당 휴업급여 지급액은 얼마인가?
① 최저임금액의 100분의 70에 상당하는 금액
② 최저임금액
③ 최저임금액의 100분의 120에 상당하는 금액
④ 통상임금액의 100분의 60에 상당하는 금액
⑤ 통상임금액의 100분의 70에 상당하는 금액</t>
    <phoneticPr fontId="1" type="noConversion"/>
  </si>
  <si>
    <t>85. 고용보험법령상 자영업자인 피보험자에 대한 실업급여 적용의 특례에 관한 내용으로 옳은 것은?
① 자영업자인 피보험자의 실업급여의 종류에는 조기재취업 수당이 포함된다.
② 자영업자인 피보험자의 실업급여에는 취업촉진 수당이 포함되지 아니한다.
③ 자영업자인 피보험자로서 폐업한 수급자격자에 대한 구직급여일액은 그 수급자격자의 기초일액에 100분의 60을 곱한 금액으로 한다.
④ 폐업사유에 관계없이 수급자격이 인정된다.
⑤ 폐업한 자영업자인 피보험자의 구직급여 수급요건에 재취업을 위한 노력을 적극적으로 하는 것은 포함되지 아니한다.</t>
    <phoneticPr fontId="1" type="noConversion"/>
  </si>
  <si>
    <t>99. 고용보험 및 산업재해보상보험의 보험료징수 등에 관한 법령상 기준보수에 관한 설명으로 옳지 않은 것은?
① 근로시간에 따라 보수를 지급받는 근로자가 주당 소정근로시간을 확정할 수 없는 경우에는 시간단위 기준보수를 적용한다.
② 기준보수는 사업의 규모, 근로형태 및 보수수준 등을 고려하여 고용보험법에 따른 고용보험위원회의 심의를 거쳐 시간・일 또는 월 단위로 정하되, 사업의 종류별 또는 지역별로 구분하여 정할 수 있다.
③ 사업 또는 사업장의 이전 등으로 사업의 소재지를 파악하기 곤란한 경우에는 기준보수를 보수로 할 수 있다.
④ 통상근로자로서 월정액으로 보수를 지급받는 근로자에게는 월단위 기준보수를 적용한다.
⑤ 사업의 폐업으로 보수를 산정하기 곤란한 경우에는 기준보수를 보수로 할 수 있다.</t>
    <phoneticPr fontId="1" type="noConversion"/>
  </si>
  <si>
    <t>89. 산업재해보상보험법령상 과태료 부과 대상이 되는 자는?
① 근로복지공단의 임직원이나 그 직에 있었던 사람이 그 직무상 알게 된 비밀을 누설한 자
② 산재보험 의료기관의 종사자로서 거짓이나 그 밖의 부정한 방법으로 진료비를 지급받은 자
③ 거짓이나 그 밖의 부정한 방법으로 보험급여를 받도록 시키거나 도와준 자
④ 근로복지공단이 아닌 자가 근로복지공단과 비슷한 명칭을 사용한 자
⑤ 근로자가 보험급여를 신청한 것을 이유로 근로자를 해고한 사업주</t>
    <phoneticPr fontId="1" type="noConversion"/>
  </si>
  <si>
    <t>82. 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
① ㄱ
② ㄱ, ㄴ
③ ㄱ, ㄷ
④ ㄴ, ㄷ
⑤ ㄱ, ㄴ, ㄷ</t>
    <phoneticPr fontId="1" type="noConversion"/>
  </si>
  <si>
    <t>95. 국민건강보험법상 보험료에 관한 내용으로 옳지 않은 것은?
① 보험료는 가입자의 자격을 매월 1일에 취득하는 경우에는 다음 달부터 가입자의 자격을 잃은 날의 전날이 속하는 달까지 징수한다.
② 휴직으로 보수의 전부 또는 일부가 지급되니 아니하는 가입자의 보수월액보험료는 해당 사유가 생기기 전 달의 보수월액을 기준으로 산정한다.
③ 보험료부과점수의 산정방법과 산정기준을 정할 때 법령에 따라 재산권의 행사가 제한되는 재산에 대하여는 다른 재산과 달리 정할 수 있다.
④ 직장가입자의 소득월액보험료는 직장가입자가 부담한다.
⑤ 지역가입자의 보험료는 그 가입자가 속한 세대의 지역가입자 전원이 연대하여 부담한다.</t>
    <phoneticPr fontId="1" type="noConversion"/>
  </si>
  <si>
    <t>80. 고용보험법령상 고용창출에 대한 지원을 받을 수 있는 경우가 아닌 것은?
① 교대근로 개편을 통하여 실업자를 고용함으로써 근로자 수가 증가한 경우
② 시간제 직무 개발을 통하여 실업자를 근로계약기간을 정하지 않고 시간제로 근무하는 형태로 하여 새로 고용하는 경우
③ 고용보험위원회에서 심의・의결한 인력수급 불일치 업종에 해당하는 기업이 실업자를 고용하는 경우
④ 고용노동부장관이 정하는 시설을 설치・운영하여 고용환경을 개선하고 실업자를 고용하여 근로자 수가 증가한 경우
⑤ 고용보험위원회에서 심의・의결한 업종에 해당하는 대규모기업이 직업안정기관의 장이 정하는 전문적인 자격을 갖춘 자를 고용하는 경우</t>
    <phoneticPr fontId="1" type="noConversion"/>
  </si>
  <si>
    <t>95. 국민건강보험법령에 관한 설명으로 옳은 것은?
① 요양급여비용 및 요양급여의 적정성 평가 등에 관한 건강보험심사평가원의 처분에 이의가 있는 국민건강보험공단, 요양기관 또는 그 밖의 자는 건강보험정책심의위원회에 이의신청을 할 수 있다.
② 직장가입자의 보수월액보험료 상한은 보험료가 부과되는 연도의 전전년도 직장가입자 평균 보수월액보험료의 20배에 해당하는 금액을 고려하여 보건복지부장관이 정하여 고시하는 금액으로 한다.
③ 국민건강보험공단은 보험급여를 받을 수 있는 사람이 고의 또는 중대한 과실로 국민건강보험공단이나 요양기관의 요양에 관한 지시에 따르지 아니한 경우 보험급여를 하지 아니한다.
④ 건강보험심사평가원은 요양급여에 대한 의료의 질을 향상시키기 위하여 요양급여의 적정성 평가를 격년으로 실시하여야 한다.
⑤ 보험료부과제도개선위원회는 성별을 고려하여 위원장 1명과 부위원장 1명을 포함하여 11명 이내의 위원으로 구성한다.</t>
    <phoneticPr fontId="1" type="noConversion"/>
  </si>
  <si>
    <t>77. 사회보장기본법령상 사회보장위원회의 구성에 관한 설명으로 옳은 것은?
① 농림축산식품부장관, 환경부장관은 위원회의 위원이다.
② 대통령이 위촉한 근로자를 대표하는 위원은 어떤 경우에도 해촉될 수 없다.
③ 보궐위원의 임기는 2년으로 한다.
④ 위원회의 위원장은 행정자치부장관이 된다.
⑤ 위원회의 사무를 효율적으로 처리하기 위하여 행정자치부에 사무국을 둔다.</t>
    <phoneticPr fontId="1" type="noConversion"/>
  </si>
  <si>
    <t>100. 고용보험 및 산업재해보상보험의 보험료 징수 등에 관한 법률상 보험관계의 성립일 또는 소멸일에 관한 설명으로 옳은 것은?
① 보험에 가입한 하수급인의 경우에는 그 하도급공사의 착공일의 다음 날이 성립일이다.
② 가입사업주가 그 사업의 운영 중에 근로자를 고용하지 아니하게 된 때에 근로자를 사용하지 아니한 첫 날부터 1년이 되는 날이 소멸일이다.
③ 근로복지공단이 계속하여 보험관계를 유지할 수 없다고 인정하여 그 보험관계를 소멸시키는 경우에는 그 소멸을 결정・통지한 날의 다음 날이 소멸일이다.
④ 근로복지공단의 승인을 얻어 가입한 보험계약을 해지하는 경우에는 그 해지에 관하여 근로복지공단의 승인을 받은 날이 소멸일이다.
⑤ 일괄적용을 받는 사업의 경우에는 처음하는 사업이 시작된 날의 다음 날이 성립일이다.</t>
    <phoneticPr fontId="1" type="noConversion"/>
  </si>
  <si>
    <t>98. 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
① ㄱ, ㄴ
② ㄴ, ㄷ
③ ㄱ, ㄴ, ㄹ
④ ㄱ, ㄷ, ㄹ
⑤ ㄱ, ㄴ, ㄷ, ㄹ</t>
    <phoneticPr fontId="1" type="noConversion"/>
  </si>
  <si>
    <t>81. 고용보험법령상 예술인인 피보험자의 구직급여에 관한 내용으로 옳지 않은 것은?
① 이직일 이전 24개월 동안의 피보험 단위기간이 통산하여 9개월 이상일 것을 지급요건으로 한다.
② 이직일 이전 24개월 중 3개월 이상을 예술인인 피보험자로 피보험자격을 유지하였을 것을 지급요건으로 한다.
③ 실업의 신고일부터 계산하기 시작하여 30일간은 대기기간으로 보아 구직급여를 지급하지 아니한다.
④ 예술인의 구직급여일액은 기초일액에 100분의 60을 곱한 금액으로 한다.
⑤ 예술인의 구직급여일액의 상한액은 6만6천원이다.</t>
    <phoneticPr fontId="1" type="noConversion"/>
  </si>
  <si>
    <t>78. 사회보장기본법상 사회보장정보시스템의 구축・운영 등에 관한 설명으로 옳지 않은 것은?
① 보건복지부장관은 사회보장정보시스템의 구축・운영을 총괄한다.
② 국가와 지방자치단체는 국민편익의 증진과 사회보장업무의 효율성 향상을 위하여 사회보장업무를 전자적으로 관리하도록 노력하여야 한다.
③ 국가와 지방자치단체가 조사하거나 제공받은 개인・법인의 정보는 이 법과 관련 법률에 근거하지 아니하고 보유, 이용, 제공되어서는 아니 된다.
④ 관계 중앙행정기관 및 지방자치단체의 장은 사회보장정보와 관련하여 사회보장정보시스템의 활용이 필요한 경우 사전에 보건복지부장관과 협의하여야 한다.
⑤ 사회복지법인의 보조금 수급이력에 관한 자료는 사회보장정보시스템의 운영을 위하여 수집・보유할 수 있는 정보에 해당하지 않는다.</t>
    <phoneticPr fontId="1" type="noConversion"/>
  </si>
  <si>
    <t>77. 사회보장기본법상 사회보장 기본계획에 관한 설명으로 옳지 않은 것은?
① 사회보장 기본계획은 사회보장위원회와 국무회의의 심의를 거쳐 확정된다.
② 다른 법령에 따라 수립되는 사회보장에 관한 계획은 사회보장 기본계획에 우선한다.
③ 보건복지부장관은 관계 중앙행정기관의 장과 협의하여 사회보장 증진을 위하여 사회보장에 관한 기본계획을 5년마다 수립하여야 한다.
④ 사회보장 기본계획에는 사회보장 전달체계가 포함되어야 한다.
⑤ 보건복지부장관 및 관계 중앙행정기관의 장은 사회보장 기본계획에 따라 사회보장과 관련된 소관 주요 시책의 시행계획을 매년 수립・시행하여야 한다.</t>
    <phoneticPr fontId="1" type="noConversion"/>
  </si>
  <si>
    <t>비고</t>
    <phoneticPr fontId="1" type="noConversion"/>
  </si>
  <si>
    <t>1-2023-098</t>
    <phoneticPr fontId="1" type="noConversion"/>
  </si>
  <si>
    <t>추출
대상</t>
    <phoneticPr fontId="1" type="noConversion"/>
  </si>
  <si>
    <t>1-2024-041</t>
    <phoneticPr fontId="1" type="noConversion"/>
  </si>
  <si>
    <t>1-2024-042</t>
  </si>
  <si>
    <t>1-2024-043</t>
  </si>
  <si>
    <t>1-2024-044</t>
  </si>
  <si>
    <t>1-2024-045</t>
  </si>
  <si>
    <t>1-2024-046</t>
  </si>
  <si>
    <t>1-2024-047</t>
  </si>
  <si>
    <t>1-2024-048</t>
  </si>
  <si>
    <t>1-2024-049</t>
  </si>
  <si>
    <t>1-2024-050</t>
  </si>
  <si>
    <t>1-2024-051</t>
  </si>
  <si>
    <t>1-2024-052</t>
  </si>
  <si>
    <t>1-2024-053</t>
  </si>
  <si>
    <t>1-2024-054</t>
  </si>
  <si>
    <t>1-2024-055</t>
  </si>
  <si>
    <t>1-2024-056</t>
  </si>
  <si>
    <t>1-2024-057</t>
  </si>
  <si>
    <t>1-2024-058</t>
  </si>
  <si>
    <t>1-2024-059</t>
  </si>
  <si>
    <t>1-2024-060</t>
  </si>
  <si>
    <t>1-2024-061</t>
  </si>
  <si>
    <t>1-2024-062</t>
  </si>
  <si>
    <t>1-2024-063</t>
  </si>
  <si>
    <t>1-2024-064</t>
  </si>
  <si>
    <t>1-2024-065</t>
  </si>
  <si>
    <t>1-2024-066</t>
  </si>
  <si>
    <t>1-2024-067</t>
  </si>
  <si>
    <t>1-2024-068</t>
  </si>
  <si>
    <t>1-2024-069</t>
  </si>
  <si>
    <t>1-2024-070</t>
  </si>
  <si>
    <t>1-2024-071</t>
  </si>
  <si>
    <t>1-2024-072</t>
  </si>
  <si>
    <t>1-2024-073</t>
  </si>
  <si>
    <t>1-2024-074</t>
  </si>
  <si>
    <t>1-2024-075</t>
  </si>
  <si>
    <t>1-2024-076</t>
  </si>
  <si>
    <t>1-2024-077</t>
  </si>
  <si>
    <t>1-2024-078</t>
  </si>
  <si>
    <t>1-2024-079</t>
  </si>
  <si>
    <t>1-2024-080</t>
  </si>
  <si>
    <t>80. 고용보험법상 피보험자격의 취득 또는 상실 등에 관한 설명으로 옳지 않은 것은?
① 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
② 근로자인 피보험자가 이직한 경우에는 이직한 날의 다음 날에 피보험자격을 상실한다.
③ 근로자인 피보험자가 사망한 경우에는 사망한 날의 다음 날에 피보험자격을 상실한다.
④ 고용산재보험료징수법에 따라 보험관계가 소멸한 경우에는 그 보험관계가 소멸한 날에 그 피보험자격을 상실한다.
⑤ 피보험자 또는 피보험자였던 사람은 언제든지 고용노동부장관에게 피보험자격의 취득 또는 상실에 관한 확인을 청구할 수 있다.</t>
  </si>
  <si>
    <t>43. 사회보장기본법령상 사회보장 재정추계(財政推計)에 관한 설명으로 옳지 않은 것은?
① 국가는 사회보장제도의 안정적인 운영을 위하여 중장기 사회보장 재정추계를 격년으로 실시하고 이를 공표하여야 한다.
② 보건복지부장관은 사회보장 재정추계를 위하여 재정추계를 실시하는 해의 1월 31일까지 재정추계 세부지침을 마련하여야 한다.
③ 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
④ 관계 중앙행정기관의 장은 재정추계 결과를 바탕으로 정책개선안을 마련하여 같은 해 12월 31일까지 보건복지부장관에게 제출하여야 한다.
⑤ 보건복지부장관은 정책개선안을 종합하여 이를 추계 실시 해의 다음 해 3월 31일까지 사회보장위원회에 보고하여야 한다.</t>
    <phoneticPr fontId="1" type="noConversion"/>
  </si>
  <si>
    <t>45. 고용보험법상 심사 및 재심사청구에 관한 설명으로 옳은 것은?
① 직업안정기관 또는 근로복지공단은 심사청구서를 받은 날부터 7일 이내에 의견서를 첨부하여 심사청구서를 고용보험심사관에 보내야 한다.
② 고용보험심사관은 원처분등의 집행에 의하여 발생하는 중대한 위해(危害)를 피하기 위하여 긴급한 필요가 있다고 인정되더라도 직권으로는 그 집행을 정지시킬 수 없다.
③ 육아휴직 급여와 출산전후휴가 급여등에 관한 처분에 대한 심사의 청구는 근로복지공단을 거쳐 고용보험심사관에게 하여야 한다.
④ 고용보험심사관은 심사의 청구에 대한 심리(審理)를 마쳤을 때에는 원처분등의 전부 또는 일부를 취소하거나 심사청구의 전부 또는 일부를 기각한다.
⑤ 심사청구에 대한 결정은 심사청구인 및 직업안정기관의 장 또는 근로복지공단에 결정서의 정본을 보낸 다음 날부터 효력이 발생한다.</t>
    <phoneticPr fontId="1" type="noConversion"/>
  </si>
  <si>
    <t>49. 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
① ㄱ, ㄹ 
② ㄱ, ㄴ, ㅁ 
③ ㄴ, ㄹ, ㅁ
④ ㄴ, ㄷ, ㄹ, ㅁ 
⑤ ㄱ, ㄴ, ㄷ, ㄹ, ㅁ</t>
    <phoneticPr fontId="1" type="noConversion"/>
  </si>
  <si>
    <t>50. 고용보험법령상 연장급여의 상호 조정 등에 관한 설명으로 옳지 않은 것은?
① 훈련연장급여의 지급 기간은 1년을 한도로 한다.
② 훈련연장급여를 지급받고 있는 수급자격자에게는 그 훈련연장급여의 지급이 끝난 후가 아니면 특별연장급여를 지급하지 아니한다.
③ 개별연장급여를 지급받고 있는 수급자격자가 훈련연장급여를 지급받게 되면 개별연장급여를 지급하지 아니한다.
④ 특별연장급여를 지급받고 있는 수급자격자에게는 특별연장급여의 지급이 끝난 후가 아니면 개별연장급여를 지급하지 아니한다.
⑤ 특별연장급여는 그 수급자격자가 지급받을 수 있는 구직급여의 지급이 끝난 후에 지급한다.</t>
    <phoneticPr fontId="1" type="noConversion"/>
  </si>
  <si>
    <t>51. 고용보험법상 훈련연장급여에 관한 내용이다. ( )에 들어갈 숫자를 순서대로 옳게 나열한 것은?
제54조(연장급여의 수급기간 및 구직급여일액) 
① &lt;중략&gt;
② 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 
③ 80, 60 
④ 90, 70 
⑤ 100, 70</t>
    <phoneticPr fontId="1" type="noConversion"/>
  </si>
  <si>
    <t>54. 산업재해보상보험법령상 산업재해보상보험및예방심의위원회(이하 '위원회'라 한다)에 관한 내용으로 옳지 않은 것은?
① 위원회는 근로자를 대표하는 사람, 사용자를 대표하는 사람 및 공익을 대표하는 사람으로 구성하되, 그 수는 각각 같은 수로 한다.
② 사용자를 대표하는 위원은 전국을 대표하는 사용자 단체가 추천하는 사람 5명으로 한다.
③ 근로자를 대표하는 위원의 임기는 3년으로 하되, 연임할 수 있다.
④ 위원회의 회의는 재적위원 과반수의 출석으로 개의하고, 출석위원 3분의 2 이상의 찬성으로 의결한다.
⑤ 보궐위원의 임기는 전임자의 남은 임기로 한다.</t>
    <phoneticPr fontId="1" type="noConversion"/>
  </si>
  <si>
    <t>55. 산업재해보상보험법령상 유족보상연금에 관한 내용으로 옳지 않은 것은?
① 유족보상연금 수급자격자인 유족이 사망한 근로자와의 친족 관계가 끝난 경우 그 자격을 잃는다.
② 대한민국 국민이 아닌 유족보상연금 수급자격자인 유족이 외국에서 거주하기 위하여 출국하는 경우 그 자격을 잃는다.
③ 근로복지공단은 근로자의 사망 당시 태아였던 자녀가 출생한 경우 유족보상연금 수급권자의 청구에 의하거나 직권으로 그 사유가 발생한 달 분부터 유족보상연금의 금액을 조정한다.
④ 근로자가 사망할 당시 대한민국 국민이었던 유족보상연금 수급자격자인 유족이 국적을 상실하고 외국에서 거주하고 있거나 외국에서 거주하기 위하여 출국하는 경우 그 자격을 잃는다.
⑤ 유족보상연금을 받을 권리가 있는 유족보상연금 수급자격자가 그 자격을 잃은 경우에 유족보상연금을 받을 권리는 같은 순위자가 있으면 같은 순위자에게, 같은 순위자가 없으면 다음 순위자에게 이전된다.</t>
    <phoneticPr fontId="1" type="noConversion"/>
  </si>
  <si>
    <t>57. 산업재해보상보험법상 요양급여의 범위에 해당하는 것은 모두 몇 개인가?
○ 재활치료
○ 간호
○ 이송
○ 간병
○ 약제 또는 진료재료와 의지(義肢)나 그 밖의 보조기의 지급
① 1개 
② 2개 
③ 3개 
④ 4개 
⑤ 5개</t>
    <phoneticPr fontId="1" type="noConversion"/>
  </si>
  <si>
    <t>58. 산업재해보상보험법령상 장례비에 관한 설명으로 옳지 않은 것은?
① 장례비 최고금액 및 최저금액의 적용기간은 당해 연도 1월 1일부터 12월 31일까지로 한다.
② 장례비 최고금액은 전년도 장례비 수급권자에게 지급된 1명당 평균 장례비 90일분 + 최고 보상기준 금액의 30일분으로 산정한다.
③ 장례비 최저금액은 전년도 장례비 수급권자에게 지급된 1명당 평균 장례비 90일분 + 최저 보상기준 금액의 30일분으로 산정한다.
④ 장례비 최고금액 및 최저금액을 산정할 때 10원 미만은 버린다.
⑤ 장례비는 장례를 지낼 유족이 없거나 그 밖에 부득이한 사유로 유족이 아닌 사람이 장례를 지낸 경우에는 평균임금의 120일분에 상당하는 금액의 범위에서 실제 드는 비용을 그 장례를 지낸 사람에게 지급한다.</t>
    <phoneticPr fontId="1" type="noConversion"/>
  </si>
  <si>
    <t>60. 산업재해보상보험법에서 사용하는 용어의 정의로 옳지 않은 것은?
① "유족"이란 사망한 사람의 배우자(사실상 혼인 관계에 있는 사람을 포함한다)・자녀・부모・손자녀・조부모 또는 형제자매를 말한다.
② "장해"란 업무상의 부상 또는 질병에 따른 정신적 또는 육체적 훼손으로 노동능력이 상실되거나 감소된 상태로서 그 부상 또는 질병이 치유되지 아니한 상태를 말한다.
③ "치유"란 부상 또는 질병이 완치되거나 치료의 효과를 더 이상 기대할 수 없고 그 증상이 고정된 상태에 이르게 된 것을 말한다.
④ "출퇴근"이란 취업과 관련하여 주거와 취업장소 사이의 이동 또는 한 취업장소에서 다른 취업장소로의 이동을 말한다.
⑤ "진폐"(塵肺)란 분진을 흡입하여 폐에 생기는 섬유증식성(纖維增殖性) 변화를 주된 증상으로 하는 질병을 말한다.</t>
    <phoneticPr fontId="1" type="noConversion"/>
  </si>
  <si>
    <t>62. 산업재해보상보험법령상 상병보상연금에 관한 설명으로 옳은 것은?
① 중증요양상태등급이 제3급인 경우 평균임금의 257일분을 지급한다.
② 상병보상연금을 받는 근로자가 60세가 되면 그 이후의 상병보상연금은 고령자의 1일당 상병보상연금 지급기준에 따라 감액된 금액을 지급한다.
③ 상병보상연금을 지급받는 경우 요양급여와 휴업급여는 지급되지 아니한다.
④ 재요양을 시작한 지 1년이 지난 후에 부상・질병 상태가 상병보상연금의 지급요건 모두에 해당하는 사람에게는 상병보상연금을 지급한다.
⑤ 상병보상연금을 산정할 때 근로자의 평균임금이 최저임금액에 90분의 100을 곱한 금액보다 적을 때에는 최저임금액의 90분의 100에 해당하는 금액을 그 근로자의 평균임금으로 보아 산정한다.</t>
    <phoneticPr fontId="1" type="noConversion"/>
  </si>
  <si>
    <t>64. 국민연금법에 관한 내용으로 옳지 않은 것은?
① 급여수급전용계좌에 입금된 급여와 이에 관한 채권은 압류할 수 없다.
② 장애연금액은 장애등급 2급에 해당하는 자에 대하여는 기본연금액의 1천분의 600에 해당하는 금액에 부양가족연금액을 더한 금액으로 한다.
③ 장애등급이 2급 이상인 장애연금 수급권자가 사망하면 그 유족에게 유족연금을 지급한다.
④ 가입자 또는 가입자였던 자가 가입기간이 10년 미만이고 60세가 된 때에는 본인이나 그 유족의 청구에 의하여 반환일시금을 지급받을 수 있다.
⑤ 장애연금 수급권자가 고의나 중대한 과실로 요양 지시에 따르지 아니하거나 정당한 사유 없이 요양 지시에 따르지 아니하여 회복을 방해한 때에는 급여의 전부 또는 일부의 지급을 정지할 수 있다.</t>
    <phoneticPr fontId="1" type="noConversion"/>
  </si>
  <si>
    <t>68. 국민연금법령상 국민연금기금에 관한 설명으로 옳지 않은 것은?
① 국민연금기금은 연금보험료, 국민연금기금 운용 수익금, 적립금, 국민연금공단의 수입지출 결산상의 잉여금을 재원으로 조성한다.
② 국민연금기금운용위원회는 국민연금기금을 관리기금에 위탁할 경우 예탁 이자율의 협의에 관한 사항을 심의・의결할 수 있다.
③ 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
④ 보건복지부장관은 매년 국민연금기금 운용계획을 세워서 국민연금기금운용위원회 및 국무회의의 심의를 거쳐 대통령의 승인을 받아야 한다.
⑤ 보건복지부장관은 국민연금기금의 운용 내용과 관리기금에 예탁된 국민연금기금의 사용 내용을 다음 연도 6월 말까지 국민연금기금운용위원회에 제출하여야 한다.</t>
    <phoneticPr fontId="1" type="noConversion"/>
  </si>
  <si>
    <t>70. 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
① ㄱ 
② ㄱ, ㄴ 
③ ㄴ, ㄷ
④ ㄴ, ㄷ, ㄹ 
⑤ ㄱ, ㄴ, ㄷ, ㄹ</t>
    <phoneticPr fontId="1" type="noConversion"/>
  </si>
  <si>
    <t>74. 국민건강보험법령상 보수월액에 관한 설명으로 옳지 않은 것은?
① 보수의 전부 또는 일부가 현물(現物)로 지급되는 경우에는 그 지역의 시가(時價)를 기준으로 국민건강보험공단이 정하는 가액(價額)을 그에 해당하는 보수로 본다.
② 직장가입자의 보수월액은 직장가입자가 지급받는 보수를 기준으로 하여 산정한다.
③ 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
④ 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
⑤ 휴직이나 그 밖의 사유로 보수의 전부 또는 일부가 지급되지 아니하는 가입자의 보수월액보험료는 해당 사유가 생긴 달의 보수월액을 기준으로 산정한다.</t>
    <phoneticPr fontId="1" type="noConversion"/>
  </si>
  <si>
    <t>76. 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
① ㄱ, ㄴ, ㄷ 
② ㄱ, ㄴ, ㄹ 
③ ㄱ, ㄷ, ㄹ
④ ㄴ, ㄷ, ㄹ 
⑤ ㄱ, ㄴ, ㄷ, ㄹ</t>
    <phoneticPr fontId="1" type="noConversion"/>
  </si>
  <si>
    <t>78. 고용보험 및 산업재해보상보험의 보험료징수 등에 관한 법령상 보험료율의 인상 또는 인하 등에 따른 조치에 관한 설명으로 옳지 않은 것은?
① 근로복지공단은 보험료율 인하로 보험료를 감액 조정한 경우에는 보험료율의 인하를 결정한 날부터 20일 이내에 그 감액 조정 사실을 사업주에게 알려야 한다.
② 보험료율 인상으로 월별보험료가 증액된 때에는 국민건강보험공단이 징수한다.
③ 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
④ 근로복지공단은 사업주가 보험연도 중에 사업의 규모를 축소하여 실제의 개산보험료 총액이 이미 신고한 개산보험료 총액보다 100분의 20 이상으로 감소하게 된 경우에는 그 초과액을 감액해야 한다.
⑤ 보험료율 인상으로 개산보험료가 증액된 때에는 근로복지공단이 징수한다.</t>
    <phoneticPr fontId="1" type="noConversion"/>
  </si>
  <si>
    <t>79. 고용보험 및 산업재해보상보험의 보험료징수 등에 관한 법령상 거짓으로 보험사무대행기관 인가를 받아 근로복지공단으로부터 인가가 취소된 경우 보험사무대행기관 인가의 제한 기간은?
① 3개월 
② 6개월 
③ 1년 
④ 3년 
⑤ 5년</t>
    <phoneticPr fontId="1" type="noConversion"/>
  </si>
  <si>
    <t>80. 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
① ㄱ - a, ㄴ - c 
② ㄱ - b, ㄷ - d 
③ ㄱ - c, ㄴ - e
④ ㄴ - d, ㄷ - a 
⑤ ㄴ - e, ㄷ - b</t>
    <phoneticPr fontId="1" type="noConversion"/>
  </si>
  <si>
    <t>84. 甲(50세)은 구직급여를 받다가 소정급여일수 80일을 남겨 두고 재취업하였다. 甲의 소정급여일수는 150일이고, 이직 당시 평균임금은 10만원이었다. 甲이 수령할 수 있는 조기재취업수당은 얼마인가?
① 80만원
② 160만원
③ 200만원
④ 320만원
⑤ 받을 수 없다.</t>
    <phoneticPr fontId="1" type="noConversion"/>
  </si>
  <si>
    <t>84. 고용보험법상 자영업자인 피보험자에 대한 실업급여 적용의 특례에 관한 설명으로 옳지 않은 것은?
① 고용노동부장관은 보험료를 체납한 사람에게는 고용노동부령으로 정하는 바에 따라 실업급여를 지급하지 아니할 수 있다.
② 자영업자인 피보험자로서 폐업한 수급자격자에 대한 구직급여일액은 그 수급자격자의 기초일액에 100분의 60을 곱한 금액으로 한다.
③ 자영업자인 피보험자로부터 고용보험 및 산업재해보상보험의 보험료징수 등에 관한 법률에 따라 징수된 고용안정・직업능력개발 사업의 보험료 및 실업급여의 보험료는 각각 자영업자인 피보험자를 위한 그 사업에 드는 비용에 충당한다.
④ 자영업자인 피보험자의 실업급여의 종류에는 조기재취업 수당이 포함된다.
⑤ 자영업자인 피보험자의 실업급여를 받을 권리는 양도 또는 압류하거나 담보로 제공할 수 없다.</t>
    <phoneticPr fontId="1" type="noConversion"/>
  </si>
  <si>
    <t>보기 ② 기초일액 비율 50을 60으로 변경</t>
    <phoneticPr fontId="1" type="noConversion"/>
  </si>
  <si>
    <t>90. 다음은 산업재해보상보험법에 관한 내용이다. ( )안에 들어갈 숫자의 합은?
○ 휴업급여는 업무상 사유로 부상을 당하거나 질병에 걸린 근로자에게 요양으로 취업하지 못한 기간에 대하여 지급하되, 1일당 지급액은 평균임금의 100분의 ( )에 상당하는 금액으로 한다.
○ 요양 또는 재요양을 받고 있는 근로자가 그 요양기간 중 일정기간 또는 단시간 취업을 하는 경우에는 그 취업한 날 또는 취업한 시간에 해당하는 그 근로자의 평균임금에서 그 취업한 날 또는 취업한 시간에 대한 임금을 뺀 금액의 100분의 ( )에 상당하는 금액을 지급할 수 있다.
① 130
② 140
③ 150
④ 160
⑤ 170</t>
    <phoneticPr fontId="1" type="noConversion"/>
  </si>
  <si>
    <t>89. 산업재해보상보험법에 관한 설명으로 옳지 않은 것을 모두 고른 것은?
ㄱ. 업무상 재해를 당한 근로자가 보험급여를 지급받으려면 노동부에 설립되어 있는 산업재해보상보험심사위원회에 신청하여야 한다.
ㄴ. 유족이란 사망한 자의 배우자(사실상 혼인 관계에 있는 자를 제외한다)・자녀・부모・손자녀・조부모 또는 형제자매를 말한다.
ㄷ. "근로자", "임금", "평균임금", "통상임금"이란 각각 근로기준법에 따른 "근로자", "임금", "평균임금", "통상임금"을 말한다.
ㄹ. 휴업급여는 통상임금의 100분의 70에 상당하는 금액으로 한다.
ㅁ. 업무상 재해는 업무상의 사유에 따른 근로자의 부상・질병・장해 또는 사망을 말한다.
① ㄱ, ㄴ, ㄷ
② ㄱ, ㄴ, ㄹ
③ ㄱ, ㄷ, ㅁ
④ ㄴ, ㄷ, ㄹ
⑤ ㄴ, ㄹ, ㅁ</t>
    <phoneticPr fontId="1" type="noConversion"/>
  </si>
  <si>
    <t>23.07 이전 : 70/100 + 90/100 = 160
23.07 이후 : 70/100 + 80/100 = 150
정답을 지문 4번에서 3번으로 변경</t>
    <phoneticPr fontId="1" type="noConversion"/>
  </si>
  <si>
    <t>85. 고용보험법령상 구직급여와 관련한 내용이다. ( )에 들어갈 내용으로 옳은 것은?
○ 훈련연장급여의 지급 기간은 (ㄱ) 년을 한도로 한다.
○ 개별연장급여는 (ㄴ)일의 범위에서 대통령령으로 정하는 기간 동안 지급한다.
① ㄱ: 1, ㄴ: 60
② ㄱ: 1, ㄴ: 90
③ ㄱ: 2, ㄴ: 60
④ ㄱ: 2, ㄴ: 90
⑤ ㄱ: 3, ㄴ: 60</t>
    <phoneticPr fontId="1" type="noConversion"/>
  </si>
  <si>
    <t>94. 다음은 국민건강보험법에 관한 내용이다. ( )안에 들어갈 내용으로 옳은 것은?
가입자 및 피부양자의 자격・보험료에 관한 국민건강보험공단의 처분에 이의가 있는 자는 (ㄱ)에, 요양급여비용 및 요양급여의 적정성에 대한 평가에 관한 건강보험심사평가원의 처분에 이의가 있는 자는 (ㄴ)에 이의신청을 할 수 있다. 다만 이의신청은 처분이 있은 날부터 (ㄷ)일을 경과하면 이를 제기하지 못하는 것이 원칙이다. 한편, 이의신청에 대한 결정에 불복이 있는 자는 (ㄹ)에 심판청구를 할 수 있다.
① ㄱ : 국민건강보험공단,    ㄴ : 건강보험심사평가원, ㄷ : 180, ㄹ : 건강보험분쟁조정위원회
② ㄱ : 건강보험심사평가원, ㄴ : 국민건강보험공단,    ㄷ : 90,   ㄹ : 보건복지부
③ ㄱ : 보건복지부,              ㄴ : 국민건강보험공단,    ㄷ : 180, ㄹ : 건강보험분쟁조정위원회
④ ㄱ : 국민건강보험공단,    ㄴ : 건강보험심사평가원, ㄷ : 180, ㄹ : 행정법원
⑤ ㄱ : 건강보험심사평가원, ㄴ : 국민건강보험공단,    ㄷ : 90,   ㄹ : 행정법원</t>
    <phoneticPr fontId="1" type="noConversion"/>
  </si>
  <si>
    <t>93. 국민건강보험법상 보험급여가 아닌 것은?
① 요양비
② 임신・출산 진료비
③ 요양급여
④ 유족급여
⑤ 건강검진</t>
  </si>
  <si>
    <t>73. 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
① ㄱ 
② ㄹ 
③ ㄱ, ㄴ 
④ ㄴ, ㄷ 
⑤ ㄷ, ㄹ</t>
    <phoneticPr fontId="1" type="noConversion"/>
  </si>
  <si>
    <t>96. 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
① ㄱ: 7, ㄴ: 1
② ㄱ: 7, ㄴ: 3
③ ㄱ: 10, ㄴ: 1
④ ㄱ: 10, ㄴ: 3
⑤ ㄱ: 14, ㄴ: 1</t>
    <phoneticPr fontId="1" type="noConversion"/>
  </si>
  <si>
    <t>67. 국민연금법령상 연금보험료 등의 독촉에 관한 내용이다. ( )에 들어갈 내용은?
제64조(연금보험료 등의 독촉) 
① 국민건강보험공단은 법 제95조제1항에 따라 사업장가입자의 연금보험료와 그에 따른 징수금의 납부를 독촉할 때에는 납부기한이 지난 후 (ㄱ) 이내에 해당 사업장가입자의 사용자에게 독촉장을 발부하여야 한다.
② 국민건강보험공단은 법 제95조제1항에 따라 지역가입자의 연금보험료와 그에 따른 징수금의 납부를 독촉할 때에는 납부 기한이 지난 후 (ㄴ) 이내에 해당 가입자에게 독촉장을 발부하여야 한다.
③ 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 
④ ㄱ: 30일, ㄴ: 3개월, ㄷ: 20일
⑤ ㄱ: 30일, ㄴ: 3개월, ㄷ: 30일</t>
    <phoneticPr fontId="1" type="noConversion"/>
  </si>
  <si>
    <t>99. 고용보험 및 산업재해보상보험의 보험료징수 등에 관한 법률상 고액・상습 체납자의 인적사항 공개에 대한 내용이다. ( )안에 들어갈 내용으로 옳은 것은?
국민건강보험공단은 이 법에 따른 납부기한의 다음 날부터 (ㄱ)이 지난 보험료와 이 법에 따른 그 밖의 징수금과 체납처분비(결손처분한 보험료, 이 법에 따른 그 밖의 징수금과 체납처분비로서 징수권 소멸시효가 완성되지 아니한 것을 포함한다)의 총액이 (ㄴ) 이상인 체납자에 대하여는 그 인적사항 및 체납액 등을 공개할 수 있다.
① ㄱ : 1년, ㄴ : 5천만원
② ㄱ : 1년, ㄴ : 1억원
③ ㄱ : 2년, ㄴ : 1억원
④ ㄱ : 2년, ㄴ : 10억원
⑤ ㄱ : 3년, ㄴ : 10억원</t>
    <phoneticPr fontId="1" type="noConversion"/>
  </si>
  <si>
    <t>24년 현재 기간 및 금액 개정(22.12.31/시행:2023.07.01)으로 보기 수정</t>
    <phoneticPr fontId="1" type="noConversion"/>
  </si>
  <si>
    <t>63. 산업재해보상보험법상 직장복귀지원금 등에 관한 것이다. ( )에 들어갈 숫자로 옳은 것은?
제75조(직장복귀지원금 등) 
① &lt;중략&gt;
② 제1항에 따른 직장복귀지원금은 고용노동부장관이 임금수준 및 노동시장의 여건 등을 고려하여 고시하는 금액의 범위에서 사업주가 장해급여자에게 지급한 임금액으로 하되, 그 지급기간은 (ㄱ)개월 이내로 한다.
③ 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
④ ㄱ: 6, ㄴ: 12 
⑤ ㄱ: 12, ㄴ: 3</t>
  </si>
  <si>
    <t>99. 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
① ㄱ: 100분의 20, ㄴ: 1천분의 13
② ㄱ: 100분의 20, ㄴ: 1천분의 20
③ ㄱ: 100분의 30, ㄴ: 1천분의 13
④ ㄱ: 100분의 30, ㄴ: 1천분의 20
⑤ ㄱ: 100분의 30, ㄴ: 1천분의 25</t>
  </si>
  <si>
    <t>88. 다음은 산업재해보상보험법에 관한 내용이다. ( )안에 들어갈 내용으로 옳은 것은?
○ 산업재해보상보험재심사위원회의 위원이 그 사건에 관하여 증언이나 감정을 한 경우에는 그 사건의 심리・재결에서 (ㄱ)된다.
○ 당사자는 산업재해보상보험재심사위원회의 위원에게 심리・재결의 공정을 기대하기 어려운 사정이 있는 경우에는 (ㄴ)신청을 할 수 있다.
① ㄱ : 제척, ㄴ : 회피
② ㄱ : 제척, ㄴ : 기피
③ ㄱ : 기피, ㄴ : 제척
④ ㄱ : 기피, ㄴ : 회피
⑤ ㄱ : 회피, ㄴ : 기피</t>
  </si>
  <si>
    <t>24년 기준 실업급여보험료율로 변경 : 11 → 18</t>
    <phoneticPr fontId="1" type="noConversion"/>
  </si>
  <si>
    <t>100. 고용보험 및 산업재해보상보험의 보험료징수 등에 관한 법률상 보험관계의 변경 신고에 대한 내용이다. ( )안에 들어갈 내용으로 옳은 것은?
산업재해보상보험에 가입한 사업주는 그 이름, 사업의 소재지 등이 변경된 경우에는 그 날부터 (ㄱ)일 이내에 그 변경사항을 (ㄴ)에 신고하여야 한다.
① ㄱ : 7,   ㄴ : 근로복지공단
② ㄱ : 7,   ㄴ : 국민건강보험공단
③ ㄱ : 14, ㄴ : 근로복지공단
④ ㄱ : 14, ㄴ : 국민건강보험공단
⑤ ㄱ : 30, ㄴ : 근로복지공단</t>
    <phoneticPr fontId="1" type="noConversion"/>
  </si>
  <si>
    <t>93. 국민연금법상 노령연금에 관한 설명이다. ( )안에 들어갈 내용으로 옳은 것은?
국민연금 가입기간이 (ㄱ)년 이상인 가입자 또는 가입자였던 자에 대하여는 (ㄴ)세(특수직종근로자는 (ㄷ)세)가 된 때부터 그가 생존하는 동안 노령연금을 지급한다.
① ㄱ : 10, ㄴ : 55, ㄷ : 60
② ㄱ : 10, ㄴ : 60, ㄷ : 55
③ ㄱ : 10, ㄴ : 60, ㄷ : 65
④ ㄱ : 15, ㄴ : 55, ㄷ : 60
⑤ ㄱ : 15, ㄴ : 60, ㄷ : 55</t>
    <phoneticPr fontId="1" type="noConversion"/>
  </si>
  <si>
    <t>88. 산업재해보상보험법상 유족보상연금에 관한 설명이다. ( )안에 들어갈 내용으로 옳은 것은?
유족보상연금액은 다음의 기본금액과 가산금액을 합한 금액으로 한다.
1. 기본금액
급여기초연액(평균임금에 365를 곱하여 얻은 금액)의 100분의 (ㄱ)에 상당하는 금액
2. 가산금액
유족보상연금수급권자 및 근로자가 사망할 당시 그 근로자와 생계를 같이 하고 있던 유족보상연금수급자격자 1인당 급여기초연액의 100분의 (ㄴ)에 상당하는 금액의 합산액. 다만, 그 합산금액이 급여기초연액의 100분의 (ㄷ)을 넘을 때에는 급여기초연액의 100분의 (ㄹ)에 상당하는 금액으로 한다.
① ㄱ : 47, ㄴ :  5, ㄷ : 10, ㄹ : 10
② ㄱ : 47, ㄴ :  5, ㄷ : 20, ㄹ : 20
③ ㄱ : 47, ㄴ : 10, ㄷ : 20, ㄹ : 20
④ ㄱ : 52, ㄴ : 10, ㄷ : 10, ㄹ : 10
⑤ ㄱ : 52, ㄴ : 10, ㄷ : 20, ㄹ : 20</t>
    <phoneticPr fontId="1" type="noConversion"/>
  </si>
  <si>
    <t>93. 국민연금법상 부양가족연금액에 관한 내용이다. ( )안에 들어갈 내용으로 옳은 것은?
부양가족연금액은 수급권자를 기준으로 하는 다음 각 호의 자로서 수급권자에 의하여 생계를 유지하고 있는 자에 대하여 해당 호에 규정된 각각의 금액으로 한다.
1. 배우자: 연 (ㄱ)만원
2. (ㄴ)세 미만이거나 장애등급 2급 이상인 자녀: 연 (ㄷ)만원
3. (ㄹ)세 이상이거나 장애등급 2급 이상인 부모: 연 (ㄷ)만원
① ㄱ: 20, ㄴ: 20, ㄷ: 15, ㄹ: 55
② ㄱ: 20, ㄴ: 18, ㄷ: 10, ㄹ: 60
③ ㄱ: 15, ㄴ: 18, ㄷ: 10, ㄹ: 60
④ ㄱ: 15, ㄴ: 19, ㄷ: 5, ㄹ: 60
⑤ ㄱ: 10, ㄴ: 19, ㄷ: 5, ㄹ: 65</t>
    <phoneticPr fontId="1" type="noConversion"/>
  </si>
  <si>
    <t>83. 고용보험법상 고용보험위원회에 관한 설명으로 옳은 것은?
① 근로복지공단에 고용보험위원회를 둔다.
② 심의 사항을 사전에 검토・조정하기 위하여 실무위원회를 둔다.
③ 위원장 1명을 포함한 15명 이내의 위원으로 구성한다.
④ 위원장은 고용노동부장관이 된다.
⑤ 심의 사항에는 보험제도 및 보험사업의 개선에 관한 사항이 포함된다.</t>
    <phoneticPr fontId="1" type="noConversion"/>
  </si>
  <si>
    <t>88. 산업재해보상보험법령상 진폐에 따른 보험급여의 종류에 해당하는 것을 모두 고른 것은?
ㄱ. 요양급여
ㄴ. 휴업급여
ㄷ. 장해급여
ㄹ. 간병급여
ㅁ. 유족급여
① ㄱ, ㄹ
② ㄱ, ㄴ, ㅁ
③ ㄴ, ㄹ, ㅁ
④ ㄴ, ㄷ, ㄹ, ㅁ
⑤ ㄱ, ㄴ, ㄷ, ㄹ, ㅁ</t>
    <phoneticPr fontId="1" type="noConversion"/>
  </si>
  <si>
    <t>53. 고용보험법령상 고용보험위원회(이하 '위원회'라 한다)에 관한 설명으로 옳지 않은 것은?
① 위원회의 위원장은 고용노동부차관이 되며, 그 위원장은 위원을 임명하거나 위촉한다.
② 위원회에는 고용보험운영전문위원회와 고용보험평가전문위원회를 둔다.
③ 위원회의 위원 중 정부를 대표하는 사람은 임명의 대상이 된다.
④ 위원회의 간사는 1명을 두되, 간사는 고용노동부 소속 공무원 중에서 위원장이 임명한다.
⑤ 「고용보험 및 산업재해보상보험의 보험료징수 등에 관한 법률」에 따른 보험료율의 결정에 관한 사항은 위원회의 심의사항이다.</t>
  </si>
  <si>
    <t>71. 국민건강보험법상 국민건강보험공단(이하 '공단'이라 한다)에 관한 설명으로 옳지 않은 것은?
① 공단은 법인으로 한다.
② 공단의 해산에 관하여는 정관으로 정한다.
③ 공단은 주된 사무소의 소재지에서 설립등기를 함으로써 성립한다.
④ 공단의 설립등기에는 목적, 명칭, 주된 사무소 및 분사무소의 소재지, 이사장의 성명・주소 및 주민등록번호를 포함하여야 한다.
⑤ 공단의 주된 사무소의 소재지는 정관으로 정한다.</t>
  </si>
  <si>
    <t>99. 다음 ( )안에 들어갈 내용으로 옳은 것은?
고용보험 및 산업재해보상보험의 보험료징수 등에 관한 법률상 일괄적용을 받는 사업의 경우에는 처음 행하는 사업의 시작일로부터 (A) 이내에, 일괄적용을 받고 있는 사업이 사업의 폐지・종료 등으로 일괄적용관계가 소멸한 경우에는 소멸한 날부터 (B) 이내에 공단에 일괄적용관계의 성립 또는 소멸신고를 하여야 한다.
① A : 7일,   B : 7일
② A : 7일,   B : 14일
③ A : 14일, B : 14일
④ A : 14일, B : 30일
⑤ A : 30일, B : 30일</t>
    <phoneticPr fontId="1" type="noConversion"/>
  </si>
  <si>
    <t>84. 고용보험법상 자발적 이직시 구직급여 수급자격이 제한되는 것은?
① 사업장에서 종교, 성별, 신체장애 등을 이유로 불합리한 차별대우를 받은 경우
② 사업장에서 본인의 의사에 반하여 성희롱, 성폭력, 그 밖의 성적인 괴롭힘을 당한 경우
③ 사업장의 도산・폐업이 확실하거나 대량의 감원이 예정되어 있는 경우
④ 부모나 동거 친족의 질병・부상 등으로 30일 이상 본인이 간호해야 하는 기간에 기업의 사정상 휴가나 휴직이 허용되지 않은 경우
⑤ 이직일 전 1년 이내에 1개월 이상 임금체불이 발생한 경우</t>
    <phoneticPr fontId="1" type="noConversion"/>
  </si>
  <si>
    <t>100. 다음 ( )안에 들어갈 내용으로 옳은 것은?
고용보험료율은 보험수지의 동향과 경제상황 등을 고려하여 (ㄱ)의 범위에서 고용안정・직업능력개발사업의 보험료율 및 실업급여의 보험료율로 구분하여 정한다. 현재 실업급여의 보험료율은 (ㄴ)이다.
① ㄱ : 1천분의 30,   ㄴ : 1천분의 18
② ㄱ : 1천분의 30,   ㄴ : 1천분의 9
③ ㄱ : 1천분의 50,   ㄴ : 1천분의 18
④ ㄱ : 1천분의 50,   ㄴ : 1천분의 9
⑤ ㄱ : 1천분의 100, ㄴ : 1천분의 45</t>
    <phoneticPr fontId="1" type="noConversion"/>
  </si>
  <si>
    <t>84. 다음 ( )안에 들어갈 내용으로 옳은 것은?
고용보험법령상 육아휴직 급여는 육아휴직 개시일을 기준으로 근로기준법에 따라 산정한 월 통상임금의 (ㄱ)에 해당하는 금액으로 한다. 이 때, 육아휴직 급여의 상한액은 월 (ㄴ)만원이고, 하한액은 월 (ㄷ)만원이다.
① ㄱ : 100분의 40   ㄴ : 100 ㄷ : 50
② ㄱ : 100분의 40   ㄴ : 200 ㄷ : 100
③ ㄱ : 100분의 50   ㄴ : 200 ㄷ : 100
④ ㄱ : 100분의 100 ㄴ : 100 ㄷ : 50
⑤ ㄱ : 100분의 100 ㄴ : 200 ㄷ : 100</t>
    <phoneticPr fontId="1" type="noConversion"/>
  </si>
  <si>
    <t>69. 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
① ㄱ, ㄴ 
② ㄴ, ㄷ 
③ ㄱ, ㄴ, ㄹ
④ ㄱ, ㄷ, ㄹ 
⑤ ㄱ, ㄴ, ㄷ, ㄹ</t>
    <phoneticPr fontId="1" type="noConversion"/>
  </si>
  <si>
    <t>92. 국민연금법상 유족연금 수급권자에 관한 내용이다. ( ) 안에 들어갈 내용으로 옳은 것은?
가입기간이 (ㄱ)년 미만인 가입자였던 자가 가입 중에 생긴 질병으로 가입 중의 초진일 또는 가입자 자격을 상실한 후 1년 이내의 초진일부터 (ㄴ)년 이내에 사망하면 그 유족에게 유족연금을 지급할 수 있다.
① ㄱ: 10, ㄴ: 2
② ㄱ: 10, ㄴ: 3
③ ㄱ: 20, ㄴ: 2
④ ㄱ: 20, ㄴ: 3
⑤ ㄱ: 30, ㄴ: 2</t>
    <phoneticPr fontId="1" type="noConversion"/>
  </si>
  <si>
    <t/>
  </si>
  <si>
    <t>문제수</t>
    <phoneticPr fontId="1" type="noConversion"/>
  </si>
  <si>
    <t>정렬기준</t>
    <phoneticPr fontId="1" type="noConversion"/>
  </si>
  <si>
    <t>기출년도(To)</t>
    <phoneticPr fontId="1" type="noConversion"/>
  </si>
  <si>
    <t>2023</t>
  </si>
  <si>
    <t>2024</t>
  </si>
  <si>
    <t>기출년도(Fr)</t>
    <phoneticPr fontId="1" type="noConversion"/>
  </si>
  <si>
    <t>2021</t>
  </si>
  <si>
    <t>2022</t>
  </si>
  <si>
    <t>2010</t>
  </si>
  <si>
    <t>2020</t>
  </si>
  <si>
    <t>2011</t>
  </si>
  <si>
    <t>2019</t>
  </si>
  <si>
    <t>2018</t>
  </si>
  <si>
    <t>2017</t>
  </si>
  <si>
    <t>2016</t>
  </si>
  <si>
    <t>2015</t>
  </si>
  <si>
    <t>2014</t>
  </si>
  <si>
    <t>2013</t>
  </si>
  <si>
    <t>2012</t>
  </si>
  <si>
    <t>N</t>
    <phoneticPr fontId="1" type="noConversion"/>
  </si>
  <si>
    <t>A(기본)</t>
  </si>
  <si>
    <t>기출
년도</t>
    <phoneticPr fontId="1" type="noConversion"/>
  </si>
  <si>
    <t>41. 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
① ㄱ, ㄴ, ㄷ 
② ㄱ, ㄴ, ㄹ 
③ ㄱ, ㄷ, ㄹ
④ ㄴ, ㄷ, ㄹ 
⑤ ㄱ, ㄴ, ㄷ, ㄹ</t>
  </si>
  <si>
    <t>42. 사회보장기본법령에 관한 설명으로 옳지 않은 것은?
① 보건복지부장관은 사회보장 행정데이터 분석센터의 설치・운영에 관한 사무를 수행하기 위하여 불가피한 경우「개인정보 보호법」시행령 제18조제2호에 따른 범죄경력자료에 해당하는 정보를 처리할 수 있다.
② 보건복지부장관은 사회보장 분야 전문 인력 양성을 위하여 관계 중앙행정기관, 지방자치단체, 공공기관 및 법인・단체 등의 직원을 대상으로 사회보장에 관한 교육을 매년 1회 이상 실시할 수 있다.
③ 보건복지부장관은 사회보장정보시스템을 통해 다른 법령에 따라 국가 및 지방자치단체로부터 위탁받은 사회보장에 관한 업무를 수행할 수 있다.
④ 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
⑤ 보건복지부장관이 사회보장정보시스템의 운영・지원을 위하여 설치할 수 있는 전담기구는「사회보장급여의 이용・제공 및 수급권자 발굴에 관한 법률」제29조에 따른 한국사회보장정보원으로 한다.</t>
  </si>
  <si>
    <t>44. 고용보험법상「장애인고용촉진 및 직업재활법」제2조제1호에 따른 장애인의 피보험 기간이 1년인 구직급여의 소정급여일수는?
① 120일 
② 180일 
③ 210일 
④ 240일 
⑤ 270일</t>
  </si>
  <si>
    <t>47. 고용보험법령상 보험가입 등에 관한 설명으로 옳지 않은 것은?
① 「국가공무원법」에 따른 임기제 공무원(이하 "임기제 공무원"이라 한다)의 경우는 본인의 의사에 따라 고용보험(실업급여에 한정)에 가입할 수 있다.
② 임기제 공무원이 원하는 경우에는 임용된 날부터 3개월 이내에 고용노동부장관에게 직접 고용보험 가입을 신청할 수 있다.
③ 고용보험 피보험자격을 취득한 임기제 공무원이 공무원 신분의 변동에 따라 계속하여 다른 임기제 공무원으로 임용된 때에는 별도의 가입신청을 하지 않은 경우에도 고용보험의 피보험자격을 유지한다.
④ 임기제 공무원이 가입한 고용보험에서 탈퇴한 이후에 가입대상 공무원으로 계속 재직하는 경우 본인의 신청에 의하여 고용보험에 다시 가입할 수 있다.
⑤ 고용보험에 가입한 임기제 공무원에 대한 보험료는 소속기관과 고용보험에 가입한 임기제 공무원이 각각 2분의 1씩 부담한다.</t>
  </si>
  <si>
    <t>56. 산업재해보상보험법령상 노무제공자에 대한 특례의 내용으로 옳지 않은 것은?
① "플랫폼 종사자"란 온라인 플랫폼을 통해 노무를 제공하는 노무제공자를 말한다.
② "평균보수"란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
③ 보험을 모집하는 사람으로서「새마을금고법」및「신용협동조합법」에 따른 공제의 모집을 전업으로 하는 사람은 노무제공자의 범위에 포함된다.
④ 보험을 모집하는 사람으로서「우체국예금・보험에 관한 법률」에 따른 우체국보험의 모집을 전업으로 하는 사람은 노무제공자의 범위에 포함된다.
⑤ "플랫폼 운영자"란 온라인 플랫폼을 이용하여 플랫폼 종사자의 노무제공을 중개 또는 알선하는 것을 업으로 하는 자를 말한다.</t>
  </si>
  <si>
    <t>59. 산업재해보상보험법령상 업무상질병판정위원회의 구성에 관한 내용으로 옳은 것은?
① 「고등교육법」제2조에 따른 학교에서 조교수 이상으로 재직하고 있는 사람은 위원이 될 수 없다.
② 「국가기술자격법」에 따른 산업위생관리 기사 이상의 자격을 취득하고 관련 업무에 3년 이상 종사한 치과의사는 위원이 될 수 없다.
③ 산업재해보상보험 관련 업무에 5년 이상 종사한 사람은 위원이 될 수 있다.
④ 「국가기술자격법」에 따른 인간공학 분야 기사 이상의 자격을 취득하고 관련 업무에 3년 이상 종사한 한의사는 위원이 될 수 없다.
⑤ 위원장과 위원의 임기는 3년으로 하되, 연임할 수 있다.</t>
  </si>
  <si>
    <t>72. 국민건강보험법상 이의신청 및 심판청구 등에 관한 설명으로 옳지 않은 것은?
① 보험급여 비용에 관한 국민건강보험공단의 처분에 이의가 있는 자는 국민건강보험공단에 이의신청을 할 수 있다.
② 요양급여의 적정성 평가 등에 관한 건강보험심사평가원의 처분에 이의가 있는 자는 건강보험심사평가원에 이의신청을 할 수 있다.
③ 이의신청에 대한 결정에 불복하는 자는 건강보험분쟁조정위원회에 심판청구를 할 수 있다.
④ 정당한 사유로 이의신청을 할 수 없었음을 소명한 경우가 아니면 이의신청은 처분이 있은 날부터 90일을 지나면 제기하지 못한다.
⑤ 이의신청에 대한 결정에 불복하는 자는「행정소송법」이 정하는 바에 따라 행정소송을 제기할 수 있다.</t>
  </si>
  <si>
    <t>84. 고용보험법령상 폐업한 자영업자인 피보험자에 관한 설명으로 옳지 않은 것은?
① 법령을 위반하여 영업 정지를 받아 폐업한 경우라도 직업안정기관의 장이 인정하는 경우에는 수급자격이 있는 것으로 본다. 
② 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
③ 자영업자인 피보험자로서 폐업한 수급자격자에 대한 소정급여일수는 대기기간이 끝난 다음 날부터 계산하기 시작하여 피보험기간이 5년 이상 10년 미만이면 180일까지로 한다.
④ 자영업자인 피보험자의 피보험기간은 그 수급자격과 관련된 폐업 당시의 적용 사업에의 보험가입기간 중에서 실제로 납부한 고용보험료에 해당하는 기간으로 한다.
⑤ 자영업자인 피보험자로서 폐업한 수급자격자에 대한 구직급여일액은 그 수급자격자의 기초일액에 100분의 60을 곱한 금액으로 한다.</t>
  </si>
  <si>
    <t>87. 산업재해보상보험법상 심사 청구 및 재심사 청구에 관한 설명으로 옳지 않은 것은?
① 재심사위원회의 재결은 근로복지공단을 기속(羈束)한다.
② 재심사위원회 위원(당연직위원은 제외한다)의 임기는 3년으로 하되 연임할 수 있고, 위원장이나 위원의 임기가 끝난 경우 그 후임자가 임명될 때까지 그 직무를 수행한다.
③ 보험급여 결정등에 대하여는 「행정심판법」에 따른 행정심판을 제기할 수 없다.
④ 재심사위원회의 위원장 및 위원은 고용노동부장관이 임명한다.
⑤ 재심사 청구의 제기는 시효의 중단에 관하여 「민법」 제168조에 따른 재판상의 청구로 본다.</t>
  </si>
  <si>
    <t>81. 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
① ㄱ 
② ㄱ, ㄴ 
③ ㄱ, ㄷ 
④ ㄴ, ㄷ 
⑤ ㄱ, ㄴ, ㄷ</t>
  </si>
  <si>
    <t>83. 고용보험법령상 노무제공자인 피보험자에 해당하지 않는 것은?
① 한국표준직업분류표의 세세분류에 따른 대여 제품 방문점검원
② 가전제품의 판매를 위한 배송 업무를 주로 수행하고 가전제품의 설치, 시운전 등을 통해 작동상태를 확인하는 사람
③ 「초・중등교육법」에 따른 학교에서 운영하는 방과후 학교의 과정을 담당하는 강사
④ 「방문판매 등에 관한 법률」에 따른 후원방문판매원으로서 자가 소비를 위한 후원 방문판매원
⑤ 「우체국 예금・보험에 관한 법률」에 따른 우체국보험의 모집을 전업으로 하는 사람</t>
  </si>
  <si>
    <t>87. 산업재해보상보험법령상 산업재해보상보험법의 적용 제외 사업에 해당하지 않는 것은?
① 「군인 재해보상법」에 따라 재해보상이 되는 사업
② 「선원법」에 따라 재해보상이 되는 사업
③ 벌목업 중 법인이 아닌 자의 사업으로서 상시근로자 수가 5명 미만인 사업
④ 수렵업 중 법인이 아닌 자의 사업으로서 상시근로자 수가 5명 미만인 사업
⑤ 가구내 고용활동</t>
  </si>
  <si>
    <t>92. 국민연금법상 급여에 관한 설명으로 옳은 것은?
① 급여는 노령연금과 장애연금 두 종류로 나뉜다.
② 급여수급전용계좌에 입금된 급여와 이에 관한 채권은 압류할 수 있다.
③ 급여로 지급된 금액에 대하여는「조세특례제한법」이나 그 밖의 법률 또는 지방자치단체가 조례로 정하는 바에 따라 조세, 그 밖에 국가 또는 지방자치단체의 공과금을 감면할 수 없다.
④ 국민연금공단은 장애연금 수급권자의 장애 정도를 심사하여 장애등급에 해당되지 아니하면 장애연금액을 변경한다.
⑤ 자녀인 수급권자가 다른 사람에게 입양된 때에는 그에 해당하게 된 때부터 유족연금의 지급을 정지한다.</t>
  </si>
  <si>
    <t>95. 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
① ㄱ, ㄴ 
② ㄴ, ㄷ 
③ ㄱ, ㄴ, ㄹ
④ ㄱ, ㄷ, ㄹ 
⑤ ㄱ, ㄴ, ㄷ, ㄹ</t>
  </si>
  <si>
    <t>86. 산업재해보상보험법상 심사청구 및 재심사청구에 관한 설명으로 옳은 것은? 
① 재심사위원회의 재결은 근로복지공단을 기속하지 아니한다.
② 재심사위원회 위원(당연직위원은 제외)의 임기는 2년으로 하되 연임할 수 없다.
③ 보험급여에 관한 결정에 대해서는 「행정심판법」에 따른 행정심판을 제기할 수 있다.
④ 재심사위원회의 위원장 및 위원은 고용노동부장관이 임명한다.
⑤ 재심사 청구의 제기는 시효의 중단에 관하여 「민법」 제168조에 따른 재판상의 청구로 본다.</t>
  </si>
  <si>
    <t>87. 산업재해보상보험법상 진폐에 따른 보험급여의 특례에 관한 설명으로 옳지 않은 것은?
① 고용노동부에 진폐심사회의를 둔다.
② 진폐보상연금은 진폐장해등급별 진폐장해연금과 기초연금을 합산한 금액으로 한다.
③ 진폐유족연금은 사망 당시 진폐근로자에게 지급하고 있거나 지급하기로 결정된 진폐보상연금과 같은 금액으로 하되 유족보상연금을 초과할 수 없다.
④ 근로복지공단은 근로자가 진폐에 대한 요양급여를 청구하면 「진폐의 예방과 진폐근로자의 보호 등에 관한 법률」에 따른 건강진단기관에 진폐판정에 필요한 진단을 의뢰하여야 한다.
⑤ 장해보상연금을 받고 있는 사람에게는 진폐에 대한 진단을 받는 경우 진단수당을 지급하지 아니한다.</t>
  </si>
  <si>
    <t>97. 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
① ㄱ: 2, ㄴ: 20
② ㄱ: 2, ㄴ: 30
③ ㄱ: 3, ㄴ: 15
④ ㄱ: 3, ㄴ: 20
⑤ ㄱ: 3, ㄴ: 30</t>
  </si>
  <si>
    <t>전체</t>
    <phoneticPr fontId="1" type="noConversion"/>
  </si>
  <si>
    <t>점수</t>
    <phoneticPr fontId="1" type="noConversion"/>
  </si>
  <si>
    <t>오답(회차)</t>
    <phoneticPr fontId="1" type="noConversion"/>
  </si>
  <si>
    <t>48. 고용보험법령상 실업급여에 관한 설명으로 옳지 않은 것은?
① 실업급여수급계좌의 해당 금융기관은 「고용보험법」에 따른 실업급여만이 실업급여수급계좌에 입금되도록 관리하여야 한다.
② 직업안정기관의 장은 수급자격 인정신청을 한 사람에게 신청인이 원하는 경우에는 해당 실업급여를 실업급여수급계좌로 받을 수 있다는 사실을 안내하여야 한다.
③ 실업급여수급계좌에 입금된 실업급여 금액 전액 이하의 금액에 관한 채권은 압류할 수 없다.
④ 실업급여로서 지급된 금품에 대하여는 「국세기본법」제2조제8호의 공과금을 부과한다.
⑤ 직업안정기관의 장은 정보통신장애로 인하여 실업급여를 실업급여수급계좌로 이체할 수 없을 때에는 해당 실업급여 금액을 수급자격자에게 직접 현금으로 지급할 수 있다.</t>
    <phoneticPr fontId="1" type="noConversion"/>
  </si>
  <si>
    <t>66. 국민연금법령상 심사청구 및 재심사청구에 관한 내용으로 옳지 않은 것은?
① 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
② 국민연금심사위원회 위원의 임기는 2년으로 하며, 1차례만 연임할 수 있으며, 국민연금공단의 임직원인 위원의 임기는 그 직위의 재임기간으로 한다.
③ 청구인은 결정이 있기 전까지는 언제든지 심사청구를 문서로 취하할 수 있다.
④ 심사청구에 대한 결정에 불복하는 자는 그 결정통지를 받은 날부터 90일 이내에 국민연금재심사위원회에 재심사를 청구할 수 있다.
⑤ 국민연금재심사위원회의 재심사와 재결에 관한 절차에 관하여는 「행정심판법」을 준용한다.</t>
    <phoneticPr fontId="1" type="noConversion"/>
  </si>
  <si>
    <t>77. 고용보험 및 산업재해보상보험의 보험료징수 등에 관한 법률상 납부의무가 확정된 보험료가 600만원인 경우, 이를 납부기한 전이라도 징수할 수 있는 사유에 해당하지 않는 것은?
① 법인이 합병한 경우
② 공과금을 체납하여 체납처분을 받은 경우
③ 강제집행을 받은 경우
④ 법인이 해산한 경우
⑤ 「어음법」 및 「수표법」에 따른 어음교환소에서 거래정지처분을 받은 경우</t>
    <phoneticPr fontId="1" type="noConversion"/>
  </si>
  <si>
    <t>82. 고용보험법령상 고용보험위원회(이하 '위원회'라 한다)에 관한 설명으로 옳지 않은 것은?
① 위촉위원 중 정부를 대표하는 사람의 임기는 2년으로 한다.
② 위촉위원 중 보궐위원의 임기는 전임자 임기의 남은 기간으로 한다.
③ 위원회의 위원장이 부득이한 사유로 직무를 수행할 수 없을 때에는 위원장이 미리 지명하는 위원이 그 직무를 대행한다.
④ 위원회의 회의는 재적위원 과반수의 출석으로 개의(開議)하고 출석의원 과반수의 찬성으로 의결한다.
⑤ 위원회에 고용보험운영전문위원회와 고용보험평가전문위원회를 둔다.</t>
    <phoneticPr fontId="1" type="noConversion"/>
  </si>
  <si>
    <t>94. 국민건강보험법령상 피부양자에 해당하지 않는 자는? (단, 직장가입자에게 주로 생계를 의존하는 사람으로서 소득 및 재산이 보건복지부령으로 정하는 기준 이하에 해당하는 사람에 한정한다.)
① 직장가입자의 형제의 배우자
② 직장가입자의 직계비속
③ 직장가입자의 배우자의 직계비속
④ 직장가입자의 직계존속
⑤ 직장가입자의 형제・자매</t>
    <phoneticPr fontId="1" type="noConversion"/>
  </si>
  <si>
    <t>98. 고용보험 및 산업재해보상보험의 보험료 징수 등에 관한 법령상 고액・상습 체납자의 인적사항 공개에 관한 설명으로 옳지 않은 것은?
① 국민건강보험공단은 체납된 보험료, 이 법에 따른 그 밖의 징수금과 체납처분비와 관련하여 행정심판이 계류 중인 경우에는 공개하여서는 아니 된다.
② 체납자의 인적사항등에 대한 공개 여부를 심의하기 위하여 국민건강보험공단에 보험료정보공개심의위원회를 둔다.
③ 국민건강보험공단은 인정사항등의 공개가 결정된 자에 대하여 소명할 기회를 주어야 한다.
④ 체납자 인적사항등의 공개는 관보에 게재하거나, 고용・산재정보통신망 또는 국민건강보험공단 게시판에 게시하는 방법에 따른다.
⑤ 국민건강보험공단은 보험료정보공개심의위원회의 심의와 관련한 통지일부터 3개월이 지난 후 체납자 인적사항등의 공개 여부를 재심의하게 한 후 공개대상자를 선정한다.</t>
    <phoneticPr fontId="1" type="noConversion"/>
  </si>
  <si>
    <t>84. 고용보험법령상 고용보험기금에 관한 설명으로 옳지 않은 것은?
① 고용노동부장관은 한국은행에 고용보험기금계정을 설치하여야 한다.
② 고용보험기금의 결산상 손실금이 생기는 경우 이를 적립금으로 보전(補塡)할 수 없다.
③ 기금수입징수관은 기금징수액보고서를 매월 말일을 기준으로 작성하여 다음 달 20일까지 고용노동부장관에게 제출하여야 한다.
④ 고용보험기금을 지출할 때 자금 부족이 발생할 것으로 예상되는 경우에는 고용보험기금의 부담으로 금융기관・다른 기금과 그 밖의 재원 등으로부터 차입을 할 수 있다.
⑤ 고용노동부장관의 고용보험기금 관리・운용 방법에는 금융기관에 예탁하는 방법이 있다.</t>
    <phoneticPr fontId="1" type="noConversion"/>
  </si>
  <si>
    <t>오답</t>
    <phoneticPr fontId="1" type="noConversion"/>
  </si>
  <si>
    <t>2023.07.01. 산재법 제125조 삭제 → 의미없는 문제</t>
    <phoneticPr fontId="1" type="noConversion"/>
  </si>
  <si>
    <t>손자녀의 연령제한 25세로 변경(2023.08.08)
③번 지문 수정</t>
    <phoneticPr fontId="1" type="noConversion"/>
  </si>
  <si>
    <t>87. 산업재해보상보험법령상 보험급여에 관한 내용으로 옳지 않은 것은?
① 장해보상연금의 수급권자가 재요양을 받는 경우에도 그 연금의 지급을 정지하지 아니한다.
② 진폐유족연금의 지급은 그 지급사유가 발생한 달의 다음 달 첫날부터 시작된다.
③ 유족보상연금 수급자격자인 손자녀가 25세가 된 때에는 그 자격을 잃는다.
④ 요양급여를 받는 근로자가 요양을 시작한 지 1년이 지난 이후에 취업하지 못하면 휴업급여 대신 상병보상연금을 그 근로자에게 지급한다.
⑤ 장해보상연금은 그 지급을 정지할 사유가 발생한 때에는 그 사유가 발생한 달의 다음 달 첫날부터 그 사유가 소멸한 달의 말일까지 지급하지 아니한다.</t>
    <phoneticPr fontId="1" type="noConversion"/>
  </si>
  <si>
    <t>84. 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
① ㄱ
② ㄱ, ㄴ
③ ㄱ, ㄷ
④ ㄴ, ㄷ
⑤ ㄱ, ㄴ, ㄷ</t>
    <phoneticPr fontId="1" type="noConversion"/>
  </si>
  <si>
    <t>99. 고용보험 및 산업재해보상보험의 보험료징수 등에 관한 법률상 월별보험료 연체와 관련된 내용이다. ( )에 들어갈 내용으로 옳은 것은?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
① ㄱ: 1, ㄴ: 1천분의 1, ㄷ : 1천분의 30
② ㄱ: 1, ㄴ: 3천분의 1, ㄷ : 1천분의 90
③ ㄱ: 1, ㄴ: 1천분의 1, ㄷ : 1천분의 90
④ ㄱ: 7, ㄴ: 1천분의 1, ㄷ : 1천분의 30
⑤ ㄱ: 7, ㄴ: 3천분의 1, ㄷ : 1천분의 90</t>
    <phoneticPr fontId="1" type="noConversion"/>
  </si>
  <si>
    <t>예문 2024년 기준으로 수정</t>
    <phoneticPr fontId="1" type="noConversion"/>
  </si>
  <si>
    <t>④번 지문 수정(2023.07.01 시행)</t>
    <phoneticPr fontId="1" type="noConversion"/>
  </si>
  <si>
    <t>②, ③, ⑤번 예제 2024년 현재 기준 법령으로 수정</t>
    <phoneticPr fontId="1" type="noConversion"/>
  </si>
  <si>
    <t>97. 고용보험 및 산업재해보상보험의 보험료징수 등에 관한 법령상 보험료 등의 분할 납부에 관한 설명으로 옳은 것은?
① 사업주는 납부기한이 지난 고용보험료의 분할 납부의 승인을 근로복지공단에 신청할 수 있다.
② 건강보험공단은 분할 납부를 신청한 사업주에 대하여 납부능력을 확인하여 보험료와 이 법에 따른 그 밖의 징수금의 분할 납부를 승인할 수 있다.
③ 분할 납부의 승인과 취소에 관한 절차・방법, 분할 납부의 기간 및 납부능력 확인 등에 필요한 사항은 대통령령으로 정한다.
④ 근로복지공단은 분할 납부 승인을 받은 사업주가 분할 납부하여야 하는 보험료를 정당한 사유 없이 내지 아니한 경우에는 분할 납부의 승인을 취소할 수 있다.
⑤ 분할 납부의 총 기간은 분할 납부의 승인을 받은 날의 다음 날부터 1년 이내로 한다.</t>
    <phoneticPr fontId="1" type="noConversion"/>
  </si>
  <si>
    <t>2024년 현재 법령(고보법 시행령 제104조의2) 으로 계산하면 200 × (1 ÷ 4) = 50
따라서 정답은 4번(출제 당시 정답 2번에서 4번으로 변경)</t>
    <phoneticPr fontId="1" type="noConversion"/>
  </si>
  <si>
    <t>82. 고용보험법상 구직급여의 소정급여일수로 옳은 것은?
① 피보험기간 4년, 이직일 현재 25세인 비장애인: 90일
② 피보험기간 2년, 이직일 현재 35세인 장애인: 120일
③ 피보험기간 4년, 이직일 현재 40세인 비장애인: 120일
④ 피보험기간 6년, 이직일 현재 30세인 장애인: 180일
⑤ 피보험기간 10년, 이직일 현재 45세인 비장애인: 240일</t>
    <phoneticPr fontId="1" type="noConversion"/>
  </si>
  <si>
    <t>⑤예제 : 210일에서 240일로 수정</t>
    <phoneticPr fontId="1" type="noConversion"/>
  </si>
  <si>
    <t>⑤번 지문 용어 수정</t>
    <phoneticPr fontId="1" type="noConversion"/>
  </si>
  <si>
    <t>85. 산업재해보상보험법령상의 보험급여의 내용으로 옳지 않은 것은?
① 장해급여 청구사유 발생 당시 대한민국 국민이 아닌 자로서 외국에서 거주하고 있는 근로자에게는 장해보상일시금을 지급한다.
② 간병급여 수급권자가 재요양을 받는 경우 그 재요양 기간 중에는 간병급여를 지급하지 않는다.
③ 유족보상일시금은 근로자가 사망할 당시 유족보상연금을 받을 수 있는 자격이 있는 자가 없는 경우에 지급한다.
④ 유족급여는 근로자가 업무상의 사유로 사망한 경우에 유족에게 지급한다.
⑤ 장례비는 유족이 아닌 자가 장례를 지낸 경우에는 평균임금의 120일분을 그 장례를 지낸 자에게 지급한다.</t>
    <phoneticPr fontId="1" type="noConversion"/>
  </si>
  <si>
    <t>99. 고용보험 및 산업재해보상보험의 보험료 징수 등에 관한 법령의 내용으로 옳은 것은?
① 고용보험료를 징수하는 경우, 근로자가 휴직기간 중에 사업주 외의 자로부터 지급받는 금품 일체는 보수에서 제외된다.
② "하수급인"이란 원수급인으로부터 그 사업의 전부 또는 일부를 도급받아 하는 자를 말하고, 그 자로부터 그 사업의 전부 또는 일부를 도급받아 하는 자는 제외한다.
③ 보험에 가입한 사업주는 그 이름, 사업의 소재지 등 대통령령으로 정하는 사항이 변경된 경우에는 그 날부터 7일 이내에 그 변경사항을 근로복지공단에 신고하여야 한다.
④ 근로기준법에 따른 출산전후휴가의 기간이 월의 중간에 걸쳐있는 경우에는 그 근로자에 대한 그 월별보험료를 일할계산(日割計算)한다.
⑤ 보험사업에 드는 비용에 충당하기 위하여 보험가입자로부터 고용안정・직업능력개발사업 및 실업급여의 보험료, 육아휴직 급여 및 출산전후휴가 급여의 보험료, 산재보험의 보험료를 징수한다.</t>
    <phoneticPr fontId="1" type="noConversion"/>
  </si>
  <si>
    <t>④번 지문 2025현재 기준으로 수정</t>
    <phoneticPr fontId="1" type="noConversion"/>
  </si>
  <si>
    <t>99. 고용보험 및 산업재해보상보험의 보험료 징수 등에 관한 법령의 내용으로 옳은 것은?
① 고용보험료를 징수하는 경우, 근로자가 휴직기간 중에 사업주 외의 자로부터 지급받는 금품 일체는 보수에서 제외된다.
② "하수급인"이란 원수급인으로부터 그 사업의 전부 또는 일부를 도급받아 하는 자를 말하고, 그 자로부터 그 사업의 전부 또는 일부를 도급받아 하는 자는 제외한다.
③ 보험에 가입한 사업주는 그 이름, 사업의 소재지 등 대통령령으로 정하는 사항이 변경된 경우에는 그 날부터 7일 이내에 그 변경사항을 근로복지공단에 신고하여야 한다.
④ 근로기준법에 따른 출산전후휴가의 기간이 월의 중간에 종료된 경우에 그 근로자의 월별보험료는 해당 월의 다음 달부터 산정한다.
⑤ 보험사업에 드는 비용에 충당하기 위하여 보험가입자로부터 고용안정・직업능력개발사업 및 실업급여의 보험료, 육아휴직 급여 및 출산전후휴가 급여의 보험료, 산재보험의 보험료를 징수한다.</t>
    <phoneticPr fontId="1" type="noConversion"/>
  </si>
  <si>
    <t>84. 고용보험법상 피보험기간이 2년일 경우 이직일 현재 연령에 따른 구직급여의 소정급여일수가 옳은 것은?
① 25세 장애인 : 150일
② 28세 비장애인 : 120일
③ 35세 비장애인 : 150일
④ 40세 비장애인 : 150일
⑤ 55세 장애인 : 180일</t>
    <phoneticPr fontId="1" type="noConversion"/>
  </si>
  <si>
    <t>2024현재 기준으로 전체 지문 변경</t>
    <phoneticPr fontId="1" type="noConversion"/>
  </si>
  <si>
    <t>84. 고용보험법상 피보험기간이 2년일 경우 이직일 현재 연령에 따른 구직급여의 소정급여일수가 옳은 것은?
① 25세 장애인 : 180일
② 28세 비장애인 : 120일
③ 35세 비장애인 : 120일
④ 40세 비장애인 : 180일
⑤ 55세 장애인 : 210일</t>
    <phoneticPr fontId="1" type="noConversion"/>
  </si>
  <si>
    <t>87. 산업재해보상보험법령상 업무상 질병에 관한 설명으로 옳지 않은 것은?
① 신체부담업무의 수행 과정에서 발생한 일시적인 급격한 힘의 작용으로 근골격계 질병이 발병하면 업무상 질병으로 본다.
② 업무수행 과정에서 석면에 노출되어 발생한 석면폐증은 업무상 질병으로 본다.
③ 업무수행 과정에서 카드뮴 또는 그 화합물에 2년 이상 노출되어 발생한 후각신경마비는 업무상 질병으로 본다.
④ 업무수행 과정에서 고객의 폭언 등과 직접 관련된 스트레스로 생긴 우울병 에피소드는 업무상 질병으로 보지 않는다.
⑤ 업무와 관련하여 정신적 충격을 유발할 수 있는 사건에 의해 발생한 외상후스트레스장애는 업무상 질병으로 본다.</t>
    <phoneticPr fontId="1" type="noConversion"/>
  </si>
  <si>
    <t>문제의 장례비 관련 용어 수정</t>
    <phoneticPr fontId="1" type="noConversion"/>
  </si>
  <si>
    <t>88. 산업재해보상보험법상 근로자가 업무상의 사유로 사망한 경우 그 장례를 지낸 유족에게 장례비를 지급한다. 이 때 장례비는 평균임금의 며칠분에 상당하는 금액을 지급하는가?
① 60일
② 90일
③ 120일
④ 150일
⑤ 180일</t>
    <phoneticPr fontId="1" type="noConversion"/>
  </si>
  <si>
    <t>"ㄷ" 사유는 2017.10.24 삭제 됨 → 2024 기준으로 수정</t>
    <phoneticPr fontId="1" type="noConversion"/>
  </si>
  <si>
    <t>91. 국민연금법상 유족연금 수급권자의 유족연금 수급권이 소멸되는 사유를 모두 고른 것은?
ㄱ. 장애등급 2등급인 자녀가 19세가 된 때
ㄴ. 손자녀인 수급권자가 파양된 때
ㄷ. 배우자인 수급권자가 재혼한 때
① ㄱ
② ㄱ, ㄴ
③ ㄱ, ㄷ
④ ㄴ, ㄷ
⑤ ㄱ, ㄴ, ㄷ</t>
    <phoneticPr fontId="1" type="noConversion"/>
  </si>
  <si>
    <t>93. 국민건강보험법상 보험료 부담 및 납부의무에 관한 설명으로 옳지 않은 것은?
① 직장가입자의 보수월액보험료는 직장가입자가 보험료액의 100분의 50을 부담한다.
② 직장가입자의 소득월액보험료는 직장가입자가 부담한다.
③ 지역가입자의 보험료는 그 가입자가 속한 세대의 지역가입자 전원이 연대하여 부담한다.
④ 직장가입자의 보수월액보험료는 사용자가 납부한다.
⑤ 공무원인 직장가입자의 보수월액보험료는 그 공무원이 소속되어 있는 국가 또는 지방자치단체가 보험료액의 전액을 부담한다.</t>
    <phoneticPr fontId="1" type="noConversion"/>
  </si>
  <si>
    <t>② 번 지문 수정</t>
    <phoneticPr fontId="1" type="noConversion"/>
  </si>
  <si>
    <t>2024년 현재 법령 기준으로 문제 수정</t>
    <phoneticPr fontId="1" type="noConversion"/>
  </si>
  <si>
    <t>94. 국민건강보험법상 보험급여의 정지 사유에 해당하는 것은?
① 고의로 인한 범죄행위에 그 원인이 있는 경우
② 국외에 체류하는 경우
③ 고의로 국민건강보험공단의 지시를 따르지 않은 경우
④ 중대한 과실로 국민건강보험공단에서 요구하는 문서나 물건을 제출하지 않은 경우
⑤ 업무로 생긴 질병으로 인해 다른 법령에 따라 보상을 받게 된 경우</t>
    <phoneticPr fontId="1" type="noConversion"/>
  </si>
  <si>
    <t>95. 고용보험 및 산업재해보상보험의 보험료징수 등에 관한 법률상 보수총액 등의 신고에 관한 설명으로 옳은 것은?
① 사업주는 근로자를 새로 고용한 경우 그 근로자의 성명 등을 그 근로자를 고용한 날이 속하는 달의 말일까지 근로복지공단에 신고하여야 한다.
② 사업주는 사업의 폐지・종료 등으로 보험관계가 소멸한 때에는 그 보험관계가 소멸한 날이 속하는 달의 다음 달 15일까지 근로자에게 지급한 보수총액 등을 근로복지공단에 신고하여야 한다.
③ 사업주는 전년도에 근로자에게 지급한 보수총액 등을 매년 1월 말일까지 근로복지공단에 신고하여야 한다.
④ 사업주는 근로자가 휴직하는 경우에는 그 사유 발생일이 속하는 달의 다음 달 15일까지 그 사실을 근로복지공단에 신고하여야 한다.
⑤ 사업주는 근로자와 고용관계를 종료한 때에는 그 근로자에게 지급한 보수총액, 고용관계 종료일 등을 그 근로자의 고용관계가 종료한 날이 속하는 달의 다음 달 15일까지 근로복지공단에 신고하여야 한다.</t>
    <phoneticPr fontId="1" type="noConversion"/>
  </si>
  <si>
    <t>96. 고용보험 및 산업재해보상보험의 보험료징수 등에 관한 법령에 관한 설명으로 옳은 것은?
① 해외파견자에 대한 산재보험의 가입을 승인하려면 직업안정법에 따른 국외근로자 공급사업이 아니어야 한다.
② 해외파견자에 대한 산재보험 가입의 승인을 받은 경우 파견예정자의 보험관계 성립일은 출국한 날의 다음 날이다.
③ 자영업자에 대한 특례에 따라 고용보험에 가입한 자영업자가 50명 이상의 근로자를 사용하게 된 경우에는 본인은 피보험자격을 유지할 수 없다.
④ 자영업자에게 적용하는 고용보험료율은 보험수지의 동향과 경제상황 등을 고려하여 정하는 데, 현재 고용안정・직업능력개발사업의 보험료율은 1천분의 25이다.
⑤ 사업주는 특수형태근로종사자가 부담하는 산재보험료에 해당하는 금액을 그 특수형태근로종사자에게 지급할 금품에서 원천공제할 수 없다.</t>
    <phoneticPr fontId="1" type="noConversion"/>
  </si>
  <si>
    <t xml:space="preserve">징수법 제49조의3 삭제(2022.6.10) → ⑤번 지문 수정 </t>
    <phoneticPr fontId="1" type="noConversion"/>
  </si>
  <si>
    <t>96. 고용보험 및 산업재해보상보험의 보험료징수 등에 관한 법령에 관한 설명으로 옳은 것은?
① 해외파견자에 대한 산재보험의 가입을 승인하려면 직업안정법에 따른 국외근로자 공급사업이 아니어야 한다.
② 해외파견자에 대한 산재보험 가입의 승인을 받은 경우 파견예정자의 보험관계 성립일은 출국한 날의 다음 날이다.
③ 자영업자에 대한 특례에 따라 고용보험에 가입한 자영업자가 50명 이상의 근로자를 사용하게 된 경우에는 본인은 피보험자격을 유지할 수 없다.
④ 자영업자에게 적용하는 고용보험료율은 보험수지의 동향과 경제상황 등을 고려하여 정하는 데, 현재 고용안정・직업능력개발사업의 보험료율은 1천분의 25이다.
⑤ 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t>
    <phoneticPr fontId="1" type="noConversion"/>
  </si>
  <si>
    <t>97. 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
① ㄱ: 55, ㄴ: 18
② ㄱ: 60, ㄴ: 18
③ ㄱ: 60, ㄴ: 25
④ ㄱ: 65, ㄴ: 18
⑤ ㄱ: 65, ㄴ: 25</t>
    <phoneticPr fontId="1" type="noConversion"/>
  </si>
  <si>
    <t>97. 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
① ㄱ: 55, ㄴ: 13
② ㄱ: 60, ㄴ: 13
③ ㄱ: 60, ㄴ: 25
④ ㄱ: 65, ㄴ: 13
⑤ ㄱ: 65, ㄴ: 25</t>
    <phoneticPr fontId="1" type="noConversion"/>
  </si>
  <si>
    <t>①, ②, ④ 지문 변경</t>
    <phoneticPr fontId="1" type="noConversion"/>
  </si>
  <si>
    <t>2020.1.7. 개정 → 현재 기준 법령으로 지문 수정</t>
    <phoneticPr fontId="1" type="noConversion"/>
  </si>
  <si>
    <t>87. 산업재해보상보험법령상 재요양의 요건 및 절차에 해당하지 않는 것은?
① 치유된 업무상 부상 또는 질병과 재요양의 대상이 되는 부상 또는 질병 사이에 상당인과관계가 있을 것
② 재요양의 대상이 되는 부상 또는 질병의 상태가 치유 당시보다 악화된 경우로서 나이나 그 밖에 업무 외의 사유로 악화된 경우가 아닐 것
③ 재요양의 대상이 되는 부상 또는 질병의 상태가 재요양을 통해 호전되는 등 치료효과를 기대할 수 있을 것
④ 재요양을 받으려는 사람은 고용노동부령으로 정하는 바에 따라 공단에 재요양을 신청하여야 한다.
⑤ 업무상의 사유로 발생한 부상 또는 질병으로 인하여 요양 중으로서 그 부상 또는 질병의 상태가 치유 후에도 장해등급에 해당할 것이라는 내용의 의학적 소견이 있을 것</t>
    <phoneticPr fontId="1" type="noConversion"/>
  </si>
  <si>
    <t>89. 산업재해보상보험법상 내용으로 옳은 것은?
① 근로복지공단은 대통령령이 정하는 바에 따라 회계연도마다 사업 운영계획과 예산에 관하여 고용노동부장관의 승인을 받아야 한다.
② 특수형태근로종사자는 근로복지공단 이사장의 승인을 받아 산재보험에 가입할 수 있다.
③ 산업재해보상보험심사위원회는 근로복지공단의 결정에 대한 심사 청구를 심의하기 위하여 고용노동부에 두는 기구이다.
④ 산업재해보상보험및예방기금은 근로복지공단 기금운영위원회가 관리・운용한다.
⑤ 국가는 회계연도마다 예산범위 안에서 보험사업에 드는 비용을 지원하여야 한다.</t>
    <phoneticPr fontId="1" type="noConversion"/>
  </si>
  <si>
    <t>89. 산업재해보상보험법상 내용으로 옳은 것은?
① 근로복지공단은 대통령령이 정하는 바에 따라 회계연도마다 사업 운영계획과 예산에 관하여 고용노동부장관의 승인을 받아야 한다.
② 업무상 질병의 인정 여부를 심의하기 위하여 고용노동부에 업무상질병판정위원회를 둔다.
③ 산업재해보상보험심사위원회는 근로복지공단의 결정에 대한 심사 청구를 심의하기 위하여 고용노동부에 두는 기구이다.
④ 산업재해보상보험및예방기금은 근로복지공단 기금운영위원회가 관리・운용한다.
⑤ 국가는 회계연도마다 예산범위 안에서 보험사업에 드는 비용을 지원하여야 한다.</t>
    <phoneticPr fontId="1" type="noConversion"/>
  </si>
  <si>
    <t>제125조 삭제(2022.6.10.) → ②번 지문 수정</t>
    <phoneticPr fontId="1" type="noConversion"/>
  </si>
  <si>
    <t>④번 지문 수정</t>
    <phoneticPr fontId="1" type="noConversion"/>
  </si>
  <si>
    <t>1-2015-077</t>
    <phoneticPr fontId="1" type="noConversion"/>
  </si>
  <si>
    <t>1-2015-078</t>
    <phoneticPr fontId="1" type="noConversion"/>
  </si>
  <si>
    <t>1-2015-079</t>
    <phoneticPr fontId="1" type="noConversion"/>
  </si>
  <si>
    <t>1-2015-080</t>
    <phoneticPr fontId="1" type="noConversion"/>
  </si>
  <si>
    <t>1-2015-081</t>
    <phoneticPr fontId="1" type="noConversion"/>
  </si>
  <si>
    <t>1-2015-082</t>
    <phoneticPr fontId="1" type="noConversion"/>
  </si>
  <si>
    <t>1-2015-083</t>
    <phoneticPr fontId="1" type="noConversion"/>
  </si>
  <si>
    <t>1-2015-084</t>
    <phoneticPr fontId="1" type="noConversion"/>
  </si>
  <si>
    <t>1-2015-085</t>
    <phoneticPr fontId="1" type="noConversion"/>
  </si>
  <si>
    <t>1-2015-086</t>
    <phoneticPr fontId="1" type="noConversion"/>
  </si>
  <si>
    <t>1-2015-087</t>
    <phoneticPr fontId="1" type="noConversion"/>
  </si>
  <si>
    <t>1-2015-088</t>
    <phoneticPr fontId="1" type="noConversion"/>
  </si>
  <si>
    <t>1-2015-089</t>
    <phoneticPr fontId="1" type="noConversion"/>
  </si>
  <si>
    <t>1-2015-090</t>
    <phoneticPr fontId="1" type="noConversion"/>
  </si>
  <si>
    <t>1-2015-091</t>
    <phoneticPr fontId="1" type="noConversion"/>
  </si>
  <si>
    <t>1-2015-093</t>
    <phoneticPr fontId="1" type="noConversion"/>
  </si>
  <si>
    <t>1-2015-094</t>
    <phoneticPr fontId="1" type="noConversion"/>
  </si>
  <si>
    <t>1-2015-095</t>
    <phoneticPr fontId="1" type="noConversion"/>
  </si>
  <si>
    <t>1-2015-096</t>
    <phoneticPr fontId="1" type="noConversion"/>
  </si>
  <si>
    <t>1-2015-097</t>
    <phoneticPr fontId="1" type="noConversion"/>
  </si>
  <si>
    <t>1-2015-098</t>
    <phoneticPr fontId="1" type="noConversion"/>
  </si>
  <si>
    <t>1-2015-099</t>
    <phoneticPr fontId="1" type="noConversion"/>
  </si>
  <si>
    <t>1-2015-100</t>
    <phoneticPr fontId="1" type="noConversion"/>
  </si>
  <si>
    <t>94. 국민건강보험법령상 보험료에 관한 설명으로 옳지 않은 것은?
① 직장가입자의 보수월액보험료는 직장가입자가 납부한다.
② 보수가 지급되지 아니하는 사용자의 보수월액은 객관적인 자료를 통하여 확인된 금액으로 하고, 객관적인 자료가 없는 경우에는 사용자의 신고금액으로 한다.
③ 직장가입자의 소득월액보험료 및 지역가입자의 보험료는 분기별로 납부할 수 있다.
④ 직장가입자의 월별 보험료액은 보수월액에 보험료율을 곱하여 얻은 금액과 보수 외 소득월액에 보험료율을 곱하여 얻은 금액으로 한다.
⑤ 직장가입자의 소득월액보험료는 직장가입자가 전액 부담한다.</t>
    <phoneticPr fontId="1" type="noConversion"/>
  </si>
  <si>
    <t>②번 지문 수정</t>
    <phoneticPr fontId="1" type="noConversion"/>
  </si>
  <si>
    <t>100. 고용보험 및 산업재해보상보험의 보험료 징수 등에 관한 법률상 보험료에 관한 설명으로 옳은 것은?
① 고용보험료는 근로복지공단이 부과하고 이를 징수한다.
② 근로자가 월의 중간에 동일한 사업주의 하나의 사업장에서 다른 사업장으로 전근되는 경우 그 근로자에 대한 그 월별보험료는 해당 월의 다음 달부터 산정한다.
③ 사업주는 그 달의 월별보험료를 다음 달 15일까지 납부하여야 한다.
④ 근로복지공단은 사업주에게 문서로써 납부기한 10일 전까지 월별보험료의 납입을 고지하여야 한다.
⑤ 사업주는 전년도에 근로자에게 지급한 보수총액 등을 매년 1월 31일까지 근로복지공단에 신고하여야 한다.</t>
    <phoneticPr fontId="1" type="noConversion"/>
  </si>
  <si>
    <t>1-2016-077</t>
    <phoneticPr fontId="1" type="noConversion"/>
  </si>
  <si>
    <t>1-2016-078</t>
    <phoneticPr fontId="1" type="noConversion"/>
  </si>
  <si>
    <t>1-2016-079</t>
    <phoneticPr fontId="1" type="noConversion"/>
  </si>
  <si>
    <t>1-2016-080</t>
    <phoneticPr fontId="1" type="noConversion"/>
  </si>
  <si>
    <t>1-2016-081</t>
    <phoneticPr fontId="1" type="noConversion"/>
  </si>
  <si>
    <t>1-2016-082</t>
    <phoneticPr fontId="1" type="noConversion"/>
  </si>
  <si>
    <t>1-2016-083</t>
    <phoneticPr fontId="1" type="noConversion"/>
  </si>
  <si>
    <t>1-2016-084</t>
    <phoneticPr fontId="1" type="noConversion"/>
  </si>
  <si>
    <t>1-2016-085</t>
    <phoneticPr fontId="1" type="noConversion"/>
  </si>
  <si>
    <t>1-2016-086</t>
    <phoneticPr fontId="1" type="noConversion"/>
  </si>
  <si>
    <t>1-2016-087</t>
    <phoneticPr fontId="1" type="noConversion"/>
  </si>
  <si>
    <t>1-2016-088</t>
    <phoneticPr fontId="1" type="noConversion"/>
  </si>
  <si>
    <t>1-2016-089</t>
    <phoneticPr fontId="1" type="noConversion"/>
  </si>
  <si>
    <t>1-2016-090</t>
    <phoneticPr fontId="1" type="noConversion"/>
  </si>
  <si>
    <t>1-2016-091</t>
    <phoneticPr fontId="1" type="noConversion"/>
  </si>
  <si>
    <t>1-2016-092</t>
    <phoneticPr fontId="1" type="noConversion"/>
  </si>
  <si>
    <t>1-2016-093</t>
    <phoneticPr fontId="1" type="noConversion"/>
  </si>
  <si>
    <t>1-2016-094</t>
    <phoneticPr fontId="1" type="noConversion"/>
  </si>
  <si>
    <t>1-2016-095</t>
    <phoneticPr fontId="1" type="noConversion"/>
  </si>
  <si>
    <t>1-2016-096</t>
    <phoneticPr fontId="1" type="noConversion"/>
  </si>
  <si>
    <t>1-2016-097</t>
    <phoneticPr fontId="1" type="noConversion"/>
  </si>
  <si>
    <t>1-2016-098</t>
    <phoneticPr fontId="1" type="noConversion"/>
  </si>
  <si>
    <t>1-2016-099</t>
    <phoneticPr fontId="1" type="noConversion"/>
  </si>
  <si>
    <t>1-2016-100</t>
    <phoneticPr fontId="1" type="noConversion"/>
  </si>
  <si>
    <t>1-2024-042</t>
    <phoneticPr fontId="1" type="noConversion"/>
  </si>
  <si>
    <t>1-2024-043</t>
    <phoneticPr fontId="1" type="noConversion"/>
  </si>
  <si>
    <t>1-2024-044</t>
    <phoneticPr fontId="1" type="noConversion"/>
  </si>
  <si>
    <t>1-2024-045</t>
    <phoneticPr fontId="1" type="noConversion"/>
  </si>
  <si>
    <t>1-2024-046</t>
    <phoneticPr fontId="1" type="noConversion"/>
  </si>
  <si>
    <t>1-2024-047</t>
    <phoneticPr fontId="1" type="noConversion"/>
  </si>
  <si>
    <t>1-2024-048</t>
    <phoneticPr fontId="1" type="noConversion"/>
  </si>
  <si>
    <t>1-2024-049</t>
    <phoneticPr fontId="1" type="noConversion"/>
  </si>
  <si>
    <t>1-2024-050</t>
    <phoneticPr fontId="1" type="noConversion"/>
  </si>
  <si>
    <t>1-2024-051</t>
    <phoneticPr fontId="1" type="noConversion"/>
  </si>
  <si>
    <t>1-2024-052</t>
    <phoneticPr fontId="1" type="noConversion"/>
  </si>
  <si>
    <t>1-2024-053</t>
    <phoneticPr fontId="1" type="noConversion"/>
  </si>
  <si>
    <t>1-2024-054</t>
    <phoneticPr fontId="1" type="noConversion"/>
  </si>
  <si>
    <t>1-2024-055</t>
    <phoneticPr fontId="1" type="noConversion"/>
  </si>
  <si>
    <t>1-2024-056</t>
    <phoneticPr fontId="1" type="noConversion"/>
  </si>
  <si>
    <t>1-2024-057</t>
    <phoneticPr fontId="1" type="noConversion"/>
  </si>
  <si>
    <t>1-2024-058</t>
    <phoneticPr fontId="1" type="noConversion"/>
  </si>
  <si>
    <t>1-2024-059</t>
    <phoneticPr fontId="1" type="noConversion"/>
  </si>
  <si>
    <t>1-2024-060</t>
    <phoneticPr fontId="1" type="noConversion"/>
  </si>
  <si>
    <t>1-2024-061</t>
    <phoneticPr fontId="1" type="noConversion"/>
  </si>
  <si>
    <t>1-2024-062</t>
    <phoneticPr fontId="1" type="noConversion"/>
  </si>
  <si>
    <t>1-2024-063</t>
    <phoneticPr fontId="1" type="noConversion"/>
  </si>
  <si>
    <t>1-2024-064</t>
    <phoneticPr fontId="1" type="noConversion"/>
  </si>
  <si>
    <t>1-2024-065</t>
    <phoneticPr fontId="1" type="noConversion"/>
  </si>
  <si>
    <t>1-2024-066</t>
    <phoneticPr fontId="1" type="noConversion"/>
  </si>
  <si>
    <t>1-2024-067</t>
    <phoneticPr fontId="1" type="noConversion"/>
  </si>
  <si>
    <t>1-2024-068</t>
    <phoneticPr fontId="1" type="noConversion"/>
  </si>
  <si>
    <t>1-2024-069</t>
    <phoneticPr fontId="1" type="noConversion"/>
  </si>
  <si>
    <t>1-2024-070</t>
    <phoneticPr fontId="1" type="noConversion"/>
  </si>
  <si>
    <t>1-2024-071</t>
    <phoneticPr fontId="1" type="noConversion"/>
  </si>
  <si>
    <t>1-2024-072</t>
    <phoneticPr fontId="1" type="noConversion"/>
  </si>
  <si>
    <t>1-2024-073</t>
    <phoneticPr fontId="1" type="noConversion"/>
  </si>
  <si>
    <t>1-2024-074</t>
    <phoneticPr fontId="1" type="noConversion"/>
  </si>
  <si>
    <t>1-2024-075</t>
    <phoneticPr fontId="1" type="noConversion"/>
  </si>
  <si>
    <t>1-2024-076</t>
    <phoneticPr fontId="1" type="noConversion"/>
  </si>
  <si>
    <t>1-2024-077</t>
    <phoneticPr fontId="1" type="noConversion"/>
  </si>
  <si>
    <t>1-2024-078</t>
    <phoneticPr fontId="1" type="noConversion"/>
  </si>
  <si>
    <t>1-2024-079</t>
    <phoneticPr fontId="1" type="noConversion"/>
  </si>
  <si>
    <t>1-2024-080</t>
    <phoneticPr fontId="1" type="noConversion"/>
  </si>
  <si>
    <t>1-2023-077</t>
    <phoneticPr fontId="1" type="noConversion"/>
  </si>
  <si>
    <t>1-2023-078</t>
    <phoneticPr fontId="1" type="noConversion"/>
  </si>
  <si>
    <t>1-2023-079</t>
    <phoneticPr fontId="1" type="noConversion"/>
  </si>
  <si>
    <t>1-2023-080</t>
    <phoneticPr fontId="1" type="noConversion"/>
  </si>
  <si>
    <t>1-2023-081</t>
    <phoneticPr fontId="1" type="noConversion"/>
  </si>
  <si>
    <t>1-2023-082</t>
    <phoneticPr fontId="1" type="noConversion"/>
  </si>
  <si>
    <t>1-2023-083</t>
    <phoneticPr fontId="1" type="noConversion"/>
  </si>
  <si>
    <t>1-2023-084</t>
    <phoneticPr fontId="1" type="noConversion"/>
  </si>
  <si>
    <t>1-2023-085</t>
    <phoneticPr fontId="1" type="noConversion"/>
  </si>
  <si>
    <t>1-2023-086</t>
    <phoneticPr fontId="1" type="noConversion"/>
  </si>
  <si>
    <t>1-2023-087</t>
    <phoneticPr fontId="1" type="noConversion"/>
  </si>
  <si>
    <t>1-2023-088</t>
    <phoneticPr fontId="1" type="noConversion"/>
  </si>
  <si>
    <t>1-2023-089</t>
    <phoneticPr fontId="1" type="noConversion"/>
  </si>
  <si>
    <t>1-2023-090</t>
    <phoneticPr fontId="1" type="noConversion"/>
  </si>
  <si>
    <t>1-2023-091</t>
    <phoneticPr fontId="1" type="noConversion"/>
  </si>
  <si>
    <t>1-2023-092</t>
    <phoneticPr fontId="1" type="noConversion"/>
  </si>
  <si>
    <t>1-2023-093</t>
    <phoneticPr fontId="1" type="noConversion"/>
  </si>
  <si>
    <t>1-2023-094</t>
    <phoneticPr fontId="1" type="noConversion"/>
  </si>
  <si>
    <t>1-2023-095</t>
    <phoneticPr fontId="1" type="noConversion"/>
  </si>
  <si>
    <t>1-2023-096</t>
    <phoneticPr fontId="1" type="noConversion"/>
  </si>
  <si>
    <t>1-2023-097</t>
    <phoneticPr fontId="1" type="noConversion"/>
  </si>
  <si>
    <t>1-2023-099</t>
    <phoneticPr fontId="1" type="noConversion"/>
  </si>
  <si>
    <t>1-2023-100</t>
    <phoneticPr fontId="1" type="noConversion"/>
  </si>
  <si>
    <t>1-2022-077</t>
    <phoneticPr fontId="1" type="noConversion"/>
  </si>
  <si>
    <t>1-2022-078</t>
    <phoneticPr fontId="1" type="noConversion"/>
  </si>
  <si>
    <t>1-2022-079</t>
    <phoneticPr fontId="1" type="noConversion"/>
  </si>
  <si>
    <t>1-2022-080</t>
    <phoneticPr fontId="1" type="noConversion"/>
  </si>
  <si>
    <t>1-2022-081</t>
    <phoneticPr fontId="1" type="noConversion"/>
  </si>
  <si>
    <t>1-2022-082</t>
    <phoneticPr fontId="1" type="noConversion"/>
  </si>
  <si>
    <t>1-2022-083</t>
    <phoneticPr fontId="1" type="noConversion"/>
  </si>
  <si>
    <t>1-2022-084</t>
    <phoneticPr fontId="1" type="noConversion"/>
  </si>
  <si>
    <t>1-2022-085</t>
    <phoneticPr fontId="1" type="noConversion"/>
  </si>
  <si>
    <t>1-2022-086</t>
    <phoneticPr fontId="1" type="noConversion"/>
  </si>
  <si>
    <t>1-2022-087</t>
    <phoneticPr fontId="1" type="noConversion"/>
  </si>
  <si>
    <t>1-2022-088</t>
    <phoneticPr fontId="1" type="noConversion"/>
  </si>
  <si>
    <t>1-2022-089</t>
    <phoneticPr fontId="1" type="noConversion"/>
  </si>
  <si>
    <t>1-2022-090</t>
    <phoneticPr fontId="1" type="noConversion"/>
  </si>
  <si>
    <t>1-2022-091</t>
    <phoneticPr fontId="1" type="noConversion"/>
  </si>
  <si>
    <t>1-2022-092</t>
    <phoneticPr fontId="1" type="noConversion"/>
  </si>
  <si>
    <t>1-2022-093</t>
    <phoneticPr fontId="1" type="noConversion"/>
  </si>
  <si>
    <t>1-2022-094</t>
    <phoneticPr fontId="1" type="noConversion"/>
  </si>
  <si>
    <t>1-2022-095</t>
    <phoneticPr fontId="1" type="noConversion"/>
  </si>
  <si>
    <t>1-2022-096</t>
    <phoneticPr fontId="1" type="noConversion"/>
  </si>
  <si>
    <t>1-2022-097</t>
    <phoneticPr fontId="1" type="noConversion"/>
  </si>
  <si>
    <t>1-2022-098</t>
    <phoneticPr fontId="1" type="noConversion"/>
  </si>
  <si>
    <t>1-2022-099</t>
    <phoneticPr fontId="1" type="noConversion"/>
  </si>
  <si>
    <t>1-2022-100</t>
    <phoneticPr fontId="1" type="noConversion"/>
  </si>
  <si>
    <t>1-2021-077</t>
    <phoneticPr fontId="1" type="noConversion"/>
  </si>
  <si>
    <t>1-2021-078</t>
    <phoneticPr fontId="1" type="noConversion"/>
  </si>
  <si>
    <t>1-2021-079</t>
    <phoneticPr fontId="1" type="noConversion"/>
  </si>
  <si>
    <t>1-2021-080</t>
    <phoneticPr fontId="1" type="noConversion"/>
  </si>
  <si>
    <t>1-2021-081</t>
    <phoneticPr fontId="1" type="noConversion"/>
  </si>
  <si>
    <t>1-2021-082</t>
    <phoneticPr fontId="1" type="noConversion"/>
  </si>
  <si>
    <t>1-2021-083</t>
    <phoneticPr fontId="1" type="noConversion"/>
  </si>
  <si>
    <t>1-2021-084</t>
    <phoneticPr fontId="1" type="noConversion"/>
  </si>
  <si>
    <t>1-2021-085</t>
    <phoneticPr fontId="1" type="noConversion"/>
  </si>
  <si>
    <t>1-2021-086</t>
    <phoneticPr fontId="1" type="noConversion"/>
  </si>
  <si>
    <t>1-2021-087</t>
    <phoneticPr fontId="1" type="noConversion"/>
  </si>
  <si>
    <t>1-2021-088</t>
    <phoneticPr fontId="1" type="noConversion"/>
  </si>
  <si>
    <t>1-2021-089</t>
    <phoneticPr fontId="1" type="noConversion"/>
  </si>
  <si>
    <t>1-2021-090</t>
    <phoneticPr fontId="1" type="noConversion"/>
  </si>
  <si>
    <t>1-2021-091</t>
    <phoneticPr fontId="1" type="noConversion"/>
  </si>
  <si>
    <t>1-2021-092</t>
    <phoneticPr fontId="1" type="noConversion"/>
  </si>
  <si>
    <t>1-2021-093</t>
    <phoneticPr fontId="1" type="noConversion"/>
  </si>
  <si>
    <t>1-2021-094</t>
    <phoneticPr fontId="1" type="noConversion"/>
  </si>
  <si>
    <t>1-2021-095</t>
    <phoneticPr fontId="1" type="noConversion"/>
  </si>
  <si>
    <t>1-2021-096</t>
    <phoneticPr fontId="1" type="noConversion"/>
  </si>
  <si>
    <t>1-2021-097</t>
    <phoneticPr fontId="1" type="noConversion"/>
  </si>
  <si>
    <t>1-2021-098</t>
    <phoneticPr fontId="1" type="noConversion"/>
  </si>
  <si>
    <t>1-2021-099</t>
    <phoneticPr fontId="1" type="noConversion"/>
  </si>
  <si>
    <t>1-2021-100</t>
    <phoneticPr fontId="1" type="noConversion"/>
  </si>
  <si>
    <t>1-2020-077</t>
    <phoneticPr fontId="1" type="noConversion"/>
  </si>
  <si>
    <t>1-2020-078</t>
    <phoneticPr fontId="1" type="noConversion"/>
  </si>
  <si>
    <t>1-2020-079</t>
    <phoneticPr fontId="1" type="noConversion"/>
  </si>
  <si>
    <t>1-2020-080</t>
    <phoneticPr fontId="1" type="noConversion"/>
  </si>
  <si>
    <t>1-2020-081</t>
    <phoneticPr fontId="1" type="noConversion"/>
  </si>
  <si>
    <t>1-2020-082</t>
    <phoneticPr fontId="1" type="noConversion"/>
  </si>
  <si>
    <t>1-2020-083</t>
    <phoneticPr fontId="1" type="noConversion"/>
  </si>
  <si>
    <t>1-2020-084</t>
    <phoneticPr fontId="1" type="noConversion"/>
  </si>
  <si>
    <t>1-2020-085</t>
    <phoneticPr fontId="1" type="noConversion"/>
  </si>
  <si>
    <t>1-2020-086</t>
    <phoneticPr fontId="1" type="noConversion"/>
  </si>
  <si>
    <t>1-2020-087</t>
    <phoneticPr fontId="1" type="noConversion"/>
  </si>
  <si>
    <t>1-2020-088</t>
    <phoneticPr fontId="1" type="noConversion"/>
  </si>
  <si>
    <t>1-2020-089</t>
    <phoneticPr fontId="1" type="noConversion"/>
  </si>
  <si>
    <t>1-2020-091</t>
    <phoneticPr fontId="1" type="noConversion"/>
  </si>
  <si>
    <t>1-2020-092</t>
    <phoneticPr fontId="1" type="noConversion"/>
  </si>
  <si>
    <t>1-2020-093</t>
    <phoneticPr fontId="1" type="noConversion"/>
  </si>
  <si>
    <t>1-2020-094</t>
    <phoneticPr fontId="1" type="noConversion"/>
  </si>
  <si>
    <t>1-2020-095</t>
    <phoneticPr fontId="1" type="noConversion"/>
  </si>
  <si>
    <t>1-2020-096</t>
    <phoneticPr fontId="1" type="noConversion"/>
  </si>
  <si>
    <t>1-2020-097</t>
    <phoneticPr fontId="1" type="noConversion"/>
  </si>
  <si>
    <t>1-2020-098</t>
    <phoneticPr fontId="1" type="noConversion"/>
  </si>
  <si>
    <t>1-2020-099</t>
    <phoneticPr fontId="1" type="noConversion"/>
  </si>
  <si>
    <t>1-2020-100</t>
    <phoneticPr fontId="1" type="noConversion"/>
  </si>
  <si>
    <t>1-2019-077</t>
    <phoneticPr fontId="1" type="noConversion"/>
  </si>
  <si>
    <t>1-2019-078</t>
    <phoneticPr fontId="1" type="noConversion"/>
  </si>
  <si>
    <t>1-2019-079</t>
    <phoneticPr fontId="1" type="noConversion"/>
  </si>
  <si>
    <t>1-2019-080</t>
    <phoneticPr fontId="1" type="noConversion"/>
  </si>
  <si>
    <t>1-2019-081</t>
    <phoneticPr fontId="1" type="noConversion"/>
  </si>
  <si>
    <t>1-2019-082</t>
    <phoneticPr fontId="1" type="noConversion"/>
  </si>
  <si>
    <t>1-2019-083</t>
    <phoneticPr fontId="1" type="noConversion"/>
  </si>
  <si>
    <t>1-2019-084</t>
    <phoneticPr fontId="1" type="noConversion"/>
  </si>
  <si>
    <t>1-2019-085</t>
    <phoneticPr fontId="1" type="noConversion"/>
  </si>
  <si>
    <t>1-2019-086</t>
    <phoneticPr fontId="1" type="noConversion"/>
  </si>
  <si>
    <t>1-2019-087</t>
    <phoneticPr fontId="1" type="noConversion"/>
  </si>
  <si>
    <t>1-2019-088</t>
    <phoneticPr fontId="1" type="noConversion"/>
  </si>
  <si>
    <t>1-2019-089</t>
    <phoneticPr fontId="1" type="noConversion"/>
  </si>
  <si>
    <t>1-2019-090</t>
    <phoneticPr fontId="1" type="noConversion"/>
  </si>
  <si>
    <t>1-2019-091</t>
    <phoneticPr fontId="1" type="noConversion"/>
  </si>
  <si>
    <t>1-2019-092</t>
    <phoneticPr fontId="1" type="noConversion"/>
  </si>
  <si>
    <t>1-2019-093</t>
    <phoneticPr fontId="1" type="noConversion"/>
  </si>
  <si>
    <t>1-2019-094</t>
    <phoneticPr fontId="1" type="noConversion"/>
  </si>
  <si>
    <t>1-2019-095</t>
    <phoneticPr fontId="1" type="noConversion"/>
  </si>
  <si>
    <t>1-2019-096</t>
    <phoneticPr fontId="1" type="noConversion"/>
  </si>
  <si>
    <t>1-2019-097</t>
    <phoneticPr fontId="1" type="noConversion"/>
  </si>
  <si>
    <t>1-2019-098</t>
    <phoneticPr fontId="1" type="noConversion"/>
  </si>
  <si>
    <t>1-2019-099</t>
    <phoneticPr fontId="1" type="noConversion"/>
  </si>
  <si>
    <t>1-2019-100</t>
    <phoneticPr fontId="1" type="noConversion"/>
  </si>
  <si>
    <t>1-2018-077</t>
    <phoneticPr fontId="1" type="noConversion"/>
  </si>
  <si>
    <t>1-2018-078</t>
    <phoneticPr fontId="1" type="noConversion"/>
  </si>
  <si>
    <t>1-2018-079</t>
    <phoneticPr fontId="1" type="noConversion"/>
  </si>
  <si>
    <t>1-2018-080</t>
    <phoneticPr fontId="1" type="noConversion"/>
  </si>
  <si>
    <t>1-2018-081</t>
    <phoneticPr fontId="1" type="noConversion"/>
  </si>
  <si>
    <t>1-2018-082</t>
    <phoneticPr fontId="1" type="noConversion"/>
  </si>
  <si>
    <t>1-2018-083</t>
    <phoneticPr fontId="1" type="noConversion"/>
  </si>
  <si>
    <t>1-2018-084</t>
    <phoneticPr fontId="1" type="noConversion"/>
  </si>
  <si>
    <t>1-2018-085</t>
    <phoneticPr fontId="1" type="noConversion"/>
  </si>
  <si>
    <t>1-2018-086</t>
    <phoneticPr fontId="1" type="noConversion"/>
  </si>
  <si>
    <t>1-2018-087</t>
    <phoneticPr fontId="1" type="noConversion"/>
  </si>
  <si>
    <t>1-2018-088</t>
    <phoneticPr fontId="1" type="noConversion"/>
  </si>
  <si>
    <t>1-2018-089</t>
    <phoneticPr fontId="1" type="noConversion"/>
  </si>
  <si>
    <t>1-2018-090</t>
    <phoneticPr fontId="1" type="noConversion"/>
  </si>
  <si>
    <t>1-2018-091</t>
    <phoneticPr fontId="1" type="noConversion"/>
  </si>
  <si>
    <t>1-2018-092</t>
    <phoneticPr fontId="1" type="noConversion"/>
  </si>
  <si>
    <t>1-2018-093</t>
    <phoneticPr fontId="1" type="noConversion"/>
  </si>
  <si>
    <t>1-2018-094</t>
    <phoneticPr fontId="1" type="noConversion"/>
  </si>
  <si>
    <t>1-2018-095</t>
    <phoneticPr fontId="1" type="noConversion"/>
  </si>
  <si>
    <t>1-2018-096</t>
    <phoneticPr fontId="1" type="noConversion"/>
  </si>
  <si>
    <t>1-2018-097</t>
    <phoneticPr fontId="1" type="noConversion"/>
  </si>
  <si>
    <t>1-2018-098</t>
    <phoneticPr fontId="1" type="noConversion"/>
  </si>
  <si>
    <t>1-2018-099</t>
    <phoneticPr fontId="1" type="noConversion"/>
  </si>
  <si>
    <t>1-2018-100</t>
    <phoneticPr fontId="1" type="noConversion"/>
  </si>
  <si>
    <t>1-2017-077</t>
    <phoneticPr fontId="1" type="noConversion"/>
  </si>
  <si>
    <t>1-2017-078</t>
    <phoneticPr fontId="1" type="noConversion"/>
  </si>
  <si>
    <t>1-2017-079</t>
    <phoneticPr fontId="1" type="noConversion"/>
  </si>
  <si>
    <t>1-2017-080</t>
    <phoneticPr fontId="1" type="noConversion"/>
  </si>
  <si>
    <t>1-2017-081</t>
    <phoneticPr fontId="1" type="noConversion"/>
  </si>
  <si>
    <t>1-2017-082</t>
    <phoneticPr fontId="1" type="noConversion"/>
  </si>
  <si>
    <t>1-2017-083</t>
    <phoneticPr fontId="1" type="noConversion"/>
  </si>
  <si>
    <t>1-2017-084</t>
    <phoneticPr fontId="1" type="noConversion"/>
  </si>
  <si>
    <t>1-2017-085</t>
    <phoneticPr fontId="1" type="noConversion"/>
  </si>
  <si>
    <t>1-2017-086</t>
    <phoneticPr fontId="1" type="noConversion"/>
  </si>
  <si>
    <t>1-2017-087</t>
    <phoneticPr fontId="1" type="noConversion"/>
  </si>
  <si>
    <t>1-2017-088</t>
    <phoneticPr fontId="1" type="noConversion"/>
  </si>
  <si>
    <t>1-2017-089</t>
    <phoneticPr fontId="1" type="noConversion"/>
  </si>
  <si>
    <t>1-2017-090</t>
    <phoneticPr fontId="1" type="noConversion"/>
  </si>
  <si>
    <t>1-2017-091</t>
    <phoneticPr fontId="1" type="noConversion"/>
  </si>
  <si>
    <t>1-2017-092</t>
    <phoneticPr fontId="1" type="noConversion"/>
  </si>
  <si>
    <t>1-2017-093</t>
    <phoneticPr fontId="1" type="noConversion"/>
  </si>
  <si>
    <t>1-2017-094</t>
    <phoneticPr fontId="1" type="noConversion"/>
  </si>
  <si>
    <t>1-2017-095</t>
    <phoneticPr fontId="1" type="noConversion"/>
  </si>
  <si>
    <t>1-2017-096</t>
    <phoneticPr fontId="1" type="noConversion"/>
  </si>
  <si>
    <t>1-2017-097</t>
    <phoneticPr fontId="1" type="noConversion"/>
  </si>
  <si>
    <t>1-2017-098</t>
    <phoneticPr fontId="1" type="noConversion"/>
  </si>
  <si>
    <t>1-2017-099</t>
    <phoneticPr fontId="1" type="noConversion"/>
  </si>
  <si>
    <t>1-2017-100</t>
    <phoneticPr fontId="1" type="noConversion"/>
  </si>
  <si>
    <t>78. 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
① ㄱ: 1월 31일, ㄴ: 3월 31일 
② ㄱ: 1월 31일, ㄴ: 6월 30일
③ ㄱ: 3월 31일, ㄴ: 6월 30일 
④ ㄱ: 3월 31일, ㄴ: 9월 30일
⑤ ㄱ: 6월 30일, ㄴ: 9월 30일</t>
    <phoneticPr fontId="1" type="noConversion"/>
  </si>
  <si>
    <t>분류(법령기준)/키워드</t>
    <phoneticPr fontId="1" type="noConversion"/>
  </si>
  <si>
    <t>91. 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
① ㄱ: 70, ㄴ: 70 
② ㄱ: 70, ㄴ: 80 
③ ㄱ: 80, ㄴ: 80
④ ㄱ: 80, ㄴ: 90 
⑤ ㄱ: 90, ㄴ: 90</t>
    <phoneticPr fontId="1" type="noConversion"/>
  </si>
  <si>
    <t>96. 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
① ㄱ: 근로복지공단, ㄴ: 국민건강보험공단, ㄷ: 근로복지공단
② ㄱ: 근로복지공단, ㄴ: 근로복지공단, ㄷ: 국민건강보험공단
③ ㄱ: 근로복지공단, ㄴ: 근로복지공단, ㄷ: 근로복지공단
④ ㄱ: 국민건강보험공단, ㄴ: 근로복지공단, ㄷ: 국민건강보험공단
⑤ ㄱ: 국민건강보험공단, ㄴ: 국민건강보험공단, ㄷ: 근로복지공단</t>
    <phoneticPr fontId="1" type="noConversion"/>
  </si>
  <si>
    <t>100. 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
① 7 
② 14 
③ 15 
④ 20 
⑤ 30</t>
    <phoneticPr fontId="1" type="noConversion"/>
  </si>
  <si>
    <t>79. 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
① ㄱ: 30, ㄴ: 30, ㄷ: 30
② ㄱ: 30, ㄴ: 30, ㄷ: 60
③ ㄱ: 30, ㄴ: 60, ㄷ: 60
④ ㄱ: 60, ㄴ: 60, ㄷ: 30
⑤ ㄱ: 60, ㄴ: 60, ㄷ: 60</t>
    <phoneticPr fontId="1" type="noConversion"/>
  </si>
  <si>
    <t>82. 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
① ㄱ: 월 통상임금의 100분의 50에 해당하는 금액, ㄴ: 120만원
② ㄱ: 월 통상임금의 100분의 80에 해당하는 금액, ㄴ: 120만원
③ ㄱ: 월 통상임금의 100분의 80에 해당하는 금액, ㄴ: 150만원
④ ㄱ: 월 통상임금에 해당하는 금액, ㄴ: 150만원
⑤ ㄱ: 월 통상임금에 해당하는 금액, ㄴ: 250만원</t>
    <phoneticPr fontId="1" type="noConversion"/>
  </si>
  <si>
    <t>91. 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
① 55
② 60
③ 65
④ 70
⑤ 75</t>
    <phoneticPr fontId="1" type="noConversion"/>
  </si>
  <si>
    <t>80. 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
① 30
② 40
③ 50
④ 60
⑤ 70</t>
    <phoneticPr fontId="1" type="noConversion"/>
  </si>
  <si>
    <t>99. 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
① ㄱ: 1, ㄴ: 1천분의 1, ㄷ : 1천분의 30
② ㄱ: 1, ㄴ: 6천분의 1, ㄷ : 1천분의 50
③ ㄱ: 1, ㄴ: 1천분의 1, ㄷ : 1천분의 90
④ ㄱ: 7, ㄴ: 1천분의 1, ㄷ : 1천분의 30
⑤ ㄱ: 7, ㄴ: 6천분의 1, ㄷ : 1천분의 90</t>
    <phoneticPr fontId="1" type="noConversion"/>
  </si>
  <si>
    <t>84. 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
① 월보수총액
② 월보험료액
③ 3개월 평균임금
④ 월 최저임금액
⑤ 실업급여수급계좌에 입금된 금액 전액</t>
    <phoneticPr fontId="1" type="noConversion"/>
  </si>
  <si>
    <t>91. 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
① ㄱ: 50, ㄴ: 6, ㄷ: 12
② ㄱ: 50, ㄴ: 12, ㄷ: 18
③ ㄱ: 60, ㄴ: 6, ㄷ: 12
④ ㄱ: 60, ㄴ: 6, ㄷ: 18
⑤ ㄱ: 60, ㄴ: 12, ㄷ: 18</t>
    <phoneticPr fontId="1" type="noConversion"/>
  </si>
  <si>
    <t>81. 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
① 15, 1
② 15, 3
③ 60, 1
④ 60, 3
⑤ 90, 1</t>
    <phoneticPr fontId="1" type="noConversion"/>
  </si>
  <si>
    <t>93. 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
① 1, 55
② 3, 55
③ 3, 60
④ 5, 55
⑤ 5, 60</t>
    <phoneticPr fontId="1" type="noConversion"/>
  </si>
  <si>
    <t>78. 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
① 3년, 매년
② 3년, 격년
③ 5년, 매년
④ 5년, 격년
⑤ 10년, 격년</t>
    <phoneticPr fontId="1" type="noConversion"/>
  </si>
  <si>
    <t>87. 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
① 70, 80
② 80, 80
③ 80, 90
④ 85, 90
⑤ 90, 90</t>
    <phoneticPr fontId="1" type="noConversion"/>
  </si>
  <si>
    <t>92. 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
① 10, 60, 55
② 10, 60, 60
③ 10, 65, 60
④ 20, 60, 55
⑤ 20, 65, 60</t>
    <phoneticPr fontId="1" type="noConversion"/>
  </si>
  <si>
    <t>76. 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
① 사회보험, 공공부조, 사회안전망
② 공공부조, 사회서비스, 사회안전망
③ 사회보험, 공공부조, 사회서비스
④ 사회서비스, 사회안전망, 사회보험
⑤ 보편적 복지, 공공부조, 사회서비스</t>
    <phoneticPr fontId="1" type="noConversion"/>
  </si>
  <si>
    <t>79. 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
① 10일
② 15일
③ 30일
④ 2개월
⑤ 3개월</t>
    <phoneticPr fontId="1" type="noConversion"/>
  </si>
  <si>
    <t>81. 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
① 50만원
② 100만원
③ 실업급여수급계좌에 입금된 금액 전액
④ 실업급여수급계좌에 입금된 금액 반액
⑤ 실업급여수급계좌에 입금된 금액 일부</t>
    <phoneticPr fontId="1" type="noConversion"/>
  </si>
  <si>
    <t>100. 고용보험 및 산업재해보상보험의 보험료징수 등에 관한 법령상 산재보험료율의 구성은 다음과 같다. ( ) 안에 들어갈 내용으로 옳은 것은?
○ 산재보험료율(100%) = [산재보험급여지급률 + 추가지출률](ㄱ)% + 부가보험료율(ㄴ)%
① ㄱ: 70, ㄴ: 30
② ㄱ: 75, ㄴ: 25
③ ㄱ: 80, ㄴ: 20
④ ㄱ: 85, ㄴ: 15
⑤ ㄱ: 90, ㄴ: 10</t>
    <phoneticPr fontId="1" type="noConversion"/>
  </si>
  <si>
    <t>99. 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
① 10
② 20
③ 30
④ 40
⑤ 50</t>
    <phoneticPr fontId="1" type="noConversion"/>
  </si>
  <si>
    <t>46. 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
① ㄱ: 100분의 70, ㄴ: 150 
② ㄱ: 100분의 70, ㄴ: 200 
③ ㄱ: 100분의 80, ㄴ: 100
④ ㄱ: 100분의 80, ㄴ: 150 
⑤ ㄱ: 100분의 80, ㄴ: 200</t>
    <phoneticPr fontId="1" type="noConversion"/>
  </si>
  <si>
    <t>52. 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
① ㄱ: 1일, ㄴ: 60일 
② ㄱ: 1일, ㄴ: 90일 
③ ㄱ: 1일, ㄴ: 180일
④ ㄱ: 2일, ㄴ: 90일 
⑤ ㄱ: 2일, ㄴ: 180일</t>
    <phoneticPr fontId="1" type="noConversion"/>
  </si>
  <si>
    <t>61. 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
① 11 
② 12 
③ 13 
④ 15 
⑤ 18</t>
    <phoneticPr fontId="1" type="noConversion"/>
  </si>
  <si>
    <t>65. 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
① 4 
② 6 
③ 8 
④ 13 
⑤ 15</t>
    <phoneticPr fontId="1" type="noConversion"/>
  </si>
  <si>
    <t>80. 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
① ㄱ: 1, ㄴ: 3분의 2 이상 10분의 7 이하
② ㄱ: 1, ㄴ: 4분의 3 이상 10분의 9 이하
③ ㄱ: 2, ㄴ: 3분의 2 이상 10분의 7 이하
④ ㄱ: 2, ㄴ: 4분의 3 이상 10분의 9 이하
⑤ ㄱ: 3, ㄴ: 3분의 2 이상 10분의 9 이하</t>
    <phoneticPr fontId="1" type="noConversion"/>
  </si>
  <si>
    <t>92. 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① ㄱ: 10, ㄴ: 2
② ㄱ: 10, ㄴ: 3
③ ㄱ: 20, ㄴ: 2
④ ㄱ: 20, ㄴ: 3
⑤ ㄱ: 30, ㄴ: 2</t>
    <phoneticPr fontId="1" type="noConversion"/>
  </si>
  <si>
    <t>92. 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
① 20
② 21
③ 22
④ 23
⑤ 24</t>
    <phoneticPr fontId="1" type="noConversion"/>
  </si>
  <si>
    <t>87. ( )에 들어갈 내용을 순서대로 옳게 나열한 것은?
○ 산업재해보상보험법상 보험급여를 산정하는 경우 해당 근로자의 평균임금을 산정하여야 할 사유가 발생한 날부터 1년이 지난 이후에는 매년 ( )에 따라 평균임금을 증감하되, 그 근로자의 연령이 ( )에 도달한 이후에는 ( )에 따라 평균임금을 증감한다.
① 소비자물가변동률, 60세, 전체 근로자의 임금 평균액의 증감률
② 소비자물가변동률, 61세, 전체 근로자의 임금 평균액의 증감률
③ 전체 근로자의 임금 평균액의 증감률, 60세, 소비자물가변동률
④ 전체 근로자의 임금 평균액의 증감률, 61세, 소비자물가변동률
⑤ 전체 근로자의 임금 평균액의 증감률, 65세, 소비자물가변동률</t>
    <phoneticPr fontId="1" type="noConversion"/>
  </si>
  <si>
    <t>91. 산업재해보상보험법상 심사청구에 관한 설명이다. ( ) 안에 들어갈 내용으로 옳은 것은?
○ 보험급여에 관한 결정에 불복하는 자는 보험급여 결정이 있음을 안 날부터 (ㄱ) 이내에 근로복지공단에 심사청구를 하여야 하고, 심사청구서를 받은 근로복지공단의 소속기관은 (ㄴ) 이내에 의견서를 첨부하여 근로복지공단에 보내야 한다. 근로복지공단은 심사청구서를 받은 날부터 (ㄷ) 이내에 심사청구에 대한 결정을 하여야 한다.
① ㄱ: 60일, ㄴ: 5일, ㄷ: 60일
② ㄱ: 60일, ㄴ: 7일, ㄷ: 90일
③ ㄱ: 90일, ㄴ: 5일, ㄷ: 60일
④ ㄱ: 90일, ㄴ: 5일, ㄷ: 90일
⑤ ㄱ: 90일, ㄴ: 7일, ㄷ: 90일</t>
    <phoneticPr fontId="1" type="noConversion"/>
  </si>
  <si>
    <t>89. 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
① ㄱ: 1, ㄴ: 1
② ㄱ: 1, ㄴ: 2
③ ㄱ: 2, ㄴ: 1
④ ㄱ: 2, ㄴ: 2
⑤ ㄱ: 3, ㄴ: 2</t>
    <phoneticPr fontId="1" type="noConversion"/>
  </si>
  <si>
    <t>상한 160만원으로 법 개정(2025.1.1.)
①, ④번 지문 수정</t>
    <phoneticPr fontId="1" type="noConversion"/>
  </si>
  <si>
    <t>46. 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
① ㄱ: 100분의 70, ㄴ: 160 
② ㄱ: 100분의 70, ㄴ: 200 
③ ㄱ: 100분의 80, ㄴ: 100
④ ㄱ: 100분의 80, ㄴ: 160 
⑤ ㄱ: 100분의 80, ㄴ: 200</t>
    <phoneticPr fontId="1" type="noConversion"/>
  </si>
  <si>
    <t>2024현재 산재법 제125조 삭제로 "ㄷ" 지문 변경</t>
    <phoneticPr fontId="1" type="noConversion"/>
  </si>
  <si>
    <t>88. 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
① ㄱ
② ㄴ
③ ㄱ, ㄷ
④ ㄴ, ㄷ
⑤ ㄱ, ㄴ, ㄷ</t>
    <phoneticPr fontId="1" type="noConversion"/>
  </si>
  <si>
    <t>93. 국민연금법상 다음 ( )에 들어갈 숫자의 합은?
제64조(분할연금 수급권자 등)
① 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
① 6
② 8
③ 10
④ 13
⑤ 15</t>
    <phoneticPr fontId="1" type="noConversion"/>
  </si>
  <si>
    <t>92. 국민연금법령상 다음 A근로자의 경우 산입될 국민연금 가입기간은?
○ 사용자가 A근로자의 임금에서 7개월간 기여금을 공제하였음에도 연금보험료를 내지 않았다.
① 3개월
② 4개월
③ 5개월
④ 6개월
⑤ 7개월</t>
    <phoneticPr fontId="1" type="noConversion"/>
  </si>
  <si>
    <t>⑤번 지문 2024.5.7. 삭제(건보법 시행령 제42조의3제1항) → 지문 수정</t>
    <phoneticPr fontId="1" type="noConversion"/>
  </si>
  <si>
    <t>95. 국민건강보험법령에 관한 설명으로 옳은 것은?
① 요양급여비용 및 요양급여의 적정성 평가 등에 관한 건강보험심사평가원의 처분에 이의가 있는 국민건강보험공단, 요양기관 또는 그 밖의 자는 건강보험정책심의위원회에 이의신청을 할 수 있다.
② 직장가입자의 보수월액보험료 상한은 보험료가 부과되는 연도의 전전년도 직장가입자 평균 보수월액보험료의 20배에 해당하는 금액을 고려하여 보건복지부장관이 정하여 고시하는 금액으로 한다.
③ 국민건강보험공단은 보험급여를 받을 수 있는 사람이 고의 또는 중대한 과실로 국민건강보험공단이나 요양기관의 요양에 관한 지시에 따르지 아니한 경우 보험급여를 하지 아니한다.
④ 건강보험심사평가원은 요양급여에 대한 의료의 질을 향상시키기 위하여 요양급여의 적정성 평가를 격년으로 실시하여야 한다.
⑤ 보수의 일부가 현물로 지급되는 경우에는 그 지역의 시가를 기준으로 근로복지공단이 정하는 가액을 그에 해당하는 보수로 본다.</t>
    <phoneticPr fontId="1" type="noConversion"/>
  </si>
  <si>
    <t>2022년12월31일까지 적용하는 특례</t>
    <phoneticPr fontId="1" type="noConversion"/>
  </si>
  <si>
    <t>94. 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
① ㄴ
② ㄱ, ㄴ
③ ㄱ, ㄷ
④ ㄴ, ㄷ
⑤ ㄱ, ㄴ, ㄷ</t>
    <phoneticPr fontId="1" type="noConversion"/>
  </si>
  <si>
    <t>②번 지문 수정 : 2022.12.31 개정</t>
    <phoneticPr fontId="1" type="noConversion"/>
  </si>
  <si>
    <t>98. 고용보험 및 산업재해보상보험의 보험료징수 등에 관한 법령의 내용으로 옳지 않은 것은?
① 근로복지공단은 사업 실체가 없는 등의 사유로 계속하여 보험관계를 유지할 수 없다고 인정하는 경우에는 그 보험관계를 소멸시킬 수 있다.
② 근로자가 동일한 사업주의 하나의 사업장에서 다른 사업장으로 전근되는 경우에는 그 근로자에 대한 그 월별보험료는 해당 월의 다음 달 부터 산정한다.
③ 근로복지공단은 소멸시효가 완성된 경우에는 고용노동부장관의 승인을 받아 보험료와 이 법에 따른 그 밖의 징수금을 결손처분할 수 있다.
④ 사업종류의 변경으로 보험료 납부방법이 변경되는 경우에는 사업종류의 변경일 전일을 변경 전 사업 폐지일로, 사업종류의 변경일을 새로운 사업성립일로 본다.
⑤ 공동사업에 관계되는 보험료, 이 법에 따른 그 밖의 징수금과 체납처분비는 공동사업자가 연대하여 낼 의무를 진다.</t>
    <phoneticPr fontId="1" type="noConversion"/>
  </si>
  <si>
    <t>83. 고용보험법령상 구직급여에 관한 내용으로 옳지 않은 것은?
① 구직급여는 수급자격자가 실업한 상태에 있는 날 중에서 직업안정기관의 장으로부터 실업의 인정을 받은 날에 대하여 지급한다.
② 수급자격자가 인터넷 등을 이용하여 구인에 응모한 경우에는 적극적인 재취업 활동을 한 것으로 보지 아니한다.
③ 자영업자가 아닌 피보험자의 피보험 단위기간은 피보험기간 중 보수 지급의 기초가 된 날을 합하여 계산한다.
④ 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
⑤ 구직급여를 지급받으려는 자는 이직 후 지체없이 직업안정기관에 출석하여 실업을 신고해야 한다.</t>
    <phoneticPr fontId="1" type="noConversion"/>
  </si>
  <si>
    <t>88. 산업재해보상보험법령상 보험급여에 관한 설명으로 옳지 않은 것은?
① 장해급여 청구사유 발생 당시 대한민국 국민이 아닌 자로서 외국에서 거주하고 있는 근로자에게는 장해보상일시금을 지급한다.
② 2급 장해등급 근로자에게는 장해보상연금 또는 장해보상일시금을 근로자의 선택에 따라 지급한다.
③ 장례비는 장례를 지낼 유족이 없는 경우에는 평균임금의 120일분에 상당하는 금액의 범위에서 실제 드는 비용을 그 장례를 지낸 자에게 지급한다.
④ 상병보상연금을 산정할 때 평균임금이 최저임금액의 70분의 100보다 적을 때에는 최저임금액의 70분의 100에 해당하는 금액을 평균임금으로 본다.
⑤ 요양급여는 소정의 산재보험 의료기관에서 요양을 하게 하는 것이고 부득이한 경우에는 요양을 갈음하여 요양비를 지급할 수 있다.</t>
    <phoneticPr fontId="1" type="noConversion"/>
  </si>
  <si>
    <t>③번 지문의 용어 변경(장의비 → 장례비, 장제 → 장례)</t>
    <phoneticPr fontId="1" type="noConversion"/>
  </si>
  <si>
    <t>85. 산업재해보상보험법령상 특수형태근로종사자의 직종에 해당하지 않는 사람은?
① 한국표준직업분류표의 세분류에 따른 택배원인 사람으로서 소화물을 집화・수송 과정을 거쳐 배송하는 택배사업에서 집화 업무를 하는 사람
② 우체국 예금・보험에 관한 법률에 따른 우체국보험의 모집을 전업으로 하는 사람
③ 한국표준직업분류표의 세세분류에 따른 대여 제품 방문점검원
④ 한국표준직업분류표의 세분류에 다른 가전제품 설치 및 수리원으로서 가전제품을 배송, 설치 및 시운전하여 작동상태를 확인하는 사람
⑤ 신용정보의 이용 및 보호에 관한 법률에 따른 위임직채권추심인</t>
    <phoneticPr fontId="1" type="noConversion"/>
  </si>
  <si>
    <t>87. 산업재해보상보험법령상 특수형태근로종사자의 범위에 해당하지 않는 자는?
① 한국표준직업분류표의 세세분류에 따른 학습지 교사
② 택배업을 하는 사람으로서 둘 이상의 퀵서비스업자로부터 업무를 의뢰받아 직원을 채용하여 배송 업무를 하는 사람
③ 보험을 모집하는 보험업법에 따른 보험설계사
④ 체육시설의 설치・이용에 관한 법률에 따라 직장체육시설로 설치된 골프장에서 골프경기를 보조하는 골프장 캐디
⑤ 여신전문금융업법에 따른 신용카드회원 모집인</t>
    <phoneticPr fontId="1" type="noConversion"/>
  </si>
  <si>
    <t>①번 지문 : 장의비 → 장례비</t>
    <phoneticPr fontId="1" type="noConversion"/>
  </si>
  <si>
    <t>88. 산업재해보상보험법상 보험급여에 관한 설명으로 옳지 않은 것은?
① 진폐에 따른 보험급여의 종류는 요양급여, 간병급여, 장례비, 직업재활급여, 진폐보상연금 및 진폐유족연금으로 한다.
② 요양급여는 근로자가 업무상의 사유로 부상을 당하거나 질병에 걸린 경우에 그 보험가입자에게 지급한다.
③ 요양으로 취업하지 못한 기간이 3일 이내이면 휴업급여를 지급하지 아니한다.
④ 대한민국 국민이 아닌 장해보상연금의 수급권자가 외국에서 거주하기 위하여 출국하는 경우 그 수급권이 소멸한다.
⑤ 산업재해로 사망한 근로자의 배우자가 재혼한 때 유족보상연금 수급자격을 잃는다.</t>
    <phoneticPr fontId="1" type="noConversion"/>
  </si>
  <si>
    <t>85. 산업재해보상보험법령상 보험급여 중 시효의 완성 기간이 다른 것은?
① 요양급여를 받을 권리
② 간병급여를 받을 권리
③ 상병보상연금을 받을 권리
④ 장례비를 받을 권리
⑤ 직업재활급여를 받을 권리</t>
    <phoneticPr fontId="1" type="noConversion"/>
  </si>
  <si>
    <t>④번 지문 수정(장의비 → 장례비)</t>
    <phoneticPr fontId="1" type="noConversion"/>
  </si>
  <si>
    <t>79. 고용보험법령상 피보험기간이 4년인 자영업자인 경우 구직급여의 소정급여일수는?
① 90일
② 120일
③ 150일
④ 180일
⑤ 210일</t>
    <phoneticPr fontId="1" type="noConversion"/>
  </si>
  <si>
    <t>83. 고용보험법상 피보험자격의 취득일 및 상실일에 관한 설명으로 옳은 것은?
① 피보험자는 고용보험법이 적용되는 사업에 고용된 날의 다음 날에 피보험자격을 취득한다.
② 적용 제외 근로자였던 자가 고용보험법의 적용을 받게 된 경우에는 그 적용을 받게 된 날의 다음 날에 피보험자격을 취득한 것으로 본다.
③ 피보험자가 적용 제외 근로자에 해당하게 된 경우에는 그 적용 제외 대상자가 된 날의 다음 날에 피보험자격을 상실한다.
④ 보험관계가 소멸한 경우에는 그 보험관계가 소멸한 날의 다음 날에 피보험자격을 상실한다.
⑤ 피보험자가 이직한 경우에는 이직한 날의 다음 날에 피보험자격을 상실한다.</t>
    <phoneticPr fontId="1" type="noConversion"/>
  </si>
  <si>
    <t>75. 고용보험 및 산업재해보상보험의 보험료징수 등에 관한 법률 제49조의2(자영업자에 대한 특례)에 관한 설명으로 옳은 것은?
① 자영업자에 대한 고용보험료 산정의 기초가 되는 보수액은 자영업자의 소득, 보수수준 등을 고려하여 기획재정부장관이 정하여 고시한다.
② 고용보험에 가입한 자영업자는 매월 부과된 보험료를 다음 달 14일까지 납부하여야 한다.
③ 자영업자의 고용보험료는 근로복지공단이 매월 부과하고 징수한다.
④ 고용보험에 가입한 자영업자가 자신에게 부과된 월(月)의 고용보험료를 계속하여 3개월간 납부하지 아니한 경우에는 마지막으로 납부한 고용보험료에 해당되는 피보험기간의 다음 날에 보험관계가 소멸된다.
⑤ 근로복지공단의 승인을 통해 고용보험에 가입한 자영업자가 50명 이상의 근로자를 사용하게 된 경우에도 본인이 피보험자격을 유지하려는 경우에는 계속하여 보험에 가입된 것으로 본다.</t>
    <phoneticPr fontId="1" type="noConversion"/>
  </si>
  <si>
    <t>1-2019-076</t>
    <phoneticPr fontId="1" type="noConversion"/>
  </si>
  <si>
    <t>1-2019-077</t>
    <phoneticPr fontId="1" type="noConversion"/>
  </si>
  <si>
    <t>1-2019-078</t>
    <phoneticPr fontId="1" type="noConversion"/>
  </si>
  <si>
    <t>1-2019-079</t>
    <phoneticPr fontId="1" type="noConversion"/>
  </si>
  <si>
    <t>1-2019-080</t>
    <phoneticPr fontId="1" type="noConversion"/>
  </si>
  <si>
    <t>1-2019-081</t>
    <phoneticPr fontId="1" type="noConversion"/>
  </si>
  <si>
    <t>1-2019-082</t>
    <phoneticPr fontId="1" type="noConversion"/>
  </si>
  <si>
    <t>1-2019-083</t>
    <phoneticPr fontId="1" type="noConversion"/>
  </si>
  <si>
    <t>1-2019-084</t>
    <phoneticPr fontId="1" type="noConversion"/>
  </si>
  <si>
    <t>1-2019-085</t>
    <phoneticPr fontId="1" type="noConversion"/>
  </si>
  <si>
    <t>1-2019-086</t>
    <phoneticPr fontId="1" type="noConversion"/>
  </si>
  <si>
    <t>1-2019-087</t>
    <phoneticPr fontId="1" type="noConversion"/>
  </si>
  <si>
    <t>1-2019-088</t>
    <phoneticPr fontId="1" type="noConversion"/>
  </si>
  <si>
    <t>1-2019-089</t>
    <phoneticPr fontId="1" type="noConversion"/>
  </si>
  <si>
    <t>1-2019-090</t>
    <phoneticPr fontId="1" type="noConversion"/>
  </si>
  <si>
    <t>1-2019-091</t>
    <phoneticPr fontId="1" type="noConversion"/>
  </si>
  <si>
    <t>1-2019-092</t>
    <phoneticPr fontId="1" type="noConversion"/>
  </si>
  <si>
    <t>1-2019-093</t>
    <phoneticPr fontId="1" type="noConversion"/>
  </si>
  <si>
    <t>1-2019-094</t>
    <phoneticPr fontId="1" type="noConversion"/>
  </si>
  <si>
    <t>1-2019-095</t>
    <phoneticPr fontId="1" type="noConversion"/>
  </si>
  <si>
    <t>1-2019-096</t>
    <phoneticPr fontId="1" type="noConversion"/>
  </si>
  <si>
    <t>1-2019-097</t>
    <phoneticPr fontId="1" type="noConversion"/>
  </si>
  <si>
    <t>1-2019-098</t>
    <phoneticPr fontId="1" type="noConversion"/>
  </si>
  <si>
    <t>1-2019-099</t>
    <phoneticPr fontId="1" type="noConversion"/>
  </si>
  <si>
    <t>1-2019-100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</si>
</sst>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17" x14ac:knownFonts="1">
    <font>
      <sz val="11"/>
      <color theme="1"/>
      <name val="맑은 고딕"/>
      <family val="2"/>
      <scheme val="minor"/>
    </font>
    <font>
      <sz val="8"/>
      <name val="맑은 고딕"/>
      <family val="3"/>
      <charset val="129"/>
      <scheme val="minor"/>
    </font>
    <font>
      <sz val="10"/>
      <color theme="1"/>
      <name val="함초롬바탕"/>
      <family val="1"/>
      <charset val="129"/>
    </font>
    <font>
      <sz val="10"/>
      <color theme="1"/>
      <name val="함초롬돋움"/>
      <family val="3"/>
      <charset val="129"/>
    </font>
    <font>
      <b/>
      <sz val="10"/>
      <color theme="0"/>
      <name val="함초롬돋움"/>
      <family val="3"/>
      <charset val="129"/>
    </font>
    <font>
      <sz val="10"/>
      <color theme="1"/>
      <name val="맑은 고딕"/>
      <family val="2"/>
      <scheme val="minor"/>
    </font>
    <font>
      <sz val="11"/>
      <color theme="1"/>
      <name val="맑은 고딕"/>
      <family val="2"/>
      <scheme val="minor"/>
    </font>
    <font>
      <sz val="10"/>
      <name val="함초롬돋움"/>
      <family val="3"/>
      <charset val="129"/>
    </font>
    <font>
      <sz val="10"/>
      <color theme="0" tint="-4.9989318521683403E-2"/>
      <name val="함초롬돋움"/>
      <family val="3"/>
      <charset val="129"/>
    </font>
    <font>
      <sz val="10"/>
      <color theme="0" tint="-4.9989318521683403E-2"/>
      <name val="맑은 고딕"/>
      <family val="2"/>
      <scheme val="minor"/>
    </font>
    <font>
      <sz val="10"/>
      <name val="맑은 고딕"/>
      <family val="2"/>
      <scheme val="minor"/>
    </font>
    <font>
      <sz val="9"/>
      <color theme="1"/>
      <name val="맑은 고딕"/>
      <family val="2"/>
      <charset val="129"/>
      <scheme val="minor"/>
    </font>
    <font>
      <sz val="10"/>
      <color theme="0"/>
      <name val="맑은 고딕"/>
      <family val="2"/>
      <scheme val="minor"/>
    </font>
    <font>
      <sz val="10"/>
      <color theme="0"/>
      <name val="함초롬돋움"/>
      <family val="3"/>
      <charset val="129"/>
    </font>
    <font>
      <sz val="10"/>
      <name val="맑은 고딕"/>
      <family val="3"/>
      <charset val="129"/>
      <scheme val="minor"/>
    </font>
    <font>
      <strike/>
      <sz val="10"/>
      <color theme="1"/>
      <name val="함초롬바탕"/>
      <family val="1"/>
      <charset val="129"/>
    </font>
    <font>
      <sz val="9"/>
      <color rgb="FF000000"/>
      <name val="맑은 고딕"/>
      <family val="3"/>
      <charset val="129"/>
    </font>
  </fonts>
  <fills count="4">
    <fill>
      <patternFill patternType="none"/>
    </fill>
    <fill>
      <patternFill patternType="gray125"/>
    </fill>
    <fill>
      <patternFill patternType="solid">
        <fgColor rgb="FF0070C0"/>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1" fontId="6" fillId="0" borderId="0" applyFont="0" applyFill="0" applyBorder="0" applyAlignment="0" applyProtection="0">
      <alignment vertical="center"/>
    </xf>
    <xf numFmtId="0" fontId="11" fillId="0" borderId="0">
      <alignment vertical="center"/>
    </xf>
    <xf numFmtId="9" fontId="6" fillId="0" borderId="0" applyFont="0" applyFill="0" applyBorder="0" applyAlignment="0" applyProtection="0">
      <alignment vertical="center"/>
    </xf>
  </cellStyleXfs>
  <cellXfs count="39">
    <xf numFmtId="0" fontId="0" fillId="0" borderId="0" xfId="0"/>
    <xf numFmtId="0" fontId="2" fillId="0" borderId="0" xfId="0" applyFont="1" applyAlignment="1">
      <alignment horizontal="left" vertical="center"/>
    </xf>
    <xf numFmtId="0" fontId="3" fillId="0" borderId="0" xfId="0" applyFont="1" applyAlignment="1">
      <alignment horizontal="center" vertical="center"/>
    </xf>
    <xf numFmtId="49" fontId="3" fillId="0" borderId="0" xfId="0" applyNumberFormat="1" applyFont="1" applyAlignment="1">
      <alignment horizontal="center" vertical="center"/>
    </xf>
    <xf numFmtId="0" fontId="4" fillId="2" borderId="1" xfId="0" applyFont="1" applyFill="1" applyBorder="1" applyAlignment="1">
      <alignment horizontal="center" vertical="center"/>
    </xf>
    <xf numFmtId="49" fontId="3" fillId="0" borderId="0" xfId="0" applyNumberFormat="1" applyFont="1" applyAlignment="1">
      <alignment horizontal="center" vertical="center" wrapText="1"/>
    </xf>
    <xf numFmtId="0" fontId="7" fillId="0" borderId="0" xfId="0" applyFont="1" applyAlignment="1">
      <alignment horizontal="center" vertical="center"/>
    </xf>
    <xf numFmtId="0" fontId="8" fillId="0" borderId="0" xfId="0" applyFont="1" applyAlignment="1">
      <alignment horizontal="center" vertical="center"/>
    </xf>
    <xf numFmtId="9" fontId="7" fillId="0" borderId="0" xfId="0" applyNumberFormat="1" applyFont="1" applyAlignment="1">
      <alignment horizontal="center" vertical="center"/>
    </xf>
    <xf numFmtId="176" fontId="7" fillId="0" borderId="1" xfId="1" applyNumberFormat="1" applyFont="1" applyBorder="1" applyAlignment="1">
      <alignment horizontal="left" vertical="top"/>
    </xf>
    <xf numFmtId="176" fontId="7" fillId="0" borderId="1" xfId="1" applyNumberFormat="1" applyFont="1" applyBorder="1" applyAlignment="1">
      <alignment horizontal="left" vertical="top" wrapText="1"/>
    </xf>
    <xf numFmtId="0" fontId="3" fillId="0" borderId="0" xfId="0" applyFont="1" applyAlignment="1">
      <alignment horizontal="left" vertical="top"/>
    </xf>
    <xf numFmtId="0" fontId="3" fillId="0" borderId="0" xfId="0" applyFont="1" applyAlignment="1">
      <alignment horizontal="left" vertical="top" wrapText="1"/>
    </xf>
    <xf numFmtId="0" fontId="7" fillId="0" borderId="0" xfId="0" applyFont="1" applyAlignment="1">
      <alignment horizontal="left" vertical="top" wrapText="1"/>
    </xf>
    <xf numFmtId="0" fontId="4" fillId="2" borderId="1" xfId="0" applyFont="1" applyFill="1" applyBorder="1" applyAlignment="1">
      <alignment horizontal="center" vertical="center" wrapText="1"/>
    </xf>
    <xf numFmtId="0" fontId="3" fillId="0" borderId="0" xfId="0" applyFont="1" applyAlignment="1">
      <alignment horizontal="center" vertical="top"/>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2" fillId="0" borderId="0" xfId="0" applyFont="1" applyAlignment="1">
      <alignment horizontal="left" vertical="top" wrapText="1"/>
    </xf>
    <xf numFmtId="0" fontId="10" fillId="0" borderId="0" xfId="0" applyFont="1" applyAlignment="1">
      <alignment horizontal="center" vertical="top" wrapText="1"/>
    </xf>
    <xf numFmtId="49" fontId="10" fillId="0" borderId="0" xfId="0" applyNumberFormat="1" applyFont="1" applyAlignment="1">
      <alignment horizontal="center" vertical="top" wrapText="1"/>
    </xf>
    <xf numFmtId="0" fontId="5" fillId="0" borderId="0" xfId="0" applyFont="1" applyAlignment="1">
      <alignment horizontal="center" vertical="top"/>
    </xf>
    <xf numFmtId="10" fontId="5" fillId="0" borderId="0" xfId="3" applyNumberFormat="1" applyFont="1" applyAlignment="1">
      <alignment vertical="top"/>
    </xf>
    <xf numFmtId="0" fontId="5" fillId="0" borderId="0" xfId="0" applyFont="1" applyAlignment="1">
      <alignment vertical="top"/>
    </xf>
    <xf numFmtId="0" fontId="14" fillId="0" borderId="0" xfId="0" applyFont="1" applyAlignment="1">
      <alignment horizontal="center" vertical="top" wrapText="1"/>
    </xf>
    <xf numFmtId="0" fontId="14" fillId="0" borderId="0" xfId="0" quotePrefix="1" applyFont="1" applyAlignment="1">
      <alignment horizontal="center" vertical="top" wrapText="1"/>
    </xf>
    <xf numFmtId="0" fontId="9" fillId="0" borderId="0" xfId="0" applyFont="1" applyAlignment="1">
      <alignment horizontal="center" vertical="top" wrapText="1"/>
    </xf>
    <xf numFmtId="49" fontId="3" fillId="0" borderId="1" xfId="0" applyNumberFormat="1" applyFont="1" applyBorder="1" applyAlignment="1">
      <alignment horizontal="center" vertical="top"/>
    </xf>
    <xf numFmtId="0" fontId="3" fillId="0" borderId="1" xfId="0" applyFont="1" applyBorder="1" applyAlignment="1">
      <alignment horizontal="center" vertical="top" wrapText="1"/>
    </xf>
    <xf numFmtId="0" fontId="2" fillId="0" borderId="1" xfId="0" applyFont="1" applyBorder="1" applyAlignment="1">
      <alignment horizontal="left" vertical="top" wrapText="1"/>
    </xf>
    <xf numFmtId="0" fontId="12" fillId="0" borderId="1" xfId="0" applyFont="1" applyBorder="1" applyAlignment="1">
      <alignment horizontal="center" vertical="top" wrapText="1"/>
    </xf>
    <xf numFmtId="0" fontId="10" fillId="0" borderId="1" xfId="0" applyFont="1" applyBorder="1" applyAlignment="1">
      <alignment horizontal="center" vertical="top" wrapText="1"/>
    </xf>
    <xf numFmtId="0" fontId="15" fillId="0" borderId="1" xfId="0" applyFont="1" applyBorder="1" applyAlignment="1">
      <alignment horizontal="left" vertical="top" wrapText="1"/>
    </xf>
    <xf numFmtId="0" fontId="13" fillId="0" borderId="1" xfId="0" applyFont="1" applyBorder="1" applyAlignment="1">
      <alignment horizontal="center" vertical="top"/>
    </xf>
    <xf numFmtId="176" fontId="7" fillId="0" borderId="1" xfId="1" applyNumberFormat="1" applyFont="1" applyBorder="1" applyAlignment="1">
      <alignment horizontal="center" vertical="top"/>
    </xf>
    <xf numFmtId="0" fontId="4" fillId="2" borderId="1" xfId="0" applyFont="1" applyFill="1" applyBorder="1" applyAlignment="1">
      <alignment horizontal="center" vertical="center" wrapText="1"/>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49" fontId="4" fillId="2" borderId="1" xfId="0" applyNumberFormat="1" applyFont="1" applyFill="1" applyBorder="1" applyAlignment="1">
      <alignment horizontal="center" vertical="center" wrapText="1"/>
    </xf>
  </cellXfs>
  <cellStyles count="4">
    <cellStyle name="백분율" xfId="3" builtinId="5"/>
    <cellStyle name="쉼표 [0]" xfId="1" builtinId="6"/>
    <cellStyle name="표준" xfId="0" builtinId="0"/>
    <cellStyle name="표준 2" xfId="2" xr:uid="{9E108635-1E18-439D-B0A9-568789A9EE4D}"/>
  </cellStyles>
  <dxfs count="6">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5</xdr:row>
          <xdr:rowOff>28575</xdr:rowOff>
        </xdr:from>
        <xdr:to>
          <xdr:col>3</xdr:col>
          <xdr:colOff>0</xdr:colOff>
          <xdr:row>5</xdr:row>
          <xdr:rowOff>161925</xdr:rowOff>
        </xdr:to>
        <xdr:sp macro="" textlink="">
          <xdr:nvSpPr>
            <xdr:cNvPr id="46081" name="Button 1" descr="문제생성&#10;" hidden="1">
              <a:extLst>
                <a:ext uri="{63B3BB69-23CF-44E3-9099-C40C66FF867C}">
                  <a14:compatExt spid="_x0000_s46081"/>
                </a:ext>
                <a:ext uri="{FF2B5EF4-FFF2-40B4-BE49-F238E27FC236}">
                  <a16:creationId xmlns:a16="http://schemas.microsoft.com/office/drawing/2014/main" id="{00000000-0008-0000-0100-000001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문제 추출</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5</xdr:row>
          <xdr:rowOff>28575</xdr:rowOff>
        </xdr:from>
        <xdr:to>
          <xdr:col>3</xdr:col>
          <xdr:colOff>0</xdr:colOff>
          <xdr:row>5</xdr:row>
          <xdr:rowOff>161925</xdr:rowOff>
        </xdr:to>
        <xdr:sp macro="" textlink="">
          <xdr:nvSpPr>
            <xdr:cNvPr id="51201" name="Button 1" descr="문제생성&#10;" hidden="1">
              <a:extLst>
                <a:ext uri="{63B3BB69-23CF-44E3-9099-C40C66FF867C}">
                  <a14:compatExt spid="_x0000_s51201"/>
                </a:ext>
                <a:ext uri="{FF2B5EF4-FFF2-40B4-BE49-F238E27FC236}">
                  <a16:creationId xmlns:a16="http://schemas.microsoft.com/office/drawing/2014/main" id="{00000000-0008-0000-0200-000001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문제 추출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5</xdr:row>
          <xdr:rowOff>28575</xdr:rowOff>
        </xdr:from>
        <xdr:to>
          <xdr:col>3</xdr:col>
          <xdr:colOff>0</xdr:colOff>
          <xdr:row>5</xdr:row>
          <xdr:rowOff>161925</xdr:rowOff>
        </xdr:to>
        <xdr:sp macro="" textlink="">
          <xdr:nvSpPr>
            <xdr:cNvPr id="50177" name="Button 1" descr="문제생성&#10;" hidden="1">
              <a:extLst>
                <a:ext uri="{63B3BB69-23CF-44E3-9099-C40C66FF867C}">
                  <a14:compatExt spid="_x0000_s50177"/>
                </a:ext>
                <a:ext uri="{FF2B5EF4-FFF2-40B4-BE49-F238E27FC236}">
                  <a16:creationId xmlns:a16="http://schemas.microsoft.com/office/drawing/2014/main" id="{00000000-0008-0000-03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문제 추출</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5</xdr:row>
          <xdr:rowOff>28575</xdr:rowOff>
        </xdr:from>
        <xdr:to>
          <xdr:col>3</xdr:col>
          <xdr:colOff>0</xdr:colOff>
          <xdr:row>5</xdr:row>
          <xdr:rowOff>161925</xdr:rowOff>
        </xdr:to>
        <xdr:sp macro="" textlink="">
          <xdr:nvSpPr>
            <xdr:cNvPr id="49153" name="Button 1" descr="문제생성&#10;" hidden="1">
              <a:extLst>
                <a:ext uri="{63B3BB69-23CF-44E3-9099-C40C66FF867C}">
                  <a14:compatExt spid="_x0000_s49153"/>
                </a:ext>
                <a:ext uri="{FF2B5EF4-FFF2-40B4-BE49-F238E27FC236}">
                  <a16:creationId xmlns:a16="http://schemas.microsoft.com/office/drawing/2014/main" id="{00000000-0008-0000-04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문제 추출</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5</xdr:row>
          <xdr:rowOff>28575</xdr:rowOff>
        </xdr:from>
        <xdr:to>
          <xdr:col>3</xdr:col>
          <xdr:colOff>0</xdr:colOff>
          <xdr:row>5</xdr:row>
          <xdr:rowOff>161925</xdr:rowOff>
        </xdr:to>
        <xdr:sp macro="" textlink="">
          <xdr:nvSpPr>
            <xdr:cNvPr id="52225" name="Button 1" descr="문제생성&#10;" hidden="1">
              <a:extLst>
                <a:ext uri="{63B3BB69-23CF-44E3-9099-C40C66FF867C}">
                  <a14:compatExt spid="_x0000_s52225"/>
                </a:ext>
                <a:ext uri="{FF2B5EF4-FFF2-40B4-BE49-F238E27FC236}">
                  <a16:creationId xmlns:a16="http://schemas.microsoft.com/office/drawing/2014/main" id="{00000000-0008-0000-0500-000001C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문제 추출</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5</xdr:row>
          <xdr:rowOff>28575</xdr:rowOff>
        </xdr:from>
        <xdr:to>
          <xdr:col>3</xdr:col>
          <xdr:colOff>0</xdr:colOff>
          <xdr:row>5</xdr:row>
          <xdr:rowOff>161925</xdr:rowOff>
        </xdr:to>
        <xdr:sp macro="" textlink="">
          <xdr:nvSpPr>
            <xdr:cNvPr id="53249" name="Button 1" descr="문제생성&#10;" hidden="1">
              <a:extLst>
                <a:ext uri="{63B3BB69-23CF-44E3-9099-C40C66FF867C}">
                  <a14:compatExt spid="_x0000_s53249"/>
                </a:ext>
                <a:ext uri="{FF2B5EF4-FFF2-40B4-BE49-F238E27FC236}">
                  <a16:creationId xmlns:a16="http://schemas.microsoft.com/office/drawing/2014/main" id="{00000000-0008-0000-06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문제 추출</a:t>
              </a:r>
            </a:p>
          </xdr:txBody>
        </xdr:sp>
        <xdr:clientData fPrintsWithSheet="0"/>
      </xdr:twoCellAnchor>
    </mc:Choice>
    <mc:Fallback/>
  </mc:AlternateContent>
</xdr:wsDr>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972E4-2F63-4CE0-B34C-22B98864FA9A}">
  <sheetPr codeName="Sheet5">
    <pageSetUpPr autoPageBreaks="0"/>
  </sheetPr>
  <dimension ref="B1:P393"/>
  <sheetViews>
    <sheetView showGridLines="0" showZeros="0" workbookViewId="0">
      <pane xSplit="1" ySplit="3" topLeftCell="B6" activePane="bottomRight" state="frozen"/>
      <selection activeCell="N35" sqref="N35"/>
      <selection pane="topRight" activeCell="N35" sqref="N35"/>
      <selection pane="bottomLeft" activeCell="N35" sqref="N35"/>
      <selection pane="bottomRight" activeCell="F7" sqref="F7"/>
    </sheetView>
  </sheetViews>
  <sheetFormatPr defaultColWidth="8.625" defaultRowHeight="15" customHeight="1" x14ac:dyDescent="0.3"/>
  <cols>
    <col min="1" max="1" width="1.625" style="2" customWidth="1"/>
    <col min="2" max="2" width="3.625" style="2" customWidth="1"/>
    <col min="3" max="3" width="4.625" style="6" customWidth="1"/>
    <col min="4" max="4" width="9.625" style="3" customWidth="1"/>
    <col min="5" max="5" width="4.625" style="3" customWidth="1"/>
    <col min="6" max="6" width="95.625" style="1" customWidth="1"/>
    <col min="7" max="7" width="4.625" style="7" customWidth="1"/>
    <col min="8" max="8" width="4.625" style="6" customWidth="1"/>
    <col min="9" max="9" width="45.625" style="6" customWidth="1"/>
    <col min="10" max="14" width="2.625" style="6" customWidth="1"/>
    <col min="15" max="15" width="40.625" style="13" customWidth="1"/>
    <col min="16" max="16" width="95.625" style="11" customWidth="1"/>
    <col min="17" max="16384" width="8.625" style="2"/>
  </cols>
  <sheetData>
    <row r="1" spans="2:16" ht="15" customHeight="1" x14ac:dyDescent="0.3">
      <c r="E1" s="5"/>
      <c r="J1" s="8"/>
      <c r="K1" s="8"/>
      <c r="L1" s="8"/>
      <c r="M1" s="8"/>
      <c r="N1" s="8"/>
    </row>
    <row r="2" spans="2:16" ht="15" customHeight="1" x14ac:dyDescent="0.3">
      <c r="B2" s="36" t="s">
        <v>0</v>
      </c>
      <c r="C2" s="35" t="s">
        <v>745</v>
      </c>
      <c r="D2" s="37" t="s">
        <v>1</v>
      </c>
      <c r="E2" s="38" t="s">
        <v>630</v>
      </c>
      <c r="F2" s="36" t="s">
        <v>2</v>
      </c>
      <c r="G2" s="36" t="s">
        <v>3</v>
      </c>
      <c r="H2" s="35" t="s">
        <v>4</v>
      </c>
      <c r="I2" s="35" t="s">
        <v>1072</v>
      </c>
      <c r="J2" s="36" t="s">
        <v>765</v>
      </c>
      <c r="K2" s="36"/>
      <c r="L2" s="36"/>
      <c r="M2" s="36"/>
      <c r="N2" s="36"/>
      <c r="O2" s="35" t="s">
        <v>628</v>
      </c>
    </row>
    <row r="3" spans="2:16" ht="15" customHeight="1" x14ac:dyDescent="0.3">
      <c r="B3" s="36"/>
      <c r="C3" s="35"/>
      <c r="D3" s="37"/>
      <c r="E3" s="37"/>
      <c r="F3" s="36"/>
      <c r="G3" s="36"/>
      <c r="H3" s="35"/>
      <c r="I3" s="35"/>
      <c r="J3" s="4">
        <v>1</v>
      </c>
      <c r="K3" s="4">
        <v>2</v>
      </c>
      <c r="L3" s="4">
        <v>3</v>
      </c>
      <c r="M3" s="4">
        <v>4</v>
      </c>
      <c r="N3" s="4">
        <v>5</v>
      </c>
      <c r="O3" s="35"/>
    </row>
    <row r="4" spans="2:16" ht="156.75" x14ac:dyDescent="0.3">
      <c r="B4" s="17">
        <v>1</v>
      </c>
      <c r="C4" s="34" t="s">
        <v>728</v>
      </c>
      <c r="D4" s="27" t="s">
        <v>631</v>
      </c>
      <c r="E4" s="27" t="s">
        <v>608</v>
      </c>
      <c r="F4" s="29" t="s">
        <v>746</v>
      </c>
      <c r="G4" s="33">
        <v>5</v>
      </c>
      <c r="H4" s="34">
        <f t="shared" ref="H4:H67" si="0">SUM(J4:N4)</f>
        <v>0</v>
      </c>
      <c r="I4" s="9"/>
      <c r="J4" s="34">
        <f>IFERROR(IF(VLOOKUP(D:D,'테스트(1회)'!C:G,5, 0)="X",1,0),0)</f>
        <v>0</v>
      </c>
      <c r="K4" s="34">
        <f>IFERROR(IF(VLOOKUP(D:D,'테스트(2회)'!C:G,5, 0)="X",1,0),0)</f>
        <v>0</v>
      </c>
      <c r="L4" s="34">
        <f>IFERROR(IF(VLOOKUP(D:D,'테스트(3회)'!C:G,5, 0)="X",1,0),0)</f>
        <v>0</v>
      </c>
      <c r="M4" s="34">
        <f>IFERROR(IF(VLOOKUP(D:D,'테스트(4회)'!C:G,5, 0)="X",1,0),0)</f>
        <v>0</v>
      </c>
      <c r="N4" s="34">
        <f>IFERROR(IF(VLOOKUP(D:D,'테스트(5회)'!C:G,5, 0)="X",1,0),0)</f>
        <v>0</v>
      </c>
      <c r="O4" s="10"/>
    </row>
    <row r="5" spans="2:16" ht="156.75" x14ac:dyDescent="0.3">
      <c r="B5" s="17">
        <v>2</v>
      </c>
      <c r="C5" s="34" t="s">
        <v>728</v>
      </c>
      <c r="D5" s="27" t="s">
        <v>632</v>
      </c>
      <c r="E5" s="27" t="s">
        <v>608</v>
      </c>
      <c r="F5" s="29" t="s">
        <v>747</v>
      </c>
      <c r="G5" s="33">
        <v>1</v>
      </c>
      <c r="H5" s="34">
        <f t="shared" si="0"/>
        <v>1</v>
      </c>
      <c r="I5" s="9"/>
      <c r="J5" s="34">
        <f>IFERROR(IF(VLOOKUP(D:D,'테스트(1회)'!C:G,5, 0)="X",1,0),0)</f>
        <v>1</v>
      </c>
      <c r="K5" s="34">
        <f>IFERROR(IF(VLOOKUP(D:D,'테스트(2회)'!C:G,5, 0)="X",1,0),0)</f>
        <v>0</v>
      </c>
      <c r="L5" s="34">
        <f>IFERROR(IF(VLOOKUP(D:D,'테스트(3회)'!C:G,5, 0)="X",1,0),0)</f>
        <v>0</v>
      </c>
      <c r="M5" s="34">
        <f>IFERROR(IF(VLOOKUP(D:D,'테스트(4회)'!C:G,5, 0)="X",1,0),0)</f>
        <v>0</v>
      </c>
      <c r="N5" s="34">
        <f>IFERROR(IF(VLOOKUP(D:D,'테스트(5회)'!C:G,5, 0)="X",1,0),0)</f>
        <v>0</v>
      </c>
      <c r="O5" s="10"/>
    </row>
    <row r="6" spans="2:16" ht="114" x14ac:dyDescent="0.3">
      <c r="B6" s="17">
        <v>3</v>
      </c>
      <c r="C6" s="34" t="s">
        <v>728</v>
      </c>
      <c r="D6" s="27" t="s">
        <v>633</v>
      </c>
      <c r="E6" s="27" t="s">
        <v>608</v>
      </c>
      <c r="F6" s="29" t="s">
        <v>672</v>
      </c>
      <c r="G6" s="33">
        <v>2</v>
      </c>
      <c r="H6" s="34">
        <f t="shared" si="0"/>
        <v>0</v>
      </c>
      <c r="I6" s="9"/>
      <c r="J6" s="34">
        <f>IFERROR(IF(VLOOKUP(D:D,'테스트(1회)'!C:G,5, 0)="X",1,0),0)</f>
        <v>0</v>
      </c>
      <c r="K6" s="34">
        <f>IFERROR(IF(VLOOKUP(D:D,'테스트(2회)'!C:G,5, 0)="X",1,0),0)</f>
        <v>0</v>
      </c>
      <c r="L6" s="34">
        <f>IFERROR(IF(VLOOKUP(D:D,'테스트(3회)'!C:G,5, 0)="X",1,0),0)</f>
        <v>0</v>
      </c>
      <c r="M6" s="34">
        <f>IFERROR(IF(VLOOKUP(D:D,'테스트(4회)'!C:G,5, 0)="X",1,0),0)</f>
        <v>0</v>
      </c>
      <c r="N6" s="34">
        <f>IFERROR(IF(VLOOKUP(D:D,'테스트(5회)'!C:G,5, 0)="X",1,0),0)</f>
        <v>0</v>
      </c>
      <c r="O6" s="10"/>
    </row>
    <row r="7" spans="2:16" ht="85.5" x14ac:dyDescent="0.3">
      <c r="B7" s="17">
        <v>4</v>
      </c>
      <c r="C7" s="34" t="s">
        <v>728</v>
      </c>
      <c r="D7" s="27" t="s">
        <v>634</v>
      </c>
      <c r="E7" s="27" t="s">
        <v>608</v>
      </c>
      <c r="F7" s="29" t="s">
        <v>748</v>
      </c>
      <c r="G7" s="33">
        <v>2</v>
      </c>
      <c r="H7" s="34">
        <f t="shared" si="0"/>
        <v>0</v>
      </c>
      <c r="I7" s="9"/>
      <c r="J7" s="34">
        <f>IFERROR(IF(VLOOKUP(D:D,'테스트(1회)'!C:G,5, 0)="X",1,0),0)</f>
        <v>0</v>
      </c>
      <c r="K7" s="34">
        <f>IFERROR(IF(VLOOKUP(D:D,'테스트(2회)'!C:G,5, 0)="X",1,0),0)</f>
        <v>0</v>
      </c>
      <c r="L7" s="34">
        <f>IFERROR(IF(VLOOKUP(D:D,'테스트(3회)'!C:G,5, 0)="X",1,0),0)</f>
        <v>0</v>
      </c>
      <c r="M7" s="34">
        <f>IFERROR(IF(VLOOKUP(D:D,'테스트(4회)'!C:G,5, 0)="X",1,0),0)</f>
        <v>0</v>
      </c>
      <c r="N7" s="34">
        <f>IFERROR(IF(VLOOKUP(D:D,'테스트(5회)'!C:G,5, 0)="X",1,0),0)</f>
        <v>0</v>
      </c>
      <c r="O7" s="10"/>
    </row>
    <row r="8" spans="2:16" ht="156.75" x14ac:dyDescent="0.3">
      <c r="B8" s="17">
        <v>5</v>
      </c>
      <c r="C8" s="34" t="s">
        <v>728</v>
      </c>
      <c r="D8" s="27" t="s">
        <v>635</v>
      </c>
      <c r="E8" s="27" t="s">
        <v>608</v>
      </c>
      <c r="F8" s="29" t="s">
        <v>673</v>
      </c>
      <c r="G8" s="33">
        <v>4</v>
      </c>
      <c r="H8" s="34">
        <f t="shared" si="0"/>
        <v>0</v>
      </c>
      <c r="I8" s="9"/>
      <c r="J8" s="34">
        <f>IFERROR(IF(VLOOKUP(D:D,'테스트(1회)'!C:G,5, 0)="X",1,0),0)</f>
        <v>0</v>
      </c>
      <c r="K8" s="34">
        <f>IFERROR(IF(VLOOKUP(D:D,'테스트(2회)'!C:G,5, 0)="X",1,0),0)</f>
        <v>0</v>
      </c>
      <c r="L8" s="34">
        <f>IFERROR(IF(VLOOKUP(D:D,'테스트(3회)'!C:G,5, 0)="X",1,0),0)</f>
        <v>0</v>
      </c>
      <c r="M8" s="34">
        <f>IFERROR(IF(VLOOKUP(D:D,'테스트(4회)'!C:G,5, 0)="X",1,0),0)</f>
        <v>0</v>
      </c>
      <c r="N8" s="34">
        <f>IFERROR(IF(VLOOKUP(D:D,'테스트(5회)'!C:G,5, 0)="X",1,0),0)</f>
        <v>0</v>
      </c>
      <c r="O8" s="10"/>
    </row>
    <row r="9" spans="2:16" ht="156.75" x14ac:dyDescent="0.3">
      <c r="B9" s="17">
        <v>6</v>
      </c>
      <c r="C9" s="34" t="s">
        <v>728</v>
      </c>
      <c r="D9" s="27" t="s">
        <v>636</v>
      </c>
      <c r="E9" s="27" t="s">
        <v>608</v>
      </c>
      <c r="F9" s="29" t="s">
        <v>1104</v>
      </c>
      <c r="G9" s="33">
        <v>4</v>
      </c>
      <c r="H9" s="34">
        <f t="shared" si="0"/>
        <v>0</v>
      </c>
      <c r="I9" s="9"/>
      <c r="J9" s="34">
        <f>IFERROR(IF(VLOOKUP(D:D,'테스트(1회)'!C:G,5, 0)="X",1,0),0)</f>
        <v>0</v>
      </c>
      <c r="K9" s="34">
        <f>IFERROR(IF(VLOOKUP(D:D,'테스트(2회)'!C:G,5, 0)="X",1,0),0)</f>
        <v>0</v>
      </c>
      <c r="L9" s="34">
        <f>IFERROR(IF(VLOOKUP(D:D,'테스트(3회)'!C:G,5, 0)="X",1,0),0)</f>
        <v>0</v>
      </c>
      <c r="M9" s="34">
        <f>IFERROR(IF(VLOOKUP(D:D,'테스트(4회)'!C:G,5, 0)="X",1,0),0)</f>
        <v>0</v>
      </c>
      <c r="N9" s="34">
        <f>IFERROR(IF(VLOOKUP(D:D,'테스트(5회)'!C:G,5, 0)="X",1,0),0)</f>
        <v>0</v>
      </c>
      <c r="O9" s="10" t="s">
        <v>1103</v>
      </c>
      <c r="P9" s="12" t="s">
        <v>1093</v>
      </c>
    </row>
    <row r="10" spans="2:16" ht="128.25" x14ac:dyDescent="0.3">
      <c r="B10" s="17">
        <v>7</v>
      </c>
      <c r="C10" s="34" t="s">
        <v>728</v>
      </c>
      <c r="D10" s="27" t="s">
        <v>637</v>
      </c>
      <c r="E10" s="27" t="s">
        <v>608</v>
      </c>
      <c r="F10" s="29" t="s">
        <v>749</v>
      </c>
      <c r="G10" s="33">
        <v>4</v>
      </c>
      <c r="H10" s="34">
        <f t="shared" si="0"/>
        <v>1</v>
      </c>
      <c r="I10" s="9"/>
      <c r="J10" s="34">
        <f>IFERROR(IF(VLOOKUP(D:D,'테스트(1회)'!C:G,5, 0)="X",1,0),0)</f>
        <v>1</v>
      </c>
      <c r="K10" s="34">
        <f>IFERROR(IF(VLOOKUP(D:D,'테스트(2회)'!C:G,5, 0)="X",1,0),0)</f>
        <v>0</v>
      </c>
      <c r="L10" s="34">
        <f>IFERROR(IF(VLOOKUP(D:D,'테스트(3회)'!C:G,5, 0)="X",1,0),0)</f>
        <v>0</v>
      </c>
      <c r="M10" s="34">
        <f>IFERROR(IF(VLOOKUP(D:D,'테스트(4회)'!C:G,5, 0)="X",1,0),0)</f>
        <v>0</v>
      </c>
      <c r="N10" s="34">
        <f>IFERROR(IF(VLOOKUP(D:D,'테스트(5회)'!C:G,5, 0)="X",1,0),0)</f>
        <v>0</v>
      </c>
      <c r="O10" s="10"/>
    </row>
    <row r="11" spans="2:16" ht="114" x14ac:dyDescent="0.3">
      <c r="B11" s="17">
        <v>8</v>
      </c>
      <c r="C11" s="34" t="s">
        <v>728</v>
      </c>
      <c r="D11" s="27" t="s">
        <v>638</v>
      </c>
      <c r="E11" s="27" t="s">
        <v>608</v>
      </c>
      <c r="F11" s="29" t="s">
        <v>766</v>
      </c>
      <c r="G11" s="33">
        <v>4</v>
      </c>
      <c r="H11" s="34">
        <f t="shared" si="0"/>
        <v>0</v>
      </c>
      <c r="I11" s="9"/>
      <c r="J11" s="34">
        <f>IFERROR(IF(VLOOKUP(D:D,'테스트(1회)'!C:G,5, 0)="X",1,0),0)</f>
        <v>0</v>
      </c>
      <c r="K11" s="34">
        <f>IFERROR(IF(VLOOKUP(D:D,'테스트(2회)'!C:G,5, 0)="X",1,0),0)</f>
        <v>0</v>
      </c>
      <c r="L11" s="34">
        <f>IFERROR(IF(VLOOKUP(D:D,'테스트(3회)'!C:G,5, 0)="X",1,0),0)</f>
        <v>0</v>
      </c>
      <c r="M11" s="34">
        <f>IFERROR(IF(VLOOKUP(D:D,'테스트(4회)'!C:G,5, 0)="X",1,0),0)</f>
        <v>0</v>
      </c>
      <c r="N11" s="34">
        <f>IFERROR(IF(VLOOKUP(D:D,'테스트(5회)'!C:G,5, 0)="X",1,0),0)</f>
        <v>0</v>
      </c>
      <c r="O11" s="10"/>
    </row>
    <row r="12" spans="2:16" ht="199.5" x14ac:dyDescent="0.3">
      <c r="B12" s="17">
        <v>9</v>
      </c>
      <c r="C12" s="34" t="s">
        <v>728</v>
      </c>
      <c r="D12" s="27" t="s">
        <v>639</v>
      </c>
      <c r="E12" s="27" t="s">
        <v>608</v>
      </c>
      <c r="F12" s="29" t="s">
        <v>674</v>
      </c>
      <c r="G12" s="33">
        <v>1</v>
      </c>
      <c r="H12" s="34">
        <f t="shared" si="0"/>
        <v>1</v>
      </c>
      <c r="I12" s="9"/>
      <c r="J12" s="34">
        <f>IFERROR(IF(VLOOKUP(D:D,'테스트(1회)'!C:G,5, 0)="X",1,0),0)</f>
        <v>1</v>
      </c>
      <c r="K12" s="34">
        <f>IFERROR(IF(VLOOKUP(D:D,'테스트(2회)'!C:G,5, 0)="X",1,0),0)</f>
        <v>0</v>
      </c>
      <c r="L12" s="34">
        <f>IFERROR(IF(VLOOKUP(D:D,'테스트(3회)'!C:G,5, 0)="X",1,0),0)</f>
        <v>0</v>
      </c>
      <c r="M12" s="34">
        <f>IFERROR(IF(VLOOKUP(D:D,'테스트(4회)'!C:G,5, 0)="X",1,0),0)</f>
        <v>0</v>
      </c>
      <c r="N12" s="34">
        <f>IFERROR(IF(VLOOKUP(D:D,'테스트(5회)'!C:G,5, 0)="X",1,0),0)</f>
        <v>0</v>
      </c>
      <c r="O12" s="10"/>
    </row>
    <row r="13" spans="2:16" ht="99.75" x14ac:dyDescent="0.3">
      <c r="B13" s="17">
        <v>10</v>
      </c>
      <c r="C13" s="34" t="s">
        <v>728</v>
      </c>
      <c r="D13" s="27" t="s">
        <v>640</v>
      </c>
      <c r="E13" s="27" t="s">
        <v>608</v>
      </c>
      <c r="F13" s="29" t="s">
        <v>675</v>
      </c>
      <c r="G13" s="33">
        <v>1</v>
      </c>
      <c r="H13" s="34">
        <f t="shared" si="0"/>
        <v>0</v>
      </c>
      <c r="I13" s="9"/>
      <c r="J13" s="34">
        <f>IFERROR(IF(VLOOKUP(D:D,'테스트(1회)'!C:G,5, 0)="X",1,0),0)</f>
        <v>0</v>
      </c>
      <c r="K13" s="34">
        <f>IFERROR(IF(VLOOKUP(D:D,'테스트(2회)'!C:G,5, 0)="X",1,0),0)</f>
        <v>0</v>
      </c>
      <c r="L13" s="34">
        <f>IFERROR(IF(VLOOKUP(D:D,'테스트(3회)'!C:G,5, 0)="X",1,0),0)</f>
        <v>0</v>
      </c>
      <c r="M13" s="34">
        <f>IFERROR(IF(VLOOKUP(D:D,'테스트(4회)'!C:G,5, 0)="X",1,0),0)</f>
        <v>0</v>
      </c>
      <c r="N13" s="34">
        <f>IFERROR(IF(VLOOKUP(D:D,'테스트(5회)'!C:G,5, 0)="X",1,0),0)</f>
        <v>0</v>
      </c>
      <c r="O13" s="10"/>
    </row>
    <row r="14" spans="2:16" ht="156.75" x14ac:dyDescent="0.3">
      <c r="B14" s="17">
        <v>11</v>
      </c>
      <c r="C14" s="34" t="s">
        <v>728</v>
      </c>
      <c r="D14" s="27" t="s">
        <v>641</v>
      </c>
      <c r="E14" s="27" t="s">
        <v>608</v>
      </c>
      <c r="F14" s="29" t="s">
        <v>676</v>
      </c>
      <c r="G14" s="33">
        <v>5</v>
      </c>
      <c r="H14" s="34">
        <f t="shared" si="0"/>
        <v>0</v>
      </c>
      <c r="I14" s="9"/>
      <c r="J14" s="34">
        <f>IFERROR(IF(VLOOKUP(D:D,'테스트(1회)'!C:G,5, 0)="X",1,0),0)</f>
        <v>0</v>
      </c>
      <c r="K14" s="34">
        <f>IFERROR(IF(VLOOKUP(D:D,'테스트(2회)'!C:G,5, 0)="X",1,0),0)</f>
        <v>0</v>
      </c>
      <c r="L14" s="34">
        <f>IFERROR(IF(VLOOKUP(D:D,'테스트(3회)'!C:G,5, 0)="X",1,0),0)</f>
        <v>0</v>
      </c>
      <c r="M14" s="34">
        <f>IFERROR(IF(VLOOKUP(D:D,'테스트(4회)'!C:G,5, 0)="X",1,0),0)</f>
        <v>0</v>
      </c>
      <c r="N14" s="34">
        <f>IFERROR(IF(VLOOKUP(D:D,'테스트(5회)'!C:G,5, 0)="X",1,0),0)</f>
        <v>0</v>
      </c>
      <c r="O14" s="10"/>
    </row>
    <row r="15" spans="2:16" ht="128.25" x14ac:dyDescent="0.3">
      <c r="B15" s="17">
        <v>12</v>
      </c>
      <c r="C15" s="34" t="s">
        <v>728</v>
      </c>
      <c r="D15" s="27" t="s">
        <v>642</v>
      </c>
      <c r="E15" s="27" t="s">
        <v>608</v>
      </c>
      <c r="F15" s="29" t="s">
        <v>1094</v>
      </c>
      <c r="G15" s="33">
        <v>3</v>
      </c>
      <c r="H15" s="34">
        <f t="shared" si="0"/>
        <v>1</v>
      </c>
      <c r="I15" s="9"/>
      <c r="J15" s="34">
        <f>IFERROR(IF(VLOOKUP(D:D,'테스트(1회)'!C:G,5, 0)="X",1,0),0)</f>
        <v>1</v>
      </c>
      <c r="K15" s="34">
        <f>IFERROR(IF(VLOOKUP(D:D,'테스트(2회)'!C:G,5, 0)="X",1,0),0)</f>
        <v>0</v>
      </c>
      <c r="L15" s="34">
        <f>IFERROR(IF(VLOOKUP(D:D,'테스트(3회)'!C:G,5, 0)="X",1,0),0)</f>
        <v>0</v>
      </c>
      <c r="M15" s="34">
        <f>IFERROR(IF(VLOOKUP(D:D,'테스트(4회)'!C:G,5, 0)="X",1,0),0)</f>
        <v>0</v>
      </c>
      <c r="N15" s="34">
        <f>IFERROR(IF(VLOOKUP(D:D,'테스트(5회)'!C:G,5, 0)="X",1,0),0)</f>
        <v>0</v>
      </c>
      <c r="O15" s="10"/>
    </row>
    <row r="16" spans="2:16" ht="85.5" x14ac:dyDescent="0.3">
      <c r="B16" s="17">
        <v>13</v>
      </c>
      <c r="C16" s="34" t="s">
        <v>728</v>
      </c>
      <c r="D16" s="27" t="s">
        <v>643</v>
      </c>
      <c r="E16" s="27" t="s">
        <v>608</v>
      </c>
      <c r="F16" s="29" t="s">
        <v>715</v>
      </c>
      <c r="G16" s="33">
        <v>1</v>
      </c>
      <c r="H16" s="34">
        <f t="shared" si="0"/>
        <v>1</v>
      </c>
      <c r="I16" s="9"/>
      <c r="J16" s="34">
        <f>IFERROR(IF(VLOOKUP(D:D,'테스트(1회)'!C:G,5, 0)="X",1,0),0)</f>
        <v>1</v>
      </c>
      <c r="K16" s="34">
        <f>IFERROR(IF(VLOOKUP(D:D,'테스트(2회)'!C:G,5, 0)="X",1,0),0)</f>
        <v>0</v>
      </c>
      <c r="L16" s="34">
        <f>IFERROR(IF(VLOOKUP(D:D,'테스트(3회)'!C:G,5, 0)="X",1,0),0)</f>
        <v>0</v>
      </c>
      <c r="M16" s="34">
        <f>IFERROR(IF(VLOOKUP(D:D,'테스트(4회)'!C:G,5, 0)="X",1,0),0)</f>
        <v>0</v>
      </c>
      <c r="N16" s="34">
        <f>IFERROR(IF(VLOOKUP(D:D,'테스트(5회)'!C:G,5, 0)="X",1,0),0)</f>
        <v>0</v>
      </c>
      <c r="O16" s="10"/>
    </row>
    <row r="17" spans="2:15" ht="85.5" x14ac:dyDescent="0.3">
      <c r="B17" s="17">
        <v>14</v>
      </c>
      <c r="C17" s="34" t="s">
        <v>728</v>
      </c>
      <c r="D17" s="27" t="s">
        <v>644</v>
      </c>
      <c r="E17" s="27" t="s">
        <v>608</v>
      </c>
      <c r="F17" s="29" t="s">
        <v>677</v>
      </c>
      <c r="G17" s="33">
        <v>4</v>
      </c>
      <c r="H17" s="34">
        <f t="shared" si="0"/>
        <v>0</v>
      </c>
      <c r="I17" s="9"/>
      <c r="J17" s="34">
        <f>IFERROR(IF(VLOOKUP(D:D,'테스트(1회)'!C:G,5, 0)="X",1,0),0)</f>
        <v>0</v>
      </c>
      <c r="K17" s="34">
        <f>IFERROR(IF(VLOOKUP(D:D,'테스트(2회)'!C:G,5, 0)="X",1,0),0)</f>
        <v>0</v>
      </c>
      <c r="L17" s="34">
        <f>IFERROR(IF(VLOOKUP(D:D,'테스트(3회)'!C:G,5, 0)="X",1,0),0)</f>
        <v>0</v>
      </c>
      <c r="M17" s="34">
        <f>IFERROR(IF(VLOOKUP(D:D,'테스트(4회)'!C:G,5, 0)="X",1,0),0)</f>
        <v>0</v>
      </c>
      <c r="N17" s="34">
        <f>IFERROR(IF(VLOOKUP(D:D,'테스트(5회)'!C:G,5, 0)="X",1,0),0)</f>
        <v>0</v>
      </c>
      <c r="O17" s="10"/>
    </row>
    <row r="18" spans="2:15" ht="128.25" x14ac:dyDescent="0.3">
      <c r="B18" s="17">
        <v>15</v>
      </c>
      <c r="C18" s="34" t="s">
        <v>728</v>
      </c>
      <c r="D18" s="27" t="s">
        <v>645</v>
      </c>
      <c r="E18" s="27" t="s">
        <v>608</v>
      </c>
      <c r="F18" s="29" t="s">
        <v>678</v>
      </c>
      <c r="G18" s="33">
        <v>3</v>
      </c>
      <c r="H18" s="34">
        <f t="shared" si="0"/>
        <v>0</v>
      </c>
      <c r="I18" s="9"/>
      <c r="J18" s="34">
        <f>IFERROR(IF(VLOOKUP(D:D,'테스트(1회)'!C:G,5, 0)="X",1,0),0)</f>
        <v>0</v>
      </c>
      <c r="K18" s="34">
        <f>IFERROR(IF(VLOOKUP(D:D,'테스트(2회)'!C:G,5, 0)="X",1,0),0)</f>
        <v>0</v>
      </c>
      <c r="L18" s="34">
        <f>IFERROR(IF(VLOOKUP(D:D,'테스트(3회)'!C:G,5, 0)="X",1,0),0)</f>
        <v>0</v>
      </c>
      <c r="M18" s="34">
        <f>IFERROR(IF(VLOOKUP(D:D,'테스트(4회)'!C:G,5, 0)="X",1,0),0)</f>
        <v>0</v>
      </c>
      <c r="N18" s="34">
        <f>IFERROR(IF(VLOOKUP(D:D,'테스트(5회)'!C:G,5, 0)="X",1,0),0)</f>
        <v>0</v>
      </c>
      <c r="O18" s="10"/>
    </row>
    <row r="19" spans="2:15" ht="142.5" x14ac:dyDescent="0.3">
      <c r="B19" s="17">
        <v>16</v>
      </c>
      <c r="C19" s="34" t="s">
        <v>728</v>
      </c>
      <c r="D19" s="27" t="s">
        <v>646</v>
      </c>
      <c r="E19" s="27" t="s">
        <v>608</v>
      </c>
      <c r="F19" s="29" t="s">
        <v>750</v>
      </c>
      <c r="G19" s="33">
        <v>2</v>
      </c>
      <c r="H19" s="34">
        <f t="shared" si="0"/>
        <v>0</v>
      </c>
      <c r="I19" s="9"/>
      <c r="J19" s="34">
        <f>IFERROR(IF(VLOOKUP(D:D,'테스트(1회)'!C:G,5, 0)="X",1,0),0)</f>
        <v>0</v>
      </c>
      <c r="K19" s="34">
        <f>IFERROR(IF(VLOOKUP(D:D,'테스트(2회)'!C:G,5, 0)="X",1,0),0)</f>
        <v>0</v>
      </c>
      <c r="L19" s="34">
        <f>IFERROR(IF(VLOOKUP(D:D,'테스트(3회)'!C:G,5, 0)="X",1,0),0)</f>
        <v>0</v>
      </c>
      <c r="M19" s="34">
        <f>IFERROR(IF(VLOOKUP(D:D,'테스트(4회)'!C:G,5, 0)="X",1,0),0)</f>
        <v>0</v>
      </c>
      <c r="N19" s="34">
        <f>IFERROR(IF(VLOOKUP(D:D,'테스트(5회)'!C:G,5, 0)="X",1,0),0)</f>
        <v>0</v>
      </c>
      <c r="O19" s="10"/>
    </row>
    <row r="20" spans="2:15" ht="156.75" x14ac:dyDescent="0.3">
      <c r="B20" s="17">
        <v>17</v>
      </c>
      <c r="C20" s="34" t="s">
        <v>728</v>
      </c>
      <c r="D20" s="27" t="s">
        <v>647</v>
      </c>
      <c r="E20" s="27" t="s">
        <v>608</v>
      </c>
      <c r="F20" s="29" t="s">
        <v>679</v>
      </c>
      <c r="G20" s="33">
        <v>5</v>
      </c>
      <c r="H20" s="34">
        <f t="shared" si="0"/>
        <v>0</v>
      </c>
      <c r="I20" s="9"/>
      <c r="J20" s="34">
        <f>IFERROR(IF(VLOOKUP(D:D,'테스트(1회)'!C:G,5, 0)="X",1,0),0)</f>
        <v>0</v>
      </c>
      <c r="K20" s="34">
        <f>IFERROR(IF(VLOOKUP(D:D,'테스트(2회)'!C:G,5, 0)="X",1,0),0)</f>
        <v>0</v>
      </c>
      <c r="L20" s="34">
        <f>IFERROR(IF(VLOOKUP(D:D,'테스트(3회)'!C:G,5, 0)="X",1,0),0)</f>
        <v>0</v>
      </c>
      <c r="M20" s="34">
        <f>IFERROR(IF(VLOOKUP(D:D,'테스트(4회)'!C:G,5, 0)="X",1,0),0)</f>
        <v>0</v>
      </c>
      <c r="N20" s="34">
        <f>IFERROR(IF(VLOOKUP(D:D,'테스트(5회)'!C:G,5, 0)="X",1,0),0)</f>
        <v>0</v>
      </c>
      <c r="O20" s="10"/>
    </row>
    <row r="21" spans="2:15" ht="99.75" x14ac:dyDescent="0.3">
      <c r="B21" s="17">
        <v>18</v>
      </c>
      <c r="C21" s="34" t="s">
        <v>728</v>
      </c>
      <c r="D21" s="27" t="s">
        <v>648</v>
      </c>
      <c r="E21" s="27" t="s">
        <v>608</v>
      </c>
      <c r="F21" s="29" t="s">
        <v>680</v>
      </c>
      <c r="G21" s="33">
        <v>1</v>
      </c>
      <c r="H21" s="34">
        <f t="shared" si="0"/>
        <v>1</v>
      </c>
      <c r="I21" s="9"/>
      <c r="J21" s="34">
        <f>IFERROR(IF(VLOOKUP(D:D,'테스트(1회)'!C:G,5, 0)="X",1,0),0)</f>
        <v>1</v>
      </c>
      <c r="K21" s="34">
        <f>IFERROR(IF(VLOOKUP(D:D,'테스트(2회)'!C:G,5, 0)="X",1,0),0)</f>
        <v>0</v>
      </c>
      <c r="L21" s="34">
        <f>IFERROR(IF(VLOOKUP(D:D,'테스트(3회)'!C:G,5, 0)="X",1,0),0)</f>
        <v>0</v>
      </c>
      <c r="M21" s="34">
        <f>IFERROR(IF(VLOOKUP(D:D,'테스트(4회)'!C:G,5, 0)="X",1,0),0)</f>
        <v>0</v>
      </c>
      <c r="N21" s="34">
        <f>IFERROR(IF(VLOOKUP(D:D,'테스트(5회)'!C:G,5, 0)="X",1,0),0)</f>
        <v>0</v>
      </c>
      <c r="O21" s="10"/>
    </row>
    <row r="22" spans="2:15" ht="99.75" x14ac:dyDescent="0.3">
      <c r="B22" s="17">
        <v>19</v>
      </c>
      <c r="C22" s="34" t="s">
        <v>728</v>
      </c>
      <c r="D22" s="27" t="s">
        <v>649</v>
      </c>
      <c r="E22" s="27" t="s">
        <v>608</v>
      </c>
      <c r="F22" s="29" t="s">
        <v>751</v>
      </c>
      <c r="G22" s="33">
        <v>3</v>
      </c>
      <c r="H22" s="34">
        <f t="shared" si="0"/>
        <v>0</v>
      </c>
      <c r="I22" s="9"/>
      <c r="J22" s="34">
        <f>IFERROR(IF(VLOOKUP(D:D,'테스트(1회)'!C:G,5, 0)="X",1,0),0)</f>
        <v>0</v>
      </c>
      <c r="K22" s="34">
        <f>IFERROR(IF(VLOOKUP(D:D,'테스트(2회)'!C:G,5, 0)="X",1,0),0)</f>
        <v>0</v>
      </c>
      <c r="L22" s="34">
        <f>IFERROR(IF(VLOOKUP(D:D,'테스트(3회)'!C:G,5, 0)="X",1,0),0)</f>
        <v>0</v>
      </c>
      <c r="M22" s="34">
        <f>IFERROR(IF(VLOOKUP(D:D,'테스트(4회)'!C:G,5, 0)="X",1,0),0)</f>
        <v>0</v>
      </c>
      <c r="N22" s="34">
        <f>IFERROR(IF(VLOOKUP(D:D,'테스트(5회)'!C:G,5, 0)="X",1,0),0)</f>
        <v>0</v>
      </c>
      <c r="O22" s="10"/>
    </row>
    <row r="23" spans="2:15" ht="114" x14ac:dyDescent="0.3">
      <c r="B23" s="17">
        <v>20</v>
      </c>
      <c r="C23" s="34" t="s">
        <v>728</v>
      </c>
      <c r="D23" s="27" t="s">
        <v>650</v>
      </c>
      <c r="E23" s="27" t="s">
        <v>608</v>
      </c>
      <c r="F23" s="29" t="s">
        <v>681</v>
      </c>
      <c r="G23" s="33">
        <v>2</v>
      </c>
      <c r="H23" s="34">
        <f t="shared" si="0"/>
        <v>1</v>
      </c>
      <c r="I23" s="9"/>
      <c r="J23" s="34">
        <f>IFERROR(IF(VLOOKUP(D:D,'테스트(1회)'!C:G,5, 0)="X",1,0),0)</f>
        <v>1</v>
      </c>
      <c r="K23" s="34">
        <f>IFERROR(IF(VLOOKUP(D:D,'테스트(2회)'!C:G,5, 0)="X",1,0),0)</f>
        <v>0</v>
      </c>
      <c r="L23" s="34">
        <f>IFERROR(IF(VLOOKUP(D:D,'테스트(3회)'!C:G,5, 0)="X",1,0),0)</f>
        <v>0</v>
      </c>
      <c r="M23" s="34">
        <f>IFERROR(IF(VLOOKUP(D:D,'테스트(4회)'!C:G,5, 0)="X",1,0),0)</f>
        <v>0</v>
      </c>
      <c r="N23" s="34">
        <f>IFERROR(IF(VLOOKUP(D:D,'테스트(5회)'!C:G,5, 0)="X",1,0),0)</f>
        <v>0</v>
      </c>
      <c r="O23" s="10"/>
    </row>
    <row r="24" spans="2:15" ht="128.25" x14ac:dyDescent="0.3">
      <c r="B24" s="17">
        <v>21</v>
      </c>
      <c r="C24" s="34" t="s">
        <v>728</v>
      </c>
      <c r="D24" s="27" t="s">
        <v>651</v>
      </c>
      <c r="E24" s="27" t="s">
        <v>608</v>
      </c>
      <c r="F24" s="29" t="s">
        <v>1095</v>
      </c>
      <c r="G24" s="33">
        <v>3</v>
      </c>
      <c r="H24" s="34">
        <f t="shared" si="0"/>
        <v>1</v>
      </c>
      <c r="I24" s="9"/>
      <c r="J24" s="34">
        <f>IFERROR(IF(VLOOKUP(D:D,'테스트(1회)'!C:G,5, 0)="X",1,0),0)</f>
        <v>1</v>
      </c>
      <c r="K24" s="34">
        <f>IFERROR(IF(VLOOKUP(D:D,'테스트(2회)'!C:G,5, 0)="X",1,0),0)</f>
        <v>0</v>
      </c>
      <c r="L24" s="34">
        <f>IFERROR(IF(VLOOKUP(D:D,'테스트(3회)'!C:G,5, 0)="X",1,0),0)</f>
        <v>0</v>
      </c>
      <c r="M24" s="34">
        <f>IFERROR(IF(VLOOKUP(D:D,'테스트(4회)'!C:G,5, 0)="X",1,0),0)</f>
        <v>0</v>
      </c>
      <c r="N24" s="34">
        <f>IFERROR(IF(VLOOKUP(D:D,'테스트(5회)'!C:G,5, 0)="X",1,0),0)</f>
        <v>0</v>
      </c>
      <c r="O24" s="10"/>
    </row>
    <row r="25" spans="2:15" ht="128.25" x14ac:dyDescent="0.3">
      <c r="B25" s="17">
        <v>22</v>
      </c>
      <c r="C25" s="34" t="s">
        <v>728</v>
      </c>
      <c r="D25" s="27" t="s">
        <v>652</v>
      </c>
      <c r="E25" s="27" t="s">
        <v>608</v>
      </c>
      <c r="F25" s="29" t="s">
        <v>682</v>
      </c>
      <c r="G25" s="33">
        <v>1</v>
      </c>
      <c r="H25" s="34">
        <f t="shared" si="0"/>
        <v>0</v>
      </c>
      <c r="I25" s="9"/>
      <c r="J25" s="34">
        <f>IFERROR(IF(VLOOKUP(D:D,'테스트(1회)'!C:G,5, 0)="X",1,0),0)</f>
        <v>0</v>
      </c>
      <c r="K25" s="34">
        <f>IFERROR(IF(VLOOKUP(D:D,'테스트(2회)'!C:G,5, 0)="X",1,0),0)</f>
        <v>0</v>
      </c>
      <c r="L25" s="34">
        <f>IFERROR(IF(VLOOKUP(D:D,'테스트(3회)'!C:G,5, 0)="X",1,0),0)</f>
        <v>0</v>
      </c>
      <c r="M25" s="34">
        <f>IFERROR(IF(VLOOKUP(D:D,'테스트(4회)'!C:G,5, 0)="X",1,0),0)</f>
        <v>0</v>
      </c>
      <c r="N25" s="34">
        <f>IFERROR(IF(VLOOKUP(D:D,'테스트(5회)'!C:G,5, 0)="X",1,0),0)</f>
        <v>0</v>
      </c>
      <c r="O25" s="10"/>
    </row>
    <row r="26" spans="2:15" ht="171" x14ac:dyDescent="0.3">
      <c r="B26" s="17">
        <v>23</v>
      </c>
      <c r="C26" s="34" t="s">
        <v>728</v>
      </c>
      <c r="D26" s="27" t="s">
        <v>653</v>
      </c>
      <c r="E26" s="27" t="s">
        <v>608</v>
      </c>
      <c r="F26" s="29" t="s">
        <v>705</v>
      </c>
      <c r="G26" s="33">
        <v>5</v>
      </c>
      <c r="H26" s="34">
        <f t="shared" si="0"/>
        <v>0</v>
      </c>
      <c r="I26" s="9"/>
      <c r="J26" s="34">
        <f>IFERROR(IF(VLOOKUP(D:D,'테스트(1회)'!C:G,5, 0)="X",1,0),0)</f>
        <v>0</v>
      </c>
      <c r="K26" s="34">
        <f>IFERROR(IF(VLOOKUP(D:D,'테스트(2회)'!C:G,5, 0)="X",1,0),0)</f>
        <v>0</v>
      </c>
      <c r="L26" s="34">
        <f>IFERROR(IF(VLOOKUP(D:D,'테스트(3회)'!C:G,5, 0)="X",1,0),0)</f>
        <v>0</v>
      </c>
      <c r="M26" s="34">
        <f>IFERROR(IF(VLOOKUP(D:D,'테스트(4회)'!C:G,5, 0)="X",1,0),0)</f>
        <v>0</v>
      </c>
      <c r="N26" s="34">
        <f>IFERROR(IF(VLOOKUP(D:D,'테스트(5회)'!C:G,5, 0)="X",1,0),0)</f>
        <v>0</v>
      </c>
      <c r="O26" s="10"/>
    </row>
    <row r="27" spans="2:15" ht="128.25" x14ac:dyDescent="0.3">
      <c r="B27" s="17">
        <v>24</v>
      </c>
      <c r="C27" s="34" t="s">
        <v>728</v>
      </c>
      <c r="D27" s="27" t="s">
        <v>654</v>
      </c>
      <c r="E27" s="27" t="s">
        <v>608</v>
      </c>
      <c r="F27" s="29" t="s">
        <v>683</v>
      </c>
      <c r="G27" s="33">
        <v>2</v>
      </c>
      <c r="H27" s="34">
        <f t="shared" si="0"/>
        <v>0</v>
      </c>
      <c r="I27" s="9"/>
      <c r="J27" s="34">
        <f>IFERROR(IF(VLOOKUP(D:D,'테스트(1회)'!C:G,5, 0)="X",1,0),0)</f>
        <v>0</v>
      </c>
      <c r="K27" s="34">
        <f>IFERROR(IF(VLOOKUP(D:D,'테스트(2회)'!C:G,5, 0)="X",1,0),0)</f>
        <v>0</v>
      </c>
      <c r="L27" s="34">
        <f>IFERROR(IF(VLOOKUP(D:D,'테스트(3회)'!C:G,5, 0)="X",1,0),0)</f>
        <v>0</v>
      </c>
      <c r="M27" s="34">
        <f>IFERROR(IF(VLOOKUP(D:D,'테스트(4회)'!C:G,5, 0)="X",1,0),0)</f>
        <v>0</v>
      </c>
      <c r="N27" s="34">
        <f>IFERROR(IF(VLOOKUP(D:D,'테스트(5회)'!C:G,5, 0)="X",1,0),0)</f>
        <v>0</v>
      </c>
      <c r="O27" s="10"/>
    </row>
    <row r="28" spans="2:15" ht="128.25" x14ac:dyDescent="0.3">
      <c r="B28" s="17">
        <v>25</v>
      </c>
      <c r="C28" s="34" t="s">
        <v>728</v>
      </c>
      <c r="D28" s="27" t="s">
        <v>655</v>
      </c>
      <c r="E28" s="27" t="s">
        <v>608</v>
      </c>
      <c r="F28" s="29" t="s">
        <v>1096</v>
      </c>
      <c r="G28" s="33">
        <v>3</v>
      </c>
      <c r="H28" s="34">
        <f t="shared" si="0"/>
        <v>0</v>
      </c>
      <c r="I28" s="9"/>
      <c r="J28" s="34">
        <f>IFERROR(IF(VLOOKUP(D:D,'테스트(1회)'!C:G,5, 0)="X",1,0),0)</f>
        <v>0</v>
      </c>
      <c r="K28" s="34">
        <f>IFERROR(IF(VLOOKUP(D:D,'테스트(2회)'!C:G,5, 0)="X",1,0),0)</f>
        <v>0</v>
      </c>
      <c r="L28" s="34">
        <f>IFERROR(IF(VLOOKUP(D:D,'테스트(3회)'!C:G,5, 0)="X",1,0),0)</f>
        <v>0</v>
      </c>
      <c r="M28" s="34">
        <f>IFERROR(IF(VLOOKUP(D:D,'테스트(4회)'!C:G,5, 0)="X",1,0),0)</f>
        <v>0</v>
      </c>
      <c r="N28" s="34">
        <f>IFERROR(IF(VLOOKUP(D:D,'테스트(5회)'!C:G,5, 0)="X",1,0),0)</f>
        <v>0</v>
      </c>
      <c r="O28" s="10"/>
    </row>
    <row r="29" spans="2:15" ht="128.25" x14ac:dyDescent="0.3">
      <c r="B29" s="17">
        <v>26</v>
      </c>
      <c r="C29" s="34" t="s">
        <v>728</v>
      </c>
      <c r="D29" s="27" t="s">
        <v>656</v>
      </c>
      <c r="E29" s="27" t="s">
        <v>608</v>
      </c>
      <c r="F29" s="29" t="s">
        <v>767</v>
      </c>
      <c r="G29" s="33">
        <v>2</v>
      </c>
      <c r="H29" s="34">
        <f t="shared" si="0"/>
        <v>1</v>
      </c>
      <c r="I29" s="9"/>
      <c r="J29" s="34">
        <f>IFERROR(IF(VLOOKUP(D:D,'테스트(1회)'!C:G,5, 0)="X",1,0),0)</f>
        <v>1</v>
      </c>
      <c r="K29" s="34">
        <f>IFERROR(IF(VLOOKUP(D:D,'테스트(2회)'!C:G,5, 0)="X",1,0),0)</f>
        <v>0</v>
      </c>
      <c r="L29" s="34">
        <f>IFERROR(IF(VLOOKUP(D:D,'테스트(3회)'!C:G,5, 0)="X",1,0),0)</f>
        <v>0</v>
      </c>
      <c r="M29" s="34">
        <f>IFERROR(IF(VLOOKUP(D:D,'테스트(4회)'!C:G,5, 0)="X",1,0),0)</f>
        <v>0</v>
      </c>
      <c r="N29" s="34">
        <f>IFERROR(IF(VLOOKUP(D:D,'테스트(5회)'!C:G,5, 0)="X",1,0),0)</f>
        <v>0</v>
      </c>
      <c r="O29" s="10"/>
    </row>
    <row r="30" spans="2:15" ht="185.25" x14ac:dyDescent="0.3">
      <c r="B30" s="17">
        <v>27</v>
      </c>
      <c r="C30" s="34" t="s">
        <v>728</v>
      </c>
      <c r="D30" s="27" t="s">
        <v>657</v>
      </c>
      <c r="E30" s="27" t="s">
        <v>608</v>
      </c>
      <c r="F30" s="29" t="s">
        <v>702</v>
      </c>
      <c r="G30" s="33">
        <v>3</v>
      </c>
      <c r="H30" s="34">
        <f t="shared" si="0"/>
        <v>1</v>
      </c>
      <c r="I30" s="9"/>
      <c r="J30" s="34">
        <f>IFERROR(IF(VLOOKUP(D:D,'테스트(1회)'!C:G,5, 0)="X",1,0),0)</f>
        <v>1</v>
      </c>
      <c r="K30" s="34">
        <f>IFERROR(IF(VLOOKUP(D:D,'테스트(2회)'!C:G,5, 0)="X",1,0),0)</f>
        <v>0</v>
      </c>
      <c r="L30" s="34">
        <f>IFERROR(IF(VLOOKUP(D:D,'테스트(3회)'!C:G,5, 0)="X",1,0),0)</f>
        <v>0</v>
      </c>
      <c r="M30" s="34">
        <f>IFERROR(IF(VLOOKUP(D:D,'테스트(4회)'!C:G,5, 0)="X",1,0),0)</f>
        <v>0</v>
      </c>
      <c r="N30" s="34">
        <f>IFERROR(IF(VLOOKUP(D:D,'테스트(5회)'!C:G,5, 0)="X",1,0),0)</f>
        <v>0</v>
      </c>
      <c r="O30" s="10"/>
    </row>
    <row r="31" spans="2:15" ht="142.5" x14ac:dyDescent="0.3">
      <c r="B31" s="17">
        <v>28</v>
      </c>
      <c r="C31" s="34" t="s">
        <v>728</v>
      </c>
      <c r="D31" s="27" t="s">
        <v>658</v>
      </c>
      <c r="E31" s="27" t="s">
        <v>608</v>
      </c>
      <c r="F31" s="29" t="s">
        <v>684</v>
      </c>
      <c r="G31" s="33">
        <v>5</v>
      </c>
      <c r="H31" s="34">
        <f t="shared" si="0"/>
        <v>1</v>
      </c>
      <c r="I31" s="9"/>
      <c r="J31" s="34">
        <f>IFERROR(IF(VLOOKUP(D:D,'테스트(1회)'!C:G,5, 0)="X",1,0),0)</f>
        <v>1</v>
      </c>
      <c r="K31" s="34">
        <f>IFERROR(IF(VLOOKUP(D:D,'테스트(2회)'!C:G,5, 0)="X",1,0),0)</f>
        <v>0</v>
      </c>
      <c r="L31" s="34">
        <f>IFERROR(IF(VLOOKUP(D:D,'테스트(3회)'!C:G,5, 0)="X",1,0),0)</f>
        <v>0</v>
      </c>
      <c r="M31" s="34">
        <f>IFERROR(IF(VLOOKUP(D:D,'테스트(4회)'!C:G,5, 0)="X",1,0),0)</f>
        <v>0</v>
      </c>
      <c r="N31" s="34">
        <f>IFERROR(IF(VLOOKUP(D:D,'테스트(5회)'!C:G,5, 0)="X",1,0),0)</f>
        <v>0</v>
      </c>
      <c r="O31" s="10"/>
    </row>
    <row r="32" spans="2:15" ht="171" x14ac:dyDescent="0.3">
      <c r="B32" s="17">
        <v>29</v>
      </c>
      <c r="C32" s="34" t="s">
        <v>728</v>
      </c>
      <c r="D32" s="27" t="s">
        <v>659</v>
      </c>
      <c r="E32" s="27" t="s">
        <v>608</v>
      </c>
      <c r="F32" s="29" t="s">
        <v>721</v>
      </c>
      <c r="G32" s="33">
        <v>5</v>
      </c>
      <c r="H32" s="34">
        <f t="shared" si="0"/>
        <v>0</v>
      </c>
      <c r="I32" s="9"/>
      <c r="J32" s="34">
        <f>IFERROR(IF(VLOOKUP(D:D,'테스트(1회)'!C:G,5, 0)="X",1,0),0)</f>
        <v>0</v>
      </c>
      <c r="K32" s="34">
        <f>IFERROR(IF(VLOOKUP(D:D,'테스트(2회)'!C:G,5, 0)="X",1,0),0)</f>
        <v>0</v>
      </c>
      <c r="L32" s="34">
        <f>IFERROR(IF(VLOOKUP(D:D,'테스트(3회)'!C:G,5, 0)="X",1,0),0)</f>
        <v>0</v>
      </c>
      <c r="M32" s="34">
        <f>IFERROR(IF(VLOOKUP(D:D,'테스트(4회)'!C:G,5, 0)="X",1,0),0)</f>
        <v>0</v>
      </c>
      <c r="N32" s="34">
        <f>IFERROR(IF(VLOOKUP(D:D,'테스트(5회)'!C:G,5, 0)="X",1,0),0)</f>
        <v>0</v>
      </c>
      <c r="O32" s="10"/>
    </row>
    <row r="33" spans="2:15" ht="156.75" x14ac:dyDescent="0.3">
      <c r="B33" s="17">
        <v>30</v>
      </c>
      <c r="C33" s="34" t="s">
        <v>728</v>
      </c>
      <c r="D33" s="27" t="s">
        <v>660</v>
      </c>
      <c r="E33" s="27" t="s">
        <v>608</v>
      </c>
      <c r="F33" s="29" t="s">
        <v>685</v>
      </c>
      <c r="G33" s="33">
        <v>4</v>
      </c>
      <c r="H33" s="34">
        <f t="shared" si="0"/>
        <v>1</v>
      </c>
      <c r="I33" s="9"/>
      <c r="J33" s="34">
        <f>IFERROR(IF(VLOOKUP(D:D,'테스트(1회)'!C:G,5, 0)="X",1,0),0)</f>
        <v>1</v>
      </c>
      <c r="K33" s="34">
        <f>IFERROR(IF(VLOOKUP(D:D,'테스트(2회)'!C:G,5, 0)="X",1,0),0)</f>
        <v>0</v>
      </c>
      <c r="L33" s="34">
        <f>IFERROR(IF(VLOOKUP(D:D,'테스트(3회)'!C:G,5, 0)="X",1,0),0)</f>
        <v>0</v>
      </c>
      <c r="M33" s="34">
        <f>IFERROR(IF(VLOOKUP(D:D,'테스트(4회)'!C:G,5, 0)="X",1,0),0)</f>
        <v>0</v>
      </c>
      <c r="N33" s="34">
        <f>IFERROR(IF(VLOOKUP(D:D,'테스트(5회)'!C:G,5, 0)="X",1,0),0)</f>
        <v>0</v>
      </c>
      <c r="O33" s="10"/>
    </row>
    <row r="34" spans="2:15" ht="85.5" x14ac:dyDescent="0.3">
      <c r="B34" s="17">
        <v>31</v>
      </c>
      <c r="C34" s="34" t="s">
        <v>728</v>
      </c>
      <c r="D34" s="27" t="s">
        <v>661</v>
      </c>
      <c r="E34" s="27" t="s">
        <v>608</v>
      </c>
      <c r="F34" s="29" t="s">
        <v>716</v>
      </c>
      <c r="G34" s="33">
        <v>2</v>
      </c>
      <c r="H34" s="34">
        <f t="shared" si="0"/>
        <v>0</v>
      </c>
      <c r="I34" s="9"/>
      <c r="J34" s="34">
        <f>IFERROR(IF(VLOOKUP(D:D,'테스트(1회)'!C:G,5, 0)="X",1,0),0)</f>
        <v>0</v>
      </c>
      <c r="K34" s="34">
        <f>IFERROR(IF(VLOOKUP(D:D,'테스트(2회)'!C:G,5, 0)="X",1,0),0)</f>
        <v>0</v>
      </c>
      <c r="L34" s="34">
        <f>IFERROR(IF(VLOOKUP(D:D,'테스트(3회)'!C:G,5, 0)="X",1,0),0)</f>
        <v>0</v>
      </c>
      <c r="M34" s="34">
        <f>IFERROR(IF(VLOOKUP(D:D,'테스트(4회)'!C:G,5, 0)="X",1,0),0)</f>
        <v>0</v>
      </c>
      <c r="N34" s="34">
        <f>IFERROR(IF(VLOOKUP(D:D,'테스트(5회)'!C:G,5, 0)="X",1,0),0)</f>
        <v>0</v>
      </c>
      <c r="O34" s="10"/>
    </row>
    <row r="35" spans="2:15" ht="114" x14ac:dyDescent="0.3">
      <c r="B35" s="17">
        <v>32</v>
      </c>
      <c r="C35" s="34" t="s">
        <v>728</v>
      </c>
      <c r="D35" s="27" t="s">
        <v>662</v>
      </c>
      <c r="E35" s="27" t="s">
        <v>608</v>
      </c>
      <c r="F35" s="29" t="s">
        <v>752</v>
      </c>
      <c r="G35" s="33">
        <v>4</v>
      </c>
      <c r="H35" s="34">
        <f t="shared" si="0"/>
        <v>0</v>
      </c>
      <c r="I35" s="9"/>
      <c r="J35" s="34">
        <f>IFERROR(IF(VLOOKUP(D:D,'테스트(1회)'!C:G,5, 0)="X",1,0),0)</f>
        <v>0</v>
      </c>
      <c r="K35" s="34">
        <f>IFERROR(IF(VLOOKUP(D:D,'테스트(2회)'!C:G,5, 0)="X",1,0),0)</f>
        <v>0</v>
      </c>
      <c r="L35" s="34">
        <f>IFERROR(IF(VLOOKUP(D:D,'테스트(3회)'!C:G,5, 0)="X",1,0),0)</f>
        <v>0</v>
      </c>
      <c r="M35" s="34">
        <f>IFERROR(IF(VLOOKUP(D:D,'테스트(4회)'!C:G,5, 0)="X",1,0),0)</f>
        <v>0</v>
      </c>
      <c r="N35" s="34">
        <f>IFERROR(IF(VLOOKUP(D:D,'테스트(5회)'!C:G,5, 0)="X",1,0),0)</f>
        <v>0</v>
      </c>
      <c r="O35" s="10"/>
    </row>
    <row r="36" spans="2:15" ht="142.5" x14ac:dyDescent="0.3">
      <c r="B36" s="17">
        <v>33</v>
      </c>
      <c r="C36" s="34" t="s">
        <v>728</v>
      </c>
      <c r="D36" s="27" t="s">
        <v>663</v>
      </c>
      <c r="E36" s="27" t="s">
        <v>608</v>
      </c>
      <c r="F36" s="29" t="s">
        <v>700</v>
      </c>
      <c r="G36" s="33">
        <v>4</v>
      </c>
      <c r="H36" s="34">
        <f t="shared" si="0"/>
        <v>0</v>
      </c>
      <c r="I36" s="9"/>
      <c r="J36" s="34">
        <f>IFERROR(IF(VLOOKUP(D:D,'테스트(1회)'!C:G,5, 0)="X",1,0),0)</f>
        <v>0</v>
      </c>
      <c r="K36" s="34">
        <f>IFERROR(IF(VLOOKUP(D:D,'테스트(2회)'!C:G,5, 0)="X",1,0),0)</f>
        <v>0</v>
      </c>
      <c r="L36" s="34">
        <f>IFERROR(IF(VLOOKUP(D:D,'테스트(3회)'!C:G,5, 0)="X",1,0),0)</f>
        <v>0</v>
      </c>
      <c r="M36" s="34">
        <f>IFERROR(IF(VLOOKUP(D:D,'테스트(4회)'!C:G,5, 0)="X",1,0),0)</f>
        <v>0</v>
      </c>
      <c r="N36" s="34">
        <f>IFERROR(IF(VLOOKUP(D:D,'테스트(5회)'!C:G,5, 0)="X",1,0),0)</f>
        <v>0</v>
      </c>
      <c r="O36" s="10"/>
    </row>
    <row r="37" spans="2:15" ht="156.75" x14ac:dyDescent="0.3">
      <c r="B37" s="17">
        <v>34</v>
      </c>
      <c r="C37" s="34" t="s">
        <v>728</v>
      </c>
      <c r="D37" s="27" t="s">
        <v>664</v>
      </c>
      <c r="E37" s="27" t="s">
        <v>608</v>
      </c>
      <c r="F37" s="29" t="s">
        <v>686</v>
      </c>
      <c r="G37" s="33">
        <v>5</v>
      </c>
      <c r="H37" s="34">
        <f t="shared" si="0"/>
        <v>0</v>
      </c>
      <c r="I37" s="9"/>
      <c r="J37" s="34">
        <f>IFERROR(IF(VLOOKUP(D:D,'테스트(1회)'!C:G,5, 0)="X",1,0),0)</f>
        <v>0</v>
      </c>
      <c r="K37" s="34">
        <f>IFERROR(IF(VLOOKUP(D:D,'테스트(2회)'!C:G,5, 0)="X",1,0),0)</f>
        <v>0</v>
      </c>
      <c r="L37" s="34">
        <f>IFERROR(IF(VLOOKUP(D:D,'테스트(3회)'!C:G,5, 0)="X",1,0),0)</f>
        <v>0</v>
      </c>
      <c r="M37" s="34">
        <f>IFERROR(IF(VLOOKUP(D:D,'테스트(4회)'!C:G,5, 0)="X",1,0),0)</f>
        <v>0</v>
      </c>
      <c r="N37" s="34">
        <f>IFERROR(IF(VLOOKUP(D:D,'테스트(5회)'!C:G,5, 0)="X",1,0),0)</f>
        <v>0</v>
      </c>
      <c r="O37" s="10"/>
    </row>
    <row r="38" spans="2:15" ht="128.25" x14ac:dyDescent="0.3">
      <c r="B38" s="17">
        <v>35</v>
      </c>
      <c r="C38" s="34" t="s">
        <v>728</v>
      </c>
      <c r="D38" s="27" t="s">
        <v>665</v>
      </c>
      <c r="E38" s="27" t="s">
        <v>608</v>
      </c>
      <c r="F38" s="29" t="s">
        <v>1126</v>
      </c>
      <c r="G38" s="33">
        <v>5</v>
      </c>
      <c r="H38" s="34">
        <f t="shared" si="0"/>
        <v>0</v>
      </c>
      <c r="I38" s="9"/>
      <c r="J38" s="34">
        <f>IFERROR(IF(VLOOKUP(D:D,'테스트(1회)'!C:G,5, 0)="X",1,0),0)</f>
        <v>0</v>
      </c>
      <c r="K38" s="34">
        <f>IFERROR(IF(VLOOKUP(D:D,'테스트(2회)'!C:G,5, 0)="X",1,0),0)</f>
        <v>0</v>
      </c>
      <c r="L38" s="34">
        <f>IFERROR(IF(VLOOKUP(D:D,'테스트(3회)'!C:G,5, 0)="X",1,0),0)</f>
        <v>0</v>
      </c>
      <c r="M38" s="34">
        <f>IFERROR(IF(VLOOKUP(D:D,'테스트(4회)'!C:G,5, 0)="X",1,0),0)</f>
        <v>0</v>
      </c>
      <c r="N38" s="34">
        <f>IFERROR(IF(VLOOKUP(D:D,'테스트(5회)'!C:G,5, 0)="X",1,0),0)</f>
        <v>0</v>
      </c>
      <c r="O38" s="10"/>
    </row>
    <row r="39" spans="2:15" ht="171" x14ac:dyDescent="0.3">
      <c r="B39" s="17">
        <v>36</v>
      </c>
      <c r="C39" s="34" t="s">
        <v>728</v>
      </c>
      <c r="D39" s="27" t="s">
        <v>666</v>
      </c>
      <c r="E39" s="27" t="s">
        <v>608</v>
      </c>
      <c r="F39" s="29" t="s">
        <v>687</v>
      </c>
      <c r="G39" s="33">
        <v>5</v>
      </c>
      <c r="H39" s="34">
        <f t="shared" si="0"/>
        <v>0</v>
      </c>
      <c r="I39" s="9"/>
      <c r="J39" s="34">
        <f>IFERROR(IF(VLOOKUP(D:D,'테스트(1회)'!C:G,5, 0)="X",1,0),0)</f>
        <v>0</v>
      </c>
      <c r="K39" s="34">
        <f>IFERROR(IF(VLOOKUP(D:D,'테스트(2회)'!C:G,5, 0)="X",1,0),0)</f>
        <v>0</v>
      </c>
      <c r="L39" s="34">
        <f>IFERROR(IF(VLOOKUP(D:D,'테스트(3회)'!C:G,5, 0)="X",1,0),0)</f>
        <v>0</v>
      </c>
      <c r="M39" s="34">
        <f>IFERROR(IF(VLOOKUP(D:D,'테스트(4회)'!C:G,5, 0)="X",1,0),0)</f>
        <v>0</v>
      </c>
      <c r="N39" s="34">
        <f>IFERROR(IF(VLOOKUP(D:D,'테스트(5회)'!C:G,5, 0)="X",1,0),0)</f>
        <v>0</v>
      </c>
      <c r="O39" s="10"/>
    </row>
    <row r="40" spans="2:15" ht="99.75" x14ac:dyDescent="0.3">
      <c r="B40" s="17">
        <v>37</v>
      </c>
      <c r="C40" s="34" t="s">
        <v>728</v>
      </c>
      <c r="D40" s="27" t="s">
        <v>667</v>
      </c>
      <c r="E40" s="27" t="s">
        <v>608</v>
      </c>
      <c r="F40" s="29" t="s">
        <v>768</v>
      </c>
      <c r="G40" s="33">
        <v>1</v>
      </c>
      <c r="H40" s="34">
        <f t="shared" si="0"/>
        <v>0</v>
      </c>
      <c r="I40" s="9"/>
      <c r="J40" s="34">
        <f>IFERROR(IF(VLOOKUP(D:D,'테스트(1회)'!C:G,5, 0)="X",1,0),0)</f>
        <v>0</v>
      </c>
      <c r="K40" s="34">
        <f>IFERROR(IF(VLOOKUP(D:D,'테스트(2회)'!C:G,5, 0)="X",1,0),0)</f>
        <v>0</v>
      </c>
      <c r="L40" s="34">
        <f>IFERROR(IF(VLOOKUP(D:D,'테스트(3회)'!C:G,5, 0)="X",1,0),0)</f>
        <v>0</v>
      </c>
      <c r="M40" s="34">
        <f>IFERROR(IF(VLOOKUP(D:D,'테스트(4회)'!C:G,5, 0)="X",1,0),0)</f>
        <v>0</v>
      </c>
      <c r="N40" s="34">
        <f>IFERROR(IF(VLOOKUP(D:D,'테스트(5회)'!C:G,5, 0)="X",1,0),0)</f>
        <v>0</v>
      </c>
      <c r="O40" s="10"/>
    </row>
    <row r="41" spans="2:15" ht="142.5" x14ac:dyDescent="0.3">
      <c r="B41" s="17">
        <v>38</v>
      </c>
      <c r="C41" s="34" t="s">
        <v>728</v>
      </c>
      <c r="D41" s="27" t="s">
        <v>668</v>
      </c>
      <c r="E41" s="27" t="s">
        <v>608</v>
      </c>
      <c r="F41" s="29" t="s">
        <v>688</v>
      </c>
      <c r="G41" s="33">
        <v>4</v>
      </c>
      <c r="H41" s="34">
        <f t="shared" si="0"/>
        <v>1</v>
      </c>
      <c r="I41" s="9"/>
      <c r="J41" s="34">
        <f>IFERROR(IF(VLOOKUP(D:D,'테스트(1회)'!C:G,5, 0)="X",1,0),0)</f>
        <v>1</v>
      </c>
      <c r="K41" s="34">
        <f>IFERROR(IF(VLOOKUP(D:D,'테스트(2회)'!C:G,5, 0)="X",1,0),0)</f>
        <v>0</v>
      </c>
      <c r="L41" s="34">
        <f>IFERROR(IF(VLOOKUP(D:D,'테스트(3회)'!C:G,5, 0)="X",1,0),0)</f>
        <v>0</v>
      </c>
      <c r="M41" s="34">
        <f>IFERROR(IF(VLOOKUP(D:D,'테스트(4회)'!C:G,5, 0)="X",1,0),0)</f>
        <v>0</v>
      </c>
      <c r="N41" s="34">
        <f>IFERROR(IF(VLOOKUP(D:D,'테스트(5회)'!C:G,5, 0)="X",1,0),0)</f>
        <v>0</v>
      </c>
      <c r="O41" s="10"/>
    </row>
    <row r="42" spans="2:15" ht="99.75" x14ac:dyDescent="0.3">
      <c r="B42" s="17">
        <v>39</v>
      </c>
      <c r="C42" s="34" t="s">
        <v>728</v>
      </c>
      <c r="D42" s="27" t="s">
        <v>669</v>
      </c>
      <c r="E42" s="27" t="s">
        <v>608</v>
      </c>
      <c r="F42" s="29" t="s">
        <v>689</v>
      </c>
      <c r="G42" s="33">
        <v>3</v>
      </c>
      <c r="H42" s="34">
        <f t="shared" si="0"/>
        <v>0</v>
      </c>
      <c r="I42" s="9"/>
      <c r="J42" s="34">
        <f>IFERROR(IF(VLOOKUP(D:D,'테스트(1회)'!C:G,5, 0)="X",1,0),0)</f>
        <v>0</v>
      </c>
      <c r="K42" s="34">
        <f>IFERROR(IF(VLOOKUP(D:D,'테스트(2회)'!C:G,5, 0)="X",1,0),0)</f>
        <v>0</v>
      </c>
      <c r="L42" s="34">
        <f>IFERROR(IF(VLOOKUP(D:D,'테스트(3회)'!C:G,5, 0)="X",1,0),0)</f>
        <v>0</v>
      </c>
      <c r="M42" s="34">
        <f>IFERROR(IF(VLOOKUP(D:D,'테스트(4회)'!C:G,5, 0)="X",1,0),0)</f>
        <v>0</v>
      </c>
      <c r="N42" s="34">
        <f>IFERROR(IF(VLOOKUP(D:D,'테스트(5회)'!C:G,5, 0)="X",1,0),0)</f>
        <v>0</v>
      </c>
      <c r="O42" s="10"/>
    </row>
    <row r="43" spans="2:15" ht="213.75" x14ac:dyDescent="0.3">
      <c r="B43" s="17">
        <v>40</v>
      </c>
      <c r="C43" s="34" t="s">
        <v>728</v>
      </c>
      <c r="D43" s="27" t="s">
        <v>670</v>
      </c>
      <c r="E43" s="27" t="s">
        <v>608</v>
      </c>
      <c r="F43" s="29" t="s">
        <v>690</v>
      </c>
      <c r="G43" s="33">
        <v>2</v>
      </c>
      <c r="H43" s="34">
        <f t="shared" si="0"/>
        <v>0</v>
      </c>
      <c r="I43" s="9"/>
      <c r="J43" s="34">
        <f>IFERROR(IF(VLOOKUP(D:D,'테스트(1회)'!C:G,5, 0)="X",1,0),0)</f>
        <v>0</v>
      </c>
      <c r="K43" s="34">
        <f>IFERROR(IF(VLOOKUP(D:D,'테스트(2회)'!C:G,5, 0)="X",1,0),0)</f>
        <v>0</v>
      </c>
      <c r="L43" s="34">
        <f>IFERROR(IF(VLOOKUP(D:D,'테스트(3회)'!C:G,5, 0)="X",1,0),0)</f>
        <v>0</v>
      </c>
      <c r="M43" s="34">
        <f>IFERROR(IF(VLOOKUP(D:D,'테스트(4회)'!C:G,5, 0)="X",1,0),0)</f>
        <v>0</v>
      </c>
      <c r="N43" s="34">
        <f>IFERROR(IF(VLOOKUP(D:D,'테스트(5회)'!C:G,5, 0)="X",1,0),0)</f>
        <v>0</v>
      </c>
      <c r="O43" s="10"/>
    </row>
    <row r="44" spans="2:15" ht="128.25" x14ac:dyDescent="0.3">
      <c r="B44" s="17">
        <v>41</v>
      </c>
      <c r="C44" s="34" t="s">
        <v>727</v>
      </c>
      <c r="D44" s="27" t="s">
        <v>5</v>
      </c>
      <c r="E44" s="27" t="s">
        <v>608</v>
      </c>
      <c r="F44" s="29" t="s">
        <v>6</v>
      </c>
      <c r="G44" s="33">
        <v>1</v>
      </c>
      <c r="H44" s="34">
        <f t="shared" si="0"/>
        <v>1</v>
      </c>
      <c r="I44" s="9"/>
      <c r="J44" s="34">
        <f>IFERROR(IF(VLOOKUP(D:D,'테스트(1회)'!C:G,5, 0)="X",1,0),0)</f>
        <v>1</v>
      </c>
      <c r="K44" s="34">
        <f>IFERROR(IF(VLOOKUP(D:D,'테스트(2회)'!C:G,5, 0)="X",1,0),0)</f>
        <v>0</v>
      </c>
      <c r="L44" s="34">
        <f>IFERROR(IF(VLOOKUP(D:D,'테스트(3회)'!C:G,5, 0)="X",1,0),0)</f>
        <v>0</v>
      </c>
      <c r="M44" s="34">
        <f>IFERROR(IF(VLOOKUP(D:D,'테스트(4회)'!C:G,5, 0)="X",1,0),0)</f>
        <v>0</v>
      </c>
      <c r="N44" s="34">
        <f>IFERROR(IF(VLOOKUP(D:D,'테스트(5회)'!C:G,5, 0)="X",1,0),0)</f>
        <v>0</v>
      </c>
      <c r="O44" s="10"/>
    </row>
    <row r="45" spans="2:15" ht="156.75" x14ac:dyDescent="0.3">
      <c r="B45" s="17">
        <v>42</v>
      </c>
      <c r="C45" s="34" t="s">
        <v>727</v>
      </c>
      <c r="D45" s="27" t="s">
        <v>7</v>
      </c>
      <c r="E45" s="27" t="s">
        <v>608</v>
      </c>
      <c r="F45" s="29" t="s">
        <v>8</v>
      </c>
      <c r="G45" s="33">
        <v>5</v>
      </c>
      <c r="H45" s="34">
        <f t="shared" si="0"/>
        <v>0</v>
      </c>
      <c r="I45" s="9"/>
      <c r="J45" s="34">
        <f>IFERROR(IF(VLOOKUP(D:D,'테스트(1회)'!C:G,5, 0)="X",1,0),0)</f>
        <v>0</v>
      </c>
      <c r="K45" s="34">
        <f>IFERROR(IF(VLOOKUP(D:D,'테스트(2회)'!C:G,5, 0)="X",1,0),0)</f>
        <v>0</v>
      </c>
      <c r="L45" s="34">
        <f>IFERROR(IF(VLOOKUP(D:D,'테스트(3회)'!C:G,5, 0)="X",1,0),0)</f>
        <v>0</v>
      </c>
      <c r="M45" s="34">
        <f>IFERROR(IF(VLOOKUP(D:D,'테스트(4회)'!C:G,5, 0)="X",1,0),0)</f>
        <v>0</v>
      </c>
      <c r="N45" s="34">
        <f>IFERROR(IF(VLOOKUP(D:D,'테스트(5회)'!C:G,5, 0)="X",1,0),0)</f>
        <v>0</v>
      </c>
      <c r="O45" s="10"/>
    </row>
    <row r="46" spans="2:15" ht="99.75" x14ac:dyDescent="0.3">
      <c r="B46" s="17">
        <v>43</v>
      </c>
      <c r="C46" s="34" t="s">
        <v>727</v>
      </c>
      <c r="D46" s="27" t="s">
        <v>9</v>
      </c>
      <c r="E46" s="27" t="s">
        <v>608</v>
      </c>
      <c r="F46" s="29" t="s">
        <v>10</v>
      </c>
      <c r="G46" s="33">
        <v>5</v>
      </c>
      <c r="H46" s="34">
        <f t="shared" si="0"/>
        <v>1</v>
      </c>
      <c r="I46" s="9"/>
      <c r="J46" s="34">
        <f>IFERROR(IF(VLOOKUP(D:D,'테스트(1회)'!C:G,5, 0)="X",1,0),0)</f>
        <v>1</v>
      </c>
      <c r="K46" s="34">
        <f>IFERROR(IF(VLOOKUP(D:D,'테스트(2회)'!C:G,5, 0)="X",1,0),0)</f>
        <v>0</v>
      </c>
      <c r="L46" s="34">
        <f>IFERROR(IF(VLOOKUP(D:D,'테스트(3회)'!C:G,5, 0)="X",1,0),0)</f>
        <v>0</v>
      </c>
      <c r="M46" s="34">
        <f>IFERROR(IF(VLOOKUP(D:D,'테스트(4회)'!C:G,5, 0)="X",1,0),0)</f>
        <v>0</v>
      </c>
      <c r="N46" s="34">
        <f>IFERROR(IF(VLOOKUP(D:D,'테스트(5회)'!C:G,5, 0)="X",1,0),0)</f>
        <v>0</v>
      </c>
      <c r="O46" s="10"/>
    </row>
    <row r="47" spans="2:15" ht="142.5" x14ac:dyDescent="0.3">
      <c r="B47" s="17">
        <v>44</v>
      </c>
      <c r="C47" s="34" t="s">
        <v>727</v>
      </c>
      <c r="D47" s="27" t="s">
        <v>11</v>
      </c>
      <c r="E47" s="27" t="s">
        <v>608</v>
      </c>
      <c r="F47" s="29" t="s">
        <v>12</v>
      </c>
      <c r="G47" s="33">
        <v>4</v>
      </c>
      <c r="H47" s="34">
        <f t="shared" si="0"/>
        <v>1</v>
      </c>
      <c r="I47" s="9"/>
      <c r="J47" s="34">
        <f>IFERROR(IF(VLOOKUP(D:D,'테스트(1회)'!C:G,5, 0)="X",1,0),0)</f>
        <v>1</v>
      </c>
      <c r="K47" s="34">
        <f>IFERROR(IF(VLOOKUP(D:D,'테스트(2회)'!C:G,5, 0)="X",1,0),0)</f>
        <v>0</v>
      </c>
      <c r="L47" s="34">
        <f>IFERROR(IF(VLOOKUP(D:D,'테스트(3회)'!C:G,5, 0)="X",1,0),0)</f>
        <v>0</v>
      </c>
      <c r="M47" s="34">
        <f>IFERROR(IF(VLOOKUP(D:D,'테스트(4회)'!C:G,5, 0)="X",1,0),0)</f>
        <v>0</v>
      </c>
      <c r="N47" s="34">
        <f>IFERROR(IF(VLOOKUP(D:D,'테스트(5회)'!C:G,5, 0)="X",1,0),0)</f>
        <v>0</v>
      </c>
      <c r="O47" s="10"/>
    </row>
    <row r="48" spans="2:15" ht="128.25" x14ac:dyDescent="0.3">
      <c r="B48" s="17">
        <v>45</v>
      </c>
      <c r="C48" s="34" t="s">
        <v>727</v>
      </c>
      <c r="D48" s="27" t="s">
        <v>13</v>
      </c>
      <c r="E48" s="27" t="s">
        <v>608</v>
      </c>
      <c r="F48" s="29" t="s">
        <v>1097</v>
      </c>
      <c r="G48" s="33">
        <v>2</v>
      </c>
      <c r="H48" s="34">
        <f t="shared" si="0"/>
        <v>0</v>
      </c>
      <c r="I48" s="9"/>
      <c r="J48" s="34">
        <f>IFERROR(IF(VLOOKUP(D:D,'테스트(1회)'!C:G,5, 0)="X",1,0),0)</f>
        <v>0</v>
      </c>
      <c r="K48" s="34">
        <f>IFERROR(IF(VLOOKUP(D:D,'테스트(2회)'!C:G,5, 0)="X",1,0),0)</f>
        <v>0</v>
      </c>
      <c r="L48" s="34">
        <f>IFERROR(IF(VLOOKUP(D:D,'테스트(3회)'!C:G,5, 0)="X",1,0),0)</f>
        <v>0</v>
      </c>
      <c r="M48" s="34">
        <f>IFERROR(IF(VLOOKUP(D:D,'테스트(4회)'!C:G,5, 0)="X",1,0),0)</f>
        <v>0</v>
      </c>
      <c r="N48" s="34">
        <f>IFERROR(IF(VLOOKUP(D:D,'테스트(5회)'!C:G,5, 0)="X",1,0),0)</f>
        <v>0</v>
      </c>
      <c r="O48" s="10"/>
    </row>
    <row r="49" spans="2:16" ht="85.5" x14ac:dyDescent="0.3">
      <c r="B49" s="17">
        <v>46</v>
      </c>
      <c r="C49" s="34" t="s">
        <v>727</v>
      </c>
      <c r="D49" s="27" t="s">
        <v>14</v>
      </c>
      <c r="E49" s="27" t="s">
        <v>608</v>
      </c>
      <c r="F49" s="29" t="s">
        <v>15</v>
      </c>
      <c r="G49" s="33">
        <v>2</v>
      </c>
      <c r="H49" s="34">
        <f t="shared" si="0"/>
        <v>1</v>
      </c>
      <c r="I49" s="9"/>
      <c r="J49" s="34">
        <f>IFERROR(IF(VLOOKUP(D:D,'테스트(1회)'!C:G,5, 0)="X",1,0),0)</f>
        <v>1</v>
      </c>
      <c r="K49" s="34">
        <f>IFERROR(IF(VLOOKUP(D:D,'테스트(2회)'!C:G,5, 0)="X",1,0),0)</f>
        <v>0</v>
      </c>
      <c r="L49" s="34">
        <f>IFERROR(IF(VLOOKUP(D:D,'테스트(3회)'!C:G,5, 0)="X",1,0),0)</f>
        <v>0</v>
      </c>
      <c r="M49" s="34">
        <f>IFERROR(IF(VLOOKUP(D:D,'테스트(4회)'!C:G,5, 0)="X",1,0),0)</f>
        <v>0</v>
      </c>
      <c r="N49" s="34">
        <f>IFERROR(IF(VLOOKUP(D:D,'테스트(5회)'!C:G,5, 0)="X",1,0),0)</f>
        <v>0</v>
      </c>
      <c r="O49" s="10"/>
    </row>
    <row r="50" spans="2:16" ht="85.5" x14ac:dyDescent="0.3">
      <c r="B50" s="17">
        <v>47</v>
      </c>
      <c r="C50" s="34" t="s">
        <v>727</v>
      </c>
      <c r="D50" s="27" t="s">
        <v>16</v>
      </c>
      <c r="E50" s="27" t="s">
        <v>608</v>
      </c>
      <c r="F50" s="29" t="s">
        <v>769</v>
      </c>
      <c r="G50" s="33">
        <v>1</v>
      </c>
      <c r="H50" s="34">
        <f t="shared" si="0"/>
        <v>0</v>
      </c>
      <c r="I50" s="9"/>
      <c r="J50" s="34">
        <f>IFERROR(IF(VLOOKUP(D:D,'테스트(1회)'!C:G,5, 0)="X",1,0),0)</f>
        <v>0</v>
      </c>
      <c r="K50" s="34">
        <f>IFERROR(IF(VLOOKUP(D:D,'테스트(2회)'!C:G,5, 0)="X",1,0),0)</f>
        <v>0</v>
      </c>
      <c r="L50" s="34">
        <f>IFERROR(IF(VLOOKUP(D:D,'테스트(3회)'!C:G,5, 0)="X",1,0),0)</f>
        <v>0</v>
      </c>
      <c r="M50" s="34">
        <f>IFERROR(IF(VLOOKUP(D:D,'테스트(4회)'!C:G,5, 0)="X",1,0),0)</f>
        <v>0</v>
      </c>
      <c r="N50" s="34">
        <f>IFERROR(IF(VLOOKUP(D:D,'테스트(5회)'!C:G,5, 0)="X",1,0),0)</f>
        <v>0</v>
      </c>
      <c r="O50" s="10"/>
    </row>
    <row r="51" spans="2:16" ht="142.5" x14ac:dyDescent="0.3">
      <c r="B51" s="17">
        <v>48</v>
      </c>
      <c r="C51" s="34" t="s">
        <v>727</v>
      </c>
      <c r="D51" s="27" t="s">
        <v>17</v>
      </c>
      <c r="E51" s="27" t="s">
        <v>608</v>
      </c>
      <c r="F51" s="29" t="s">
        <v>18</v>
      </c>
      <c r="G51" s="33">
        <v>5</v>
      </c>
      <c r="H51" s="34">
        <f t="shared" si="0"/>
        <v>0</v>
      </c>
      <c r="I51" s="9"/>
      <c r="J51" s="34">
        <f>IFERROR(IF(VLOOKUP(D:D,'테스트(1회)'!C:G,5, 0)="X",1,0),0)</f>
        <v>0</v>
      </c>
      <c r="K51" s="34">
        <f>IFERROR(IF(VLOOKUP(D:D,'테스트(2회)'!C:G,5, 0)="X",1,0),0)</f>
        <v>0</v>
      </c>
      <c r="L51" s="34">
        <f>IFERROR(IF(VLOOKUP(D:D,'테스트(3회)'!C:G,5, 0)="X",1,0),0)</f>
        <v>0</v>
      </c>
      <c r="M51" s="34">
        <f>IFERROR(IF(VLOOKUP(D:D,'테스트(4회)'!C:G,5, 0)="X",1,0),0)</f>
        <v>0</v>
      </c>
      <c r="N51" s="34">
        <f>IFERROR(IF(VLOOKUP(D:D,'테스트(5회)'!C:G,5, 0)="X",1,0),0)</f>
        <v>0</v>
      </c>
      <c r="O51" s="10"/>
    </row>
    <row r="52" spans="2:16" ht="142.5" x14ac:dyDescent="0.3">
      <c r="B52" s="17">
        <v>49</v>
      </c>
      <c r="C52" s="34" t="s">
        <v>727</v>
      </c>
      <c r="D52" s="27" t="s">
        <v>19</v>
      </c>
      <c r="E52" s="27" t="s">
        <v>608</v>
      </c>
      <c r="F52" s="29" t="s">
        <v>753</v>
      </c>
      <c r="G52" s="33">
        <v>1</v>
      </c>
      <c r="H52" s="34">
        <f t="shared" si="0"/>
        <v>0</v>
      </c>
      <c r="I52" s="9"/>
      <c r="J52" s="34">
        <f>IFERROR(IF(VLOOKUP(D:D,'테스트(1회)'!C:G,5, 0)="X",1,0),0)</f>
        <v>0</v>
      </c>
      <c r="K52" s="34">
        <f>IFERROR(IF(VLOOKUP(D:D,'테스트(2회)'!C:G,5, 0)="X",1,0),0)</f>
        <v>0</v>
      </c>
      <c r="L52" s="34">
        <f>IFERROR(IF(VLOOKUP(D:D,'테스트(3회)'!C:G,5, 0)="X",1,0),0)</f>
        <v>0</v>
      </c>
      <c r="M52" s="34">
        <f>IFERROR(IF(VLOOKUP(D:D,'테스트(4회)'!C:G,5, 0)="X",1,0),0)</f>
        <v>0</v>
      </c>
      <c r="N52" s="34">
        <f>IFERROR(IF(VLOOKUP(D:D,'테스트(5회)'!C:G,5, 0)="X",1,0),0)</f>
        <v>0</v>
      </c>
      <c r="O52" s="10"/>
    </row>
    <row r="53" spans="2:16" ht="142.5" x14ac:dyDescent="0.3">
      <c r="B53" s="17">
        <v>50</v>
      </c>
      <c r="C53" s="34" t="s">
        <v>727</v>
      </c>
      <c r="D53" s="27" t="s">
        <v>20</v>
      </c>
      <c r="E53" s="27" t="s">
        <v>608</v>
      </c>
      <c r="F53" s="29" t="s">
        <v>21</v>
      </c>
      <c r="G53" s="33">
        <v>4</v>
      </c>
      <c r="H53" s="34">
        <f t="shared" si="0"/>
        <v>1</v>
      </c>
      <c r="I53" s="9"/>
      <c r="J53" s="34">
        <f>IFERROR(IF(VLOOKUP(D:D,'테스트(1회)'!C:G,5, 0)="X",1,0),0)</f>
        <v>1</v>
      </c>
      <c r="K53" s="34">
        <f>IFERROR(IF(VLOOKUP(D:D,'테스트(2회)'!C:G,5, 0)="X",1,0),0)</f>
        <v>0</v>
      </c>
      <c r="L53" s="34">
        <f>IFERROR(IF(VLOOKUP(D:D,'테스트(3회)'!C:G,5, 0)="X",1,0),0)</f>
        <v>0</v>
      </c>
      <c r="M53" s="34">
        <f>IFERROR(IF(VLOOKUP(D:D,'테스트(4회)'!C:G,5, 0)="X",1,0),0)</f>
        <v>0</v>
      </c>
      <c r="N53" s="34">
        <f>IFERROR(IF(VLOOKUP(D:D,'테스트(5회)'!C:G,5, 0)="X",1,0),0)</f>
        <v>0</v>
      </c>
      <c r="O53" s="10"/>
    </row>
    <row r="54" spans="2:16" ht="156.75" x14ac:dyDescent="0.3">
      <c r="B54" s="17">
        <v>51</v>
      </c>
      <c r="C54" s="34" t="s">
        <v>727</v>
      </c>
      <c r="D54" s="27" t="s">
        <v>22</v>
      </c>
      <c r="E54" s="27" t="s">
        <v>608</v>
      </c>
      <c r="F54" s="29" t="s">
        <v>23</v>
      </c>
      <c r="G54" s="33">
        <v>3</v>
      </c>
      <c r="H54" s="34">
        <f t="shared" si="0"/>
        <v>0</v>
      </c>
      <c r="I54" s="9"/>
      <c r="J54" s="34">
        <f>IFERROR(IF(VLOOKUP(D:D,'테스트(1회)'!C:G,5, 0)="X",1,0),0)</f>
        <v>0</v>
      </c>
      <c r="K54" s="34">
        <f>IFERROR(IF(VLOOKUP(D:D,'테스트(2회)'!C:G,5, 0)="X",1,0),0)</f>
        <v>0</v>
      </c>
      <c r="L54" s="34">
        <f>IFERROR(IF(VLOOKUP(D:D,'테스트(3회)'!C:G,5, 0)="X",1,0),0)</f>
        <v>0</v>
      </c>
      <c r="M54" s="34">
        <f>IFERROR(IF(VLOOKUP(D:D,'테스트(4회)'!C:G,5, 0)="X",1,0),0)</f>
        <v>0</v>
      </c>
      <c r="N54" s="34">
        <f>IFERROR(IF(VLOOKUP(D:D,'테스트(5회)'!C:G,5, 0)="X",1,0),0)</f>
        <v>0</v>
      </c>
      <c r="O54" s="10"/>
    </row>
    <row r="55" spans="2:16" ht="99.75" x14ac:dyDescent="0.3">
      <c r="B55" s="17">
        <v>52</v>
      </c>
      <c r="C55" s="34" t="s">
        <v>727</v>
      </c>
      <c r="D55" s="27" t="s">
        <v>24</v>
      </c>
      <c r="E55" s="27" t="s">
        <v>608</v>
      </c>
      <c r="F55" s="29" t="s">
        <v>754</v>
      </c>
      <c r="G55" s="33">
        <v>4</v>
      </c>
      <c r="H55" s="34">
        <f t="shared" si="0"/>
        <v>0</v>
      </c>
      <c r="I55" s="9"/>
      <c r="J55" s="34">
        <f>IFERROR(IF(VLOOKUP(D:D,'테스트(1회)'!C:G,5, 0)="X",1,0),0)</f>
        <v>0</v>
      </c>
      <c r="K55" s="34">
        <f>IFERROR(IF(VLOOKUP(D:D,'테스트(2회)'!C:G,5, 0)="X",1,0),0)</f>
        <v>0</v>
      </c>
      <c r="L55" s="34">
        <f>IFERROR(IF(VLOOKUP(D:D,'테스트(3회)'!C:G,5, 0)="X",1,0),0)</f>
        <v>0</v>
      </c>
      <c r="M55" s="34">
        <f>IFERROR(IF(VLOOKUP(D:D,'테스트(4회)'!C:G,5, 0)="X",1,0),0)</f>
        <v>0</v>
      </c>
      <c r="N55" s="34">
        <f>IFERROR(IF(VLOOKUP(D:D,'테스트(5회)'!C:G,5, 0)="X",1,0),0)</f>
        <v>0</v>
      </c>
      <c r="O55" s="10"/>
    </row>
    <row r="56" spans="2:16" ht="142.5" x14ac:dyDescent="0.3">
      <c r="B56" s="17">
        <v>53</v>
      </c>
      <c r="C56" s="34" t="s">
        <v>727</v>
      </c>
      <c r="D56" s="27" t="s">
        <v>25</v>
      </c>
      <c r="E56" s="27" t="s">
        <v>608</v>
      </c>
      <c r="F56" s="29" t="s">
        <v>1106</v>
      </c>
      <c r="G56" s="33">
        <v>3</v>
      </c>
      <c r="H56" s="34">
        <f t="shared" si="0"/>
        <v>0</v>
      </c>
      <c r="I56" s="9"/>
      <c r="J56" s="34">
        <f>IFERROR(IF(VLOOKUP(D:D,'테스트(1회)'!C:G,5, 0)="X",1,0),0)</f>
        <v>0</v>
      </c>
      <c r="K56" s="34">
        <f>IFERROR(IF(VLOOKUP(D:D,'테스트(2회)'!C:G,5, 0)="X",1,0),0)</f>
        <v>0</v>
      </c>
      <c r="L56" s="34">
        <f>IFERROR(IF(VLOOKUP(D:D,'테스트(3회)'!C:G,5, 0)="X",1,0),0)</f>
        <v>0</v>
      </c>
      <c r="M56" s="34">
        <f>IFERROR(IF(VLOOKUP(D:D,'테스트(4회)'!C:G,5, 0)="X",1,0),0)</f>
        <v>0</v>
      </c>
      <c r="N56" s="34">
        <f>IFERROR(IF(VLOOKUP(D:D,'테스트(5회)'!C:G,5, 0)="X",1,0),0)</f>
        <v>0</v>
      </c>
      <c r="O56" s="10" t="s">
        <v>1105</v>
      </c>
      <c r="P56" s="12" t="s">
        <v>26</v>
      </c>
    </row>
    <row r="57" spans="2:16" ht="156.75" x14ac:dyDescent="0.3">
      <c r="B57" s="17">
        <v>54</v>
      </c>
      <c r="C57" s="34" t="s">
        <v>727</v>
      </c>
      <c r="D57" s="27" t="s">
        <v>27</v>
      </c>
      <c r="E57" s="27" t="s">
        <v>608</v>
      </c>
      <c r="F57" s="29" t="s">
        <v>28</v>
      </c>
      <c r="G57" s="33">
        <v>2</v>
      </c>
      <c r="H57" s="34">
        <f t="shared" si="0"/>
        <v>1</v>
      </c>
      <c r="I57" s="9"/>
      <c r="J57" s="34">
        <f>IFERROR(IF(VLOOKUP(D:D,'테스트(1회)'!C:G,5, 0)="X",1,0),0)</f>
        <v>1</v>
      </c>
      <c r="K57" s="34">
        <f>IFERROR(IF(VLOOKUP(D:D,'테스트(2회)'!C:G,5, 0)="X",1,0),0)</f>
        <v>0</v>
      </c>
      <c r="L57" s="34">
        <f>IFERROR(IF(VLOOKUP(D:D,'테스트(3회)'!C:G,5, 0)="X",1,0),0)</f>
        <v>0</v>
      </c>
      <c r="M57" s="34">
        <f>IFERROR(IF(VLOOKUP(D:D,'테스트(4회)'!C:G,5, 0)="X",1,0),0)</f>
        <v>0</v>
      </c>
      <c r="N57" s="34">
        <f>IFERROR(IF(VLOOKUP(D:D,'테스트(5회)'!C:G,5, 0)="X",1,0),0)</f>
        <v>0</v>
      </c>
      <c r="O57" s="10"/>
    </row>
    <row r="58" spans="2:16" ht="99.75" x14ac:dyDescent="0.3">
      <c r="B58" s="17">
        <v>55</v>
      </c>
      <c r="C58" s="34" t="s">
        <v>727</v>
      </c>
      <c r="D58" s="27" t="s">
        <v>29</v>
      </c>
      <c r="E58" s="27" t="s">
        <v>608</v>
      </c>
      <c r="F58" s="29" t="s">
        <v>30</v>
      </c>
      <c r="G58" s="33">
        <v>4</v>
      </c>
      <c r="H58" s="34">
        <f t="shared" si="0"/>
        <v>0</v>
      </c>
      <c r="I58" s="9"/>
      <c r="J58" s="34">
        <f>IFERROR(IF(VLOOKUP(D:D,'테스트(1회)'!C:G,5, 0)="X",1,0),0)</f>
        <v>0</v>
      </c>
      <c r="K58" s="34">
        <f>IFERROR(IF(VLOOKUP(D:D,'테스트(2회)'!C:G,5, 0)="X",1,0),0)</f>
        <v>0</v>
      </c>
      <c r="L58" s="34">
        <f>IFERROR(IF(VLOOKUP(D:D,'테스트(3회)'!C:G,5, 0)="X",1,0),0)</f>
        <v>0</v>
      </c>
      <c r="M58" s="34">
        <f>IFERROR(IF(VLOOKUP(D:D,'테스트(4회)'!C:G,5, 0)="X",1,0),0)</f>
        <v>0</v>
      </c>
      <c r="N58" s="34">
        <f>IFERROR(IF(VLOOKUP(D:D,'테스트(5회)'!C:G,5, 0)="X",1,0),0)</f>
        <v>0</v>
      </c>
      <c r="O58" s="10"/>
    </row>
    <row r="59" spans="2:16" ht="85.5" x14ac:dyDescent="0.3">
      <c r="B59" s="17">
        <v>56</v>
      </c>
      <c r="C59" s="34" t="s">
        <v>727</v>
      </c>
      <c r="D59" s="27" t="s">
        <v>31</v>
      </c>
      <c r="E59" s="27" t="s">
        <v>608</v>
      </c>
      <c r="F59" s="29" t="s">
        <v>32</v>
      </c>
      <c r="G59" s="33">
        <v>3</v>
      </c>
      <c r="H59" s="34">
        <f t="shared" si="0"/>
        <v>0</v>
      </c>
      <c r="I59" s="9"/>
      <c r="J59" s="34">
        <f>IFERROR(IF(VLOOKUP(D:D,'테스트(1회)'!C:G,5, 0)="X",1,0),0)</f>
        <v>0</v>
      </c>
      <c r="K59" s="34">
        <f>IFERROR(IF(VLOOKUP(D:D,'테스트(2회)'!C:G,5, 0)="X",1,0),0)</f>
        <v>0</v>
      </c>
      <c r="L59" s="34">
        <f>IFERROR(IF(VLOOKUP(D:D,'테스트(3회)'!C:G,5, 0)="X",1,0),0)</f>
        <v>0</v>
      </c>
      <c r="M59" s="34">
        <f>IFERROR(IF(VLOOKUP(D:D,'테스트(4회)'!C:G,5, 0)="X",1,0),0)</f>
        <v>0</v>
      </c>
      <c r="N59" s="34">
        <f>IFERROR(IF(VLOOKUP(D:D,'테스트(5회)'!C:G,5, 0)="X",1,0),0)</f>
        <v>0</v>
      </c>
      <c r="O59" s="10"/>
    </row>
    <row r="60" spans="2:16" ht="99.75" x14ac:dyDescent="0.3">
      <c r="B60" s="17">
        <v>57</v>
      </c>
      <c r="C60" s="34" t="s">
        <v>727</v>
      </c>
      <c r="D60" s="27" t="s">
        <v>33</v>
      </c>
      <c r="E60" s="27" t="s">
        <v>608</v>
      </c>
      <c r="F60" s="29" t="s">
        <v>1108</v>
      </c>
      <c r="G60" s="33">
        <v>2</v>
      </c>
      <c r="H60" s="34">
        <f t="shared" si="0"/>
        <v>0</v>
      </c>
      <c r="I60" s="9"/>
      <c r="J60" s="34">
        <f>IFERROR(IF(VLOOKUP(D:D,'테스트(1회)'!C:G,5, 0)="X",1,0),0)</f>
        <v>0</v>
      </c>
      <c r="K60" s="34">
        <f>IFERROR(IF(VLOOKUP(D:D,'테스트(2회)'!C:G,5, 0)="X",1,0),0)</f>
        <v>0</v>
      </c>
      <c r="L60" s="34">
        <f>IFERROR(IF(VLOOKUP(D:D,'테스트(3회)'!C:G,5, 0)="X",1,0),0)</f>
        <v>0</v>
      </c>
      <c r="M60" s="34">
        <f>IFERROR(IF(VLOOKUP(D:D,'테스트(4회)'!C:G,5, 0)="X",1,0),0)</f>
        <v>0</v>
      </c>
      <c r="N60" s="34">
        <f>IFERROR(IF(VLOOKUP(D:D,'테스트(5회)'!C:G,5, 0)="X",1,0),0)</f>
        <v>0</v>
      </c>
      <c r="O60" s="10"/>
    </row>
    <row r="61" spans="2:16" ht="199.5" x14ac:dyDescent="0.3">
      <c r="B61" s="17">
        <v>58</v>
      </c>
      <c r="C61" s="34" t="s">
        <v>727</v>
      </c>
      <c r="D61" s="27" t="s">
        <v>34</v>
      </c>
      <c r="E61" s="27" t="s">
        <v>608</v>
      </c>
      <c r="F61" s="29" t="s">
        <v>1107</v>
      </c>
      <c r="G61" s="33">
        <v>3</v>
      </c>
      <c r="H61" s="34">
        <f t="shared" si="0"/>
        <v>0</v>
      </c>
      <c r="I61" s="9"/>
      <c r="J61" s="34">
        <f>IFERROR(IF(VLOOKUP(D:D,'테스트(1회)'!C:G,5, 0)="X",1,0),0)</f>
        <v>0</v>
      </c>
      <c r="K61" s="34">
        <f>IFERROR(IF(VLOOKUP(D:D,'테스트(2회)'!C:G,5, 0)="X",1,0),0)</f>
        <v>0</v>
      </c>
      <c r="L61" s="34">
        <f>IFERROR(IF(VLOOKUP(D:D,'테스트(3회)'!C:G,5, 0)="X",1,0),0)</f>
        <v>0</v>
      </c>
      <c r="M61" s="34">
        <f>IFERROR(IF(VLOOKUP(D:D,'테스트(4회)'!C:G,5, 0)="X",1,0),0)</f>
        <v>0</v>
      </c>
      <c r="N61" s="34">
        <f>IFERROR(IF(VLOOKUP(D:D,'테스트(5회)'!C:G,5, 0)="X",1,0),0)</f>
        <v>0</v>
      </c>
      <c r="O61" s="10"/>
    </row>
    <row r="62" spans="2:16" ht="99.75" x14ac:dyDescent="0.3">
      <c r="B62" s="17">
        <v>59</v>
      </c>
      <c r="C62" s="34" t="s">
        <v>727</v>
      </c>
      <c r="D62" s="27" t="s">
        <v>35</v>
      </c>
      <c r="E62" s="27" t="s">
        <v>608</v>
      </c>
      <c r="F62" s="29" t="s">
        <v>770</v>
      </c>
      <c r="G62" s="33">
        <v>1</v>
      </c>
      <c r="H62" s="34">
        <f t="shared" si="0"/>
        <v>0</v>
      </c>
      <c r="I62" s="9"/>
      <c r="J62" s="34">
        <f>IFERROR(IF(VLOOKUP(D:D,'테스트(1회)'!C:G,5, 0)="X",1,0),0)</f>
        <v>0</v>
      </c>
      <c r="K62" s="34">
        <f>IFERROR(IF(VLOOKUP(D:D,'테스트(2회)'!C:G,5, 0)="X",1,0),0)</f>
        <v>0</v>
      </c>
      <c r="L62" s="34">
        <f>IFERROR(IF(VLOOKUP(D:D,'테스트(3회)'!C:G,5, 0)="X",1,0),0)</f>
        <v>0</v>
      </c>
      <c r="M62" s="34">
        <f>IFERROR(IF(VLOOKUP(D:D,'테스트(4회)'!C:G,5, 0)="X",1,0),0)</f>
        <v>0</v>
      </c>
      <c r="N62" s="34">
        <f>IFERROR(IF(VLOOKUP(D:D,'테스트(5회)'!C:G,5, 0)="X",1,0),0)</f>
        <v>0</v>
      </c>
      <c r="O62" s="10"/>
    </row>
    <row r="63" spans="2:16" ht="128.25" x14ac:dyDescent="0.3">
      <c r="B63" s="17">
        <v>60</v>
      </c>
      <c r="C63" s="34" t="s">
        <v>727</v>
      </c>
      <c r="D63" s="27" t="s">
        <v>36</v>
      </c>
      <c r="E63" s="27" t="s">
        <v>608</v>
      </c>
      <c r="F63" s="29" t="s">
        <v>1110</v>
      </c>
      <c r="G63" s="33">
        <v>3</v>
      </c>
      <c r="H63" s="34">
        <f t="shared" si="0"/>
        <v>1</v>
      </c>
      <c r="I63" s="9"/>
      <c r="J63" s="34">
        <f>IFERROR(IF(VLOOKUP(D:D,'테스트(1회)'!C:G,5, 0)="X",1,0),0)</f>
        <v>1</v>
      </c>
      <c r="K63" s="34">
        <f>IFERROR(IF(VLOOKUP(D:D,'테스트(2회)'!C:G,5, 0)="X",1,0),0)</f>
        <v>0</v>
      </c>
      <c r="L63" s="34">
        <f>IFERROR(IF(VLOOKUP(D:D,'테스트(3회)'!C:G,5, 0)="X",1,0),0)</f>
        <v>0</v>
      </c>
      <c r="M63" s="34">
        <f>IFERROR(IF(VLOOKUP(D:D,'테스트(4회)'!C:G,5, 0)="X",1,0),0)</f>
        <v>0</v>
      </c>
      <c r="N63" s="34">
        <f>IFERROR(IF(VLOOKUP(D:D,'테스트(5회)'!C:G,5, 0)="X",1,0),0)</f>
        <v>0</v>
      </c>
      <c r="O63" s="10" t="s">
        <v>1109</v>
      </c>
      <c r="P63" s="12" t="s">
        <v>621</v>
      </c>
    </row>
    <row r="64" spans="2:16" ht="85.5" x14ac:dyDescent="0.3">
      <c r="B64" s="17">
        <v>61</v>
      </c>
      <c r="C64" s="34" t="s">
        <v>727</v>
      </c>
      <c r="D64" s="27" t="s">
        <v>37</v>
      </c>
      <c r="E64" s="27" t="s">
        <v>608</v>
      </c>
      <c r="F64" s="29" t="s">
        <v>38</v>
      </c>
      <c r="G64" s="33">
        <v>4</v>
      </c>
      <c r="H64" s="34">
        <f t="shared" si="0"/>
        <v>1</v>
      </c>
      <c r="I64" s="9"/>
      <c r="J64" s="34">
        <f>IFERROR(IF(VLOOKUP(D:D,'테스트(1회)'!C:G,5, 0)="X",1,0),0)</f>
        <v>1</v>
      </c>
      <c r="K64" s="34">
        <f>IFERROR(IF(VLOOKUP(D:D,'테스트(2회)'!C:G,5, 0)="X",1,0),0)</f>
        <v>0</v>
      </c>
      <c r="L64" s="34">
        <f>IFERROR(IF(VLOOKUP(D:D,'테스트(3회)'!C:G,5, 0)="X",1,0),0)</f>
        <v>0</v>
      </c>
      <c r="M64" s="34">
        <f>IFERROR(IF(VLOOKUP(D:D,'테스트(4회)'!C:G,5, 0)="X",1,0),0)</f>
        <v>0</v>
      </c>
      <c r="N64" s="34">
        <f>IFERROR(IF(VLOOKUP(D:D,'테스트(5회)'!C:G,5, 0)="X",1,0),0)</f>
        <v>0</v>
      </c>
      <c r="O64" s="10"/>
    </row>
    <row r="65" spans="2:15" ht="85.5" x14ac:dyDescent="0.3">
      <c r="B65" s="17">
        <v>62</v>
      </c>
      <c r="C65" s="34" t="s">
        <v>727</v>
      </c>
      <c r="D65" s="27" t="s">
        <v>39</v>
      </c>
      <c r="E65" s="27" t="s">
        <v>608</v>
      </c>
      <c r="F65" s="29" t="s">
        <v>40</v>
      </c>
      <c r="G65" s="33">
        <v>3</v>
      </c>
      <c r="H65" s="34">
        <f t="shared" si="0"/>
        <v>0</v>
      </c>
      <c r="I65" s="9"/>
      <c r="J65" s="34">
        <f>IFERROR(IF(VLOOKUP(D:D,'테스트(1회)'!C:G,5, 0)="X",1,0),0)</f>
        <v>0</v>
      </c>
      <c r="K65" s="34">
        <f>IFERROR(IF(VLOOKUP(D:D,'테스트(2회)'!C:G,5, 0)="X",1,0),0)</f>
        <v>0</v>
      </c>
      <c r="L65" s="34">
        <f>IFERROR(IF(VLOOKUP(D:D,'테스트(3회)'!C:G,5, 0)="X",1,0),0)</f>
        <v>0</v>
      </c>
      <c r="M65" s="34">
        <f>IFERROR(IF(VLOOKUP(D:D,'테스트(4회)'!C:G,5, 0)="X",1,0),0)</f>
        <v>0</v>
      </c>
      <c r="N65" s="34">
        <f>IFERROR(IF(VLOOKUP(D:D,'테스트(5회)'!C:G,5, 0)="X",1,0),0)</f>
        <v>0</v>
      </c>
      <c r="O65" s="10"/>
    </row>
    <row r="66" spans="2:15" ht="142.5" x14ac:dyDescent="0.3">
      <c r="B66" s="17">
        <v>63</v>
      </c>
      <c r="C66" s="34" t="s">
        <v>727</v>
      </c>
      <c r="D66" s="27" t="s">
        <v>629</v>
      </c>
      <c r="E66" s="27" t="s">
        <v>608</v>
      </c>
      <c r="F66" s="29" t="s">
        <v>771</v>
      </c>
      <c r="G66" s="33">
        <v>5</v>
      </c>
      <c r="H66" s="34">
        <f t="shared" si="0"/>
        <v>1</v>
      </c>
      <c r="I66" s="9"/>
      <c r="J66" s="34">
        <f>IFERROR(IF(VLOOKUP(D:D,'테스트(1회)'!C:G,5, 0)="X",1,0),0)</f>
        <v>1</v>
      </c>
      <c r="K66" s="34">
        <f>IFERROR(IF(VLOOKUP(D:D,'테스트(2회)'!C:G,5, 0)="X",1,0),0)</f>
        <v>0</v>
      </c>
      <c r="L66" s="34">
        <f>IFERROR(IF(VLOOKUP(D:D,'테스트(3회)'!C:G,5, 0)="X",1,0),0)</f>
        <v>0</v>
      </c>
      <c r="M66" s="34">
        <f>IFERROR(IF(VLOOKUP(D:D,'테스트(4회)'!C:G,5, 0)="X",1,0),0)</f>
        <v>0</v>
      </c>
      <c r="N66" s="34">
        <f>IFERROR(IF(VLOOKUP(D:D,'테스트(5회)'!C:G,5, 0)="X",1,0),0)</f>
        <v>0</v>
      </c>
      <c r="O66" s="10"/>
    </row>
    <row r="67" spans="2:15" ht="99.75" x14ac:dyDescent="0.3">
      <c r="B67" s="17">
        <v>64</v>
      </c>
      <c r="C67" s="34" t="s">
        <v>727</v>
      </c>
      <c r="D67" s="27" t="s">
        <v>41</v>
      </c>
      <c r="E67" s="27" t="s">
        <v>608</v>
      </c>
      <c r="F67" s="29" t="s">
        <v>42</v>
      </c>
      <c r="G67" s="33">
        <v>2</v>
      </c>
      <c r="H67" s="34">
        <f t="shared" si="0"/>
        <v>0</v>
      </c>
      <c r="I67" s="9"/>
      <c r="J67" s="34">
        <f>IFERROR(IF(VLOOKUP(D:D,'테스트(1회)'!C:G,5, 0)="X",1,0),0)</f>
        <v>0</v>
      </c>
      <c r="K67" s="34">
        <f>IFERROR(IF(VLOOKUP(D:D,'테스트(2회)'!C:G,5, 0)="X",1,0),0)</f>
        <v>0</v>
      </c>
      <c r="L67" s="34">
        <f>IFERROR(IF(VLOOKUP(D:D,'테스트(3회)'!C:G,5, 0)="X",1,0),0)</f>
        <v>0</v>
      </c>
      <c r="M67" s="34">
        <f>IFERROR(IF(VLOOKUP(D:D,'테스트(4회)'!C:G,5, 0)="X",1,0),0)</f>
        <v>0</v>
      </c>
      <c r="N67" s="34">
        <f>IFERROR(IF(VLOOKUP(D:D,'테스트(5회)'!C:G,5, 0)="X",1,0),0)</f>
        <v>0</v>
      </c>
      <c r="O67" s="10"/>
    </row>
    <row r="68" spans="2:15" ht="185.25" x14ac:dyDescent="0.3">
      <c r="B68" s="17">
        <v>65</v>
      </c>
      <c r="C68" s="34" t="s">
        <v>727</v>
      </c>
      <c r="D68" s="27" t="s">
        <v>43</v>
      </c>
      <c r="E68" s="27" t="s">
        <v>608</v>
      </c>
      <c r="F68" s="29" t="s">
        <v>565</v>
      </c>
      <c r="G68" s="33">
        <v>3</v>
      </c>
      <c r="H68" s="34">
        <f t="shared" ref="H68:H131" si="1">SUM(J68:N68)</f>
        <v>0</v>
      </c>
      <c r="I68" s="9"/>
      <c r="J68" s="34">
        <f>IFERROR(IF(VLOOKUP(D:D,'테스트(1회)'!C:G,5, 0)="X",1,0),0)</f>
        <v>0</v>
      </c>
      <c r="K68" s="34">
        <f>IFERROR(IF(VLOOKUP(D:D,'테스트(2회)'!C:G,5, 0)="X",1,0),0)</f>
        <v>0</v>
      </c>
      <c r="L68" s="34">
        <f>IFERROR(IF(VLOOKUP(D:D,'테스트(3회)'!C:G,5, 0)="X",1,0),0)</f>
        <v>0</v>
      </c>
      <c r="M68" s="34">
        <f>IFERROR(IF(VLOOKUP(D:D,'테스트(4회)'!C:G,5, 0)="X",1,0),0)</f>
        <v>0</v>
      </c>
      <c r="N68" s="34">
        <f>IFERROR(IF(VLOOKUP(D:D,'테스트(5회)'!C:G,5, 0)="X",1,0),0)</f>
        <v>0</v>
      </c>
      <c r="O68" s="10"/>
    </row>
    <row r="69" spans="2:15" ht="85.5" x14ac:dyDescent="0.3">
      <c r="B69" s="17">
        <v>66</v>
      </c>
      <c r="C69" s="34" t="s">
        <v>731</v>
      </c>
      <c r="D69" s="27" t="s">
        <v>566</v>
      </c>
      <c r="E69" s="27" t="s">
        <v>608</v>
      </c>
      <c r="F69" s="29" t="s">
        <v>599</v>
      </c>
      <c r="G69" s="33">
        <v>4</v>
      </c>
      <c r="H69" s="34">
        <f t="shared" si="1"/>
        <v>1</v>
      </c>
      <c r="I69" s="9"/>
      <c r="J69" s="34">
        <f>IFERROR(IF(VLOOKUP(D:D,'테스트(1회)'!C:G,5, 0)="X",1,0),0)</f>
        <v>1</v>
      </c>
      <c r="K69" s="34">
        <f>IFERROR(IF(VLOOKUP(D:D,'테스트(2회)'!C:G,5, 0)="X",1,0),0)</f>
        <v>0</v>
      </c>
      <c r="L69" s="34">
        <f>IFERROR(IF(VLOOKUP(D:D,'테스트(3회)'!C:G,5, 0)="X",1,0),0)</f>
        <v>0</v>
      </c>
      <c r="M69" s="34">
        <f>IFERROR(IF(VLOOKUP(D:D,'테스트(4회)'!C:G,5, 0)="X",1,0),0)</f>
        <v>0</v>
      </c>
      <c r="N69" s="34">
        <f>IFERROR(IF(VLOOKUP(D:D,'테스트(5회)'!C:G,5, 0)="X",1,0),0)</f>
        <v>0</v>
      </c>
      <c r="O69" s="10"/>
    </row>
    <row r="70" spans="2:15" ht="99.75" x14ac:dyDescent="0.3">
      <c r="B70" s="17">
        <v>67</v>
      </c>
      <c r="C70" s="34" t="s">
        <v>731</v>
      </c>
      <c r="D70" s="27" t="s">
        <v>567</v>
      </c>
      <c r="E70" s="27" t="s">
        <v>608</v>
      </c>
      <c r="F70" s="29" t="s">
        <v>601</v>
      </c>
      <c r="G70" s="33">
        <v>3</v>
      </c>
      <c r="H70" s="34">
        <f t="shared" si="1"/>
        <v>0</v>
      </c>
      <c r="I70" s="9"/>
      <c r="J70" s="34">
        <f>IFERROR(IF(VLOOKUP(D:D,'테스트(1회)'!C:G,5, 0)="X",1,0),0)</f>
        <v>0</v>
      </c>
      <c r="K70" s="34">
        <f>IFERROR(IF(VLOOKUP(D:D,'테스트(2회)'!C:G,5, 0)="X",1,0),0)</f>
        <v>0</v>
      </c>
      <c r="L70" s="34">
        <f>IFERROR(IF(VLOOKUP(D:D,'테스트(3회)'!C:G,5, 0)="X",1,0),0)</f>
        <v>0</v>
      </c>
      <c r="M70" s="34">
        <f>IFERROR(IF(VLOOKUP(D:D,'테스트(4회)'!C:G,5, 0)="X",1,0),0)</f>
        <v>0</v>
      </c>
      <c r="N70" s="34">
        <f>IFERROR(IF(VLOOKUP(D:D,'테스트(5회)'!C:G,5, 0)="X",1,0),0)</f>
        <v>0</v>
      </c>
      <c r="O70" s="10"/>
    </row>
    <row r="71" spans="2:15" ht="128.25" x14ac:dyDescent="0.3">
      <c r="B71" s="17">
        <v>68</v>
      </c>
      <c r="C71" s="34" t="s">
        <v>731</v>
      </c>
      <c r="D71" s="27" t="s">
        <v>568</v>
      </c>
      <c r="E71" s="27" t="s">
        <v>608</v>
      </c>
      <c r="F71" s="29" t="s">
        <v>1071</v>
      </c>
      <c r="G71" s="33">
        <v>1</v>
      </c>
      <c r="H71" s="34">
        <f t="shared" si="1"/>
        <v>1</v>
      </c>
      <c r="I71" s="9"/>
      <c r="J71" s="34">
        <f>IFERROR(IF(VLOOKUP(D:D,'테스트(1회)'!C:G,5, 0)="X",1,0),0)</f>
        <v>1</v>
      </c>
      <c r="K71" s="34">
        <f>IFERROR(IF(VLOOKUP(D:D,'테스트(2회)'!C:G,5, 0)="X",1,0),0)</f>
        <v>0</v>
      </c>
      <c r="L71" s="34">
        <f>IFERROR(IF(VLOOKUP(D:D,'테스트(3회)'!C:G,5, 0)="X",1,0),0)</f>
        <v>0</v>
      </c>
      <c r="M71" s="34">
        <f>IFERROR(IF(VLOOKUP(D:D,'테스트(4회)'!C:G,5, 0)="X",1,0),0)</f>
        <v>0</v>
      </c>
      <c r="N71" s="34">
        <f>IFERROR(IF(VLOOKUP(D:D,'테스트(5회)'!C:G,5, 0)="X",1,0),0)</f>
        <v>0</v>
      </c>
      <c r="O71" s="10"/>
    </row>
    <row r="72" spans="2:15" ht="85.5" x14ac:dyDescent="0.3">
      <c r="B72" s="17">
        <v>69</v>
      </c>
      <c r="C72" s="34" t="s">
        <v>731</v>
      </c>
      <c r="D72" s="27" t="s">
        <v>569</v>
      </c>
      <c r="E72" s="27" t="s">
        <v>608</v>
      </c>
      <c r="F72" s="29" t="s">
        <v>600</v>
      </c>
      <c r="G72" s="33">
        <v>4</v>
      </c>
      <c r="H72" s="34">
        <f t="shared" si="1"/>
        <v>0</v>
      </c>
      <c r="I72" s="9"/>
      <c r="J72" s="34">
        <f>IFERROR(IF(VLOOKUP(D:D,'테스트(1회)'!C:G,5, 0)="X",1,0),0)</f>
        <v>0</v>
      </c>
      <c r="K72" s="34">
        <f>IFERROR(IF(VLOOKUP(D:D,'테스트(2회)'!C:G,5, 0)="X",1,0),0)</f>
        <v>0</v>
      </c>
      <c r="L72" s="34">
        <f>IFERROR(IF(VLOOKUP(D:D,'테스트(3회)'!C:G,5, 0)="X",1,0),0)</f>
        <v>0</v>
      </c>
      <c r="M72" s="34">
        <f>IFERROR(IF(VLOOKUP(D:D,'테스트(4회)'!C:G,5, 0)="X",1,0),0)</f>
        <v>0</v>
      </c>
      <c r="N72" s="34">
        <f>IFERROR(IF(VLOOKUP(D:D,'테스트(5회)'!C:G,5, 0)="X",1,0),0)</f>
        <v>0</v>
      </c>
      <c r="O72" s="10"/>
    </row>
    <row r="73" spans="2:15" ht="99.75" x14ac:dyDescent="0.3">
      <c r="B73" s="17">
        <v>70</v>
      </c>
      <c r="C73" s="34" t="s">
        <v>731</v>
      </c>
      <c r="D73" s="27" t="s">
        <v>570</v>
      </c>
      <c r="E73" s="27" t="s">
        <v>608</v>
      </c>
      <c r="F73" s="29" t="s">
        <v>671</v>
      </c>
      <c r="G73" s="33">
        <v>1</v>
      </c>
      <c r="H73" s="34">
        <f t="shared" si="1"/>
        <v>1</v>
      </c>
      <c r="I73" s="9"/>
      <c r="J73" s="34">
        <f>IFERROR(IF(VLOOKUP(D:D,'테스트(1회)'!C:G,5, 0)="X",1,0),0)</f>
        <v>1</v>
      </c>
      <c r="K73" s="34">
        <f>IFERROR(IF(VLOOKUP(D:D,'테스트(2회)'!C:G,5, 0)="X",1,0),0)</f>
        <v>0</v>
      </c>
      <c r="L73" s="34">
        <f>IFERROR(IF(VLOOKUP(D:D,'테스트(3회)'!C:G,5, 0)="X",1,0),0)</f>
        <v>0</v>
      </c>
      <c r="M73" s="34">
        <f>IFERROR(IF(VLOOKUP(D:D,'테스트(4회)'!C:G,5, 0)="X",1,0),0)</f>
        <v>0</v>
      </c>
      <c r="N73" s="34">
        <f>IFERROR(IF(VLOOKUP(D:D,'테스트(5회)'!C:G,5, 0)="X",1,0),0)</f>
        <v>0</v>
      </c>
      <c r="O73" s="10"/>
    </row>
    <row r="74" spans="2:15" ht="128.25" x14ac:dyDescent="0.3">
      <c r="B74" s="17">
        <v>71</v>
      </c>
      <c r="C74" s="34" t="s">
        <v>731</v>
      </c>
      <c r="D74" s="27" t="s">
        <v>571</v>
      </c>
      <c r="E74" s="27" t="s">
        <v>608</v>
      </c>
      <c r="F74" s="29" t="s">
        <v>755</v>
      </c>
      <c r="G74" s="33">
        <v>5</v>
      </c>
      <c r="H74" s="34">
        <f t="shared" si="1"/>
        <v>0</v>
      </c>
      <c r="I74" s="9"/>
      <c r="J74" s="34">
        <f>IFERROR(IF(VLOOKUP(D:D,'테스트(1회)'!C:G,5, 0)="X",1,0),0)</f>
        <v>0</v>
      </c>
      <c r="K74" s="34">
        <f>IFERROR(IF(VLOOKUP(D:D,'테스트(2회)'!C:G,5, 0)="X",1,0),0)</f>
        <v>0</v>
      </c>
      <c r="L74" s="34">
        <f>IFERROR(IF(VLOOKUP(D:D,'테스트(3회)'!C:G,5, 0)="X",1,0),0)</f>
        <v>0</v>
      </c>
      <c r="M74" s="34">
        <f>IFERROR(IF(VLOOKUP(D:D,'테스트(4회)'!C:G,5, 0)="X",1,0),0)</f>
        <v>0</v>
      </c>
      <c r="N74" s="34">
        <f>IFERROR(IF(VLOOKUP(D:D,'테스트(5회)'!C:G,5, 0)="X",1,0),0)</f>
        <v>0</v>
      </c>
      <c r="O74" s="10"/>
    </row>
    <row r="75" spans="2:15" ht="85.5" x14ac:dyDescent="0.3">
      <c r="B75" s="17">
        <v>72</v>
      </c>
      <c r="C75" s="34" t="s">
        <v>731</v>
      </c>
      <c r="D75" s="27" t="s">
        <v>572</v>
      </c>
      <c r="E75" s="27" t="s">
        <v>608</v>
      </c>
      <c r="F75" s="29" t="s">
        <v>605</v>
      </c>
      <c r="G75" s="33">
        <v>4</v>
      </c>
      <c r="H75" s="34">
        <f t="shared" si="1"/>
        <v>1</v>
      </c>
      <c r="I75" s="9"/>
      <c r="J75" s="34">
        <f>IFERROR(IF(VLOOKUP(D:D,'테스트(1회)'!C:G,5, 0)="X",1,0),0)</f>
        <v>1</v>
      </c>
      <c r="K75" s="34">
        <f>IFERROR(IF(VLOOKUP(D:D,'테스트(2회)'!C:G,5, 0)="X",1,0),0)</f>
        <v>0</v>
      </c>
      <c r="L75" s="34">
        <f>IFERROR(IF(VLOOKUP(D:D,'테스트(3회)'!C:G,5, 0)="X",1,0),0)</f>
        <v>0</v>
      </c>
      <c r="M75" s="34">
        <f>IFERROR(IF(VLOOKUP(D:D,'테스트(4회)'!C:G,5, 0)="X",1,0),0)</f>
        <v>0</v>
      </c>
      <c r="N75" s="34">
        <f>IFERROR(IF(VLOOKUP(D:D,'테스트(5회)'!C:G,5, 0)="X",1,0),0)</f>
        <v>0</v>
      </c>
      <c r="O75" s="10"/>
    </row>
    <row r="76" spans="2:15" ht="85.5" x14ac:dyDescent="0.3">
      <c r="B76" s="17">
        <v>73</v>
      </c>
      <c r="C76" s="34" t="s">
        <v>731</v>
      </c>
      <c r="D76" s="27" t="s">
        <v>573</v>
      </c>
      <c r="E76" s="27" t="s">
        <v>608</v>
      </c>
      <c r="F76" s="29" t="s">
        <v>756</v>
      </c>
      <c r="G76" s="33">
        <v>4</v>
      </c>
      <c r="H76" s="34">
        <f t="shared" si="1"/>
        <v>0</v>
      </c>
      <c r="I76" s="9"/>
      <c r="J76" s="34">
        <f>IFERROR(IF(VLOOKUP(D:D,'테스트(1회)'!C:G,5, 0)="X",1,0),0)</f>
        <v>0</v>
      </c>
      <c r="K76" s="34">
        <f>IFERROR(IF(VLOOKUP(D:D,'테스트(2회)'!C:G,5, 0)="X",1,0),0)</f>
        <v>0</v>
      </c>
      <c r="L76" s="34">
        <f>IFERROR(IF(VLOOKUP(D:D,'테스트(3회)'!C:G,5, 0)="X",1,0),0)</f>
        <v>0</v>
      </c>
      <c r="M76" s="34">
        <f>IFERROR(IF(VLOOKUP(D:D,'테스트(4회)'!C:G,5, 0)="X",1,0),0)</f>
        <v>0</v>
      </c>
      <c r="N76" s="34">
        <f>IFERROR(IF(VLOOKUP(D:D,'테스트(5회)'!C:G,5, 0)="X",1,0),0)</f>
        <v>0</v>
      </c>
      <c r="O76" s="10"/>
    </row>
    <row r="77" spans="2:15" ht="99.75" x14ac:dyDescent="0.3">
      <c r="B77" s="17">
        <v>74</v>
      </c>
      <c r="C77" s="34" t="s">
        <v>731</v>
      </c>
      <c r="D77" s="27" t="s">
        <v>574</v>
      </c>
      <c r="E77" s="27" t="s">
        <v>608</v>
      </c>
      <c r="F77" s="29" t="s">
        <v>772</v>
      </c>
      <c r="G77" s="33">
        <v>2</v>
      </c>
      <c r="H77" s="34">
        <f t="shared" si="1"/>
        <v>0</v>
      </c>
      <c r="I77" s="9"/>
      <c r="J77" s="34">
        <f>IFERROR(IF(VLOOKUP(D:D,'테스트(1회)'!C:G,5, 0)="X",1,0),0)</f>
        <v>0</v>
      </c>
      <c r="K77" s="34">
        <f>IFERROR(IF(VLOOKUP(D:D,'테스트(2회)'!C:G,5, 0)="X",1,0),0)</f>
        <v>0</v>
      </c>
      <c r="L77" s="34">
        <f>IFERROR(IF(VLOOKUP(D:D,'테스트(3회)'!C:G,5, 0)="X",1,0),0)</f>
        <v>0</v>
      </c>
      <c r="M77" s="34">
        <f>IFERROR(IF(VLOOKUP(D:D,'테스트(4회)'!C:G,5, 0)="X",1,0),0)</f>
        <v>0</v>
      </c>
      <c r="N77" s="34">
        <f>IFERROR(IF(VLOOKUP(D:D,'테스트(5회)'!C:G,5, 0)="X",1,0),0)</f>
        <v>0</v>
      </c>
      <c r="O77" s="10"/>
    </row>
    <row r="78" spans="2:15" ht="114" x14ac:dyDescent="0.3">
      <c r="B78" s="17">
        <v>75</v>
      </c>
      <c r="C78" s="34" t="s">
        <v>731</v>
      </c>
      <c r="D78" s="27" t="s">
        <v>575</v>
      </c>
      <c r="E78" s="27" t="s">
        <v>608</v>
      </c>
      <c r="F78" s="29" t="s">
        <v>591</v>
      </c>
      <c r="G78" s="33">
        <v>3</v>
      </c>
      <c r="H78" s="34">
        <f t="shared" si="1"/>
        <v>0</v>
      </c>
      <c r="I78" s="9"/>
      <c r="J78" s="34">
        <f>IFERROR(IF(VLOOKUP(D:D,'테스트(1회)'!C:G,5, 0)="X",1,0),0)</f>
        <v>0</v>
      </c>
      <c r="K78" s="34">
        <f>IFERROR(IF(VLOOKUP(D:D,'테스트(2회)'!C:G,5, 0)="X",1,0),0)</f>
        <v>0</v>
      </c>
      <c r="L78" s="34">
        <f>IFERROR(IF(VLOOKUP(D:D,'테스트(3회)'!C:G,5, 0)="X",1,0),0)</f>
        <v>0</v>
      </c>
      <c r="M78" s="34">
        <f>IFERROR(IF(VLOOKUP(D:D,'테스트(4회)'!C:G,5, 0)="X",1,0),0)</f>
        <v>0</v>
      </c>
      <c r="N78" s="34">
        <f>IFERROR(IF(VLOOKUP(D:D,'테스트(5회)'!C:G,5, 0)="X",1,0),0)</f>
        <v>0</v>
      </c>
      <c r="O78" s="10"/>
    </row>
    <row r="79" spans="2:15" ht="85.5" x14ac:dyDescent="0.3">
      <c r="B79" s="17">
        <v>76</v>
      </c>
      <c r="C79" s="34" t="s">
        <v>731</v>
      </c>
      <c r="D79" s="27" t="s">
        <v>576</v>
      </c>
      <c r="E79" s="27" t="s">
        <v>608</v>
      </c>
      <c r="F79" s="29" t="s">
        <v>602</v>
      </c>
      <c r="G79" s="33">
        <v>3</v>
      </c>
      <c r="H79" s="34">
        <f t="shared" si="1"/>
        <v>1</v>
      </c>
      <c r="I79" s="9"/>
      <c r="J79" s="34">
        <f>IFERROR(IF(VLOOKUP(D:D,'테스트(1회)'!C:G,5, 0)="X",1,0),0)</f>
        <v>1</v>
      </c>
      <c r="K79" s="34">
        <f>IFERROR(IF(VLOOKUP(D:D,'테스트(2회)'!C:G,5, 0)="X",1,0),0)</f>
        <v>0</v>
      </c>
      <c r="L79" s="34">
        <f>IFERROR(IF(VLOOKUP(D:D,'테스트(3회)'!C:G,5, 0)="X",1,0),0)</f>
        <v>0</v>
      </c>
      <c r="M79" s="34">
        <f>IFERROR(IF(VLOOKUP(D:D,'테스트(4회)'!C:G,5, 0)="X",1,0),0)</f>
        <v>0</v>
      </c>
      <c r="N79" s="34">
        <f>IFERROR(IF(VLOOKUP(D:D,'테스트(5회)'!C:G,5, 0)="X",1,0),0)</f>
        <v>0</v>
      </c>
      <c r="O79" s="10"/>
    </row>
    <row r="80" spans="2:15" ht="85.5" x14ac:dyDescent="0.3">
      <c r="B80" s="17">
        <v>77</v>
      </c>
      <c r="C80" s="34" t="s">
        <v>731</v>
      </c>
      <c r="D80" s="27" t="s">
        <v>577</v>
      </c>
      <c r="E80" s="27" t="s">
        <v>608</v>
      </c>
      <c r="F80" s="29" t="s">
        <v>757</v>
      </c>
      <c r="G80" s="33">
        <v>3</v>
      </c>
      <c r="H80" s="34">
        <f t="shared" si="1"/>
        <v>0</v>
      </c>
      <c r="I80" s="9"/>
      <c r="J80" s="34">
        <f>IFERROR(IF(VLOOKUP(D:D,'테스트(1회)'!C:G,5, 0)="X",1,0),0)</f>
        <v>0</v>
      </c>
      <c r="K80" s="34">
        <f>IFERROR(IF(VLOOKUP(D:D,'테스트(2회)'!C:G,5, 0)="X",1,0),0)</f>
        <v>0</v>
      </c>
      <c r="L80" s="34">
        <f>IFERROR(IF(VLOOKUP(D:D,'테스트(3회)'!C:G,5, 0)="X",1,0),0)</f>
        <v>0</v>
      </c>
      <c r="M80" s="34">
        <f>IFERROR(IF(VLOOKUP(D:D,'테스트(4회)'!C:G,5, 0)="X",1,0),0)</f>
        <v>0</v>
      </c>
      <c r="N80" s="34">
        <f>IFERROR(IF(VLOOKUP(D:D,'테스트(5회)'!C:G,5, 0)="X",1,0),0)</f>
        <v>0</v>
      </c>
      <c r="O80" s="10"/>
    </row>
    <row r="81" spans="2:15" ht="128.25" x14ac:dyDescent="0.3">
      <c r="B81" s="17">
        <v>78</v>
      </c>
      <c r="C81" s="34" t="s">
        <v>731</v>
      </c>
      <c r="D81" s="27" t="s">
        <v>578</v>
      </c>
      <c r="E81" s="27" t="s">
        <v>608</v>
      </c>
      <c r="F81" s="29" t="s">
        <v>592</v>
      </c>
      <c r="G81" s="33">
        <v>1</v>
      </c>
      <c r="H81" s="34">
        <f t="shared" si="1"/>
        <v>0</v>
      </c>
      <c r="I81" s="9"/>
      <c r="J81" s="34">
        <f>IFERROR(IF(VLOOKUP(D:D,'테스트(1회)'!C:G,5, 0)="X",1,0),0)</f>
        <v>0</v>
      </c>
      <c r="K81" s="34">
        <f>IFERROR(IF(VLOOKUP(D:D,'테스트(2회)'!C:G,5, 0)="X",1,0),0)</f>
        <v>0</v>
      </c>
      <c r="L81" s="34">
        <f>IFERROR(IF(VLOOKUP(D:D,'테스트(3회)'!C:G,5, 0)="X",1,0),0)</f>
        <v>0</v>
      </c>
      <c r="M81" s="34">
        <f>IFERROR(IF(VLOOKUP(D:D,'테스트(4회)'!C:G,5, 0)="X",1,0),0)</f>
        <v>0</v>
      </c>
      <c r="N81" s="34">
        <f>IFERROR(IF(VLOOKUP(D:D,'테스트(5회)'!C:G,5, 0)="X",1,0),0)</f>
        <v>0</v>
      </c>
      <c r="O81" s="10"/>
    </row>
    <row r="82" spans="2:15" ht="128.25" x14ac:dyDescent="0.3">
      <c r="B82" s="17">
        <v>79</v>
      </c>
      <c r="C82" s="34" t="s">
        <v>731</v>
      </c>
      <c r="D82" s="27" t="s">
        <v>579</v>
      </c>
      <c r="E82" s="27" t="s">
        <v>608</v>
      </c>
      <c r="F82" s="29" t="s">
        <v>593</v>
      </c>
      <c r="G82" s="33">
        <v>5</v>
      </c>
      <c r="H82" s="34">
        <f t="shared" si="1"/>
        <v>0</v>
      </c>
      <c r="I82" s="9"/>
      <c r="J82" s="34">
        <f>IFERROR(IF(VLOOKUP(D:D,'테스트(1회)'!C:G,5, 0)="X",1,0),0)</f>
        <v>0</v>
      </c>
      <c r="K82" s="34">
        <f>IFERROR(IF(VLOOKUP(D:D,'테스트(2회)'!C:G,5, 0)="X",1,0),0)</f>
        <v>0</v>
      </c>
      <c r="L82" s="34">
        <f>IFERROR(IF(VLOOKUP(D:D,'테스트(3회)'!C:G,5, 0)="X",1,0),0)</f>
        <v>0</v>
      </c>
      <c r="M82" s="34">
        <f>IFERROR(IF(VLOOKUP(D:D,'테스트(4회)'!C:G,5, 0)="X",1,0),0)</f>
        <v>0</v>
      </c>
      <c r="N82" s="34">
        <f>IFERROR(IF(VLOOKUP(D:D,'테스트(5회)'!C:G,5, 0)="X",1,0),0)</f>
        <v>0</v>
      </c>
      <c r="O82" s="10"/>
    </row>
    <row r="83" spans="2:15" ht="85.5" x14ac:dyDescent="0.3">
      <c r="B83" s="17">
        <v>80</v>
      </c>
      <c r="C83" s="34" t="s">
        <v>731</v>
      </c>
      <c r="D83" s="27" t="s">
        <v>580</v>
      </c>
      <c r="E83" s="27" t="s">
        <v>608</v>
      </c>
      <c r="F83" s="29" t="s">
        <v>594</v>
      </c>
      <c r="G83" s="33">
        <v>2</v>
      </c>
      <c r="H83" s="34">
        <f t="shared" si="1"/>
        <v>0</v>
      </c>
      <c r="I83" s="9"/>
      <c r="J83" s="34">
        <f>IFERROR(IF(VLOOKUP(D:D,'테스트(1회)'!C:G,5, 0)="X",1,0),0)</f>
        <v>0</v>
      </c>
      <c r="K83" s="34">
        <f>IFERROR(IF(VLOOKUP(D:D,'테스트(2회)'!C:G,5, 0)="X",1,0),0)</f>
        <v>0</v>
      </c>
      <c r="L83" s="34">
        <f>IFERROR(IF(VLOOKUP(D:D,'테스트(3회)'!C:G,5, 0)="X",1,0),0)</f>
        <v>0</v>
      </c>
      <c r="M83" s="34">
        <f>IFERROR(IF(VLOOKUP(D:D,'테스트(4회)'!C:G,5, 0)="X",1,0),0)</f>
        <v>0</v>
      </c>
      <c r="N83" s="34">
        <f>IFERROR(IF(VLOOKUP(D:D,'테스트(5회)'!C:G,5, 0)="X",1,0),0)</f>
        <v>0</v>
      </c>
      <c r="O83" s="10"/>
    </row>
    <row r="84" spans="2:15" ht="128.25" x14ac:dyDescent="0.3">
      <c r="B84" s="17">
        <v>81</v>
      </c>
      <c r="C84" s="34" t="s">
        <v>731</v>
      </c>
      <c r="D84" s="27" t="s">
        <v>581</v>
      </c>
      <c r="E84" s="27" t="s">
        <v>608</v>
      </c>
      <c r="F84" s="29" t="s">
        <v>1073</v>
      </c>
      <c r="G84" s="33">
        <v>4</v>
      </c>
      <c r="H84" s="34">
        <f t="shared" si="1"/>
        <v>0</v>
      </c>
      <c r="I84" s="9"/>
      <c r="J84" s="34">
        <f>IFERROR(IF(VLOOKUP(D:D,'테스트(1회)'!C:G,5, 0)="X",1,0),0)</f>
        <v>0</v>
      </c>
      <c r="K84" s="34">
        <f>IFERROR(IF(VLOOKUP(D:D,'테스트(2회)'!C:G,5, 0)="X",1,0),0)</f>
        <v>0</v>
      </c>
      <c r="L84" s="34">
        <f>IFERROR(IF(VLOOKUP(D:D,'테스트(3회)'!C:G,5, 0)="X",1,0),0)</f>
        <v>0</v>
      </c>
      <c r="M84" s="34">
        <f>IFERROR(IF(VLOOKUP(D:D,'테스트(4회)'!C:G,5, 0)="X",1,0),0)</f>
        <v>0</v>
      </c>
      <c r="N84" s="34">
        <f>IFERROR(IF(VLOOKUP(D:D,'테스트(5회)'!C:G,5, 0)="X",1,0),0)</f>
        <v>0</v>
      </c>
      <c r="O84" s="10"/>
    </row>
    <row r="85" spans="2:15" ht="99.75" x14ac:dyDescent="0.3">
      <c r="B85" s="17">
        <v>82</v>
      </c>
      <c r="C85" s="34" t="s">
        <v>731</v>
      </c>
      <c r="D85" s="27" t="s">
        <v>582</v>
      </c>
      <c r="E85" s="27" t="s">
        <v>608</v>
      </c>
      <c r="F85" s="29" t="s">
        <v>758</v>
      </c>
      <c r="G85" s="33">
        <v>5</v>
      </c>
      <c r="H85" s="34">
        <f t="shared" si="1"/>
        <v>0</v>
      </c>
      <c r="I85" s="9"/>
      <c r="J85" s="34">
        <f>IFERROR(IF(VLOOKUP(D:D,'테스트(1회)'!C:G,5, 0)="X",1,0),0)</f>
        <v>0</v>
      </c>
      <c r="K85" s="34">
        <f>IFERROR(IF(VLOOKUP(D:D,'테스트(2회)'!C:G,5, 0)="X",1,0),0)</f>
        <v>0</v>
      </c>
      <c r="L85" s="34">
        <f>IFERROR(IF(VLOOKUP(D:D,'테스트(3회)'!C:G,5, 0)="X",1,0),0)</f>
        <v>0</v>
      </c>
      <c r="M85" s="34">
        <f>IFERROR(IF(VLOOKUP(D:D,'테스트(4회)'!C:G,5, 0)="X",1,0),0)</f>
        <v>0</v>
      </c>
      <c r="N85" s="34">
        <f>IFERROR(IF(VLOOKUP(D:D,'테스트(5회)'!C:G,5, 0)="X",1,0),0)</f>
        <v>0</v>
      </c>
      <c r="O85" s="10"/>
    </row>
    <row r="86" spans="2:15" ht="85.5" x14ac:dyDescent="0.3">
      <c r="B86" s="17">
        <v>83</v>
      </c>
      <c r="C86" s="34" t="s">
        <v>731</v>
      </c>
      <c r="D86" s="27" t="s">
        <v>583</v>
      </c>
      <c r="E86" s="27" t="s">
        <v>608</v>
      </c>
      <c r="F86" s="29" t="s">
        <v>595</v>
      </c>
      <c r="G86" s="33">
        <v>5</v>
      </c>
      <c r="H86" s="34">
        <f t="shared" si="1"/>
        <v>0</v>
      </c>
      <c r="I86" s="9"/>
      <c r="J86" s="34">
        <f>IFERROR(IF(VLOOKUP(D:D,'테스트(1회)'!C:G,5, 0)="X",1,0),0)</f>
        <v>0</v>
      </c>
      <c r="K86" s="34">
        <f>IFERROR(IF(VLOOKUP(D:D,'테스트(2회)'!C:G,5, 0)="X",1,0),0)</f>
        <v>0</v>
      </c>
      <c r="L86" s="34">
        <f>IFERROR(IF(VLOOKUP(D:D,'테스트(3회)'!C:G,5, 0)="X",1,0),0)</f>
        <v>0</v>
      </c>
      <c r="M86" s="34">
        <f>IFERROR(IF(VLOOKUP(D:D,'테스트(4회)'!C:G,5, 0)="X",1,0),0)</f>
        <v>0</v>
      </c>
      <c r="N86" s="34">
        <f>IFERROR(IF(VLOOKUP(D:D,'테스트(5회)'!C:G,5, 0)="X",1,0),0)</f>
        <v>0</v>
      </c>
      <c r="O86" s="10"/>
    </row>
    <row r="87" spans="2:15" ht="114" x14ac:dyDescent="0.3">
      <c r="B87" s="17">
        <v>84</v>
      </c>
      <c r="C87" s="34" t="s">
        <v>731</v>
      </c>
      <c r="D87" s="27" t="s">
        <v>584</v>
      </c>
      <c r="E87" s="27" t="s">
        <v>608</v>
      </c>
      <c r="F87" s="29" t="s">
        <v>596</v>
      </c>
      <c r="G87" s="33">
        <v>5</v>
      </c>
      <c r="H87" s="34">
        <f t="shared" si="1"/>
        <v>0</v>
      </c>
      <c r="I87" s="9"/>
      <c r="J87" s="34">
        <f>IFERROR(IF(VLOOKUP(D:D,'테스트(1회)'!C:G,5, 0)="X",1,0),0)</f>
        <v>0</v>
      </c>
      <c r="K87" s="34">
        <f>IFERROR(IF(VLOOKUP(D:D,'테스트(2회)'!C:G,5, 0)="X",1,0),0)</f>
        <v>0</v>
      </c>
      <c r="L87" s="34">
        <f>IFERROR(IF(VLOOKUP(D:D,'테스트(3회)'!C:G,5, 0)="X",1,0),0)</f>
        <v>0</v>
      </c>
      <c r="M87" s="34">
        <f>IFERROR(IF(VLOOKUP(D:D,'테스트(4회)'!C:G,5, 0)="X",1,0),0)</f>
        <v>0</v>
      </c>
      <c r="N87" s="34">
        <f>IFERROR(IF(VLOOKUP(D:D,'테스트(5회)'!C:G,5, 0)="X",1,0),0)</f>
        <v>0</v>
      </c>
      <c r="O87" s="10"/>
    </row>
    <row r="88" spans="2:15" ht="142.5" x14ac:dyDescent="0.3">
      <c r="B88" s="17">
        <v>85</v>
      </c>
      <c r="C88" s="34" t="s">
        <v>731</v>
      </c>
      <c r="D88" s="27" t="s">
        <v>585</v>
      </c>
      <c r="E88" s="27" t="s">
        <v>608</v>
      </c>
      <c r="F88" s="29" t="s">
        <v>759</v>
      </c>
      <c r="G88" s="33">
        <v>5</v>
      </c>
      <c r="H88" s="34">
        <f t="shared" si="1"/>
        <v>0</v>
      </c>
      <c r="I88" s="9"/>
      <c r="J88" s="34">
        <f>IFERROR(IF(VLOOKUP(D:D,'테스트(1회)'!C:G,5, 0)="X",1,0),0)</f>
        <v>0</v>
      </c>
      <c r="K88" s="34">
        <f>IFERROR(IF(VLOOKUP(D:D,'테스트(2회)'!C:G,5, 0)="X",1,0),0)</f>
        <v>0</v>
      </c>
      <c r="L88" s="34">
        <f>IFERROR(IF(VLOOKUP(D:D,'테스트(3회)'!C:G,5, 0)="X",1,0),0)</f>
        <v>0</v>
      </c>
      <c r="M88" s="34">
        <f>IFERROR(IF(VLOOKUP(D:D,'테스트(4회)'!C:G,5, 0)="X",1,0),0)</f>
        <v>0</v>
      </c>
      <c r="N88" s="34">
        <f>IFERROR(IF(VLOOKUP(D:D,'테스트(5회)'!C:G,5, 0)="X",1,0),0)</f>
        <v>0</v>
      </c>
      <c r="O88" s="10"/>
    </row>
    <row r="89" spans="2:15" ht="128.25" x14ac:dyDescent="0.3">
      <c r="B89" s="17">
        <v>86</v>
      </c>
      <c r="C89" s="34" t="s">
        <v>731</v>
      </c>
      <c r="D89" s="27" t="s">
        <v>586</v>
      </c>
      <c r="E89" s="27" t="s">
        <v>608</v>
      </c>
      <c r="F89" s="29" t="s">
        <v>1074</v>
      </c>
      <c r="G89" s="33">
        <v>1</v>
      </c>
      <c r="H89" s="34">
        <f t="shared" si="1"/>
        <v>0</v>
      </c>
      <c r="I89" s="9"/>
      <c r="J89" s="34">
        <f>IFERROR(IF(VLOOKUP(D:D,'테스트(1회)'!C:G,5, 0)="X",1,0),0)</f>
        <v>0</v>
      </c>
      <c r="K89" s="34">
        <f>IFERROR(IF(VLOOKUP(D:D,'테스트(2회)'!C:G,5, 0)="X",1,0),0)</f>
        <v>0</v>
      </c>
      <c r="L89" s="34">
        <f>IFERROR(IF(VLOOKUP(D:D,'테스트(3회)'!C:G,5, 0)="X",1,0),0)</f>
        <v>0</v>
      </c>
      <c r="M89" s="34">
        <f>IFERROR(IF(VLOOKUP(D:D,'테스트(4회)'!C:G,5, 0)="X",1,0),0)</f>
        <v>0</v>
      </c>
      <c r="N89" s="34">
        <f>IFERROR(IF(VLOOKUP(D:D,'테스트(5회)'!C:G,5, 0)="X",1,0),0)</f>
        <v>0</v>
      </c>
      <c r="O89" s="10"/>
    </row>
    <row r="90" spans="2:15" ht="142.5" x14ac:dyDescent="0.3">
      <c r="B90" s="17">
        <v>87</v>
      </c>
      <c r="C90" s="34" t="s">
        <v>731</v>
      </c>
      <c r="D90" s="27" t="s">
        <v>587</v>
      </c>
      <c r="E90" s="27" t="s">
        <v>608</v>
      </c>
      <c r="F90" s="29" t="s">
        <v>597</v>
      </c>
      <c r="G90" s="33">
        <v>2</v>
      </c>
      <c r="H90" s="34">
        <f t="shared" si="1"/>
        <v>1</v>
      </c>
      <c r="I90" s="9"/>
      <c r="J90" s="34">
        <f>IFERROR(IF(VLOOKUP(D:D,'테스트(1회)'!C:G,5, 0)="X",1,0),0)</f>
        <v>1</v>
      </c>
      <c r="K90" s="34">
        <f>IFERROR(IF(VLOOKUP(D:D,'테스트(2회)'!C:G,5, 0)="X",1,0),0)</f>
        <v>0</v>
      </c>
      <c r="L90" s="34">
        <f>IFERROR(IF(VLOOKUP(D:D,'테스트(3회)'!C:G,5, 0)="X",1,0),0)</f>
        <v>0</v>
      </c>
      <c r="M90" s="34">
        <f>IFERROR(IF(VLOOKUP(D:D,'테스트(4회)'!C:G,5, 0)="X",1,0),0)</f>
        <v>0</v>
      </c>
      <c r="N90" s="34">
        <f>IFERROR(IF(VLOOKUP(D:D,'테스트(5회)'!C:G,5, 0)="X",1,0),0)</f>
        <v>0</v>
      </c>
      <c r="O90" s="10"/>
    </row>
    <row r="91" spans="2:15" ht="99.75" x14ac:dyDescent="0.3">
      <c r="B91" s="17">
        <v>88</v>
      </c>
      <c r="C91" s="34" t="s">
        <v>731</v>
      </c>
      <c r="D91" s="27" t="s">
        <v>588</v>
      </c>
      <c r="E91" s="27" t="s">
        <v>608</v>
      </c>
      <c r="F91" s="29" t="s">
        <v>603</v>
      </c>
      <c r="G91" s="33">
        <v>2</v>
      </c>
      <c r="H91" s="34">
        <f t="shared" si="1"/>
        <v>0</v>
      </c>
      <c r="I91" s="9"/>
      <c r="J91" s="34">
        <f>IFERROR(IF(VLOOKUP(D:D,'테스트(1회)'!C:G,5, 0)="X",1,0),0)</f>
        <v>0</v>
      </c>
      <c r="K91" s="34">
        <f>IFERROR(IF(VLOOKUP(D:D,'테스트(2회)'!C:G,5, 0)="X",1,0),0)</f>
        <v>0</v>
      </c>
      <c r="L91" s="34">
        <f>IFERROR(IF(VLOOKUP(D:D,'테스트(3회)'!C:G,5, 0)="X",1,0),0)</f>
        <v>0</v>
      </c>
      <c r="M91" s="34">
        <f>IFERROR(IF(VLOOKUP(D:D,'테스트(4회)'!C:G,5, 0)="X",1,0),0)</f>
        <v>0</v>
      </c>
      <c r="N91" s="34">
        <f>IFERROR(IF(VLOOKUP(D:D,'테스트(5회)'!C:G,5, 0)="X",1,0),0)</f>
        <v>0</v>
      </c>
      <c r="O91" s="10"/>
    </row>
    <row r="92" spans="2:15" ht="99.75" x14ac:dyDescent="0.3">
      <c r="B92" s="17">
        <v>89</v>
      </c>
      <c r="C92" s="34" t="s">
        <v>731</v>
      </c>
      <c r="D92" s="27" t="s">
        <v>589</v>
      </c>
      <c r="E92" s="27" t="s">
        <v>608</v>
      </c>
      <c r="F92" s="29" t="s">
        <v>616</v>
      </c>
      <c r="G92" s="33">
        <v>1</v>
      </c>
      <c r="H92" s="34">
        <f t="shared" si="1"/>
        <v>1</v>
      </c>
      <c r="I92" s="9"/>
      <c r="J92" s="34">
        <f>IFERROR(IF(VLOOKUP(D:D,'테스트(1회)'!C:G,5, 0)="X",1,0),0)</f>
        <v>1</v>
      </c>
      <c r="K92" s="34">
        <f>IFERROR(IF(VLOOKUP(D:D,'테스트(2회)'!C:G,5, 0)="X",1,0),0)</f>
        <v>0</v>
      </c>
      <c r="L92" s="34">
        <f>IFERROR(IF(VLOOKUP(D:D,'테스트(3회)'!C:G,5, 0)="X",1,0),0)</f>
        <v>0</v>
      </c>
      <c r="M92" s="34">
        <f>IFERROR(IF(VLOOKUP(D:D,'테스트(4회)'!C:G,5, 0)="X",1,0),0)</f>
        <v>0</v>
      </c>
      <c r="N92" s="34">
        <f>IFERROR(IF(VLOOKUP(D:D,'테스트(5회)'!C:G,5, 0)="X",1,0),0)</f>
        <v>0</v>
      </c>
      <c r="O92" s="10"/>
    </row>
    <row r="93" spans="2:15" ht="128.25" x14ac:dyDescent="0.3">
      <c r="B93" s="17">
        <v>90</v>
      </c>
      <c r="C93" s="34" t="s">
        <v>731</v>
      </c>
      <c r="D93" s="27" t="s">
        <v>590</v>
      </c>
      <c r="E93" s="27" t="s">
        <v>608</v>
      </c>
      <c r="F93" s="29" t="s">
        <v>1075</v>
      </c>
      <c r="G93" s="33">
        <v>2</v>
      </c>
      <c r="H93" s="34">
        <f t="shared" si="1"/>
        <v>0</v>
      </c>
      <c r="I93" s="9"/>
      <c r="J93" s="34">
        <f>IFERROR(IF(VLOOKUP(D:D,'테스트(1회)'!C:G,5, 0)="X",1,0),0)</f>
        <v>0</v>
      </c>
      <c r="K93" s="34">
        <f>IFERROR(IF(VLOOKUP(D:D,'테스트(2회)'!C:G,5, 0)="X",1,0),0)</f>
        <v>0</v>
      </c>
      <c r="L93" s="34">
        <f>IFERROR(IF(VLOOKUP(D:D,'테스트(3회)'!C:G,5, 0)="X",1,0),0)</f>
        <v>0</v>
      </c>
      <c r="M93" s="34">
        <f>IFERROR(IF(VLOOKUP(D:D,'테스트(4회)'!C:G,5, 0)="X",1,0),0)</f>
        <v>0</v>
      </c>
      <c r="N93" s="34">
        <f>IFERROR(IF(VLOOKUP(D:D,'테스트(5회)'!C:G,5, 0)="X",1,0),0)</f>
        <v>0</v>
      </c>
      <c r="O93" s="10"/>
    </row>
    <row r="94" spans="2:15" ht="99.75" x14ac:dyDescent="0.3">
      <c r="B94" s="17">
        <v>91</v>
      </c>
      <c r="C94" s="34" t="s">
        <v>730</v>
      </c>
      <c r="D94" s="27" t="s">
        <v>44</v>
      </c>
      <c r="E94" s="27" t="s">
        <v>608</v>
      </c>
      <c r="F94" s="29" t="s">
        <v>604</v>
      </c>
      <c r="G94" s="33">
        <v>2</v>
      </c>
      <c r="H94" s="34">
        <f t="shared" si="1"/>
        <v>1</v>
      </c>
      <c r="I94" s="9"/>
      <c r="J94" s="34">
        <f>IFERROR(IF(VLOOKUP(D:D,'테스트(1회)'!C:G,5, 0)="X",1,0),0)</f>
        <v>1</v>
      </c>
      <c r="K94" s="34">
        <f>IFERROR(IF(VLOOKUP(D:D,'테스트(2회)'!C:G,5, 0)="X",1,0),0)</f>
        <v>0</v>
      </c>
      <c r="L94" s="34">
        <f>IFERROR(IF(VLOOKUP(D:D,'테스트(3회)'!C:G,5, 0)="X",1,0),0)</f>
        <v>0</v>
      </c>
      <c r="M94" s="34">
        <f>IFERROR(IF(VLOOKUP(D:D,'테스트(4회)'!C:G,5, 0)="X",1,0),0)</f>
        <v>0</v>
      </c>
      <c r="N94" s="34">
        <f>IFERROR(IF(VLOOKUP(D:D,'테스트(5회)'!C:G,5, 0)="X",1,0),0)</f>
        <v>0</v>
      </c>
      <c r="O94" s="10"/>
    </row>
    <row r="95" spans="2:15" ht="85.5" x14ac:dyDescent="0.3">
      <c r="B95" s="17">
        <v>92</v>
      </c>
      <c r="C95" s="34" t="s">
        <v>730</v>
      </c>
      <c r="D95" s="27" t="s">
        <v>45</v>
      </c>
      <c r="E95" s="27" t="s">
        <v>608</v>
      </c>
      <c r="F95" s="29" t="s">
        <v>46</v>
      </c>
      <c r="G95" s="33">
        <v>3</v>
      </c>
      <c r="H95" s="34">
        <f t="shared" si="1"/>
        <v>0</v>
      </c>
      <c r="I95" s="9"/>
      <c r="J95" s="34">
        <f>IFERROR(IF(VLOOKUP(D:D,'테스트(1회)'!C:G,5, 0)="X",1,0),0)</f>
        <v>0</v>
      </c>
      <c r="K95" s="34">
        <f>IFERROR(IF(VLOOKUP(D:D,'테스트(2회)'!C:G,5, 0)="X",1,0),0)</f>
        <v>0</v>
      </c>
      <c r="L95" s="34">
        <f>IFERROR(IF(VLOOKUP(D:D,'테스트(3회)'!C:G,5, 0)="X",1,0),0)</f>
        <v>0</v>
      </c>
      <c r="M95" s="34">
        <f>IFERROR(IF(VLOOKUP(D:D,'테스트(4회)'!C:G,5, 0)="X",1,0),0)</f>
        <v>0</v>
      </c>
      <c r="N95" s="34">
        <f>IFERROR(IF(VLOOKUP(D:D,'테스트(5회)'!C:G,5, 0)="X",1,0),0)</f>
        <v>0</v>
      </c>
      <c r="O95" s="10"/>
    </row>
    <row r="96" spans="2:15" ht="85.5" x14ac:dyDescent="0.3">
      <c r="B96" s="17">
        <v>93</v>
      </c>
      <c r="C96" s="34" t="s">
        <v>730</v>
      </c>
      <c r="D96" s="27" t="s">
        <v>47</v>
      </c>
      <c r="E96" s="27" t="s">
        <v>608</v>
      </c>
      <c r="F96" s="29" t="s">
        <v>48</v>
      </c>
      <c r="G96" s="33">
        <v>2</v>
      </c>
      <c r="H96" s="34">
        <f t="shared" si="1"/>
        <v>0</v>
      </c>
      <c r="I96" s="9"/>
      <c r="J96" s="34">
        <f>IFERROR(IF(VLOOKUP(D:D,'테스트(1회)'!C:G,5, 0)="X",1,0),0)</f>
        <v>0</v>
      </c>
      <c r="K96" s="34">
        <f>IFERROR(IF(VLOOKUP(D:D,'테스트(2회)'!C:G,5, 0)="X",1,0),0)</f>
        <v>0</v>
      </c>
      <c r="L96" s="34">
        <f>IFERROR(IF(VLOOKUP(D:D,'테스트(3회)'!C:G,5, 0)="X",1,0),0)</f>
        <v>0</v>
      </c>
      <c r="M96" s="34">
        <f>IFERROR(IF(VLOOKUP(D:D,'테스트(4회)'!C:G,5, 0)="X",1,0),0)</f>
        <v>0</v>
      </c>
      <c r="N96" s="34">
        <f>IFERROR(IF(VLOOKUP(D:D,'테스트(5회)'!C:G,5, 0)="X",1,0),0)</f>
        <v>0</v>
      </c>
      <c r="O96" s="10"/>
    </row>
    <row r="97" spans="2:16" ht="128.25" x14ac:dyDescent="0.3">
      <c r="B97" s="17">
        <v>94</v>
      </c>
      <c r="C97" s="34" t="s">
        <v>730</v>
      </c>
      <c r="D97" s="27" t="s">
        <v>49</v>
      </c>
      <c r="E97" s="27" t="s">
        <v>608</v>
      </c>
      <c r="F97" s="29" t="s">
        <v>1076</v>
      </c>
      <c r="G97" s="33">
        <v>4</v>
      </c>
      <c r="H97" s="34">
        <f t="shared" si="1"/>
        <v>1</v>
      </c>
      <c r="I97" s="9"/>
      <c r="J97" s="34">
        <f>IFERROR(IF(VLOOKUP(D:D,'테스트(1회)'!C:G,5, 0)="X",1,0),0)</f>
        <v>1</v>
      </c>
      <c r="K97" s="34">
        <f>IFERROR(IF(VLOOKUP(D:D,'테스트(2회)'!C:G,5, 0)="X",1,0),0)</f>
        <v>0</v>
      </c>
      <c r="L97" s="34">
        <f>IFERROR(IF(VLOOKUP(D:D,'테스트(3회)'!C:G,5, 0)="X",1,0),0)</f>
        <v>0</v>
      </c>
      <c r="M97" s="34">
        <f>IFERROR(IF(VLOOKUP(D:D,'테스트(4회)'!C:G,5, 0)="X",1,0),0)</f>
        <v>0</v>
      </c>
      <c r="N97" s="34">
        <f>IFERROR(IF(VLOOKUP(D:D,'테스트(5회)'!C:G,5, 0)="X",1,0),0)</f>
        <v>0</v>
      </c>
      <c r="O97" s="10"/>
    </row>
    <row r="98" spans="2:16" ht="99.75" x14ac:dyDescent="0.3">
      <c r="B98" s="17">
        <v>95</v>
      </c>
      <c r="C98" s="34" t="s">
        <v>730</v>
      </c>
      <c r="D98" s="27" t="s">
        <v>50</v>
      </c>
      <c r="E98" s="27" t="s">
        <v>608</v>
      </c>
      <c r="F98" s="29" t="s">
        <v>51</v>
      </c>
      <c r="G98" s="33">
        <v>5</v>
      </c>
      <c r="H98" s="34">
        <f t="shared" si="1"/>
        <v>0</v>
      </c>
      <c r="I98" s="9"/>
      <c r="J98" s="34">
        <f>IFERROR(IF(VLOOKUP(D:D,'테스트(1회)'!C:G,5, 0)="X",1,0),0)</f>
        <v>0</v>
      </c>
      <c r="K98" s="34">
        <f>IFERROR(IF(VLOOKUP(D:D,'테스트(2회)'!C:G,5, 0)="X",1,0),0)</f>
        <v>0</v>
      </c>
      <c r="L98" s="34">
        <f>IFERROR(IF(VLOOKUP(D:D,'테스트(3회)'!C:G,5, 0)="X",1,0),0)</f>
        <v>0</v>
      </c>
      <c r="M98" s="34">
        <f>IFERROR(IF(VLOOKUP(D:D,'테스트(4회)'!C:G,5, 0)="X",1,0),0)</f>
        <v>0</v>
      </c>
      <c r="N98" s="34">
        <f>IFERROR(IF(VLOOKUP(D:D,'테스트(5회)'!C:G,5, 0)="X",1,0),0)</f>
        <v>0</v>
      </c>
      <c r="O98" s="10"/>
    </row>
    <row r="99" spans="2:16" ht="85.5" x14ac:dyDescent="0.3">
      <c r="B99" s="17">
        <v>96</v>
      </c>
      <c r="C99" s="34" t="s">
        <v>730</v>
      </c>
      <c r="D99" s="27" t="s">
        <v>52</v>
      </c>
      <c r="E99" s="27" t="s">
        <v>608</v>
      </c>
      <c r="F99" s="29" t="s">
        <v>625</v>
      </c>
      <c r="G99" s="33">
        <v>3</v>
      </c>
      <c r="H99" s="34">
        <f t="shared" si="1"/>
        <v>0</v>
      </c>
      <c r="I99" s="9"/>
      <c r="J99" s="34">
        <f>IFERROR(IF(VLOOKUP(D:D,'테스트(1회)'!C:G,5, 0)="X",1,0),0)</f>
        <v>0</v>
      </c>
      <c r="K99" s="34">
        <f>IFERROR(IF(VLOOKUP(D:D,'테스트(2회)'!C:G,5, 0)="X",1,0),0)</f>
        <v>0</v>
      </c>
      <c r="L99" s="34">
        <f>IFERROR(IF(VLOOKUP(D:D,'테스트(3회)'!C:G,5, 0)="X",1,0),0)</f>
        <v>0</v>
      </c>
      <c r="M99" s="34">
        <f>IFERROR(IF(VLOOKUP(D:D,'테스트(4회)'!C:G,5, 0)="X",1,0),0)</f>
        <v>0</v>
      </c>
      <c r="N99" s="34">
        <f>IFERROR(IF(VLOOKUP(D:D,'테스트(5회)'!C:G,5, 0)="X",1,0),0)</f>
        <v>0</v>
      </c>
      <c r="O99" s="10"/>
    </row>
    <row r="100" spans="2:16" ht="114" x14ac:dyDescent="0.3">
      <c r="B100" s="17">
        <v>97</v>
      </c>
      <c r="C100" s="34" t="s">
        <v>730</v>
      </c>
      <c r="D100" s="27" t="s">
        <v>53</v>
      </c>
      <c r="E100" s="27" t="s">
        <v>608</v>
      </c>
      <c r="F100" s="29" t="s">
        <v>1077</v>
      </c>
      <c r="G100" s="33">
        <v>5</v>
      </c>
      <c r="H100" s="34">
        <f t="shared" si="1"/>
        <v>0</v>
      </c>
      <c r="I100" s="9"/>
      <c r="J100" s="34">
        <f>IFERROR(IF(VLOOKUP(D:D,'테스트(1회)'!C:G,5, 0)="X",1,0),0)</f>
        <v>0</v>
      </c>
      <c r="K100" s="34">
        <f>IFERROR(IF(VLOOKUP(D:D,'테스트(2회)'!C:G,5, 0)="X",1,0),0)</f>
        <v>0</v>
      </c>
      <c r="L100" s="34">
        <f>IFERROR(IF(VLOOKUP(D:D,'테스트(3회)'!C:G,5, 0)="X",1,0),0)</f>
        <v>0</v>
      </c>
      <c r="M100" s="34">
        <f>IFERROR(IF(VLOOKUP(D:D,'테스트(4회)'!C:G,5, 0)="X",1,0),0)</f>
        <v>0</v>
      </c>
      <c r="N100" s="34">
        <f>IFERROR(IF(VLOOKUP(D:D,'테스트(5회)'!C:G,5, 0)="X",1,0),0)</f>
        <v>0</v>
      </c>
      <c r="O100" s="10" t="s">
        <v>1111</v>
      </c>
    </row>
    <row r="101" spans="2:16" ht="128.25" x14ac:dyDescent="0.3">
      <c r="B101" s="17">
        <v>98</v>
      </c>
      <c r="C101" s="34" t="s">
        <v>730</v>
      </c>
      <c r="D101" s="27" t="s">
        <v>54</v>
      </c>
      <c r="E101" s="27" t="s">
        <v>608</v>
      </c>
      <c r="F101" s="29" t="s">
        <v>55</v>
      </c>
      <c r="G101" s="33">
        <v>1</v>
      </c>
      <c r="H101" s="34">
        <f t="shared" si="1"/>
        <v>1</v>
      </c>
      <c r="I101" s="9"/>
      <c r="J101" s="34">
        <f>IFERROR(IF(VLOOKUP(D:D,'테스트(1회)'!C:G,5, 0)="X",1,0),0)</f>
        <v>1</v>
      </c>
      <c r="K101" s="34">
        <f>IFERROR(IF(VLOOKUP(D:D,'테스트(2회)'!C:G,5, 0)="X",1,0),0)</f>
        <v>0</v>
      </c>
      <c r="L101" s="34">
        <f>IFERROR(IF(VLOOKUP(D:D,'테스트(3회)'!C:G,5, 0)="X",1,0),0)</f>
        <v>0</v>
      </c>
      <c r="M101" s="34">
        <f>IFERROR(IF(VLOOKUP(D:D,'테스트(4회)'!C:G,5, 0)="X",1,0),0)</f>
        <v>0</v>
      </c>
      <c r="N101" s="34">
        <f>IFERROR(IF(VLOOKUP(D:D,'테스트(5회)'!C:G,5, 0)="X",1,0),0)</f>
        <v>0</v>
      </c>
      <c r="O101" s="10"/>
    </row>
    <row r="102" spans="2:16" ht="99.75" x14ac:dyDescent="0.3">
      <c r="B102" s="17">
        <v>99</v>
      </c>
      <c r="C102" s="34" t="s">
        <v>730</v>
      </c>
      <c r="D102" s="27" t="s">
        <v>56</v>
      </c>
      <c r="E102" s="27" t="s">
        <v>608</v>
      </c>
      <c r="F102" s="29" t="s">
        <v>57</v>
      </c>
      <c r="G102" s="33">
        <v>3</v>
      </c>
      <c r="H102" s="34">
        <f t="shared" si="1"/>
        <v>0</v>
      </c>
      <c r="I102" s="9"/>
      <c r="J102" s="34">
        <f>IFERROR(IF(VLOOKUP(D:D,'테스트(1회)'!C:G,5, 0)="X",1,0),0)</f>
        <v>0</v>
      </c>
      <c r="K102" s="34">
        <f>IFERROR(IF(VLOOKUP(D:D,'테스트(2회)'!C:G,5, 0)="X",1,0),0)</f>
        <v>0</v>
      </c>
      <c r="L102" s="34">
        <f>IFERROR(IF(VLOOKUP(D:D,'테스트(3회)'!C:G,5, 0)="X",1,0),0)</f>
        <v>0</v>
      </c>
      <c r="M102" s="34">
        <f>IFERROR(IF(VLOOKUP(D:D,'테스트(4회)'!C:G,5, 0)="X",1,0),0)</f>
        <v>0</v>
      </c>
      <c r="N102" s="34">
        <f>IFERROR(IF(VLOOKUP(D:D,'테스트(5회)'!C:G,5, 0)="X",1,0),0)</f>
        <v>0</v>
      </c>
      <c r="O102" s="10"/>
    </row>
    <row r="103" spans="2:16" ht="114" x14ac:dyDescent="0.3">
      <c r="B103" s="17">
        <v>100</v>
      </c>
      <c r="C103" s="34" t="s">
        <v>730</v>
      </c>
      <c r="D103" s="27" t="s">
        <v>58</v>
      </c>
      <c r="E103" s="27" t="s">
        <v>608</v>
      </c>
      <c r="F103" s="32" t="s">
        <v>1118</v>
      </c>
      <c r="G103" s="33">
        <v>5</v>
      </c>
      <c r="H103" s="34">
        <f t="shared" si="1"/>
        <v>0</v>
      </c>
      <c r="I103" s="9"/>
      <c r="J103" s="34">
        <f>IFERROR(IF(VLOOKUP(D:D,'테스트(1회)'!C:G,5, 0)="X",1,0),0)</f>
        <v>0</v>
      </c>
      <c r="K103" s="34">
        <f>IFERROR(IF(VLOOKUP(D:D,'테스트(2회)'!C:G,5, 0)="X",1,0),0)</f>
        <v>0</v>
      </c>
      <c r="L103" s="34">
        <f>IFERROR(IF(VLOOKUP(D:D,'테스트(3회)'!C:G,5, 0)="X",1,0),0)</f>
        <v>0</v>
      </c>
      <c r="M103" s="34">
        <f>IFERROR(IF(VLOOKUP(D:D,'테스트(4회)'!C:G,5, 0)="X",1,0),0)</f>
        <v>0</v>
      </c>
      <c r="N103" s="34">
        <f>IFERROR(IF(VLOOKUP(D:D,'테스트(5회)'!C:G,5, 0)="X",1,0),0)</f>
        <v>0</v>
      </c>
      <c r="O103" s="10" t="s">
        <v>774</v>
      </c>
    </row>
    <row r="104" spans="2:16" ht="99.75" x14ac:dyDescent="0.3">
      <c r="B104" s="17">
        <v>101</v>
      </c>
      <c r="C104" s="34" t="s">
        <v>730</v>
      </c>
      <c r="D104" s="27" t="s">
        <v>59</v>
      </c>
      <c r="E104" s="27" t="s">
        <v>608</v>
      </c>
      <c r="F104" s="29" t="s">
        <v>60</v>
      </c>
      <c r="G104" s="33">
        <v>4</v>
      </c>
      <c r="H104" s="34">
        <f t="shared" si="1"/>
        <v>0</v>
      </c>
      <c r="I104" s="9"/>
      <c r="J104" s="34">
        <f>IFERROR(IF(VLOOKUP(D:D,'테스트(1회)'!C:G,5, 0)="X",1,0),0)</f>
        <v>0</v>
      </c>
      <c r="K104" s="34">
        <f>IFERROR(IF(VLOOKUP(D:D,'테스트(2회)'!C:G,5, 0)="X",1,0),0)</f>
        <v>0</v>
      </c>
      <c r="L104" s="34">
        <f>IFERROR(IF(VLOOKUP(D:D,'테스트(3회)'!C:G,5, 0)="X",1,0),0)</f>
        <v>0</v>
      </c>
      <c r="M104" s="34">
        <f>IFERROR(IF(VLOOKUP(D:D,'테스트(4회)'!C:G,5, 0)="X",1,0),0)</f>
        <v>0</v>
      </c>
      <c r="N104" s="34">
        <f>IFERROR(IF(VLOOKUP(D:D,'테스트(5회)'!C:G,5, 0)="X",1,0),0)</f>
        <v>0</v>
      </c>
      <c r="O104" s="10"/>
    </row>
    <row r="105" spans="2:16" ht="114" x14ac:dyDescent="0.3">
      <c r="B105" s="17">
        <v>102</v>
      </c>
      <c r="C105" s="34" t="s">
        <v>730</v>
      </c>
      <c r="D105" s="27" t="s">
        <v>61</v>
      </c>
      <c r="E105" s="27" t="s">
        <v>608</v>
      </c>
      <c r="F105" s="29" t="s">
        <v>776</v>
      </c>
      <c r="G105" s="33">
        <v>4</v>
      </c>
      <c r="H105" s="34">
        <f t="shared" si="1"/>
        <v>0</v>
      </c>
      <c r="I105" s="9"/>
      <c r="J105" s="34">
        <f>IFERROR(IF(VLOOKUP(D:D,'테스트(1회)'!C:G,5, 0)="X",1,0),0)</f>
        <v>0</v>
      </c>
      <c r="K105" s="34">
        <f>IFERROR(IF(VLOOKUP(D:D,'테스트(2회)'!C:G,5, 0)="X",1,0),0)</f>
        <v>0</v>
      </c>
      <c r="L105" s="34">
        <f>IFERROR(IF(VLOOKUP(D:D,'테스트(3회)'!C:G,5, 0)="X",1,0),0)</f>
        <v>0</v>
      </c>
      <c r="M105" s="34">
        <f>IFERROR(IF(VLOOKUP(D:D,'테스트(4회)'!C:G,5, 0)="X",1,0),0)</f>
        <v>0</v>
      </c>
      <c r="N105" s="34">
        <f>IFERROR(IF(VLOOKUP(D:D,'테스트(5회)'!C:G,5, 0)="X",1,0),0)</f>
        <v>0</v>
      </c>
      <c r="O105" s="10" t="s">
        <v>775</v>
      </c>
      <c r="P105" s="12" t="s">
        <v>62</v>
      </c>
    </row>
    <row r="106" spans="2:16" ht="156.75" x14ac:dyDescent="0.3">
      <c r="B106" s="17">
        <v>103</v>
      </c>
      <c r="C106" s="34" t="s">
        <v>730</v>
      </c>
      <c r="D106" s="27" t="s">
        <v>63</v>
      </c>
      <c r="E106" s="27" t="s">
        <v>608</v>
      </c>
      <c r="F106" s="29" t="s">
        <v>714</v>
      </c>
      <c r="G106" s="33">
        <v>1</v>
      </c>
      <c r="H106" s="34">
        <f t="shared" si="1"/>
        <v>0</v>
      </c>
      <c r="I106" s="9"/>
      <c r="J106" s="34">
        <f>IFERROR(IF(VLOOKUP(D:D,'테스트(1회)'!C:G,5, 0)="X",1,0),0)</f>
        <v>0</v>
      </c>
      <c r="K106" s="34">
        <f>IFERROR(IF(VLOOKUP(D:D,'테스트(2회)'!C:G,5, 0)="X",1,0),0)</f>
        <v>0</v>
      </c>
      <c r="L106" s="34">
        <f>IFERROR(IF(VLOOKUP(D:D,'테스트(3회)'!C:G,5, 0)="X",1,0),0)</f>
        <v>0</v>
      </c>
      <c r="M106" s="34">
        <f>IFERROR(IF(VLOOKUP(D:D,'테스트(4회)'!C:G,5, 0)="X",1,0),0)</f>
        <v>0</v>
      </c>
      <c r="N106" s="34">
        <f>IFERROR(IF(VLOOKUP(D:D,'테스트(5회)'!C:G,5, 0)="X",1,0),0)</f>
        <v>0</v>
      </c>
      <c r="O106" s="10"/>
    </row>
    <row r="107" spans="2:16" ht="85.5" x14ac:dyDescent="0.3">
      <c r="B107" s="17">
        <v>104</v>
      </c>
      <c r="C107" s="34" t="s">
        <v>730</v>
      </c>
      <c r="D107" s="27" t="s">
        <v>64</v>
      </c>
      <c r="E107" s="27" t="s">
        <v>608</v>
      </c>
      <c r="F107" s="29" t="s">
        <v>617</v>
      </c>
      <c r="G107" s="33">
        <v>4</v>
      </c>
      <c r="H107" s="34">
        <f t="shared" si="1"/>
        <v>0</v>
      </c>
      <c r="I107" s="9"/>
      <c r="J107" s="34">
        <f>IFERROR(IF(VLOOKUP(D:D,'테스트(1회)'!C:G,5, 0)="X",1,0),0)</f>
        <v>0</v>
      </c>
      <c r="K107" s="34">
        <f>IFERROR(IF(VLOOKUP(D:D,'테스트(2회)'!C:G,5, 0)="X",1,0),0)</f>
        <v>0</v>
      </c>
      <c r="L107" s="34">
        <f>IFERROR(IF(VLOOKUP(D:D,'테스트(3회)'!C:G,5, 0)="X",1,0),0)</f>
        <v>0</v>
      </c>
      <c r="M107" s="34">
        <f>IFERROR(IF(VLOOKUP(D:D,'테스트(4회)'!C:G,5, 0)="X",1,0),0)</f>
        <v>0</v>
      </c>
      <c r="N107" s="34">
        <f>IFERROR(IF(VLOOKUP(D:D,'테스트(5회)'!C:G,5, 0)="X",1,0),0)</f>
        <v>0</v>
      </c>
      <c r="O107" s="10"/>
    </row>
    <row r="108" spans="2:16" ht="128.25" x14ac:dyDescent="0.3">
      <c r="B108" s="17">
        <v>105</v>
      </c>
      <c r="C108" s="34" t="s">
        <v>730</v>
      </c>
      <c r="D108" s="27" t="s">
        <v>65</v>
      </c>
      <c r="E108" s="27" t="s">
        <v>608</v>
      </c>
      <c r="F108" s="29" t="s">
        <v>66</v>
      </c>
      <c r="G108" s="33">
        <v>4</v>
      </c>
      <c r="H108" s="34">
        <f t="shared" si="1"/>
        <v>0</v>
      </c>
      <c r="I108" s="9"/>
      <c r="J108" s="34">
        <f>IFERROR(IF(VLOOKUP(D:D,'테스트(1회)'!C:G,5, 0)="X",1,0),0)</f>
        <v>0</v>
      </c>
      <c r="K108" s="34">
        <f>IFERROR(IF(VLOOKUP(D:D,'테스트(2회)'!C:G,5, 0)="X",1,0),0)</f>
        <v>0</v>
      </c>
      <c r="L108" s="34">
        <f>IFERROR(IF(VLOOKUP(D:D,'테스트(3회)'!C:G,5, 0)="X",1,0),0)</f>
        <v>0</v>
      </c>
      <c r="M108" s="34">
        <f>IFERROR(IF(VLOOKUP(D:D,'테스트(4회)'!C:G,5, 0)="X",1,0),0)</f>
        <v>0</v>
      </c>
      <c r="N108" s="34">
        <f>IFERROR(IF(VLOOKUP(D:D,'테스트(5회)'!C:G,5, 0)="X",1,0),0)</f>
        <v>0</v>
      </c>
      <c r="O108" s="10"/>
    </row>
    <row r="109" spans="2:16" ht="114" x14ac:dyDescent="0.3">
      <c r="B109" s="17">
        <v>106</v>
      </c>
      <c r="C109" s="34" t="s">
        <v>730</v>
      </c>
      <c r="D109" s="27" t="s">
        <v>67</v>
      </c>
      <c r="E109" s="27" t="s">
        <v>608</v>
      </c>
      <c r="F109" s="29" t="s">
        <v>1078</v>
      </c>
      <c r="G109" s="33">
        <v>3</v>
      </c>
      <c r="H109" s="34">
        <f t="shared" si="1"/>
        <v>0</v>
      </c>
      <c r="I109" s="9"/>
      <c r="J109" s="34">
        <f>IFERROR(IF(VLOOKUP(D:D,'테스트(1회)'!C:G,5, 0)="X",1,0),0)</f>
        <v>0</v>
      </c>
      <c r="K109" s="34">
        <f>IFERROR(IF(VLOOKUP(D:D,'테스트(2회)'!C:G,5, 0)="X",1,0),0)</f>
        <v>0</v>
      </c>
      <c r="L109" s="34">
        <f>IFERROR(IF(VLOOKUP(D:D,'테스트(3회)'!C:G,5, 0)="X",1,0),0)</f>
        <v>0</v>
      </c>
      <c r="M109" s="34">
        <f>IFERROR(IF(VLOOKUP(D:D,'테스트(4회)'!C:G,5, 0)="X",1,0),0)</f>
        <v>0</v>
      </c>
      <c r="N109" s="34">
        <f>IFERROR(IF(VLOOKUP(D:D,'테스트(5회)'!C:G,5, 0)="X",1,0),0)</f>
        <v>0</v>
      </c>
      <c r="O109" s="10"/>
    </row>
    <row r="110" spans="2:16" ht="85.5" x14ac:dyDescent="0.3">
      <c r="B110" s="17">
        <v>107</v>
      </c>
      <c r="C110" s="34" t="s">
        <v>730</v>
      </c>
      <c r="D110" s="27" t="s">
        <v>68</v>
      </c>
      <c r="E110" s="27" t="s">
        <v>608</v>
      </c>
      <c r="F110" s="29" t="s">
        <v>69</v>
      </c>
      <c r="G110" s="33">
        <v>2</v>
      </c>
      <c r="H110" s="34">
        <f t="shared" si="1"/>
        <v>0</v>
      </c>
      <c r="I110" s="9"/>
      <c r="J110" s="34">
        <f>IFERROR(IF(VLOOKUP(D:D,'테스트(1회)'!C:G,5, 0)="X",1,0),0)</f>
        <v>0</v>
      </c>
      <c r="K110" s="34">
        <f>IFERROR(IF(VLOOKUP(D:D,'테스트(2회)'!C:G,5, 0)="X",1,0),0)</f>
        <v>0</v>
      </c>
      <c r="L110" s="34">
        <f>IFERROR(IF(VLOOKUP(D:D,'테스트(3회)'!C:G,5, 0)="X",1,0),0)</f>
        <v>0</v>
      </c>
      <c r="M110" s="34">
        <f>IFERROR(IF(VLOOKUP(D:D,'테스트(4회)'!C:G,5, 0)="X",1,0),0)</f>
        <v>0</v>
      </c>
      <c r="N110" s="34">
        <f>IFERROR(IF(VLOOKUP(D:D,'테스트(5회)'!C:G,5, 0)="X",1,0),0)</f>
        <v>0</v>
      </c>
      <c r="O110" s="10"/>
    </row>
    <row r="111" spans="2:16" ht="85.5" x14ac:dyDescent="0.3">
      <c r="B111" s="17">
        <v>108</v>
      </c>
      <c r="C111" s="34" t="s">
        <v>730</v>
      </c>
      <c r="D111" s="27" t="s">
        <v>70</v>
      </c>
      <c r="E111" s="27" t="s">
        <v>608</v>
      </c>
      <c r="F111" s="29" t="s">
        <v>71</v>
      </c>
      <c r="G111" s="33">
        <v>2</v>
      </c>
      <c r="H111" s="34">
        <f t="shared" si="1"/>
        <v>0</v>
      </c>
      <c r="I111" s="9"/>
      <c r="J111" s="34">
        <f>IFERROR(IF(VLOOKUP(D:D,'테스트(1회)'!C:G,5, 0)="X",1,0),0)</f>
        <v>0</v>
      </c>
      <c r="K111" s="34">
        <f>IFERROR(IF(VLOOKUP(D:D,'테스트(2회)'!C:G,5, 0)="X",1,0),0)</f>
        <v>0</v>
      </c>
      <c r="L111" s="34">
        <f>IFERROR(IF(VLOOKUP(D:D,'테스트(3회)'!C:G,5, 0)="X",1,0),0)</f>
        <v>0</v>
      </c>
      <c r="M111" s="34">
        <f>IFERROR(IF(VLOOKUP(D:D,'테스트(4회)'!C:G,5, 0)="X",1,0),0)</f>
        <v>0</v>
      </c>
      <c r="N111" s="34">
        <f>IFERROR(IF(VLOOKUP(D:D,'테스트(5회)'!C:G,5, 0)="X",1,0),0)</f>
        <v>0</v>
      </c>
      <c r="O111" s="10"/>
    </row>
    <row r="112" spans="2:16" ht="142.5" x14ac:dyDescent="0.3">
      <c r="B112" s="17">
        <v>109</v>
      </c>
      <c r="C112" s="34" t="s">
        <v>730</v>
      </c>
      <c r="D112" s="27" t="s">
        <v>72</v>
      </c>
      <c r="E112" s="27" t="s">
        <v>608</v>
      </c>
      <c r="F112" s="29" t="s">
        <v>73</v>
      </c>
      <c r="G112" s="33">
        <v>1</v>
      </c>
      <c r="H112" s="34">
        <f t="shared" si="1"/>
        <v>0</v>
      </c>
      <c r="I112" s="9"/>
      <c r="J112" s="34">
        <f>IFERROR(IF(VLOOKUP(D:D,'테스트(1회)'!C:G,5, 0)="X",1,0),0)</f>
        <v>0</v>
      </c>
      <c r="K112" s="34">
        <f>IFERROR(IF(VLOOKUP(D:D,'테스트(2회)'!C:G,5, 0)="X",1,0),0)</f>
        <v>0</v>
      </c>
      <c r="L112" s="34">
        <f>IFERROR(IF(VLOOKUP(D:D,'테스트(3회)'!C:G,5, 0)="X",1,0),0)</f>
        <v>0</v>
      </c>
      <c r="M112" s="34">
        <f>IFERROR(IF(VLOOKUP(D:D,'테스트(4회)'!C:G,5, 0)="X",1,0),0)</f>
        <v>0</v>
      </c>
      <c r="N112" s="34">
        <f>IFERROR(IF(VLOOKUP(D:D,'테스트(5회)'!C:G,5, 0)="X",1,0),0)</f>
        <v>0</v>
      </c>
      <c r="O112" s="10"/>
    </row>
    <row r="113" spans="2:15" ht="99.75" x14ac:dyDescent="0.3">
      <c r="B113" s="17">
        <v>110</v>
      </c>
      <c r="C113" s="34" t="s">
        <v>730</v>
      </c>
      <c r="D113" s="27" t="s">
        <v>74</v>
      </c>
      <c r="E113" s="27" t="s">
        <v>608</v>
      </c>
      <c r="F113" s="29" t="s">
        <v>75</v>
      </c>
      <c r="G113" s="33">
        <v>5</v>
      </c>
      <c r="H113" s="34">
        <f t="shared" si="1"/>
        <v>0</v>
      </c>
      <c r="I113" s="9"/>
      <c r="J113" s="34">
        <f>IFERROR(IF(VLOOKUP(D:D,'테스트(1회)'!C:G,5, 0)="X",1,0),0)</f>
        <v>0</v>
      </c>
      <c r="K113" s="34">
        <f>IFERROR(IF(VLOOKUP(D:D,'테스트(2회)'!C:G,5, 0)="X",1,0),0)</f>
        <v>0</v>
      </c>
      <c r="L113" s="34">
        <f>IFERROR(IF(VLOOKUP(D:D,'테스트(3회)'!C:G,5, 0)="X",1,0),0)</f>
        <v>0</v>
      </c>
      <c r="M113" s="34">
        <f>IFERROR(IF(VLOOKUP(D:D,'테스트(4회)'!C:G,5, 0)="X",1,0),0)</f>
        <v>0</v>
      </c>
      <c r="N113" s="34">
        <f>IFERROR(IF(VLOOKUP(D:D,'테스트(5회)'!C:G,5, 0)="X",1,0),0)</f>
        <v>0</v>
      </c>
      <c r="O113" s="10"/>
    </row>
    <row r="114" spans="2:15" ht="128.25" x14ac:dyDescent="0.3">
      <c r="B114" s="17">
        <v>111</v>
      </c>
      <c r="C114" s="34" t="s">
        <v>730</v>
      </c>
      <c r="D114" s="27" t="s">
        <v>76</v>
      </c>
      <c r="E114" s="27" t="s">
        <v>608</v>
      </c>
      <c r="F114" s="29" t="s">
        <v>77</v>
      </c>
      <c r="G114" s="33">
        <v>2</v>
      </c>
      <c r="H114" s="34">
        <f t="shared" si="1"/>
        <v>0</v>
      </c>
      <c r="I114" s="9"/>
      <c r="J114" s="34">
        <f>IFERROR(IF(VLOOKUP(D:D,'테스트(1회)'!C:G,5, 0)="X",1,0),0)</f>
        <v>0</v>
      </c>
      <c r="K114" s="34">
        <f>IFERROR(IF(VLOOKUP(D:D,'테스트(2회)'!C:G,5, 0)="X",1,0),0)</f>
        <v>0</v>
      </c>
      <c r="L114" s="34">
        <f>IFERROR(IF(VLOOKUP(D:D,'테스트(3회)'!C:G,5, 0)="X",1,0),0)</f>
        <v>0</v>
      </c>
      <c r="M114" s="34">
        <f>IFERROR(IF(VLOOKUP(D:D,'테스트(4회)'!C:G,5, 0)="X",1,0),0)</f>
        <v>0</v>
      </c>
      <c r="N114" s="34">
        <f>IFERROR(IF(VLOOKUP(D:D,'테스트(5회)'!C:G,5, 0)="X",1,0),0)</f>
        <v>0</v>
      </c>
      <c r="O114" s="10"/>
    </row>
    <row r="115" spans="2:15" ht="128.25" x14ac:dyDescent="0.3">
      <c r="B115" s="17">
        <v>112</v>
      </c>
      <c r="C115" s="34" t="s">
        <v>730</v>
      </c>
      <c r="D115" s="27" t="s">
        <v>78</v>
      </c>
      <c r="E115" s="27" t="s">
        <v>608</v>
      </c>
      <c r="F115" s="29" t="s">
        <v>79</v>
      </c>
      <c r="G115" s="33">
        <v>5</v>
      </c>
      <c r="H115" s="34">
        <f t="shared" si="1"/>
        <v>1</v>
      </c>
      <c r="I115" s="9"/>
      <c r="J115" s="34">
        <f>IFERROR(IF(VLOOKUP(D:D,'테스트(1회)'!C:G,5, 0)="X",1,0),0)</f>
        <v>1</v>
      </c>
      <c r="K115" s="34">
        <f>IFERROR(IF(VLOOKUP(D:D,'테스트(2회)'!C:G,5, 0)="X",1,0),0)</f>
        <v>0</v>
      </c>
      <c r="L115" s="34">
        <f>IFERROR(IF(VLOOKUP(D:D,'테스트(3회)'!C:G,5, 0)="X",1,0),0)</f>
        <v>0</v>
      </c>
      <c r="M115" s="34">
        <f>IFERROR(IF(VLOOKUP(D:D,'테스트(4회)'!C:G,5, 0)="X",1,0),0)</f>
        <v>0</v>
      </c>
      <c r="N115" s="34">
        <f>IFERROR(IF(VLOOKUP(D:D,'테스트(5회)'!C:G,5, 0)="X",1,0),0)</f>
        <v>0</v>
      </c>
      <c r="O115" s="10"/>
    </row>
    <row r="116" spans="2:15" ht="156.75" x14ac:dyDescent="0.3">
      <c r="B116" s="17">
        <v>113</v>
      </c>
      <c r="C116" s="34" t="s">
        <v>730</v>
      </c>
      <c r="D116" s="27" t="s">
        <v>80</v>
      </c>
      <c r="E116" s="27" t="s">
        <v>608</v>
      </c>
      <c r="F116" s="29" t="s">
        <v>624</v>
      </c>
      <c r="G116" s="33">
        <v>5</v>
      </c>
      <c r="H116" s="34">
        <f t="shared" si="1"/>
        <v>1</v>
      </c>
      <c r="I116" s="9"/>
      <c r="J116" s="34">
        <f>IFERROR(IF(VLOOKUP(D:D,'테스트(1회)'!C:G,5, 0)="X",1,0),0)</f>
        <v>1</v>
      </c>
      <c r="K116" s="34">
        <f>IFERROR(IF(VLOOKUP(D:D,'테스트(2회)'!C:G,5, 0)="X",1,0),0)</f>
        <v>0</v>
      </c>
      <c r="L116" s="34">
        <f>IFERROR(IF(VLOOKUP(D:D,'테스트(3회)'!C:G,5, 0)="X",1,0),0)</f>
        <v>0</v>
      </c>
      <c r="M116" s="34">
        <f>IFERROR(IF(VLOOKUP(D:D,'테스트(4회)'!C:G,5, 0)="X",1,0),0)</f>
        <v>0</v>
      </c>
      <c r="N116" s="34">
        <f>IFERROR(IF(VLOOKUP(D:D,'테스트(5회)'!C:G,5, 0)="X",1,0),0)</f>
        <v>0</v>
      </c>
      <c r="O116" s="10"/>
    </row>
    <row r="117" spans="2:15" ht="99.75" x14ac:dyDescent="0.3">
      <c r="B117" s="17">
        <v>114</v>
      </c>
      <c r="C117" s="34" t="s">
        <v>730</v>
      </c>
      <c r="D117" s="27" t="s">
        <v>81</v>
      </c>
      <c r="E117" s="27" t="s">
        <v>608</v>
      </c>
      <c r="F117" s="29" t="s">
        <v>82</v>
      </c>
      <c r="G117" s="33">
        <v>4</v>
      </c>
      <c r="H117" s="34">
        <f t="shared" si="1"/>
        <v>0</v>
      </c>
      <c r="I117" s="9"/>
      <c r="J117" s="34">
        <f>IFERROR(IF(VLOOKUP(D:D,'테스트(1회)'!C:G,5, 0)="X",1,0),0)</f>
        <v>0</v>
      </c>
      <c r="K117" s="34">
        <f>IFERROR(IF(VLOOKUP(D:D,'테스트(2회)'!C:G,5, 0)="X",1,0),0)</f>
        <v>0</v>
      </c>
      <c r="L117" s="34">
        <f>IFERROR(IF(VLOOKUP(D:D,'테스트(3회)'!C:G,5, 0)="X",1,0),0)</f>
        <v>0</v>
      </c>
      <c r="M117" s="34">
        <f>IFERROR(IF(VLOOKUP(D:D,'테스트(4회)'!C:G,5, 0)="X",1,0),0)</f>
        <v>0</v>
      </c>
      <c r="N117" s="34">
        <f>IFERROR(IF(VLOOKUP(D:D,'테스트(5회)'!C:G,5, 0)="X",1,0),0)</f>
        <v>0</v>
      </c>
      <c r="O117" s="10"/>
    </row>
    <row r="118" spans="2:15" ht="85.5" x14ac:dyDescent="0.3">
      <c r="B118" s="17">
        <v>115</v>
      </c>
      <c r="C118" s="34" t="s">
        <v>730</v>
      </c>
      <c r="D118" s="27" t="s">
        <v>83</v>
      </c>
      <c r="E118" s="27" t="s">
        <v>608</v>
      </c>
      <c r="F118" s="29" t="s">
        <v>84</v>
      </c>
      <c r="G118" s="33">
        <v>1</v>
      </c>
      <c r="H118" s="34">
        <f t="shared" si="1"/>
        <v>1</v>
      </c>
      <c r="I118" s="9"/>
      <c r="J118" s="34">
        <f>IFERROR(IF(VLOOKUP(D:D,'테스트(1회)'!C:G,5, 0)="X",1,0),0)</f>
        <v>1</v>
      </c>
      <c r="K118" s="34">
        <f>IFERROR(IF(VLOOKUP(D:D,'테스트(2회)'!C:G,5, 0)="X",1,0),0)</f>
        <v>0</v>
      </c>
      <c r="L118" s="34">
        <f>IFERROR(IF(VLOOKUP(D:D,'테스트(3회)'!C:G,5, 0)="X",1,0),0)</f>
        <v>0</v>
      </c>
      <c r="M118" s="34">
        <f>IFERROR(IF(VLOOKUP(D:D,'테스트(4회)'!C:G,5, 0)="X",1,0),0)</f>
        <v>0</v>
      </c>
      <c r="N118" s="34">
        <f>IFERROR(IF(VLOOKUP(D:D,'테스트(5회)'!C:G,5, 0)="X",1,0),0)</f>
        <v>0</v>
      </c>
      <c r="O118" s="10"/>
    </row>
    <row r="119" spans="2:15" ht="85.5" x14ac:dyDescent="0.3">
      <c r="B119" s="17">
        <v>116</v>
      </c>
      <c r="C119" s="34" t="s">
        <v>733</v>
      </c>
      <c r="D119" s="27" t="s">
        <v>85</v>
      </c>
      <c r="E119" s="27" t="s">
        <v>608</v>
      </c>
      <c r="F119" s="29" t="s">
        <v>86</v>
      </c>
      <c r="G119" s="33">
        <v>2</v>
      </c>
      <c r="H119" s="34">
        <f t="shared" si="1"/>
        <v>0</v>
      </c>
      <c r="I119" s="9"/>
      <c r="J119" s="34">
        <f>IFERROR(IF(VLOOKUP(D:D,'테스트(1회)'!C:G,5, 0)="X",1,0),0)</f>
        <v>0</v>
      </c>
      <c r="K119" s="34">
        <f>IFERROR(IF(VLOOKUP(D:D,'테스트(2회)'!C:G,5, 0)="X",1,0),0)</f>
        <v>0</v>
      </c>
      <c r="L119" s="34">
        <f>IFERROR(IF(VLOOKUP(D:D,'테스트(3회)'!C:G,5, 0)="X",1,0),0)</f>
        <v>0</v>
      </c>
      <c r="M119" s="34">
        <f>IFERROR(IF(VLOOKUP(D:D,'테스트(4회)'!C:G,5, 0)="X",1,0),0)</f>
        <v>0</v>
      </c>
      <c r="N119" s="34">
        <f>IFERROR(IF(VLOOKUP(D:D,'테스트(5회)'!C:G,5, 0)="X",1,0),0)</f>
        <v>0</v>
      </c>
      <c r="O119" s="10"/>
    </row>
    <row r="120" spans="2:15" ht="114" x14ac:dyDescent="0.3">
      <c r="B120" s="17">
        <v>117</v>
      </c>
      <c r="C120" s="34" t="s">
        <v>733</v>
      </c>
      <c r="D120" s="27" t="s">
        <v>87</v>
      </c>
      <c r="E120" s="27" t="s">
        <v>608</v>
      </c>
      <c r="F120" s="29" t="s">
        <v>627</v>
      </c>
      <c r="G120" s="33">
        <v>2</v>
      </c>
      <c r="H120" s="34">
        <f t="shared" si="1"/>
        <v>0</v>
      </c>
      <c r="I120" s="9"/>
      <c r="J120" s="34">
        <f>IFERROR(IF(VLOOKUP(D:D,'테스트(1회)'!C:G,5, 0)="X",1,0),0)</f>
        <v>0</v>
      </c>
      <c r="K120" s="34">
        <f>IFERROR(IF(VLOOKUP(D:D,'테스트(2회)'!C:G,5, 0)="X",1,0),0)</f>
        <v>0</v>
      </c>
      <c r="L120" s="34">
        <f>IFERROR(IF(VLOOKUP(D:D,'테스트(3회)'!C:G,5, 0)="X",1,0),0)</f>
        <v>0</v>
      </c>
      <c r="M120" s="34">
        <f>IFERROR(IF(VLOOKUP(D:D,'테스트(4회)'!C:G,5, 0)="X",1,0),0)</f>
        <v>0</v>
      </c>
      <c r="N120" s="34">
        <f>IFERROR(IF(VLOOKUP(D:D,'테스트(5회)'!C:G,5, 0)="X",1,0),0)</f>
        <v>0</v>
      </c>
      <c r="O120" s="10"/>
    </row>
    <row r="121" spans="2:15" ht="85.5" x14ac:dyDescent="0.3">
      <c r="B121" s="17">
        <v>118</v>
      </c>
      <c r="C121" s="34" t="s">
        <v>733</v>
      </c>
      <c r="D121" s="27" t="s">
        <v>88</v>
      </c>
      <c r="E121" s="27" t="s">
        <v>608</v>
      </c>
      <c r="F121" s="29" t="s">
        <v>613</v>
      </c>
      <c r="G121" s="33">
        <v>5</v>
      </c>
      <c r="H121" s="34">
        <f t="shared" si="1"/>
        <v>0</v>
      </c>
      <c r="I121" s="9"/>
      <c r="J121" s="34">
        <f>IFERROR(IF(VLOOKUP(D:D,'테스트(1회)'!C:G,5, 0)="X",1,0),0)</f>
        <v>0</v>
      </c>
      <c r="K121" s="34">
        <f>IFERROR(IF(VLOOKUP(D:D,'테스트(2회)'!C:G,5, 0)="X",1,0),0)</f>
        <v>0</v>
      </c>
      <c r="L121" s="34">
        <f>IFERROR(IF(VLOOKUP(D:D,'테스트(3회)'!C:G,5, 0)="X",1,0),0)</f>
        <v>0</v>
      </c>
      <c r="M121" s="34">
        <f>IFERROR(IF(VLOOKUP(D:D,'테스트(4회)'!C:G,5, 0)="X",1,0),0)</f>
        <v>0</v>
      </c>
      <c r="N121" s="34">
        <f>IFERROR(IF(VLOOKUP(D:D,'테스트(5회)'!C:G,5, 0)="X",1,0),0)</f>
        <v>0</v>
      </c>
      <c r="O121" s="10"/>
    </row>
    <row r="122" spans="2:15" ht="128.25" x14ac:dyDescent="0.3">
      <c r="B122" s="17">
        <v>119</v>
      </c>
      <c r="C122" s="34" t="s">
        <v>733</v>
      </c>
      <c r="D122" s="27" t="s">
        <v>89</v>
      </c>
      <c r="E122" s="27" t="s">
        <v>608</v>
      </c>
      <c r="F122" s="29" t="s">
        <v>90</v>
      </c>
      <c r="G122" s="33">
        <v>1</v>
      </c>
      <c r="H122" s="34">
        <f t="shared" si="1"/>
        <v>0</v>
      </c>
      <c r="I122" s="9"/>
      <c r="J122" s="34">
        <f>IFERROR(IF(VLOOKUP(D:D,'테스트(1회)'!C:G,5, 0)="X",1,0),0)</f>
        <v>0</v>
      </c>
      <c r="K122" s="34">
        <f>IFERROR(IF(VLOOKUP(D:D,'테스트(2회)'!C:G,5, 0)="X",1,0),0)</f>
        <v>0</v>
      </c>
      <c r="L122" s="34">
        <f>IFERROR(IF(VLOOKUP(D:D,'테스트(3회)'!C:G,5, 0)="X",1,0),0)</f>
        <v>0</v>
      </c>
      <c r="M122" s="34">
        <f>IFERROR(IF(VLOOKUP(D:D,'테스트(4회)'!C:G,5, 0)="X",1,0),0)</f>
        <v>0</v>
      </c>
      <c r="N122" s="34">
        <f>IFERROR(IF(VLOOKUP(D:D,'테스트(5회)'!C:G,5, 0)="X",1,0),0)</f>
        <v>0</v>
      </c>
      <c r="O122" s="10"/>
    </row>
    <row r="123" spans="2:15" ht="142.5" x14ac:dyDescent="0.3">
      <c r="B123" s="17">
        <v>120</v>
      </c>
      <c r="C123" s="34" t="s">
        <v>733</v>
      </c>
      <c r="D123" s="27" t="s">
        <v>91</v>
      </c>
      <c r="E123" s="27" t="s">
        <v>608</v>
      </c>
      <c r="F123" s="29" t="s">
        <v>1079</v>
      </c>
      <c r="G123" s="33">
        <v>3</v>
      </c>
      <c r="H123" s="34">
        <f t="shared" si="1"/>
        <v>0</v>
      </c>
      <c r="I123" s="9"/>
      <c r="J123" s="34">
        <f>IFERROR(IF(VLOOKUP(D:D,'테스트(1회)'!C:G,5, 0)="X",1,0),0)</f>
        <v>0</v>
      </c>
      <c r="K123" s="34">
        <f>IFERROR(IF(VLOOKUP(D:D,'테스트(2회)'!C:G,5, 0)="X",1,0),0)</f>
        <v>0</v>
      </c>
      <c r="L123" s="34">
        <f>IFERROR(IF(VLOOKUP(D:D,'테스트(3회)'!C:G,5, 0)="X",1,0),0)</f>
        <v>0</v>
      </c>
      <c r="M123" s="34">
        <f>IFERROR(IF(VLOOKUP(D:D,'테스트(4회)'!C:G,5, 0)="X",1,0),0)</f>
        <v>0</v>
      </c>
      <c r="N123" s="34">
        <f>IFERROR(IF(VLOOKUP(D:D,'테스트(5회)'!C:G,5, 0)="X",1,0),0)</f>
        <v>0</v>
      </c>
      <c r="O123" s="10"/>
    </row>
    <row r="124" spans="2:15" ht="85.5" x14ac:dyDescent="0.3">
      <c r="B124" s="17">
        <v>121</v>
      </c>
      <c r="C124" s="34" t="s">
        <v>733</v>
      </c>
      <c r="D124" s="27" t="s">
        <v>92</v>
      </c>
      <c r="E124" s="27" t="s">
        <v>608</v>
      </c>
      <c r="F124" s="29" t="s">
        <v>93</v>
      </c>
      <c r="G124" s="33">
        <v>5</v>
      </c>
      <c r="H124" s="34">
        <f t="shared" si="1"/>
        <v>1</v>
      </c>
      <c r="I124" s="9"/>
      <c r="J124" s="34">
        <f>IFERROR(IF(VLOOKUP(D:D,'테스트(1회)'!C:G,5, 0)="X",1,0),0)</f>
        <v>1</v>
      </c>
      <c r="K124" s="34">
        <f>IFERROR(IF(VLOOKUP(D:D,'테스트(2회)'!C:G,5, 0)="X",1,0),0)</f>
        <v>0</v>
      </c>
      <c r="L124" s="34">
        <f>IFERROR(IF(VLOOKUP(D:D,'테스트(3회)'!C:G,5, 0)="X",1,0),0)</f>
        <v>0</v>
      </c>
      <c r="M124" s="34">
        <f>IFERROR(IF(VLOOKUP(D:D,'테스트(4회)'!C:G,5, 0)="X",1,0),0)</f>
        <v>0</v>
      </c>
      <c r="N124" s="34">
        <f>IFERROR(IF(VLOOKUP(D:D,'테스트(5회)'!C:G,5, 0)="X",1,0),0)</f>
        <v>0</v>
      </c>
      <c r="O124" s="10"/>
    </row>
    <row r="125" spans="2:15" ht="85.5" x14ac:dyDescent="0.3">
      <c r="B125" s="17">
        <v>122</v>
      </c>
      <c r="C125" s="34" t="s">
        <v>733</v>
      </c>
      <c r="D125" s="27" t="s">
        <v>94</v>
      </c>
      <c r="E125" s="27" t="s">
        <v>608</v>
      </c>
      <c r="F125" s="29" t="s">
        <v>95</v>
      </c>
      <c r="G125" s="33">
        <v>3</v>
      </c>
      <c r="H125" s="34">
        <f t="shared" si="1"/>
        <v>0</v>
      </c>
      <c r="I125" s="9"/>
      <c r="J125" s="34">
        <f>IFERROR(IF(VLOOKUP(D:D,'테스트(1회)'!C:G,5, 0)="X",1,0),0)</f>
        <v>0</v>
      </c>
      <c r="K125" s="34">
        <f>IFERROR(IF(VLOOKUP(D:D,'테스트(2회)'!C:G,5, 0)="X",1,0),0)</f>
        <v>0</v>
      </c>
      <c r="L125" s="34">
        <f>IFERROR(IF(VLOOKUP(D:D,'테스트(3회)'!C:G,5, 0)="X",1,0),0)</f>
        <v>0</v>
      </c>
      <c r="M125" s="34">
        <f>IFERROR(IF(VLOOKUP(D:D,'테스트(4회)'!C:G,5, 0)="X",1,0),0)</f>
        <v>0</v>
      </c>
      <c r="N125" s="34">
        <f>IFERROR(IF(VLOOKUP(D:D,'테스트(5회)'!C:G,5, 0)="X",1,0),0)</f>
        <v>0</v>
      </c>
      <c r="O125" s="10"/>
    </row>
    <row r="126" spans="2:15" ht="85.5" x14ac:dyDescent="0.3">
      <c r="B126" s="17">
        <v>123</v>
      </c>
      <c r="C126" s="34" t="s">
        <v>733</v>
      </c>
      <c r="D126" s="27" t="s">
        <v>96</v>
      </c>
      <c r="E126" s="27" t="s">
        <v>608</v>
      </c>
      <c r="F126" s="29" t="s">
        <v>713</v>
      </c>
      <c r="G126" s="33">
        <v>5</v>
      </c>
      <c r="H126" s="34">
        <f t="shared" si="1"/>
        <v>1</v>
      </c>
      <c r="I126" s="9"/>
      <c r="J126" s="34">
        <f>IFERROR(IF(VLOOKUP(D:D,'테스트(1회)'!C:G,5, 0)="X",1,0),0)</f>
        <v>1</v>
      </c>
      <c r="K126" s="34">
        <f>IFERROR(IF(VLOOKUP(D:D,'테스트(2회)'!C:G,5, 0)="X",1,0),0)</f>
        <v>0</v>
      </c>
      <c r="L126" s="34">
        <f>IFERROR(IF(VLOOKUP(D:D,'테스트(3회)'!C:G,5, 0)="X",1,0),0)</f>
        <v>0</v>
      </c>
      <c r="M126" s="34">
        <f>IFERROR(IF(VLOOKUP(D:D,'테스트(4회)'!C:G,5, 0)="X",1,0),0)</f>
        <v>0</v>
      </c>
      <c r="N126" s="34">
        <f>IFERROR(IF(VLOOKUP(D:D,'테스트(5회)'!C:G,5, 0)="X",1,0),0)</f>
        <v>0</v>
      </c>
      <c r="O126" s="10"/>
    </row>
    <row r="127" spans="2:15" ht="128.25" x14ac:dyDescent="0.3">
      <c r="B127" s="17">
        <v>124</v>
      </c>
      <c r="C127" s="34" t="s">
        <v>733</v>
      </c>
      <c r="D127" s="27" t="s">
        <v>97</v>
      </c>
      <c r="E127" s="27" t="s">
        <v>608</v>
      </c>
      <c r="F127" s="29" t="s">
        <v>777</v>
      </c>
      <c r="G127" s="33">
        <v>4</v>
      </c>
      <c r="H127" s="34">
        <f t="shared" si="1"/>
        <v>0</v>
      </c>
      <c r="I127" s="9"/>
      <c r="J127" s="34">
        <f>IFERROR(IF(VLOOKUP(D:D,'테스트(1회)'!C:G,5, 0)="X",1,0),0)</f>
        <v>0</v>
      </c>
      <c r="K127" s="34">
        <f>IFERROR(IF(VLOOKUP(D:D,'테스트(2회)'!C:G,5, 0)="X",1,0),0)</f>
        <v>0</v>
      </c>
      <c r="L127" s="34">
        <f>IFERROR(IF(VLOOKUP(D:D,'테스트(3회)'!C:G,5, 0)="X",1,0),0)</f>
        <v>0</v>
      </c>
      <c r="M127" s="34">
        <f>IFERROR(IF(VLOOKUP(D:D,'테스트(4회)'!C:G,5, 0)="X",1,0),0)</f>
        <v>0</v>
      </c>
      <c r="N127" s="34">
        <f>IFERROR(IF(VLOOKUP(D:D,'테스트(5회)'!C:G,5, 0)="X",1,0),0)</f>
        <v>0</v>
      </c>
      <c r="O127" s="10"/>
    </row>
    <row r="128" spans="2:15" ht="114" x14ac:dyDescent="0.3">
      <c r="B128" s="17">
        <v>125</v>
      </c>
      <c r="C128" s="34" t="s">
        <v>733</v>
      </c>
      <c r="D128" s="27" t="s">
        <v>98</v>
      </c>
      <c r="E128" s="27" t="s">
        <v>608</v>
      </c>
      <c r="F128" s="29" t="s">
        <v>697</v>
      </c>
      <c r="G128" s="33">
        <v>3</v>
      </c>
      <c r="H128" s="34">
        <f t="shared" si="1"/>
        <v>0</v>
      </c>
      <c r="I128" s="9"/>
      <c r="J128" s="34">
        <f>IFERROR(IF(VLOOKUP(D:D,'테스트(1회)'!C:G,5, 0)="X",1,0),0)</f>
        <v>0</v>
      </c>
      <c r="K128" s="34">
        <f>IFERROR(IF(VLOOKUP(D:D,'테스트(2회)'!C:G,5, 0)="X",1,0),0)</f>
        <v>0</v>
      </c>
      <c r="L128" s="34">
        <f>IFERROR(IF(VLOOKUP(D:D,'테스트(3회)'!C:G,5, 0)="X",1,0),0)</f>
        <v>0</v>
      </c>
      <c r="M128" s="34">
        <f>IFERROR(IF(VLOOKUP(D:D,'테스트(4회)'!C:G,5, 0)="X",1,0),0)</f>
        <v>0</v>
      </c>
      <c r="N128" s="34">
        <f>IFERROR(IF(VLOOKUP(D:D,'테스트(5회)'!C:G,5, 0)="X",1,0),0)</f>
        <v>0</v>
      </c>
      <c r="O128" s="10"/>
    </row>
    <row r="129" spans="2:16" ht="85.5" x14ac:dyDescent="0.3">
      <c r="B129" s="17">
        <v>126</v>
      </c>
      <c r="C129" s="34" t="s">
        <v>733</v>
      </c>
      <c r="D129" s="27" t="s">
        <v>99</v>
      </c>
      <c r="E129" s="27" t="s">
        <v>608</v>
      </c>
      <c r="F129" s="29" t="s">
        <v>760</v>
      </c>
      <c r="G129" s="33">
        <v>5</v>
      </c>
      <c r="H129" s="34">
        <f t="shared" si="1"/>
        <v>0</v>
      </c>
      <c r="I129" s="9"/>
      <c r="J129" s="34">
        <f>IFERROR(IF(VLOOKUP(D:D,'테스트(1회)'!C:G,5, 0)="X",1,0),0)</f>
        <v>0</v>
      </c>
      <c r="K129" s="34">
        <f>IFERROR(IF(VLOOKUP(D:D,'테스트(2회)'!C:G,5, 0)="X",1,0),0)</f>
        <v>0</v>
      </c>
      <c r="L129" s="34">
        <f>IFERROR(IF(VLOOKUP(D:D,'테스트(3회)'!C:G,5, 0)="X",1,0),0)</f>
        <v>0</v>
      </c>
      <c r="M129" s="34">
        <f>IFERROR(IF(VLOOKUP(D:D,'테스트(4회)'!C:G,5, 0)="X",1,0),0)</f>
        <v>0</v>
      </c>
      <c r="N129" s="34">
        <f>IFERROR(IF(VLOOKUP(D:D,'테스트(5회)'!C:G,5, 0)="X",1,0),0)</f>
        <v>0</v>
      </c>
      <c r="O129" s="10"/>
    </row>
    <row r="130" spans="2:16" ht="114" x14ac:dyDescent="0.3">
      <c r="B130" s="17">
        <v>127</v>
      </c>
      <c r="C130" s="34" t="s">
        <v>733</v>
      </c>
      <c r="D130" s="27" t="s">
        <v>100</v>
      </c>
      <c r="E130" s="27" t="s">
        <v>608</v>
      </c>
      <c r="F130" s="29" t="s">
        <v>761</v>
      </c>
      <c r="G130" s="33">
        <v>1</v>
      </c>
      <c r="H130" s="34">
        <f t="shared" si="1"/>
        <v>1</v>
      </c>
      <c r="I130" s="9"/>
      <c r="J130" s="34">
        <f>IFERROR(IF(VLOOKUP(D:D,'테스트(1회)'!C:G,5, 0)="X",1,0),0)</f>
        <v>1</v>
      </c>
      <c r="K130" s="34">
        <f>IFERROR(IF(VLOOKUP(D:D,'테스트(2회)'!C:G,5, 0)="X",1,0),0)</f>
        <v>0</v>
      </c>
      <c r="L130" s="34">
        <f>IFERROR(IF(VLOOKUP(D:D,'테스트(3회)'!C:G,5, 0)="X",1,0),0)</f>
        <v>0</v>
      </c>
      <c r="M130" s="34">
        <f>IFERROR(IF(VLOOKUP(D:D,'테스트(4회)'!C:G,5, 0)="X",1,0),0)</f>
        <v>0</v>
      </c>
      <c r="N130" s="34">
        <f>IFERROR(IF(VLOOKUP(D:D,'테스트(5회)'!C:G,5, 0)="X",1,0),0)</f>
        <v>0</v>
      </c>
      <c r="O130" s="10"/>
    </row>
    <row r="131" spans="2:16" ht="128.25" x14ac:dyDescent="0.3">
      <c r="B131" s="17">
        <v>128</v>
      </c>
      <c r="C131" s="34" t="s">
        <v>733</v>
      </c>
      <c r="D131" s="27" t="s">
        <v>101</v>
      </c>
      <c r="E131" s="27" t="s">
        <v>608</v>
      </c>
      <c r="F131" s="29" t="s">
        <v>102</v>
      </c>
      <c r="G131" s="33">
        <v>5</v>
      </c>
      <c r="H131" s="34">
        <f t="shared" si="1"/>
        <v>1</v>
      </c>
      <c r="I131" s="9"/>
      <c r="J131" s="34">
        <f>IFERROR(IF(VLOOKUP(D:D,'테스트(1회)'!C:G,5, 0)="X",1,0),0)</f>
        <v>1</v>
      </c>
      <c r="K131" s="34">
        <f>IFERROR(IF(VLOOKUP(D:D,'테스트(2회)'!C:G,5, 0)="X",1,0),0)</f>
        <v>0</v>
      </c>
      <c r="L131" s="34">
        <f>IFERROR(IF(VLOOKUP(D:D,'테스트(3회)'!C:G,5, 0)="X",1,0),0)</f>
        <v>0</v>
      </c>
      <c r="M131" s="34">
        <f>IFERROR(IF(VLOOKUP(D:D,'테스트(4회)'!C:G,5, 0)="X",1,0),0)</f>
        <v>0</v>
      </c>
      <c r="N131" s="34">
        <f>IFERROR(IF(VLOOKUP(D:D,'테스트(5회)'!C:G,5, 0)="X",1,0),0)</f>
        <v>0</v>
      </c>
      <c r="O131" s="10"/>
    </row>
    <row r="132" spans="2:16" ht="142.5" x14ac:dyDescent="0.3">
      <c r="B132" s="17">
        <v>129</v>
      </c>
      <c r="C132" s="34" t="s">
        <v>733</v>
      </c>
      <c r="D132" s="27" t="s">
        <v>103</v>
      </c>
      <c r="E132" s="27" t="s">
        <v>608</v>
      </c>
      <c r="F132" s="29" t="s">
        <v>104</v>
      </c>
      <c r="G132" s="33">
        <v>3</v>
      </c>
      <c r="H132" s="34">
        <f t="shared" ref="H132:H195" si="2">SUM(J132:N132)</f>
        <v>0</v>
      </c>
      <c r="I132" s="9"/>
      <c r="J132" s="34">
        <f>IFERROR(IF(VLOOKUP(D:D,'테스트(1회)'!C:G,5, 0)="X",1,0),0)</f>
        <v>0</v>
      </c>
      <c r="K132" s="34">
        <f>IFERROR(IF(VLOOKUP(D:D,'테스트(2회)'!C:G,5, 0)="X",1,0),0)</f>
        <v>0</v>
      </c>
      <c r="L132" s="34">
        <f>IFERROR(IF(VLOOKUP(D:D,'테스트(3회)'!C:G,5, 0)="X",1,0),0)</f>
        <v>0</v>
      </c>
      <c r="M132" s="34">
        <f>IFERROR(IF(VLOOKUP(D:D,'테스트(4회)'!C:G,5, 0)="X",1,0),0)</f>
        <v>0</v>
      </c>
      <c r="N132" s="34">
        <f>IFERROR(IF(VLOOKUP(D:D,'테스트(5회)'!C:G,5, 0)="X",1,0),0)</f>
        <v>0</v>
      </c>
      <c r="O132" s="10"/>
    </row>
    <row r="133" spans="2:16" ht="99.75" x14ac:dyDescent="0.3">
      <c r="B133" s="17">
        <v>130</v>
      </c>
      <c r="C133" s="34" t="s">
        <v>733</v>
      </c>
      <c r="D133" s="27" t="s">
        <v>609</v>
      </c>
      <c r="E133" s="27" t="s">
        <v>608</v>
      </c>
      <c r="F133" s="29" t="s">
        <v>610</v>
      </c>
      <c r="G133" s="33">
        <v>2</v>
      </c>
      <c r="H133" s="34">
        <f t="shared" si="2"/>
        <v>0</v>
      </c>
      <c r="I133" s="9"/>
      <c r="J133" s="34">
        <f>IFERROR(IF(VLOOKUP(D:D,'테스트(1회)'!C:G,5, 0)="X",1,0),0)</f>
        <v>0</v>
      </c>
      <c r="K133" s="34">
        <f>IFERROR(IF(VLOOKUP(D:D,'테스트(2회)'!C:G,5, 0)="X",1,0),0)</f>
        <v>0</v>
      </c>
      <c r="L133" s="34">
        <f>IFERROR(IF(VLOOKUP(D:D,'테스트(3회)'!C:G,5, 0)="X",1,0),0)</f>
        <v>0</v>
      </c>
      <c r="M133" s="34">
        <f>IFERROR(IF(VLOOKUP(D:D,'테스트(4회)'!C:G,5, 0)="X",1,0),0)</f>
        <v>0</v>
      </c>
      <c r="N133" s="34">
        <f>IFERROR(IF(VLOOKUP(D:D,'테스트(5회)'!C:G,5, 0)="X",1,0),0)</f>
        <v>0</v>
      </c>
      <c r="O133" s="10"/>
    </row>
    <row r="134" spans="2:16" ht="85.5" x14ac:dyDescent="0.3">
      <c r="B134" s="17">
        <v>131</v>
      </c>
      <c r="C134" s="34" t="s">
        <v>733</v>
      </c>
      <c r="D134" s="27" t="s">
        <v>105</v>
      </c>
      <c r="E134" s="27" t="s">
        <v>608</v>
      </c>
      <c r="F134" s="29" t="s">
        <v>106</v>
      </c>
      <c r="G134" s="33">
        <v>3</v>
      </c>
      <c r="H134" s="34">
        <f t="shared" si="2"/>
        <v>1</v>
      </c>
      <c r="I134" s="9"/>
      <c r="J134" s="34">
        <f>IFERROR(IF(VLOOKUP(D:D,'테스트(1회)'!C:G,5, 0)="X",1,0),0)</f>
        <v>1</v>
      </c>
      <c r="K134" s="34">
        <f>IFERROR(IF(VLOOKUP(D:D,'테스트(2회)'!C:G,5, 0)="X",1,0),0)</f>
        <v>0</v>
      </c>
      <c r="L134" s="34">
        <f>IFERROR(IF(VLOOKUP(D:D,'테스트(3회)'!C:G,5, 0)="X",1,0),0)</f>
        <v>0</v>
      </c>
      <c r="M134" s="34">
        <f>IFERROR(IF(VLOOKUP(D:D,'테스트(4회)'!C:G,5, 0)="X",1,0),0)</f>
        <v>0</v>
      </c>
      <c r="N134" s="34">
        <f>IFERROR(IF(VLOOKUP(D:D,'테스트(5회)'!C:G,5, 0)="X",1,0),0)</f>
        <v>0</v>
      </c>
      <c r="O134" s="10"/>
    </row>
    <row r="135" spans="2:16" ht="85.5" x14ac:dyDescent="0.3">
      <c r="B135" s="17">
        <v>132</v>
      </c>
      <c r="C135" s="34" t="s">
        <v>733</v>
      </c>
      <c r="D135" s="27" t="s">
        <v>107</v>
      </c>
      <c r="E135" s="27" t="s">
        <v>608</v>
      </c>
      <c r="F135" s="29" t="s">
        <v>108</v>
      </c>
      <c r="G135" s="33">
        <v>1</v>
      </c>
      <c r="H135" s="34">
        <f t="shared" si="2"/>
        <v>0</v>
      </c>
      <c r="I135" s="9"/>
      <c r="J135" s="34">
        <f>IFERROR(IF(VLOOKUP(D:D,'테스트(1회)'!C:G,5, 0)="X",1,0),0)</f>
        <v>0</v>
      </c>
      <c r="K135" s="34">
        <f>IFERROR(IF(VLOOKUP(D:D,'테스트(2회)'!C:G,5, 0)="X",1,0),0)</f>
        <v>0</v>
      </c>
      <c r="L135" s="34">
        <f>IFERROR(IF(VLOOKUP(D:D,'테스트(3회)'!C:G,5, 0)="X",1,0),0)</f>
        <v>0</v>
      </c>
      <c r="M135" s="34">
        <f>IFERROR(IF(VLOOKUP(D:D,'테스트(4회)'!C:G,5, 0)="X",1,0),0)</f>
        <v>0</v>
      </c>
      <c r="N135" s="34">
        <f>IFERROR(IF(VLOOKUP(D:D,'테스트(5회)'!C:G,5, 0)="X",1,0),0)</f>
        <v>0</v>
      </c>
      <c r="O135" s="10"/>
    </row>
    <row r="136" spans="2:16" ht="85.5" x14ac:dyDescent="0.3">
      <c r="B136" s="17">
        <v>133</v>
      </c>
      <c r="C136" s="34" t="s">
        <v>733</v>
      </c>
      <c r="D136" s="27" t="s">
        <v>109</v>
      </c>
      <c r="E136" s="27" t="s">
        <v>608</v>
      </c>
      <c r="F136" s="29" t="s">
        <v>110</v>
      </c>
      <c r="G136" s="33">
        <v>4</v>
      </c>
      <c r="H136" s="34">
        <f t="shared" si="2"/>
        <v>0</v>
      </c>
      <c r="I136" s="9"/>
      <c r="J136" s="34">
        <f>IFERROR(IF(VLOOKUP(D:D,'테스트(1회)'!C:G,5, 0)="X",1,0),0)</f>
        <v>0</v>
      </c>
      <c r="K136" s="34">
        <f>IFERROR(IF(VLOOKUP(D:D,'테스트(2회)'!C:G,5, 0)="X",1,0),0)</f>
        <v>0</v>
      </c>
      <c r="L136" s="34">
        <f>IFERROR(IF(VLOOKUP(D:D,'테스트(3회)'!C:G,5, 0)="X",1,0),0)</f>
        <v>0</v>
      </c>
      <c r="M136" s="34">
        <f>IFERROR(IF(VLOOKUP(D:D,'테스트(4회)'!C:G,5, 0)="X",1,0),0)</f>
        <v>0</v>
      </c>
      <c r="N136" s="34">
        <f>IFERROR(IF(VLOOKUP(D:D,'테스트(5회)'!C:G,5, 0)="X",1,0),0)</f>
        <v>0</v>
      </c>
      <c r="O136" s="10"/>
    </row>
    <row r="137" spans="2:16" ht="128.25" x14ac:dyDescent="0.3">
      <c r="B137" s="17">
        <v>134</v>
      </c>
      <c r="C137" s="34" t="s">
        <v>733</v>
      </c>
      <c r="D137" s="27" t="s">
        <v>111</v>
      </c>
      <c r="E137" s="27" t="s">
        <v>608</v>
      </c>
      <c r="F137" s="29" t="s">
        <v>1112</v>
      </c>
      <c r="G137" s="33">
        <v>3</v>
      </c>
      <c r="H137" s="34">
        <f t="shared" si="2"/>
        <v>0</v>
      </c>
      <c r="I137" s="9"/>
      <c r="J137" s="34">
        <f>IFERROR(IF(VLOOKUP(D:D,'테스트(1회)'!C:G,5, 0)="X",1,0),0)</f>
        <v>0</v>
      </c>
      <c r="K137" s="34">
        <f>IFERROR(IF(VLOOKUP(D:D,'테스트(2회)'!C:G,5, 0)="X",1,0),0)</f>
        <v>0</v>
      </c>
      <c r="L137" s="34">
        <f>IFERROR(IF(VLOOKUP(D:D,'테스트(3회)'!C:G,5, 0)="X",1,0),0)</f>
        <v>0</v>
      </c>
      <c r="M137" s="34">
        <f>IFERROR(IF(VLOOKUP(D:D,'테스트(4회)'!C:G,5, 0)="X",1,0),0)</f>
        <v>0</v>
      </c>
      <c r="N137" s="34">
        <f>IFERROR(IF(VLOOKUP(D:D,'테스트(5회)'!C:G,5, 0)="X",1,0),0)</f>
        <v>0</v>
      </c>
      <c r="O137" s="10"/>
    </row>
    <row r="138" spans="2:16" ht="85.5" x14ac:dyDescent="0.3">
      <c r="B138" s="17">
        <v>135</v>
      </c>
      <c r="C138" s="34" t="s">
        <v>733</v>
      </c>
      <c r="D138" s="27" t="s">
        <v>112</v>
      </c>
      <c r="E138" s="27" t="s">
        <v>608</v>
      </c>
      <c r="F138" s="29" t="s">
        <v>113</v>
      </c>
      <c r="G138" s="33">
        <v>3</v>
      </c>
      <c r="H138" s="34">
        <f t="shared" si="2"/>
        <v>1</v>
      </c>
      <c r="I138" s="9"/>
      <c r="J138" s="34">
        <f>IFERROR(IF(VLOOKUP(D:D,'테스트(1회)'!C:G,5, 0)="X",1,0),0)</f>
        <v>1</v>
      </c>
      <c r="K138" s="34">
        <f>IFERROR(IF(VLOOKUP(D:D,'테스트(2회)'!C:G,5, 0)="X",1,0),0)</f>
        <v>0</v>
      </c>
      <c r="L138" s="34">
        <f>IFERROR(IF(VLOOKUP(D:D,'테스트(3회)'!C:G,5, 0)="X",1,0),0)</f>
        <v>0</v>
      </c>
      <c r="M138" s="34">
        <f>IFERROR(IF(VLOOKUP(D:D,'테스트(4회)'!C:G,5, 0)="X",1,0),0)</f>
        <v>0</v>
      </c>
      <c r="N138" s="34">
        <f>IFERROR(IF(VLOOKUP(D:D,'테스트(5회)'!C:G,5, 0)="X",1,0),0)</f>
        <v>0</v>
      </c>
      <c r="O138" s="10"/>
    </row>
    <row r="139" spans="2:16" ht="142.5" x14ac:dyDescent="0.3">
      <c r="B139" s="17">
        <v>136</v>
      </c>
      <c r="C139" s="34" t="s">
        <v>733</v>
      </c>
      <c r="D139" s="27" t="s">
        <v>114</v>
      </c>
      <c r="E139" s="27" t="s">
        <v>608</v>
      </c>
      <c r="F139" s="29" t="s">
        <v>701</v>
      </c>
      <c r="G139" s="33">
        <v>4</v>
      </c>
      <c r="H139" s="34">
        <f t="shared" si="2"/>
        <v>0</v>
      </c>
      <c r="I139" s="9"/>
      <c r="J139" s="34">
        <f>IFERROR(IF(VLOOKUP(D:D,'테스트(1회)'!C:G,5, 0)="X",1,0),0)</f>
        <v>0</v>
      </c>
      <c r="K139" s="34">
        <f>IFERROR(IF(VLOOKUP(D:D,'테스트(2회)'!C:G,5, 0)="X",1,0),0)</f>
        <v>0</v>
      </c>
      <c r="L139" s="34">
        <f>IFERROR(IF(VLOOKUP(D:D,'테스트(3회)'!C:G,5, 0)="X",1,0),0)</f>
        <v>0</v>
      </c>
      <c r="M139" s="34">
        <f>IFERROR(IF(VLOOKUP(D:D,'테스트(4회)'!C:G,5, 0)="X",1,0),0)</f>
        <v>0</v>
      </c>
      <c r="N139" s="34">
        <f>IFERROR(IF(VLOOKUP(D:D,'테스트(5회)'!C:G,5, 0)="X",1,0),0)</f>
        <v>0</v>
      </c>
      <c r="O139" s="10"/>
    </row>
    <row r="140" spans="2:16" ht="171" x14ac:dyDescent="0.3">
      <c r="B140" s="17">
        <v>137</v>
      </c>
      <c r="C140" s="34" t="s">
        <v>733</v>
      </c>
      <c r="D140" s="27" t="s">
        <v>115</v>
      </c>
      <c r="E140" s="27" t="s">
        <v>608</v>
      </c>
      <c r="F140" s="29" t="s">
        <v>762</v>
      </c>
      <c r="G140" s="33">
        <v>4</v>
      </c>
      <c r="H140" s="34">
        <f t="shared" si="2"/>
        <v>0</v>
      </c>
      <c r="I140" s="9"/>
      <c r="J140" s="34">
        <f>IFERROR(IF(VLOOKUP(D:D,'테스트(1회)'!C:G,5, 0)="X",1,0),0)</f>
        <v>0</v>
      </c>
      <c r="K140" s="34">
        <f>IFERROR(IF(VLOOKUP(D:D,'테스트(2회)'!C:G,5, 0)="X",1,0),0)</f>
        <v>0</v>
      </c>
      <c r="L140" s="34">
        <f>IFERROR(IF(VLOOKUP(D:D,'테스트(3회)'!C:G,5, 0)="X",1,0),0)</f>
        <v>0</v>
      </c>
      <c r="M140" s="34">
        <f>IFERROR(IF(VLOOKUP(D:D,'테스트(4회)'!C:G,5, 0)="X",1,0),0)</f>
        <v>0</v>
      </c>
      <c r="N140" s="34">
        <f>IFERROR(IF(VLOOKUP(D:D,'테스트(5회)'!C:G,5, 0)="X",1,0),0)</f>
        <v>0</v>
      </c>
      <c r="O140" s="10"/>
    </row>
    <row r="141" spans="2:16" ht="171" x14ac:dyDescent="0.3">
      <c r="B141" s="17">
        <v>138</v>
      </c>
      <c r="C141" s="34" t="s">
        <v>733</v>
      </c>
      <c r="D141" s="27" t="s">
        <v>116</v>
      </c>
      <c r="E141" s="27" t="s">
        <v>608</v>
      </c>
      <c r="F141" s="29" t="s">
        <v>117</v>
      </c>
      <c r="G141" s="33">
        <v>2</v>
      </c>
      <c r="H141" s="34">
        <f t="shared" si="2"/>
        <v>0</v>
      </c>
      <c r="I141" s="9"/>
      <c r="J141" s="34">
        <f>IFERROR(IF(VLOOKUP(D:D,'테스트(1회)'!C:G,5, 0)="X",1,0),0)</f>
        <v>0</v>
      </c>
      <c r="K141" s="34">
        <f>IFERROR(IF(VLOOKUP(D:D,'테스트(2회)'!C:G,5, 0)="X",1,0),0)</f>
        <v>0</v>
      </c>
      <c r="L141" s="34">
        <f>IFERROR(IF(VLOOKUP(D:D,'테스트(3회)'!C:G,5, 0)="X",1,0),0)</f>
        <v>0</v>
      </c>
      <c r="M141" s="34">
        <f>IFERROR(IF(VLOOKUP(D:D,'테스트(4회)'!C:G,5, 0)="X",1,0),0)</f>
        <v>0</v>
      </c>
      <c r="N141" s="34">
        <f>IFERROR(IF(VLOOKUP(D:D,'테스트(5회)'!C:G,5, 0)="X",1,0),0)</f>
        <v>0</v>
      </c>
      <c r="O141" s="10"/>
    </row>
    <row r="142" spans="2:16" ht="128.25" x14ac:dyDescent="0.3">
      <c r="B142" s="17">
        <v>139</v>
      </c>
      <c r="C142" s="34" t="s">
        <v>733</v>
      </c>
      <c r="D142" s="27" t="s">
        <v>118</v>
      </c>
      <c r="E142" s="27" t="s">
        <v>608</v>
      </c>
      <c r="F142" s="29" t="s">
        <v>1080</v>
      </c>
      <c r="G142" s="33">
        <v>2</v>
      </c>
      <c r="H142" s="34">
        <f t="shared" si="2"/>
        <v>0</v>
      </c>
      <c r="I142" s="9"/>
      <c r="J142" s="34">
        <f>IFERROR(IF(VLOOKUP(D:D,'테스트(1회)'!C:G,5, 0)="X",1,0),0)</f>
        <v>0</v>
      </c>
      <c r="K142" s="34">
        <f>IFERROR(IF(VLOOKUP(D:D,'테스트(2회)'!C:G,5, 0)="X",1,0),0)</f>
        <v>0</v>
      </c>
      <c r="L142" s="34">
        <f>IFERROR(IF(VLOOKUP(D:D,'테스트(3회)'!C:G,5, 0)="X",1,0),0)</f>
        <v>0</v>
      </c>
      <c r="M142" s="34">
        <f>IFERROR(IF(VLOOKUP(D:D,'테스트(4회)'!C:G,5, 0)="X",1,0),0)</f>
        <v>0</v>
      </c>
      <c r="N142" s="34">
        <f>IFERROR(IF(VLOOKUP(D:D,'테스트(5회)'!C:G,5, 0)="X",1,0),0)</f>
        <v>0</v>
      </c>
      <c r="O142" s="10" t="s">
        <v>779</v>
      </c>
      <c r="P142" s="12" t="s">
        <v>778</v>
      </c>
    </row>
    <row r="143" spans="2:16" ht="128.25" x14ac:dyDescent="0.3">
      <c r="B143" s="17">
        <v>140</v>
      </c>
      <c r="C143" s="34" t="s">
        <v>733</v>
      </c>
      <c r="D143" s="27" t="s">
        <v>119</v>
      </c>
      <c r="E143" s="27" t="s">
        <v>608</v>
      </c>
      <c r="F143" s="29" t="s">
        <v>120</v>
      </c>
      <c r="G143" s="33">
        <v>1</v>
      </c>
      <c r="H143" s="34">
        <f t="shared" si="2"/>
        <v>0</v>
      </c>
      <c r="I143" s="9"/>
      <c r="J143" s="34">
        <f>IFERROR(IF(VLOOKUP(D:D,'테스트(1회)'!C:G,5, 0)="X",1,0),0)</f>
        <v>0</v>
      </c>
      <c r="K143" s="34">
        <f>IFERROR(IF(VLOOKUP(D:D,'테스트(2회)'!C:G,5, 0)="X",1,0),0)</f>
        <v>0</v>
      </c>
      <c r="L143" s="34">
        <f>IFERROR(IF(VLOOKUP(D:D,'테스트(3회)'!C:G,5, 0)="X",1,0),0)</f>
        <v>0</v>
      </c>
      <c r="M143" s="34">
        <f>IFERROR(IF(VLOOKUP(D:D,'테스트(4회)'!C:G,5, 0)="X",1,0),0)</f>
        <v>0</v>
      </c>
      <c r="N143" s="34">
        <f>IFERROR(IF(VLOOKUP(D:D,'테스트(5회)'!C:G,5, 0)="X",1,0),0)</f>
        <v>0</v>
      </c>
      <c r="O143" s="10"/>
    </row>
    <row r="144" spans="2:16" ht="128.25" x14ac:dyDescent="0.3">
      <c r="B144" s="17">
        <v>141</v>
      </c>
      <c r="C144" s="34" t="s">
        <v>735</v>
      </c>
      <c r="D144" s="27" t="s">
        <v>121</v>
      </c>
      <c r="E144" s="27" t="s">
        <v>608</v>
      </c>
      <c r="F144" s="29" t="s">
        <v>122</v>
      </c>
      <c r="G144" s="33">
        <v>1</v>
      </c>
      <c r="H144" s="34">
        <f t="shared" si="2"/>
        <v>0</v>
      </c>
      <c r="I144" s="9"/>
      <c r="J144" s="34">
        <f>IFERROR(IF(VLOOKUP(D:D,'테스트(1회)'!C:G,5, 0)="X",1,0),0)</f>
        <v>0</v>
      </c>
      <c r="K144" s="34">
        <f>IFERROR(IF(VLOOKUP(D:D,'테스트(2회)'!C:G,5, 0)="X",1,0),0)</f>
        <v>0</v>
      </c>
      <c r="L144" s="34">
        <f>IFERROR(IF(VLOOKUP(D:D,'테스트(3회)'!C:G,5, 0)="X",1,0),0)</f>
        <v>0</v>
      </c>
      <c r="M144" s="34">
        <f>IFERROR(IF(VLOOKUP(D:D,'테스트(4회)'!C:G,5, 0)="X",1,0),0)</f>
        <v>0</v>
      </c>
      <c r="N144" s="34">
        <f>IFERROR(IF(VLOOKUP(D:D,'테스트(5회)'!C:G,5, 0)="X",1,0),0)</f>
        <v>0</v>
      </c>
      <c r="O144" s="10"/>
    </row>
    <row r="145" spans="2:16" ht="99.75" x14ac:dyDescent="0.3">
      <c r="B145" s="17">
        <v>142</v>
      </c>
      <c r="C145" s="34" t="s">
        <v>735</v>
      </c>
      <c r="D145" s="27" t="s">
        <v>123</v>
      </c>
      <c r="E145" s="27" t="s">
        <v>608</v>
      </c>
      <c r="F145" s="29" t="s">
        <v>124</v>
      </c>
      <c r="G145" s="33">
        <v>4</v>
      </c>
      <c r="H145" s="34">
        <f t="shared" si="2"/>
        <v>1</v>
      </c>
      <c r="I145" s="9"/>
      <c r="J145" s="34">
        <f>IFERROR(IF(VLOOKUP(D:D,'테스트(1회)'!C:G,5, 0)="X",1,0),0)</f>
        <v>1</v>
      </c>
      <c r="K145" s="34">
        <f>IFERROR(IF(VLOOKUP(D:D,'테스트(2회)'!C:G,5, 0)="X",1,0),0)</f>
        <v>0</v>
      </c>
      <c r="L145" s="34">
        <f>IFERROR(IF(VLOOKUP(D:D,'테스트(3회)'!C:G,5, 0)="X",1,0),0)</f>
        <v>0</v>
      </c>
      <c r="M145" s="34">
        <f>IFERROR(IF(VLOOKUP(D:D,'테스트(4회)'!C:G,5, 0)="X",1,0),0)</f>
        <v>0</v>
      </c>
      <c r="N145" s="34">
        <f>IFERROR(IF(VLOOKUP(D:D,'테스트(5회)'!C:G,5, 0)="X",1,0),0)</f>
        <v>0</v>
      </c>
      <c r="O145" s="10"/>
    </row>
    <row r="146" spans="2:16" ht="99.75" x14ac:dyDescent="0.3">
      <c r="B146" s="17">
        <v>143</v>
      </c>
      <c r="C146" s="34" t="s">
        <v>735</v>
      </c>
      <c r="D146" s="27" t="s">
        <v>125</v>
      </c>
      <c r="E146" s="27" t="s">
        <v>608</v>
      </c>
      <c r="F146" s="29" t="s">
        <v>126</v>
      </c>
      <c r="G146" s="33">
        <v>2</v>
      </c>
      <c r="H146" s="34">
        <f t="shared" si="2"/>
        <v>0</v>
      </c>
      <c r="I146" s="9"/>
      <c r="J146" s="34">
        <f>IFERROR(IF(VLOOKUP(D:D,'테스트(1회)'!C:G,5, 0)="X",1,0),0)</f>
        <v>0</v>
      </c>
      <c r="K146" s="34">
        <f>IFERROR(IF(VLOOKUP(D:D,'테스트(2회)'!C:G,5, 0)="X",1,0),0)</f>
        <v>0</v>
      </c>
      <c r="L146" s="34">
        <f>IFERROR(IF(VLOOKUP(D:D,'테스트(3회)'!C:G,5, 0)="X",1,0),0)</f>
        <v>0</v>
      </c>
      <c r="M146" s="34">
        <f>IFERROR(IF(VLOOKUP(D:D,'테스트(4회)'!C:G,5, 0)="X",1,0),0)</f>
        <v>0</v>
      </c>
      <c r="N146" s="34">
        <f>IFERROR(IF(VLOOKUP(D:D,'테스트(5회)'!C:G,5, 0)="X",1,0),0)</f>
        <v>0</v>
      </c>
      <c r="O146" s="10"/>
    </row>
    <row r="147" spans="2:16" ht="99.75" x14ac:dyDescent="0.3">
      <c r="B147" s="17">
        <v>144</v>
      </c>
      <c r="C147" s="34" t="s">
        <v>735</v>
      </c>
      <c r="D147" s="27" t="s">
        <v>127</v>
      </c>
      <c r="E147" s="27" t="s">
        <v>608</v>
      </c>
      <c r="F147" s="29" t="s">
        <v>128</v>
      </c>
      <c r="G147" s="33">
        <v>4</v>
      </c>
      <c r="H147" s="34">
        <f t="shared" si="2"/>
        <v>0</v>
      </c>
      <c r="I147" s="9"/>
      <c r="J147" s="34">
        <f>IFERROR(IF(VLOOKUP(D:D,'테스트(1회)'!C:G,5, 0)="X",1,0),0)</f>
        <v>0</v>
      </c>
      <c r="K147" s="34">
        <f>IFERROR(IF(VLOOKUP(D:D,'테스트(2회)'!C:G,5, 0)="X",1,0),0)</f>
        <v>0</v>
      </c>
      <c r="L147" s="34">
        <f>IFERROR(IF(VLOOKUP(D:D,'테스트(3회)'!C:G,5, 0)="X",1,0),0)</f>
        <v>0</v>
      </c>
      <c r="M147" s="34">
        <f>IFERROR(IF(VLOOKUP(D:D,'테스트(4회)'!C:G,5, 0)="X",1,0),0)</f>
        <v>0</v>
      </c>
      <c r="N147" s="34">
        <f>IFERROR(IF(VLOOKUP(D:D,'테스트(5회)'!C:G,5, 0)="X",1,0),0)</f>
        <v>0</v>
      </c>
      <c r="O147" s="10"/>
    </row>
    <row r="148" spans="2:16" ht="99.75" x14ac:dyDescent="0.3">
      <c r="B148" s="17">
        <v>145</v>
      </c>
      <c r="C148" s="34" t="s">
        <v>735</v>
      </c>
      <c r="D148" s="27" t="s">
        <v>129</v>
      </c>
      <c r="E148" s="27" t="s">
        <v>608</v>
      </c>
      <c r="F148" s="29" t="s">
        <v>130</v>
      </c>
      <c r="G148" s="33">
        <v>3</v>
      </c>
      <c r="H148" s="34">
        <f t="shared" si="2"/>
        <v>0</v>
      </c>
      <c r="I148" s="9"/>
      <c r="J148" s="34">
        <f>IFERROR(IF(VLOOKUP(D:D,'테스트(1회)'!C:G,5, 0)="X",1,0),0)</f>
        <v>0</v>
      </c>
      <c r="K148" s="34">
        <f>IFERROR(IF(VLOOKUP(D:D,'테스트(2회)'!C:G,5, 0)="X",1,0),0)</f>
        <v>0</v>
      </c>
      <c r="L148" s="34">
        <f>IFERROR(IF(VLOOKUP(D:D,'테스트(3회)'!C:G,5, 0)="X",1,0),0)</f>
        <v>0</v>
      </c>
      <c r="M148" s="34">
        <f>IFERROR(IF(VLOOKUP(D:D,'테스트(4회)'!C:G,5, 0)="X",1,0),0)</f>
        <v>0</v>
      </c>
      <c r="N148" s="34">
        <f>IFERROR(IF(VLOOKUP(D:D,'테스트(5회)'!C:G,5, 0)="X",1,0),0)</f>
        <v>0</v>
      </c>
      <c r="O148" s="10"/>
    </row>
    <row r="149" spans="2:16" ht="85.5" x14ac:dyDescent="0.3">
      <c r="B149" s="17">
        <v>146</v>
      </c>
      <c r="C149" s="34" t="s">
        <v>735</v>
      </c>
      <c r="D149" s="27" t="s">
        <v>131</v>
      </c>
      <c r="E149" s="27" t="s">
        <v>608</v>
      </c>
      <c r="F149" s="29" t="s">
        <v>132</v>
      </c>
      <c r="G149" s="33">
        <v>2</v>
      </c>
      <c r="H149" s="34">
        <f t="shared" si="2"/>
        <v>0</v>
      </c>
      <c r="I149" s="9"/>
      <c r="J149" s="34">
        <f>IFERROR(IF(VLOOKUP(D:D,'테스트(1회)'!C:G,5, 0)="X",1,0),0)</f>
        <v>0</v>
      </c>
      <c r="K149" s="34">
        <f>IFERROR(IF(VLOOKUP(D:D,'테스트(2회)'!C:G,5, 0)="X",1,0),0)</f>
        <v>0</v>
      </c>
      <c r="L149" s="34">
        <f>IFERROR(IF(VLOOKUP(D:D,'테스트(3회)'!C:G,5, 0)="X",1,0),0)</f>
        <v>0</v>
      </c>
      <c r="M149" s="34">
        <f>IFERROR(IF(VLOOKUP(D:D,'테스트(4회)'!C:G,5, 0)="X",1,0),0)</f>
        <v>0</v>
      </c>
      <c r="N149" s="34">
        <f>IFERROR(IF(VLOOKUP(D:D,'테스트(5회)'!C:G,5, 0)="X",1,0),0)</f>
        <v>0</v>
      </c>
      <c r="O149" s="10"/>
    </row>
    <row r="150" spans="2:16" ht="99.75" x14ac:dyDescent="0.3">
      <c r="B150" s="17">
        <v>147</v>
      </c>
      <c r="C150" s="34" t="s">
        <v>735</v>
      </c>
      <c r="D150" s="27" t="s">
        <v>133</v>
      </c>
      <c r="E150" s="27" t="s">
        <v>608</v>
      </c>
      <c r="F150" s="29" t="s">
        <v>134</v>
      </c>
      <c r="G150" s="33">
        <v>3</v>
      </c>
      <c r="H150" s="34">
        <f t="shared" si="2"/>
        <v>0</v>
      </c>
      <c r="I150" s="9"/>
      <c r="J150" s="34">
        <f>IFERROR(IF(VLOOKUP(D:D,'테스트(1회)'!C:G,5, 0)="X",1,0),0)</f>
        <v>0</v>
      </c>
      <c r="K150" s="34">
        <f>IFERROR(IF(VLOOKUP(D:D,'테스트(2회)'!C:G,5, 0)="X",1,0),0)</f>
        <v>0</v>
      </c>
      <c r="L150" s="34">
        <f>IFERROR(IF(VLOOKUP(D:D,'테스트(3회)'!C:G,5, 0)="X",1,0),0)</f>
        <v>0</v>
      </c>
      <c r="M150" s="34">
        <f>IFERROR(IF(VLOOKUP(D:D,'테스트(4회)'!C:G,5, 0)="X",1,0),0)</f>
        <v>0</v>
      </c>
      <c r="N150" s="34">
        <f>IFERROR(IF(VLOOKUP(D:D,'테스트(5회)'!C:G,5, 0)="X",1,0),0)</f>
        <v>0</v>
      </c>
      <c r="O150" s="10"/>
    </row>
    <row r="151" spans="2:16" ht="156.75" x14ac:dyDescent="0.3">
      <c r="B151" s="17">
        <v>148</v>
      </c>
      <c r="C151" s="34" t="s">
        <v>735</v>
      </c>
      <c r="D151" s="27" t="s">
        <v>135</v>
      </c>
      <c r="E151" s="27" t="s">
        <v>608</v>
      </c>
      <c r="F151" s="29" t="s">
        <v>136</v>
      </c>
      <c r="G151" s="33">
        <v>4</v>
      </c>
      <c r="H151" s="34">
        <f t="shared" si="2"/>
        <v>0</v>
      </c>
      <c r="I151" s="9"/>
      <c r="J151" s="34">
        <f>IFERROR(IF(VLOOKUP(D:D,'테스트(1회)'!C:G,5, 0)="X",1,0),0)</f>
        <v>0</v>
      </c>
      <c r="K151" s="34">
        <f>IFERROR(IF(VLOOKUP(D:D,'테스트(2회)'!C:G,5, 0)="X",1,0),0)</f>
        <v>0</v>
      </c>
      <c r="L151" s="34">
        <f>IFERROR(IF(VLOOKUP(D:D,'테스트(3회)'!C:G,5, 0)="X",1,0),0)</f>
        <v>0</v>
      </c>
      <c r="M151" s="34">
        <f>IFERROR(IF(VLOOKUP(D:D,'테스트(4회)'!C:G,5, 0)="X",1,0),0)</f>
        <v>0</v>
      </c>
      <c r="N151" s="34">
        <f>IFERROR(IF(VLOOKUP(D:D,'테스트(5회)'!C:G,5, 0)="X",1,0),0)</f>
        <v>0</v>
      </c>
      <c r="O151" s="10"/>
    </row>
    <row r="152" spans="2:16" ht="114" x14ac:dyDescent="0.3">
      <c r="B152" s="17">
        <v>149</v>
      </c>
      <c r="C152" s="34" t="s">
        <v>735</v>
      </c>
      <c r="D152" s="27" t="s">
        <v>137</v>
      </c>
      <c r="E152" s="27" t="s">
        <v>608</v>
      </c>
      <c r="F152" s="29" t="s">
        <v>1081</v>
      </c>
      <c r="G152" s="33">
        <v>5</v>
      </c>
      <c r="H152" s="34">
        <f t="shared" si="2"/>
        <v>0</v>
      </c>
      <c r="I152" s="9"/>
      <c r="J152" s="34">
        <f>IFERROR(IF(VLOOKUP(D:D,'테스트(1회)'!C:G,5, 0)="X",1,0),0)</f>
        <v>0</v>
      </c>
      <c r="K152" s="34">
        <f>IFERROR(IF(VLOOKUP(D:D,'테스트(2회)'!C:G,5, 0)="X",1,0),0)</f>
        <v>0</v>
      </c>
      <c r="L152" s="34">
        <f>IFERROR(IF(VLOOKUP(D:D,'테스트(3회)'!C:G,5, 0)="X",1,0),0)</f>
        <v>0</v>
      </c>
      <c r="M152" s="34">
        <f>IFERROR(IF(VLOOKUP(D:D,'테스트(4회)'!C:G,5, 0)="X",1,0),0)</f>
        <v>0</v>
      </c>
      <c r="N152" s="34">
        <f>IFERROR(IF(VLOOKUP(D:D,'테스트(5회)'!C:G,5, 0)="X",1,0),0)</f>
        <v>0</v>
      </c>
      <c r="O152" s="10"/>
    </row>
    <row r="153" spans="2:16" ht="85.5" x14ac:dyDescent="0.3">
      <c r="B153" s="17">
        <v>150</v>
      </c>
      <c r="C153" s="34" t="s">
        <v>735</v>
      </c>
      <c r="D153" s="27" t="s">
        <v>138</v>
      </c>
      <c r="E153" s="27" t="s">
        <v>608</v>
      </c>
      <c r="F153" s="29" t="s">
        <v>1122</v>
      </c>
      <c r="G153" s="33">
        <v>4</v>
      </c>
      <c r="H153" s="34">
        <f t="shared" si="2"/>
        <v>0</v>
      </c>
      <c r="I153" s="9"/>
      <c r="J153" s="34">
        <f>IFERROR(IF(VLOOKUP(D:D,'테스트(1회)'!C:G,5, 0)="X",1,0),0)</f>
        <v>0</v>
      </c>
      <c r="K153" s="34">
        <f>IFERROR(IF(VLOOKUP(D:D,'테스트(2회)'!C:G,5, 0)="X",1,0),0)</f>
        <v>0</v>
      </c>
      <c r="L153" s="34">
        <f>IFERROR(IF(VLOOKUP(D:D,'테스트(3회)'!C:G,5, 0)="X",1,0),0)</f>
        <v>0</v>
      </c>
      <c r="M153" s="34">
        <f>IFERROR(IF(VLOOKUP(D:D,'테스트(4회)'!C:G,5, 0)="X",1,0),0)</f>
        <v>0</v>
      </c>
      <c r="N153" s="34">
        <f>IFERROR(IF(VLOOKUP(D:D,'테스트(5회)'!C:G,5, 0)="X",1,0),0)</f>
        <v>0</v>
      </c>
      <c r="O153" s="10" t="s">
        <v>1123</v>
      </c>
      <c r="P153" s="12" t="s">
        <v>139</v>
      </c>
    </row>
    <row r="154" spans="2:16" ht="142.5" x14ac:dyDescent="0.3">
      <c r="B154" s="17">
        <v>151</v>
      </c>
      <c r="C154" s="34" t="s">
        <v>735</v>
      </c>
      <c r="D154" s="27" t="s">
        <v>140</v>
      </c>
      <c r="E154" s="27" t="s">
        <v>608</v>
      </c>
      <c r="F154" s="29" t="s">
        <v>141</v>
      </c>
      <c r="G154" s="33">
        <v>5</v>
      </c>
      <c r="H154" s="34">
        <f t="shared" si="2"/>
        <v>0</v>
      </c>
      <c r="I154" s="9"/>
      <c r="J154" s="34">
        <f>IFERROR(IF(VLOOKUP(D:D,'테스트(1회)'!C:G,5, 0)="X",1,0),0)</f>
        <v>0</v>
      </c>
      <c r="K154" s="34">
        <f>IFERROR(IF(VLOOKUP(D:D,'테스트(2회)'!C:G,5, 0)="X",1,0),0)</f>
        <v>0</v>
      </c>
      <c r="L154" s="34">
        <f>IFERROR(IF(VLOOKUP(D:D,'테스트(3회)'!C:G,5, 0)="X",1,0),0)</f>
        <v>0</v>
      </c>
      <c r="M154" s="34">
        <f>IFERROR(IF(VLOOKUP(D:D,'테스트(4회)'!C:G,5, 0)="X",1,0),0)</f>
        <v>0</v>
      </c>
      <c r="N154" s="34">
        <f>IFERROR(IF(VLOOKUP(D:D,'테스트(5회)'!C:G,5, 0)="X",1,0),0)</f>
        <v>0</v>
      </c>
      <c r="O154" s="10"/>
    </row>
    <row r="155" spans="2:16" ht="85.5" x14ac:dyDescent="0.3">
      <c r="B155" s="17">
        <v>152</v>
      </c>
      <c r="C155" s="34" t="s">
        <v>735</v>
      </c>
      <c r="D155" s="27" t="s">
        <v>142</v>
      </c>
      <c r="E155" s="27" t="s">
        <v>608</v>
      </c>
      <c r="F155" s="32" t="s">
        <v>1119</v>
      </c>
      <c r="G155" s="33">
        <v>2</v>
      </c>
      <c r="H155" s="34">
        <f t="shared" si="2"/>
        <v>0</v>
      </c>
      <c r="I155" s="9"/>
      <c r="J155" s="34">
        <f>IFERROR(IF(VLOOKUP(D:D,'테스트(1회)'!C:G,5, 0)="X",1,0),0)</f>
        <v>0</v>
      </c>
      <c r="K155" s="34">
        <f>IFERROR(IF(VLOOKUP(D:D,'테스트(2회)'!C:G,5, 0)="X",1,0),0)</f>
        <v>0</v>
      </c>
      <c r="L155" s="34">
        <f>IFERROR(IF(VLOOKUP(D:D,'테스트(3회)'!C:G,5, 0)="X",1,0),0)</f>
        <v>0</v>
      </c>
      <c r="M155" s="34">
        <f>IFERROR(IF(VLOOKUP(D:D,'테스트(4회)'!C:G,5, 0)="X",1,0),0)</f>
        <v>0</v>
      </c>
      <c r="N155" s="34">
        <f>IFERROR(IF(VLOOKUP(D:D,'테스트(5회)'!C:G,5, 0)="X",1,0),0)</f>
        <v>0</v>
      </c>
      <c r="O155" s="10" t="s">
        <v>774</v>
      </c>
    </row>
    <row r="156" spans="2:16" ht="85.5" x14ac:dyDescent="0.3">
      <c r="B156" s="17">
        <v>153</v>
      </c>
      <c r="C156" s="34" t="s">
        <v>735</v>
      </c>
      <c r="D156" s="27" t="s">
        <v>143</v>
      </c>
      <c r="E156" s="27" t="s">
        <v>608</v>
      </c>
      <c r="F156" s="29" t="s">
        <v>144</v>
      </c>
      <c r="G156" s="33">
        <v>3</v>
      </c>
      <c r="H156" s="34">
        <f t="shared" si="2"/>
        <v>1</v>
      </c>
      <c r="I156" s="9"/>
      <c r="J156" s="34">
        <f>IFERROR(IF(VLOOKUP(D:D,'테스트(1회)'!C:G,5, 0)="X",1,0),0)</f>
        <v>1</v>
      </c>
      <c r="K156" s="34">
        <f>IFERROR(IF(VLOOKUP(D:D,'테스트(2회)'!C:G,5, 0)="X",1,0),0)</f>
        <v>0</v>
      </c>
      <c r="L156" s="34">
        <f>IFERROR(IF(VLOOKUP(D:D,'테스트(3회)'!C:G,5, 0)="X",1,0),0)</f>
        <v>0</v>
      </c>
      <c r="M156" s="34">
        <f>IFERROR(IF(VLOOKUP(D:D,'테스트(4회)'!C:G,5, 0)="X",1,0),0)</f>
        <v>0</v>
      </c>
      <c r="N156" s="34">
        <f>IFERROR(IF(VLOOKUP(D:D,'테스트(5회)'!C:G,5, 0)="X",1,0),0)</f>
        <v>0</v>
      </c>
      <c r="O156" s="10"/>
    </row>
    <row r="157" spans="2:16" ht="85.5" x14ac:dyDescent="0.3">
      <c r="B157" s="17">
        <v>154</v>
      </c>
      <c r="C157" s="34" t="s">
        <v>735</v>
      </c>
      <c r="D157" s="27" t="s">
        <v>145</v>
      </c>
      <c r="E157" s="27" t="s">
        <v>608</v>
      </c>
      <c r="F157" s="29" t="s">
        <v>146</v>
      </c>
      <c r="G157" s="33">
        <v>2</v>
      </c>
      <c r="H157" s="34">
        <f t="shared" si="2"/>
        <v>1</v>
      </c>
      <c r="I157" s="9"/>
      <c r="J157" s="34">
        <f>IFERROR(IF(VLOOKUP(D:D,'테스트(1회)'!C:G,5, 0)="X",1,0),0)</f>
        <v>1</v>
      </c>
      <c r="K157" s="34">
        <f>IFERROR(IF(VLOOKUP(D:D,'테스트(2회)'!C:G,5, 0)="X",1,0),0)</f>
        <v>0</v>
      </c>
      <c r="L157" s="34">
        <f>IFERROR(IF(VLOOKUP(D:D,'테스트(3회)'!C:G,5, 0)="X",1,0),0)</f>
        <v>0</v>
      </c>
      <c r="M157" s="34">
        <f>IFERROR(IF(VLOOKUP(D:D,'테스트(4회)'!C:G,5, 0)="X",1,0),0)</f>
        <v>0</v>
      </c>
      <c r="N157" s="34">
        <f>IFERROR(IF(VLOOKUP(D:D,'테스트(5회)'!C:G,5, 0)="X",1,0),0)</f>
        <v>0</v>
      </c>
      <c r="O157" s="10"/>
    </row>
    <row r="158" spans="2:16" ht="171" x14ac:dyDescent="0.3">
      <c r="B158" s="17">
        <v>155</v>
      </c>
      <c r="C158" s="34" t="s">
        <v>735</v>
      </c>
      <c r="D158" s="27" t="s">
        <v>147</v>
      </c>
      <c r="E158" s="27" t="s">
        <v>608</v>
      </c>
      <c r="F158" s="29" t="s">
        <v>148</v>
      </c>
      <c r="G158" s="33">
        <v>5</v>
      </c>
      <c r="H158" s="34">
        <f t="shared" si="2"/>
        <v>0</v>
      </c>
      <c r="I158" s="9"/>
      <c r="J158" s="34">
        <f>IFERROR(IF(VLOOKUP(D:D,'테스트(1회)'!C:G,5, 0)="X",1,0),0)</f>
        <v>0</v>
      </c>
      <c r="K158" s="34">
        <f>IFERROR(IF(VLOOKUP(D:D,'테스트(2회)'!C:G,5, 0)="X",1,0),0)</f>
        <v>0</v>
      </c>
      <c r="L158" s="34">
        <f>IFERROR(IF(VLOOKUP(D:D,'테스트(3회)'!C:G,5, 0)="X",1,0),0)</f>
        <v>0</v>
      </c>
      <c r="M158" s="34">
        <f>IFERROR(IF(VLOOKUP(D:D,'테스트(4회)'!C:G,5, 0)="X",1,0),0)</f>
        <v>0</v>
      </c>
      <c r="N158" s="34">
        <f>IFERROR(IF(VLOOKUP(D:D,'테스트(5회)'!C:G,5, 0)="X",1,0),0)</f>
        <v>0</v>
      </c>
      <c r="O158" s="10"/>
    </row>
    <row r="159" spans="2:16" ht="142.5" x14ac:dyDescent="0.3">
      <c r="B159" s="17">
        <v>156</v>
      </c>
      <c r="C159" s="34" t="s">
        <v>735</v>
      </c>
      <c r="D159" s="27" t="s">
        <v>149</v>
      </c>
      <c r="E159" s="27" t="s">
        <v>608</v>
      </c>
      <c r="F159" s="29" t="s">
        <v>1082</v>
      </c>
      <c r="G159" s="33">
        <v>2</v>
      </c>
      <c r="H159" s="34">
        <f t="shared" si="2"/>
        <v>0</v>
      </c>
      <c r="I159" s="9"/>
      <c r="J159" s="34">
        <f>IFERROR(IF(VLOOKUP(D:D,'테스트(1회)'!C:G,5, 0)="X",1,0),0)</f>
        <v>0</v>
      </c>
      <c r="K159" s="34">
        <f>IFERROR(IF(VLOOKUP(D:D,'테스트(2회)'!C:G,5, 0)="X",1,0),0)</f>
        <v>0</v>
      </c>
      <c r="L159" s="34">
        <f>IFERROR(IF(VLOOKUP(D:D,'테스트(3회)'!C:G,5, 0)="X",1,0),0)</f>
        <v>0</v>
      </c>
      <c r="M159" s="34">
        <f>IFERROR(IF(VLOOKUP(D:D,'테스트(4회)'!C:G,5, 0)="X",1,0),0)</f>
        <v>0</v>
      </c>
      <c r="N159" s="34">
        <f>IFERROR(IF(VLOOKUP(D:D,'테스트(5회)'!C:G,5, 0)="X",1,0),0)</f>
        <v>0</v>
      </c>
      <c r="O159" s="10"/>
    </row>
    <row r="160" spans="2:16" ht="99.75" x14ac:dyDescent="0.3">
      <c r="B160" s="17">
        <v>157</v>
      </c>
      <c r="C160" s="34" t="s">
        <v>735</v>
      </c>
      <c r="D160" s="27" t="s">
        <v>150</v>
      </c>
      <c r="E160" s="27" t="s">
        <v>608</v>
      </c>
      <c r="F160" s="29" t="s">
        <v>151</v>
      </c>
      <c r="G160" s="33">
        <v>5</v>
      </c>
      <c r="H160" s="34">
        <f t="shared" si="2"/>
        <v>0</v>
      </c>
      <c r="I160" s="9"/>
      <c r="J160" s="34">
        <f>IFERROR(IF(VLOOKUP(D:D,'테스트(1회)'!C:G,5, 0)="X",1,0),0)</f>
        <v>0</v>
      </c>
      <c r="K160" s="34">
        <f>IFERROR(IF(VLOOKUP(D:D,'테스트(2회)'!C:G,5, 0)="X",1,0),0)</f>
        <v>0</v>
      </c>
      <c r="L160" s="34">
        <f>IFERROR(IF(VLOOKUP(D:D,'테스트(3회)'!C:G,5, 0)="X",1,0),0)</f>
        <v>0</v>
      </c>
      <c r="M160" s="34">
        <f>IFERROR(IF(VLOOKUP(D:D,'테스트(4회)'!C:G,5, 0)="X",1,0),0)</f>
        <v>0</v>
      </c>
      <c r="N160" s="34">
        <f>IFERROR(IF(VLOOKUP(D:D,'테스트(5회)'!C:G,5, 0)="X",1,0),0)</f>
        <v>0</v>
      </c>
      <c r="O160" s="10"/>
    </row>
    <row r="161" spans="2:16" ht="128.25" x14ac:dyDescent="0.3">
      <c r="B161" s="17">
        <v>158</v>
      </c>
      <c r="C161" s="34" t="s">
        <v>735</v>
      </c>
      <c r="D161" s="27" t="s">
        <v>152</v>
      </c>
      <c r="E161" s="27" t="s">
        <v>608</v>
      </c>
      <c r="F161" s="29" t="s">
        <v>153</v>
      </c>
      <c r="G161" s="33">
        <v>4</v>
      </c>
      <c r="H161" s="34">
        <f t="shared" si="2"/>
        <v>1</v>
      </c>
      <c r="I161" s="9"/>
      <c r="J161" s="34">
        <f>IFERROR(IF(VLOOKUP(D:D,'테스트(1회)'!C:G,5, 0)="X",1,0),0)</f>
        <v>1</v>
      </c>
      <c r="K161" s="34">
        <f>IFERROR(IF(VLOOKUP(D:D,'테스트(2회)'!C:G,5, 0)="X",1,0),0)</f>
        <v>0</v>
      </c>
      <c r="L161" s="34">
        <f>IFERROR(IF(VLOOKUP(D:D,'테스트(3회)'!C:G,5, 0)="X",1,0),0)</f>
        <v>0</v>
      </c>
      <c r="M161" s="34">
        <f>IFERROR(IF(VLOOKUP(D:D,'테스트(4회)'!C:G,5, 0)="X",1,0),0)</f>
        <v>0</v>
      </c>
      <c r="N161" s="34">
        <f>IFERROR(IF(VLOOKUP(D:D,'테스트(5회)'!C:G,5, 0)="X",1,0),0)</f>
        <v>0</v>
      </c>
      <c r="O161" s="10"/>
    </row>
    <row r="162" spans="2:16" ht="114" x14ac:dyDescent="0.3">
      <c r="B162" s="17">
        <v>159</v>
      </c>
      <c r="C162" s="34" t="s">
        <v>735</v>
      </c>
      <c r="D162" s="27" t="s">
        <v>154</v>
      </c>
      <c r="E162" s="27" t="s">
        <v>608</v>
      </c>
      <c r="F162" s="29" t="s">
        <v>155</v>
      </c>
      <c r="G162" s="33">
        <v>4</v>
      </c>
      <c r="H162" s="34">
        <f t="shared" si="2"/>
        <v>0</v>
      </c>
      <c r="I162" s="9"/>
      <c r="J162" s="34">
        <f>IFERROR(IF(VLOOKUP(D:D,'테스트(1회)'!C:G,5, 0)="X",1,0),0)</f>
        <v>0</v>
      </c>
      <c r="K162" s="34">
        <f>IFERROR(IF(VLOOKUP(D:D,'테스트(2회)'!C:G,5, 0)="X",1,0),0)</f>
        <v>0</v>
      </c>
      <c r="L162" s="34">
        <f>IFERROR(IF(VLOOKUP(D:D,'테스트(3회)'!C:G,5, 0)="X",1,0),0)</f>
        <v>0</v>
      </c>
      <c r="M162" s="34">
        <f>IFERROR(IF(VLOOKUP(D:D,'테스트(4회)'!C:G,5, 0)="X",1,0),0)</f>
        <v>0</v>
      </c>
      <c r="N162" s="34">
        <f>IFERROR(IF(VLOOKUP(D:D,'테스트(5회)'!C:G,5, 0)="X",1,0),0)</f>
        <v>0</v>
      </c>
      <c r="O162" s="10"/>
    </row>
    <row r="163" spans="2:16" ht="85.5" x14ac:dyDescent="0.3">
      <c r="B163" s="17">
        <v>160</v>
      </c>
      <c r="C163" s="34" t="s">
        <v>735</v>
      </c>
      <c r="D163" s="27" t="s">
        <v>156</v>
      </c>
      <c r="E163" s="27" t="s">
        <v>608</v>
      </c>
      <c r="F163" s="29" t="s">
        <v>157</v>
      </c>
      <c r="G163" s="33">
        <v>3</v>
      </c>
      <c r="H163" s="34">
        <f t="shared" si="2"/>
        <v>1</v>
      </c>
      <c r="I163" s="9"/>
      <c r="J163" s="34">
        <f>IFERROR(IF(VLOOKUP(D:D,'테스트(1회)'!C:G,5, 0)="X",1,0),0)</f>
        <v>1</v>
      </c>
      <c r="K163" s="34">
        <f>IFERROR(IF(VLOOKUP(D:D,'테스트(2회)'!C:G,5, 0)="X",1,0),0)</f>
        <v>0</v>
      </c>
      <c r="L163" s="34">
        <f>IFERROR(IF(VLOOKUP(D:D,'테스트(3회)'!C:G,5, 0)="X",1,0),0)</f>
        <v>0</v>
      </c>
      <c r="M163" s="34">
        <f>IFERROR(IF(VLOOKUP(D:D,'테스트(4회)'!C:G,5, 0)="X",1,0),0)</f>
        <v>0</v>
      </c>
      <c r="N163" s="34">
        <f>IFERROR(IF(VLOOKUP(D:D,'테스트(5회)'!C:G,5, 0)="X",1,0),0)</f>
        <v>0</v>
      </c>
      <c r="O163" s="10"/>
    </row>
    <row r="164" spans="2:16" ht="99.75" x14ac:dyDescent="0.3">
      <c r="B164" s="17">
        <v>161</v>
      </c>
      <c r="C164" s="34" t="s">
        <v>735</v>
      </c>
      <c r="D164" s="27" t="s">
        <v>158</v>
      </c>
      <c r="E164" s="27" t="s">
        <v>608</v>
      </c>
      <c r="F164" s="29" t="s">
        <v>159</v>
      </c>
      <c r="G164" s="33">
        <v>1</v>
      </c>
      <c r="H164" s="34">
        <f t="shared" si="2"/>
        <v>0</v>
      </c>
      <c r="I164" s="9"/>
      <c r="J164" s="34">
        <f>IFERROR(IF(VLOOKUP(D:D,'테스트(1회)'!C:G,5, 0)="X",1,0),0)</f>
        <v>0</v>
      </c>
      <c r="K164" s="34">
        <f>IFERROR(IF(VLOOKUP(D:D,'테스트(2회)'!C:G,5, 0)="X",1,0),0)</f>
        <v>0</v>
      </c>
      <c r="L164" s="34">
        <f>IFERROR(IF(VLOOKUP(D:D,'테스트(3회)'!C:G,5, 0)="X",1,0),0)</f>
        <v>0</v>
      </c>
      <c r="M164" s="34">
        <f>IFERROR(IF(VLOOKUP(D:D,'테스트(4회)'!C:G,5, 0)="X",1,0),0)</f>
        <v>0</v>
      </c>
      <c r="N164" s="34">
        <f>IFERROR(IF(VLOOKUP(D:D,'테스트(5회)'!C:G,5, 0)="X",1,0),0)</f>
        <v>0</v>
      </c>
      <c r="O164" s="10"/>
    </row>
    <row r="165" spans="2:16" ht="99.75" x14ac:dyDescent="0.3">
      <c r="B165" s="17">
        <v>162</v>
      </c>
      <c r="C165" s="34" t="s">
        <v>735</v>
      </c>
      <c r="D165" s="27" t="s">
        <v>160</v>
      </c>
      <c r="E165" s="27" t="s">
        <v>608</v>
      </c>
      <c r="F165" s="29" t="s">
        <v>161</v>
      </c>
      <c r="G165" s="33">
        <v>1</v>
      </c>
      <c r="H165" s="34">
        <f t="shared" si="2"/>
        <v>0</v>
      </c>
      <c r="I165" s="9"/>
      <c r="J165" s="34">
        <f>IFERROR(IF(VLOOKUP(D:D,'테스트(1회)'!C:G,5, 0)="X",1,0),0)</f>
        <v>0</v>
      </c>
      <c r="K165" s="34">
        <f>IFERROR(IF(VLOOKUP(D:D,'테스트(2회)'!C:G,5, 0)="X",1,0),0)</f>
        <v>0</v>
      </c>
      <c r="L165" s="34">
        <f>IFERROR(IF(VLOOKUP(D:D,'테스트(3회)'!C:G,5, 0)="X",1,0),0)</f>
        <v>0</v>
      </c>
      <c r="M165" s="34">
        <f>IFERROR(IF(VLOOKUP(D:D,'테스트(4회)'!C:G,5, 0)="X",1,0),0)</f>
        <v>0</v>
      </c>
      <c r="N165" s="34">
        <f>IFERROR(IF(VLOOKUP(D:D,'테스트(5회)'!C:G,5, 0)="X",1,0),0)</f>
        <v>0</v>
      </c>
      <c r="O165" s="10"/>
    </row>
    <row r="166" spans="2:16" ht="142.5" x14ac:dyDescent="0.3">
      <c r="B166" s="17">
        <v>163</v>
      </c>
      <c r="C166" s="34" t="s">
        <v>735</v>
      </c>
      <c r="D166" s="27" t="s">
        <v>162</v>
      </c>
      <c r="E166" s="27" t="s">
        <v>608</v>
      </c>
      <c r="F166" s="29" t="s">
        <v>1114</v>
      </c>
      <c r="G166" s="33">
        <v>3</v>
      </c>
      <c r="H166" s="34">
        <f t="shared" si="2"/>
        <v>1</v>
      </c>
      <c r="I166" s="9"/>
      <c r="J166" s="34">
        <f>IFERROR(IF(VLOOKUP(D:D,'테스트(1회)'!C:G,5, 0)="X",1,0),0)</f>
        <v>1</v>
      </c>
      <c r="K166" s="34">
        <f>IFERROR(IF(VLOOKUP(D:D,'테스트(2회)'!C:G,5, 0)="X",1,0),0)</f>
        <v>0</v>
      </c>
      <c r="L166" s="34">
        <f>IFERROR(IF(VLOOKUP(D:D,'테스트(3회)'!C:G,5, 0)="X",1,0),0)</f>
        <v>0</v>
      </c>
      <c r="M166" s="34">
        <f>IFERROR(IF(VLOOKUP(D:D,'테스트(4회)'!C:G,5, 0)="X",1,0),0)</f>
        <v>0</v>
      </c>
      <c r="N166" s="34">
        <f>IFERROR(IF(VLOOKUP(D:D,'테스트(5회)'!C:G,5, 0)="X",1,0),0)</f>
        <v>0</v>
      </c>
      <c r="O166" s="10" t="s">
        <v>1113</v>
      </c>
      <c r="P166" s="12" t="s">
        <v>163</v>
      </c>
    </row>
    <row r="167" spans="2:16" ht="142.5" x14ac:dyDescent="0.3">
      <c r="B167" s="17">
        <v>164</v>
      </c>
      <c r="C167" s="34" t="s">
        <v>735</v>
      </c>
      <c r="D167" s="27" t="s">
        <v>164</v>
      </c>
      <c r="E167" s="27" t="s">
        <v>608</v>
      </c>
      <c r="F167" s="29" t="s">
        <v>706</v>
      </c>
      <c r="G167" s="33">
        <v>4</v>
      </c>
      <c r="H167" s="34">
        <f t="shared" si="2"/>
        <v>1</v>
      </c>
      <c r="I167" s="9"/>
      <c r="J167" s="34">
        <f>IFERROR(IF(VLOOKUP(D:D,'테스트(1회)'!C:G,5, 0)="X",1,0),0)</f>
        <v>1</v>
      </c>
      <c r="K167" s="34">
        <f>IFERROR(IF(VLOOKUP(D:D,'테스트(2회)'!C:G,5, 0)="X",1,0),0)</f>
        <v>0</v>
      </c>
      <c r="L167" s="34">
        <f>IFERROR(IF(VLOOKUP(D:D,'테스트(3회)'!C:G,5, 0)="X",1,0),0)</f>
        <v>0</v>
      </c>
      <c r="M167" s="34">
        <f>IFERROR(IF(VLOOKUP(D:D,'테스트(4회)'!C:G,5, 0)="X",1,0),0)</f>
        <v>0</v>
      </c>
      <c r="N167" s="34">
        <f>IFERROR(IF(VLOOKUP(D:D,'테스트(5회)'!C:G,5, 0)="X",1,0),0)</f>
        <v>0</v>
      </c>
      <c r="O167" s="10"/>
    </row>
    <row r="168" spans="2:16" ht="99.75" x14ac:dyDescent="0.3">
      <c r="B168" s="17">
        <v>165</v>
      </c>
      <c r="C168" s="34" t="s">
        <v>735</v>
      </c>
      <c r="D168" s="27" t="s">
        <v>165</v>
      </c>
      <c r="E168" s="27" t="s">
        <v>608</v>
      </c>
      <c r="F168" s="29" t="s">
        <v>166</v>
      </c>
      <c r="G168" s="33">
        <v>2</v>
      </c>
      <c r="H168" s="34">
        <f t="shared" si="2"/>
        <v>0</v>
      </c>
      <c r="I168" s="9"/>
      <c r="J168" s="34">
        <f>IFERROR(IF(VLOOKUP(D:D,'테스트(1회)'!C:G,5, 0)="X",1,0),0)</f>
        <v>0</v>
      </c>
      <c r="K168" s="34">
        <f>IFERROR(IF(VLOOKUP(D:D,'테스트(2회)'!C:G,5, 0)="X",1,0),0)</f>
        <v>0</v>
      </c>
      <c r="L168" s="34">
        <f>IFERROR(IF(VLOOKUP(D:D,'테스트(3회)'!C:G,5, 0)="X",1,0),0)</f>
        <v>0</v>
      </c>
      <c r="M168" s="34">
        <f>IFERROR(IF(VLOOKUP(D:D,'테스트(4회)'!C:G,5, 0)="X",1,0),0)</f>
        <v>0</v>
      </c>
      <c r="N168" s="34">
        <f>IFERROR(IF(VLOOKUP(D:D,'테스트(5회)'!C:G,5, 0)="X",1,0),0)</f>
        <v>0</v>
      </c>
      <c r="O168" s="10"/>
    </row>
    <row r="169" spans="2:16" ht="85.5" x14ac:dyDescent="0.3">
      <c r="B169" s="17">
        <v>166</v>
      </c>
      <c r="C169" s="34" t="s">
        <v>736</v>
      </c>
      <c r="D169" s="27" t="s">
        <v>167</v>
      </c>
      <c r="E169" s="27" t="s">
        <v>608</v>
      </c>
      <c r="F169" s="29" t="s">
        <v>168</v>
      </c>
      <c r="G169" s="33">
        <v>5</v>
      </c>
      <c r="H169" s="34">
        <f t="shared" si="2"/>
        <v>0</v>
      </c>
      <c r="I169" s="9"/>
      <c r="J169" s="34">
        <f>IFERROR(IF(VLOOKUP(D:D,'테스트(1회)'!C:G,5, 0)="X",1,0),0)</f>
        <v>0</v>
      </c>
      <c r="K169" s="34">
        <f>IFERROR(IF(VLOOKUP(D:D,'테스트(2회)'!C:G,5, 0)="X",1,0),0)</f>
        <v>0</v>
      </c>
      <c r="L169" s="34">
        <f>IFERROR(IF(VLOOKUP(D:D,'테스트(3회)'!C:G,5, 0)="X",1,0),0)</f>
        <v>0</v>
      </c>
      <c r="M169" s="34">
        <f>IFERROR(IF(VLOOKUP(D:D,'테스트(4회)'!C:G,5, 0)="X",1,0),0)</f>
        <v>0</v>
      </c>
      <c r="N169" s="34">
        <f>IFERROR(IF(VLOOKUP(D:D,'테스트(5회)'!C:G,5, 0)="X",1,0),0)</f>
        <v>0</v>
      </c>
      <c r="O169" s="10"/>
    </row>
    <row r="170" spans="2:16" ht="114" x14ac:dyDescent="0.3">
      <c r="B170" s="17">
        <v>167</v>
      </c>
      <c r="C170" s="34" t="s">
        <v>736</v>
      </c>
      <c r="D170" s="27" t="s">
        <v>169</v>
      </c>
      <c r="E170" s="27" t="s">
        <v>608</v>
      </c>
      <c r="F170" s="29" t="s">
        <v>170</v>
      </c>
      <c r="G170" s="33">
        <v>4</v>
      </c>
      <c r="H170" s="34">
        <f t="shared" si="2"/>
        <v>0</v>
      </c>
      <c r="I170" s="9"/>
      <c r="J170" s="34">
        <f>IFERROR(IF(VLOOKUP(D:D,'테스트(1회)'!C:G,5, 0)="X",1,0),0)</f>
        <v>0</v>
      </c>
      <c r="K170" s="34">
        <f>IFERROR(IF(VLOOKUP(D:D,'테스트(2회)'!C:G,5, 0)="X",1,0),0)</f>
        <v>0</v>
      </c>
      <c r="L170" s="34">
        <f>IFERROR(IF(VLOOKUP(D:D,'테스트(3회)'!C:G,5, 0)="X",1,0),0)</f>
        <v>0</v>
      </c>
      <c r="M170" s="34">
        <f>IFERROR(IF(VLOOKUP(D:D,'테스트(4회)'!C:G,5, 0)="X",1,0),0)</f>
        <v>0</v>
      </c>
      <c r="N170" s="34">
        <f>IFERROR(IF(VLOOKUP(D:D,'테스트(5회)'!C:G,5, 0)="X",1,0),0)</f>
        <v>0</v>
      </c>
      <c r="O170" s="10"/>
    </row>
    <row r="171" spans="2:16" ht="142.5" x14ac:dyDescent="0.3">
      <c r="B171" s="17">
        <v>168</v>
      </c>
      <c r="C171" s="34" t="s">
        <v>736</v>
      </c>
      <c r="D171" s="27" t="s">
        <v>171</v>
      </c>
      <c r="E171" s="27" t="s">
        <v>608</v>
      </c>
      <c r="F171" s="29" t="s">
        <v>626</v>
      </c>
      <c r="G171" s="33">
        <v>5</v>
      </c>
      <c r="H171" s="34">
        <f t="shared" si="2"/>
        <v>0</v>
      </c>
      <c r="I171" s="9"/>
      <c r="J171" s="34">
        <f>IFERROR(IF(VLOOKUP(D:D,'테스트(1회)'!C:G,5, 0)="X",1,0),0)</f>
        <v>0</v>
      </c>
      <c r="K171" s="34">
        <f>IFERROR(IF(VLOOKUP(D:D,'테스트(2회)'!C:G,5, 0)="X",1,0),0)</f>
        <v>0</v>
      </c>
      <c r="L171" s="34">
        <f>IFERROR(IF(VLOOKUP(D:D,'테스트(3회)'!C:G,5, 0)="X",1,0),0)</f>
        <v>0</v>
      </c>
      <c r="M171" s="34">
        <f>IFERROR(IF(VLOOKUP(D:D,'테스트(4회)'!C:G,5, 0)="X",1,0),0)</f>
        <v>0</v>
      </c>
      <c r="N171" s="34">
        <f>IFERROR(IF(VLOOKUP(D:D,'테스트(5회)'!C:G,5, 0)="X",1,0),0)</f>
        <v>0</v>
      </c>
      <c r="O171" s="10"/>
    </row>
    <row r="172" spans="2:16" ht="85.5" x14ac:dyDescent="0.3">
      <c r="B172" s="17">
        <v>169</v>
      </c>
      <c r="C172" s="34" t="s">
        <v>736</v>
      </c>
      <c r="D172" s="27" t="s">
        <v>172</v>
      </c>
      <c r="E172" s="27" t="s">
        <v>608</v>
      </c>
      <c r="F172" s="29" t="s">
        <v>1124</v>
      </c>
      <c r="G172" s="33">
        <v>3</v>
      </c>
      <c r="H172" s="34">
        <f t="shared" si="2"/>
        <v>0</v>
      </c>
      <c r="I172" s="9"/>
      <c r="J172" s="34">
        <f>IFERROR(IF(VLOOKUP(D:D,'테스트(1회)'!C:G,5, 0)="X",1,0),0)</f>
        <v>0</v>
      </c>
      <c r="K172" s="34">
        <f>IFERROR(IF(VLOOKUP(D:D,'테스트(2회)'!C:G,5, 0)="X",1,0),0)</f>
        <v>0</v>
      </c>
      <c r="L172" s="34">
        <f>IFERROR(IF(VLOOKUP(D:D,'테스트(3회)'!C:G,5, 0)="X",1,0),0)</f>
        <v>0</v>
      </c>
      <c r="M172" s="34">
        <f>IFERROR(IF(VLOOKUP(D:D,'테스트(4회)'!C:G,5, 0)="X",1,0),0)</f>
        <v>0</v>
      </c>
      <c r="N172" s="34">
        <f>IFERROR(IF(VLOOKUP(D:D,'테스트(5회)'!C:G,5, 0)="X",1,0),0)</f>
        <v>0</v>
      </c>
      <c r="O172" s="10"/>
    </row>
    <row r="173" spans="2:16" ht="85.5" x14ac:dyDescent="0.3">
      <c r="B173" s="17">
        <v>170</v>
      </c>
      <c r="C173" s="34" t="s">
        <v>736</v>
      </c>
      <c r="D173" s="27" t="s">
        <v>173</v>
      </c>
      <c r="E173" s="27" t="s">
        <v>608</v>
      </c>
      <c r="F173" s="29" t="s">
        <v>174</v>
      </c>
      <c r="G173" s="33">
        <v>3</v>
      </c>
      <c r="H173" s="34">
        <f t="shared" si="2"/>
        <v>0</v>
      </c>
      <c r="I173" s="9"/>
      <c r="J173" s="34">
        <f>IFERROR(IF(VLOOKUP(D:D,'테스트(1회)'!C:G,5, 0)="X",1,0),0)</f>
        <v>0</v>
      </c>
      <c r="K173" s="34">
        <f>IFERROR(IF(VLOOKUP(D:D,'테스트(2회)'!C:G,5, 0)="X",1,0),0)</f>
        <v>0</v>
      </c>
      <c r="L173" s="34">
        <f>IFERROR(IF(VLOOKUP(D:D,'테스트(3회)'!C:G,5, 0)="X",1,0),0)</f>
        <v>0</v>
      </c>
      <c r="M173" s="34">
        <f>IFERROR(IF(VLOOKUP(D:D,'테스트(4회)'!C:G,5, 0)="X",1,0),0)</f>
        <v>0</v>
      </c>
      <c r="N173" s="34">
        <f>IFERROR(IF(VLOOKUP(D:D,'테스트(5회)'!C:G,5, 0)="X",1,0),0)</f>
        <v>0</v>
      </c>
      <c r="O173" s="10"/>
    </row>
    <row r="174" spans="2:16" ht="114" x14ac:dyDescent="0.3">
      <c r="B174" s="17">
        <v>171</v>
      </c>
      <c r="C174" s="34" t="s">
        <v>736</v>
      </c>
      <c r="D174" s="27" t="s">
        <v>175</v>
      </c>
      <c r="E174" s="27" t="s">
        <v>608</v>
      </c>
      <c r="F174" s="29" t="s">
        <v>1083</v>
      </c>
      <c r="G174" s="33">
        <v>4</v>
      </c>
      <c r="H174" s="34">
        <f t="shared" si="2"/>
        <v>0</v>
      </c>
      <c r="I174" s="9"/>
      <c r="J174" s="34">
        <f>IFERROR(IF(VLOOKUP(D:D,'테스트(1회)'!C:G,5, 0)="X",1,0),0)</f>
        <v>0</v>
      </c>
      <c r="K174" s="34">
        <f>IFERROR(IF(VLOOKUP(D:D,'테스트(2회)'!C:G,5, 0)="X",1,0),0)</f>
        <v>0</v>
      </c>
      <c r="L174" s="34">
        <f>IFERROR(IF(VLOOKUP(D:D,'테스트(3회)'!C:G,5, 0)="X",1,0),0)</f>
        <v>0</v>
      </c>
      <c r="M174" s="34">
        <f>IFERROR(IF(VLOOKUP(D:D,'테스트(4회)'!C:G,5, 0)="X",1,0),0)</f>
        <v>0</v>
      </c>
      <c r="N174" s="34">
        <f>IFERROR(IF(VLOOKUP(D:D,'테스트(5회)'!C:G,5, 0)="X",1,0),0)</f>
        <v>0</v>
      </c>
      <c r="O174" s="10"/>
    </row>
    <row r="175" spans="2:16" ht="85.5" x14ac:dyDescent="0.3">
      <c r="B175" s="17">
        <v>172</v>
      </c>
      <c r="C175" s="34" t="s">
        <v>736</v>
      </c>
      <c r="D175" s="27" t="s">
        <v>176</v>
      </c>
      <c r="E175" s="27" t="s">
        <v>608</v>
      </c>
      <c r="F175" s="29" t="s">
        <v>177</v>
      </c>
      <c r="G175" s="33">
        <v>3</v>
      </c>
      <c r="H175" s="34">
        <f t="shared" si="2"/>
        <v>0</v>
      </c>
      <c r="I175" s="9"/>
      <c r="J175" s="34">
        <f>IFERROR(IF(VLOOKUP(D:D,'테스트(1회)'!C:G,5, 0)="X",1,0),0)</f>
        <v>0</v>
      </c>
      <c r="K175" s="34">
        <f>IFERROR(IF(VLOOKUP(D:D,'테스트(2회)'!C:G,5, 0)="X",1,0),0)</f>
        <v>0</v>
      </c>
      <c r="L175" s="34">
        <f>IFERROR(IF(VLOOKUP(D:D,'테스트(3회)'!C:G,5, 0)="X",1,0),0)</f>
        <v>0</v>
      </c>
      <c r="M175" s="34">
        <f>IFERROR(IF(VLOOKUP(D:D,'테스트(4회)'!C:G,5, 0)="X",1,0),0)</f>
        <v>0</v>
      </c>
      <c r="N175" s="34">
        <f>IFERROR(IF(VLOOKUP(D:D,'테스트(5회)'!C:G,5, 0)="X",1,0),0)</f>
        <v>0</v>
      </c>
      <c r="O175" s="10"/>
    </row>
    <row r="176" spans="2:16" ht="99.75" x14ac:dyDescent="0.3">
      <c r="B176" s="17">
        <v>173</v>
      </c>
      <c r="C176" s="34" t="s">
        <v>736</v>
      </c>
      <c r="D176" s="27" t="s">
        <v>178</v>
      </c>
      <c r="E176" s="27" t="s">
        <v>608</v>
      </c>
      <c r="F176" s="29" t="s">
        <v>1115</v>
      </c>
      <c r="G176" s="33">
        <v>2</v>
      </c>
      <c r="H176" s="34">
        <f t="shared" si="2"/>
        <v>0</v>
      </c>
      <c r="I176" s="9"/>
      <c r="J176" s="34">
        <f>IFERROR(IF(VLOOKUP(D:D,'테스트(1회)'!C:G,5, 0)="X",1,0),0)</f>
        <v>0</v>
      </c>
      <c r="K176" s="34">
        <f>IFERROR(IF(VLOOKUP(D:D,'테스트(2회)'!C:G,5, 0)="X",1,0),0)</f>
        <v>0</v>
      </c>
      <c r="L176" s="34">
        <f>IFERROR(IF(VLOOKUP(D:D,'테스트(3회)'!C:G,5, 0)="X",1,0),0)</f>
        <v>0</v>
      </c>
      <c r="M176" s="34">
        <f>IFERROR(IF(VLOOKUP(D:D,'테스트(4회)'!C:G,5, 0)="X",1,0),0)</f>
        <v>0</v>
      </c>
      <c r="N176" s="34">
        <f>IFERROR(IF(VLOOKUP(D:D,'테스트(5회)'!C:G,5, 0)="X",1,0),0)</f>
        <v>0</v>
      </c>
      <c r="O176" s="10" t="s">
        <v>780</v>
      </c>
      <c r="P176" s="12" t="s">
        <v>179</v>
      </c>
    </row>
    <row r="177" spans="2:16" ht="142.5" x14ac:dyDescent="0.3">
      <c r="B177" s="17">
        <v>174</v>
      </c>
      <c r="C177" s="34" t="s">
        <v>736</v>
      </c>
      <c r="D177" s="27" t="s">
        <v>180</v>
      </c>
      <c r="E177" s="27" t="s">
        <v>608</v>
      </c>
      <c r="F177" s="29" t="s">
        <v>181</v>
      </c>
      <c r="G177" s="33">
        <v>2</v>
      </c>
      <c r="H177" s="34">
        <f t="shared" si="2"/>
        <v>0</v>
      </c>
      <c r="I177" s="9"/>
      <c r="J177" s="34">
        <f>IFERROR(IF(VLOOKUP(D:D,'테스트(1회)'!C:G,5, 0)="X",1,0),0)</f>
        <v>0</v>
      </c>
      <c r="K177" s="34">
        <f>IFERROR(IF(VLOOKUP(D:D,'테스트(2회)'!C:G,5, 0)="X",1,0),0)</f>
        <v>0</v>
      </c>
      <c r="L177" s="34">
        <f>IFERROR(IF(VLOOKUP(D:D,'테스트(3회)'!C:G,5, 0)="X",1,0),0)</f>
        <v>0</v>
      </c>
      <c r="M177" s="34">
        <f>IFERROR(IF(VLOOKUP(D:D,'테스트(4회)'!C:G,5, 0)="X",1,0),0)</f>
        <v>0</v>
      </c>
      <c r="N177" s="34">
        <f>IFERROR(IF(VLOOKUP(D:D,'테스트(5회)'!C:G,5, 0)="X",1,0),0)</f>
        <v>0</v>
      </c>
      <c r="O177" s="10"/>
    </row>
    <row r="178" spans="2:16" ht="99.75" x14ac:dyDescent="0.3">
      <c r="B178" s="17">
        <v>175</v>
      </c>
      <c r="C178" s="34" t="s">
        <v>736</v>
      </c>
      <c r="D178" s="27" t="s">
        <v>182</v>
      </c>
      <c r="E178" s="27" t="s">
        <v>608</v>
      </c>
      <c r="F178" s="29" t="s">
        <v>615</v>
      </c>
      <c r="G178" s="33">
        <v>3</v>
      </c>
      <c r="H178" s="34">
        <f t="shared" si="2"/>
        <v>0</v>
      </c>
      <c r="I178" s="9"/>
      <c r="J178" s="34">
        <f>IFERROR(IF(VLOOKUP(D:D,'테스트(1회)'!C:G,5, 0)="X",1,0),0)</f>
        <v>0</v>
      </c>
      <c r="K178" s="34">
        <f>IFERROR(IF(VLOOKUP(D:D,'테스트(2회)'!C:G,5, 0)="X",1,0),0)</f>
        <v>0</v>
      </c>
      <c r="L178" s="34">
        <f>IFERROR(IF(VLOOKUP(D:D,'테스트(3회)'!C:G,5, 0)="X",1,0),0)</f>
        <v>0</v>
      </c>
      <c r="M178" s="34">
        <f>IFERROR(IF(VLOOKUP(D:D,'테스트(4회)'!C:G,5, 0)="X",1,0),0)</f>
        <v>0</v>
      </c>
      <c r="N178" s="34">
        <f>IFERROR(IF(VLOOKUP(D:D,'테스트(5회)'!C:G,5, 0)="X",1,0),0)</f>
        <v>0</v>
      </c>
      <c r="O178" s="10"/>
    </row>
    <row r="179" spans="2:16" ht="128.25" x14ac:dyDescent="0.3">
      <c r="B179" s="17">
        <v>176</v>
      </c>
      <c r="C179" s="34" t="s">
        <v>736</v>
      </c>
      <c r="D179" s="27" t="s">
        <v>183</v>
      </c>
      <c r="E179" s="27" t="s">
        <v>608</v>
      </c>
      <c r="F179" s="29" t="s">
        <v>184</v>
      </c>
      <c r="G179" s="33">
        <v>3</v>
      </c>
      <c r="H179" s="34">
        <f t="shared" si="2"/>
        <v>1</v>
      </c>
      <c r="I179" s="9"/>
      <c r="J179" s="34">
        <f>IFERROR(IF(VLOOKUP(D:D,'테스트(1회)'!C:G,5, 0)="X",1,0),0)</f>
        <v>1</v>
      </c>
      <c r="K179" s="34">
        <f>IFERROR(IF(VLOOKUP(D:D,'테스트(2회)'!C:G,5, 0)="X",1,0),0)</f>
        <v>0</v>
      </c>
      <c r="L179" s="34">
        <f>IFERROR(IF(VLOOKUP(D:D,'테스트(3회)'!C:G,5, 0)="X",1,0),0)</f>
        <v>0</v>
      </c>
      <c r="M179" s="34">
        <f>IFERROR(IF(VLOOKUP(D:D,'테스트(4회)'!C:G,5, 0)="X",1,0),0)</f>
        <v>0</v>
      </c>
      <c r="N179" s="34">
        <f>IFERROR(IF(VLOOKUP(D:D,'테스트(5회)'!C:G,5, 0)="X",1,0),0)</f>
        <v>0</v>
      </c>
      <c r="O179" s="10"/>
    </row>
    <row r="180" spans="2:16" ht="142.5" x14ac:dyDescent="0.3">
      <c r="B180" s="17">
        <v>177</v>
      </c>
      <c r="C180" s="34" t="s">
        <v>736</v>
      </c>
      <c r="D180" s="27" t="s">
        <v>185</v>
      </c>
      <c r="E180" s="27" t="s">
        <v>608</v>
      </c>
      <c r="F180" s="29" t="s">
        <v>186</v>
      </c>
      <c r="G180" s="33">
        <v>5</v>
      </c>
      <c r="H180" s="34">
        <f t="shared" si="2"/>
        <v>0</v>
      </c>
      <c r="I180" s="9"/>
      <c r="J180" s="34">
        <f>IFERROR(IF(VLOOKUP(D:D,'테스트(1회)'!C:G,5, 0)="X",1,0),0)</f>
        <v>0</v>
      </c>
      <c r="K180" s="34">
        <f>IFERROR(IF(VLOOKUP(D:D,'테스트(2회)'!C:G,5, 0)="X",1,0),0)</f>
        <v>0</v>
      </c>
      <c r="L180" s="34">
        <f>IFERROR(IF(VLOOKUP(D:D,'테스트(3회)'!C:G,5, 0)="X",1,0),0)</f>
        <v>0</v>
      </c>
      <c r="M180" s="34">
        <f>IFERROR(IF(VLOOKUP(D:D,'테스트(4회)'!C:G,5, 0)="X",1,0),0)</f>
        <v>0</v>
      </c>
      <c r="N180" s="34">
        <f>IFERROR(IF(VLOOKUP(D:D,'테스트(5회)'!C:G,5, 0)="X",1,0),0)</f>
        <v>0</v>
      </c>
      <c r="O180" s="10"/>
    </row>
    <row r="181" spans="2:16" ht="128.25" x14ac:dyDescent="0.3">
      <c r="B181" s="17">
        <v>178</v>
      </c>
      <c r="C181" s="34" t="s">
        <v>736</v>
      </c>
      <c r="D181" s="27" t="s">
        <v>187</v>
      </c>
      <c r="E181" s="27" t="s">
        <v>608</v>
      </c>
      <c r="F181" s="29" t="s">
        <v>1116</v>
      </c>
      <c r="G181" s="33">
        <v>2</v>
      </c>
      <c r="H181" s="34">
        <f t="shared" si="2"/>
        <v>0</v>
      </c>
      <c r="I181" s="9"/>
      <c r="J181" s="34">
        <f>IFERROR(IF(VLOOKUP(D:D,'테스트(1회)'!C:G,5, 0)="X",1,0),0)</f>
        <v>0</v>
      </c>
      <c r="K181" s="34">
        <f>IFERROR(IF(VLOOKUP(D:D,'테스트(2회)'!C:G,5, 0)="X",1,0),0)</f>
        <v>0</v>
      </c>
      <c r="L181" s="34">
        <f>IFERROR(IF(VLOOKUP(D:D,'테스트(3회)'!C:G,5, 0)="X",1,0),0)</f>
        <v>0</v>
      </c>
      <c r="M181" s="34">
        <f>IFERROR(IF(VLOOKUP(D:D,'테스트(4회)'!C:G,5, 0)="X",1,0),0)</f>
        <v>0</v>
      </c>
      <c r="N181" s="34">
        <f>IFERROR(IF(VLOOKUP(D:D,'테스트(5회)'!C:G,5, 0)="X",1,0),0)</f>
        <v>0</v>
      </c>
      <c r="O181" s="10" t="s">
        <v>1117</v>
      </c>
      <c r="P181" s="12" t="s">
        <v>188</v>
      </c>
    </row>
    <row r="182" spans="2:16" ht="99.75" x14ac:dyDescent="0.3">
      <c r="B182" s="17">
        <v>179</v>
      </c>
      <c r="C182" s="34" t="s">
        <v>736</v>
      </c>
      <c r="D182" s="27" t="s">
        <v>189</v>
      </c>
      <c r="E182" s="27" t="s">
        <v>608</v>
      </c>
      <c r="F182" s="29" t="s">
        <v>190</v>
      </c>
      <c r="G182" s="33">
        <v>5</v>
      </c>
      <c r="H182" s="34">
        <f t="shared" si="2"/>
        <v>0</v>
      </c>
      <c r="I182" s="9"/>
      <c r="J182" s="34">
        <f>IFERROR(IF(VLOOKUP(D:D,'테스트(1회)'!C:G,5, 0)="X",1,0),0)</f>
        <v>0</v>
      </c>
      <c r="K182" s="34">
        <f>IFERROR(IF(VLOOKUP(D:D,'테스트(2회)'!C:G,5, 0)="X",1,0),0)</f>
        <v>0</v>
      </c>
      <c r="L182" s="34">
        <f>IFERROR(IF(VLOOKUP(D:D,'테스트(3회)'!C:G,5, 0)="X",1,0),0)</f>
        <v>0</v>
      </c>
      <c r="M182" s="34">
        <f>IFERROR(IF(VLOOKUP(D:D,'테스트(4회)'!C:G,5, 0)="X",1,0),0)</f>
        <v>0</v>
      </c>
      <c r="N182" s="34">
        <f>IFERROR(IF(VLOOKUP(D:D,'테스트(5회)'!C:G,5, 0)="X",1,0),0)</f>
        <v>0</v>
      </c>
      <c r="O182" s="10"/>
    </row>
    <row r="183" spans="2:16" ht="85.5" x14ac:dyDescent="0.3">
      <c r="B183" s="17">
        <v>180</v>
      </c>
      <c r="C183" s="34" t="s">
        <v>736</v>
      </c>
      <c r="D183" s="27" t="s">
        <v>191</v>
      </c>
      <c r="E183" s="27" t="s">
        <v>608</v>
      </c>
      <c r="F183" s="32" t="s">
        <v>192</v>
      </c>
      <c r="G183" s="33">
        <v>1</v>
      </c>
      <c r="H183" s="34">
        <f t="shared" si="2"/>
        <v>0</v>
      </c>
      <c r="I183" s="9"/>
      <c r="J183" s="34">
        <f>IFERROR(IF(VLOOKUP(D:D,'테스트(1회)'!C:G,5, 0)="X",1,0),0)</f>
        <v>0</v>
      </c>
      <c r="K183" s="34">
        <f>IFERROR(IF(VLOOKUP(D:D,'테스트(2회)'!C:G,5, 0)="X",1,0),0)</f>
        <v>0</v>
      </c>
      <c r="L183" s="34">
        <f>IFERROR(IF(VLOOKUP(D:D,'테스트(3회)'!C:G,5, 0)="X",1,0),0)</f>
        <v>0</v>
      </c>
      <c r="M183" s="34">
        <f>IFERROR(IF(VLOOKUP(D:D,'테스트(4회)'!C:G,5, 0)="X",1,0),0)</f>
        <v>0</v>
      </c>
      <c r="N183" s="34">
        <f>IFERROR(IF(VLOOKUP(D:D,'테스트(5회)'!C:G,5, 0)="X",1,0),0)</f>
        <v>0</v>
      </c>
      <c r="O183" s="10" t="s">
        <v>774</v>
      </c>
    </row>
    <row r="184" spans="2:16" ht="85.5" x14ac:dyDescent="0.3">
      <c r="B184" s="17">
        <v>181</v>
      </c>
      <c r="C184" s="34" t="s">
        <v>736</v>
      </c>
      <c r="D184" s="27" t="s">
        <v>193</v>
      </c>
      <c r="E184" s="27" t="s">
        <v>608</v>
      </c>
      <c r="F184" s="29" t="s">
        <v>194</v>
      </c>
      <c r="G184" s="33">
        <v>1</v>
      </c>
      <c r="H184" s="34">
        <f t="shared" si="2"/>
        <v>0</v>
      </c>
      <c r="I184" s="9"/>
      <c r="J184" s="34">
        <f>IFERROR(IF(VLOOKUP(D:D,'테스트(1회)'!C:G,5, 0)="X",1,0),0)</f>
        <v>0</v>
      </c>
      <c r="K184" s="34">
        <f>IFERROR(IF(VLOOKUP(D:D,'테스트(2회)'!C:G,5, 0)="X",1,0),0)</f>
        <v>0</v>
      </c>
      <c r="L184" s="34">
        <f>IFERROR(IF(VLOOKUP(D:D,'테스트(3회)'!C:G,5, 0)="X",1,0),0)</f>
        <v>0</v>
      </c>
      <c r="M184" s="34">
        <f>IFERROR(IF(VLOOKUP(D:D,'테스트(4회)'!C:G,5, 0)="X",1,0),0)</f>
        <v>0</v>
      </c>
      <c r="N184" s="34">
        <f>IFERROR(IF(VLOOKUP(D:D,'테스트(5회)'!C:G,5, 0)="X",1,0),0)</f>
        <v>0</v>
      </c>
      <c r="O184" s="10"/>
    </row>
    <row r="185" spans="2:16" ht="142.5" x14ac:dyDescent="0.3">
      <c r="B185" s="17">
        <v>182</v>
      </c>
      <c r="C185" s="34" t="s">
        <v>736</v>
      </c>
      <c r="D185" s="27" t="s">
        <v>195</v>
      </c>
      <c r="E185" s="27" t="s">
        <v>608</v>
      </c>
      <c r="F185" s="29" t="s">
        <v>196</v>
      </c>
      <c r="G185" s="33">
        <v>5</v>
      </c>
      <c r="H185" s="34">
        <f t="shared" si="2"/>
        <v>0</v>
      </c>
      <c r="I185" s="9"/>
      <c r="J185" s="34">
        <f>IFERROR(IF(VLOOKUP(D:D,'테스트(1회)'!C:G,5, 0)="X",1,0),0)</f>
        <v>0</v>
      </c>
      <c r="K185" s="34">
        <f>IFERROR(IF(VLOOKUP(D:D,'테스트(2회)'!C:G,5, 0)="X",1,0),0)</f>
        <v>0</v>
      </c>
      <c r="L185" s="34">
        <f>IFERROR(IF(VLOOKUP(D:D,'테스트(3회)'!C:G,5, 0)="X",1,0),0)</f>
        <v>0</v>
      </c>
      <c r="M185" s="34">
        <f>IFERROR(IF(VLOOKUP(D:D,'테스트(4회)'!C:G,5, 0)="X",1,0),0)</f>
        <v>0</v>
      </c>
      <c r="N185" s="34">
        <f>IFERROR(IF(VLOOKUP(D:D,'테스트(5회)'!C:G,5, 0)="X",1,0),0)</f>
        <v>0</v>
      </c>
      <c r="O185" s="10"/>
    </row>
    <row r="186" spans="2:16" ht="128.25" x14ac:dyDescent="0.3">
      <c r="B186" s="17">
        <v>183</v>
      </c>
      <c r="C186" s="34" t="s">
        <v>736</v>
      </c>
      <c r="D186" s="27" t="s">
        <v>197</v>
      </c>
      <c r="E186" s="27" t="s">
        <v>608</v>
      </c>
      <c r="F186" s="29" t="s">
        <v>1084</v>
      </c>
      <c r="G186" s="33">
        <v>5</v>
      </c>
      <c r="H186" s="34">
        <f t="shared" si="2"/>
        <v>0</v>
      </c>
      <c r="I186" s="9"/>
      <c r="J186" s="34">
        <f>IFERROR(IF(VLOOKUP(D:D,'테스트(1회)'!C:G,5, 0)="X",1,0),0)</f>
        <v>0</v>
      </c>
      <c r="K186" s="34">
        <f>IFERROR(IF(VLOOKUP(D:D,'테스트(2회)'!C:G,5, 0)="X",1,0),0)</f>
        <v>0</v>
      </c>
      <c r="L186" s="34">
        <f>IFERROR(IF(VLOOKUP(D:D,'테스트(3회)'!C:G,5, 0)="X",1,0),0)</f>
        <v>0</v>
      </c>
      <c r="M186" s="34">
        <f>IFERROR(IF(VLOOKUP(D:D,'테스트(4회)'!C:G,5, 0)="X",1,0),0)</f>
        <v>0</v>
      </c>
      <c r="N186" s="34">
        <f>IFERROR(IF(VLOOKUP(D:D,'테스트(5회)'!C:G,5, 0)="X",1,0),0)</f>
        <v>0</v>
      </c>
      <c r="O186" s="10"/>
    </row>
    <row r="187" spans="2:16" ht="128.25" x14ac:dyDescent="0.3">
      <c r="B187" s="17">
        <v>184</v>
      </c>
      <c r="C187" s="34" t="s">
        <v>736</v>
      </c>
      <c r="D187" s="27" t="s">
        <v>198</v>
      </c>
      <c r="E187" s="27" t="s">
        <v>608</v>
      </c>
      <c r="F187" s="29" t="s">
        <v>199</v>
      </c>
      <c r="G187" s="33">
        <v>1</v>
      </c>
      <c r="H187" s="34">
        <f t="shared" si="2"/>
        <v>0</v>
      </c>
      <c r="I187" s="9"/>
      <c r="J187" s="34">
        <f>IFERROR(IF(VLOOKUP(D:D,'테스트(1회)'!C:G,5, 0)="X",1,0),0)</f>
        <v>0</v>
      </c>
      <c r="K187" s="34">
        <f>IFERROR(IF(VLOOKUP(D:D,'테스트(2회)'!C:G,5, 0)="X",1,0),0)</f>
        <v>0</v>
      </c>
      <c r="L187" s="34">
        <f>IFERROR(IF(VLOOKUP(D:D,'테스트(3회)'!C:G,5, 0)="X",1,0),0)</f>
        <v>0</v>
      </c>
      <c r="M187" s="34">
        <f>IFERROR(IF(VLOOKUP(D:D,'테스트(4회)'!C:G,5, 0)="X",1,0),0)</f>
        <v>0</v>
      </c>
      <c r="N187" s="34">
        <f>IFERROR(IF(VLOOKUP(D:D,'테스트(5회)'!C:G,5, 0)="X",1,0),0)</f>
        <v>0</v>
      </c>
      <c r="O187" s="10"/>
    </row>
    <row r="188" spans="2:16" ht="128.25" x14ac:dyDescent="0.3">
      <c r="B188" s="17">
        <v>185</v>
      </c>
      <c r="C188" s="34" t="s">
        <v>736</v>
      </c>
      <c r="D188" s="27" t="s">
        <v>200</v>
      </c>
      <c r="E188" s="27" t="s">
        <v>608</v>
      </c>
      <c r="F188" s="29" t="s">
        <v>619</v>
      </c>
      <c r="G188" s="33">
        <v>1</v>
      </c>
      <c r="H188" s="34">
        <f t="shared" si="2"/>
        <v>0</v>
      </c>
      <c r="I188" s="9"/>
      <c r="J188" s="34">
        <f>IFERROR(IF(VLOOKUP(D:D,'테스트(1회)'!C:G,5, 0)="X",1,0),0)</f>
        <v>0</v>
      </c>
      <c r="K188" s="34">
        <f>IFERROR(IF(VLOOKUP(D:D,'테스트(2회)'!C:G,5, 0)="X",1,0),0)</f>
        <v>0</v>
      </c>
      <c r="L188" s="34">
        <f>IFERROR(IF(VLOOKUP(D:D,'테스트(3회)'!C:G,5, 0)="X",1,0),0)</f>
        <v>0</v>
      </c>
      <c r="M188" s="34">
        <f>IFERROR(IF(VLOOKUP(D:D,'테스트(4회)'!C:G,5, 0)="X",1,0),0)</f>
        <v>0</v>
      </c>
      <c r="N188" s="34">
        <f>IFERROR(IF(VLOOKUP(D:D,'테스트(5회)'!C:G,5, 0)="X",1,0),0)</f>
        <v>0</v>
      </c>
      <c r="O188" s="10"/>
    </row>
    <row r="189" spans="2:16" ht="99.75" x14ac:dyDescent="0.3">
      <c r="B189" s="17">
        <v>186</v>
      </c>
      <c r="C189" s="34" t="s">
        <v>736</v>
      </c>
      <c r="D189" s="27" t="s">
        <v>201</v>
      </c>
      <c r="E189" s="27" t="s">
        <v>608</v>
      </c>
      <c r="F189" s="29" t="s">
        <v>202</v>
      </c>
      <c r="G189" s="33">
        <v>4</v>
      </c>
      <c r="H189" s="34">
        <f t="shared" si="2"/>
        <v>1</v>
      </c>
      <c r="I189" s="9"/>
      <c r="J189" s="34">
        <f>IFERROR(IF(VLOOKUP(D:D,'테스트(1회)'!C:G,5, 0)="X",1,0),0)</f>
        <v>1</v>
      </c>
      <c r="K189" s="34">
        <f>IFERROR(IF(VLOOKUP(D:D,'테스트(2회)'!C:G,5, 0)="X",1,0),0)</f>
        <v>0</v>
      </c>
      <c r="L189" s="34">
        <f>IFERROR(IF(VLOOKUP(D:D,'테스트(3회)'!C:G,5, 0)="X",1,0),0)</f>
        <v>0</v>
      </c>
      <c r="M189" s="34">
        <f>IFERROR(IF(VLOOKUP(D:D,'테스트(4회)'!C:G,5, 0)="X",1,0),0)</f>
        <v>0</v>
      </c>
      <c r="N189" s="34">
        <f>IFERROR(IF(VLOOKUP(D:D,'테스트(5회)'!C:G,5, 0)="X",1,0),0)</f>
        <v>0</v>
      </c>
      <c r="O189" s="10"/>
    </row>
    <row r="190" spans="2:16" ht="114" x14ac:dyDescent="0.3">
      <c r="B190" s="17">
        <v>187</v>
      </c>
      <c r="C190" s="34" t="s">
        <v>736</v>
      </c>
      <c r="D190" s="27" t="s">
        <v>203</v>
      </c>
      <c r="E190" s="27" t="s">
        <v>608</v>
      </c>
      <c r="F190" s="29" t="s">
        <v>782</v>
      </c>
      <c r="G190" s="33">
        <v>2</v>
      </c>
      <c r="H190" s="34">
        <f t="shared" si="2"/>
        <v>1</v>
      </c>
      <c r="I190" s="9"/>
      <c r="J190" s="34">
        <f>IFERROR(IF(VLOOKUP(D:D,'테스트(1회)'!C:G,5, 0)="X",1,0),0)</f>
        <v>1</v>
      </c>
      <c r="K190" s="34">
        <f>IFERROR(IF(VLOOKUP(D:D,'테스트(2회)'!C:G,5, 0)="X",1,0),0)</f>
        <v>0</v>
      </c>
      <c r="L190" s="34">
        <f>IFERROR(IF(VLOOKUP(D:D,'테스트(3회)'!C:G,5, 0)="X",1,0),0)</f>
        <v>0</v>
      </c>
      <c r="M190" s="34">
        <f>IFERROR(IF(VLOOKUP(D:D,'테스트(4회)'!C:G,5, 0)="X",1,0),0)</f>
        <v>0</v>
      </c>
      <c r="N190" s="34">
        <f>IFERROR(IF(VLOOKUP(D:D,'테스트(5회)'!C:G,5, 0)="X",1,0),0)</f>
        <v>0</v>
      </c>
      <c r="O190" s="10" t="s">
        <v>781</v>
      </c>
      <c r="P190" s="12" t="s">
        <v>612</v>
      </c>
    </row>
    <row r="191" spans="2:16" ht="128.25" x14ac:dyDescent="0.3">
      <c r="B191" s="17">
        <v>188</v>
      </c>
      <c r="C191" s="34" t="s">
        <v>736</v>
      </c>
      <c r="D191" s="27" t="s">
        <v>204</v>
      </c>
      <c r="E191" s="27" t="s">
        <v>608</v>
      </c>
      <c r="F191" s="29" t="s">
        <v>205</v>
      </c>
      <c r="G191" s="33">
        <v>3</v>
      </c>
      <c r="H191" s="34">
        <f t="shared" si="2"/>
        <v>1</v>
      </c>
      <c r="I191" s="9"/>
      <c r="J191" s="34">
        <f>IFERROR(IF(VLOOKUP(D:D,'테스트(1회)'!C:G,5, 0)="X",1,0),0)</f>
        <v>1</v>
      </c>
      <c r="K191" s="34">
        <f>IFERROR(IF(VLOOKUP(D:D,'테스트(2회)'!C:G,5, 0)="X",1,0),0)</f>
        <v>0</v>
      </c>
      <c r="L191" s="34">
        <f>IFERROR(IF(VLOOKUP(D:D,'테스트(3회)'!C:G,5, 0)="X",1,0),0)</f>
        <v>0</v>
      </c>
      <c r="M191" s="34">
        <f>IFERROR(IF(VLOOKUP(D:D,'테스트(4회)'!C:G,5, 0)="X",1,0),0)</f>
        <v>0</v>
      </c>
      <c r="N191" s="34">
        <f>IFERROR(IF(VLOOKUP(D:D,'테스트(5회)'!C:G,5, 0)="X",1,0),0)</f>
        <v>0</v>
      </c>
      <c r="O191" s="10"/>
    </row>
    <row r="192" spans="2:16" ht="142.5" x14ac:dyDescent="0.3">
      <c r="B192" s="17">
        <v>189</v>
      </c>
      <c r="C192" s="34" t="s">
        <v>736</v>
      </c>
      <c r="D192" s="27" t="s">
        <v>206</v>
      </c>
      <c r="E192" s="27" t="s">
        <v>608</v>
      </c>
      <c r="F192" s="29" t="s">
        <v>207</v>
      </c>
      <c r="G192" s="33">
        <v>4</v>
      </c>
      <c r="H192" s="34">
        <f t="shared" si="2"/>
        <v>0</v>
      </c>
      <c r="I192" s="9"/>
      <c r="J192" s="34">
        <f>IFERROR(IF(VLOOKUP(D:D,'테스트(1회)'!C:G,5, 0)="X",1,0),0)</f>
        <v>0</v>
      </c>
      <c r="K192" s="34">
        <f>IFERROR(IF(VLOOKUP(D:D,'테스트(2회)'!C:G,5, 0)="X",1,0),0)</f>
        <v>0</v>
      </c>
      <c r="L192" s="34">
        <f>IFERROR(IF(VLOOKUP(D:D,'테스트(3회)'!C:G,5, 0)="X",1,0),0)</f>
        <v>0</v>
      </c>
      <c r="M192" s="34">
        <f>IFERROR(IF(VLOOKUP(D:D,'테스트(4회)'!C:G,5, 0)="X",1,0),0)</f>
        <v>0</v>
      </c>
      <c r="N192" s="34">
        <f>IFERROR(IF(VLOOKUP(D:D,'테스트(5회)'!C:G,5, 0)="X",1,0),0)</f>
        <v>0</v>
      </c>
      <c r="O192" s="10"/>
    </row>
    <row r="193" spans="2:16" ht="142.5" x14ac:dyDescent="0.3">
      <c r="B193" s="17">
        <v>190</v>
      </c>
      <c r="C193" s="34" t="s">
        <v>736</v>
      </c>
      <c r="D193" s="27" t="s">
        <v>208</v>
      </c>
      <c r="E193" s="27" t="s">
        <v>608</v>
      </c>
      <c r="F193" s="29" t="s">
        <v>209</v>
      </c>
      <c r="G193" s="33">
        <v>4</v>
      </c>
      <c r="H193" s="34">
        <f t="shared" si="2"/>
        <v>0</v>
      </c>
      <c r="I193" s="9"/>
      <c r="J193" s="34">
        <f>IFERROR(IF(VLOOKUP(D:D,'테스트(1회)'!C:G,5, 0)="X",1,0),0)</f>
        <v>0</v>
      </c>
      <c r="K193" s="34">
        <f>IFERROR(IF(VLOOKUP(D:D,'테스트(2회)'!C:G,5, 0)="X",1,0),0)</f>
        <v>0</v>
      </c>
      <c r="L193" s="34">
        <f>IFERROR(IF(VLOOKUP(D:D,'테스트(3회)'!C:G,5, 0)="X",1,0),0)</f>
        <v>0</v>
      </c>
      <c r="M193" s="34">
        <f>IFERROR(IF(VLOOKUP(D:D,'테스트(4회)'!C:G,5, 0)="X",1,0),0)</f>
        <v>0</v>
      </c>
      <c r="N193" s="34">
        <f>IFERROR(IF(VLOOKUP(D:D,'테스트(5회)'!C:G,5, 0)="X",1,0),0)</f>
        <v>0</v>
      </c>
      <c r="O193" s="10"/>
    </row>
    <row r="194" spans="2:16" ht="114" x14ac:dyDescent="0.3">
      <c r="B194" s="17">
        <v>191</v>
      </c>
      <c r="C194" s="34" t="s">
        <v>737</v>
      </c>
      <c r="D194" s="27" t="s">
        <v>210</v>
      </c>
      <c r="E194" s="27" t="s">
        <v>608</v>
      </c>
      <c r="F194" s="29" t="s">
        <v>211</v>
      </c>
      <c r="G194" s="33">
        <v>3</v>
      </c>
      <c r="H194" s="34">
        <f t="shared" si="2"/>
        <v>0</v>
      </c>
      <c r="I194" s="9"/>
      <c r="J194" s="34">
        <f>IFERROR(IF(VLOOKUP(D:D,'테스트(1회)'!C:G,5, 0)="X",1,0),0)</f>
        <v>0</v>
      </c>
      <c r="K194" s="34">
        <f>IFERROR(IF(VLOOKUP(D:D,'테스트(2회)'!C:G,5, 0)="X",1,0),0)</f>
        <v>0</v>
      </c>
      <c r="L194" s="34">
        <f>IFERROR(IF(VLOOKUP(D:D,'테스트(3회)'!C:G,5, 0)="X",1,0),0)</f>
        <v>0</v>
      </c>
      <c r="M194" s="34">
        <f>IFERROR(IF(VLOOKUP(D:D,'테스트(4회)'!C:G,5, 0)="X",1,0),0)</f>
        <v>0</v>
      </c>
      <c r="N194" s="34">
        <f>IFERROR(IF(VLOOKUP(D:D,'테스트(5회)'!C:G,5, 0)="X",1,0),0)</f>
        <v>0</v>
      </c>
      <c r="O194" s="10"/>
    </row>
    <row r="195" spans="2:16" ht="85.5" x14ac:dyDescent="0.3">
      <c r="B195" s="17">
        <v>192</v>
      </c>
      <c r="C195" s="34" t="s">
        <v>737</v>
      </c>
      <c r="D195" s="27" t="s">
        <v>212</v>
      </c>
      <c r="E195" s="27" t="s">
        <v>608</v>
      </c>
      <c r="F195" s="29" t="s">
        <v>213</v>
      </c>
      <c r="G195" s="33">
        <v>5</v>
      </c>
      <c r="H195" s="34">
        <f t="shared" si="2"/>
        <v>0</v>
      </c>
      <c r="I195" s="9"/>
      <c r="J195" s="34">
        <f>IFERROR(IF(VLOOKUP(D:D,'테스트(1회)'!C:G,5, 0)="X",1,0),0)</f>
        <v>0</v>
      </c>
      <c r="K195" s="34">
        <f>IFERROR(IF(VLOOKUP(D:D,'테스트(2회)'!C:G,5, 0)="X",1,0),0)</f>
        <v>0</v>
      </c>
      <c r="L195" s="34">
        <f>IFERROR(IF(VLOOKUP(D:D,'테스트(3회)'!C:G,5, 0)="X",1,0),0)</f>
        <v>0</v>
      </c>
      <c r="M195" s="34">
        <f>IFERROR(IF(VLOOKUP(D:D,'테스트(4회)'!C:G,5, 0)="X",1,0),0)</f>
        <v>0</v>
      </c>
      <c r="N195" s="34">
        <f>IFERROR(IF(VLOOKUP(D:D,'테스트(5회)'!C:G,5, 0)="X",1,0),0)</f>
        <v>0</v>
      </c>
      <c r="O195" s="10"/>
    </row>
    <row r="196" spans="2:16" ht="128.25" x14ac:dyDescent="0.3">
      <c r="B196" s="17">
        <v>193</v>
      </c>
      <c r="C196" s="34" t="s">
        <v>737</v>
      </c>
      <c r="D196" s="27" t="s">
        <v>214</v>
      </c>
      <c r="E196" s="27" t="s">
        <v>608</v>
      </c>
      <c r="F196" s="29" t="s">
        <v>1085</v>
      </c>
      <c r="G196" s="33">
        <v>4</v>
      </c>
      <c r="H196" s="34">
        <f t="shared" ref="H196:H259" si="3">SUM(J196:N196)</f>
        <v>0</v>
      </c>
      <c r="I196" s="9"/>
      <c r="J196" s="34">
        <f>IFERROR(IF(VLOOKUP(D:D,'테스트(1회)'!C:G,5, 0)="X",1,0),0)</f>
        <v>0</v>
      </c>
      <c r="K196" s="34">
        <f>IFERROR(IF(VLOOKUP(D:D,'테스트(2회)'!C:G,5, 0)="X",1,0),0)</f>
        <v>0</v>
      </c>
      <c r="L196" s="34">
        <f>IFERROR(IF(VLOOKUP(D:D,'테스트(3회)'!C:G,5, 0)="X",1,0),0)</f>
        <v>0</v>
      </c>
      <c r="M196" s="34">
        <f>IFERROR(IF(VLOOKUP(D:D,'테스트(4회)'!C:G,5, 0)="X",1,0),0)</f>
        <v>0</v>
      </c>
      <c r="N196" s="34">
        <f>IFERROR(IF(VLOOKUP(D:D,'테스트(5회)'!C:G,5, 0)="X",1,0),0)</f>
        <v>0</v>
      </c>
      <c r="O196" s="10"/>
    </row>
    <row r="197" spans="2:16" ht="114" x14ac:dyDescent="0.3">
      <c r="B197" s="17">
        <v>194</v>
      </c>
      <c r="C197" s="34" t="s">
        <v>737</v>
      </c>
      <c r="D197" s="27" t="s">
        <v>215</v>
      </c>
      <c r="E197" s="27" t="s">
        <v>608</v>
      </c>
      <c r="F197" s="29" t="s">
        <v>216</v>
      </c>
      <c r="G197" s="33">
        <v>4</v>
      </c>
      <c r="H197" s="34">
        <f t="shared" si="3"/>
        <v>0</v>
      </c>
      <c r="I197" s="9"/>
      <c r="J197" s="34">
        <f>IFERROR(IF(VLOOKUP(D:D,'테스트(1회)'!C:G,5, 0)="X",1,0),0)</f>
        <v>0</v>
      </c>
      <c r="K197" s="34">
        <f>IFERROR(IF(VLOOKUP(D:D,'테스트(2회)'!C:G,5, 0)="X",1,0),0)</f>
        <v>0</v>
      </c>
      <c r="L197" s="34">
        <f>IFERROR(IF(VLOOKUP(D:D,'테스트(3회)'!C:G,5, 0)="X",1,0),0)</f>
        <v>0</v>
      </c>
      <c r="M197" s="34">
        <f>IFERROR(IF(VLOOKUP(D:D,'테스트(4회)'!C:G,5, 0)="X",1,0),0)</f>
        <v>0</v>
      </c>
      <c r="N197" s="34">
        <f>IFERROR(IF(VLOOKUP(D:D,'테스트(5회)'!C:G,5, 0)="X",1,0),0)</f>
        <v>0</v>
      </c>
      <c r="O197" s="10" t="s">
        <v>783</v>
      </c>
    </row>
    <row r="198" spans="2:16" ht="99.75" x14ac:dyDescent="0.3">
      <c r="B198" s="17">
        <v>195</v>
      </c>
      <c r="C198" s="34" t="s">
        <v>737</v>
      </c>
      <c r="D198" s="27" t="s">
        <v>217</v>
      </c>
      <c r="E198" s="27" t="s">
        <v>608</v>
      </c>
      <c r="F198" s="29" t="s">
        <v>620</v>
      </c>
      <c r="G198" s="33">
        <v>5</v>
      </c>
      <c r="H198" s="34">
        <f t="shared" si="3"/>
        <v>0</v>
      </c>
      <c r="I198" s="9"/>
      <c r="J198" s="34">
        <f>IFERROR(IF(VLOOKUP(D:D,'테스트(1회)'!C:G,5, 0)="X",1,0),0)</f>
        <v>0</v>
      </c>
      <c r="K198" s="34">
        <f>IFERROR(IF(VLOOKUP(D:D,'테스트(2회)'!C:G,5, 0)="X",1,0),0)</f>
        <v>0</v>
      </c>
      <c r="L198" s="34">
        <f>IFERROR(IF(VLOOKUP(D:D,'테스트(3회)'!C:G,5, 0)="X",1,0),0)</f>
        <v>0</v>
      </c>
      <c r="M198" s="34">
        <f>IFERROR(IF(VLOOKUP(D:D,'테스트(4회)'!C:G,5, 0)="X",1,0),0)</f>
        <v>0</v>
      </c>
      <c r="N198" s="34">
        <f>IFERROR(IF(VLOOKUP(D:D,'테스트(5회)'!C:G,5, 0)="X",1,0),0)</f>
        <v>0</v>
      </c>
      <c r="O198" s="10"/>
    </row>
    <row r="199" spans="2:16" ht="128.25" x14ac:dyDescent="0.3">
      <c r="B199" s="17">
        <v>196</v>
      </c>
      <c r="C199" s="34" t="s">
        <v>737</v>
      </c>
      <c r="D199" s="27" t="s">
        <v>218</v>
      </c>
      <c r="E199" s="27" t="s">
        <v>608</v>
      </c>
      <c r="F199" s="29" t="s">
        <v>219</v>
      </c>
      <c r="G199" s="33">
        <v>1</v>
      </c>
      <c r="H199" s="34">
        <f t="shared" si="3"/>
        <v>0</v>
      </c>
      <c r="I199" s="9"/>
      <c r="J199" s="34">
        <f>IFERROR(IF(VLOOKUP(D:D,'테스트(1회)'!C:G,5, 0)="X",1,0),0)</f>
        <v>0</v>
      </c>
      <c r="K199" s="34">
        <f>IFERROR(IF(VLOOKUP(D:D,'테스트(2회)'!C:G,5, 0)="X",1,0),0)</f>
        <v>0</v>
      </c>
      <c r="L199" s="34">
        <f>IFERROR(IF(VLOOKUP(D:D,'테스트(3회)'!C:G,5, 0)="X",1,0),0)</f>
        <v>0</v>
      </c>
      <c r="M199" s="34">
        <f>IFERROR(IF(VLOOKUP(D:D,'테스트(4회)'!C:G,5, 0)="X",1,0),0)</f>
        <v>0</v>
      </c>
      <c r="N199" s="34">
        <f>IFERROR(IF(VLOOKUP(D:D,'테스트(5회)'!C:G,5, 0)="X",1,0),0)</f>
        <v>0</v>
      </c>
      <c r="O199" s="10"/>
    </row>
    <row r="200" spans="2:16" ht="85.5" x14ac:dyDescent="0.3">
      <c r="B200" s="17">
        <v>197</v>
      </c>
      <c r="C200" s="34" t="s">
        <v>737</v>
      </c>
      <c r="D200" s="27" t="s">
        <v>220</v>
      </c>
      <c r="E200" s="27" t="s">
        <v>608</v>
      </c>
      <c r="F200" s="29" t="s">
        <v>784</v>
      </c>
      <c r="G200" s="33">
        <v>5</v>
      </c>
      <c r="H200" s="34">
        <f t="shared" si="3"/>
        <v>0</v>
      </c>
      <c r="I200" s="9"/>
      <c r="J200" s="34">
        <f>IFERROR(IF(VLOOKUP(D:D,'테스트(1회)'!C:G,5, 0)="X",1,0),0)</f>
        <v>0</v>
      </c>
      <c r="K200" s="34">
        <f>IFERROR(IF(VLOOKUP(D:D,'테스트(2회)'!C:G,5, 0)="X",1,0),0)</f>
        <v>0</v>
      </c>
      <c r="L200" s="34">
        <f>IFERROR(IF(VLOOKUP(D:D,'테스트(3회)'!C:G,5, 0)="X",1,0),0)</f>
        <v>0</v>
      </c>
      <c r="M200" s="34">
        <f>IFERROR(IF(VLOOKUP(D:D,'테스트(4회)'!C:G,5, 0)="X",1,0),0)</f>
        <v>0</v>
      </c>
      <c r="N200" s="34">
        <f>IFERROR(IF(VLOOKUP(D:D,'테스트(5회)'!C:G,5, 0)="X",1,0),0)</f>
        <v>0</v>
      </c>
      <c r="O200" s="10" t="s">
        <v>785</v>
      </c>
      <c r="P200" s="12" t="s">
        <v>221</v>
      </c>
    </row>
    <row r="201" spans="2:16" ht="128.25" x14ac:dyDescent="0.3">
      <c r="B201" s="17">
        <v>198</v>
      </c>
      <c r="C201" s="34" t="s">
        <v>737</v>
      </c>
      <c r="D201" s="27" t="s">
        <v>222</v>
      </c>
      <c r="E201" s="27" t="s">
        <v>608</v>
      </c>
      <c r="F201" s="29" t="s">
        <v>223</v>
      </c>
      <c r="G201" s="33">
        <v>1</v>
      </c>
      <c r="H201" s="34">
        <f t="shared" si="3"/>
        <v>0</v>
      </c>
      <c r="I201" s="9"/>
      <c r="J201" s="34">
        <f>IFERROR(IF(VLOOKUP(D:D,'테스트(1회)'!C:G,5, 0)="X",1,0),0)</f>
        <v>0</v>
      </c>
      <c r="K201" s="34">
        <f>IFERROR(IF(VLOOKUP(D:D,'테스트(2회)'!C:G,5, 0)="X",1,0),0)</f>
        <v>0</v>
      </c>
      <c r="L201" s="34">
        <f>IFERROR(IF(VLOOKUP(D:D,'테스트(3회)'!C:G,5, 0)="X",1,0),0)</f>
        <v>0</v>
      </c>
      <c r="M201" s="34">
        <f>IFERROR(IF(VLOOKUP(D:D,'테스트(4회)'!C:G,5, 0)="X",1,0),0)</f>
        <v>0</v>
      </c>
      <c r="N201" s="34">
        <f>IFERROR(IF(VLOOKUP(D:D,'테스트(5회)'!C:G,5, 0)="X",1,0),0)</f>
        <v>0</v>
      </c>
      <c r="O201" s="10"/>
    </row>
    <row r="202" spans="2:16" ht="114" x14ac:dyDescent="0.3">
      <c r="B202" s="17">
        <v>199</v>
      </c>
      <c r="C202" s="34" t="s">
        <v>737</v>
      </c>
      <c r="D202" s="27" t="s">
        <v>224</v>
      </c>
      <c r="E202" s="27" t="s">
        <v>608</v>
      </c>
      <c r="F202" s="29" t="s">
        <v>225</v>
      </c>
      <c r="G202" s="33">
        <v>4</v>
      </c>
      <c r="H202" s="34">
        <f t="shared" si="3"/>
        <v>1</v>
      </c>
      <c r="I202" s="9"/>
      <c r="J202" s="34">
        <f>IFERROR(IF(VLOOKUP(D:D,'테스트(1회)'!C:G,5, 0)="X",1,0),0)</f>
        <v>1</v>
      </c>
      <c r="K202" s="34">
        <f>IFERROR(IF(VLOOKUP(D:D,'테스트(2회)'!C:G,5, 0)="X",1,0),0)</f>
        <v>0</v>
      </c>
      <c r="L202" s="34">
        <f>IFERROR(IF(VLOOKUP(D:D,'테스트(3회)'!C:G,5, 0)="X",1,0),0)</f>
        <v>0</v>
      </c>
      <c r="M202" s="34">
        <f>IFERROR(IF(VLOOKUP(D:D,'테스트(4회)'!C:G,5, 0)="X",1,0),0)</f>
        <v>0</v>
      </c>
      <c r="N202" s="34">
        <f>IFERROR(IF(VLOOKUP(D:D,'테스트(5회)'!C:G,5, 0)="X",1,0),0)</f>
        <v>0</v>
      </c>
      <c r="O202" s="10"/>
    </row>
    <row r="203" spans="2:16" ht="85.5" x14ac:dyDescent="0.3">
      <c r="B203" s="17">
        <v>200</v>
      </c>
      <c r="C203" s="34" t="s">
        <v>737</v>
      </c>
      <c r="D203" s="27" t="s">
        <v>226</v>
      </c>
      <c r="E203" s="27" t="s">
        <v>608</v>
      </c>
      <c r="F203" s="29" t="s">
        <v>787</v>
      </c>
      <c r="G203" s="33">
        <v>5</v>
      </c>
      <c r="H203" s="34">
        <f t="shared" si="3"/>
        <v>0</v>
      </c>
      <c r="I203" s="9"/>
      <c r="J203" s="34">
        <f>IFERROR(IF(VLOOKUP(D:D,'테스트(1회)'!C:G,5, 0)="X",1,0),0)</f>
        <v>0</v>
      </c>
      <c r="K203" s="34">
        <f>IFERROR(IF(VLOOKUP(D:D,'테스트(2회)'!C:G,5, 0)="X",1,0),0)</f>
        <v>0</v>
      </c>
      <c r="L203" s="34">
        <f>IFERROR(IF(VLOOKUP(D:D,'테스트(3회)'!C:G,5, 0)="X",1,0),0)</f>
        <v>0</v>
      </c>
      <c r="M203" s="34">
        <f>IFERROR(IF(VLOOKUP(D:D,'테스트(4회)'!C:G,5, 0)="X",1,0),0)</f>
        <v>0</v>
      </c>
      <c r="N203" s="34">
        <f>IFERROR(IF(VLOOKUP(D:D,'테스트(5회)'!C:G,5, 0)="X",1,0),0)</f>
        <v>0</v>
      </c>
      <c r="O203" s="10" t="s">
        <v>786</v>
      </c>
      <c r="P203" s="12" t="s">
        <v>227</v>
      </c>
    </row>
    <row r="204" spans="2:16" ht="85.5" x14ac:dyDescent="0.3">
      <c r="B204" s="17">
        <v>201</v>
      </c>
      <c r="C204" s="34" t="s">
        <v>737</v>
      </c>
      <c r="D204" s="27" t="s">
        <v>228</v>
      </c>
      <c r="E204" s="27" t="s">
        <v>608</v>
      </c>
      <c r="F204" s="29" t="s">
        <v>229</v>
      </c>
      <c r="G204" s="33">
        <v>4</v>
      </c>
      <c r="H204" s="34">
        <f t="shared" si="3"/>
        <v>0</v>
      </c>
      <c r="I204" s="9"/>
      <c r="J204" s="34">
        <f>IFERROR(IF(VLOOKUP(D:D,'테스트(1회)'!C:G,5, 0)="X",1,0),0)</f>
        <v>0</v>
      </c>
      <c r="K204" s="34">
        <f>IFERROR(IF(VLOOKUP(D:D,'테스트(2회)'!C:G,5, 0)="X",1,0),0)</f>
        <v>0</v>
      </c>
      <c r="L204" s="34">
        <f>IFERROR(IF(VLOOKUP(D:D,'테스트(3회)'!C:G,5, 0)="X",1,0),0)</f>
        <v>0</v>
      </c>
      <c r="M204" s="34">
        <f>IFERROR(IF(VLOOKUP(D:D,'테스트(4회)'!C:G,5, 0)="X",1,0),0)</f>
        <v>0</v>
      </c>
      <c r="N204" s="34">
        <f>IFERROR(IF(VLOOKUP(D:D,'테스트(5회)'!C:G,5, 0)="X",1,0),0)</f>
        <v>0</v>
      </c>
      <c r="O204" s="10"/>
    </row>
    <row r="205" spans="2:16" ht="114" x14ac:dyDescent="0.3">
      <c r="B205" s="17">
        <v>202</v>
      </c>
      <c r="C205" s="34" t="s">
        <v>737</v>
      </c>
      <c r="D205" s="27" t="s">
        <v>230</v>
      </c>
      <c r="E205" s="27" t="s">
        <v>608</v>
      </c>
      <c r="F205" s="29" t="s">
        <v>1086</v>
      </c>
      <c r="G205" s="33">
        <v>3</v>
      </c>
      <c r="H205" s="34">
        <f t="shared" si="3"/>
        <v>0</v>
      </c>
      <c r="I205" s="9"/>
      <c r="J205" s="34">
        <f>IFERROR(IF(VLOOKUP(D:D,'테스트(1회)'!C:G,5, 0)="X",1,0),0)</f>
        <v>0</v>
      </c>
      <c r="K205" s="34">
        <f>IFERROR(IF(VLOOKUP(D:D,'테스트(2회)'!C:G,5, 0)="X",1,0),0)</f>
        <v>0</v>
      </c>
      <c r="L205" s="34">
        <f>IFERROR(IF(VLOOKUP(D:D,'테스트(3회)'!C:G,5, 0)="X",1,0),0)</f>
        <v>0</v>
      </c>
      <c r="M205" s="34">
        <f>IFERROR(IF(VLOOKUP(D:D,'테스트(4회)'!C:G,5, 0)="X",1,0),0)</f>
        <v>0</v>
      </c>
      <c r="N205" s="34">
        <f>IFERROR(IF(VLOOKUP(D:D,'테스트(5회)'!C:G,5, 0)="X",1,0),0)</f>
        <v>0</v>
      </c>
      <c r="O205" s="10"/>
    </row>
    <row r="206" spans="2:16" ht="85.5" x14ac:dyDescent="0.3">
      <c r="B206" s="17">
        <v>203</v>
      </c>
      <c r="C206" s="34" t="s">
        <v>737</v>
      </c>
      <c r="D206" s="27" t="s">
        <v>231</v>
      </c>
      <c r="E206" s="27" t="s">
        <v>608</v>
      </c>
      <c r="F206" s="32" t="s">
        <v>232</v>
      </c>
      <c r="G206" s="33">
        <v>2</v>
      </c>
      <c r="H206" s="34">
        <f t="shared" si="3"/>
        <v>0</v>
      </c>
      <c r="I206" s="9"/>
      <c r="J206" s="34">
        <f>IFERROR(IF(VLOOKUP(D:D,'테스트(1회)'!C:G,5, 0)="X",1,0),0)</f>
        <v>0</v>
      </c>
      <c r="K206" s="34">
        <f>IFERROR(IF(VLOOKUP(D:D,'테스트(2회)'!C:G,5, 0)="X",1,0),0)</f>
        <v>0</v>
      </c>
      <c r="L206" s="34">
        <f>IFERROR(IF(VLOOKUP(D:D,'테스트(3회)'!C:G,5, 0)="X",1,0),0)</f>
        <v>0</v>
      </c>
      <c r="M206" s="34">
        <f>IFERROR(IF(VLOOKUP(D:D,'테스트(4회)'!C:G,5, 0)="X",1,0),0)</f>
        <v>0</v>
      </c>
      <c r="N206" s="34">
        <f>IFERROR(IF(VLOOKUP(D:D,'테스트(5회)'!C:G,5, 0)="X",1,0),0)</f>
        <v>0</v>
      </c>
      <c r="O206" s="10" t="s">
        <v>774</v>
      </c>
    </row>
    <row r="207" spans="2:16" ht="128.25" x14ac:dyDescent="0.3">
      <c r="B207" s="17">
        <v>204</v>
      </c>
      <c r="C207" s="34" t="s">
        <v>737</v>
      </c>
      <c r="D207" s="27" t="s">
        <v>233</v>
      </c>
      <c r="E207" s="27" t="s">
        <v>608</v>
      </c>
      <c r="F207" s="29" t="s">
        <v>234</v>
      </c>
      <c r="G207" s="33">
        <v>5</v>
      </c>
      <c r="H207" s="34">
        <f t="shared" si="3"/>
        <v>0</v>
      </c>
      <c r="I207" s="9"/>
      <c r="J207" s="34">
        <f>IFERROR(IF(VLOOKUP(D:D,'테스트(1회)'!C:G,5, 0)="X",1,0),0)</f>
        <v>0</v>
      </c>
      <c r="K207" s="34">
        <f>IFERROR(IF(VLOOKUP(D:D,'테스트(2회)'!C:G,5, 0)="X",1,0),0)</f>
        <v>0</v>
      </c>
      <c r="L207" s="34">
        <f>IFERROR(IF(VLOOKUP(D:D,'테스트(3회)'!C:G,5, 0)="X",1,0),0)</f>
        <v>0</v>
      </c>
      <c r="M207" s="34">
        <f>IFERROR(IF(VLOOKUP(D:D,'테스트(4회)'!C:G,5, 0)="X",1,0),0)</f>
        <v>0</v>
      </c>
      <c r="N207" s="34">
        <f>IFERROR(IF(VLOOKUP(D:D,'테스트(5회)'!C:G,5, 0)="X",1,0),0)</f>
        <v>0</v>
      </c>
      <c r="O207" s="10"/>
    </row>
    <row r="208" spans="2:16" ht="85.5" x14ac:dyDescent="0.3">
      <c r="B208" s="17">
        <v>205</v>
      </c>
      <c r="C208" s="34" t="s">
        <v>737</v>
      </c>
      <c r="D208" s="27" t="s">
        <v>235</v>
      </c>
      <c r="E208" s="27" t="s">
        <v>608</v>
      </c>
      <c r="F208" s="29" t="s">
        <v>236</v>
      </c>
      <c r="G208" s="33">
        <v>1</v>
      </c>
      <c r="H208" s="34">
        <f t="shared" si="3"/>
        <v>0</v>
      </c>
      <c r="I208" s="9"/>
      <c r="J208" s="34">
        <f>IFERROR(IF(VLOOKUP(D:D,'테스트(1회)'!C:G,5, 0)="X",1,0),0)</f>
        <v>0</v>
      </c>
      <c r="K208" s="34">
        <f>IFERROR(IF(VLOOKUP(D:D,'테스트(2회)'!C:G,5, 0)="X",1,0),0)</f>
        <v>0</v>
      </c>
      <c r="L208" s="34">
        <f>IFERROR(IF(VLOOKUP(D:D,'테스트(3회)'!C:G,5, 0)="X",1,0),0)</f>
        <v>0</v>
      </c>
      <c r="M208" s="34">
        <f>IFERROR(IF(VLOOKUP(D:D,'테스트(4회)'!C:G,5, 0)="X",1,0),0)</f>
        <v>0</v>
      </c>
      <c r="N208" s="34">
        <f>IFERROR(IF(VLOOKUP(D:D,'테스트(5회)'!C:G,5, 0)="X",1,0),0)</f>
        <v>0</v>
      </c>
      <c r="O208" s="10"/>
    </row>
    <row r="209" spans="2:16" ht="114" x14ac:dyDescent="0.3">
      <c r="B209" s="17">
        <v>206</v>
      </c>
      <c r="C209" s="34" t="s">
        <v>737</v>
      </c>
      <c r="D209" s="27" t="s">
        <v>237</v>
      </c>
      <c r="E209" s="27" t="s">
        <v>608</v>
      </c>
      <c r="F209" s="29" t="s">
        <v>611</v>
      </c>
      <c r="G209" s="33">
        <v>3</v>
      </c>
      <c r="H209" s="34">
        <f t="shared" si="3"/>
        <v>1</v>
      </c>
      <c r="I209" s="9"/>
      <c r="J209" s="34">
        <f>IFERROR(IF(VLOOKUP(D:D,'테스트(1회)'!C:G,5, 0)="X",1,0),0)</f>
        <v>1</v>
      </c>
      <c r="K209" s="34">
        <f>IFERROR(IF(VLOOKUP(D:D,'테스트(2회)'!C:G,5, 0)="X",1,0),0)</f>
        <v>0</v>
      </c>
      <c r="L209" s="34">
        <f>IFERROR(IF(VLOOKUP(D:D,'테스트(3회)'!C:G,5, 0)="X",1,0),0)</f>
        <v>0</v>
      </c>
      <c r="M209" s="34">
        <f>IFERROR(IF(VLOOKUP(D:D,'테스트(4회)'!C:G,5, 0)="X",1,0),0)</f>
        <v>0</v>
      </c>
      <c r="N209" s="34">
        <f>IFERROR(IF(VLOOKUP(D:D,'테스트(5회)'!C:G,5, 0)="X",1,0),0)</f>
        <v>0</v>
      </c>
      <c r="O209" s="10"/>
    </row>
    <row r="210" spans="2:16" ht="114" x14ac:dyDescent="0.3">
      <c r="B210" s="17">
        <v>207</v>
      </c>
      <c r="C210" s="34" t="s">
        <v>737</v>
      </c>
      <c r="D210" s="27" t="s">
        <v>238</v>
      </c>
      <c r="E210" s="27" t="s">
        <v>608</v>
      </c>
      <c r="F210" s="29" t="s">
        <v>1087</v>
      </c>
      <c r="G210" s="33">
        <v>1</v>
      </c>
      <c r="H210" s="34">
        <f t="shared" si="3"/>
        <v>0</v>
      </c>
      <c r="I210" s="9"/>
      <c r="J210" s="34">
        <f>IFERROR(IF(VLOOKUP(D:D,'테스트(1회)'!C:G,5, 0)="X",1,0),0)</f>
        <v>0</v>
      </c>
      <c r="K210" s="34">
        <f>IFERROR(IF(VLOOKUP(D:D,'테스트(2회)'!C:G,5, 0)="X",1,0),0)</f>
        <v>0</v>
      </c>
      <c r="L210" s="34">
        <f>IFERROR(IF(VLOOKUP(D:D,'테스트(3회)'!C:G,5, 0)="X",1,0),0)</f>
        <v>0</v>
      </c>
      <c r="M210" s="34">
        <f>IFERROR(IF(VLOOKUP(D:D,'테스트(4회)'!C:G,5, 0)="X",1,0),0)</f>
        <v>0</v>
      </c>
      <c r="N210" s="34">
        <f>IFERROR(IF(VLOOKUP(D:D,'테스트(5회)'!C:G,5, 0)="X",1,0),0)</f>
        <v>0</v>
      </c>
      <c r="O210" s="10"/>
    </row>
    <row r="211" spans="2:16" ht="99.75" x14ac:dyDescent="0.3">
      <c r="B211" s="17">
        <v>208</v>
      </c>
      <c r="C211" s="34" t="s">
        <v>737</v>
      </c>
      <c r="D211" s="27" t="s">
        <v>239</v>
      </c>
      <c r="E211" s="27" t="s">
        <v>608</v>
      </c>
      <c r="F211" s="29" t="s">
        <v>240</v>
      </c>
      <c r="G211" s="33">
        <v>3</v>
      </c>
      <c r="H211" s="34">
        <f t="shared" si="3"/>
        <v>0</v>
      </c>
      <c r="I211" s="9"/>
      <c r="J211" s="34">
        <f>IFERROR(IF(VLOOKUP(D:D,'테스트(1회)'!C:G,5, 0)="X",1,0),0)</f>
        <v>0</v>
      </c>
      <c r="K211" s="34">
        <f>IFERROR(IF(VLOOKUP(D:D,'테스트(2회)'!C:G,5, 0)="X",1,0),0)</f>
        <v>0</v>
      </c>
      <c r="L211" s="34">
        <f>IFERROR(IF(VLOOKUP(D:D,'테스트(3회)'!C:G,5, 0)="X",1,0),0)</f>
        <v>0</v>
      </c>
      <c r="M211" s="34">
        <f>IFERROR(IF(VLOOKUP(D:D,'테스트(4회)'!C:G,5, 0)="X",1,0),0)</f>
        <v>0</v>
      </c>
      <c r="N211" s="34">
        <f>IFERROR(IF(VLOOKUP(D:D,'테스트(5회)'!C:G,5, 0)="X",1,0),0)</f>
        <v>0</v>
      </c>
      <c r="O211" s="10"/>
    </row>
    <row r="212" spans="2:16" ht="85.5" x14ac:dyDescent="0.3">
      <c r="B212" s="17">
        <v>209</v>
      </c>
      <c r="C212" s="34" t="s">
        <v>737</v>
      </c>
      <c r="D212" s="27" t="s">
        <v>241</v>
      </c>
      <c r="E212" s="27" t="s">
        <v>608</v>
      </c>
      <c r="F212" s="29" t="s">
        <v>242</v>
      </c>
      <c r="G212" s="33">
        <v>3</v>
      </c>
      <c r="H212" s="34">
        <f t="shared" si="3"/>
        <v>0</v>
      </c>
      <c r="I212" s="9"/>
      <c r="J212" s="34">
        <f>IFERROR(IF(VLOOKUP(D:D,'테스트(1회)'!C:G,5, 0)="X",1,0),0)</f>
        <v>0</v>
      </c>
      <c r="K212" s="34">
        <f>IFERROR(IF(VLOOKUP(D:D,'테스트(2회)'!C:G,5, 0)="X",1,0),0)</f>
        <v>0</v>
      </c>
      <c r="L212" s="34">
        <f>IFERROR(IF(VLOOKUP(D:D,'테스트(3회)'!C:G,5, 0)="X",1,0),0)</f>
        <v>0</v>
      </c>
      <c r="M212" s="34">
        <f>IFERROR(IF(VLOOKUP(D:D,'테스트(4회)'!C:G,5, 0)="X",1,0),0)</f>
        <v>0</v>
      </c>
      <c r="N212" s="34">
        <f>IFERROR(IF(VLOOKUP(D:D,'테스트(5회)'!C:G,5, 0)="X",1,0),0)</f>
        <v>0</v>
      </c>
      <c r="O212" s="10"/>
    </row>
    <row r="213" spans="2:16" ht="99.75" x14ac:dyDescent="0.3">
      <c r="B213" s="17">
        <v>210</v>
      </c>
      <c r="C213" s="34" t="s">
        <v>737</v>
      </c>
      <c r="D213" s="27" t="s">
        <v>243</v>
      </c>
      <c r="E213" s="27" t="s">
        <v>608</v>
      </c>
      <c r="F213" s="29" t="s">
        <v>244</v>
      </c>
      <c r="G213" s="33">
        <v>5</v>
      </c>
      <c r="H213" s="34">
        <f t="shared" si="3"/>
        <v>0</v>
      </c>
      <c r="I213" s="9"/>
      <c r="J213" s="34">
        <f>IFERROR(IF(VLOOKUP(D:D,'테스트(1회)'!C:G,5, 0)="X",1,0),0)</f>
        <v>0</v>
      </c>
      <c r="K213" s="34">
        <f>IFERROR(IF(VLOOKUP(D:D,'테스트(2회)'!C:G,5, 0)="X",1,0),0)</f>
        <v>0</v>
      </c>
      <c r="L213" s="34">
        <f>IFERROR(IF(VLOOKUP(D:D,'테스트(3회)'!C:G,5, 0)="X",1,0),0)</f>
        <v>0</v>
      </c>
      <c r="M213" s="34">
        <f>IFERROR(IF(VLOOKUP(D:D,'테스트(4회)'!C:G,5, 0)="X",1,0),0)</f>
        <v>0</v>
      </c>
      <c r="N213" s="34">
        <f>IFERROR(IF(VLOOKUP(D:D,'테스트(5회)'!C:G,5, 0)="X",1,0),0)</f>
        <v>0</v>
      </c>
      <c r="O213" s="10"/>
    </row>
    <row r="214" spans="2:16" ht="99.75" x14ac:dyDescent="0.3">
      <c r="B214" s="17">
        <v>211</v>
      </c>
      <c r="C214" s="34" t="s">
        <v>737</v>
      </c>
      <c r="D214" s="27" t="s">
        <v>245</v>
      </c>
      <c r="E214" s="27" t="s">
        <v>608</v>
      </c>
      <c r="F214" s="29" t="s">
        <v>246</v>
      </c>
      <c r="G214" s="33">
        <v>5</v>
      </c>
      <c r="H214" s="34">
        <f t="shared" si="3"/>
        <v>0</v>
      </c>
      <c r="I214" s="9"/>
      <c r="J214" s="34">
        <f>IFERROR(IF(VLOOKUP(D:D,'테스트(1회)'!C:G,5, 0)="X",1,0),0)</f>
        <v>0</v>
      </c>
      <c r="K214" s="34">
        <f>IFERROR(IF(VLOOKUP(D:D,'테스트(2회)'!C:G,5, 0)="X",1,0),0)</f>
        <v>0</v>
      </c>
      <c r="L214" s="34">
        <f>IFERROR(IF(VLOOKUP(D:D,'테스트(3회)'!C:G,5, 0)="X",1,0),0)</f>
        <v>0</v>
      </c>
      <c r="M214" s="34">
        <f>IFERROR(IF(VLOOKUP(D:D,'테스트(4회)'!C:G,5, 0)="X",1,0),0)</f>
        <v>0</v>
      </c>
      <c r="N214" s="34">
        <f>IFERROR(IF(VLOOKUP(D:D,'테스트(5회)'!C:G,5, 0)="X",1,0),0)</f>
        <v>0</v>
      </c>
      <c r="O214" s="10"/>
    </row>
    <row r="215" spans="2:16" ht="114" x14ac:dyDescent="0.3">
      <c r="B215" s="17">
        <v>212</v>
      </c>
      <c r="C215" s="34" t="s">
        <v>737</v>
      </c>
      <c r="D215" s="27" t="s">
        <v>247</v>
      </c>
      <c r="E215" s="27" t="s">
        <v>608</v>
      </c>
      <c r="F215" s="29" t="s">
        <v>248</v>
      </c>
      <c r="G215" s="33">
        <v>3</v>
      </c>
      <c r="H215" s="34">
        <f t="shared" si="3"/>
        <v>0</v>
      </c>
      <c r="I215" s="9"/>
      <c r="J215" s="34">
        <f>IFERROR(IF(VLOOKUP(D:D,'테스트(1회)'!C:G,5, 0)="X",1,0),0)</f>
        <v>0</v>
      </c>
      <c r="K215" s="34">
        <f>IFERROR(IF(VLOOKUP(D:D,'테스트(2회)'!C:G,5, 0)="X",1,0),0)</f>
        <v>0</v>
      </c>
      <c r="L215" s="34">
        <f>IFERROR(IF(VLOOKUP(D:D,'테스트(3회)'!C:G,5, 0)="X",1,0),0)</f>
        <v>0</v>
      </c>
      <c r="M215" s="34">
        <f>IFERROR(IF(VLOOKUP(D:D,'테스트(4회)'!C:G,5, 0)="X",1,0),0)</f>
        <v>0</v>
      </c>
      <c r="N215" s="34">
        <f>IFERROR(IF(VLOOKUP(D:D,'테스트(5회)'!C:G,5, 0)="X",1,0),0)</f>
        <v>0</v>
      </c>
      <c r="O215" s="10"/>
    </row>
    <row r="216" spans="2:16" ht="114" x14ac:dyDescent="0.3">
      <c r="B216" s="17">
        <v>213</v>
      </c>
      <c r="C216" s="34" t="s">
        <v>737</v>
      </c>
      <c r="D216" s="27" t="s">
        <v>249</v>
      </c>
      <c r="E216" s="27" t="s">
        <v>608</v>
      </c>
      <c r="F216" s="29" t="s">
        <v>250</v>
      </c>
      <c r="G216" s="33">
        <v>2</v>
      </c>
      <c r="H216" s="34">
        <f t="shared" si="3"/>
        <v>1</v>
      </c>
      <c r="I216" s="9"/>
      <c r="J216" s="34">
        <f>IFERROR(IF(VLOOKUP(D:D,'테스트(1회)'!C:G,5, 0)="X",1,0),0)</f>
        <v>1</v>
      </c>
      <c r="K216" s="34">
        <f>IFERROR(IF(VLOOKUP(D:D,'테스트(2회)'!C:G,5, 0)="X",1,0),0)</f>
        <v>0</v>
      </c>
      <c r="L216" s="34">
        <f>IFERROR(IF(VLOOKUP(D:D,'테스트(3회)'!C:G,5, 0)="X",1,0),0)</f>
        <v>0</v>
      </c>
      <c r="M216" s="34">
        <f>IFERROR(IF(VLOOKUP(D:D,'테스트(4회)'!C:G,5, 0)="X",1,0),0)</f>
        <v>0</v>
      </c>
      <c r="N216" s="34">
        <f>IFERROR(IF(VLOOKUP(D:D,'테스트(5회)'!C:G,5, 0)="X",1,0),0)</f>
        <v>0</v>
      </c>
      <c r="O216" s="10"/>
    </row>
    <row r="217" spans="2:16" ht="142.5" x14ac:dyDescent="0.3">
      <c r="B217" s="17">
        <v>214</v>
      </c>
      <c r="C217" s="34" t="s">
        <v>737</v>
      </c>
      <c r="D217" s="27" t="s">
        <v>251</v>
      </c>
      <c r="E217" s="27" t="s">
        <v>608</v>
      </c>
      <c r="F217" s="29" t="s">
        <v>790</v>
      </c>
      <c r="G217" s="33">
        <v>4</v>
      </c>
      <c r="H217" s="34">
        <f t="shared" si="3"/>
        <v>0</v>
      </c>
      <c r="I217" s="9"/>
      <c r="J217" s="34">
        <f>IFERROR(IF(VLOOKUP(D:D,'테스트(1회)'!C:G,5, 0)="X",1,0),0)</f>
        <v>0</v>
      </c>
      <c r="K217" s="34">
        <f>IFERROR(IF(VLOOKUP(D:D,'테스트(2회)'!C:G,5, 0)="X",1,0),0)</f>
        <v>0</v>
      </c>
      <c r="L217" s="34">
        <f>IFERROR(IF(VLOOKUP(D:D,'테스트(3회)'!C:G,5, 0)="X",1,0),0)</f>
        <v>0</v>
      </c>
      <c r="M217" s="34">
        <f>IFERROR(IF(VLOOKUP(D:D,'테스트(4회)'!C:G,5, 0)="X",1,0),0)</f>
        <v>0</v>
      </c>
      <c r="N217" s="34">
        <f>IFERROR(IF(VLOOKUP(D:D,'테스트(5회)'!C:G,5, 0)="X",1,0),0)</f>
        <v>0</v>
      </c>
      <c r="O217" s="10" t="s">
        <v>789</v>
      </c>
      <c r="P217" s="12" t="s">
        <v>788</v>
      </c>
    </row>
    <row r="218" spans="2:16" ht="128.25" x14ac:dyDescent="0.3">
      <c r="B218" s="17">
        <v>215</v>
      </c>
      <c r="C218" s="34" t="s">
        <v>737</v>
      </c>
      <c r="D218" s="27" t="s">
        <v>252</v>
      </c>
      <c r="E218" s="27" t="s">
        <v>608</v>
      </c>
      <c r="F218" s="29" t="s">
        <v>623</v>
      </c>
      <c r="G218" s="33">
        <v>3</v>
      </c>
      <c r="H218" s="34">
        <f t="shared" si="3"/>
        <v>0</v>
      </c>
      <c r="I218" s="9"/>
      <c r="J218" s="34">
        <f>IFERROR(IF(VLOOKUP(D:D,'테스트(1회)'!C:G,5, 0)="X",1,0),0)</f>
        <v>0</v>
      </c>
      <c r="K218" s="34">
        <f>IFERROR(IF(VLOOKUP(D:D,'테스트(2회)'!C:G,5, 0)="X",1,0),0)</f>
        <v>0</v>
      </c>
      <c r="L218" s="34">
        <f>IFERROR(IF(VLOOKUP(D:D,'테스트(3회)'!C:G,5, 0)="X",1,0),0)</f>
        <v>0</v>
      </c>
      <c r="M218" s="34">
        <f>IFERROR(IF(VLOOKUP(D:D,'테스트(4회)'!C:G,5, 0)="X",1,0),0)</f>
        <v>0</v>
      </c>
      <c r="N218" s="34">
        <f>IFERROR(IF(VLOOKUP(D:D,'테스트(5회)'!C:G,5, 0)="X",1,0),0)</f>
        <v>0</v>
      </c>
      <c r="O218" s="10"/>
    </row>
    <row r="219" spans="2:16" ht="114" x14ac:dyDescent="0.3">
      <c r="B219" s="17">
        <v>216</v>
      </c>
      <c r="C219" s="34" t="s">
        <v>738</v>
      </c>
      <c r="D219" s="27" t="s">
        <v>253</v>
      </c>
      <c r="E219" s="27" t="s">
        <v>608</v>
      </c>
      <c r="F219" s="29" t="s">
        <v>1088</v>
      </c>
      <c r="G219" s="33">
        <v>3</v>
      </c>
      <c r="H219" s="34">
        <f t="shared" si="3"/>
        <v>0</v>
      </c>
      <c r="I219" s="9"/>
      <c r="J219" s="34">
        <f>IFERROR(IF(VLOOKUP(D:D,'테스트(1회)'!C:G,5, 0)="X",1,0),0)</f>
        <v>0</v>
      </c>
      <c r="K219" s="34">
        <f>IFERROR(IF(VLOOKUP(D:D,'테스트(2회)'!C:G,5, 0)="X",1,0),0)</f>
        <v>0</v>
      </c>
      <c r="L219" s="34">
        <f>IFERROR(IF(VLOOKUP(D:D,'테스트(3회)'!C:G,5, 0)="X",1,0),0)</f>
        <v>0</v>
      </c>
      <c r="M219" s="34">
        <f>IFERROR(IF(VLOOKUP(D:D,'테스트(4회)'!C:G,5, 0)="X",1,0),0)</f>
        <v>0</v>
      </c>
      <c r="N219" s="34">
        <f>IFERROR(IF(VLOOKUP(D:D,'테스트(5회)'!C:G,5, 0)="X",1,0),0)</f>
        <v>0</v>
      </c>
      <c r="O219" s="10"/>
    </row>
    <row r="220" spans="2:16" ht="85.5" x14ac:dyDescent="0.3">
      <c r="B220" s="17">
        <v>217</v>
      </c>
      <c r="C220" s="34" t="s">
        <v>738</v>
      </c>
      <c r="D220" s="27" t="s">
        <v>254</v>
      </c>
      <c r="E220" s="27" t="s">
        <v>608</v>
      </c>
      <c r="F220" s="29" t="s">
        <v>622</v>
      </c>
      <c r="G220" s="33">
        <v>1</v>
      </c>
      <c r="H220" s="34">
        <f t="shared" si="3"/>
        <v>0</v>
      </c>
      <c r="I220" s="9"/>
      <c r="J220" s="34">
        <f>IFERROR(IF(VLOOKUP(D:D,'테스트(1회)'!C:G,5, 0)="X",1,0),0)</f>
        <v>0</v>
      </c>
      <c r="K220" s="34">
        <f>IFERROR(IF(VLOOKUP(D:D,'테스트(2회)'!C:G,5, 0)="X",1,0),0)</f>
        <v>0</v>
      </c>
      <c r="L220" s="34">
        <f>IFERROR(IF(VLOOKUP(D:D,'테스트(3회)'!C:G,5, 0)="X",1,0),0)</f>
        <v>0</v>
      </c>
      <c r="M220" s="34">
        <f>IFERROR(IF(VLOOKUP(D:D,'테스트(4회)'!C:G,5, 0)="X",1,0),0)</f>
        <v>0</v>
      </c>
      <c r="N220" s="34">
        <f>IFERROR(IF(VLOOKUP(D:D,'테스트(5회)'!C:G,5, 0)="X",1,0),0)</f>
        <v>0</v>
      </c>
      <c r="O220" s="10"/>
    </row>
    <row r="221" spans="2:16" ht="99.75" x14ac:dyDescent="0.3">
      <c r="B221" s="17">
        <v>218</v>
      </c>
      <c r="C221" s="34" t="s">
        <v>738</v>
      </c>
      <c r="D221" s="27" t="s">
        <v>255</v>
      </c>
      <c r="E221" s="27" t="s">
        <v>608</v>
      </c>
      <c r="F221" s="29" t="s">
        <v>256</v>
      </c>
      <c r="G221" s="33">
        <v>5</v>
      </c>
      <c r="H221" s="34">
        <f t="shared" si="3"/>
        <v>0</v>
      </c>
      <c r="I221" s="9"/>
      <c r="J221" s="34">
        <f>IFERROR(IF(VLOOKUP(D:D,'테스트(1회)'!C:G,5, 0)="X",1,0),0)</f>
        <v>0</v>
      </c>
      <c r="K221" s="34">
        <f>IFERROR(IF(VLOOKUP(D:D,'테스트(2회)'!C:G,5, 0)="X",1,0),0)</f>
        <v>0</v>
      </c>
      <c r="L221" s="34">
        <f>IFERROR(IF(VLOOKUP(D:D,'테스트(3회)'!C:G,5, 0)="X",1,0),0)</f>
        <v>0</v>
      </c>
      <c r="M221" s="34">
        <f>IFERROR(IF(VLOOKUP(D:D,'테스트(4회)'!C:G,5, 0)="X",1,0),0)</f>
        <v>0</v>
      </c>
      <c r="N221" s="34">
        <f>IFERROR(IF(VLOOKUP(D:D,'테스트(5회)'!C:G,5, 0)="X",1,0),0)</f>
        <v>0</v>
      </c>
      <c r="O221" s="10"/>
    </row>
    <row r="222" spans="2:16" ht="128.25" x14ac:dyDescent="0.3">
      <c r="B222" s="17">
        <v>219</v>
      </c>
      <c r="C222" s="34" t="s">
        <v>738</v>
      </c>
      <c r="D222" s="27" t="s">
        <v>257</v>
      </c>
      <c r="E222" s="27" t="s">
        <v>608</v>
      </c>
      <c r="F222" s="29" t="s">
        <v>1089</v>
      </c>
      <c r="G222" s="33">
        <v>3</v>
      </c>
      <c r="H222" s="34">
        <f t="shared" si="3"/>
        <v>0</v>
      </c>
      <c r="I222" s="9"/>
      <c r="J222" s="34">
        <f>IFERROR(IF(VLOOKUP(D:D,'테스트(1회)'!C:G,5, 0)="X",1,0),0)</f>
        <v>0</v>
      </c>
      <c r="K222" s="34">
        <f>IFERROR(IF(VLOOKUP(D:D,'테스트(2회)'!C:G,5, 0)="X",1,0),0)</f>
        <v>0</v>
      </c>
      <c r="L222" s="34">
        <f>IFERROR(IF(VLOOKUP(D:D,'테스트(3회)'!C:G,5, 0)="X",1,0),0)</f>
        <v>0</v>
      </c>
      <c r="M222" s="34">
        <f>IFERROR(IF(VLOOKUP(D:D,'테스트(4회)'!C:G,5, 0)="X",1,0),0)</f>
        <v>0</v>
      </c>
      <c r="N222" s="34">
        <f>IFERROR(IF(VLOOKUP(D:D,'테스트(5회)'!C:G,5, 0)="X",1,0),0)</f>
        <v>0</v>
      </c>
      <c r="O222" s="10"/>
    </row>
    <row r="223" spans="2:16" ht="114" x14ac:dyDescent="0.3">
      <c r="B223" s="17">
        <v>220</v>
      </c>
      <c r="C223" s="34" t="s">
        <v>738</v>
      </c>
      <c r="D223" s="27" t="s">
        <v>258</v>
      </c>
      <c r="E223" s="27" t="s">
        <v>608</v>
      </c>
      <c r="F223" s="29" t="s">
        <v>259</v>
      </c>
      <c r="G223" s="33">
        <v>3</v>
      </c>
      <c r="H223" s="34">
        <f t="shared" si="3"/>
        <v>1</v>
      </c>
      <c r="I223" s="9"/>
      <c r="J223" s="34">
        <f>IFERROR(IF(VLOOKUP(D:D,'테스트(1회)'!C:G,5, 0)="X",1,0),0)</f>
        <v>1</v>
      </c>
      <c r="K223" s="34">
        <f>IFERROR(IF(VLOOKUP(D:D,'테스트(2회)'!C:G,5, 0)="X",1,0),0)</f>
        <v>0</v>
      </c>
      <c r="L223" s="34">
        <f>IFERROR(IF(VLOOKUP(D:D,'테스트(3회)'!C:G,5, 0)="X",1,0),0)</f>
        <v>0</v>
      </c>
      <c r="M223" s="34">
        <f>IFERROR(IF(VLOOKUP(D:D,'테스트(4회)'!C:G,5, 0)="X",1,0),0)</f>
        <v>0</v>
      </c>
      <c r="N223" s="34">
        <f>IFERROR(IF(VLOOKUP(D:D,'테스트(5회)'!C:G,5, 0)="X",1,0),0)</f>
        <v>0</v>
      </c>
      <c r="O223" s="10"/>
    </row>
    <row r="224" spans="2:16" ht="114" x14ac:dyDescent="0.3">
      <c r="B224" s="17">
        <v>221</v>
      </c>
      <c r="C224" s="34" t="s">
        <v>738</v>
      </c>
      <c r="D224" s="27" t="s">
        <v>260</v>
      </c>
      <c r="E224" s="27" t="s">
        <v>608</v>
      </c>
      <c r="F224" s="29" t="s">
        <v>1090</v>
      </c>
      <c r="G224" s="33">
        <v>3</v>
      </c>
      <c r="H224" s="34">
        <f t="shared" si="3"/>
        <v>0</v>
      </c>
      <c r="I224" s="9"/>
      <c r="J224" s="34">
        <f>IFERROR(IF(VLOOKUP(D:D,'테스트(1회)'!C:G,5, 0)="X",1,0),0)</f>
        <v>0</v>
      </c>
      <c r="K224" s="34">
        <f>IFERROR(IF(VLOOKUP(D:D,'테스트(2회)'!C:G,5, 0)="X",1,0),0)</f>
        <v>0</v>
      </c>
      <c r="L224" s="34">
        <f>IFERROR(IF(VLOOKUP(D:D,'테스트(3회)'!C:G,5, 0)="X",1,0),0)</f>
        <v>0</v>
      </c>
      <c r="M224" s="34">
        <f>IFERROR(IF(VLOOKUP(D:D,'테스트(4회)'!C:G,5, 0)="X",1,0),0)</f>
        <v>0</v>
      </c>
      <c r="N224" s="34">
        <f>IFERROR(IF(VLOOKUP(D:D,'테스트(5회)'!C:G,5, 0)="X",1,0),0)</f>
        <v>0</v>
      </c>
      <c r="O224" s="10"/>
    </row>
    <row r="225" spans="2:16" ht="142.5" x14ac:dyDescent="0.3">
      <c r="B225" s="17">
        <v>222</v>
      </c>
      <c r="C225" s="34" t="s">
        <v>738</v>
      </c>
      <c r="D225" s="27" t="s">
        <v>261</v>
      </c>
      <c r="E225" s="27" t="s">
        <v>608</v>
      </c>
      <c r="F225" s="29" t="s">
        <v>618</v>
      </c>
      <c r="G225" s="33">
        <v>5</v>
      </c>
      <c r="H225" s="34">
        <f t="shared" si="3"/>
        <v>0</v>
      </c>
      <c r="I225" s="9"/>
      <c r="J225" s="34">
        <f>IFERROR(IF(VLOOKUP(D:D,'테스트(1회)'!C:G,5, 0)="X",1,0),0)</f>
        <v>0</v>
      </c>
      <c r="K225" s="34">
        <f>IFERROR(IF(VLOOKUP(D:D,'테스트(2회)'!C:G,5, 0)="X",1,0),0)</f>
        <v>0</v>
      </c>
      <c r="L225" s="34">
        <f>IFERROR(IF(VLOOKUP(D:D,'테스트(3회)'!C:G,5, 0)="X",1,0),0)</f>
        <v>0</v>
      </c>
      <c r="M225" s="34">
        <f>IFERROR(IF(VLOOKUP(D:D,'테스트(4회)'!C:G,5, 0)="X",1,0),0)</f>
        <v>0</v>
      </c>
      <c r="N225" s="34">
        <f>IFERROR(IF(VLOOKUP(D:D,'테스트(5회)'!C:G,5, 0)="X",1,0),0)</f>
        <v>0</v>
      </c>
      <c r="O225" s="10"/>
    </row>
    <row r="226" spans="2:16" ht="85.5" x14ac:dyDescent="0.3">
      <c r="B226" s="17">
        <v>223</v>
      </c>
      <c r="C226" s="34" t="s">
        <v>738</v>
      </c>
      <c r="D226" s="27" t="s">
        <v>262</v>
      </c>
      <c r="E226" s="27" t="s">
        <v>608</v>
      </c>
      <c r="F226" s="29" t="s">
        <v>263</v>
      </c>
      <c r="G226" s="33">
        <v>4</v>
      </c>
      <c r="H226" s="34">
        <f t="shared" si="3"/>
        <v>0</v>
      </c>
      <c r="I226" s="9"/>
      <c r="J226" s="34">
        <f>IFERROR(IF(VLOOKUP(D:D,'테스트(1회)'!C:G,5, 0)="X",1,0),0)</f>
        <v>0</v>
      </c>
      <c r="K226" s="34">
        <f>IFERROR(IF(VLOOKUP(D:D,'테스트(2회)'!C:G,5, 0)="X",1,0),0)</f>
        <v>0</v>
      </c>
      <c r="L226" s="34">
        <f>IFERROR(IF(VLOOKUP(D:D,'테스트(3회)'!C:G,5, 0)="X",1,0),0)</f>
        <v>0</v>
      </c>
      <c r="M226" s="34">
        <f>IFERROR(IF(VLOOKUP(D:D,'테스트(4회)'!C:G,5, 0)="X",1,0),0)</f>
        <v>0</v>
      </c>
      <c r="N226" s="34">
        <f>IFERROR(IF(VLOOKUP(D:D,'테스트(5회)'!C:G,5, 0)="X",1,0),0)</f>
        <v>0</v>
      </c>
      <c r="O226" s="10"/>
    </row>
    <row r="227" spans="2:16" ht="85.5" x14ac:dyDescent="0.3">
      <c r="B227" s="17">
        <v>224</v>
      </c>
      <c r="C227" s="34" t="s">
        <v>738</v>
      </c>
      <c r="D227" s="27" t="s">
        <v>264</v>
      </c>
      <c r="E227" s="27" t="s">
        <v>608</v>
      </c>
      <c r="F227" s="29" t="s">
        <v>793</v>
      </c>
      <c r="G227" s="33">
        <v>1</v>
      </c>
      <c r="H227" s="34">
        <f t="shared" si="3"/>
        <v>0</v>
      </c>
      <c r="I227" s="9"/>
      <c r="J227" s="34">
        <f>IFERROR(IF(VLOOKUP(D:D,'테스트(1회)'!C:G,5, 0)="X",1,0),0)</f>
        <v>0</v>
      </c>
      <c r="K227" s="34">
        <f>IFERROR(IF(VLOOKUP(D:D,'테스트(2회)'!C:G,5, 0)="X",1,0),0)</f>
        <v>0</v>
      </c>
      <c r="L227" s="34">
        <f>IFERROR(IF(VLOOKUP(D:D,'테스트(3회)'!C:G,5, 0)="X",1,0),0)</f>
        <v>0</v>
      </c>
      <c r="M227" s="34">
        <f>IFERROR(IF(VLOOKUP(D:D,'테스트(4회)'!C:G,5, 0)="X",1,0),0)</f>
        <v>0</v>
      </c>
      <c r="N227" s="34">
        <f>IFERROR(IF(VLOOKUP(D:D,'테스트(5회)'!C:G,5, 0)="X",1,0),0)</f>
        <v>0</v>
      </c>
      <c r="O227" s="10" t="s">
        <v>792</v>
      </c>
      <c r="P227" s="12" t="s">
        <v>791</v>
      </c>
    </row>
    <row r="228" spans="2:16" ht="99.75" x14ac:dyDescent="0.3">
      <c r="B228" s="17">
        <v>225</v>
      </c>
      <c r="C228" s="34" t="s">
        <v>738</v>
      </c>
      <c r="D228" s="27" t="s">
        <v>265</v>
      </c>
      <c r="E228" s="27" t="s">
        <v>608</v>
      </c>
      <c r="F228" s="29" t="s">
        <v>614</v>
      </c>
      <c r="G228" s="33">
        <v>2</v>
      </c>
      <c r="H228" s="34">
        <f t="shared" si="3"/>
        <v>0</v>
      </c>
      <c r="I228" s="9"/>
      <c r="J228" s="34">
        <f>IFERROR(IF(VLOOKUP(D:D,'테스트(1회)'!C:G,5, 0)="X",1,0),0)</f>
        <v>0</v>
      </c>
      <c r="K228" s="34">
        <f>IFERROR(IF(VLOOKUP(D:D,'테스트(2회)'!C:G,5, 0)="X",1,0),0)</f>
        <v>0</v>
      </c>
      <c r="L228" s="34">
        <f>IFERROR(IF(VLOOKUP(D:D,'테스트(3회)'!C:G,5, 0)="X",1,0),0)</f>
        <v>0</v>
      </c>
      <c r="M228" s="34">
        <f>IFERROR(IF(VLOOKUP(D:D,'테스트(4회)'!C:G,5, 0)="X",1,0),0)</f>
        <v>0</v>
      </c>
      <c r="N228" s="34">
        <f>IFERROR(IF(VLOOKUP(D:D,'테스트(5회)'!C:G,5, 0)="X",1,0),0)</f>
        <v>0</v>
      </c>
      <c r="O228" s="10"/>
    </row>
    <row r="229" spans="2:16" ht="85.5" x14ac:dyDescent="0.3">
      <c r="B229" s="17">
        <v>226</v>
      </c>
      <c r="C229" s="34" t="s">
        <v>738</v>
      </c>
      <c r="D229" s="27" t="s">
        <v>266</v>
      </c>
      <c r="E229" s="27" t="s">
        <v>608</v>
      </c>
      <c r="F229" s="29" t="s">
        <v>267</v>
      </c>
      <c r="G229" s="33">
        <v>4</v>
      </c>
      <c r="H229" s="34">
        <f t="shared" si="3"/>
        <v>0</v>
      </c>
      <c r="I229" s="9"/>
      <c r="J229" s="34">
        <f>IFERROR(IF(VLOOKUP(D:D,'테스트(1회)'!C:G,5, 0)="X",1,0),0)</f>
        <v>0</v>
      </c>
      <c r="K229" s="34">
        <f>IFERROR(IF(VLOOKUP(D:D,'테스트(2회)'!C:G,5, 0)="X",1,0),0)</f>
        <v>0</v>
      </c>
      <c r="L229" s="34">
        <f>IFERROR(IF(VLOOKUP(D:D,'테스트(3회)'!C:G,5, 0)="X",1,0),0)</f>
        <v>0</v>
      </c>
      <c r="M229" s="34">
        <f>IFERROR(IF(VLOOKUP(D:D,'테스트(4회)'!C:G,5, 0)="X",1,0),0)</f>
        <v>0</v>
      </c>
      <c r="N229" s="34">
        <f>IFERROR(IF(VLOOKUP(D:D,'테스트(5회)'!C:G,5, 0)="X",1,0),0)</f>
        <v>0</v>
      </c>
      <c r="O229" s="10"/>
    </row>
    <row r="230" spans="2:16" ht="85.5" x14ac:dyDescent="0.3">
      <c r="B230" s="17">
        <v>227</v>
      </c>
      <c r="C230" s="34" t="s">
        <v>738</v>
      </c>
      <c r="D230" s="27" t="s">
        <v>268</v>
      </c>
      <c r="E230" s="27" t="s">
        <v>608</v>
      </c>
      <c r="F230" s="29" t="s">
        <v>794</v>
      </c>
      <c r="G230" s="33">
        <v>4</v>
      </c>
      <c r="H230" s="34">
        <f t="shared" si="3"/>
        <v>0</v>
      </c>
      <c r="I230" s="9"/>
      <c r="J230" s="34">
        <f>IFERROR(IF(VLOOKUP(D:D,'테스트(1회)'!C:G,5, 0)="X",1,0),0)</f>
        <v>0</v>
      </c>
      <c r="K230" s="34">
        <f>IFERROR(IF(VLOOKUP(D:D,'테스트(2회)'!C:G,5, 0)="X",1,0),0)</f>
        <v>0</v>
      </c>
      <c r="L230" s="34">
        <f>IFERROR(IF(VLOOKUP(D:D,'테스트(3회)'!C:G,5, 0)="X",1,0),0)</f>
        <v>0</v>
      </c>
      <c r="M230" s="34">
        <f>IFERROR(IF(VLOOKUP(D:D,'테스트(4회)'!C:G,5, 0)="X",1,0),0)</f>
        <v>0</v>
      </c>
      <c r="N230" s="34">
        <f>IFERROR(IF(VLOOKUP(D:D,'테스트(5회)'!C:G,5, 0)="X",1,0),0)</f>
        <v>0</v>
      </c>
      <c r="O230" s="10"/>
    </row>
    <row r="231" spans="2:16" ht="99.75" x14ac:dyDescent="0.3">
      <c r="B231" s="17">
        <v>228</v>
      </c>
      <c r="C231" s="34" t="s">
        <v>738</v>
      </c>
      <c r="D231" s="27" t="s">
        <v>269</v>
      </c>
      <c r="E231" s="27" t="s">
        <v>608</v>
      </c>
      <c r="F231" s="29" t="s">
        <v>796</v>
      </c>
      <c r="G231" s="33">
        <v>3</v>
      </c>
      <c r="H231" s="34">
        <f t="shared" si="3"/>
        <v>0</v>
      </c>
      <c r="I231" s="9"/>
      <c r="J231" s="34">
        <f>IFERROR(IF(VLOOKUP(D:D,'테스트(1회)'!C:G,5, 0)="X",1,0),0)</f>
        <v>0</v>
      </c>
      <c r="K231" s="34">
        <f>IFERROR(IF(VLOOKUP(D:D,'테스트(2회)'!C:G,5, 0)="X",1,0),0)</f>
        <v>0</v>
      </c>
      <c r="L231" s="34">
        <f>IFERROR(IF(VLOOKUP(D:D,'테스트(3회)'!C:G,5, 0)="X",1,0),0)</f>
        <v>0</v>
      </c>
      <c r="M231" s="34">
        <f>IFERROR(IF(VLOOKUP(D:D,'테스트(4회)'!C:G,5, 0)="X",1,0),0)</f>
        <v>0</v>
      </c>
      <c r="N231" s="34">
        <f>IFERROR(IF(VLOOKUP(D:D,'테스트(5회)'!C:G,5, 0)="X",1,0),0)</f>
        <v>0</v>
      </c>
      <c r="O231" s="10" t="s">
        <v>795</v>
      </c>
      <c r="P231" s="12" t="s">
        <v>270</v>
      </c>
    </row>
    <row r="232" spans="2:16" ht="99.75" x14ac:dyDescent="0.3">
      <c r="B232" s="17">
        <v>229</v>
      </c>
      <c r="C232" s="34" t="s">
        <v>738</v>
      </c>
      <c r="D232" s="27" t="s">
        <v>271</v>
      </c>
      <c r="E232" s="27" t="s">
        <v>608</v>
      </c>
      <c r="F232" s="29" t="s">
        <v>1102</v>
      </c>
      <c r="G232" s="33">
        <v>3</v>
      </c>
      <c r="H232" s="34">
        <f t="shared" si="3"/>
        <v>1</v>
      </c>
      <c r="I232" s="9"/>
      <c r="J232" s="34">
        <f>IFERROR(IF(VLOOKUP(D:D,'테스트(1회)'!C:G,5, 0)="X",1,0),0)</f>
        <v>1</v>
      </c>
      <c r="K232" s="34">
        <f>IFERROR(IF(VLOOKUP(D:D,'테스트(2회)'!C:G,5, 0)="X",1,0),0)</f>
        <v>0</v>
      </c>
      <c r="L232" s="34">
        <f>IFERROR(IF(VLOOKUP(D:D,'테스트(3회)'!C:G,5, 0)="X",1,0),0)</f>
        <v>0</v>
      </c>
      <c r="M232" s="34">
        <f>IFERROR(IF(VLOOKUP(D:D,'테스트(4회)'!C:G,5, 0)="X",1,0),0)</f>
        <v>0</v>
      </c>
      <c r="N232" s="34">
        <f>IFERROR(IF(VLOOKUP(D:D,'테스트(5회)'!C:G,5, 0)="X",1,0),0)</f>
        <v>0</v>
      </c>
      <c r="O232" s="10"/>
    </row>
    <row r="233" spans="2:16" ht="85.5" x14ac:dyDescent="0.3">
      <c r="B233" s="17">
        <v>230</v>
      </c>
      <c r="C233" s="34" t="s">
        <v>738</v>
      </c>
      <c r="D233" s="27" t="s">
        <v>272</v>
      </c>
      <c r="E233" s="27" t="s">
        <v>608</v>
      </c>
      <c r="F233" s="29" t="s">
        <v>273</v>
      </c>
      <c r="G233" s="33">
        <v>5</v>
      </c>
      <c r="H233" s="34">
        <f t="shared" si="3"/>
        <v>0</v>
      </c>
      <c r="I233" s="9"/>
      <c r="J233" s="34">
        <f>IFERROR(IF(VLOOKUP(D:D,'테스트(1회)'!C:G,5, 0)="X",1,0),0)</f>
        <v>0</v>
      </c>
      <c r="K233" s="34">
        <f>IFERROR(IF(VLOOKUP(D:D,'테스트(2회)'!C:G,5, 0)="X",1,0),0)</f>
        <v>0</v>
      </c>
      <c r="L233" s="34">
        <f>IFERROR(IF(VLOOKUP(D:D,'테스트(3회)'!C:G,5, 0)="X",1,0),0)</f>
        <v>0</v>
      </c>
      <c r="M233" s="34">
        <f>IFERROR(IF(VLOOKUP(D:D,'테스트(4회)'!C:G,5, 0)="X",1,0),0)</f>
        <v>0</v>
      </c>
      <c r="N233" s="34">
        <f>IFERROR(IF(VLOOKUP(D:D,'테스트(5회)'!C:G,5, 0)="X",1,0),0)</f>
        <v>0</v>
      </c>
      <c r="O233" s="10"/>
    </row>
    <row r="234" spans="2:16" ht="128.25" x14ac:dyDescent="0.3">
      <c r="B234" s="17">
        <v>231</v>
      </c>
      <c r="C234" s="34" t="s">
        <v>738</v>
      </c>
      <c r="D234" s="27" t="s">
        <v>274</v>
      </c>
      <c r="E234" s="27" t="s">
        <v>608</v>
      </c>
      <c r="F234" s="29" t="s">
        <v>798</v>
      </c>
      <c r="G234" s="33">
        <v>4</v>
      </c>
      <c r="H234" s="34">
        <f t="shared" si="3"/>
        <v>0</v>
      </c>
      <c r="I234" s="9"/>
      <c r="J234" s="34">
        <f>IFERROR(IF(VLOOKUP(D:D,'테스트(1회)'!C:G,5, 0)="X",1,0),0)</f>
        <v>0</v>
      </c>
      <c r="K234" s="34">
        <f>IFERROR(IF(VLOOKUP(D:D,'테스트(2회)'!C:G,5, 0)="X",1,0),0)</f>
        <v>0</v>
      </c>
      <c r="L234" s="34">
        <f>IFERROR(IF(VLOOKUP(D:D,'테스트(3회)'!C:G,5, 0)="X",1,0),0)</f>
        <v>0</v>
      </c>
      <c r="M234" s="34">
        <f>IFERROR(IF(VLOOKUP(D:D,'테스트(4회)'!C:G,5, 0)="X",1,0),0)</f>
        <v>0</v>
      </c>
      <c r="N234" s="34">
        <f>IFERROR(IF(VLOOKUP(D:D,'테스트(5회)'!C:G,5, 0)="X",1,0),0)</f>
        <v>0</v>
      </c>
      <c r="O234" s="10" t="s">
        <v>797</v>
      </c>
      <c r="P234" s="12" t="s">
        <v>275</v>
      </c>
    </row>
    <row r="235" spans="2:16" ht="128.25" x14ac:dyDescent="0.3">
      <c r="B235" s="17">
        <v>232</v>
      </c>
      <c r="C235" s="34" t="s">
        <v>738</v>
      </c>
      <c r="D235" s="27" t="s">
        <v>276</v>
      </c>
      <c r="E235" s="27" t="s">
        <v>608</v>
      </c>
      <c r="F235" s="29" t="s">
        <v>1098</v>
      </c>
      <c r="G235" s="33">
        <v>2</v>
      </c>
      <c r="H235" s="34">
        <f t="shared" si="3"/>
        <v>1</v>
      </c>
      <c r="I235" s="9"/>
      <c r="J235" s="34">
        <f>IFERROR(IF(VLOOKUP(D:D,'테스트(1회)'!C:G,5, 0)="X",1,0),0)</f>
        <v>1</v>
      </c>
      <c r="K235" s="34">
        <f>IFERROR(IF(VLOOKUP(D:D,'테스트(2회)'!C:G,5, 0)="X",1,0),0)</f>
        <v>0</v>
      </c>
      <c r="L235" s="34">
        <f>IFERROR(IF(VLOOKUP(D:D,'테스트(3회)'!C:G,5, 0)="X",1,0),0)</f>
        <v>0</v>
      </c>
      <c r="M235" s="34">
        <f>IFERROR(IF(VLOOKUP(D:D,'테스트(4회)'!C:G,5, 0)="X",1,0),0)</f>
        <v>0</v>
      </c>
      <c r="N235" s="34">
        <f>IFERROR(IF(VLOOKUP(D:D,'테스트(5회)'!C:G,5, 0)="X",1,0),0)</f>
        <v>0</v>
      </c>
      <c r="O235" s="10" t="s">
        <v>801</v>
      </c>
      <c r="P235" s="12" t="s">
        <v>722</v>
      </c>
    </row>
    <row r="236" spans="2:16" ht="85.5" x14ac:dyDescent="0.3">
      <c r="B236" s="17">
        <v>233</v>
      </c>
      <c r="C236" s="34" t="s">
        <v>738</v>
      </c>
      <c r="D236" s="27" t="s">
        <v>277</v>
      </c>
      <c r="E236" s="27" t="s">
        <v>608</v>
      </c>
      <c r="F236" s="29" t="s">
        <v>799</v>
      </c>
      <c r="G236" s="33">
        <v>5</v>
      </c>
      <c r="H236" s="34">
        <f t="shared" si="3"/>
        <v>0</v>
      </c>
      <c r="I236" s="9"/>
      <c r="J236" s="34">
        <f>IFERROR(IF(VLOOKUP(D:D,'테스트(1회)'!C:G,5, 0)="X",1,0),0)</f>
        <v>0</v>
      </c>
      <c r="K236" s="34">
        <f>IFERROR(IF(VLOOKUP(D:D,'테스트(2회)'!C:G,5, 0)="X",1,0),0)</f>
        <v>0</v>
      </c>
      <c r="L236" s="34">
        <f>IFERROR(IF(VLOOKUP(D:D,'테스트(3회)'!C:G,5, 0)="X",1,0),0)</f>
        <v>0</v>
      </c>
      <c r="M236" s="34">
        <f>IFERROR(IF(VLOOKUP(D:D,'테스트(4회)'!C:G,5, 0)="X",1,0),0)</f>
        <v>0</v>
      </c>
      <c r="N236" s="34">
        <f>IFERROR(IF(VLOOKUP(D:D,'테스트(5회)'!C:G,5, 0)="X",1,0),0)</f>
        <v>0</v>
      </c>
      <c r="O236" s="10"/>
    </row>
    <row r="237" spans="2:16" ht="85.5" x14ac:dyDescent="0.3">
      <c r="B237" s="17">
        <v>234</v>
      </c>
      <c r="C237" s="34" t="s">
        <v>738</v>
      </c>
      <c r="D237" s="27" t="s">
        <v>278</v>
      </c>
      <c r="E237" s="27" t="s">
        <v>608</v>
      </c>
      <c r="F237" s="29" t="s">
        <v>802</v>
      </c>
      <c r="G237" s="33">
        <v>2</v>
      </c>
      <c r="H237" s="34">
        <f t="shared" si="3"/>
        <v>0</v>
      </c>
      <c r="I237" s="9"/>
      <c r="J237" s="34">
        <f>IFERROR(IF(VLOOKUP(D:D,'테스트(1회)'!C:G,5, 0)="X",1,0),0)</f>
        <v>0</v>
      </c>
      <c r="K237" s="34">
        <f>IFERROR(IF(VLOOKUP(D:D,'테스트(2회)'!C:G,5, 0)="X",1,0),0)</f>
        <v>0</v>
      </c>
      <c r="L237" s="34">
        <f>IFERROR(IF(VLOOKUP(D:D,'테스트(3회)'!C:G,5, 0)="X",1,0),0)</f>
        <v>0</v>
      </c>
      <c r="M237" s="34">
        <f>IFERROR(IF(VLOOKUP(D:D,'테스트(4회)'!C:G,5, 0)="X",1,0),0)</f>
        <v>0</v>
      </c>
      <c r="N237" s="34">
        <f>IFERROR(IF(VLOOKUP(D:D,'테스트(5회)'!C:G,5, 0)="X",1,0),0)</f>
        <v>0</v>
      </c>
      <c r="O237" s="10" t="s">
        <v>800</v>
      </c>
      <c r="P237" s="12" t="s">
        <v>279</v>
      </c>
    </row>
    <row r="238" spans="2:16" ht="142.5" x14ac:dyDescent="0.3">
      <c r="B238" s="17">
        <v>235</v>
      </c>
      <c r="C238" s="34" t="s">
        <v>738</v>
      </c>
      <c r="D238" s="27" t="s">
        <v>280</v>
      </c>
      <c r="E238" s="27" t="s">
        <v>608</v>
      </c>
      <c r="F238" s="29" t="s">
        <v>803</v>
      </c>
      <c r="G238" s="33">
        <v>5</v>
      </c>
      <c r="H238" s="34">
        <f t="shared" si="3"/>
        <v>1</v>
      </c>
      <c r="I238" s="9"/>
      <c r="J238" s="34">
        <f>IFERROR(IF(VLOOKUP(D:D,'테스트(1회)'!C:G,5, 0)="X",1,0),0)</f>
        <v>1</v>
      </c>
      <c r="K238" s="34">
        <f>IFERROR(IF(VLOOKUP(D:D,'테스트(2회)'!C:G,5, 0)="X",1,0),0)</f>
        <v>0</v>
      </c>
      <c r="L238" s="34">
        <f>IFERROR(IF(VLOOKUP(D:D,'테스트(3회)'!C:G,5, 0)="X",1,0),0)</f>
        <v>0</v>
      </c>
      <c r="M238" s="34">
        <f>IFERROR(IF(VLOOKUP(D:D,'테스트(4회)'!C:G,5, 0)="X",1,0),0)</f>
        <v>0</v>
      </c>
      <c r="N238" s="34">
        <f>IFERROR(IF(VLOOKUP(D:D,'테스트(5회)'!C:G,5, 0)="X",1,0),0)</f>
        <v>0</v>
      </c>
      <c r="O238" s="10"/>
    </row>
    <row r="239" spans="2:16" ht="128.25" x14ac:dyDescent="0.3">
      <c r="B239" s="17">
        <v>236</v>
      </c>
      <c r="C239" s="34" t="s">
        <v>738</v>
      </c>
      <c r="D239" s="27" t="s">
        <v>281</v>
      </c>
      <c r="E239" s="27" t="s">
        <v>608</v>
      </c>
      <c r="F239" s="29" t="s">
        <v>806</v>
      </c>
      <c r="G239" s="33">
        <v>1</v>
      </c>
      <c r="H239" s="34">
        <f t="shared" si="3"/>
        <v>1</v>
      </c>
      <c r="I239" s="9"/>
      <c r="J239" s="34">
        <f>IFERROR(IF(VLOOKUP(D:D,'테스트(1회)'!C:G,5, 0)="X",1,0),0)</f>
        <v>1</v>
      </c>
      <c r="K239" s="34">
        <f>IFERROR(IF(VLOOKUP(D:D,'테스트(2회)'!C:G,5, 0)="X",1,0),0)</f>
        <v>0</v>
      </c>
      <c r="L239" s="34">
        <f>IFERROR(IF(VLOOKUP(D:D,'테스트(3회)'!C:G,5, 0)="X",1,0),0)</f>
        <v>0</v>
      </c>
      <c r="M239" s="34">
        <f>IFERROR(IF(VLOOKUP(D:D,'테스트(4회)'!C:G,5, 0)="X",1,0),0)</f>
        <v>0</v>
      </c>
      <c r="N239" s="34">
        <f>IFERROR(IF(VLOOKUP(D:D,'테스트(5회)'!C:G,5, 0)="X",1,0),0)</f>
        <v>0</v>
      </c>
      <c r="O239" s="10" t="s">
        <v>805</v>
      </c>
      <c r="P239" s="12" t="s">
        <v>804</v>
      </c>
    </row>
    <row r="240" spans="2:16" ht="114" x14ac:dyDescent="0.3">
      <c r="B240" s="17">
        <v>237</v>
      </c>
      <c r="C240" s="34" t="s">
        <v>738</v>
      </c>
      <c r="D240" s="27" t="s">
        <v>282</v>
      </c>
      <c r="E240" s="27" t="s">
        <v>608</v>
      </c>
      <c r="F240" s="29" t="s">
        <v>807</v>
      </c>
      <c r="G240" s="33">
        <v>4</v>
      </c>
      <c r="H240" s="34">
        <f t="shared" si="3"/>
        <v>0</v>
      </c>
      <c r="I240" s="9"/>
      <c r="J240" s="34">
        <f>IFERROR(IF(VLOOKUP(D:D,'테스트(1회)'!C:G,5, 0)="X",1,0),0)</f>
        <v>0</v>
      </c>
      <c r="K240" s="34">
        <f>IFERROR(IF(VLOOKUP(D:D,'테스트(2회)'!C:G,5, 0)="X",1,0),0)</f>
        <v>0</v>
      </c>
      <c r="L240" s="34">
        <f>IFERROR(IF(VLOOKUP(D:D,'테스트(3회)'!C:G,5, 0)="X",1,0),0)</f>
        <v>0</v>
      </c>
      <c r="M240" s="34">
        <f>IFERROR(IF(VLOOKUP(D:D,'테스트(4회)'!C:G,5, 0)="X",1,0),0)</f>
        <v>0</v>
      </c>
      <c r="N240" s="34">
        <f>IFERROR(IF(VLOOKUP(D:D,'테스트(5회)'!C:G,5, 0)="X",1,0),0)</f>
        <v>0</v>
      </c>
      <c r="O240" s="10" t="s">
        <v>809</v>
      </c>
      <c r="P240" s="12" t="s">
        <v>808</v>
      </c>
    </row>
    <row r="241" spans="2:16" ht="114" x14ac:dyDescent="0.3">
      <c r="B241" s="17">
        <v>238</v>
      </c>
      <c r="C241" s="34" t="s">
        <v>738</v>
      </c>
      <c r="D241" s="27" t="s">
        <v>283</v>
      </c>
      <c r="E241" s="27" t="s">
        <v>608</v>
      </c>
      <c r="F241" s="29" t="s">
        <v>284</v>
      </c>
      <c r="G241" s="33">
        <v>3</v>
      </c>
      <c r="H241" s="34">
        <f t="shared" si="3"/>
        <v>0</v>
      </c>
      <c r="I241" s="9"/>
      <c r="J241" s="34">
        <f>IFERROR(IF(VLOOKUP(D:D,'테스트(1회)'!C:G,5, 0)="X",1,0),0)</f>
        <v>0</v>
      </c>
      <c r="K241" s="34">
        <f>IFERROR(IF(VLOOKUP(D:D,'테스트(2회)'!C:G,5, 0)="X",1,0),0)</f>
        <v>0</v>
      </c>
      <c r="L241" s="34">
        <f>IFERROR(IF(VLOOKUP(D:D,'테스트(3회)'!C:G,5, 0)="X",1,0),0)</f>
        <v>0</v>
      </c>
      <c r="M241" s="34">
        <f>IFERROR(IF(VLOOKUP(D:D,'테스트(4회)'!C:G,5, 0)="X",1,0),0)</f>
        <v>0</v>
      </c>
      <c r="N241" s="34">
        <f>IFERROR(IF(VLOOKUP(D:D,'테스트(5회)'!C:G,5, 0)="X",1,0),0)</f>
        <v>0</v>
      </c>
      <c r="O241" s="10"/>
    </row>
    <row r="242" spans="2:16" ht="156.75" x14ac:dyDescent="0.3">
      <c r="B242" s="17">
        <v>239</v>
      </c>
      <c r="C242" s="34" t="s">
        <v>738</v>
      </c>
      <c r="D242" s="27" t="s">
        <v>285</v>
      </c>
      <c r="E242" s="27" t="s">
        <v>608</v>
      </c>
      <c r="F242" s="29" t="s">
        <v>286</v>
      </c>
      <c r="G242" s="33">
        <v>1</v>
      </c>
      <c r="H242" s="34">
        <f t="shared" si="3"/>
        <v>1</v>
      </c>
      <c r="I242" s="9"/>
      <c r="J242" s="34">
        <f>IFERROR(IF(VLOOKUP(D:D,'테스트(1회)'!C:G,5, 0)="X",1,0),0)</f>
        <v>1</v>
      </c>
      <c r="K242" s="34">
        <f>IFERROR(IF(VLOOKUP(D:D,'테스트(2회)'!C:G,5, 0)="X",1,0),0)</f>
        <v>0</v>
      </c>
      <c r="L242" s="34">
        <f>IFERROR(IF(VLOOKUP(D:D,'테스트(3회)'!C:G,5, 0)="X",1,0),0)</f>
        <v>0</v>
      </c>
      <c r="M242" s="34">
        <f>IFERROR(IF(VLOOKUP(D:D,'테스트(4회)'!C:G,5, 0)="X",1,0),0)</f>
        <v>0</v>
      </c>
      <c r="N242" s="34">
        <f>IFERROR(IF(VLOOKUP(D:D,'테스트(5회)'!C:G,5, 0)="X",1,0),0)</f>
        <v>0</v>
      </c>
      <c r="O242" s="10"/>
    </row>
    <row r="243" spans="2:16" ht="114" x14ac:dyDescent="0.3">
      <c r="B243" s="17">
        <v>240</v>
      </c>
      <c r="C243" s="34" t="s">
        <v>738</v>
      </c>
      <c r="D243" s="27" t="s">
        <v>287</v>
      </c>
      <c r="E243" s="27" t="s">
        <v>608</v>
      </c>
      <c r="F243" s="29" t="s">
        <v>1091</v>
      </c>
      <c r="G243" s="33">
        <v>4</v>
      </c>
      <c r="H243" s="34">
        <f t="shared" si="3"/>
        <v>1</v>
      </c>
      <c r="I243" s="9"/>
      <c r="J243" s="34">
        <f>IFERROR(IF(VLOOKUP(D:D,'테스트(1회)'!C:G,5, 0)="X",1,0),0)</f>
        <v>1</v>
      </c>
      <c r="K243" s="34">
        <f>IFERROR(IF(VLOOKUP(D:D,'테스트(2회)'!C:G,5, 0)="X",1,0),0)</f>
        <v>0</v>
      </c>
      <c r="L243" s="34">
        <f>IFERROR(IF(VLOOKUP(D:D,'테스트(3회)'!C:G,5, 0)="X",1,0),0)</f>
        <v>0</v>
      </c>
      <c r="M243" s="34">
        <f>IFERROR(IF(VLOOKUP(D:D,'테스트(4회)'!C:G,5, 0)="X",1,0),0)</f>
        <v>0</v>
      </c>
      <c r="N243" s="34">
        <f>IFERROR(IF(VLOOKUP(D:D,'테스트(5회)'!C:G,5, 0)="X",1,0),0)</f>
        <v>0</v>
      </c>
      <c r="O243" s="10"/>
    </row>
    <row r="244" spans="2:16" ht="114" x14ac:dyDescent="0.3">
      <c r="B244" s="17">
        <v>241</v>
      </c>
      <c r="C244" s="34" t="s">
        <v>739</v>
      </c>
      <c r="D244" s="27" t="s">
        <v>288</v>
      </c>
      <c r="E244" s="27" t="s">
        <v>608</v>
      </c>
      <c r="F244" s="29" t="s">
        <v>289</v>
      </c>
      <c r="G244" s="33">
        <v>2</v>
      </c>
      <c r="H244" s="34">
        <f t="shared" si="3"/>
        <v>0</v>
      </c>
      <c r="I244" s="9"/>
      <c r="J244" s="34">
        <f>IFERROR(IF(VLOOKUP(D:D,'테스트(1회)'!C:G,5, 0)="X",1,0),0)</f>
        <v>0</v>
      </c>
      <c r="K244" s="34">
        <f>IFERROR(IF(VLOOKUP(D:D,'테스트(2회)'!C:G,5, 0)="X",1,0),0)</f>
        <v>0</v>
      </c>
      <c r="L244" s="34">
        <f>IFERROR(IF(VLOOKUP(D:D,'테스트(3회)'!C:G,5, 0)="X",1,0),0)</f>
        <v>0</v>
      </c>
      <c r="M244" s="34">
        <f>IFERROR(IF(VLOOKUP(D:D,'테스트(4회)'!C:G,5, 0)="X",1,0),0)</f>
        <v>0</v>
      </c>
      <c r="N244" s="34">
        <f>IFERROR(IF(VLOOKUP(D:D,'테스트(5회)'!C:G,5, 0)="X",1,0),0)</f>
        <v>0</v>
      </c>
      <c r="O244" s="10"/>
    </row>
    <row r="245" spans="2:16" ht="128.25" x14ac:dyDescent="0.3">
      <c r="B245" s="17">
        <v>242</v>
      </c>
      <c r="C245" s="34" t="s">
        <v>739</v>
      </c>
      <c r="D245" s="27" t="s">
        <v>290</v>
      </c>
      <c r="E245" s="27" t="s">
        <v>608</v>
      </c>
      <c r="F245" s="29" t="s">
        <v>291</v>
      </c>
      <c r="G245" s="33">
        <v>3</v>
      </c>
      <c r="H245" s="34">
        <f t="shared" si="3"/>
        <v>0</v>
      </c>
      <c r="I245" s="9"/>
      <c r="J245" s="34">
        <f>IFERROR(IF(VLOOKUP(D:D,'테스트(1회)'!C:G,5, 0)="X",1,0),0)</f>
        <v>0</v>
      </c>
      <c r="K245" s="34">
        <f>IFERROR(IF(VLOOKUP(D:D,'테스트(2회)'!C:G,5, 0)="X",1,0),0)</f>
        <v>0</v>
      </c>
      <c r="L245" s="34">
        <f>IFERROR(IF(VLOOKUP(D:D,'테스트(3회)'!C:G,5, 0)="X",1,0),0)</f>
        <v>0</v>
      </c>
      <c r="M245" s="34">
        <f>IFERROR(IF(VLOOKUP(D:D,'테스트(4회)'!C:G,5, 0)="X",1,0),0)</f>
        <v>0</v>
      </c>
      <c r="N245" s="34">
        <f>IFERROR(IF(VLOOKUP(D:D,'테스트(5회)'!C:G,5, 0)="X",1,0),0)</f>
        <v>0</v>
      </c>
      <c r="O245" s="10"/>
    </row>
    <row r="246" spans="2:16" ht="114" x14ac:dyDescent="0.3">
      <c r="B246" s="17">
        <v>243</v>
      </c>
      <c r="C246" s="34" t="s">
        <v>739</v>
      </c>
      <c r="D246" s="27" t="s">
        <v>292</v>
      </c>
      <c r="E246" s="27" t="s">
        <v>608</v>
      </c>
      <c r="F246" s="29" t="s">
        <v>293</v>
      </c>
      <c r="G246" s="33">
        <v>5</v>
      </c>
      <c r="H246" s="34">
        <f t="shared" si="3"/>
        <v>0</v>
      </c>
      <c r="I246" s="9"/>
      <c r="J246" s="34">
        <f>IFERROR(IF(VLOOKUP(D:D,'테스트(1회)'!C:G,5, 0)="X",1,0),0)</f>
        <v>0</v>
      </c>
      <c r="K246" s="34">
        <f>IFERROR(IF(VLOOKUP(D:D,'테스트(2회)'!C:G,5, 0)="X",1,0),0)</f>
        <v>0</v>
      </c>
      <c r="L246" s="34">
        <f>IFERROR(IF(VLOOKUP(D:D,'테스트(3회)'!C:G,5, 0)="X",1,0),0)</f>
        <v>0</v>
      </c>
      <c r="M246" s="34">
        <f>IFERROR(IF(VLOOKUP(D:D,'테스트(4회)'!C:G,5, 0)="X",1,0),0)</f>
        <v>0</v>
      </c>
      <c r="N246" s="34">
        <f>IFERROR(IF(VLOOKUP(D:D,'테스트(5회)'!C:G,5, 0)="X",1,0),0)</f>
        <v>0</v>
      </c>
      <c r="O246" s="10"/>
    </row>
    <row r="247" spans="2:16" ht="171" x14ac:dyDescent="0.3">
      <c r="B247" s="17">
        <v>244</v>
      </c>
      <c r="C247" s="34" t="s">
        <v>739</v>
      </c>
      <c r="D247" s="27" t="s">
        <v>294</v>
      </c>
      <c r="E247" s="27" t="s">
        <v>608</v>
      </c>
      <c r="F247" s="29" t="s">
        <v>295</v>
      </c>
      <c r="G247" s="33">
        <v>3</v>
      </c>
      <c r="H247" s="34">
        <f t="shared" si="3"/>
        <v>0</v>
      </c>
      <c r="I247" s="9"/>
      <c r="J247" s="34">
        <f>IFERROR(IF(VLOOKUP(D:D,'테스트(1회)'!C:G,5, 0)="X",1,0),0)</f>
        <v>0</v>
      </c>
      <c r="K247" s="34">
        <f>IFERROR(IF(VLOOKUP(D:D,'테스트(2회)'!C:G,5, 0)="X",1,0),0)</f>
        <v>0</v>
      </c>
      <c r="L247" s="34">
        <f>IFERROR(IF(VLOOKUP(D:D,'테스트(3회)'!C:G,5, 0)="X",1,0),0)</f>
        <v>0</v>
      </c>
      <c r="M247" s="34">
        <f>IFERROR(IF(VLOOKUP(D:D,'테스트(4회)'!C:G,5, 0)="X",1,0),0)</f>
        <v>0</v>
      </c>
      <c r="N247" s="34">
        <f>IFERROR(IF(VLOOKUP(D:D,'테스트(5회)'!C:G,5, 0)="X",1,0),0)</f>
        <v>0</v>
      </c>
      <c r="O247" s="10"/>
    </row>
    <row r="248" spans="2:16" ht="85.5" x14ac:dyDescent="0.3">
      <c r="B248" s="17">
        <v>245</v>
      </c>
      <c r="C248" s="34" t="s">
        <v>739</v>
      </c>
      <c r="D248" s="27" t="s">
        <v>296</v>
      </c>
      <c r="E248" s="27" t="s">
        <v>608</v>
      </c>
      <c r="F248" s="29" t="s">
        <v>297</v>
      </c>
      <c r="G248" s="33">
        <v>2</v>
      </c>
      <c r="H248" s="34">
        <f t="shared" si="3"/>
        <v>0</v>
      </c>
      <c r="I248" s="9"/>
      <c r="J248" s="34">
        <f>IFERROR(IF(VLOOKUP(D:D,'테스트(1회)'!C:G,5, 0)="X",1,0),0)</f>
        <v>0</v>
      </c>
      <c r="K248" s="34">
        <f>IFERROR(IF(VLOOKUP(D:D,'테스트(2회)'!C:G,5, 0)="X",1,0),0)</f>
        <v>0</v>
      </c>
      <c r="L248" s="34">
        <f>IFERROR(IF(VLOOKUP(D:D,'테스트(3회)'!C:G,5, 0)="X",1,0),0)</f>
        <v>0</v>
      </c>
      <c r="M248" s="34">
        <f>IFERROR(IF(VLOOKUP(D:D,'테스트(4회)'!C:G,5, 0)="X",1,0),0)</f>
        <v>0</v>
      </c>
      <c r="N248" s="34">
        <f>IFERROR(IF(VLOOKUP(D:D,'테스트(5회)'!C:G,5, 0)="X",1,0),0)</f>
        <v>0</v>
      </c>
      <c r="O248" s="10"/>
    </row>
    <row r="249" spans="2:16" ht="114" x14ac:dyDescent="0.3">
      <c r="B249" s="17">
        <v>246</v>
      </c>
      <c r="C249" s="34" t="s">
        <v>739</v>
      </c>
      <c r="D249" s="27" t="s">
        <v>298</v>
      </c>
      <c r="E249" s="27" t="s">
        <v>608</v>
      </c>
      <c r="F249" s="29" t="s">
        <v>299</v>
      </c>
      <c r="G249" s="33">
        <v>1</v>
      </c>
      <c r="H249" s="34">
        <f t="shared" si="3"/>
        <v>0</v>
      </c>
      <c r="I249" s="9"/>
      <c r="J249" s="34">
        <f>IFERROR(IF(VLOOKUP(D:D,'테스트(1회)'!C:G,5, 0)="X",1,0),0)</f>
        <v>0</v>
      </c>
      <c r="K249" s="34">
        <f>IFERROR(IF(VLOOKUP(D:D,'테스트(2회)'!C:G,5, 0)="X",1,0),0)</f>
        <v>0</v>
      </c>
      <c r="L249" s="34">
        <f>IFERROR(IF(VLOOKUP(D:D,'테스트(3회)'!C:G,5, 0)="X",1,0),0)</f>
        <v>0</v>
      </c>
      <c r="M249" s="34">
        <f>IFERROR(IF(VLOOKUP(D:D,'테스트(4회)'!C:G,5, 0)="X",1,0),0)</f>
        <v>0</v>
      </c>
      <c r="N249" s="34">
        <f>IFERROR(IF(VLOOKUP(D:D,'테스트(5회)'!C:G,5, 0)="X",1,0),0)</f>
        <v>0</v>
      </c>
      <c r="O249" s="10"/>
    </row>
    <row r="250" spans="2:16" ht="128.25" x14ac:dyDescent="0.3">
      <c r="B250" s="17">
        <v>247</v>
      </c>
      <c r="C250" s="34" t="s">
        <v>739</v>
      </c>
      <c r="D250" s="27" t="s">
        <v>300</v>
      </c>
      <c r="E250" s="27" t="s">
        <v>608</v>
      </c>
      <c r="F250" s="29" t="s">
        <v>301</v>
      </c>
      <c r="G250" s="33">
        <v>3</v>
      </c>
      <c r="H250" s="34">
        <f t="shared" si="3"/>
        <v>0</v>
      </c>
      <c r="I250" s="9"/>
      <c r="J250" s="34">
        <f>IFERROR(IF(VLOOKUP(D:D,'테스트(1회)'!C:G,5, 0)="X",1,0),0)</f>
        <v>0</v>
      </c>
      <c r="K250" s="34">
        <f>IFERROR(IF(VLOOKUP(D:D,'테스트(2회)'!C:G,5, 0)="X",1,0),0)</f>
        <v>0</v>
      </c>
      <c r="L250" s="34">
        <f>IFERROR(IF(VLOOKUP(D:D,'테스트(3회)'!C:G,5, 0)="X",1,0),0)</f>
        <v>0</v>
      </c>
      <c r="M250" s="34">
        <f>IFERROR(IF(VLOOKUP(D:D,'테스트(4회)'!C:G,5, 0)="X",1,0),0)</f>
        <v>0</v>
      </c>
      <c r="N250" s="34">
        <f>IFERROR(IF(VLOOKUP(D:D,'테스트(5회)'!C:G,5, 0)="X",1,0),0)</f>
        <v>0</v>
      </c>
      <c r="O250" s="10"/>
    </row>
    <row r="251" spans="2:16" ht="99.75" x14ac:dyDescent="0.3">
      <c r="B251" s="17">
        <v>248</v>
      </c>
      <c r="C251" s="34" t="s">
        <v>739</v>
      </c>
      <c r="D251" s="27" t="s">
        <v>302</v>
      </c>
      <c r="E251" s="27" t="s">
        <v>608</v>
      </c>
      <c r="F251" s="29" t="s">
        <v>1125</v>
      </c>
      <c r="G251" s="33">
        <v>5</v>
      </c>
      <c r="H251" s="34">
        <f t="shared" si="3"/>
        <v>1</v>
      </c>
      <c r="I251" s="9"/>
      <c r="J251" s="34">
        <f>IFERROR(IF(VLOOKUP(D:D,'테스트(1회)'!C:G,5, 0)="X",1,0),0)</f>
        <v>1</v>
      </c>
      <c r="K251" s="34">
        <f>IFERROR(IF(VLOOKUP(D:D,'테스트(2회)'!C:G,5, 0)="X",1,0),0)</f>
        <v>0</v>
      </c>
      <c r="L251" s="34">
        <f>IFERROR(IF(VLOOKUP(D:D,'테스트(3회)'!C:G,5, 0)="X",1,0),0)</f>
        <v>0</v>
      </c>
      <c r="M251" s="34">
        <f>IFERROR(IF(VLOOKUP(D:D,'테스트(4회)'!C:G,5, 0)="X",1,0),0)</f>
        <v>0</v>
      </c>
      <c r="N251" s="34">
        <f>IFERROR(IF(VLOOKUP(D:D,'테스트(5회)'!C:G,5, 0)="X",1,0),0)</f>
        <v>0</v>
      </c>
      <c r="O251" s="10"/>
    </row>
    <row r="252" spans="2:16" ht="85.5" x14ac:dyDescent="0.3">
      <c r="B252" s="17">
        <v>249</v>
      </c>
      <c r="C252" s="34" t="s">
        <v>739</v>
      </c>
      <c r="D252" s="27" t="s">
        <v>303</v>
      </c>
      <c r="E252" s="27" t="s">
        <v>608</v>
      </c>
      <c r="F252" s="29" t="s">
        <v>304</v>
      </c>
      <c r="G252" s="33">
        <v>3</v>
      </c>
      <c r="H252" s="34">
        <f t="shared" si="3"/>
        <v>0</v>
      </c>
      <c r="I252" s="9"/>
      <c r="J252" s="34">
        <f>IFERROR(IF(VLOOKUP(D:D,'테스트(1회)'!C:G,5, 0)="X",1,0),0)</f>
        <v>0</v>
      </c>
      <c r="K252" s="34">
        <f>IFERROR(IF(VLOOKUP(D:D,'테스트(2회)'!C:G,5, 0)="X",1,0),0)</f>
        <v>0</v>
      </c>
      <c r="L252" s="34">
        <f>IFERROR(IF(VLOOKUP(D:D,'테스트(3회)'!C:G,5, 0)="X",1,0),0)</f>
        <v>0</v>
      </c>
      <c r="M252" s="34">
        <f>IFERROR(IF(VLOOKUP(D:D,'테스트(4회)'!C:G,5, 0)="X",1,0),0)</f>
        <v>0</v>
      </c>
      <c r="N252" s="34">
        <f>IFERROR(IF(VLOOKUP(D:D,'테스트(5회)'!C:G,5, 0)="X",1,0),0)</f>
        <v>0</v>
      </c>
      <c r="O252" s="10"/>
    </row>
    <row r="253" spans="2:16" ht="85.5" x14ac:dyDescent="0.3">
      <c r="B253" s="17">
        <v>250</v>
      </c>
      <c r="C253" s="34" t="s">
        <v>739</v>
      </c>
      <c r="D253" s="27" t="s">
        <v>305</v>
      </c>
      <c r="E253" s="27" t="s">
        <v>608</v>
      </c>
      <c r="F253" s="29" t="s">
        <v>306</v>
      </c>
      <c r="G253" s="33">
        <v>4</v>
      </c>
      <c r="H253" s="34">
        <f t="shared" si="3"/>
        <v>1</v>
      </c>
      <c r="I253" s="9"/>
      <c r="J253" s="34">
        <f>IFERROR(IF(VLOOKUP(D:D,'테스트(1회)'!C:G,5, 0)="X",1,0),0)</f>
        <v>1</v>
      </c>
      <c r="K253" s="34">
        <f>IFERROR(IF(VLOOKUP(D:D,'테스트(2회)'!C:G,5, 0)="X",1,0),0)</f>
        <v>0</v>
      </c>
      <c r="L253" s="34">
        <f>IFERROR(IF(VLOOKUP(D:D,'테스트(3회)'!C:G,5, 0)="X",1,0),0)</f>
        <v>0</v>
      </c>
      <c r="M253" s="34">
        <f>IFERROR(IF(VLOOKUP(D:D,'테스트(4회)'!C:G,5, 0)="X",1,0),0)</f>
        <v>0</v>
      </c>
      <c r="N253" s="34">
        <f>IFERROR(IF(VLOOKUP(D:D,'테스트(5회)'!C:G,5, 0)="X",1,0),0)</f>
        <v>0</v>
      </c>
      <c r="O253" s="10"/>
    </row>
    <row r="254" spans="2:16" ht="114" x14ac:dyDescent="0.3">
      <c r="B254" s="17">
        <v>251</v>
      </c>
      <c r="C254" s="34" t="s">
        <v>739</v>
      </c>
      <c r="D254" s="27" t="s">
        <v>307</v>
      </c>
      <c r="E254" s="27" t="s">
        <v>608</v>
      </c>
      <c r="F254" s="29" t="s">
        <v>308</v>
      </c>
      <c r="G254" s="33">
        <v>1</v>
      </c>
      <c r="H254" s="34">
        <f t="shared" si="3"/>
        <v>0</v>
      </c>
      <c r="I254" s="9"/>
      <c r="J254" s="34">
        <f>IFERROR(IF(VLOOKUP(D:D,'테스트(1회)'!C:G,5, 0)="X",1,0),0)</f>
        <v>0</v>
      </c>
      <c r="K254" s="34">
        <f>IFERROR(IF(VLOOKUP(D:D,'테스트(2회)'!C:G,5, 0)="X",1,0),0)</f>
        <v>0</v>
      </c>
      <c r="L254" s="34">
        <f>IFERROR(IF(VLOOKUP(D:D,'테스트(3회)'!C:G,5, 0)="X",1,0),0)</f>
        <v>0</v>
      </c>
      <c r="M254" s="34">
        <f>IFERROR(IF(VLOOKUP(D:D,'테스트(4회)'!C:G,5, 0)="X",1,0),0)</f>
        <v>0</v>
      </c>
      <c r="N254" s="34">
        <f>IFERROR(IF(VLOOKUP(D:D,'테스트(5회)'!C:G,5, 0)="X",1,0),0)</f>
        <v>0</v>
      </c>
      <c r="O254" s="10"/>
    </row>
    <row r="255" spans="2:16" ht="114" x14ac:dyDescent="0.3">
      <c r="B255" s="17">
        <v>252</v>
      </c>
      <c r="C255" s="34" t="s">
        <v>739</v>
      </c>
      <c r="D255" s="27" t="s">
        <v>309</v>
      </c>
      <c r="E255" s="27" t="s">
        <v>608</v>
      </c>
      <c r="F255" s="29" t="s">
        <v>811</v>
      </c>
      <c r="G255" s="33">
        <v>5</v>
      </c>
      <c r="H255" s="34">
        <f t="shared" si="3"/>
        <v>1</v>
      </c>
      <c r="I255" s="9"/>
      <c r="J255" s="34">
        <f>IFERROR(IF(VLOOKUP(D:D,'테스트(1회)'!C:G,5, 0)="X",1,0),0)</f>
        <v>1</v>
      </c>
      <c r="K255" s="34">
        <f>IFERROR(IF(VLOOKUP(D:D,'테스트(2회)'!C:G,5, 0)="X",1,0),0)</f>
        <v>0</v>
      </c>
      <c r="L255" s="34">
        <f>IFERROR(IF(VLOOKUP(D:D,'테스트(3회)'!C:G,5, 0)="X",1,0),0)</f>
        <v>0</v>
      </c>
      <c r="M255" s="34">
        <f>IFERROR(IF(VLOOKUP(D:D,'테스트(4회)'!C:G,5, 0)="X",1,0),0)</f>
        <v>0</v>
      </c>
      <c r="N255" s="34">
        <f>IFERROR(IF(VLOOKUP(D:D,'테스트(5회)'!C:G,5, 0)="X",1,0),0)</f>
        <v>0</v>
      </c>
      <c r="O255" s="10" t="s">
        <v>810</v>
      </c>
      <c r="P255" s="12" t="s">
        <v>310</v>
      </c>
    </row>
    <row r="256" spans="2:16" ht="85.5" x14ac:dyDescent="0.3">
      <c r="B256" s="17">
        <v>253</v>
      </c>
      <c r="C256" s="34" t="s">
        <v>739</v>
      </c>
      <c r="D256" s="27" t="s">
        <v>311</v>
      </c>
      <c r="E256" s="27" t="s">
        <v>608</v>
      </c>
      <c r="F256" s="29" t="s">
        <v>1121</v>
      </c>
      <c r="G256" s="33">
        <v>2</v>
      </c>
      <c r="H256" s="34">
        <f t="shared" si="3"/>
        <v>0</v>
      </c>
      <c r="I256" s="9"/>
      <c r="J256" s="34">
        <f>IFERROR(IF(VLOOKUP(D:D,'테스트(1회)'!C:G,5, 0)="X",1,0),0)</f>
        <v>0</v>
      </c>
      <c r="K256" s="34">
        <f>IFERROR(IF(VLOOKUP(D:D,'테스트(2회)'!C:G,5, 0)="X",1,0),0)</f>
        <v>0</v>
      </c>
      <c r="L256" s="34">
        <f>IFERROR(IF(VLOOKUP(D:D,'테스트(3회)'!C:G,5, 0)="X",1,0),0)</f>
        <v>0</v>
      </c>
      <c r="M256" s="34">
        <f>IFERROR(IF(VLOOKUP(D:D,'테스트(4회)'!C:G,5, 0)="X",1,0),0)</f>
        <v>0</v>
      </c>
      <c r="N256" s="34">
        <f>IFERROR(IF(VLOOKUP(D:D,'테스트(5회)'!C:G,5, 0)="X",1,0),0)</f>
        <v>0</v>
      </c>
      <c r="O256" s="10" t="s">
        <v>1120</v>
      </c>
      <c r="P256" s="12" t="s">
        <v>312</v>
      </c>
    </row>
    <row r="257" spans="2:16" ht="99.75" x14ac:dyDescent="0.3">
      <c r="B257" s="17">
        <v>254</v>
      </c>
      <c r="C257" s="34" t="s">
        <v>739</v>
      </c>
      <c r="D257" s="27" t="s">
        <v>313</v>
      </c>
      <c r="E257" s="27" t="s">
        <v>608</v>
      </c>
      <c r="F257" s="29" t="s">
        <v>813</v>
      </c>
      <c r="G257" s="33">
        <v>1</v>
      </c>
      <c r="H257" s="34">
        <f t="shared" si="3"/>
        <v>1</v>
      </c>
      <c r="I257" s="9"/>
      <c r="J257" s="34">
        <f>IFERROR(IF(VLOOKUP(D:D,'테스트(1회)'!C:G,5, 0)="X",1,0),0)</f>
        <v>1</v>
      </c>
      <c r="K257" s="34">
        <f>IFERROR(IF(VLOOKUP(D:D,'테스트(2회)'!C:G,5, 0)="X",1,0),0)</f>
        <v>0</v>
      </c>
      <c r="L257" s="34">
        <f>IFERROR(IF(VLOOKUP(D:D,'테스트(3회)'!C:G,5, 0)="X",1,0),0)</f>
        <v>0</v>
      </c>
      <c r="M257" s="34">
        <f>IFERROR(IF(VLOOKUP(D:D,'테스트(4회)'!C:G,5, 0)="X",1,0),0)</f>
        <v>0</v>
      </c>
      <c r="N257" s="34">
        <f>IFERROR(IF(VLOOKUP(D:D,'테스트(5회)'!C:G,5, 0)="X",1,0),0)</f>
        <v>0</v>
      </c>
      <c r="O257" s="10" t="s">
        <v>814</v>
      </c>
      <c r="P257" s="12" t="s">
        <v>812</v>
      </c>
    </row>
    <row r="258" spans="2:16" ht="114" x14ac:dyDescent="0.3">
      <c r="B258" s="17">
        <v>255</v>
      </c>
      <c r="C258" s="34" t="s">
        <v>739</v>
      </c>
      <c r="D258" s="27" t="s">
        <v>314</v>
      </c>
      <c r="E258" s="27" t="s">
        <v>608</v>
      </c>
      <c r="F258" s="29" t="s">
        <v>315</v>
      </c>
      <c r="G258" s="33">
        <v>3</v>
      </c>
      <c r="H258" s="34">
        <f t="shared" si="3"/>
        <v>0</v>
      </c>
      <c r="I258" s="9"/>
      <c r="J258" s="34">
        <f>IFERROR(IF(VLOOKUP(D:D,'테스트(1회)'!C:G,5, 0)="X",1,0),0)</f>
        <v>0</v>
      </c>
      <c r="K258" s="34">
        <f>IFERROR(IF(VLOOKUP(D:D,'테스트(2회)'!C:G,5, 0)="X",1,0),0)</f>
        <v>0</v>
      </c>
      <c r="L258" s="34">
        <f>IFERROR(IF(VLOOKUP(D:D,'테스트(3회)'!C:G,5, 0)="X",1,0),0)</f>
        <v>0</v>
      </c>
      <c r="M258" s="34">
        <f>IFERROR(IF(VLOOKUP(D:D,'테스트(4회)'!C:G,5, 0)="X",1,0),0)</f>
        <v>0</v>
      </c>
      <c r="N258" s="34">
        <f>IFERROR(IF(VLOOKUP(D:D,'테스트(5회)'!C:G,5, 0)="X",1,0),0)</f>
        <v>0</v>
      </c>
      <c r="O258" s="10"/>
    </row>
    <row r="259" spans="2:16" ht="142.5" x14ac:dyDescent="0.3">
      <c r="B259" s="17">
        <v>256</v>
      </c>
      <c r="C259" s="34" t="s">
        <v>739</v>
      </c>
      <c r="D259" s="27" t="s">
        <v>316</v>
      </c>
      <c r="E259" s="27" t="s">
        <v>608</v>
      </c>
      <c r="F259" s="29" t="s">
        <v>317</v>
      </c>
      <c r="G259" s="33">
        <v>3</v>
      </c>
      <c r="H259" s="34">
        <f t="shared" si="3"/>
        <v>0</v>
      </c>
      <c r="I259" s="9"/>
      <c r="J259" s="34">
        <f>IFERROR(IF(VLOOKUP(D:D,'테스트(1회)'!C:G,5, 0)="X",1,0),0)</f>
        <v>0</v>
      </c>
      <c r="K259" s="34">
        <f>IFERROR(IF(VLOOKUP(D:D,'테스트(2회)'!C:G,5, 0)="X",1,0),0)</f>
        <v>0</v>
      </c>
      <c r="L259" s="34">
        <f>IFERROR(IF(VLOOKUP(D:D,'테스트(3회)'!C:G,5, 0)="X",1,0),0)</f>
        <v>0</v>
      </c>
      <c r="M259" s="34">
        <f>IFERROR(IF(VLOOKUP(D:D,'테스트(4회)'!C:G,5, 0)="X",1,0),0)</f>
        <v>0</v>
      </c>
      <c r="N259" s="34">
        <f>IFERROR(IF(VLOOKUP(D:D,'테스트(5회)'!C:G,5, 0)="X",1,0),0)</f>
        <v>0</v>
      </c>
      <c r="O259" s="10"/>
    </row>
    <row r="260" spans="2:16" ht="185.25" x14ac:dyDescent="0.3">
      <c r="B260" s="17">
        <v>257</v>
      </c>
      <c r="C260" s="34" t="s">
        <v>739</v>
      </c>
      <c r="D260" s="27" t="s">
        <v>607</v>
      </c>
      <c r="E260" s="27" t="s">
        <v>608</v>
      </c>
      <c r="F260" s="29" t="s">
        <v>1099</v>
      </c>
      <c r="G260" s="33">
        <v>4</v>
      </c>
      <c r="H260" s="34">
        <f t="shared" ref="H260:H323" si="4">SUM(J260:N260)</f>
        <v>1</v>
      </c>
      <c r="I260" s="9"/>
      <c r="J260" s="34">
        <f>IFERROR(IF(VLOOKUP(D:D,'테스트(1회)'!C:G,5, 0)="X",1,0),0)</f>
        <v>1</v>
      </c>
      <c r="K260" s="34">
        <f>IFERROR(IF(VLOOKUP(D:D,'테스트(2회)'!C:G,5, 0)="X",1,0),0)</f>
        <v>0</v>
      </c>
      <c r="L260" s="34">
        <f>IFERROR(IF(VLOOKUP(D:D,'테스트(3회)'!C:G,5, 0)="X",1,0),0)</f>
        <v>0</v>
      </c>
      <c r="M260" s="34">
        <f>IFERROR(IF(VLOOKUP(D:D,'테스트(4회)'!C:G,5, 0)="X",1,0),0)</f>
        <v>0</v>
      </c>
      <c r="N260" s="34">
        <f>IFERROR(IF(VLOOKUP(D:D,'테스트(5회)'!C:G,5, 0)="X",1,0),0)</f>
        <v>0</v>
      </c>
      <c r="O260" s="10"/>
    </row>
    <row r="261" spans="2:16" ht="85.5" x14ac:dyDescent="0.3">
      <c r="B261" s="17">
        <v>258</v>
      </c>
      <c r="C261" s="34" t="s">
        <v>739</v>
      </c>
      <c r="D261" s="27" t="s">
        <v>318</v>
      </c>
      <c r="E261" s="27" t="s">
        <v>608</v>
      </c>
      <c r="F261" s="29" t="s">
        <v>319</v>
      </c>
      <c r="G261" s="33">
        <v>5</v>
      </c>
      <c r="H261" s="34">
        <f t="shared" si="4"/>
        <v>0</v>
      </c>
      <c r="I261" s="9"/>
      <c r="J261" s="34">
        <f>IFERROR(IF(VLOOKUP(D:D,'테스트(1회)'!C:G,5, 0)="X",1,0),0)</f>
        <v>0</v>
      </c>
      <c r="K261" s="34">
        <f>IFERROR(IF(VLOOKUP(D:D,'테스트(2회)'!C:G,5, 0)="X",1,0),0)</f>
        <v>0</v>
      </c>
      <c r="L261" s="34">
        <f>IFERROR(IF(VLOOKUP(D:D,'테스트(3회)'!C:G,5, 0)="X",1,0),0)</f>
        <v>0</v>
      </c>
      <c r="M261" s="34">
        <f>IFERROR(IF(VLOOKUP(D:D,'테스트(4회)'!C:G,5, 0)="X",1,0),0)</f>
        <v>0</v>
      </c>
      <c r="N261" s="34">
        <f>IFERROR(IF(VLOOKUP(D:D,'테스트(5회)'!C:G,5, 0)="X",1,0),0)</f>
        <v>0</v>
      </c>
      <c r="O261" s="10"/>
    </row>
    <row r="262" spans="2:16" ht="114" x14ac:dyDescent="0.3">
      <c r="B262" s="17">
        <v>259</v>
      </c>
      <c r="C262" s="34" t="s">
        <v>739</v>
      </c>
      <c r="D262" s="27" t="s">
        <v>320</v>
      </c>
      <c r="E262" s="27" t="s">
        <v>608</v>
      </c>
      <c r="F262" s="29" t="s">
        <v>839</v>
      </c>
      <c r="G262" s="33">
        <v>1</v>
      </c>
      <c r="H262" s="34">
        <f t="shared" si="4"/>
        <v>1</v>
      </c>
      <c r="I262" s="9"/>
      <c r="J262" s="34">
        <f>IFERROR(IF(VLOOKUP(D:D,'테스트(1회)'!C:G,5, 0)="X",1,0),0)</f>
        <v>1</v>
      </c>
      <c r="K262" s="34">
        <f>IFERROR(IF(VLOOKUP(D:D,'테스트(2회)'!C:G,5, 0)="X",1,0),0)</f>
        <v>0</v>
      </c>
      <c r="L262" s="34">
        <f>IFERROR(IF(VLOOKUP(D:D,'테스트(3회)'!C:G,5, 0)="X",1,0),0)</f>
        <v>0</v>
      </c>
      <c r="M262" s="34">
        <f>IFERROR(IF(VLOOKUP(D:D,'테스트(4회)'!C:G,5, 0)="X",1,0),0)</f>
        <v>0</v>
      </c>
      <c r="N262" s="34">
        <f>IFERROR(IF(VLOOKUP(D:D,'테스트(5회)'!C:G,5, 0)="X",1,0),0)</f>
        <v>0</v>
      </c>
      <c r="O262" s="10" t="s">
        <v>815</v>
      </c>
      <c r="P262" s="12" t="s">
        <v>321</v>
      </c>
    </row>
    <row r="263" spans="2:16" ht="85.5" x14ac:dyDescent="0.3">
      <c r="B263" s="17">
        <v>260</v>
      </c>
      <c r="C263" s="34" t="s">
        <v>739</v>
      </c>
      <c r="D263" s="27" t="s">
        <v>322</v>
      </c>
      <c r="E263" s="27" t="s">
        <v>608</v>
      </c>
      <c r="F263" s="29" t="s">
        <v>323</v>
      </c>
      <c r="G263" s="33">
        <v>4</v>
      </c>
      <c r="H263" s="34">
        <f t="shared" si="4"/>
        <v>1</v>
      </c>
      <c r="I263" s="9"/>
      <c r="J263" s="34">
        <f>IFERROR(IF(VLOOKUP(D:D,'테스트(1회)'!C:G,5, 0)="X",1,0),0)</f>
        <v>1</v>
      </c>
      <c r="K263" s="34">
        <f>IFERROR(IF(VLOOKUP(D:D,'테스트(2회)'!C:G,5, 0)="X",1,0),0)</f>
        <v>0</v>
      </c>
      <c r="L263" s="34">
        <f>IFERROR(IF(VLOOKUP(D:D,'테스트(3회)'!C:G,5, 0)="X",1,0),0)</f>
        <v>0</v>
      </c>
      <c r="M263" s="34">
        <f>IFERROR(IF(VLOOKUP(D:D,'테스트(4회)'!C:G,5, 0)="X",1,0),0)</f>
        <v>0</v>
      </c>
      <c r="N263" s="34">
        <f>IFERROR(IF(VLOOKUP(D:D,'테스트(5회)'!C:G,5, 0)="X",1,0),0)</f>
        <v>0</v>
      </c>
      <c r="O263" s="10"/>
    </row>
    <row r="264" spans="2:16" ht="99.75" x14ac:dyDescent="0.3">
      <c r="B264" s="17">
        <v>261</v>
      </c>
      <c r="C264" s="34" t="s">
        <v>739</v>
      </c>
      <c r="D264" s="27" t="s">
        <v>324</v>
      </c>
      <c r="E264" s="27" t="s">
        <v>608</v>
      </c>
      <c r="F264" s="29" t="s">
        <v>325</v>
      </c>
      <c r="G264" s="33">
        <v>4</v>
      </c>
      <c r="H264" s="34">
        <f t="shared" si="4"/>
        <v>0</v>
      </c>
      <c r="I264" s="9"/>
      <c r="J264" s="34">
        <f>IFERROR(IF(VLOOKUP(D:D,'테스트(1회)'!C:G,5, 0)="X",1,0),0)</f>
        <v>0</v>
      </c>
      <c r="K264" s="34">
        <f>IFERROR(IF(VLOOKUP(D:D,'테스트(2회)'!C:G,5, 0)="X",1,0),0)</f>
        <v>0</v>
      </c>
      <c r="L264" s="34">
        <f>IFERROR(IF(VLOOKUP(D:D,'테스트(3회)'!C:G,5, 0)="X",1,0),0)</f>
        <v>0</v>
      </c>
      <c r="M264" s="34">
        <f>IFERROR(IF(VLOOKUP(D:D,'테스트(4회)'!C:G,5, 0)="X",1,0),0)</f>
        <v>0</v>
      </c>
      <c r="N264" s="34">
        <f>IFERROR(IF(VLOOKUP(D:D,'테스트(5회)'!C:G,5, 0)="X",1,0),0)</f>
        <v>0</v>
      </c>
      <c r="O264" s="10"/>
    </row>
    <row r="265" spans="2:16" ht="128.25" x14ac:dyDescent="0.3">
      <c r="B265" s="17">
        <v>262</v>
      </c>
      <c r="C265" s="34" t="s">
        <v>739</v>
      </c>
      <c r="D265" s="27" t="s">
        <v>326</v>
      </c>
      <c r="E265" s="27" t="s">
        <v>608</v>
      </c>
      <c r="F265" s="29" t="s">
        <v>327</v>
      </c>
      <c r="G265" s="33">
        <v>2</v>
      </c>
      <c r="H265" s="34">
        <f t="shared" si="4"/>
        <v>1</v>
      </c>
      <c r="I265" s="9"/>
      <c r="J265" s="34">
        <f>IFERROR(IF(VLOOKUP(D:D,'테스트(1회)'!C:G,5, 0)="X",1,0),0)</f>
        <v>1</v>
      </c>
      <c r="K265" s="34">
        <f>IFERROR(IF(VLOOKUP(D:D,'테스트(2회)'!C:G,5, 0)="X",1,0),0)</f>
        <v>0</v>
      </c>
      <c r="L265" s="34">
        <f>IFERROR(IF(VLOOKUP(D:D,'테스트(3회)'!C:G,5, 0)="X",1,0),0)</f>
        <v>0</v>
      </c>
      <c r="M265" s="34">
        <f>IFERROR(IF(VLOOKUP(D:D,'테스트(4회)'!C:G,5, 0)="X",1,0),0)</f>
        <v>0</v>
      </c>
      <c r="N265" s="34">
        <f>IFERROR(IF(VLOOKUP(D:D,'테스트(5회)'!C:G,5, 0)="X",1,0),0)</f>
        <v>0</v>
      </c>
      <c r="O265" s="10"/>
    </row>
    <row r="266" spans="2:16" ht="99.75" x14ac:dyDescent="0.3">
      <c r="B266" s="17">
        <v>263</v>
      </c>
      <c r="C266" s="34" t="s">
        <v>739</v>
      </c>
      <c r="D266" s="27" t="s">
        <v>328</v>
      </c>
      <c r="E266" s="27" t="s">
        <v>608</v>
      </c>
      <c r="F266" s="29" t="s">
        <v>329</v>
      </c>
      <c r="G266" s="33">
        <v>2</v>
      </c>
      <c r="H266" s="34">
        <f t="shared" si="4"/>
        <v>1</v>
      </c>
      <c r="I266" s="9"/>
      <c r="J266" s="34">
        <f>IFERROR(IF(VLOOKUP(D:D,'테스트(1회)'!C:G,5, 0)="X",1,0),0)</f>
        <v>1</v>
      </c>
      <c r="K266" s="34">
        <f>IFERROR(IF(VLOOKUP(D:D,'테스트(2회)'!C:G,5, 0)="X",1,0),0)</f>
        <v>0</v>
      </c>
      <c r="L266" s="34">
        <f>IFERROR(IF(VLOOKUP(D:D,'테스트(3회)'!C:G,5, 0)="X",1,0),0)</f>
        <v>0</v>
      </c>
      <c r="M266" s="34">
        <f>IFERROR(IF(VLOOKUP(D:D,'테스트(4회)'!C:G,5, 0)="X",1,0),0)</f>
        <v>0</v>
      </c>
      <c r="N266" s="34">
        <f>IFERROR(IF(VLOOKUP(D:D,'테스트(5회)'!C:G,5, 0)="X",1,0),0)</f>
        <v>0</v>
      </c>
      <c r="O266" s="10"/>
    </row>
    <row r="267" spans="2:16" ht="114" x14ac:dyDescent="0.3">
      <c r="B267" s="17">
        <v>264</v>
      </c>
      <c r="C267" s="34" t="s">
        <v>739</v>
      </c>
      <c r="D267" s="27" t="s">
        <v>330</v>
      </c>
      <c r="E267" s="27" t="s">
        <v>608</v>
      </c>
      <c r="F267" s="29" t="s">
        <v>1092</v>
      </c>
      <c r="G267" s="33">
        <v>3</v>
      </c>
      <c r="H267" s="34">
        <f t="shared" si="4"/>
        <v>0</v>
      </c>
      <c r="I267" s="9"/>
      <c r="J267" s="34">
        <f>IFERROR(IF(VLOOKUP(D:D,'테스트(1회)'!C:G,5, 0)="X",1,0),0)</f>
        <v>0</v>
      </c>
      <c r="K267" s="34">
        <f>IFERROR(IF(VLOOKUP(D:D,'테스트(2회)'!C:G,5, 0)="X",1,0),0)</f>
        <v>0</v>
      </c>
      <c r="L267" s="34">
        <f>IFERROR(IF(VLOOKUP(D:D,'테스트(3회)'!C:G,5, 0)="X",1,0),0)</f>
        <v>0</v>
      </c>
      <c r="M267" s="34">
        <f>IFERROR(IF(VLOOKUP(D:D,'테스트(4회)'!C:G,5, 0)="X",1,0),0)</f>
        <v>0</v>
      </c>
      <c r="N267" s="34">
        <f>IFERROR(IF(VLOOKUP(D:D,'테스트(5회)'!C:G,5, 0)="X",1,0),0)</f>
        <v>0</v>
      </c>
      <c r="O267" s="10"/>
    </row>
    <row r="268" spans="2:16" ht="99.75" x14ac:dyDescent="0.3">
      <c r="B268" s="17">
        <v>265</v>
      </c>
      <c r="C268" s="34" t="s">
        <v>739</v>
      </c>
      <c r="D268" s="27" t="s">
        <v>331</v>
      </c>
      <c r="E268" s="27" t="s">
        <v>608</v>
      </c>
      <c r="F268" s="29" t="s">
        <v>841</v>
      </c>
      <c r="G268" s="33">
        <v>2</v>
      </c>
      <c r="H268" s="34">
        <f t="shared" si="4"/>
        <v>1</v>
      </c>
      <c r="I268" s="9"/>
      <c r="J268" s="34">
        <f>IFERROR(IF(VLOOKUP(D:D,'테스트(1회)'!C:G,5, 0)="X",1,0),0)</f>
        <v>1</v>
      </c>
      <c r="K268" s="34">
        <f>IFERROR(IF(VLOOKUP(D:D,'테스트(2회)'!C:G,5, 0)="X",1,0),0)</f>
        <v>0</v>
      </c>
      <c r="L268" s="34">
        <f>IFERROR(IF(VLOOKUP(D:D,'테스트(3회)'!C:G,5, 0)="X",1,0),0)</f>
        <v>0</v>
      </c>
      <c r="M268" s="34">
        <f>IFERROR(IF(VLOOKUP(D:D,'테스트(4회)'!C:G,5, 0)="X",1,0),0)</f>
        <v>0</v>
      </c>
      <c r="N268" s="34">
        <f>IFERROR(IF(VLOOKUP(D:D,'테스트(5회)'!C:G,5, 0)="X",1,0),0)</f>
        <v>0</v>
      </c>
      <c r="O268" s="10" t="s">
        <v>840</v>
      </c>
      <c r="P268" s="12" t="s">
        <v>332</v>
      </c>
    </row>
    <row r="269" spans="2:16" ht="85.5" x14ac:dyDescent="0.3">
      <c r="B269" s="17">
        <v>266</v>
      </c>
      <c r="C269" s="34" t="s">
        <v>740</v>
      </c>
      <c r="D269" s="27" t="s">
        <v>333</v>
      </c>
      <c r="E269" s="27" t="s">
        <v>608</v>
      </c>
      <c r="F269" s="29" t="s">
        <v>334</v>
      </c>
      <c r="G269" s="33">
        <v>2</v>
      </c>
      <c r="H269" s="34">
        <f t="shared" si="4"/>
        <v>0</v>
      </c>
      <c r="I269" s="9"/>
      <c r="J269" s="34">
        <f>IFERROR(IF(VLOOKUP(D:D,'테스트(1회)'!C:G,5, 0)="X",1,0),0)</f>
        <v>0</v>
      </c>
      <c r="K269" s="34">
        <f>IFERROR(IF(VLOOKUP(D:D,'테스트(2회)'!C:G,5, 0)="X",1,0),0)</f>
        <v>0</v>
      </c>
      <c r="L269" s="34">
        <f>IFERROR(IF(VLOOKUP(D:D,'테스트(3회)'!C:G,5, 0)="X",1,0),0)</f>
        <v>0</v>
      </c>
      <c r="M269" s="34">
        <f>IFERROR(IF(VLOOKUP(D:D,'테스트(4회)'!C:G,5, 0)="X",1,0),0)</f>
        <v>0</v>
      </c>
      <c r="N269" s="34">
        <f>IFERROR(IF(VLOOKUP(D:D,'테스트(5회)'!C:G,5, 0)="X",1,0),0)</f>
        <v>0</v>
      </c>
      <c r="O269" s="10"/>
    </row>
    <row r="270" spans="2:16" ht="85.5" x14ac:dyDescent="0.3">
      <c r="B270" s="17">
        <v>267</v>
      </c>
      <c r="C270" s="34" t="s">
        <v>740</v>
      </c>
      <c r="D270" s="27" t="s">
        <v>335</v>
      </c>
      <c r="E270" s="27" t="s">
        <v>608</v>
      </c>
      <c r="F270" s="29" t="s">
        <v>336</v>
      </c>
      <c r="G270" s="33">
        <v>3</v>
      </c>
      <c r="H270" s="34">
        <f t="shared" si="4"/>
        <v>0</v>
      </c>
      <c r="I270" s="9"/>
      <c r="J270" s="34">
        <f>IFERROR(IF(VLOOKUP(D:D,'테스트(1회)'!C:G,5, 0)="X",1,0),0)</f>
        <v>0</v>
      </c>
      <c r="K270" s="34">
        <f>IFERROR(IF(VLOOKUP(D:D,'테스트(2회)'!C:G,5, 0)="X",1,0),0)</f>
        <v>0</v>
      </c>
      <c r="L270" s="34">
        <f>IFERROR(IF(VLOOKUP(D:D,'테스트(3회)'!C:G,5, 0)="X",1,0),0)</f>
        <v>0</v>
      </c>
      <c r="M270" s="34">
        <f>IFERROR(IF(VLOOKUP(D:D,'테스트(4회)'!C:G,5, 0)="X",1,0),0)</f>
        <v>0</v>
      </c>
      <c r="N270" s="34">
        <f>IFERROR(IF(VLOOKUP(D:D,'테스트(5회)'!C:G,5, 0)="X",1,0),0)</f>
        <v>0</v>
      </c>
      <c r="O270" s="10"/>
    </row>
    <row r="271" spans="2:16" ht="114" x14ac:dyDescent="0.3">
      <c r="B271" s="17">
        <v>268</v>
      </c>
      <c r="C271" s="34" t="s">
        <v>740</v>
      </c>
      <c r="D271" s="27" t="s">
        <v>337</v>
      </c>
      <c r="E271" s="27" t="s">
        <v>608</v>
      </c>
      <c r="F271" s="29" t="s">
        <v>338</v>
      </c>
      <c r="G271" s="33">
        <v>1</v>
      </c>
      <c r="H271" s="34">
        <f t="shared" si="4"/>
        <v>0</v>
      </c>
      <c r="I271" s="9"/>
      <c r="J271" s="34">
        <f>IFERROR(IF(VLOOKUP(D:D,'테스트(1회)'!C:G,5, 0)="X",1,0),0)</f>
        <v>0</v>
      </c>
      <c r="K271" s="34">
        <f>IFERROR(IF(VLOOKUP(D:D,'테스트(2회)'!C:G,5, 0)="X",1,0),0)</f>
        <v>0</v>
      </c>
      <c r="L271" s="34">
        <f>IFERROR(IF(VLOOKUP(D:D,'테스트(3회)'!C:G,5, 0)="X",1,0),0)</f>
        <v>0</v>
      </c>
      <c r="M271" s="34">
        <f>IFERROR(IF(VLOOKUP(D:D,'테스트(4회)'!C:G,5, 0)="X",1,0),0)</f>
        <v>0</v>
      </c>
      <c r="N271" s="34">
        <f>IFERROR(IF(VLOOKUP(D:D,'테스트(5회)'!C:G,5, 0)="X",1,0),0)</f>
        <v>0</v>
      </c>
      <c r="O271" s="10"/>
    </row>
    <row r="272" spans="2:16" ht="85.5" x14ac:dyDescent="0.3">
      <c r="B272" s="17">
        <v>269</v>
      </c>
      <c r="C272" s="34" t="s">
        <v>740</v>
      </c>
      <c r="D272" s="27" t="s">
        <v>339</v>
      </c>
      <c r="E272" s="27" t="s">
        <v>608</v>
      </c>
      <c r="F272" s="29" t="s">
        <v>340</v>
      </c>
      <c r="G272" s="33">
        <v>2</v>
      </c>
      <c r="H272" s="34">
        <f t="shared" si="4"/>
        <v>0</v>
      </c>
      <c r="I272" s="9"/>
      <c r="J272" s="34">
        <f>IFERROR(IF(VLOOKUP(D:D,'테스트(1회)'!C:G,5, 0)="X",1,0),0)</f>
        <v>0</v>
      </c>
      <c r="K272" s="34">
        <f>IFERROR(IF(VLOOKUP(D:D,'테스트(2회)'!C:G,5, 0)="X",1,0),0)</f>
        <v>0</v>
      </c>
      <c r="L272" s="34">
        <f>IFERROR(IF(VLOOKUP(D:D,'테스트(3회)'!C:G,5, 0)="X",1,0),0)</f>
        <v>0</v>
      </c>
      <c r="M272" s="34">
        <f>IFERROR(IF(VLOOKUP(D:D,'테스트(4회)'!C:G,5, 0)="X",1,0),0)</f>
        <v>0</v>
      </c>
      <c r="N272" s="34">
        <f>IFERROR(IF(VLOOKUP(D:D,'테스트(5회)'!C:G,5, 0)="X",1,0),0)</f>
        <v>0</v>
      </c>
      <c r="O272" s="10"/>
    </row>
    <row r="273" spans="2:15" ht="99.75" x14ac:dyDescent="0.3">
      <c r="B273" s="17">
        <v>270</v>
      </c>
      <c r="C273" s="34" t="s">
        <v>740</v>
      </c>
      <c r="D273" s="27" t="s">
        <v>341</v>
      </c>
      <c r="E273" s="27" t="s">
        <v>608</v>
      </c>
      <c r="F273" s="29" t="s">
        <v>342</v>
      </c>
      <c r="G273" s="33">
        <v>4</v>
      </c>
      <c r="H273" s="34">
        <f t="shared" si="4"/>
        <v>0</v>
      </c>
      <c r="I273" s="9"/>
      <c r="J273" s="34">
        <f>IFERROR(IF(VLOOKUP(D:D,'테스트(1회)'!C:G,5, 0)="X",1,0),0)</f>
        <v>0</v>
      </c>
      <c r="K273" s="34">
        <f>IFERROR(IF(VLOOKUP(D:D,'테스트(2회)'!C:G,5, 0)="X",1,0),0)</f>
        <v>0</v>
      </c>
      <c r="L273" s="34">
        <f>IFERROR(IF(VLOOKUP(D:D,'테스트(3회)'!C:G,5, 0)="X",1,0),0)</f>
        <v>0</v>
      </c>
      <c r="M273" s="34">
        <f>IFERROR(IF(VLOOKUP(D:D,'테스트(4회)'!C:G,5, 0)="X",1,0),0)</f>
        <v>0</v>
      </c>
      <c r="N273" s="34">
        <f>IFERROR(IF(VLOOKUP(D:D,'테스트(5회)'!C:G,5, 0)="X",1,0),0)</f>
        <v>0</v>
      </c>
      <c r="O273" s="10"/>
    </row>
    <row r="274" spans="2:15" ht="156.75" x14ac:dyDescent="0.3">
      <c r="B274" s="17">
        <v>271</v>
      </c>
      <c r="C274" s="34" t="s">
        <v>740</v>
      </c>
      <c r="D274" s="27" t="s">
        <v>343</v>
      </c>
      <c r="E274" s="27" t="s">
        <v>608</v>
      </c>
      <c r="F274" s="29" t="s">
        <v>344</v>
      </c>
      <c r="G274" s="33">
        <v>2</v>
      </c>
      <c r="H274" s="34">
        <f t="shared" si="4"/>
        <v>0</v>
      </c>
      <c r="I274" s="9"/>
      <c r="J274" s="34">
        <f>IFERROR(IF(VLOOKUP(D:D,'테스트(1회)'!C:G,5, 0)="X",1,0),0)</f>
        <v>0</v>
      </c>
      <c r="K274" s="34">
        <f>IFERROR(IF(VLOOKUP(D:D,'테스트(2회)'!C:G,5, 0)="X",1,0),0)</f>
        <v>0</v>
      </c>
      <c r="L274" s="34">
        <f>IFERROR(IF(VLOOKUP(D:D,'테스트(3회)'!C:G,5, 0)="X",1,0),0)</f>
        <v>0</v>
      </c>
      <c r="M274" s="34">
        <f>IFERROR(IF(VLOOKUP(D:D,'테스트(4회)'!C:G,5, 0)="X",1,0),0)</f>
        <v>0</v>
      </c>
      <c r="N274" s="34">
        <f>IFERROR(IF(VLOOKUP(D:D,'테스트(5회)'!C:G,5, 0)="X",1,0),0)</f>
        <v>0</v>
      </c>
      <c r="O274" s="10"/>
    </row>
    <row r="275" spans="2:15" ht="99.75" x14ac:dyDescent="0.3">
      <c r="B275" s="17">
        <v>272</v>
      </c>
      <c r="C275" s="34" t="s">
        <v>740</v>
      </c>
      <c r="D275" s="27" t="s">
        <v>345</v>
      </c>
      <c r="E275" s="27" t="s">
        <v>608</v>
      </c>
      <c r="F275" s="29" t="s">
        <v>346</v>
      </c>
      <c r="G275" s="33">
        <v>4</v>
      </c>
      <c r="H275" s="34">
        <f t="shared" si="4"/>
        <v>0</v>
      </c>
      <c r="I275" s="9"/>
      <c r="J275" s="34">
        <f>IFERROR(IF(VLOOKUP(D:D,'테스트(1회)'!C:G,5, 0)="X",1,0),0)</f>
        <v>0</v>
      </c>
      <c r="K275" s="34">
        <f>IFERROR(IF(VLOOKUP(D:D,'테스트(2회)'!C:G,5, 0)="X",1,0),0)</f>
        <v>0</v>
      </c>
      <c r="L275" s="34">
        <f>IFERROR(IF(VLOOKUP(D:D,'테스트(3회)'!C:G,5, 0)="X",1,0),0)</f>
        <v>0</v>
      </c>
      <c r="M275" s="34">
        <f>IFERROR(IF(VLOOKUP(D:D,'테스트(4회)'!C:G,5, 0)="X",1,0),0)</f>
        <v>0</v>
      </c>
      <c r="N275" s="34">
        <f>IFERROR(IF(VLOOKUP(D:D,'테스트(5회)'!C:G,5, 0)="X",1,0),0)</f>
        <v>0</v>
      </c>
      <c r="O275" s="10"/>
    </row>
    <row r="276" spans="2:15" ht="85.5" x14ac:dyDescent="0.3">
      <c r="B276" s="17">
        <v>273</v>
      </c>
      <c r="C276" s="34" t="s">
        <v>740</v>
      </c>
      <c r="D276" s="27" t="s">
        <v>347</v>
      </c>
      <c r="E276" s="27" t="s">
        <v>608</v>
      </c>
      <c r="F276" s="29" t="s">
        <v>348</v>
      </c>
      <c r="G276" s="33">
        <v>5</v>
      </c>
      <c r="H276" s="34">
        <f t="shared" si="4"/>
        <v>0</v>
      </c>
      <c r="I276" s="9"/>
      <c r="J276" s="34">
        <f>IFERROR(IF(VLOOKUP(D:D,'테스트(1회)'!C:G,5, 0)="X",1,0),0)</f>
        <v>0</v>
      </c>
      <c r="K276" s="34">
        <f>IFERROR(IF(VLOOKUP(D:D,'테스트(2회)'!C:G,5, 0)="X",1,0),0)</f>
        <v>0</v>
      </c>
      <c r="L276" s="34">
        <f>IFERROR(IF(VLOOKUP(D:D,'테스트(3회)'!C:G,5, 0)="X",1,0),0)</f>
        <v>0</v>
      </c>
      <c r="M276" s="34">
        <f>IFERROR(IF(VLOOKUP(D:D,'테스트(4회)'!C:G,5, 0)="X",1,0),0)</f>
        <v>0</v>
      </c>
      <c r="N276" s="34">
        <f>IFERROR(IF(VLOOKUP(D:D,'테스트(5회)'!C:G,5, 0)="X",1,0),0)</f>
        <v>0</v>
      </c>
      <c r="O276" s="10"/>
    </row>
    <row r="277" spans="2:15" ht="99.75" x14ac:dyDescent="0.3">
      <c r="B277" s="17">
        <v>274</v>
      </c>
      <c r="C277" s="34" t="s">
        <v>740</v>
      </c>
      <c r="D277" s="27" t="s">
        <v>349</v>
      </c>
      <c r="E277" s="27" t="s">
        <v>608</v>
      </c>
      <c r="F277" s="29" t="s">
        <v>691</v>
      </c>
      <c r="G277" s="33">
        <v>2</v>
      </c>
      <c r="H277" s="34">
        <f t="shared" si="4"/>
        <v>0</v>
      </c>
      <c r="I277" s="9"/>
      <c r="J277" s="34">
        <f>IFERROR(IF(VLOOKUP(D:D,'테스트(1회)'!C:G,5, 0)="X",1,0),0)</f>
        <v>0</v>
      </c>
      <c r="K277" s="34">
        <f>IFERROR(IF(VLOOKUP(D:D,'테스트(2회)'!C:G,5, 0)="X",1,0),0)</f>
        <v>0</v>
      </c>
      <c r="L277" s="34">
        <f>IFERROR(IF(VLOOKUP(D:D,'테스트(3회)'!C:G,5, 0)="X",1,0),0)</f>
        <v>0</v>
      </c>
      <c r="M277" s="34">
        <f>IFERROR(IF(VLOOKUP(D:D,'테스트(4회)'!C:G,5, 0)="X",1,0),0)</f>
        <v>0</v>
      </c>
      <c r="N277" s="34">
        <f>IFERROR(IF(VLOOKUP(D:D,'테스트(5회)'!C:G,5, 0)="X",1,0),0)</f>
        <v>0</v>
      </c>
      <c r="O277" s="10"/>
    </row>
    <row r="278" spans="2:15" ht="85.5" x14ac:dyDescent="0.3">
      <c r="B278" s="17">
        <v>275</v>
      </c>
      <c r="C278" s="34" t="s">
        <v>740</v>
      </c>
      <c r="D278" s="27" t="s">
        <v>350</v>
      </c>
      <c r="E278" s="27" t="s">
        <v>608</v>
      </c>
      <c r="F278" s="29" t="s">
        <v>351</v>
      </c>
      <c r="G278" s="33">
        <v>5</v>
      </c>
      <c r="H278" s="34">
        <f t="shared" si="4"/>
        <v>0</v>
      </c>
      <c r="I278" s="9"/>
      <c r="J278" s="34">
        <f>IFERROR(IF(VLOOKUP(D:D,'테스트(1회)'!C:G,5, 0)="X",1,0),0)</f>
        <v>0</v>
      </c>
      <c r="K278" s="34">
        <f>IFERROR(IF(VLOOKUP(D:D,'테스트(2회)'!C:G,5, 0)="X",1,0),0)</f>
        <v>0</v>
      </c>
      <c r="L278" s="34">
        <f>IFERROR(IF(VLOOKUP(D:D,'테스트(3회)'!C:G,5, 0)="X",1,0),0)</f>
        <v>0</v>
      </c>
      <c r="M278" s="34">
        <f>IFERROR(IF(VLOOKUP(D:D,'테스트(4회)'!C:G,5, 0)="X",1,0),0)</f>
        <v>0</v>
      </c>
      <c r="N278" s="34">
        <f>IFERROR(IF(VLOOKUP(D:D,'테스트(5회)'!C:G,5, 0)="X",1,0),0)</f>
        <v>0</v>
      </c>
      <c r="O278" s="10"/>
    </row>
    <row r="279" spans="2:15" ht="85.5" x14ac:dyDescent="0.3">
      <c r="B279" s="17">
        <v>276</v>
      </c>
      <c r="C279" s="34" t="s">
        <v>740</v>
      </c>
      <c r="D279" s="27" t="s">
        <v>352</v>
      </c>
      <c r="E279" s="27" t="s">
        <v>608</v>
      </c>
      <c r="F279" s="29" t="s">
        <v>353</v>
      </c>
      <c r="G279" s="33">
        <v>2</v>
      </c>
      <c r="H279" s="34">
        <f t="shared" si="4"/>
        <v>0</v>
      </c>
      <c r="I279" s="9"/>
      <c r="J279" s="34">
        <f>IFERROR(IF(VLOOKUP(D:D,'테스트(1회)'!C:G,5, 0)="X",1,0),0)</f>
        <v>0</v>
      </c>
      <c r="K279" s="34">
        <f>IFERROR(IF(VLOOKUP(D:D,'테스트(2회)'!C:G,5, 0)="X",1,0),0)</f>
        <v>0</v>
      </c>
      <c r="L279" s="34">
        <f>IFERROR(IF(VLOOKUP(D:D,'테스트(3회)'!C:G,5, 0)="X",1,0),0)</f>
        <v>0</v>
      </c>
      <c r="M279" s="34">
        <f>IFERROR(IF(VLOOKUP(D:D,'테스트(4회)'!C:G,5, 0)="X",1,0),0)</f>
        <v>0</v>
      </c>
      <c r="N279" s="34">
        <f>IFERROR(IF(VLOOKUP(D:D,'테스트(5회)'!C:G,5, 0)="X",1,0),0)</f>
        <v>0</v>
      </c>
      <c r="O279" s="10"/>
    </row>
    <row r="280" spans="2:15" ht="114" x14ac:dyDescent="0.3">
      <c r="B280" s="17">
        <v>277</v>
      </c>
      <c r="C280" s="34" t="s">
        <v>740</v>
      </c>
      <c r="D280" s="27" t="s">
        <v>354</v>
      </c>
      <c r="E280" s="27" t="s">
        <v>608</v>
      </c>
      <c r="F280" s="29" t="s">
        <v>1100</v>
      </c>
      <c r="G280" s="33">
        <v>4</v>
      </c>
      <c r="H280" s="34">
        <f t="shared" si="4"/>
        <v>0</v>
      </c>
      <c r="I280" s="9"/>
      <c r="J280" s="34">
        <f>IFERROR(IF(VLOOKUP(D:D,'테스트(1회)'!C:G,5, 0)="X",1,0),0)</f>
        <v>0</v>
      </c>
      <c r="K280" s="34">
        <f>IFERROR(IF(VLOOKUP(D:D,'테스트(2회)'!C:G,5, 0)="X",1,0),0)</f>
        <v>0</v>
      </c>
      <c r="L280" s="34">
        <f>IFERROR(IF(VLOOKUP(D:D,'테스트(3회)'!C:G,5, 0)="X",1,0),0)</f>
        <v>0</v>
      </c>
      <c r="M280" s="34">
        <f>IFERROR(IF(VLOOKUP(D:D,'테스트(4회)'!C:G,5, 0)="X",1,0),0)</f>
        <v>0</v>
      </c>
      <c r="N280" s="34">
        <f>IFERROR(IF(VLOOKUP(D:D,'테스트(5회)'!C:G,5, 0)="X",1,0),0)</f>
        <v>0</v>
      </c>
      <c r="O280" s="10"/>
    </row>
    <row r="281" spans="2:15" ht="114" x14ac:dyDescent="0.3">
      <c r="B281" s="17">
        <v>278</v>
      </c>
      <c r="C281" s="34" t="s">
        <v>740</v>
      </c>
      <c r="D281" s="27" t="s">
        <v>355</v>
      </c>
      <c r="E281" s="27" t="s">
        <v>608</v>
      </c>
      <c r="F281" s="29" t="s">
        <v>356</v>
      </c>
      <c r="G281" s="33">
        <v>1</v>
      </c>
      <c r="H281" s="34">
        <f t="shared" si="4"/>
        <v>0</v>
      </c>
      <c r="I281" s="9"/>
      <c r="J281" s="34">
        <f>IFERROR(IF(VLOOKUP(D:D,'테스트(1회)'!C:G,5, 0)="X",1,0),0)</f>
        <v>0</v>
      </c>
      <c r="K281" s="34">
        <f>IFERROR(IF(VLOOKUP(D:D,'테스트(2회)'!C:G,5, 0)="X",1,0),0)</f>
        <v>0</v>
      </c>
      <c r="L281" s="34">
        <f>IFERROR(IF(VLOOKUP(D:D,'테스트(3회)'!C:G,5, 0)="X",1,0),0)</f>
        <v>0</v>
      </c>
      <c r="M281" s="34">
        <f>IFERROR(IF(VLOOKUP(D:D,'테스트(4회)'!C:G,5, 0)="X",1,0),0)</f>
        <v>0</v>
      </c>
      <c r="N281" s="34">
        <f>IFERROR(IF(VLOOKUP(D:D,'테스트(5회)'!C:G,5, 0)="X",1,0),0)</f>
        <v>0</v>
      </c>
      <c r="O281" s="10"/>
    </row>
    <row r="282" spans="2:15" ht="85.5" x14ac:dyDescent="0.3">
      <c r="B282" s="17">
        <v>279</v>
      </c>
      <c r="C282" s="34" t="s">
        <v>740</v>
      </c>
      <c r="D282" s="27" t="s">
        <v>357</v>
      </c>
      <c r="E282" s="27" t="s">
        <v>608</v>
      </c>
      <c r="F282" s="29" t="s">
        <v>358</v>
      </c>
      <c r="G282" s="33">
        <v>4</v>
      </c>
      <c r="H282" s="34">
        <f t="shared" si="4"/>
        <v>0</v>
      </c>
      <c r="I282" s="9"/>
      <c r="J282" s="34">
        <f>IFERROR(IF(VLOOKUP(D:D,'테스트(1회)'!C:G,5, 0)="X",1,0),0)</f>
        <v>0</v>
      </c>
      <c r="K282" s="34">
        <f>IFERROR(IF(VLOOKUP(D:D,'테스트(2회)'!C:G,5, 0)="X",1,0),0)</f>
        <v>0</v>
      </c>
      <c r="L282" s="34">
        <f>IFERROR(IF(VLOOKUP(D:D,'테스트(3회)'!C:G,5, 0)="X",1,0),0)</f>
        <v>0</v>
      </c>
      <c r="M282" s="34">
        <f>IFERROR(IF(VLOOKUP(D:D,'테스트(4회)'!C:G,5, 0)="X",1,0),0)</f>
        <v>0</v>
      </c>
      <c r="N282" s="34">
        <f>IFERROR(IF(VLOOKUP(D:D,'테스트(5회)'!C:G,5, 0)="X",1,0),0)</f>
        <v>0</v>
      </c>
      <c r="O282" s="10"/>
    </row>
    <row r="283" spans="2:15" ht="85.5" x14ac:dyDescent="0.3">
      <c r="B283" s="17">
        <v>280</v>
      </c>
      <c r="C283" s="34" t="s">
        <v>740</v>
      </c>
      <c r="D283" s="27" t="s">
        <v>359</v>
      </c>
      <c r="E283" s="27" t="s">
        <v>608</v>
      </c>
      <c r="F283" s="29" t="s">
        <v>360</v>
      </c>
      <c r="G283" s="33">
        <v>3</v>
      </c>
      <c r="H283" s="34">
        <f t="shared" si="4"/>
        <v>0</v>
      </c>
      <c r="I283" s="9"/>
      <c r="J283" s="34">
        <f>IFERROR(IF(VLOOKUP(D:D,'테스트(1회)'!C:G,5, 0)="X",1,0),0)</f>
        <v>0</v>
      </c>
      <c r="K283" s="34">
        <f>IFERROR(IF(VLOOKUP(D:D,'테스트(2회)'!C:G,5, 0)="X",1,0),0)</f>
        <v>0</v>
      </c>
      <c r="L283" s="34">
        <f>IFERROR(IF(VLOOKUP(D:D,'테스트(3회)'!C:G,5, 0)="X",1,0),0)</f>
        <v>0</v>
      </c>
      <c r="M283" s="34">
        <f>IFERROR(IF(VLOOKUP(D:D,'테스트(4회)'!C:G,5, 0)="X",1,0),0)</f>
        <v>0</v>
      </c>
      <c r="N283" s="34">
        <f>IFERROR(IF(VLOOKUP(D:D,'테스트(5회)'!C:G,5, 0)="X",1,0),0)</f>
        <v>0</v>
      </c>
      <c r="O283" s="10"/>
    </row>
    <row r="284" spans="2:15" ht="128.25" x14ac:dyDescent="0.3">
      <c r="B284" s="17">
        <v>281</v>
      </c>
      <c r="C284" s="34" t="s">
        <v>740</v>
      </c>
      <c r="D284" s="27" t="s">
        <v>361</v>
      </c>
      <c r="E284" s="27" t="s">
        <v>608</v>
      </c>
      <c r="F284" s="29" t="s">
        <v>1101</v>
      </c>
      <c r="G284" s="33">
        <v>3</v>
      </c>
      <c r="H284" s="34">
        <f t="shared" si="4"/>
        <v>0</v>
      </c>
      <c r="I284" s="9"/>
      <c r="J284" s="34">
        <f>IFERROR(IF(VLOOKUP(D:D,'테스트(1회)'!C:G,5, 0)="X",1,0),0)</f>
        <v>0</v>
      </c>
      <c r="K284" s="34">
        <f>IFERROR(IF(VLOOKUP(D:D,'테스트(2회)'!C:G,5, 0)="X",1,0),0)</f>
        <v>0</v>
      </c>
      <c r="L284" s="34">
        <f>IFERROR(IF(VLOOKUP(D:D,'테스트(3회)'!C:G,5, 0)="X",1,0),0)</f>
        <v>0</v>
      </c>
      <c r="M284" s="34">
        <f>IFERROR(IF(VLOOKUP(D:D,'테스트(4회)'!C:G,5, 0)="X",1,0),0)</f>
        <v>0</v>
      </c>
      <c r="N284" s="34">
        <f>IFERROR(IF(VLOOKUP(D:D,'테스트(5회)'!C:G,5, 0)="X",1,0),0)</f>
        <v>0</v>
      </c>
      <c r="O284" s="10"/>
    </row>
    <row r="285" spans="2:15" ht="85.5" x14ac:dyDescent="0.3">
      <c r="B285" s="17">
        <v>282</v>
      </c>
      <c r="C285" s="34" t="s">
        <v>740</v>
      </c>
      <c r="D285" s="27" t="s">
        <v>362</v>
      </c>
      <c r="E285" s="27" t="s">
        <v>608</v>
      </c>
      <c r="F285" s="29" t="s">
        <v>363</v>
      </c>
      <c r="G285" s="33">
        <v>5</v>
      </c>
      <c r="H285" s="34">
        <f t="shared" si="4"/>
        <v>0</v>
      </c>
      <c r="I285" s="9"/>
      <c r="J285" s="34">
        <f>IFERROR(IF(VLOOKUP(D:D,'테스트(1회)'!C:G,5, 0)="X",1,0),0)</f>
        <v>0</v>
      </c>
      <c r="K285" s="34">
        <f>IFERROR(IF(VLOOKUP(D:D,'테스트(2회)'!C:G,5, 0)="X",1,0),0)</f>
        <v>0</v>
      </c>
      <c r="L285" s="34">
        <f>IFERROR(IF(VLOOKUP(D:D,'테스트(3회)'!C:G,5, 0)="X",1,0),0)</f>
        <v>0</v>
      </c>
      <c r="M285" s="34">
        <f>IFERROR(IF(VLOOKUP(D:D,'테스트(4회)'!C:G,5, 0)="X",1,0),0)</f>
        <v>0</v>
      </c>
      <c r="N285" s="34">
        <f>IFERROR(IF(VLOOKUP(D:D,'테스트(5회)'!C:G,5, 0)="X",1,0),0)</f>
        <v>0</v>
      </c>
      <c r="O285" s="10"/>
    </row>
    <row r="286" spans="2:15" ht="156.75" x14ac:dyDescent="0.3">
      <c r="B286" s="17">
        <v>283</v>
      </c>
      <c r="C286" s="34" t="s">
        <v>740</v>
      </c>
      <c r="D286" s="27" t="s">
        <v>364</v>
      </c>
      <c r="E286" s="27" t="s">
        <v>608</v>
      </c>
      <c r="F286" s="29" t="s">
        <v>712</v>
      </c>
      <c r="G286" s="33">
        <v>3</v>
      </c>
      <c r="H286" s="34">
        <f t="shared" si="4"/>
        <v>0</v>
      </c>
      <c r="I286" s="9"/>
      <c r="J286" s="34">
        <f>IFERROR(IF(VLOOKUP(D:D,'테스트(1회)'!C:G,5, 0)="X",1,0),0)</f>
        <v>0</v>
      </c>
      <c r="K286" s="34">
        <f>IFERROR(IF(VLOOKUP(D:D,'테스트(2회)'!C:G,5, 0)="X",1,0),0)</f>
        <v>0</v>
      </c>
      <c r="L286" s="34">
        <f>IFERROR(IF(VLOOKUP(D:D,'테스트(3회)'!C:G,5, 0)="X",1,0),0)</f>
        <v>0</v>
      </c>
      <c r="M286" s="34">
        <f>IFERROR(IF(VLOOKUP(D:D,'테스트(4회)'!C:G,5, 0)="X",1,0),0)</f>
        <v>0</v>
      </c>
      <c r="N286" s="34">
        <f>IFERROR(IF(VLOOKUP(D:D,'테스트(5회)'!C:G,5, 0)="X",1,0),0)</f>
        <v>0</v>
      </c>
      <c r="O286" s="10"/>
    </row>
    <row r="287" spans="2:15" ht="85.5" x14ac:dyDescent="0.3">
      <c r="B287" s="17">
        <v>284</v>
      </c>
      <c r="C287" s="34" t="s">
        <v>740</v>
      </c>
      <c r="D287" s="27" t="s">
        <v>365</v>
      </c>
      <c r="E287" s="27" t="s">
        <v>608</v>
      </c>
      <c r="F287" s="29" t="s">
        <v>366</v>
      </c>
      <c r="G287" s="33">
        <v>5</v>
      </c>
      <c r="H287" s="34">
        <f t="shared" si="4"/>
        <v>0</v>
      </c>
      <c r="I287" s="9"/>
      <c r="J287" s="34">
        <f>IFERROR(IF(VLOOKUP(D:D,'테스트(1회)'!C:G,5, 0)="X",1,0),0)</f>
        <v>0</v>
      </c>
      <c r="K287" s="34">
        <f>IFERROR(IF(VLOOKUP(D:D,'테스트(2회)'!C:G,5, 0)="X",1,0),0)</f>
        <v>0</v>
      </c>
      <c r="L287" s="34">
        <f>IFERROR(IF(VLOOKUP(D:D,'테스트(3회)'!C:G,5, 0)="X",1,0),0)</f>
        <v>0</v>
      </c>
      <c r="M287" s="34">
        <f>IFERROR(IF(VLOOKUP(D:D,'테스트(4회)'!C:G,5, 0)="X",1,0),0)</f>
        <v>0</v>
      </c>
      <c r="N287" s="34">
        <f>IFERROR(IF(VLOOKUP(D:D,'테스트(5회)'!C:G,5, 0)="X",1,0),0)</f>
        <v>0</v>
      </c>
      <c r="O287" s="10"/>
    </row>
    <row r="288" spans="2:15" ht="99.75" x14ac:dyDescent="0.3">
      <c r="B288" s="17">
        <v>285</v>
      </c>
      <c r="C288" s="34" t="s">
        <v>740</v>
      </c>
      <c r="D288" s="27" t="s">
        <v>367</v>
      </c>
      <c r="E288" s="27" t="s">
        <v>608</v>
      </c>
      <c r="F288" s="29" t="s">
        <v>368</v>
      </c>
      <c r="G288" s="33">
        <v>1</v>
      </c>
      <c r="H288" s="34">
        <f t="shared" si="4"/>
        <v>0</v>
      </c>
      <c r="I288" s="9"/>
      <c r="J288" s="34">
        <f>IFERROR(IF(VLOOKUP(D:D,'테스트(1회)'!C:G,5, 0)="X",1,0),0)</f>
        <v>0</v>
      </c>
      <c r="K288" s="34">
        <f>IFERROR(IF(VLOOKUP(D:D,'테스트(2회)'!C:G,5, 0)="X",1,0),0)</f>
        <v>0</v>
      </c>
      <c r="L288" s="34">
        <f>IFERROR(IF(VLOOKUP(D:D,'테스트(3회)'!C:G,5, 0)="X",1,0),0)</f>
        <v>0</v>
      </c>
      <c r="M288" s="34">
        <f>IFERROR(IF(VLOOKUP(D:D,'테스트(4회)'!C:G,5, 0)="X",1,0),0)</f>
        <v>0</v>
      </c>
      <c r="N288" s="34">
        <f>IFERROR(IF(VLOOKUP(D:D,'테스트(5회)'!C:G,5, 0)="X",1,0),0)</f>
        <v>0</v>
      </c>
      <c r="O288" s="10"/>
    </row>
    <row r="289" spans="2:15" ht="85.5" x14ac:dyDescent="0.3">
      <c r="B289" s="17">
        <v>286</v>
      </c>
      <c r="C289" s="34" t="s">
        <v>740</v>
      </c>
      <c r="D289" s="27" t="s">
        <v>369</v>
      </c>
      <c r="E289" s="27" t="s">
        <v>608</v>
      </c>
      <c r="F289" s="29" t="s">
        <v>370</v>
      </c>
      <c r="G289" s="33">
        <v>4</v>
      </c>
      <c r="H289" s="34">
        <f t="shared" si="4"/>
        <v>0</v>
      </c>
      <c r="I289" s="9"/>
      <c r="J289" s="34">
        <f>IFERROR(IF(VLOOKUP(D:D,'테스트(1회)'!C:G,5, 0)="X",1,0),0)</f>
        <v>0</v>
      </c>
      <c r="K289" s="34">
        <f>IFERROR(IF(VLOOKUP(D:D,'테스트(2회)'!C:G,5, 0)="X",1,0),0)</f>
        <v>0</v>
      </c>
      <c r="L289" s="34">
        <f>IFERROR(IF(VLOOKUP(D:D,'테스트(3회)'!C:G,5, 0)="X",1,0),0)</f>
        <v>0</v>
      </c>
      <c r="M289" s="34">
        <f>IFERROR(IF(VLOOKUP(D:D,'테스트(4회)'!C:G,5, 0)="X",1,0),0)</f>
        <v>0</v>
      </c>
      <c r="N289" s="34">
        <f>IFERROR(IF(VLOOKUP(D:D,'테스트(5회)'!C:G,5, 0)="X",1,0),0)</f>
        <v>0</v>
      </c>
      <c r="O289" s="10"/>
    </row>
    <row r="290" spans="2:15" ht="114" x14ac:dyDescent="0.3">
      <c r="B290" s="17">
        <v>287</v>
      </c>
      <c r="C290" s="34" t="s">
        <v>740</v>
      </c>
      <c r="D290" s="27" t="s">
        <v>371</v>
      </c>
      <c r="E290" s="27" t="s">
        <v>608</v>
      </c>
      <c r="F290" s="29" t="s">
        <v>372</v>
      </c>
      <c r="G290" s="33">
        <v>1</v>
      </c>
      <c r="H290" s="34">
        <f t="shared" si="4"/>
        <v>0</v>
      </c>
      <c r="I290" s="9"/>
      <c r="J290" s="34">
        <f>IFERROR(IF(VLOOKUP(D:D,'테스트(1회)'!C:G,5, 0)="X",1,0),0)</f>
        <v>0</v>
      </c>
      <c r="K290" s="34">
        <f>IFERROR(IF(VLOOKUP(D:D,'테스트(2회)'!C:G,5, 0)="X",1,0),0)</f>
        <v>0</v>
      </c>
      <c r="L290" s="34">
        <f>IFERROR(IF(VLOOKUP(D:D,'테스트(3회)'!C:G,5, 0)="X",1,0),0)</f>
        <v>0</v>
      </c>
      <c r="M290" s="34">
        <f>IFERROR(IF(VLOOKUP(D:D,'테스트(4회)'!C:G,5, 0)="X",1,0),0)</f>
        <v>0</v>
      </c>
      <c r="N290" s="34">
        <f>IFERROR(IF(VLOOKUP(D:D,'테스트(5회)'!C:G,5, 0)="X",1,0),0)</f>
        <v>0</v>
      </c>
      <c r="O290" s="10"/>
    </row>
    <row r="291" spans="2:15" ht="114" x14ac:dyDescent="0.3">
      <c r="B291" s="17">
        <v>288</v>
      </c>
      <c r="C291" s="34" t="s">
        <v>740</v>
      </c>
      <c r="D291" s="27" t="s">
        <v>373</v>
      </c>
      <c r="E291" s="27" t="s">
        <v>608</v>
      </c>
      <c r="F291" s="29" t="s">
        <v>374</v>
      </c>
      <c r="G291" s="33">
        <v>5</v>
      </c>
      <c r="H291" s="34">
        <f t="shared" si="4"/>
        <v>0</v>
      </c>
      <c r="I291" s="9"/>
      <c r="J291" s="34">
        <f>IFERROR(IF(VLOOKUP(D:D,'테스트(1회)'!C:G,5, 0)="X",1,0),0)</f>
        <v>0</v>
      </c>
      <c r="K291" s="34">
        <f>IFERROR(IF(VLOOKUP(D:D,'테스트(2회)'!C:G,5, 0)="X",1,0),0)</f>
        <v>0</v>
      </c>
      <c r="L291" s="34">
        <f>IFERROR(IF(VLOOKUP(D:D,'테스트(3회)'!C:G,5, 0)="X",1,0),0)</f>
        <v>0</v>
      </c>
      <c r="M291" s="34">
        <f>IFERROR(IF(VLOOKUP(D:D,'테스트(4회)'!C:G,5, 0)="X",1,0),0)</f>
        <v>0</v>
      </c>
      <c r="N291" s="34">
        <f>IFERROR(IF(VLOOKUP(D:D,'테스트(5회)'!C:G,5, 0)="X",1,0),0)</f>
        <v>0</v>
      </c>
      <c r="O291" s="10"/>
    </row>
    <row r="292" spans="2:15" ht="85.5" x14ac:dyDescent="0.3">
      <c r="B292" s="17">
        <v>289</v>
      </c>
      <c r="C292" s="34" t="s">
        <v>740</v>
      </c>
      <c r="D292" s="27" t="s">
        <v>375</v>
      </c>
      <c r="E292" s="27" t="s">
        <v>608</v>
      </c>
      <c r="F292" s="29" t="s">
        <v>376</v>
      </c>
      <c r="G292" s="33">
        <v>4</v>
      </c>
      <c r="H292" s="34">
        <f t="shared" si="4"/>
        <v>0</v>
      </c>
      <c r="I292" s="9"/>
      <c r="J292" s="34">
        <f>IFERROR(IF(VLOOKUP(D:D,'테스트(1회)'!C:G,5, 0)="X",1,0),0)</f>
        <v>0</v>
      </c>
      <c r="K292" s="34">
        <f>IFERROR(IF(VLOOKUP(D:D,'테스트(2회)'!C:G,5, 0)="X",1,0),0)</f>
        <v>0</v>
      </c>
      <c r="L292" s="34">
        <f>IFERROR(IF(VLOOKUP(D:D,'테스트(3회)'!C:G,5, 0)="X",1,0),0)</f>
        <v>0</v>
      </c>
      <c r="M292" s="34">
        <f>IFERROR(IF(VLOOKUP(D:D,'테스트(4회)'!C:G,5, 0)="X",1,0),0)</f>
        <v>0</v>
      </c>
      <c r="N292" s="34">
        <f>IFERROR(IF(VLOOKUP(D:D,'테스트(5회)'!C:G,5, 0)="X",1,0),0)</f>
        <v>0</v>
      </c>
      <c r="O292" s="10"/>
    </row>
    <row r="293" spans="2:15" ht="128.25" x14ac:dyDescent="0.3">
      <c r="B293" s="17">
        <v>290</v>
      </c>
      <c r="C293" s="34" t="s">
        <v>740</v>
      </c>
      <c r="D293" s="27" t="s">
        <v>377</v>
      </c>
      <c r="E293" s="27" t="s">
        <v>608</v>
      </c>
      <c r="F293" s="29" t="s">
        <v>378</v>
      </c>
      <c r="G293" s="33">
        <v>2</v>
      </c>
      <c r="H293" s="34">
        <f t="shared" si="4"/>
        <v>0</v>
      </c>
      <c r="I293" s="9"/>
      <c r="J293" s="34">
        <f>IFERROR(IF(VLOOKUP(D:D,'테스트(1회)'!C:G,5, 0)="X",1,0),0)</f>
        <v>0</v>
      </c>
      <c r="K293" s="34">
        <f>IFERROR(IF(VLOOKUP(D:D,'테스트(2회)'!C:G,5, 0)="X",1,0),0)</f>
        <v>0</v>
      </c>
      <c r="L293" s="34">
        <f>IFERROR(IF(VLOOKUP(D:D,'테스트(3회)'!C:G,5, 0)="X",1,0),0)</f>
        <v>0</v>
      </c>
      <c r="M293" s="34">
        <f>IFERROR(IF(VLOOKUP(D:D,'테스트(4회)'!C:G,5, 0)="X",1,0),0)</f>
        <v>0</v>
      </c>
      <c r="N293" s="34">
        <f>IFERROR(IF(VLOOKUP(D:D,'테스트(5회)'!C:G,5, 0)="X",1,0),0)</f>
        <v>0</v>
      </c>
      <c r="O293" s="10"/>
    </row>
    <row r="294" spans="2:15" ht="99.75" x14ac:dyDescent="0.3">
      <c r="B294" s="17">
        <v>291</v>
      </c>
      <c r="C294" s="34" t="s">
        <v>741</v>
      </c>
      <c r="D294" s="27" t="s">
        <v>379</v>
      </c>
      <c r="E294" s="27" t="s">
        <v>608</v>
      </c>
      <c r="F294" s="29" t="s">
        <v>380</v>
      </c>
      <c r="G294" s="33">
        <v>5</v>
      </c>
      <c r="H294" s="34">
        <f t="shared" si="4"/>
        <v>0</v>
      </c>
      <c r="I294" s="9"/>
      <c r="J294" s="34">
        <f>IFERROR(IF(VLOOKUP(D:D,'테스트(1회)'!C:G,5, 0)="X",1,0),0)</f>
        <v>0</v>
      </c>
      <c r="K294" s="34">
        <f>IFERROR(IF(VLOOKUP(D:D,'테스트(2회)'!C:G,5, 0)="X",1,0),0)</f>
        <v>0</v>
      </c>
      <c r="L294" s="34">
        <f>IFERROR(IF(VLOOKUP(D:D,'테스트(3회)'!C:G,5, 0)="X",1,0),0)</f>
        <v>0</v>
      </c>
      <c r="M294" s="34">
        <f>IFERROR(IF(VLOOKUP(D:D,'테스트(4회)'!C:G,5, 0)="X",1,0),0)</f>
        <v>0</v>
      </c>
      <c r="N294" s="34">
        <f>IFERROR(IF(VLOOKUP(D:D,'테스트(5회)'!C:G,5, 0)="X",1,0),0)</f>
        <v>0</v>
      </c>
      <c r="O294" s="10"/>
    </row>
    <row r="295" spans="2:15" ht="85.5" x14ac:dyDescent="0.3">
      <c r="B295" s="17">
        <v>292</v>
      </c>
      <c r="C295" s="34" t="s">
        <v>741</v>
      </c>
      <c r="D295" s="27" t="s">
        <v>381</v>
      </c>
      <c r="E295" s="27" t="s">
        <v>608</v>
      </c>
      <c r="F295" s="29" t="s">
        <v>382</v>
      </c>
      <c r="G295" s="33">
        <v>5</v>
      </c>
      <c r="H295" s="34">
        <f t="shared" si="4"/>
        <v>0</v>
      </c>
      <c r="I295" s="9"/>
      <c r="J295" s="34">
        <f>IFERROR(IF(VLOOKUP(D:D,'테스트(1회)'!C:G,5, 0)="X",1,0),0)</f>
        <v>0</v>
      </c>
      <c r="K295" s="34">
        <f>IFERROR(IF(VLOOKUP(D:D,'테스트(2회)'!C:G,5, 0)="X",1,0),0)</f>
        <v>0</v>
      </c>
      <c r="L295" s="34">
        <f>IFERROR(IF(VLOOKUP(D:D,'테스트(3회)'!C:G,5, 0)="X",1,0),0)</f>
        <v>0</v>
      </c>
      <c r="M295" s="34">
        <f>IFERROR(IF(VLOOKUP(D:D,'테스트(4회)'!C:G,5, 0)="X",1,0),0)</f>
        <v>0</v>
      </c>
      <c r="N295" s="34">
        <f>IFERROR(IF(VLOOKUP(D:D,'테스트(5회)'!C:G,5, 0)="X",1,0),0)</f>
        <v>0</v>
      </c>
      <c r="O295" s="10"/>
    </row>
    <row r="296" spans="2:15" ht="128.25" x14ac:dyDescent="0.3">
      <c r="B296" s="17">
        <v>293</v>
      </c>
      <c r="C296" s="34" t="s">
        <v>741</v>
      </c>
      <c r="D296" s="27" t="s">
        <v>383</v>
      </c>
      <c r="E296" s="27" t="s">
        <v>608</v>
      </c>
      <c r="F296" s="29" t="s">
        <v>384</v>
      </c>
      <c r="G296" s="33">
        <v>1</v>
      </c>
      <c r="H296" s="34">
        <f t="shared" si="4"/>
        <v>0</v>
      </c>
      <c r="I296" s="9"/>
      <c r="J296" s="34">
        <f>IFERROR(IF(VLOOKUP(D:D,'테스트(1회)'!C:G,5, 0)="X",1,0),0)</f>
        <v>0</v>
      </c>
      <c r="K296" s="34">
        <f>IFERROR(IF(VLOOKUP(D:D,'테스트(2회)'!C:G,5, 0)="X",1,0),0)</f>
        <v>0</v>
      </c>
      <c r="L296" s="34">
        <f>IFERROR(IF(VLOOKUP(D:D,'테스트(3회)'!C:G,5, 0)="X",1,0),0)</f>
        <v>0</v>
      </c>
      <c r="M296" s="34">
        <f>IFERROR(IF(VLOOKUP(D:D,'테스트(4회)'!C:G,5, 0)="X",1,0),0)</f>
        <v>0</v>
      </c>
      <c r="N296" s="34">
        <f>IFERROR(IF(VLOOKUP(D:D,'테스트(5회)'!C:G,5, 0)="X",1,0),0)</f>
        <v>0</v>
      </c>
      <c r="O296" s="10"/>
    </row>
    <row r="297" spans="2:15" ht="99.75" x14ac:dyDescent="0.3">
      <c r="B297" s="17">
        <v>294</v>
      </c>
      <c r="C297" s="34" t="s">
        <v>741</v>
      </c>
      <c r="D297" s="27" t="s">
        <v>385</v>
      </c>
      <c r="E297" s="27" t="s">
        <v>608</v>
      </c>
      <c r="F297" s="29" t="s">
        <v>386</v>
      </c>
      <c r="G297" s="33">
        <v>3</v>
      </c>
      <c r="H297" s="34">
        <f t="shared" si="4"/>
        <v>0</v>
      </c>
      <c r="I297" s="9"/>
      <c r="J297" s="34">
        <f>IFERROR(IF(VLOOKUP(D:D,'테스트(1회)'!C:G,5, 0)="X",1,0),0)</f>
        <v>0</v>
      </c>
      <c r="K297" s="34">
        <f>IFERROR(IF(VLOOKUP(D:D,'테스트(2회)'!C:G,5, 0)="X",1,0),0)</f>
        <v>0</v>
      </c>
      <c r="L297" s="34">
        <f>IFERROR(IF(VLOOKUP(D:D,'테스트(3회)'!C:G,5, 0)="X",1,0),0)</f>
        <v>0</v>
      </c>
      <c r="M297" s="34">
        <f>IFERROR(IF(VLOOKUP(D:D,'테스트(4회)'!C:G,5, 0)="X",1,0),0)</f>
        <v>0</v>
      </c>
      <c r="N297" s="34">
        <f>IFERROR(IF(VLOOKUP(D:D,'테스트(5회)'!C:G,5, 0)="X",1,0),0)</f>
        <v>0</v>
      </c>
      <c r="O297" s="10"/>
    </row>
    <row r="298" spans="2:15" ht="85.5" x14ac:dyDescent="0.3">
      <c r="B298" s="17">
        <v>295</v>
      </c>
      <c r="C298" s="34" t="s">
        <v>741</v>
      </c>
      <c r="D298" s="27" t="s">
        <v>387</v>
      </c>
      <c r="E298" s="27" t="s">
        <v>608</v>
      </c>
      <c r="F298" s="29" t="s">
        <v>388</v>
      </c>
      <c r="G298" s="33">
        <v>1</v>
      </c>
      <c r="H298" s="34">
        <f t="shared" si="4"/>
        <v>0</v>
      </c>
      <c r="I298" s="9"/>
      <c r="J298" s="34">
        <f>IFERROR(IF(VLOOKUP(D:D,'테스트(1회)'!C:G,5, 0)="X",1,0),0)</f>
        <v>0</v>
      </c>
      <c r="K298" s="34">
        <f>IFERROR(IF(VLOOKUP(D:D,'테스트(2회)'!C:G,5, 0)="X",1,0),0)</f>
        <v>0</v>
      </c>
      <c r="L298" s="34">
        <f>IFERROR(IF(VLOOKUP(D:D,'테스트(3회)'!C:G,5, 0)="X",1,0),0)</f>
        <v>0</v>
      </c>
      <c r="M298" s="34">
        <f>IFERROR(IF(VLOOKUP(D:D,'테스트(4회)'!C:G,5, 0)="X",1,0),0)</f>
        <v>0</v>
      </c>
      <c r="N298" s="34">
        <f>IFERROR(IF(VLOOKUP(D:D,'테스트(5회)'!C:G,5, 0)="X",1,0),0)</f>
        <v>0</v>
      </c>
      <c r="O298" s="10"/>
    </row>
    <row r="299" spans="2:15" ht="114" x14ac:dyDescent="0.3">
      <c r="B299" s="17">
        <v>296</v>
      </c>
      <c r="C299" s="34" t="s">
        <v>741</v>
      </c>
      <c r="D299" s="27" t="s">
        <v>389</v>
      </c>
      <c r="E299" s="27" t="s">
        <v>608</v>
      </c>
      <c r="F299" s="29" t="s">
        <v>390</v>
      </c>
      <c r="G299" s="33">
        <v>1</v>
      </c>
      <c r="H299" s="34">
        <f t="shared" si="4"/>
        <v>0</v>
      </c>
      <c r="I299" s="9"/>
      <c r="J299" s="34">
        <f>IFERROR(IF(VLOOKUP(D:D,'테스트(1회)'!C:G,5, 0)="X",1,0),0)</f>
        <v>0</v>
      </c>
      <c r="K299" s="34">
        <f>IFERROR(IF(VLOOKUP(D:D,'테스트(2회)'!C:G,5, 0)="X",1,0),0)</f>
        <v>0</v>
      </c>
      <c r="L299" s="34">
        <f>IFERROR(IF(VLOOKUP(D:D,'테스트(3회)'!C:G,5, 0)="X",1,0),0)</f>
        <v>0</v>
      </c>
      <c r="M299" s="34">
        <f>IFERROR(IF(VLOOKUP(D:D,'테스트(4회)'!C:G,5, 0)="X",1,0),0)</f>
        <v>0</v>
      </c>
      <c r="N299" s="34">
        <f>IFERROR(IF(VLOOKUP(D:D,'테스트(5회)'!C:G,5, 0)="X",1,0),0)</f>
        <v>0</v>
      </c>
      <c r="O299" s="10" t="s">
        <v>743</v>
      </c>
    </row>
    <row r="300" spans="2:15" ht="85.5" x14ac:dyDescent="0.3">
      <c r="B300" s="17">
        <v>297</v>
      </c>
      <c r="C300" s="34" t="s">
        <v>741</v>
      </c>
      <c r="D300" s="27" t="s">
        <v>391</v>
      </c>
      <c r="E300" s="27" t="s">
        <v>608</v>
      </c>
      <c r="F300" s="29" t="s">
        <v>392</v>
      </c>
      <c r="G300" s="33">
        <v>5</v>
      </c>
      <c r="H300" s="34">
        <f t="shared" si="4"/>
        <v>0</v>
      </c>
      <c r="I300" s="9"/>
      <c r="J300" s="34">
        <f>IFERROR(IF(VLOOKUP(D:D,'테스트(1회)'!C:G,5, 0)="X",1,0),0)</f>
        <v>0</v>
      </c>
      <c r="K300" s="34">
        <f>IFERROR(IF(VLOOKUP(D:D,'테스트(2회)'!C:G,5, 0)="X",1,0),0)</f>
        <v>0</v>
      </c>
      <c r="L300" s="34">
        <f>IFERROR(IF(VLOOKUP(D:D,'테스트(3회)'!C:G,5, 0)="X",1,0),0)</f>
        <v>0</v>
      </c>
      <c r="M300" s="34">
        <f>IFERROR(IF(VLOOKUP(D:D,'테스트(4회)'!C:G,5, 0)="X",1,0),0)</f>
        <v>0</v>
      </c>
      <c r="N300" s="34">
        <f>IFERROR(IF(VLOOKUP(D:D,'테스트(5회)'!C:G,5, 0)="X",1,0),0)</f>
        <v>0</v>
      </c>
      <c r="O300" s="10"/>
    </row>
    <row r="301" spans="2:15" ht="114" x14ac:dyDescent="0.3">
      <c r="B301" s="17">
        <v>298</v>
      </c>
      <c r="C301" s="34" t="s">
        <v>741</v>
      </c>
      <c r="D301" s="27" t="s">
        <v>393</v>
      </c>
      <c r="E301" s="27" t="s">
        <v>608</v>
      </c>
      <c r="F301" s="29" t="s">
        <v>394</v>
      </c>
      <c r="G301" s="33">
        <v>4</v>
      </c>
      <c r="H301" s="34">
        <f t="shared" si="4"/>
        <v>0</v>
      </c>
      <c r="I301" s="9"/>
      <c r="J301" s="34">
        <f>IFERROR(IF(VLOOKUP(D:D,'테스트(1회)'!C:G,5, 0)="X",1,0),0)</f>
        <v>0</v>
      </c>
      <c r="K301" s="34">
        <f>IFERROR(IF(VLOOKUP(D:D,'테스트(2회)'!C:G,5, 0)="X",1,0),0)</f>
        <v>0</v>
      </c>
      <c r="L301" s="34">
        <f>IFERROR(IF(VLOOKUP(D:D,'테스트(3회)'!C:G,5, 0)="X",1,0),0)</f>
        <v>0</v>
      </c>
      <c r="M301" s="34">
        <f>IFERROR(IF(VLOOKUP(D:D,'테스트(4회)'!C:G,5, 0)="X",1,0),0)</f>
        <v>0</v>
      </c>
      <c r="N301" s="34">
        <f>IFERROR(IF(VLOOKUP(D:D,'테스트(5회)'!C:G,5, 0)="X",1,0),0)</f>
        <v>0</v>
      </c>
      <c r="O301" s="10"/>
    </row>
    <row r="302" spans="2:15" ht="114" x14ac:dyDescent="0.3">
      <c r="B302" s="17">
        <v>299</v>
      </c>
      <c r="C302" s="34" t="s">
        <v>741</v>
      </c>
      <c r="D302" s="27" t="s">
        <v>395</v>
      </c>
      <c r="E302" s="27" t="s">
        <v>608</v>
      </c>
      <c r="F302" s="29" t="s">
        <v>692</v>
      </c>
      <c r="G302" s="33">
        <v>4</v>
      </c>
      <c r="H302" s="34">
        <f t="shared" si="4"/>
        <v>0</v>
      </c>
      <c r="I302" s="9"/>
      <c r="J302" s="34">
        <f>IFERROR(IF(VLOOKUP(D:D,'테스트(1회)'!C:G,5, 0)="X",1,0),0)</f>
        <v>0</v>
      </c>
      <c r="K302" s="34">
        <f>IFERROR(IF(VLOOKUP(D:D,'테스트(2회)'!C:G,5, 0)="X",1,0),0)</f>
        <v>0</v>
      </c>
      <c r="L302" s="34">
        <f>IFERROR(IF(VLOOKUP(D:D,'테스트(3회)'!C:G,5, 0)="X",1,0),0)</f>
        <v>0</v>
      </c>
      <c r="M302" s="34">
        <f>IFERROR(IF(VLOOKUP(D:D,'테스트(4회)'!C:G,5, 0)="X",1,0),0)</f>
        <v>0</v>
      </c>
      <c r="N302" s="34">
        <f>IFERROR(IF(VLOOKUP(D:D,'테스트(5회)'!C:G,5, 0)="X",1,0),0)</f>
        <v>0</v>
      </c>
      <c r="O302" s="10" t="s">
        <v>693</v>
      </c>
    </row>
    <row r="303" spans="2:15" ht="142.5" x14ac:dyDescent="0.3">
      <c r="B303" s="17">
        <v>300</v>
      </c>
      <c r="C303" s="34" t="s">
        <v>741</v>
      </c>
      <c r="D303" s="27" t="s">
        <v>396</v>
      </c>
      <c r="E303" s="27" t="s">
        <v>608</v>
      </c>
      <c r="F303" s="29" t="s">
        <v>397</v>
      </c>
      <c r="G303" s="33">
        <v>2</v>
      </c>
      <c r="H303" s="34">
        <f t="shared" si="4"/>
        <v>0</v>
      </c>
      <c r="I303" s="9"/>
      <c r="J303" s="34">
        <f>IFERROR(IF(VLOOKUP(D:D,'테스트(1회)'!C:G,5, 0)="X",1,0),0)</f>
        <v>0</v>
      </c>
      <c r="K303" s="34">
        <f>IFERROR(IF(VLOOKUP(D:D,'테스트(2회)'!C:G,5, 0)="X",1,0),0)</f>
        <v>0</v>
      </c>
      <c r="L303" s="34">
        <f>IFERROR(IF(VLOOKUP(D:D,'테스트(3회)'!C:G,5, 0)="X",1,0),0)</f>
        <v>0</v>
      </c>
      <c r="M303" s="34">
        <f>IFERROR(IF(VLOOKUP(D:D,'테스트(4회)'!C:G,5, 0)="X",1,0),0)</f>
        <v>0</v>
      </c>
      <c r="N303" s="34">
        <f>IFERROR(IF(VLOOKUP(D:D,'테스트(5회)'!C:G,5, 0)="X",1,0),0)</f>
        <v>0</v>
      </c>
      <c r="O303" s="10"/>
    </row>
    <row r="304" spans="2:15" ht="85.5" x14ac:dyDescent="0.3">
      <c r="B304" s="17">
        <v>301</v>
      </c>
      <c r="C304" s="34" t="s">
        <v>741</v>
      </c>
      <c r="D304" s="27" t="s">
        <v>398</v>
      </c>
      <c r="E304" s="27" t="s">
        <v>608</v>
      </c>
      <c r="F304" s="29" t="s">
        <v>399</v>
      </c>
      <c r="G304" s="33">
        <v>3</v>
      </c>
      <c r="H304" s="34">
        <f t="shared" si="4"/>
        <v>0</v>
      </c>
      <c r="I304" s="9"/>
      <c r="J304" s="34">
        <f>IFERROR(IF(VLOOKUP(D:D,'테스트(1회)'!C:G,5, 0)="X",1,0),0)</f>
        <v>0</v>
      </c>
      <c r="K304" s="34">
        <f>IFERROR(IF(VLOOKUP(D:D,'테스트(2회)'!C:G,5, 0)="X",1,0),0)</f>
        <v>0</v>
      </c>
      <c r="L304" s="34">
        <f>IFERROR(IF(VLOOKUP(D:D,'테스트(3회)'!C:G,5, 0)="X",1,0),0)</f>
        <v>0</v>
      </c>
      <c r="M304" s="34">
        <f>IFERROR(IF(VLOOKUP(D:D,'테스트(4회)'!C:G,5, 0)="X",1,0),0)</f>
        <v>0</v>
      </c>
      <c r="N304" s="34">
        <f>IFERROR(IF(VLOOKUP(D:D,'테스트(5회)'!C:G,5, 0)="X",1,0),0)</f>
        <v>0</v>
      </c>
      <c r="O304" s="10"/>
    </row>
    <row r="305" spans="2:15" ht="128.25" x14ac:dyDescent="0.3">
      <c r="B305" s="17">
        <v>302</v>
      </c>
      <c r="C305" s="34" t="s">
        <v>741</v>
      </c>
      <c r="D305" s="27" t="s">
        <v>400</v>
      </c>
      <c r="E305" s="27" t="s">
        <v>608</v>
      </c>
      <c r="F305" s="29" t="s">
        <v>401</v>
      </c>
      <c r="G305" s="33">
        <v>1</v>
      </c>
      <c r="H305" s="34">
        <f t="shared" si="4"/>
        <v>0</v>
      </c>
      <c r="I305" s="9"/>
      <c r="J305" s="34">
        <f>IFERROR(IF(VLOOKUP(D:D,'테스트(1회)'!C:G,5, 0)="X",1,0),0)</f>
        <v>0</v>
      </c>
      <c r="K305" s="34">
        <f>IFERROR(IF(VLOOKUP(D:D,'테스트(2회)'!C:G,5, 0)="X",1,0),0)</f>
        <v>0</v>
      </c>
      <c r="L305" s="34">
        <f>IFERROR(IF(VLOOKUP(D:D,'테스트(3회)'!C:G,5, 0)="X",1,0),0)</f>
        <v>0</v>
      </c>
      <c r="M305" s="34">
        <f>IFERROR(IF(VLOOKUP(D:D,'테스트(4회)'!C:G,5, 0)="X",1,0),0)</f>
        <v>0</v>
      </c>
      <c r="N305" s="34">
        <f>IFERROR(IF(VLOOKUP(D:D,'테스트(5회)'!C:G,5, 0)="X",1,0),0)</f>
        <v>0</v>
      </c>
      <c r="O305" s="10"/>
    </row>
    <row r="306" spans="2:15" ht="185.25" x14ac:dyDescent="0.3">
      <c r="B306" s="17">
        <v>303</v>
      </c>
      <c r="C306" s="34" t="s">
        <v>741</v>
      </c>
      <c r="D306" s="27" t="s">
        <v>402</v>
      </c>
      <c r="E306" s="27" t="s">
        <v>608</v>
      </c>
      <c r="F306" s="29" t="s">
        <v>711</v>
      </c>
      <c r="G306" s="33">
        <v>2</v>
      </c>
      <c r="H306" s="34">
        <f t="shared" si="4"/>
        <v>0</v>
      </c>
      <c r="I306" s="9"/>
      <c r="J306" s="34">
        <f>IFERROR(IF(VLOOKUP(D:D,'테스트(1회)'!C:G,5, 0)="X",1,0),0)</f>
        <v>0</v>
      </c>
      <c r="K306" s="34">
        <f>IFERROR(IF(VLOOKUP(D:D,'테스트(2회)'!C:G,5, 0)="X",1,0),0)</f>
        <v>0</v>
      </c>
      <c r="L306" s="34">
        <f>IFERROR(IF(VLOOKUP(D:D,'테스트(3회)'!C:G,5, 0)="X",1,0),0)</f>
        <v>0</v>
      </c>
      <c r="M306" s="34">
        <f>IFERROR(IF(VLOOKUP(D:D,'테스트(4회)'!C:G,5, 0)="X",1,0),0)</f>
        <v>0</v>
      </c>
      <c r="N306" s="34">
        <f>IFERROR(IF(VLOOKUP(D:D,'테스트(5회)'!C:G,5, 0)="X",1,0),0)</f>
        <v>0</v>
      </c>
      <c r="O306" s="10"/>
    </row>
    <row r="307" spans="2:15" ht="114" x14ac:dyDescent="0.3">
      <c r="B307" s="17">
        <v>304</v>
      </c>
      <c r="C307" s="34" t="s">
        <v>741</v>
      </c>
      <c r="D307" s="27" t="s">
        <v>403</v>
      </c>
      <c r="E307" s="27" t="s">
        <v>608</v>
      </c>
      <c r="F307" s="29" t="s">
        <v>404</v>
      </c>
      <c r="G307" s="33">
        <v>2</v>
      </c>
      <c r="H307" s="34">
        <f t="shared" si="4"/>
        <v>0</v>
      </c>
      <c r="I307" s="9"/>
      <c r="J307" s="34">
        <f>IFERROR(IF(VLOOKUP(D:D,'테스트(1회)'!C:G,5, 0)="X",1,0),0)</f>
        <v>0</v>
      </c>
      <c r="K307" s="34">
        <f>IFERROR(IF(VLOOKUP(D:D,'테스트(2회)'!C:G,5, 0)="X",1,0),0)</f>
        <v>0</v>
      </c>
      <c r="L307" s="34">
        <f>IFERROR(IF(VLOOKUP(D:D,'테스트(3회)'!C:G,5, 0)="X",1,0),0)</f>
        <v>0</v>
      </c>
      <c r="M307" s="34">
        <f>IFERROR(IF(VLOOKUP(D:D,'테스트(4회)'!C:G,5, 0)="X",1,0),0)</f>
        <v>0</v>
      </c>
      <c r="N307" s="34">
        <f>IFERROR(IF(VLOOKUP(D:D,'테스트(5회)'!C:G,5, 0)="X",1,0),0)</f>
        <v>0</v>
      </c>
      <c r="O307" s="10"/>
    </row>
    <row r="308" spans="2:15" ht="85.5" x14ac:dyDescent="0.3">
      <c r="B308" s="17">
        <v>305</v>
      </c>
      <c r="C308" s="34" t="s">
        <v>741</v>
      </c>
      <c r="D308" s="27" t="s">
        <v>405</v>
      </c>
      <c r="E308" s="27" t="s">
        <v>608</v>
      </c>
      <c r="F308" s="29" t="s">
        <v>406</v>
      </c>
      <c r="G308" s="33">
        <v>5</v>
      </c>
      <c r="H308" s="34">
        <f t="shared" si="4"/>
        <v>0</v>
      </c>
      <c r="I308" s="9"/>
      <c r="J308" s="34">
        <f>IFERROR(IF(VLOOKUP(D:D,'테스트(1회)'!C:G,5, 0)="X",1,0),0)</f>
        <v>0</v>
      </c>
      <c r="K308" s="34">
        <f>IFERROR(IF(VLOOKUP(D:D,'테스트(2회)'!C:G,5, 0)="X",1,0),0)</f>
        <v>0</v>
      </c>
      <c r="L308" s="34">
        <f>IFERROR(IF(VLOOKUP(D:D,'테스트(3회)'!C:G,5, 0)="X",1,0),0)</f>
        <v>0</v>
      </c>
      <c r="M308" s="34">
        <f>IFERROR(IF(VLOOKUP(D:D,'테스트(4회)'!C:G,5, 0)="X",1,0),0)</f>
        <v>0</v>
      </c>
      <c r="N308" s="34">
        <f>IFERROR(IF(VLOOKUP(D:D,'테스트(5회)'!C:G,5, 0)="X",1,0),0)</f>
        <v>0</v>
      </c>
      <c r="O308" s="10"/>
    </row>
    <row r="309" spans="2:15" ht="99.75" x14ac:dyDescent="0.3">
      <c r="B309" s="17">
        <v>306</v>
      </c>
      <c r="C309" s="34" t="s">
        <v>741</v>
      </c>
      <c r="D309" s="27" t="s">
        <v>407</v>
      </c>
      <c r="E309" s="27" t="s">
        <v>608</v>
      </c>
      <c r="F309" s="29" t="s">
        <v>408</v>
      </c>
      <c r="G309" s="33">
        <v>3</v>
      </c>
      <c r="H309" s="34">
        <f t="shared" si="4"/>
        <v>0</v>
      </c>
      <c r="I309" s="9"/>
      <c r="J309" s="34">
        <f>IFERROR(IF(VLOOKUP(D:D,'테스트(1회)'!C:G,5, 0)="X",1,0),0)</f>
        <v>0</v>
      </c>
      <c r="K309" s="34">
        <f>IFERROR(IF(VLOOKUP(D:D,'테스트(2회)'!C:G,5, 0)="X",1,0),0)</f>
        <v>0</v>
      </c>
      <c r="L309" s="34">
        <f>IFERROR(IF(VLOOKUP(D:D,'테스트(3회)'!C:G,5, 0)="X",1,0),0)</f>
        <v>0</v>
      </c>
      <c r="M309" s="34">
        <f>IFERROR(IF(VLOOKUP(D:D,'테스트(4회)'!C:G,5, 0)="X",1,0),0)</f>
        <v>0</v>
      </c>
      <c r="N309" s="34">
        <f>IFERROR(IF(VLOOKUP(D:D,'테스트(5회)'!C:G,5, 0)="X",1,0),0)</f>
        <v>0</v>
      </c>
      <c r="O309" s="10"/>
    </row>
    <row r="310" spans="2:15" ht="85.5" x14ac:dyDescent="0.3">
      <c r="B310" s="17">
        <v>307</v>
      </c>
      <c r="C310" s="34" t="s">
        <v>741</v>
      </c>
      <c r="D310" s="27" t="s">
        <v>409</v>
      </c>
      <c r="E310" s="27" t="s">
        <v>608</v>
      </c>
      <c r="F310" s="29" t="s">
        <v>410</v>
      </c>
      <c r="G310" s="33">
        <v>4</v>
      </c>
      <c r="H310" s="34">
        <f t="shared" si="4"/>
        <v>0</v>
      </c>
      <c r="I310" s="9"/>
      <c r="J310" s="34">
        <f>IFERROR(IF(VLOOKUP(D:D,'테스트(1회)'!C:G,5, 0)="X",1,0),0)</f>
        <v>0</v>
      </c>
      <c r="K310" s="34">
        <f>IFERROR(IF(VLOOKUP(D:D,'테스트(2회)'!C:G,5, 0)="X",1,0),0)</f>
        <v>0</v>
      </c>
      <c r="L310" s="34">
        <f>IFERROR(IF(VLOOKUP(D:D,'테스트(3회)'!C:G,5, 0)="X",1,0),0)</f>
        <v>0</v>
      </c>
      <c r="M310" s="34">
        <f>IFERROR(IF(VLOOKUP(D:D,'테스트(4회)'!C:G,5, 0)="X",1,0),0)</f>
        <v>0</v>
      </c>
      <c r="N310" s="34">
        <f>IFERROR(IF(VLOOKUP(D:D,'테스트(5회)'!C:G,5, 0)="X",1,0),0)</f>
        <v>0</v>
      </c>
      <c r="O310" s="10"/>
    </row>
    <row r="311" spans="2:15" ht="114" x14ac:dyDescent="0.3">
      <c r="B311" s="17">
        <v>308</v>
      </c>
      <c r="C311" s="34" t="s">
        <v>741</v>
      </c>
      <c r="D311" s="27" t="s">
        <v>411</v>
      </c>
      <c r="E311" s="27" t="s">
        <v>608</v>
      </c>
      <c r="F311" s="29" t="s">
        <v>710</v>
      </c>
      <c r="G311" s="33">
        <v>2</v>
      </c>
      <c r="H311" s="34">
        <f t="shared" si="4"/>
        <v>0</v>
      </c>
      <c r="I311" s="9"/>
      <c r="J311" s="34">
        <f>IFERROR(IF(VLOOKUP(D:D,'테스트(1회)'!C:G,5, 0)="X",1,0),0)</f>
        <v>0</v>
      </c>
      <c r="K311" s="34">
        <f>IFERROR(IF(VLOOKUP(D:D,'테스트(2회)'!C:G,5, 0)="X",1,0),0)</f>
        <v>0</v>
      </c>
      <c r="L311" s="34">
        <f>IFERROR(IF(VLOOKUP(D:D,'테스트(3회)'!C:G,5, 0)="X",1,0),0)</f>
        <v>0</v>
      </c>
      <c r="M311" s="34">
        <f>IFERROR(IF(VLOOKUP(D:D,'테스트(4회)'!C:G,5, 0)="X",1,0),0)</f>
        <v>0</v>
      </c>
      <c r="N311" s="34">
        <f>IFERROR(IF(VLOOKUP(D:D,'테스트(5회)'!C:G,5, 0)="X",1,0),0)</f>
        <v>0</v>
      </c>
      <c r="O311" s="10"/>
    </row>
    <row r="312" spans="2:15" ht="85.5" x14ac:dyDescent="0.3">
      <c r="B312" s="17">
        <v>309</v>
      </c>
      <c r="C312" s="34" t="s">
        <v>741</v>
      </c>
      <c r="D312" s="27" t="s">
        <v>412</v>
      </c>
      <c r="E312" s="27" t="s">
        <v>608</v>
      </c>
      <c r="F312" s="29" t="s">
        <v>413</v>
      </c>
      <c r="G312" s="33">
        <v>4</v>
      </c>
      <c r="H312" s="34">
        <f t="shared" si="4"/>
        <v>0</v>
      </c>
      <c r="I312" s="9"/>
      <c r="J312" s="34">
        <f>IFERROR(IF(VLOOKUP(D:D,'테스트(1회)'!C:G,5, 0)="X",1,0),0)</f>
        <v>0</v>
      </c>
      <c r="K312" s="34">
        <f>IFERROR(IF(VLOOKUP(D:D,'테스트(2회)'!C:G,5, 0)="X",1,0),0)</f>
        <v>0</v>
      </c>
      <c r="L312" s="34">
        <f>IFERROR(IF(VLOOKUP(D:D,'테스트(3회)'!C:G,5, 0)="X",1,0),0)</f>
        <v>0</v>
      </c>
      <c r="M312" s="34">
        <f>IFERROR(IF(VLOOKUP(D:D,'테스트(4회)'!C:G,5, 0)="X",1,0),0)</f>
        <v>0</v>
      </c>
      <c r="N312" s="34">
        <f>IFERROR(IF(VLOOKUP(D:D,'테스트(5회)'!C:G,5, 0)="X",1,0),0)</f>
        <v>0</v>
      </c>
      <c r="O312" s="10"/>
    </row>
    <row r="313" spans="2:15" ht="85.5" x14ac:dyDescent="0.3">
      <c r="B313" s="17">
        <v>310</v>
      </c>
      <c r="C313" s="34" t="s">
        <v>741</v>
      </c>
      <c r="D313" s="27" t="s">
        <v>414</v>
      </c>
      <c r="E313" s="27" t="s">
        <v>608</v>
      </c>
      <c r="F313" s="29" t="s">
        <v>415</v>
      </c>
      <c r="G313" s="33">
        <v>5</v>
      </c>
      <c r="H313" s="34">
        <f t="shared" si="4"/>
        <v>0</v>
      </c>
      <c r="I313" s="9"/>
      <c r="J313" s="34">
        <f>IFERROR(IF(VLOOKUP(D:D,'테스트(1회)'!C:G,5, 0)="X",1,0),0)</f>
        <v>0</v>
      </c>
      <c r="K313" s="34">
        <f>IFERROR(IF(VLOOKUP(D:D,'테스트(2회)'!C:G,5, 0)="X",1,0),0)</f>
        <v>0</v>
      </c>
      <c r="L313" s="34">
        <f>IFERROR(IF(VLOOKUP(D:D,'테스트(3회)'!C:G,5, 0)="X",1,0),0)</f>
        <v>0</v>
      </c>
      <c r="M313" s="34">
        <f>IFERROR(IF(VLOOKUP(D:D,'테스트(4회)'!C:G,5, 0)="X",1,0),0)</f>
        <v>0</v>
      </c>
      <c r="N313" s="34">
        <f>IFERROR(IF(VLOOKUP(D:D,'테스트(5회)'!C:G,5, 0)="X",1,0),0)</f>
        <v>0</v>
      </c>
      <c r="O313" s="10"/>
    </row>
    <row r="314" spans="2:15" ht="99.75" x14ac:dyDescent="0.3">
      <c r="B314" s="17">
        <v>311</v>
      </c>
      <c r="C314" s="34" t="s">
        <v>741</v>
      </c>
      <c r="D314" s="27" t="s">
        <v>416</v>
      </c>
      <c r="E314" s="27" t="s">
        <v>608</v>
      </c>
      <c r="F314" s="29" t="s">
        <v>417</v>
      </c>
      <c r="G314" s="33">
        <v>3</v>
      </c>
      <c r="H314" s="34">
        <f t="shared" si="4"/>
        <v>0</v>
      </c>
      <c r="I314" s="9"/>
      <c r="J314" s="34">
        <f>IFERROR(IF(VLOOKUP(D:D,'테스트(1회)'!C:G,5, 0)="X",1,0),0)</f>
        <v>0</v>
      </c>
      <c r="K314" s="34">
        <f>IFERROR(IF(VLOOKUP(D:D,'테스트(2회)'!C:G,5, 0)="X",1,0),0)</f>
        <v>0</v>
      </c>
      <c r="L314" s="34">
        <f>IFERROR(IF(VLOOKUP(D:D,'테스트(3회)'!C:G,5, 0)="X",1,0),0)</f>
        <v>0</v>
      </c>
      <c r="M314" s="34">
        <f>IFERROR(IF(VLOOKUP(D:D,'테스트(4회)'!C:G,5, 0)="X",1,0),0)</f>
        <v>0</v>
      </c>
      <c r="N314" s="34">
        <f>IFERROR(IF(VLOOKUP(D:D,'테스트(5회)'!C:G,5, 0)="X",1,0),0)</f>
        <v>0</v>
      </c>
      <c r="O314" s="10"/>
    </row>
    <row r="315" spans="2:15" ht="142.5" x14ac:dyDescent="0.3">
      <c r="B315" s="17">
        <v>312</v>
      </c>
      <c r="C315" s="34" t="s">
        <v>741</v>
      </c>
      <c r="D315" s="27" t="s">
        <v>418</v>
      </c>
      <c r="E315" s="27" t="s">
        <v>608</v>
      </c>
      <c r="F315" s="29" t="s">
        <v>419</v>
      </c>
      <c r="G315" s="33">
        <v>1</v>
      </c>
      <c r="H315" s="34">
        <f t="shared" si="4"/>
        <v>0</v>
      </c>
      <c r="I315" s="9"/>
      <c r="J315" s="34">
        <f>IFERROR(IF(VLOOKUP(D:D,'테스트(1회)'!C:G,5, 0)="X",1,0),0)</f>
        <v>0</v>
      </c>
      <c r="K315" s="34">
        <f>IFERROR(IF(VLOOKUP(D:D,'테스트(2회)'!C:G,5, 0)="X",1,0),0)</f>
        <v>0</v>
      </c>
      <c r="L315" s="34">
        <f>IFERROR(IF(VLOOKUP(D:D,'테스트(3회)'!C:G,5, 0)="X",1,0),0)</f>
        <v>0</v>
      </c>
      <c r="M315" s="34">
        <f>IFERROR(IF(VLOOKUP(D:D,'테스트(4회)'!C:G,5, 0)="X",1,0),0)</f>
        <v>0</v>
      </c>
      <c r="N315" s="34">
        <f>IFERROR(IF(VLOOKUP(D:D,'테스트(5회)'!C:G,5, 0)="X",1,0),0)</f>
        <v>0</v>
      </c>
      <c r="O315" s="10"/>
    </row>
    <row r="316" spans="2:15" ht="114" x14ac:dyDescent="0.3">
      <c r="B316" s="17">
        <v>313</v>
      </c>
      <c r="C316" s="34" t="s">
        <v>741</v>
      </c>
      <c r="D316" s="27" t="s">
        <v>420</v>
      </c>
      <c r="E316" s="27" t="s">
        <v>608</v>
      </c>
      <c r="F316" s="29" t="s">
        <v>421</v>
      </c>
      <c r="G316" s="33">
        <v>3</v>
      </c>
      <c r="H316" s="34">
        <f t="shared" si="4"/>
        <v>0</v>
      </c>
      <c r="I316" s="9"/>
      <c r="J316" s="34">
        <f>IFERROR(IF(VLOOKUP(D:D,'테스트(1회)'!C:G,5, 0)="X",1,0),0)</f>
        <v>0</v>
      </c>
      <c r="K316" s="34">
        <f>IFERROR(IF(VLOOKUP(D:D,'테스트(2회)'!C:G,5, 0)="X",1,0),0)</f>
        <v>0</v>
      </c>
      <c r="L316" s="34">
        <f>IFERROR(IF(VLOOKUP(D:D,'테스트(3회)'!C:G,5, 0)="X",1,0),0)</f>
        <v>0</v>
      </c>
      <c r="M316" s="34">
        <f>IFERROR(IF(VLOOKUP(D:D,'테스트(4회)'!C:G,5, 0)="X",1,0),0)</f>
        <v>0</v>
      </c>
      <c r="N316" s="34">
        <f>IFERROR(IF(VLOOKUP(D:D,'테스트(5회)'!C:G,5, 0)="X",1,0),0)</f>
        <v>0</v>
      </c>
      <c r="O316" s="10"/>
    </row>
    <row r="317" spans="2:15" ht="142.5" x14ac:dyDescent="0.3">
      <c r="B317" s="17">
        <v>314</v>
      </c>
      <c r="C317" s="34" t="s">
        <v>741</v>
      </c>
      <c r="D317" s="27" t="s">
        <v>422</v>
      </c>
      <c r="E317" s="27" t="s">
        <v>608</v>
      </c>
      <c r="F317" s="29" t="s">
        <v>703</v>
      </c>
      <c r="G317" s="33">
        <v>1</v>
      </c>
      <c r="H317" s="34">
        <f t="shared" si="4"/>
        <v>0</v>
      </c>
      <c r="I317" s="9"/>
      <c r="J317" s="34">
        <f>IFERROR(IF(VLOOKUP(D:D,'테스트(1회)'!C:G,5, 0)="X",1,0),0)</f>
        <v>0</v>
      </c>
      <c r="K317" s="34">
        <f>IFERROR(IF(VLOOKUP(D:D,'테스트(2회)'!C:G,5, 0)="X",1,0),0)</f>
        <v>0</v>
      </c>
      <c r="L317" s="34">
        <f>IFERROR(IF(VLOOKUP(D:D,'테스트(3회)'!C:G,5, 0)="X",1,0),0)</f>
        <v>0</v>
      </c>
      <c r="M317" s="34">
        <f>IFERROR(IF(VLOOKUP(D:D,'테스트(4회)'!C:G,5, 0)="X",1,0),0)</f>
        <v>0</v>
      </c>
      <c r="N317" s="34">
        <f>IFERROR(IF(VLOOKUP(D:D,'테스트(5회)'!C:G,5, 0)="X",1,0),0)</f>
        <v>0</v>
      </c>
      <c r="O317" s="10" t="s">
        <v>704</v>
      </c>
    </row>
    <row r="318" spans="2:15" ht="128.25" x14ac:dyDescent="0.3">
      <c r="B318" s="17">
        <v>315</v>
      </c>
      <c r="C318" s="34" t="s">
        <v>741</v>
      </c>
      <c r="D318" s="27" t="s">
        <v>423</v>
      </c>
      <c r="E318" s="27" t="s">
        <v>608</v>
      </c>
      <c r="F318" s="29" t="s">
        <v>709</v>
      </c>
      <c r="G318" s="33">
        <v>3</v>
      </c>
      <c r="H318" s="34">
        <f t="shared" si="4"/>
        <v>0</v>
      </c>
      <c r="I318" s="9"/>
      <c r="J318" s="34">
        <f>IFERROR(IF(VLOOKUP(D:D,'테스트(1회)'!C:G,5, 0)="X",1,0),0)</f>
        <v>0</v>
      </c>
      <c r="K318" s="34">
        <f>IFERROR(IF(VLOOKUP(D:D,'테스트(2회)'!C:G,5, 0)="X",1,0),0)</f>
        <v>0</v>
      </c>
      <c r="L318" s="34">
        <f>IFERROR(IF(VLOOKUP(D:D,'테스트(3회)'!C:G,5, 0)="X",1,0),0)</f>
        <v>0</v>
      </c>
      <c r="M318" s="34">
        <f>IFERROR(IF(VLOOKUP(D:D,'테스트(4회)'!C:G,5, 0)="X",1,0),0)</f>
        <v>0</v>
      </c>
      <c r="N318" s="34">
        <f>IFERROR(IF(VLOOKUP(D:D,'테스트(5회)'!C:G,5, 0)="X",1,0),0)</f>
        <v>0</v>
      </c>
      <c r="O318" s="10"/>
    </row>
    <row r="319" spans="2:15" ht="114" x14ac:dyDescent="0.3">
      <c r="B319" s="17">
        <v>316</v>
      </c>
      <c r="C319" s="34" t="s">
        <v>742</v>
      </c>
      <c r="D319" s="27" t="s">
        <v>424</v>
      </c>
      <c r="E319" s="27" t="s">
        <v>608</v>
      </c>
      <c r="F319" s="29" t="s">
        <v>425</v>
      </c>
      <c r="G319" s="33">
        <v>3</v>
      </c>
      <c r="H319" s="34">
        <f t="shared" si="4"/>
        <v>0</v>
      </c>
      <c r="I319" s="9"/>
      <c r="J319" s="34">
        <f>IFERROR(IF(VLOOKUP(D:D,'테스트(1회)'!C:G,5, 0)="X",1,0),0)</f>
        <v>0</v>
      </c>
      <c r="K319" s="34">
        <f>IFERROR(IF(VLOOKUP(D:D,'테스트(2회)'!C:G,5, 0)="X",1,0),0)</f>
        <v>0</v>
      </c>
      <c r="L319" s="34">
        <f>IFERROR(IF(VLOOKUP(D:D,'테스트(3회)'!C:G,5, 0)="X",1,0),0)</f>
        <v>0</v>
      </c>
      <c r="M319" s="34">
        <f>IFERROR(IF(VLOOKUP(D:D,'테스트(4회)'!C:G,5, 0)="X",1,0),0)</f>
        <v>0</v>
      </c>
      <c r="N319" s="34">
        <f>IFERROR(IF(VLOOKUP(D:D,'테스트(5회)'!C:G,5, 0)="X",1,0),0)</f>
        <v>0</v>
      </c>
      <c r="O319" s="10"/>
    </row>
    <row r="320" spans="2:15" ht="114" x14ac:dyDescent="0.3">
      <c r="B320" s="17">
        <v>317</v>
      </c>
      <c r="C320" s="34" t="s">
        <v>742</v>
      </c>
      <c r="D320" s="27" t="s">
        <v>426</v>
      </c>
      <c r="E320" s="27" t="s">
        <v>608</v>
      </c>
      <c r="F320" s="29" t="s">
        <v>427</v>
      </c>
      <c r="G320" s="33">
        <v>1</v>
      </c>
      <c r="H320" s="34">
        <f t="shared" si="4"/>
        <v>0</v>
      </c>
      <c r="I320" s="9"/>
      <c r="J320" s="34">
        <f>IFERROR(IF(VLOOKUP(D:D,'테스트(1회)'!C:G,5, 0)="X",1,0),0)</f>
        <v>0</v>
      </c>
      <c r="K320" s="34">
        <f>IFERROR(IF(VLOOKUP(D:D,'테스트(2회)'!C:G,5, 0)="X",1,0),0)</f>
        <v>0</v>
      </c>
      <c r="L320" s="34">
        <f>IFERROR(IF(VLOOKUP(D:D,'테스트(3회)'!C:G,5, 0)="X",1,0),0)</f>
        <v>0</v>
      </c>
      <c r="M320" s="34">
        <f>IFERROR(IF(VLOOKUP(D:D,'테스트(4회)'!C:G,5, 0)="X",1,0),0)</f>
        <v>0</v>
      </c>
      <c r="N320" s="34">
        <f>IFERROR(IF(VLOOKUP(D:D,'테스트(5회)'!C:G,5, 0)="X",1,0),0)</f>
        <v>0</v>
      </c>
      <c r="O320" s="10"/>
    </row>
    <row r="321" spans="2:15" ht="99.75" x14ac:dyDescent="0.3">
      <c r="B321" s="17">
        <v>318</v>
      </c>
      <c r="C321" s="34" t="s">
        <v>742</v>
      </c>
      <c r="D321" s="27" t="s">
        <v>428</v>
      </c>
      <c r="E321" s="27" t="s">
        <v>608</v>
      </c>
      <c r="F321" s="29" t="s">
        <v>429</v>
      </c>
      <c r="G321" s="33">
        <v>5</v>
      </c>
      <c r="H321" s="34">
        <f t="shared" si="4"/>
        <v>0</v>
      </c>
      <c r="I321" s="9"/>
      <c r="J321" s="34">
        <f>IFERROR(IF(VLOOKUP(D:D,'테스트(1회)'!C:G,5, 0)="X",1,0),0)</f>
        <v>0</v>
      </c>
      <c r="K321" s="34">
        <f>IFERROR(IF(VLOOKUP(D:D,'테스트(2회)'!C:G,5, 0)="X",1,0),0)</f>
        <v>0</v>
      </c>
      <c r="L321" s="34">
        <f>IFERROR(IF(VLOOKUP(D:D,'테스트(3회)'!C:G,5, 0)="X",1,0),0)</f>
        <v>0</v>
      </c>
      <c r="M321" s="34">
        <f>IFERROR(IF(VLOOKUP(D:D,'테스트(4회)'!C:G,5, 0)="X",1,0),0)</f>
        <v>0</v>
      </c>
      <c r="N321" s="34">
        <f>IFERROR(IF(VLOOKUP(D:D,'테스트(5회)'!C:G,5, 0)="X",1,0),0)</f>
        <v>0</v>
      </c>
      <c r="O321" s="10"/>
    </row>
    <row r="322" spans="2:15" ht="85.5" x14ac:dyDescent="0.3">
      <c r="B322" s="17">
        <v>319</v>
      </c>
      <c r="C322" s="34" t="s">
        <v>742</v>
      </c>
      <c r="D322" s="27" t="s">
        <v>430</v>
      </c>
      <c r="E322" s="27" t="s">
        <v>608</v>
      </c>
      <c r="F322" s="29" t="s">
        <v>431</v>
      </c>
      <c r="G322" s="33">
        <v>5</v>
      </c>
      <c r="H322" s="34">
        <f t="shared" si="4"/>
        <v>0</v>
      </c>
      <c r="I322" s="9"/>
      <c r="J322" s="34">
        <f>IFERROR(IF(VLOOKUP(D:D,'테스트(1회)'!C:G,5, 0)="X",1,0),0)</f>
        <v>0</v>
      </c>
      <c r="K322" s="34">
        <f>IFERROR(IF(VLOOKUP(D:D,'테스트(2회)'!C:G,5, 0)="X",1,0),0)</f>
        <v>0</v>
      </c>
      <c r="L322" s="34">
        <f>IFERROR(IF(VLOOKUP(D:D,'테스트(3회)'!C:G,5, 0)="X",1,0),0)</f>
        <v>0</v>
      </c>
      <c r="M322" s="34">
        <f>IFERROR(IF(VLOOKUP(D:D,'테스트(4회)'!C:G,5, 0)="X",1,0),0)</f>
        <v>0</v>
      </c>
      <c r="N322" s="34">
        <f>IFERROR(IF(VLOOKUP(D:D,'테스트(5회)'!C:G,5, 0)="X",1,0),0)</f>
        <v>0</v>
      </c>
      <c r="O322" s="10"/>
    </row>
    <row r="323" spans="2:15" ht="128.25" x14ac:dyDescent="0.3">
      <c r="B323" s="17">
        <v>320</v>
      </c>
      <c r="C323" s="34" t="s">
        <v>742</v>
      </c>
      <c r="D323" s="27" t="s">
        <v>432</v>
      </c>
      <c r="E323" s="27" t="s">
        <v>608</v>
      </c>
      <c r="F323" s="29" t="s">
        <v>433</v>
      </c>
      <c r="G323" s="33">
        <v>2</v>
      </c>
      <c r="H323" s="34">
        <f t="shared" si="4"/>
        <v>0</v>
      </c>
      <c r="I323" s="9"/>
      <c r="J323" s="34">
        <f>IFERROR(IF(VLOOKUP(D:D,'테스트(1회)'!C:G,5, 0)="X",1,0),0)</f>
        <v>0</v>
      </c>
      <c r="K323" s="34">
        <f>IFERROR(IF(VLOOKUP(D:D,'테스트(2회)'!C:G,5, 0)="X",1,0),0)</f>
        <v>0</v>
      </c>
      <c r="L323" s="34">
        <f>IFERROR(IF(VLOOKUP(D:D,'테스트(3회)'!C:G,5, 0)="X",1,0),0)</f>
        <v>0</v>
      </c>
      <c r="M323" s="34">
        <f>IFERROR(IF(VLOOKUP(D:D,'테스트(4회)'!C:G,5, 0)="X",1,0),0)</f>
        <v>0</v>
      </c>
      <c r="N323" s="34">
        <f>IFERROR(IF(VLOOKUP(D:D,'테스트(5회)'!C:G,5, 0)="X",1,0),0)</f>
        <v>0</v>
      </c>
      <c r="O323" s="10"/>
    </row>
    <row r="324" spans="2:15" ht="99.75" x14ac:dyDescent="0.3">
      <c r="B324" s="17">
        <v>321</v>
      </c>
      <c r="C324" s="34" t="s">
        <v>742</v>
      </c>
      <c r="D324" s="27" t="s">
        <v>434</v>
      </c>
      <c r="E324" s="27" t="s">
        <v>608</v>
      </c>
      <c r="F324" s="29" t="s">
        <v>435</v>
      </c>
      <c r="G324" s="33">
        <v>3</v>
      </c>
      <c r="H324" s="34">
        <f t="shared" ref="H324:H387" si="5">SUM(J324:N324)</f>
        <v>0</v>
      </c>
      <c r="I324" s="9"/>
      <c r="J324" s="34">
        <f>IFERROR(IF(VLOOKUP(D:D,'테스트(1회)'!C:G,5, 0)="X",1,0),0)</f>
        <v>0</v>
      </c>
      <c r="K324" s="34">
        <f>IFERROR(IF(VLOOKUP(D:D,'테스트(2회)'!C:G,5, 0)="X",1,0),0)</f>
        <v>0</v>
      </c>
      <c r="L324" s="34">
        <f>IFERROR(IF(VLOOKUP(D:D,'테스트(3회)'!C:G,5, 0)="X",1,0),0)</f>
        <v>0</v>
      </c>
      <c r="M324" s="34">
        <f>IFERROR(IF(VLOOKUP(D:D,'테스트(4회)'!C:G,5, 0)="X",1,0),0)</f>
        <v>0</v>
      </c>
      <c r="N324" s="34">
        <f>IFERROR(IF(VLOOKUP(D:D,'테스트(5회)'!C:G,5, 0)="X",1,0),0)</f>
        <v>0</v>
      </c>
      <c r="O324" s="10"/>
    </row>
    <row r="325" spans="2:15" ht="85.5" x14ac:dyDescent="0.3">
      <c r="B325" s="17">
        <v>322</v>
      </c>
      <c r="C325" s="34" t="s">
        <v>742</v>
      </c>
      <c r="D325" s="27" t="s">
        <v>436</v>
      </c>
      <c r="E325" s="27" t="s">
        <v>608</v>
      </c>
      <c r="F325" s="29" t="s">
        <v>437</v>
      </c>
      <c r="G325" s="33">
        <v>2</v>
      </c>
      <c r="H325" s="34">
        <f t="shared" si="5"/>
        <v>0</v>
      </c>
      <c r="I325" s="9"/>
      <c r="J325" s="34">
        <f>IFERROR(IF(VLOOKUP(D:D,'테스트(1회)'!C:G,5, 0)="X",1,0),0)</f>
        <v>0</v>
      </c>
      <c r="K325" s="34">
        <f>IFERROR(IF(VLOOKUP(D:D,'테스트(2회)'!C:G,5, 0)="X",1,0),0)</f>
        <v>0</v>
      </c>
      <c r="L325" s="34">
        <f>IFERROR(IF(VLOOKUP(D:D,'테스트(3회)'!C:G,5, 0)="X",1,0),0)</f>
        <v>0</v>
      </c>
      <c r="M325" s="34">
        <f>IFERROR(IF(VLOOKUP(D:D,'테스트(4회)'!C:G,5, 0)="X",1,0),0)</f>
        <v>0</v>
      </c>
      <c r="N325" s="34">
        <f>IFERROR(IF(VLOOKUP(D:D,'테스트(5회)'!C:G,5, 0)="X",1,0),0)</f>
        <v>0</v>
      </c>
      <c r="O325" s="10"/>
    </row>
    <row r="326" spans="2:15" ht="99.75" x14ac:dyDescent="0.3">
      <c r="B326" s="17">
        <v>323</v>
      </c>
      <c r="C326" s="34" t="s">
        <v>742</v>
      </c>
      <c r="D326" s="27" t="s">
        <v>438</v>
      </c>
      <c r="E326" s="27" t="s">
        <v>608</v>
      </c>
      <c r="F326" s="29" t="s">
        <v>439</v>
      </c>
      <c r="G326" s="33">
        <v>4</v>
      </c>
      <c r="H326" s="34">
        <f t="shared" si="5"/>
        <v>0</v>
      </c>
      <c r="I326" s="9"/>
      <c r="J326" s="34">
        <f>IFERROR(IF(VLOOKUP(D:D,'테스트(1회)'!C:G,5, 0)="X",1,0),0)</f>
        <v>0</v>
      </c>
      <c r="K326" s="34">
        <f>IFERROR(IF(VLOOKUP(D:D,'테스트(2회)'!C:G,5, 0)="X",1,0),0)</f>
        <v>0</v>
      </c>
      <c r="L326" s="34">
        <f>IFERROR(IF(VLOOKUP(D:D,'테스트(3회)'!C:G,5, 0)="X",1,0),0)</f>
        <v>0</v>
      </c>
      <c r="M326" s="34">
        <f>IFERROR(IF(VLOOKUP(D:D,'테스트(4회)'!C:G,5, 0)="X",1,0),0)</f>
        <v>0</v>
      </c>
      <c r="N326" s="34">
        <f>IFERROR(IF(VLOOKUP(D:D,'테스트(5회)'!C:G,5, 0)="X",1,0),0)</f>
        <v>0</v>
      </c>
      <c r="O326" s="10"/>
    </row>
    <row r="327" spans="2:15" ht="85.5" x14ac:dyDescent="0.3">
      <c r="B327" s="17">
        <v>324</v>
      </c>
      <c r="C327" s="34" t="s">
        <v>742</v>
      </c>
      <c r="D327" s="27" t="s">
        <v>440</v>
      </c>
      <c r="E327" s="27" t="s">
        <v>608</v>
      </c>
      <c r="F327" s="29" t="s">
        <v>441</v>
      </c>
      <c r="G327" s="33">
        <v>2</v>
      </c>
      <c r="H327" s="34">
        <f t="shared" si="5"/>
        <v>0</v>
      </c>
      <c r="I327" s="9"/>
      <c r="J327" s="34">
        <f>IFERROR(IF(VLOOKUP(D:D,'테스트(1회)'!C:G,5, 0)="X",1,0),0)</f>
        <v>0</v>
      </c>
      <c r="K327" s="34">
        <f>IFERROR(IF(VLOOKUP(D:D,'테스트(2회)'!C:G,5, 0)="X",1,0),0)</f>
        <v>0</v>
      </c>
      <c r="L327" s="34">
        <f>IFERROR(IF(VLOOKUP(D:D,'테스트(3회)'!C:G,5, 0)="X",1,0),0)</f>
        <v>0</v>
      </c>
      <c r="M327" s="34">
        <f>IFERROR(IF(VLOOKUP(D:D,'테스트(4회)'!C:G,5, 0)="X",1,0),0)</f>
        <v>0</v>
      </c>
      <c r="N327" s="34">
        <f>IFERROR(IF(VLOOKUP(D:D,'테스트(5회)'!C:G,5, 0)="X",1,0),0)</f>
        <v>0</v>
      </c>
      <c r="O327" s="10"/>
    </row>
    <row r="328" spans="2:15" ht="114" x14ac:dyDescent="0.3">
      <c r="B328" s="17">
        <v>325</v>
      </c>
      <c r="C328" s="34" t="s">
        <v>742</v>
      </c>
      <c r="D328" s="27" t="s">
        <v>442</v>
      </c>
      <c r="E328" s="27" t="s">
        <v>608</v>
      </c>
      <c r="F328" s="29" t="s">
        <v>443</v>
      </c>
      <c r="G328" s="33">
        <v>1</v>
      </c>
      <c r="H328" s="34">
        <f t="shared" si="5"/>
        <v>0</v>
      </c>
      <c r="I328" s="9"/>
      <c r="J328" s="34">
        <f>IFERROR(IF(VLOOKUP(D:D,'테스트(1회)'!C:G,5, 0)="X",1,0),0)</f>
        <v>0</v>
      </c>
      <c r="K328" s="34">
        <f>IFERROR(IF(VLOOKUP(D:D,'테스트(2회)'!C:G,5, 0)="X",1,0),0)</f>
        <v>0</v>
      </c>
      <c r="L328" s="34">
        <f>IFERROR(IF(VLOOKUP(D:D,'테스트(3회)'!C:G,5, 0)="X",1,0),0)</f>
        <v>0</v>
      </c>
      <c r="M328" s="34">
        <f>IFERROR(IF(VLOOKUP(D:D,'테스트(4회)'!C:G,5, 0)="X",1,0),0)</f>
        <v>0</v>
      </c>
      <c r="N328" s="34">
        <f>IFERROR(IF(VLOOKUP(D:D,'테스트(5회)'!C:G,5, 0)="X",1,0),0)</f>
        <v>0</v>
      </c>
      <c r="O328" s="10"/>
    </row>
    <row r="329" spans="2:15" ht="85.5" x14ac:dyDescent="0.3">
      <c r="B329" s="17">
        <v>326</v>
      </c>
      <c r="C329" s="34" t="s">
        <v>742</v>
      </c>
      <c r="D329" s="27" t="s">
        <v>444</v>
      </c>
      <c r="E329" s="27" t="s">
        <v>608</v>
      </c>
      <c r="F329" s="29" t="s">
        <v>445</v>
      </c>
      <c r="G329" s="33">
        <v>3</v>
      </c>
      <c r="H329" s="34">
        <f t="shared" si="5"/>
        <v>0</v>
      </c>
      <c r="I329" s="9"/>
      <c r="J329" s="34">
        <f>IFERROR(IF(VLOOKUP(D:D,'테스트(1회)'!C:G,5, 0)="X",1,0),0)</f>
        <v>0</v>
      </c>
      <c r="K329" s="34">
        <f>IFERROR(IF(VLOOKUP(D:D,'테스트(2회)'!C:G,5, 0)="X",1,0),0)</f>
        <v>0</v>
      </c>
      <c r="L329" s="34">
        <f>IFERROR(IF(VLOOKUP(D:D,'테스트(3회)'!C:G,5, 0)="X",1,0),0)</f>
        <v>0</v>
      </c>
      <c r="M329" s="34">
        <f>IFERROR(IF(VLOOKUP(D:D,'테스트(4회)'!C:G,5, 0)="X",1,0),0)</f>
        <v>0</v>
      </c>
      <c r="N329" s="34">
        <f>IFERROR(IF(VLOOKUP(D:D,'테스트(5회)'!C:G,5, 0)="X",1,0),0)</f>
        <v>0</v>
      </c>
      <c r="O329" s="10"/>
    </row>
    <row r="330" spans="2:15" ht="114" x14ac:dyDescent="0.3">
      <c r="B330" s="17">
        <v>327</v>
      </c>
      <c r="C330" s="34" t="s">
        <v>742</v>
      </c>
      <c r="D330" s="27" t="s">
        <v>446</v>
      </c>
      <c r="E330" s="27" t="s">
        <v>608</v>
      </c>
      <c r="F330" s="29" t="s">
        <v>447</v>
      </c>
      <c r="G330" s="33">
        <v>4</v>
      </c>
      <c r="H330" s="34">
        <f t="shared" si="5"/>
        <v>0</v>
      </c>
      <c r="I330" s="9"/>
      <c r="J330" s="34">
        <f>IFERROR(IF(VLOOKUP(D:D,'테스트(1회)'!C:G,5, 0)="X",1,0),0)</f>
        <v>0</v>
      </c>
      <c r="K330" s="34">
        <f>IFERROR(IF(VLOOKUP(D:D,'테스트(2회)'!C:G,5, 0)="X",1,0),0)</f>
        <v>0</v>
      </c>
      <c r="L330" s="34">
        <f>IFERROR(IF(VLOOKUP(D:D,'테스트(3회)'!C:G,5, 0)="X",1,0),0)</f>
        <v>0</v>
      </c>
      <c r="M330" s="34">
        <f>IFERROR(IF(VLOOKUP(D:D,'테스트(4회)'!C:G,5, 0)="X",1,0),0)</f>
        <v>0</v>
      </c>
      <c r="N330" s="34">
        <f>IFERROR(IF(VLOOKUP(D:D,'테스트(5회)'!C:G,5, 0)="X",1,0),0)</f>
        <v>0</v>
      </c>
      <c r="O330" s="10"/>
    </row>
    <row r="331" spans="2:15" ht="128.25" x14ac:dyDescent="0.3">
      <c r="B331" s="17">
        <v>328</v>
      </c>
      <c r="C331" s="34" t="s">
        <v>742</v>
      </c>
      <c r="D331" s="27" t="s">
        <v>448</v>
      </c>
      <c r="E331" s="27" t="s">
        <v>608</v>
      </c>
      <c r="F331" s="29" t="s">
        <v>707</v>
      </c>
      <c r="G331" s="33">
        <v>2</v>
      </c>
      <c r="H331" s="34">
        <f t="shared" si="5"/>
        <v>0</v>
      </c>
      <c r="I331" s="9"/>
      <c r="J331" s="34">
        <f>IFERROR(IF(VLOOKUP(D:D,'테스트(1회)'!C:G,5, 0)="X",1,0),0)</f>
        <v>0</v>
      </c>
      <c r="K331" s="34">
        <f>IFERROR(IF(VLOOKUP(D:D,'테스트(2회)'!C:G,5, 0)="X",1,0),0)</f>
        <v>0</v>
      </c>
      <c r="L331" s="34">
        <f>IFERROR(IF(VLOOKUP(D:D,'테스트(3회)'!C:G,5, 0)="X",1,0),0)</f>
        <v>0</v>
      </c>
      <c r="M331" s="34">
        <f>IFERROR(IF(VLOOKUP(D:D,'테스트(4회)'!C:G,5, 0)="X",1,0),0)</f>
        <v>0</v>
      </c>
      <c r="N331" s="34">
        <f>IFERROR(IF(VLOOKUP(D:D,'테스트(5회)'!C:G,5, 0)="X",1,0),0)</f>
        <v>0</v>
      </c>
      <c r="O331" s="10"/>
    </row>
    <row r="332" spans="2:15" ht="85.5" x14ac:dyDescent="0.3">
      <c r="B332" s="17">
        <v>329</v>
      </c>
      <c r="C332" s="34" t="s">
        <v>742</v>
      </c>
      <c r="D332" s="27" t="s">
        <v>449</v>
      </c>
      <c r="E332" s="27" t="s">
        <v>608</v>
      </c>
      <c r="F332" s="29" t="s">
        <v>450</v>
      </c>
      <c r="G332" s="33">
        <v>2</v>
      </c>
      <c r="H332" s="34">
        <f t="shared" si="5"/>
        <v>0</v>
      </c>
      <c r="I332" s="9"/>
      <c r="J332" s="34">
        <f>IFERROR(IF(VLOOKUP(D:D,'테스트(1회)'!C:G,5, 0)="X",1,0),0)</f>
        <v>0</v>
      </c>
      <c r="K332" s="34">
        <f>IFERROR(IF(VLOOKUP(D:D,'테스트(2회)'!C:G,5, 0)="X",1,0),0)</f>
        <v>0</v>
      </c>
      <c r="L332" s="34">
        <f>IFERROR(IF(VLOOKUP(D:D,'테스트(3회)'!C:G,5, 0)="X",1,0),0)</f>
        <v>0</v>
      </c>
      <c r="M332" s="34">
        <f>IFERROR(IF(VLOOKUP(D:D,'테스트(4회)'!C:G,5, 0)="X",1,0),0)</f>
        <v>0</v>
      </c>
      <c r="N332" s="34">
        <f>IFERROR(IF(VLOOKUP(D:D,'테스트(5회)'!C:G,5, 0)="X",1,0),0)</f>
        <v>0</v>
      </c>
      <c r="O332" s="10"/>
    </row>
    <row r="333" spans="2:15" ht="156.75" x14ac:dyDescent="0.3">
      <c r="B333" s="17">
        <v>330</v>
      </c>
      <c r="C333" s="34" t="s">
        <v>742</v>
      </c>
      <c r="D333" s="27" t="s">
        <v>451</v>
      </c>
      <c r="E333" s="27" t="s">
        <v>608</v>
      </c>
      <c r="F333" s="29" t="s">
        <v>694</v>
      </c>
      <c r="G333" s="33">
        <v>3</v>
      </c>
      <c r="H333" s="34">
        <f t="shared" si="5"/>
        <v>0</v>
      </c>
      <c r="I333" s="9"/>
      <c r="J333" s="34">
        <f>IFERROR(IF(VLOOKUP(D:D,'테스트(1회)'!C:G,5, 0)="X",1,0),0)</f>
        <v>0</v>
      </c>
      <c r="K333" s="34">
        <f>IFERROR(IF(VLOOKUP(D:D,'테스트(2회)'!C:G,5, 0)="X",1,0),0)</f>
        <v>0</v>
      </c>
      <c r="L333" s="34">
        <f>IFERROR(IF(VLOOKUP(D:D,'테스트(3회)'!C:G,5, 0)="X",1,0),0)</f>
        <v>0</v>
      </c>
      <c r="M333" s="34">
        <f>IFERROR(IF(VLOOKUP(D:D,'테스트(4회)'!C:G,5, 0)="X",1,0),0)</f>
        <v>0</v>
      </c>
      <c r="N333" s="34">
        <f>IFERROR(IF(VLOOKUP(D:D,'테스트(5회)'!C:G,5, 0)="X",1,0),0)</f>
        <v>0</v>
      </c>
      <c r="O333" s="10" t="s">
        <v>696</v>
      </c>
    </row>
    <row r="334" spans="2:15" ht="156.75" x14ac:dyDescent="0.3">
      <c r="B334" s="17">
        <v>331</v>
      </c>
      <c r="C334" s="34" t="s">
        <v>742</v>
      </c>
      <c r="D334" s="27" t="s">
        <v>452</v>
      </c>
      <c r="E334" s="27" t="s">
        <v>608</v>
      </c>
      <c r="F334" s="29" t="s">
        <v>453</v>
      </c>
      <c r="G334" s="33">
        <v>2</v>
      </c>
      <c r="H334" s="34">
        <f t="shared" si="5"/>
        <v>0</v>
      </c>
      <c r="I334" s="9"/>
      <c r="J334" s="34">
        <f>IFERROR(IF(VLOOKUP(D:D,'테스트(1회)'!C:G,5, 0)="X",1,0),0)</f>
        <v>0</v>
      </c>
      <c r="K334" s="34">
        <f>IFERROR(IF(VLOOKUP(D:D,'테스트(2회)'!C:G,5, 0)="X",1,0),0)</f>
        <v>0</v>
      </c>
      <c r="L334" s="34">
        <f>IFERROR(IF(VLOOKUP(D:D,'테스트(3회)'!C:G,5, 0)="X",1,0),0)</f>
        <v>0</v>
      </c>
      <c r="M334" s="34">
        <f>IFERROR(IF(VLOOKUP(D:D,'테스트(4회)'!C:G,5, 0)="X",1,0),0)</f>
        <v>0</v>
      </c>
      <c r="N334" s="34">
        <f>IFERROR(IF(VLOOKUP(D:D,'테스트(5회)'!C:G,5, 0)="X",1,0),0)</f>
        <v>0</v>
      </c>
      <c r="O334" s="10"/>
    </row>
    <row r="335" spans="2:15" ht="114" x14ac:dyDescent="0.3">
      <c r="B335" s="17">
        <v>332</v>
      </c>
      <c r="C335" s="34" t="s">
        <v>742</v>
      </c>
      <c r="D335" s="27" t="s">
        <v>454</v>
      </c>
      <c r="E335" s="27" t="s">
        <v>608</v>
      </c>
      <c r="F335" s="29" t="s">
        <v>455</v>
      </c>
      <c r="G335" s="33">
        <v>1</v>
      </c>
      <c r="H335" s="34">
        <f t="shared" si="5"/>
        <v>0</v>
      </c>
      <c r="I335" s="9"/>
      <c r="J335" s="34">
        <f>IFERROR(IF(VLOOKUP(D:D,'테스트(1회)'!C:G,5, 0)="X",1,0),0)</f>
        <v>0</v>
      </c>
      <c r="K335" s="34">
        <f>IFERROR(IF(VLOOKUP(D:D,'테스트(2회)'!C:G,5, 0)="X",1,0),0)</f>
        <v>0</v>
      </c>
      <c r="L335" s="34">
        <f>IFERROR(IF(VLOOKUP(D:D,'테스트(3회)'!C:G,5, 0)="X",1,0),0)</f>
        <v>0</v>
      </c>
      <c r="M335" s="34">
        <f>IFERROR(IF(VLOOKUP(D:D,'테스트(4회)'!C:G,5, 0)="X",1,0),0)</f>
        <v>0</v>
      </c>
      <c r="N335" s="34">
        <f>IFERROR(IF(VLOOKUP(D:D,'테스트(5회)'!C:G,5, 0)="X",1,0),0)</f>
        <v>0</v>
      </c>
      <c r="O335" s="10"/>
    </row>
    <row r="336" spans="2:15" ht="99.75" x14ac:dyDescent="0.3">
      <c r="B336" s="17">
        <v>333</v>
      </c>
      <c r="C336" s="34" t="s">
        <v>742</v>
      </c>
      <c r="D336" s="27" t="s">
        <v>456</v>
      </c>
      <c r="E336" s="27" t="s">
        <v>608</v>
      </c>
      <c r="F336" s="29" t="s">
        <v>457</v>
      </c>
      <c r="G336" s="33">
        <v>3</v>
      </c>
      <c r="H336" s="34">
        <f t="shared" si="5"/>
        <v>0</v>
      </c>
      <c r="I336" s="9"/>
      <c r="J336" s="34">
        <f>IFERROR(IF(VLOOKUP(D:D,'테스트(1회)'!C:G,5, 0)="X",1,0),0)</f>
        <v>0</v>
      </c>
      <c r="K336" s="34">
        <f>IFERROR(IF(VLOOKUP(D:D,'테스트(2회)'!C:G,5, 0)="X",1,0),0)</f>
        <v>0</v>
      </c>
      <c r="L336" s="34">
        <f>IFERROR(IF(VLOOKUP(D:D,'테스트(3회)'!C:G,5, 0)="X",1,0),0)</f>
        <v>0</v>
      </c>
      <c r="M336" s="34">
        <f>IFERROR(IF(VLOOKUP(D:D,'테스트(4회)'!C:G,5, 0)="X",1,0),0)</f>
        <v>0</v>
      </c>
      <c r="N336" s="34">
        <f>IFERROR(IF(VLOOKUP(D:D,'테스트(5회)'!C:G,5, 0)="X",1,0),0)</f>
        <v>0</v>
      </c>
      <c r="O336" s="10"/>
    </row>
    <row r="337" spans="2:15" ht="142.5" x14ac:dyDescent="0.3">
      <c r="B337" s="17">
        <v>334</v>
      </c>
      <c r="C337" s="34" t="s">
        <v>742</v>
      </c>
      <c r="D337" s="27" t="s">
        <v>458</v>
      </c>
      <c r="E337" s="27" t="s">
        <v>608</v>
      </c>
      <c r="F337" s="29" t="s">
        <v>698</v>
      </c>
      <c r="G337" s="33">
        <v>1</v>
      </c>
      <c r="H337" s="34">
        <f t="shared" si="5"/>
        <v>0</v>
      </c>
      <c r="I337" s="9"/>
      <c r="J337" s="34">
        <f>IFERROR(IF(VLOOKUP(D:D,'테스트(1회)'!C:G,5, 0)="X",1,0),0)</f>
        <v>0</v>
      </c>
      <c r="K337" s="34">
        <f>IFERROR(IF(VLOOKUP(D:D,'테스트(2회)'!C:G,5, 0)="X",1,0),0)</f>
        <v>0</v>
      </c>
      <c r="L337" s="34">
        <f>IFERROR(IF(VLOOKUP(D:D,'테스트(3회)'!C:G,5, 0)="X",1,0),0)</f>
        <v>0</v>
      </c>
      <c r="M337" s="34">
        <f>IFERROR(IF(VLOOKUP(D:D,'테스트(4회)'!C:G,5, 0)="X",1,0),0)</f>
        <v>0</v>
      </c>
      <c r="N337" s="34">
        <f>IFERROR(IF(VLOOKUP(D:D,'테스트(5회)'!C:G,5, 0)="X",1,0),0)</f>
        <v>0</v>
      </c>
      <c r="O337" s="10"/>
    </row>
    <row r="338" spans="2:15" ht="99.75" x14ac:dyDescent="0.3">
      <c r="B338" s="17">
        <v>335</v>
      </c>
      <c r="C338" s="34" t="s">
        <v>742</v>
      </c>
      <c r="D338" s="27" t="s">
        <v>459</v>
      </c>
      <c r="E338" s="27" t="s">
        <v>608</v>
      </c>
      <c r="F338" s="29" t="s">
        <v>460</v>
      </c>
      <c r="G338" s="33">
        <v>3</v>
      </c>
      <c r="H338" s="34">
        <f t="shared" si="5"/>
        <v>0</v>
      </c>
      <c r="I338" s="9"/>
      <c r="J338" s="34">
        <f>IFERROR(IF(VLOOKUP(D:D,'테스트(1회)'!C:G,5, 0)="X",1,0),0)</f>
        <v>0</v>
      </c>
      <c r="K338" s="34">
        <f>IFERROR(IF(VLOOKUP(D:D,'테스트(2회)'!C:G,5, 0)="X",1,0),0)</f>
        <v>0</v>
      </c>
      <c r="L338" s="34">
        <f>IFERROR(IF(VLOOKUP(D:D,'테스트(3회)'!C:G,5, 0)="X",1,0),0)</f>
        <v>0</v>
      </c>
      <c r="M338" s="34">
        <f>IFERROR(IF(VLOOKUP(D:D,'테스트(4회)'!C:G,5, 0)="X",1,0),0)</f>
        <v>0</v>
      </c>
      <c r="N338" s="34">
        <f>IFERROR(IF(VLOOKUP(D:D,'테스트(5회)'!C:G,5, 0)="X",1,0),0)</f>
        <v>0</v>
      </c>
      <c r="O338" s="10"/>
    </row>
    <row r="339" spans="2:15" ht="99.75" x14ac:dyDescent="0.3">
      <c r="B339" s="17">
        <v>336</v>
      </c>
      <c r="C339" s="34" t="s">
        <v>742</v>
      </c>
      <c r="D339" s="27" t="s">
        <v>461</v>
      </c>
      <c r="E339" s="27" t="s">
        <v>608</v>
      </c>
      <c r="F339" s="29" t="s">
        <v>462</v>
      </c>
      <c r="G339" s="33">
        <v>5</v>
      </c>
      <c r="H339" s="34">
        <f t="shared" si="5"/>
        <v>0</v>
      </c>
      <c r="I339" s="9"/>
      <c r="J339" s="34">
        <f>IFERROR(IF(VLOOKUP(D:D,'테스트(1회)'!C:G,5, 0)="X",1,0),0)</f>
        <v>0</v>
      </c>
      <c r="K339" s="34">
        <f>IFERROR(IF(VLOOKUP(D:D,'테스트(2회)'!C:G,5, 0)="X",1,0),0)</f>
        <v>0</v>
      </c>
      <c r="L339" s="34">
        <f>IFERROR(IF(VLOOKUP(D:D,'테스트(3회)'!C:G,5, 0)="X",1,0),0)</f>
        <v>0</v>
      </c>
      <c r="M339" s="34">
        <f>IFERROR(IF(VLOOKUP(D:D,'테스트(4회)'!C:G,5, 0)="X",1,0),0)</f>
        <v>0</v>
      </c>
      <c r="N339" s="34">
        <f>IFERROR(IF(VLOOKUP(D:D,'테스트(5회)'!C:G,5, 0)="X",1,0),0)</f>
        <v>0</v>
      </c>
      <c r="O339" s="10"/>
    </row>
    <row r="340" spans="2:15" ht="156.75" x14ac:dyDescent="0.3">
      <c r="B340" s="17">
        <v>337</v>
      </c>
      <c r="C340" s="34" t="s">
        <v>742</v>
      </c>
      <c r="D340" s="27" t="s">
        <v>463</v>
      </c>
      <c r="E340" s="27" t="s">
        <v>608</v>
      </c>
      <c r="F340" s="29" t="s">
        <v>464</v>
      </c>
      <c r="G340" s="33">
        <v>5</v>
      </c>
      <c r="H340" s="34">
        <f t="shared" si="5"/>
        <v>0</v>
      </c>
      <c r="I340" s="9"/>
      <c r="J340" s="34">
        <f>IFERROR(IF(VLOOKUP(D:D,'테스트(1회)'!C:G,5, 0)="X",1,0),0)</f>
        <v>0</v>
      </c>
      <c r="K340" s="34">
        <f>IFERROR(IF(VLOOKUP(D:D,'테스트(2회)'!C:G,5, 0)="X",1,0),0)</f>
        <v>0</v>
      </c>
      <c r="L340" s="34">
        <f>IFERROR(IF(VLOOKUP(D:D,'테스트(3회)'!C:G,5, 0)="X",1,0),0)</f>
        <v>0</v>
      </c>
      <c r="M340" s="34">
        <f>IFERROR(IF(VLOOKUP(D:D,'테스트(4회)'!C:G,5, 0)="X",1,0),0)</f>
        <v>0</v>
      </c>
      <c r="N340" s="34">
        <f>IFERROR(IF(VLOOKUP(D:D,'테스트(5회)'!C:G,5, 0)="X",1,0),0)</f>
        <v>0</v>
      </c>
      <c r="O340" s="10"/>
    </row>
    <row r="341" spans="2:15" ht="85.5" x14ac:dyDescent="0.3">
      <c r="B341" s="17">
        <v>338</v>
      </c>
      <c r="C341" s="34" t="s">
        <v>742</v>
      </c>
      <c r="D341" s="27" t="s">
        <v>465</v>
      </c>
      <c r="E341" s="27" t="s">
        <v>608</v>
      </c>
      <c r="F341" s="29" t="s">
        <v>466</v>
      </c>
      <c r="G341" s="33">
        <v>4</v>
      </c>
      <c r="H341" s="34">
        <f t="shared" si="5"/>
        <v>0</v>
      </c>
      <c r="I341" s="9"/>
      <c r="J341" s="34">
        <f>IFERROR(IF(VLOOKUP(D:D,'테스트(1회)'!C:G,5, 0)="X",1,0),0)</f>
        <v>0</v>
      </c>
      <c r="K341" s="34">
        <f>IFERROR(IF(VLOOKUP(D:D,'테스트(2회)'!C:G,5, 0)="X",1,0),0)</f>
        <v>0</v>
      </c>
      <c r="L341" s="34">
        <f>IFERROR(IF(VLOOKUP(D:D,'테스트(3회)'!C:G,5, 0)="X",1,0),0)</f>
        <v>0</v>
      </c>
      <c r="M341" s="34">
        <f>IFERROR(IF(VLOOKUP(D:D,'테스트(4회)'!C:G,5, 0)="X",1,0),0)</f>
        <v>0</v>
      </c>
      <c r="N341" s="34">
        <f>IFERROR(IF(VLOOKUP(D:D,'테스트(5회)'!C:G,5, 0)="X",1,0),0)</f>
        <v>0</v>
      </c>
      <c r="O341" s="10"/>
    </row>
    <row r="342" spans="2:15" ht="156.75" x14ac:dyDescent="0.3">
      <c r="B342" s="17">
        <v>339</v>
      </c>
      <c r="C342" s="34" t="s">
        <v>742</v>
      </c>
      <c r="D342" s="27" t="s">
        <v>467</v>
      </c>
      <c r="E342" s="27" t="s">
        <v>608</v>
      </c>
      <c r="F342" s="29" t="s">
        <v>468</v>
      </c>
      <c r="G342" s="33">
        <v>3</v>
      </c>
      <c r="H342" s="34">
        <f t="shared" si="5"/>
        <v>0</v>
      </c>
      <c r="I342" s="9"/>
      <c r="J342" s="34">
        <f>IFERROR(IF(VLOOKUP(D:D,'테스트(1회)'!C:G,5, 0)="X",1,0),0)</f>
        <v>0</v>
      </c>
      <c r="K342" s="34">
        <f>IFERROR(IF(VLOOKUP(D:D,'테스트(2회)'!C:G,5, 0)="X",1,0),0)</f>
        <v>0</v>
      </c>
      <c r="L342" s="34">
        <f>IFERROR(IF(VLOOKUP(D:D,'테스트(3회)'!C:G,5, 0)="X",1,0),0)</f>
        <v>0</v>
      </c>
      <c r="M342" s="34">
        <f>IFERROR(IF(VLOOKUP(D:D,'테스트(4회)'!C:G,5, 0)="X",1,0),0)</f>
        <v>0</v>
      </c>
      <c r="N342" s="34">
        <f>IFERROR(IF(VLOOKUP(D:D,'테스트(5회)'!C:G,5, 0)="X",1,0),0)</f>
        <v>0</v>
      </c>
      <c r="O342" s="10"/>
    </row>
    <row r="343" spans="2:15" ht="142.5" x14ac:dyDescent="0.3">
      <c r="B343" s="17">
        <v>340</v>
      </c>
      <c r="C343" s="34" t="s">
        <v>742</v>
      </c>
      <c r="D343" s="27" t="s">
        <v>469</v>
      </c>
      <c r="E343" s="27" t="s">
        <v>608</v>
      </c>
      <c r="F343" s="29" t="s">
        <v>470</v>
      </c>
      <c r="G343" s="33">
        <v>5</v>
      </c>
      <c r="H343" s="34">
        <f t="shared" si="5"/>
        <v>0</v>
      </c>
      <c r="I343" s="9"/>
      <c r="J343" s="34">
        <f>IFERROR(IF(VLOOKUP(D:D,'테스트(1회)'!C:G,5, 0)="X",1,0),0)</f>
        <v>0</v>
      </c>
      <c r="K343" s="34">
        <f>IFERROR(IF(VLOOKUP(D:D,'테스트(2회)'!C:G,5, 0)="X",1,0),0)</f>
        <v>0</v>
      </c>
      <c r="L343" s="34">
        <f>IFERROR(IF(VLOOKUP(D:D,'테스트(3회)'!C:G,5, 0)="X",1,0),0)</f>
        <v>0</v>
      </c>
      <c r="M343" s="34">
        <f>IFERROR(IF(VLOOKUP(D:D,'테스트(4회)'!C:G,5, 0)="X",1,0),0)</f>
        <v>0</v>
      </c>
      <c r="N343" s="34">
        <f>IFERROR(IF(VLOOKUP(D:D,'테스트(5회)'!C:G,5, 0)="X",1,0),0)</f>
        <v>0</v>
      </c>
      <c r="O343" s="10"/>
    </row>
    <row r="344" spans="2:15" ht="114" x14ac:dyDescent="0.3">
      <c r="B344" s="17">
        <v>341</v>
      </c>
      <c r="C344" s="34" t="s">
        <v>734</v>
      </c>
      <c r="D344" s="27" t="s">
        <v>471</v>
      </c>
      <c r="E344" s="27" t="s">
        <v>608</v>
      </c>
      <c r="F344" s="29" t="s">
        <v>472</v>
      </c>
      <c r="G344" s="33">
        <v>4</v>
      </c>
      <c r="H344" s="34">
        <f t="shared" si="5"/>
        <v>0</v>
      </c>
      <c r="I344" s="9"/>
      <c r="J344" s="34">
        <f>IFERROR(IF(VLOOKUP(D:D,'테스트(1회)'!C:G,5, 0)="X",1,0),0)</f>
        <v>0</v>
      </c>
      <c r="K344" s="34">
        <f>IFERROR(IF(VLOOKUP(D:D,'테스트(2회)'!C:G,5, 0)="X",1,0),0)</f>
        <v>0</v>
      </c>
      <c r="L344" s="34">
        <f>IFERROR(IF(VLOOKUP(D:D,'테스트(3회)'!C:G,5, 0)="X",1,0),0)</f>
        <v>0</v>
      </c>
      <c r="M344" s="34">
        <f>IFERROR(IF(VLOOKUP(D:D,'테스트(4회)'!C:G,5, 0)="X",1,0),0)</f>
        <v>0</v>
      </c>
      <c r="N344" s="34">
        <f>IFERROR(IF(VLOOKUP(D:D,'테스트(5회)'!C:G,5, 0)="X",1,0),0)</f>
        <v>0</v>
      </c>
      <c r="O344" s="10"/>
    </row>
    <row r="345" spans="2:15" ht="85.5" x14ac:dyDescent="0.3">
      <c r="B345" s="17">
        <v>342</v>
      </c>
      <c r="C345" s="34" t="s">
        <v>734</v>
      </c>
      <c r="D345" s="27" t="s">
        <v>473</v>
      </c>
      <c r="E345" s="27" t="s">
        <v>608</v>
      </c>
      <c r="F345" s="29" t="s">
        <v>474</v>
      </c>
      <c r="G345" s="33">
        <v>5</v>
      </c>
      <c r="H345" s="34">
        <f t="shared" si="5"/>
        <v>0</v>
      </c>
      <c r="I345" s="9"/>
      <c r="J345" s="34">
        <f>IFERROR(IF(VLOOKUP(D:D,'테스트(1회)'!C:G,5, 0)="X",1,0),0)</f>
        <v>0</v>
      </c>
      <c r="K345" s="34">
        <f>IFERROR(IF(VLOOKUP(D:D,'테스트(2회)'!C:G,5, 0)="X",1,0),0)</f>
        <v>0</v>
      </c>
      <c r="L345" s="34">
        <f>IFERROR(IF(VLOOKUP(D:D,'테스트(3회)'!C:G,5, 0)="X",1,0),0)</f>
        <v>0</v>
      </c>
      <c r="M345" s="34">
        <f>IFERROR(IF(VLOOKUP(D:D,'테스트(4회)'!C:G,5, 0)="X",1,0),0)</f>
        <v>0</v>
      </c>
      <c r="N345" s="34">
        <f>IFERROR(IF(VLOOKUP(D:D,'테스트(5회)'!C:G,5, 0)="X",1,0),0)</f>
        <v>0</v>
      </c>
      <c r="O345" s="10"/>
    </row>
    <row r="346" spans="2:15" ht="85.5" x14ac:dyDescent="0.3">
      <c r="B346" s="17">
        <v>343</v>
      </c>
      <c r="C346" s="34" t="s">
        <v>734</v>
      </c>
      <c r="D346" s="27" t="s">
        <v>475</v>
      </c>
      <c r="E346" s="27" t="s">
        <v>608</v>
      </c>
      <c r="F346" s="29" t="s">
        <v>476</v>
      </c>
      <c r="G346" s="33">
        <v>1</v>
      </c>
      <c r="H346" s="34">
        <f t="shared" si="5"/>
        <v>0</v>
      </c>
      <c r="I346" s="9"/>
      <c r="J346" s="34">
        <f>IFERROR(IF(VLOOKUP(D:D,'테스트(1회)'!C:G,5, 0)="X",1,0),0)</f>
        <v>0</v>
      </c>
      <c r="K346" s="34">
        <f>IFERROR(IF(VLOOKUP(D:D,'테스트(2회)'!C:G,5, 0)="X",1,0),0)</f>
        <v>0</v>
      </c>
      <c r="L346" s="34">
        <f>IFERROR(IF(VLOOKUP(D:D,'테스트(3회)'!C:G,5, 0)="X",1,0),0)</f>
        <v>0</v>
      </c>
      <c r="M346" s="34">
        <f>IFERROR(IF(VLOOKUP(D:D,'테스트(4회)'!C:G,5, 0)="X",1,0),0)</f>
        <v>0</v>
      </c>
      <c r="N346" s="34">
        <f>IFERROR(IF(VLOOKUP(D:D,'테스트(5회)'!C:G,5, 0)="X",1,0),0)</f>
        <v>0</v>
      </c>
      <c r="O346" s="10"/>
    </row>
    <row r="347" spans="2:15" ht="99.75" x14ac:dyDescent="0.3">
      <c r="B347" s="17">
        <v>344</v>
      </c>
      <c r="C347" s="34" t="s">
        <v>734</v>
      </c>
      <c r="D347" s="27" t="s">
        <v>477</v>
      </c>
      <c r="E347" s="27" t="s">
        <v>608</v>
      </c>
      <c r="F347" s="29" t="s">
        <v>478</v>
      </c>
      <c r="G347" s="33">
        <v>2</v>
      </c>
      <c r="H347" s="34">
        <f t="shared" si="5"/>
        <v>0</v>
      </c>
      <c r="I347" s="9"/>
      <c r="J347" s="34">
        <f>IFERROR(IF(VLOOKUP(D:D,'테스트(1회)'!C:G,5, 0)="X",1,0),0)</f>
        <v>0</v>
      </c>
      <c r="K347" s="34">
        <f>IFERROR(IF(VLOOKUP(D:D,'테스트(2회)'!C:G,5, 0)="X",1,0),0)</f>
        <v>0</v>
      </c>
      <c r="L347" s="34">
        <f>IFERROR(IF(VLOOKUP(D:D,'테스트(3회)'!C:G,5, 0)="X",1,0),0)</f>
        <v>0</v>
      </c>
      <c r="M347" s="34">
        <f>IFERROR(IF(VLOOKUP(D:D,'테스트(4회)'!C:G,5, 0)="X",1,0),0)</f>
        <v>0</v>
      </c>
      <c r="N347" s="34">
        <f>IFERROR(IF(VLOOKUP(D:D,'테스트(5회)'!C:G,5, 0)="X",1,0),0)</f>
        <v>0</v>
      </c>
      <c r="O347" s="10"/>
    </row>
    <row r="348" spans="2:15" ht="114" x14ac:dyDescent="0.3">
      <c r="B348" s="17">
        <v>345</v>
      </c>
      <c r="C348" s="34" t="s">
        <v>734</v>
      </c>
      <c r="D348" s="27" t="s">
        <v>479</v>
      </c>
      <c r="E348" s="27" t="s">
        <v>608</v>
      </c>
      <c r="F348" s="29" t="s">
        <v>480</v>
      </c>
      <c r="G348" s="33">
        <v>3</v>
      </c>
      <c r="H348" s="34">
        <f t="shared" si="5"/>
        <v>0</v>
      </c>
      <c r="I348" s="9"/>
      <c r="J348" s="34">
        <f>IFERROR(IF(VLOOKUP(D:D,'테스트(1회)'!C:G,5, 0)="X",1,0),0)</f>
        <v>0</v>
      </c>
      <c r="K348" s="34">
        <f>IFERROR(IF(VLOOKUP(D:D,'테스트(2회)'!C:G,5, 0)="X",1,0),0)</f>
        <v>0</v>
      </c>
      <c r="L348" s="34">
        <f>IFERROR(IF(VLOOKUP(D:D,'테스트(3회)'!C:G,5, 0)="X",1,0),0)</f>
        <v>0</v>
      </c>
      <c r="M348" s="34">
        <f>IFERROR(IF(VLOOKUP(D:D,'테스트(4회)'!C:G,5, 0)="X",1,0),0)</f>
        <v>0</v>
      </c>
      <c r="N348" s="34">
        <f>IFERROR(IF(VLOOKUP(D:D,'테스트(5회)'!C:G,5, 0)="X",1,0),0)</f>
        <v>0</v>
      </c>
      <c r="O348" s="10"/>
    </row>
    <row r="349" spans="2:15" ht="85.5" x14ac:dyDescent="0.3">
      <c r="B349" s="17">
        <v>346</v>
      </c>
      <c r="C349" s="34" t="s">
        <v>734</v>
      </c>
      <c r="D349" s="27" t="s">
        <v>481</v>
      </c>
      <c r="E349" s="27" t="s">
        <v>608</v>
      </c>
      <c r="F349" s="29" t="s">
        <v>482</v>
      </c>
      <c r="G349" s="33">
        <v>5</v>
      </c>
      <c r="H349" s="34">
        <f t="shared" si="5"/>
        <v>0</v>
      </c>
      <c r="I349" s="9"/>
      <c r="J349" s="34">
        <f>IFERROR(IF(VLOOKUP(D:D,'테스트(1회)'!C:G,5, 0)="X",1,0),0)</f>
        <v>0</v>
      </c>
      <c r="K349" s="34">
        <f>IFERROR(IF(VLOOKUP(D:D,'테스트(2회)'!C:G,5, 0)="X",1,0),0)</f>
        <v>0</v>
      </c>
      <c r="L349" s="34">
        <f>IFERROR(IF(VLOOKUP(D:D,'테스트(3회)'!C:G,5, 0)="X",1,0),0)</f>
        <v>0</v>
      </c>
      <c r="M349" s="34">
        <f>IFERROR(IF(VLOOKUP(D:D,'테스트(4회)'!C:G,5, 0)="X",1,0),0)</f>
        <v>0</v>
      </c>
      <c r="N349" s="34">
        <f>IFERROR(IF(VLOOKUP(D:D,'테스트(5회)'!C:G,5, 0)="X",1,0),0)</f>
        <v>0</v>
      </c>
      <c r="O349" s="10"/>
    </row>
    <row r="350" spans="2:15" ht="85.5" x14ac:dyDescent="0.3">
      <c r="B350" s="17">
        <v>347</v>
      </c>
      <c r="C350" s="34" t="s">
        <v>734</v>
      </c>
      <c r="D350" s="27" t="s">
        <v>483</v>
      </c>
      <c r="E350" s="27" t="s">
        <v>608</v>
      </c>
      <c r="F350" s="29" t="s">
        <v>484</v>
      </c>
      <c r="G350" s="33">
        <v>1</v>
      </c>
      <c r="H350" s="34">
        <f t="shared" si="5"/>
        <v>0</v>
      </c>
      <c r="I350" s="9"/>
      <c r="J350" s="34">
        <f>IFERROR(IF(VLOOKUP(D:D,'테스트(1회)'!C:G,5, 0)="X",1,0),0)</f>
        <v>0</v>
      </c>
      <c r="K350" s="34">
        <f>IFERROR(IF(VLOOKUP(D:D,'테스트(2회)'!C:G,5, 0)="X",1,0),0)</f>
        <v>0</v>
      </c>
      <c r="L350" s="34">
        <f>IFERROR(IF(VLOOKUP(D:D,'테스트(3회)'!C:G,5, 0)="X",1,0),0)</f>
        <v>0</v>
      </c>
      <c r="M350" s="34">
        <f>IFERROR(IF(VLOOKUP(D:D,'테스트(4회)'!C:G,5, 0)="X",1,0),0)</f>
        <v>0</v>
      </c>
      <c r="N350" s="34">
        <f>IFERROR(IF(VLOOKUP(D:D,'테스트(5회)'!C:G,5, 0)="X",1,0),0)</f>
        <v>0</v>
      </c>
      <c r="O350" s="10"/>
    </row>
    <row r="351" spans="2:15" ht="114" x14ac:dyDescent="0.3">
      <c r="B351" s="17">
        <v>348</v>
      </c>
      <c r="C351" s="34" t="s">
        <v>734</v>
      </c>
      <c r="D351" s="27" t="s">
        <v>485</v>
      </c>
      <c r="E351" s="27" t="s">
        <v>608</v>
      </c>
      <c r="F351" s="29" t="s">
        <v>486</v>
      </c>
      <c r="G351" s="33">
        <v>2</v>
      </c>
      <c r="H351" s="34">
        <f t="shared" si="5"/>
        <v>0</v>
      </c>
      <c r="I351" s="9"/>
      <c r="J351" s="34">
        <f>IFERROR(IF(VLOOKUP(D:D,'테스트(1회)'!C:G,5, 0)="X",1,0),0)</f>
        <v>0</v>
      </c>
      <c r="K351" s="34">
        <f>IFERROR(IF(VLOOKUP(D:D,'테스트(2회)'!C:G,5, 0)="X",1,0),0)</f>
        <v>0</v>
      </c>
      <c r="L351" s="34">
        <f>IFERROR(IF(VLOOKUP(D:D,'테스트(3회)'!C:G,5, 0)="X",1,0),0)</f>
        <v>0</v>
      </c>
      <c r="M351" s="34">
        <f>IFERROR(IF(VLOOKUP(D:D,'테스트(4회)'!C:G,5, 0)="X",1,0),0)</f>
        <v>0</v>
      </c>
      <c r="N351" s="34">
        <f>IFERROR(IF(VLOOKUP(D:D,'테스트(5회)'!C:G,5, 0)="X",1,0),0)</f>
        <v>0</v>
      </c>
      <c r="O351" s="10"/>
    </row>
    <row r="352" spans="2:15" ht="114" x14ac:dyDescent="0.3">
      <c r="B352" s="17">
        <v>349</v>
      </c>
      <c r="C352" s="34" t="s">
        <v>734</v>
      </c>
      <c r="D352" s="27" t="s">
        <v>487</v>
      </c>
      <c r="E352" s="27" t="s">
        <v>608</v>
      </c>
      <c r="F352" s="29" t="s">
        <v>720</v>
      </c>
      <c r="G352" s="33">
        <v>1</v>
      </c>
      <c r="H352" s="34">
        <f t="shared" si="5"/>
        <v>0</v>
      </c>
      <c r="I352" s="9"/>
      <c r="J352" s="34">
        <f>IFERROR(IF(VLOOKUP(D:D,'테스트(1회)'!C:G,5, 0)="X",1,0),0)</f>
        <v>0</v>
      </c>
      <c r="K352" s="34">
        <f>IFERROR(IF(VLOOKUP(D:D,'테스트(2회)'!C:G,5, 0)="X",1,0),0)</f>
        <v>0</v>
      </c>
      <c r="L352" s="34">
        <f>IFERROR(IF(VLOOKUP(D:D,'테스트(3회)'!C:G,5, 0)="X",1,0),0)</f>
        <v>0</v>
      </c>
      <c r="M352" s="34">
        <f>IFERROR(IF(VLOOKUP(D:D,'테스트(4회)'!C:G,5, 0)="X",1,0),0)</f>
        <v>0</v>
      </c>
      <c r="N352" s="34">
        <f>IFERROR(IF(VLOOKUP(D:D,'테스트(5회)'!C:G,5, 0)="X",1,0),0)</f>
        <v>0</v>
      </c>
      <c r="O352" s="10" t="s">
        <v>743</v>
      </c>
    </row>
    <row r="353" spans="2:15" ht="99.75" x14ac:dyDescent="0.3">
      <c r="B353" s="17">
        <v>350</v>
      </c>
      <c r="C353" s="34" t="s">
        <v>734</v>
      </c>
      <c r="D353" s="27" t="s">
        <v>488</v>
      </c>
      <c r="E353" s="27" t="s">
        <v>608</v>
      </c>
      <c r="F353" s="29" t="s">
        <v>489</v>
      </c>
      <c r="G353" s="33">
        <v>4</v>
      </c>
      <c r="H353" s="34">
        <f t="shared" si="5"/>
        <v>0</v>
      </c>
      <c r="I353" s="9"/>
      <c r="J353" s="34">
        <f>IFERROR(IF(VLOOKUP(D:D,'테스트(1회)'!C:G,5, 0)="X",1,0),0)</f>
        <v>0</v>
      </c>
      <c r="K353" s="34">
        <f>IFERROR(IF(VLOOKUP(D:D,'테스트(2회)'!C:G,5, 0)="X",1,0),0)</f>
        <v>0</v>
      </c>
      <c r="L353" s="34">
        <f>IFERROR(IF(VLOOKUP(D:D,'테스트(3회)'!C:G,5, 0)="X",1,0),0)</f>
        <v>0</v>
      </c>
      <c r="M353" s="34">
        <f>IFERROR(IF(VLOOKUP(D:D,'테스트(4회)'!C:G,5, 0)="X",1,0),0)</f>
        <v>0</v>
      </c>
      <c r="N353" s="34">
        <f>IFERROR(IF(VLOOKUP(D:D,'테스트(5회)'!C:G,5, 0)="X",1,0),0)</f>
        <v>0</v>
      </c>
      <c r="O353" s="10"/>
    </row>
    <row r="354" spans="2:15" ht="99.75" x14ac:dyDescent="0.3">
      <c r="B354" s="17">
        <v>351</v>
      </c>
      <c r="C354" s="34" t="s">
        <v>734</v>
      </c>
      <c r="D354" s="27" t="s">
        <v>490</v>
      </c>
      <c r="E354" s="27" t="s">
        <v>608</v>
      </c>
      <c r="F354" s="29" t="s">
        <v>491</v>
      </c>
      <c r="G354" s="33">
        <v>3</v>
      </c>
      <c r="H354" s="34">
        <f t="shared" si="5"/>
        <v>0</v>
      </c>
      <c r="I354" s="9"/>
      <c r="J354" s="34">
        <f>IFERROR(IF(VLOOKUP(D:D,'테스트(1회)'!C:G,5, 0)="X",1,0),0)</f>
        <v>0</v>
      </c>
      <c r="K354" s="34">
        <f>IFERROR(IF(VLOOKUP(D:D,'테스트(2회)'!C:G,5, 0)="X",1,0),0)</f>
        <v>0</v>
      </c>
      <c r="L354" s="34">
        <f>IFERROR(IF(VLOOKUP(D:D,'테스트(3회)'!C:G,5, 0)="X",1,0),0)</f>
        <v>0</v>
      </c>
      <c r="M354" s="34">
        <f>IFERROR(IF(VLOOKUP(D:D,'테스트(4회)'!C:G,5, 0)="X",1,0),0)</f>
        <v>0</v>
      </c>
      <c r="N354" s="34">
        <f>IFERROR(IF(VLOOKUP(D:D,'테스트(5회)'!C:G,5, 0)="X",1,0),0)</f>
        <v>0</v>
      </c>
      <c r="O354" s="10"/>
    </row>
    <row r="355" spans="2:15" ht="85.5" x14ac:dyDescent="0.3">
      <c r="B355" s="17">
        <v>352</v>
      </c>
      <c r="C355" s="34" t="s">
        <v>734</v>
      </c>
      <c r="D355" s="27" t="s">
        <v>492</v>
      </c>
      <c r="E355" s="27" t="s">
        <v>608</v>
      </c>
      <c r="F355" s="29" t="s">
        <v>493</v>
      </c>
      <c r="G355" s="33">
        <v>2</v>
      </c>
      <c r="H355" s="34">
        <f t="shared" si="5"/>
        <v>0</v>
      </c>
      <c r="I355" s="9"/>
      <c r="J355" s="34">
        <f>IFERROR(IF(VLOOKUP(D:D,'테스트(1회)'!C:G,5, 0)="X",1,0),0)</f>
        <v>0</v>
      </c>
      <c r="K355" s="34">
        <f>IFERROR(IF(VLOOKUP(D:D,'테스트(2회)'!C:G,5, 0)="X",1,0),0)</f>
        <v>0</v>
      </c>
      <c r="L355" s="34">
        <f>IFERROR(IF(VLOOKUP(D:D,'테스트(3회)'!C:G,5, 0)="X",1,0),0)</f>
        <v>0</v>
      </c>
      <c r="M355" s="34">
        <f>IFERROR(IF(VLOOKUP(D:D,'테스트(4회)'!C:G,5, 0)="X",1,0),0)</f>
        <v>0</v>
      </c>
      <c r="N355" s="34">
        <f>IFERROR(IF(VLOOKUP(D:D,'테스트(5회)'!C:G,5, 0)="X",1,0),0)</f>
        <v>0</v>
      </c>
      <c r="O355" s="10"/>
    </row>
    <row r="356" spans="2:15" ht="99.75" x14ac:dyDescent="0.3">
      <c r="B356" s="17">
        <v>353</v>
      </c>
      <c r="C356" s="34" t="s">
        <v>734</v>
      </c>
      <c r="D356" s="27" t="s">
        <v>494</v>
      </c>
      <c r="E356" s="27" t="s">
        <v>608</v>
      </c>
      <c r="F356" s="29" t="s">
        <v>495</v>
      </c>
      <c r="G356" s="33">
        <v>2</v>
      </c>
      <c r="H356" s="34">
        <f t="shared" si="5"/>
        <v>0</v>
      </c>
      <c r="I356" s="9"/>
      <c r="J356" s="34">
        <f>IFERROR(IF(VLOOKUP(D:D,'테스트(1회)'!C:G,5, 0)="X",1,0),0)</f>
        <v>0</v>
      </c>
      <c r="K356" s="34">
        <f>IFERROR(IF(VLOOKUP(D:D,'테스트(2회)'!C:G,5, 0)="X",1,0),0)</f>
        <v>0</v>
      </c>
      <c r="L356" s="34">
        <f>IFERROR(IF(VLOOKUP(D:D,'테스트(3회)'!C:G,5, 0)="X",1,0),0)</f>
        <v>0</v>
      </c>
      <c r="M356" s="34">
        <f>IFERROR(IF(VLOOKUP(D:D,'테스트(4회)'!C:G,5, 0)="X",1,0),0)</f>
        <v>0</v>
      </c>
      <c r="N356" s="34">
        <f>IFERROR(IF(VLOOKUP(D:D,'테스트(5회)'!C:G,5, 0)="X",1,0),0)</f>
        <v>0</v>
      </c>
      <c r="O356" s="10"/>
    </row>
    <row r="357" spans="2:15" ht="85.5" x14ac:dyDescent="0.3">
      <c r="B357" s="17">
        <v>354</v>
      </c>
      <c r="C357" s="34" t="s">
        <v>734</v>
      </c>
      <c r="D357" s="27" t="s">
        <v>496</v>
      </c>
      <c r="E357" s="27" t="s">
        <v>608</v>
      </c>
      <c r="F357" s="29" t="s">
        <v>497</v>
      </c>
      <c r="G357" s="33">
        <v>1</v>
      </c>
      <c r="H357" s="34">
        <f t="shared" si="5"/>
        <v>0</v>
      </c>
      <c r="I357" s="9"/>
      <c r="J357" s="34">
        <f>IFERROR(IF(VLOOKUP(D:D,'테스트(1회)'!C:G,5, 0)="X",1,0),0)</f>
        <v>0</v>
      </c>
      <c r="K357" s="34">
        <f>IFERROR(IF(VLOOKUP(D:D,'테스트(2회)'!C:G,5, 0)="X",1,0),0)</f>
        <v>0</v>
      </c>
      <c r="L357" s="34">
        <f>IFERROR(IF(VLOOKUP(D:D,'테스트(3회)'!C:G,5, 0)="X",1,0),0)</f>
        <v>0</v>
      </c>
      <c r="M357" s="34">
        <f>IFERROR(IF(VLOOKUP(D:D,'테스트(4회)'!C:G,5, 0)="X",1,0),0)</f>
        <v>0</v>
      </c>
      <c r="N357" s="34">
        <f>IFERROR(IF(VLOOKUP(D:D,'테스트(5회)'!C:G,5, 0)="X",1,0),0)</f>
        <v>0</v>
      </c>
      <c r="O357" s="10"/>
    </row>
    <row r="358" spans="2:15" ht="99.75" x14ac:dyDescent="0.3">
      <c r="B358" s="17">
        <v>355</v>
      </c>
      <c r="C358" s="34" t="s">
        <v>734</v>
      </c>
      <c r="D358" s="27" t="s">
        <v>498</v>
      </c>
      <c r="E358" s="27" t="s">
        <v>608</v>
      </c>
      <c r="F358" s="29" t="s">
        <v>499</v>
      </c>
      <c r="G358" s="33">
        <v>4</v>
      </c>
      <c r="H358" s="34">
        <f t="shared" si="5"/>
        <v>0</v>
      </c>
      <c r="I358" s="9"/>
      <c r="J358" s="34">
        <f>IFERROR(IF(VLOOKUP(D:D,'테스트(1회)'!C:G,5, 0)="X",1,0),0)</f>
        <v>0</v>
      </c>
      <c r="K358" s="34">
        <f>IFERROR(IF(VLOOKUP(D:D,'테스트(2회)'!C:G,5, 0)="X",1,0),0)</f>
        <v>0</v>
      </c>
      <c r="L358" s="34">
        <f>IFERROR(IF(VLOOKUP(D:D,'테스트(3회)'!C:G,5, 0)="X",1,0),0)</f>
        <v>0</v>
      </c>
      <c r="M358" s="34">
        <f>IFERROR(IF(VLOOKUP(D:D,'테스트(4회)'!C:G,5, 0)="X",1,0),0)</f>
        <v>0</v>
      </c>
      <c r="N358" s="34">
        <f>IFERROR(IF(VLOOKUP(D:D,'테스트(5회)'!C:G,5, 0)="X",1,0),0)</f>
        <v>0</v>
      </c>
      <c r="O358" s="10"/>
    </row>
    <row r="359" spans="2:15" ht="99.75" x14ac:dyDescent="0.3">
      <c r="B359" s="17">
        <v>356</v>
      </c>
      <c r="C359" s="34" t="s">
        <v>734</v>
      </c>
      <c r="D359" s="27" t="s">
        <v>500</v>
      </c>
      <c r="E359" s="27" t="s">
        <v>608</v>
      </c>
      <c r="F359" s="29" t="s">
        <v>501</v>
      </c>
      <c r="G359" s="33">
        <v>2</v>
      </c>
      <c r="H359" s="34">
        <f t="shared" si="5"/>
        <v>0</v>
      </c>
      <c r="I359" s="9"/>
      <c r="J359" s="34">
        <f>IFERROR(IF(VLOOKUP(D:D,'테스트(1회)'!C:G,5, 0)="X",1,0),0)</f>
        <v>0</v>
      </c>
      <c r="K359" s="34">
        <f>IFERROR(IF(VLOOKUP(D:D,'테스트(2회)'!C:G,5, 0)="X",1,0),0)</f>
        <v>0</v>
      </c>
      <c r="L359" s="34">
        <f>IFERROR(IF(VLOOKUP(D:D,'테스트(3회)'!C:G,5, 0)="X",1,0),0)</f>
        <v>0</v>
      </c>
      <c r="M359" s="34">
        <f>IFERROR(IF(VLOOKUP(D:D,'테스트(4회)'!C:G,5, 0)="X",1,0),0)</f>
        <v>0</v>
      </c>
      <c r="N359" s="34">
        <f>IFERROR(IF(VLOOKUP(D:D,'테스트(5회)'!C:G,5, 0)="X",1,0),0)</f>
        <v>0</v>
      </c>
      <c r="O359" s="10"/>
    </row>
    <row r="360" spans="2:15" ht="114" x14ac:dyDescent="0.3">
      <c r="B360" s="17">
        <v>357</v>
      </c>
      <c r="C360" s="34" t="s">
        <v>734</v>
      </c>
      <c r="D360" s="27" t="s">
        <v>502</v>
      </c>
      <c r="E360" s="27" t="s">
        <v>608</v>
      </c>
      <c r="F360" s="29" t="s">
        <v>503</v>
      </c>
      <c r="G360" s="33">
        <v>3</v>
      </c>
      <c r="H360" s="34">
        <f t="shared" si="5"/>
        <v>0</v>
      </c>
      <c r="I360" s="9"/>
      <c r="J360" s="34">
        <f>IFERROR(IF(VLOOKUP(D:D,'테스트(1회)'!C:G,5, 0)="X",1,0),0)</f>
        <v>0</v>
      </c>
      <c r="K360" s="34">
        <f>IFERROR(IF(VLOOKUP(D:D,'테스트(2회)'!C:G,5, 0)="X",1,0),0)</f>
        <v>0</v>
      </c>
      <c r="L360" s="34">
        <f>IFERROR(IF(VLOOKUP(D:D,'테스트(3회)'!C:G,5, 0)="X",1,0),0)</f>
        <v>0</v>
      </c>
      <c r="M360" s="34">
        <f>IFERROR(IF(VLOOKUP(D:D,'테스트(4회)'!C:G,5, 0)="X",1,0),0)</f>
        <v>0</v>
      </c>
      <c r="N360" s="34">
        <f>IFERROR(IF(VLOOKUP(D:D,'테스트(5회)'!C:G,5, 0)="X",1,0),0)</f>
        <v>0</v>
      </c>
      <c r="O360" s="10"/>
    </row>
    <row r="361" spans="2:15" ht="85.5" x14ac:dyDescent="0.3">
      <c r="B361" s="17">
        <v>358</v>
      </c>
      <c r="C361" s="34" t="s">
        <v>734</v>
      </c>
      <c r="D361" s="27" t="s">
        <v>504</v>
      </c>
      <c r="E361" s="27" t="s">
        <v>608</v>
      </c>
      <c r="F361" s="29" t="s">
        <v>505</v>
      </c>
      <c r="G361" s="33">
        <v>4</v>
      </c>
      <c r="H361" s="34">
        <f t="shared" si="5"/>
        <v>0</v>
      </c>
      <c r="I361" s="9"/>
      <c r="J361" s="34">
        <f>IFERROR(IF(VLOOKUP(D:D,'테스트(1회)'!C:G,5, 0)="X",1,0),0)</f>
        <v>0</v>
      </c>
      <c r="K361" s="34">
        <f>IFERROR(IF(VLOOKUP(D:D,'테스트(2회)'!C:G,5, 0)="X",1,0),0)</f>
        <v>0</v>
      </c>
      <c r="L361" s="34">
        <f>IFERROR(IF(VLOOKUP(D:D,'테스트(3회)'!C:G,5, 0)="X",1,0),0)</f>
        <v>0</v>
      </c>
      <c r="M361" s="34">
        <f>IFERROR(IF(VLOOKUP(D:D,'테스트(4회)'!C:G,5, 0)="X",1,0),0)</f>
        <v>0</v>
      </c>
      <c r="N361" s="34">
        <f>IFERROR(IF(VLOOKUP(D:D,'테스트(5회)'!C:G,5, 0)="X",1,0),0)</f>
        <v>0</v>
      </c>
      <c r="O361" s="10"/>
    </row>
    <row r="362" spans="2:15" ht="114" x14ac:dyDescent="0.3">
      <c r="B362" s="17">
        <v>359</v>
      </c>
      <c r="C362" s="34" t="s">
        <v>734</v>
      </c>
      <c r="D362" s="27" t="s">
        <v>506</v>
      </c>
      <c r="E362" s="27" t="s">
        <v>608</v>
      </c>
      <c r="F362" s="29" t="s">
        <v>507</v>
      </c>
      <c r="G362" s="33">
        <v>1</v>
      </c>
      <c r="H362" s="34">
        <f t="shared" si="5"/>
        <v>0</v>
      </c>
      <c r="I362" s="9"/>
      <c r="J362" s="34">
        <f>IFERROR(IF(VLOOKUP(D:D,'테스트(1회)'!C:G,5, 0)="X",1,0),0)</f>
        <v>0</v>
      </c>
      <c r="K362" s="34">
        <f>IFERROR(IF(VLOOKUP(D:D,'테스트(2회)'!C:G,5, 0)="X",1,0),0)</f>
        <v>0</v>
      </c>
      <c r="L362" s="34">
        <f>IFERROR(IF(VLOOKUP(D:D,'테스트(3회)'!C:G,5, 0)="X",1,0),0)</f>
        <v>0</v>
      </c>
      <c r="M362" s="34">
        <f>IFERROR(IF(VLOOKUP(D:D,'테스트(4회)'!C:G,5, 0)="X",1,0),0)</f>
        <v>0</v>
      </c>
      <c r="N362" s="34">
        <f>IFERROR(IF(VLOOKUP(D:D,'테스트(5회)'!C:G,5, 0)="X",1,0),0)</f>
        <v>0</v>
      </c>
      <c r="O362" s="10"/>
    </row>
    <row r="363" spans="2:15" ht="85.5" x14ac:dyDescent="0.3">
      <c r="B363" s="17">
        <v>360</v>
      </c>
      <c r="C363" s="34" t="s">
        <v>734</v>
      </c>
      <c r="D363" s="27" t="s">
        <v>508</v>
      </c>
      <c r="E363" s="27" t="s">
        <v>608</v>
      </c>
      <c r="F363" s="29" t="s">
        <v>509</v>
      </c>
      <c r="G363" s="33">
        <v>5</v>
      </c>
      <c r="H363" s="34">
        <f t="shared" si="5"/>
        <v>0</v>
      </c>
      <c r="I363" s="9"/>
      <c r="J363" s="34">
        <f>IFERROR(IF(VLOOKUP(D:D,'테스트(1회)'!C:G,5, 0)="X",1,0),0)</f>
        <v>0</v>
      </c>
      <c r="K363" s="34">
        <f>IFERROR(IF(VLOOKUP(D:D,'테스트(2회)'!C:G,5, 0)="X",1,0),0)</f>
        <v>0</v>
      </c>
      <c r="L363" s="34">
        <f>IFERROR(IF(VLOOKUP(D:D,'테스트(3회)'!C:G,5, 0)="X",1,0),0)</f>
        <v>0</v>
      </c>
      <c r="M363" s="34">
        <f>IFERROR(IF(VLOOKUP(D:D,'테스트(4회)'!C:G,5, 0)="X",1,0),0)</f>
        <v>0</v>
      </c>
      <c r="N363" s="34">
        <f>IFERROR(IF(VLOOKUP(D:D,'테스트(5회)'!C:G,5, 0)="X",1,0),0)</f>
        <v>0</v>
      </c>
      <c r="O363" s="10"/>
    </row>
    <row r="364" spans="2:15" ht="99.75" x14ac:dyDescent="0.3">
      <c r="B364" s="17">
        <v>361</v>
      </c>
      <c r="C364" s="34" t="s">
        <v>734</v>
      </c>
      <c r="D364" s="27" t="s">
        <v>510</v>
      </c>
      <c r="E364" s="27" t="s">
        <v>608</v>
      </c>
      <c r="F364" s="29" t="s">
        <v>511</v>
      </c>
      <c r="G364" s="33">
        <v>5</v>
      </c>
      <c r="H364" s="34">
        <f t="shared" si="5"/>
        <v>0</v>
      </c>
      <c r="I364" s="9"/>
      <c r="J364" s="34">
        <f>IFERROR(IF(VLOOKUP(D:D,'테스트(1회)'!C:G,5, 0)="X",1,0),0)</f>
        <v>0</v>
      </c>
      <c r="K364" s="34">
        <f>IFERROR(IF(VLOOKUP(D:D,'테스트(2회)'!C:G,5, 0)="X",1,0),0)</f>
        <v>0</v>
      </c>
      <c r="L364" s="34">
        <f>IFERROR(IF(VLOOKUP(D:D,'테스트(3회)'!C:G,5, 0)="X",1,0),0)</f>
        <v>0</v>
      </c>
      <c r="M364" s="34">
        <f>IFERROR(IF(VLOOKUP(D:D,'테스트(4회)'!C:G,5, 0)="X",1,0),0)</f>
        <v>0</v>
      </c>
      <c r="N364" s="34">
        <f>IFERROR(IF(VLOOKUP(D:D,'테스트(5회)'!C:G,5, 0)="X",1,0),0)</f>
        <v>0</v>
      </c>
      <c r="O364" s="10"/>
    </row>
    <row r="365" spans="2:15" ht="99.75" x14ac:dyDescent="0.3">
      <c r="B365" s="17">
        <v>362</v>
      </c>
      <c r="C365" s="34" t="s">
        <v>734</v>
      </c>
      <c r="D365" s="27" t="s">
        <v>512</v>
      </c>
      <c r="E365" s="27" t="s">
        <v>608</v>
      </c>
      <c r="F365" s="29" t="s">
        <v>513</v>
      </c>
      <c r="G365" s="33">
        <v>5</v>
      </c>
      <c r="H365" s="34">
        <f t="shared" si="5"/>
        <v>0</v>
      </c>
      <c r="I365" s="9"/>
      <c r="J365" s="34">
        <f>IFERROR(IF(VLOOKUP(D:D,'테스트(1회)'!C:G,5, 0)="X",1,0),0)</f>
        <v>0</v>
      </c>
      <c r="K365" s="34">
        <f>IFERROR(IF(VLOOKUP(D:D,'테스트(2회)'!C:G,5, 0)="X",1,0),0)</f>
        <v>0</v>
      </c>
      <c r="L365" s="34">
        <f>IFERROR(IF(VLOOKUP(D:D,'테스트(3회)'!C:G,5, 0)="X",1,0),0)</f>
        <v>0</v>
      </c>
      <c r="M365" s="34">
        <f>IFERROR(IF(VLOOKUP(D:D,'테스트(4회)'!C:G,5, 0)="X",1,0),0)</f>
        <v>0</v>
      </c>
      <c r="N365" s="34">
        <f>IFERROR(IF(VLOOKUP(D:D,'테스트(5회)'!C:G,5, 0)="X",1,0),0)</f>
        <v>0</v>
      </c>
      <c r="O365" s="10"/>
    </row>
    <row r="366" spans="2:15" ht="99.75" x14ac:dyDescent="0.3">
      <c r="B366" s="17">
        <v>363</v>
      </c>
      <c r="C366" s="34" t="s">
        <v>734</v>
      </c>
      <c r="D366" s="27" t="s">
        <v>514</v>
      </c>
      <c r="E366" s="27" t="s">
        <v>608</v>
      </c>
      <c r="F366" s="29" t="s">
        <v>515</v>
      </c>
      <c r="G366" s="33">
        <v>3</v>
      </c>
      <c r="H366" s="34">
        <f t="shared" si="5"/>
        <v>0</v>
      </c>
      <c r="I366" s="9"/>
      <c r="J366" s="34">
        <f>IFERROR(IF(VLOOKUP(D:D,'테스트(1회)'!C:G,5, 0)="X",1,0),0)</f>
        <v>0</v>
      </c>
      <c r="K366" s="34">
        <f>IFERROR(IF(VLOOKUP(D:D,'테스트(2회)'!C:G,5, 0)="X",1,0),0)</f>
        <v>0</v>
      </c>
      <c r="L366" s="34">
        <f>IFERROR(IF(VLOOKUP(D:D,'테스트(3회)'!C:G,5, 0)="X",1,0),0)</f>
        <v>0</v>
      </c>
      <c r="M366" s="34">
        <f>IFERROR(IF(VLOOKUP(D:D,'테스트(4회)'!C:G,5, 0)="X",1,0),0)</f>
        <v>0</v>
      </c>
      <c r="N366" s="34">
        <f>IFERROR(IF(VLOOKUP(D:D,'테스트(5회)'!C:G,5, 0)="X",1,0),0)</f>
        <v>0</v>
      </c>
      <c r="O366" s="10"/>
    </row>
    <row r="367" spans="2:15" ht="85.5" x14ac:dyDescent="0.3">
      <c r="B367" s="17">
        <v>364</v>
      </c>
      <c r="C367" s="34" t="s">
        <v>734</v>
      </c>
      <c r="D367" s="27" t="s">
        <v>516</v>
      </c>
      <c r="E367" s="27" t="s">
        <v>608</v>
      </c>
      <c r="F367" s="29" t="s">
        <v>517</v>
      </c>
      <c r="G367" s="33">
        <v>3</v>
      </c>
      <c r="H367" s="34">
        <f t="shared" si="5"/>
        <v>0</v>
      </c>
      <c r="I367" s="9"/>
      <c r="J367" s="34">
        <f>IFERROR(IF(VLOOKUP(D:D,'테스트(1회)'!C:G,5, 0)="X",1,0),0)</f>
        <v>0</v>
      </c>
      <c r="K367" s="34">
        <f>IFERROR(IF(VLOOKUP(D:D,'테스트(2회)'!C:G,5, 0)="X",1,0),0)</f>
        <v>0</v>
      </c>
      <c r="L367" s="34">
        <f>IFERROR(IF(VLOOKUP(D:D,'테스트(3회)'!C:G,5, 0)="X",1,0),0)</f>
        <v>0</v>
      </c>
      <c r="M367" s="34">
        <f>IFERROR(IF(VLOOKUP(D:D,'테스트(4회)'!C:G,5, 0)="X",1,0),0)</f>
        <v>0</v>
      </c>
      <c r="N367" s="34">
        <f>IFERROR(IF(VLOOKUP(D:D,'테스트(5회)'!C:G,5, 0)="X",1,0),0)</f>
        <v>0</v>
      </c>
      <c r="O367" s="10"/>
    </row>
    <row r="368" spans="2:15" ht="114" x14ac:dyDescent="0.3">
      <c r="B368" s="17">
        <v>365</v>
      </c>
      <c r="C368" s="34" t="s">
        <v>734</v>
      </c>
      <c r="D368" s="27" t="s">
        <v>518</v>
      </c>
      <c r="E368" s="27" t="s">
        <v>608</v>
      </c>
      <c r="F368" s="29" t="s">
        <v>719</v>
      </c>
      <c r="G368" s="33">
        <v>1</v>
      </c>
      <c r="H368" s="34">
        <f t="shared" si="5"/>
        <v>0</v>
      </c>
      <c r="I368" s="9"/>
      <c r="J368" s="34">
        <f>IFERROR(IF(VLOOKUP(D:D,'테스트(1회)'!C:G,5, 0)="X",1,0),0)</f>
        <v>0</v>
      </c>
      <c r="K368" s="34">
        <f>IFERROR(IF(VLOOKUP(D:D,'테스트(2회)'!C:G,5, 0)="X",1,0),0)</f>
        <v>0</v>
      </c>
      <c r="L368" s="34">
        <f>IFERROR(IF(VLOOKUP(D:D,'테스트(3회)'!C:G,5, 0)="X",1,0),0)</f>
        <v>0</v>
      </c>
      <c r="M368" s="34">
        <f>IFERROR(IF(VLOOKUP(D:D,'테스트(4회)'!C:G,5, 0)="X",1,0),0)</f>
        <v>0</v>
      </c>
      <c r="N368" s="34">
        <f>IFERROR(IF(VLOOKUP(D:D,'테스트(5회)'!C:G,5, 0)="X",1,0),0)</f>
        <v>0</v>
      </c>
      <c r="O368" s="10" t="s">
        <v>708</v>
      </c>
    </row>
    <row r="369" spans="2:15" ht="85.5" x14ac:dyDescent="0.3">
      <c r="B369" s="17">
        <v>366</v>
      </c>
      <c r="C369" s="34" t="s">
        <v>732</v>
      </c>
      <c r="D369" s="27" t="s">
        <v>519</v>
      </c>
      <c r="E369" s="27" t="s">
        <v>608</v>
      </c>
      <c r="F369" s="29" t="s">
        <v>520</v>
      </c>
      <c r="G369" s="33">
        <v>4</v>
      </c>
      <c r="H369" s="34">
        <f t="shared" si="5"/>
        <v>0</v>
      </c>
      <c r="I369" s="9"/>
      <c r="J369" s="34">
        <f>IFERROR(IF(VLOOKUP(D:D,'테스트(1회)'!C:G,5, 0)="X",1,0),0)</f>
        <v>0</v>
      </c>
      <c r="K369" s="34">
        <f>IFERROR(IF(VLOOKUP(D:D,'테스트(2회)'!C:G,5, 0)="X",1,0),0)</f>
        <v>0</v>
      </c>
      <c r="L369" s="34">
        <f>IFERROR(IF(VLOOKUP(D:D,'테스트(3회)'!C:G,5, 0)="X",1,0),0)</f>
        <v>0</v>
      </c>
      <c r="M369" s="34">
        <f>IFERROR(IF(VLOOKUP(D:D,'테스트(4회)'!C:G,5, 0)="X",1,0),0)</f>
        <v>0</v>
      </c>
      <c r="N369" s="34">
        <f>IFERROR(IF(VLOOKUP(D:D,'테스트(5회)'!C:G,5, 0)="X",1,0),0)</f>
        <v>0</v>
      </c>
      <c r="O369" s="10"/>
    </row>
    <row r="370" spans="2:15" ht="85.5" x14ac:dyDescent="0.3">
      <c r="B370" s="17">
        <v>367</v>
      </c>
      <c r="C370" s="34" t="s">
        <v>732</v>
      </c>
      <c r="D370" s="27" t="s">
        <v>521</v>
      </c>
      <c r="E370" s="27" t="s">
        <v>608</v>
      </c>
      <c r="F370" s="29" t="s">
        <v>522</v>
      </c>
      <c r="G370" s="33">
        <v>5</v>
      </c>
      <c r="H370" s="34">
        <f t="shared" si="5"/>
        <v>0</v>
      </c>
      <c r="I370" s="9"/>
      <c r="J370" s="34">
        <f>IFERROR(IF(VLOOKUP(D:D,'테스트(1회)'!C:G,5, 0)="X",1,0),0)</f>
        <v>0</v>
      </c>
      <c r="K370" s="34">
        <f>IFERROR(IF(VLOOKUP(D:D,'테스트(2회)'!C:G,5, 0)="X",1,0),0)</f>
        <v>0</v>
      </c>
      <c r="L370" s="34">
        <f>IFERROR(IF(VLOOKUP(D:D,'테스트(3회)'!C:G,5, 0)="X",1,0),0)</f>
        <v>0</v>
      </c>
      <c r="M370" s="34">
        <f>IFERROR(IF(VLOOKUP(D:D,'테스트(4회)'!C:G,5, 0)="X",1,0),0)</f>
        <v>0</v>
      </c>
      <c r="N370" s="34">
        <f>IFERROR(IF(VLOOKUP(D:D,'테스트(5회)'!C:G,5, 0)="X",1,0),0)</f>
        <v>0</v>
      </c>
      <c r="O370" s="10"/>
    </row>
    <row r="371" spans="2:15" ht="114" x14ac:dyDescent="0.3">
      <c r="B371" s="17">
        <v>368</v>
      </c>
      <c r="C371" s="34" t="s">
        <v>732</v>
      </c>
      <c r="D371" s="27" t="s">
        <v>523</v>
      </c>
      <c r="E371" s="27" t="s">
        <v>608</v>
      </c>
      <c r="F371" s="29" t="s">
        <v>524</v>
      </c>
      <c r="G371" s="33">
        <v>4</v>
      </c>
      <c r="H371" s="34">
        <f t="shared" si="5"/>
        <v>0</v>
      </c>
      <c r="I371" s="9"/>
      <c r="J371" s="34">
        <f>IFERROR(IF(VLOOKUP(D:D,'테스트(1회)'!C:G,5, 0)="X",1,0),0)</f>
        <v>0</v>
      </c>
      <c r="K371" s="34">
        <f>IFERROR(IF(VLOOKUP(D:D,'테스트(2회)'!C:G,5, 0)="X",1,0),0)</f>
        <v>0</v>
      </c>
      <c r="L371" s="34">
        <f>IFERROR(IF(VLOOKUP(D:D,'테스트(3회)'!C:G,5, 0)="X",1,0),0)</f>
        <v>0</v>
      </c>
      <c r="M371" s="34">
        <f>IFERROR(IF(VLOOKUP(D:D,'테스트(4회)'!C:G,5, 0)="X",1,0),0)</f>
        <v>0</v>
      </c>
      <c r="N371" s="34">
        <f>IFERROR(IF(VLOOKUP(D:D,'테스트(5회)'!C:G,5, 0)="X",1,0),0)</f>
        <v>0</v>
      </c>
      <c r="O371" s="10"/>
    </row>
    <row r="372" spans="2:15" ht="114" x14ac:dyDescent="0.3">
      <c r="B372" s="17">
        <v>369</v>
      </c>
      <c r="C372" s="34" t="s">
        <v>732</v>
      </c>
      <c r="D372" s="27" t="s">
        <v>525</v>
      </c>
      <c r="E372" s="27" t="s">
        <v>608</v>
      </c>
      <c r="F372" s="29" t="s">
        <v>526</v>
      </c>
      <c r="G372" s="33">
        <v>3</v>
      </c>
      <c r="H372" s="34">
        <f t="shared" si="5"/>
        <v>0</v>
      </c>
      <c r="I372" s="9"/>
      <c r="J372" s="34">
        <f>IFERROR(IF(VLOOKUP(D:D,'테스트(1회)'!C:G,5, 0)="X",1,0),0)</f>
        <v>0</v>
      </c>
      <c r="K372" s="34">
        <f>IFERROR(IF(VLOOKUP(D:D,'테스트(2회)'!C:G,5, 0)="X",1,0),0)</f>
        <v>0</v>
      </c>
      <c r="L372" s="34">
        <f>IFERROR(IF(VLOOKUP(D:D,'테스트(3회)'!C:G,5, 0)="X",1,0),0)</f>
        <v>0</v>
      </c>
      <c r="M372" s="34">
        <f>IFERROR(IF(VLOOKUP(D:D,'테스트(4회)'!C:G,5, 0)="X",1,0),0)</f>
        <v>0</v>
      </c>
      <c r="N372" s="34">
        <f>IFERROR(IF(VLOOKUP(D:D,'테스트(5회)'!C:G,5, 0)="X",1,0),0)</f>
        <v>0</v>
      </c>
      <c r="O372" s="10"/>
    </row>
    <row r="373" spans="2:15" ht="85.5" x14ac:dyDescent="0.3">
      <c r="B373" s="17">
        <v>370</v>
      </c>
      <c r="C373" s="34" t="s">
        <v>732</v>
      </c>
      <c r="D373" s="27" t="s">
        <v>527</v>
      </c>
      <c r="E373" s="27" t="s">
        <v>608</v>
      </c>
      <c r="F373" s="29" t="s">
        <v>528</v>
      </c>
      <c r="G373" s="33">
        <v>2</v>
      </c>
      <c r="H373" s="34">
        <f t="shared" si="5"/>
        <v>0</v>
      </c>
      <c r="I373" s="9"/>
      <c r="J373" s="34">
        <f>IFERROR(IF(VLOOKUP(D:D,'테스트(1회)'!C:G,5, 0)="X",1,0),0)</f>
        <v>0</v>
      </c>
      <c r="K373" s="34">
        <f>IFERROR(IF(VLOOKUP(D:D,'테스트(2회)'!C:G,5, 0)="X",1,0),0)</f>
        <v>0</v>
      </c>
      <c r="L373" s="34">
        <f>IFERROR(IF(VLOOKUP(D:D,'테스트(3회)'!C:G,5, 0)="X",1,0),0)</f>
        <v>0</v>
      </c>
      <c r="M373" s="34">
        <f>IFERROR(IF(VLOOKUP(D:D,'테스트(4회)'!C:G,5, 0)="X",1,0),0)</f>
        <v>0</v>
      </c>
      <c r="N373" s="34">
        <f>IFERROR(IF(VLOOKUP(D:D,'테스트(5회)'!C:G,5, 0)="X",1,0),0)</f>
        <v>0</v>
      </c>
      <c r="O373" s="10"/>
    </row>
    <row r="374" spans="2:15" ht="85.5" x14ac:dyDescent="0.3">
      <c r="B374" s="17">
        <v>371</v>
      </c>
      <c r="C374" s="34" t="s">
        <v>732</v>
      </c>
      <c r="D374" s="27" t="s">
        <v>529</v>
      </c>
      <c r="E374" s="27" t="s">
        <v>608</v>
      </c>
      <c r="F374" s="29" t="s">
        <v>530</v>
      </c>
      <c r="G374" s="33">
        <v>5</v>
      </c>
      <c r="H374" s="34">
        <f t="shared" si="5"/>
        <v>0</v>
      </c>
      <c r="I374" s="9"/>
      <c r="J374" s="34">
        <f>IFERROR(IF(VLOOKUP(D:D,'테스트(1회)'!C:G,5, 0)="X",1,0),0)</f>
        <v>0</v>
      </c>
      <c r="K374" s="34">
        <f>IFERROR(IF(VLOOKUP(D:D,'테스트(2회)'!C:G,5, 0)="X",1,0),0)</f>
        <v>0</v>
      </c>
      <c r="L374" s="34">
        <f>IFERROR(IF(VLOOKUP(D:D,'테스트(3회)'!C:G,5, 0)="X",1,0),0)</f>
        <v>0</v>
      </c>
      <c r="M374" s="34">
        <f>IFERROR(IF(VLOOKUP(D:D,'테스트(4회)'!C:G,5, 0)="X",1,0),0)</f>
        <v>0</v>
      </c>
      <c r="N374" s="34">
        <f>IFERROR(IF(VLOOKUP(D:D,'테스트(5회)'!C:G,5, 0)="X",1,0),0)</f>
        <v>0</v>
      </c>
      <c r="O374" s="10"/>
    </row>
    <row r="375" spans="2:15" ht="114" x14ac:dyDescent="0.3">
      <c r="B375" s="17">
        <v>372</v>
      </c>
      <c r="C375" s="34" t="s">
        <v>732</v>
      </c>
      <c r="D375" s="27" t="s">
        <v>531</v>
      </c>
      <c r="E375" s="27" t="s">
        <v>608</v>
      </c>
      <c r="F375" s="29" t="s">
        <v>532</v>
      </c>
      <c r="G375" s="33">
        <v>2</v>
      </c>
      <c r="H375" s="34">
        <f t="shared" si="5"/>
        <v>0</v>
      </c>
      <c r="I375" s="9"/>
      <c r="J375" s="34">
        <f>IFERROR(IF(VLOOKUP(D:D,'테스트(1회)'!C:G,5, 0)="X",1,0),0)</f>
        <v>0</v>
      </c>
      <c r="K375" s="34">
        <f>IFERROR(IF(VLOOKUP(D:D,'테스트(2회)'!C:G,5, 0)="X",1,0),0)</f>
        <v>0</v>
      </c>
      <c r="L375" s="34">
        <f>IFERROR(IF(VLOOKUP(D:D,'테스트(3회)'!C:G,5, 0)="X",1,0),0)</f>
        <v>0</v>
      </c>
      <c r="M375" s="34">
        <f>IFERROR(IF(VLOOKUP(D:D,'테스트(4회)'!C:G,5, 0)="X",1,0),0)</f>
        <v>0</v>
      </c>
      <c r="N375" s="34">
        <f>IFERROR(IF(VLOOKUP(D:D,'테스트(5회)'!C:G,5, 0)="X",1,0),0)</f>
        <v>0</v>
      </c>
      <c r="O375" s="10"/>
    </row>
    <row r="376" spans="2:15" ht="85.5" x14ac:dyDescent="0.3">
      <c r="B376" s="17">
        <v>373</v>
      </c>
      <c r="C376" s="34" t="s">
        <v>732</v>
      </c>
      <c r="D376" s="27" t="s">
        <v>533</v>
      </c>
      <c r="E376" s="27" t="s">
        <v>608</v>
      </c>
      <c r="F376" s="29" t="s">
        <v>534</v>
      </c>
      <c r="G376" s="33">
        <v>2</v>
      </c>
      <c r="H376" s="34">
        <f t="shared" si="5"/>
        <v>0</v>
      </c>
      <c r="I376" s="9"/>
      <c r="J376" s="34">
        <f>IFERROR(IF(VLOOKUP(D:D,'테스트(1회)'!C:G,5, 0)="X",1,0),0)</f>
        <v>0</v>
      </c>
      <c r="K376" s="34">
        <f>IFERROR(IF(VLOOKUP(D:D,'테스트(2회)'!C:G,5, 0)="X",1,0),0)</f>
        <v>0</v>
      </c>
      <c r="L376" s="34">
        <f>IFERROR(IF(VLOOKUP(D:D,'테스트(3회)'!C:G,5, 0)="X",1,0),0)</f>
        <v>0</v>
      </c>
      <c r="M376" s="34">
        <f>IFERROR(IF(VLOOKUP(D:D,'테스트(4회)'!C:G,5, 0)="X",1,0),0)</f>
        <v>0</v>
      </c>
      <c r="N376" s="34">
        <f>IFERROR(IF(VLOOKUP(D:D,'테스트(5회)'!C:G,5, 0)="X",1,0),0)</f>
        <v>0</v>
      </c>
      <c r="O376" s="10"/>
    </row>
    <row r="377" spans="2:15" ht="99.75" x14ac:dyDescent="0.3">
      <c r="B377" s="17">
        <v>374</v>
      </c>
      <c r="C377" s="34" t="s">
        <v>732</v>
      </c>
      <c r="D377" s="27" t="s">
        <v>535</v>
      </c>
      <c r="E377" s="27" t="s">
        <v>608</v>
      </c>
      <c r="F377" s="29" t="s">
        <v>718</v>
      </c>
      <c r="G377" s="33">
        <v>5</v>
      </c>
      <c r="H377" s="34">
        <f t="shared" si="5"/>
        <v>0</v>
      </c>
      <c r="I377" s="9"/>
      <c r="J377" s="34">
        <f>IFERROR(IF(VLOOKUP(D:D,'테스트(1회)'!C:G,5, 0)="X",1,0),0)</f>
        <v>0</v>
      </c>
      <c r="K377" s="34">
        <f>IFERROR(IF(VLOOKUP(D:D,'테스트(2회)'!C:G,5, 0)="X",1,0),0)</f>
        <v>0</v>
      </c>
      <c r="L377" s="34">
        <f>IFERROR(IF(VLOOKUP(D:D,'테스트(3회)'!C:G,5, 0)="X",1,0),0)</f>
        <v>0</v>
      </c>
      <c r="M377" s="34">
        <f>IFERROR(IF(VLOOKUP(D:D,'테스트(4회)'!C:G,5, 0)="X",1,0),0)</f>
        <v>0</v>
      </c>
      <c r="N377" s="34">
        <f>IFERROR(IF(VLOOKUP(D:D,'테스트(5회)'!C:G,5, 0)="X",1,0),0)</f>
        <v>0</v>
      </c>
      <c r="O377" s="10"/>
    </row>
    <row r="378" spans="2:15" ht="99.75" x14ac:dyDescent="0.3">
      <c r="B378" s="17">
        <v>375</v>
      </c>
      <c r="C378" s="34" t="s">
        <v>732</v>
      </c>
      <c r="D378" s="27" t="s">
        <v>536</v>
      </c>
      <c r="E378" s="27" t="s">
        <v>608</v>
      </c>
      <c r="F378" s="29" t="s">
        <v>537</v>
      </c>
      <c r="G378" s="33">
        <v>1</v>
      </c>
      <c r="H378" s="34">
        <f t="shared" si="5"/>
        <v>0</v>
      </c>
      <c r="I378" s="9"/>
      <c r="J378" s="34">
        <f>IFERROR(IF(VLOOKUP(D:D,'테스트(1회)'!C:G,5, 0)="X",1,0),0)</f>
        <v>0</v>
      </c>
      <c r="K378" s="34">
        <f>IFERROR(IF(VLOOKUP(D:D,'테스트(2회)'!C:G,5, 0)="X",1,0),0)</f>
        <v>0</v>
      </c>
      <c r="L378" s="34">
        <f>IFERROR(IF(VLOOKUP(D:D,'테스트(3회)'!C:G,5, 0)="X",1,0),0)</f>
        <v>0</v>
      </c>
      <c r="M378" s="34">
        <f>IFERROR(IF(VLOOKUP(D:D,'테스트(4회)'!C:G,5, 0)="X",1,0),0)</f>
        <v>0</v>
      </c>
      <c r="N378" s="34">
        <f>IFERROR(IF(VLOOKUP(D:D,'테스트(5회)'!C:G,5, 0)="X",1,0),0)</f>
        <v>0</v>
      </c>
      <c r="O378" s="10"/>
    </row>
    <row r="379" spans="2:15" ht="85.5" x14ac:dyDescent="0.3">
      <c r="B379" s="17">
        <v>376</v>
      </c>
      <c r="C379" s="34" t="s">
        <v>732</v>
      </c>
      <c r="D379" s="27" t="s">
        <v>538</v>
      </c>
      <c r="E379" s="27" t="s">
        <v>608</v>
      </c>
      <c r="F379" s="29" t="s">
        <v>539</v>
      </c>
      <c r="G379" s="33">
        <v>3</v>
      </c>
      <c r="H379" s="34">
        <f t="shared" si="5"/>
        <v>0</v>
      </c>
      <c r="I379" s="9"/>
      <c r="J379" s="34">
        <f>IFERROR(IF(VLOOKUP(D:D,'테스트(1회)'!C:G,5, 0)="X",1,0),0)</f>
        <v>0</v>
      </c>
      <c r="K379" s="34">
        <f>IFERROR(IF(VLOOKUP(D:D,'테스트(2회)'!C:G,5, 0)="X",1,0),0)</f>
        <v>0</v>
      </c>
      <c r="L379" s="34">
        <f>IFERROR(IF(VLOOKUP(D:D,'테스트(3회)'!C:G,5, 0)="X",1,0),0)</f>
        <v>0</v>
      </c>
      <c r="M379" s="34">
        <f>IFERROR(IF(VLOOKUP(D:D,'테스트(4회)'!C:G,5, 0)="X",1,0),0)</f>
        <v>0</v>
      </c>
      <c r="N379" s="34">
        <f>IFERROR(IF(VLOOKUP(D:D,'테스트(5회)'!C:G,5, 0)="X",1,0),0)</f>
        <v>0</v>
      </c>
      <c r="O379" s="10"/>
    </row>
    <row r="380" spans="2:15" ht="142.5" x14ac:dyDescent="0.3">
      <c r="B380" s="17">
        <v>377</v>
      </c>
      <c r="C380" s="34" t="s">
        <v>732</v>
      </c>
      <c r="D380" s="27" t="s">
        <v>540</v>
      </c>
      <c r="E380" s="27" t="s">
        <v>608</v>
      </c>
      <c r="F380" s="29" t="s">
        <v>541</v>
      </c>
      <c r="G380" s="33">
        <v>2</v>
      </c>
      <c r="H380" s="34">
        <f t="shared" si="5"/>
        <v>0</v>
      </c>
      <c r="I380" s="9"/>
      <c r="J380" s="34">
        <f>IFERROR(IF(VLOOKUP(D:D,'테스트(1회)'!C:G,5, 0)="X",1,0),0)</f>
        <v>0</v>
      </c>
      <c r="K380" s="34">
        <f>IFERROR(IF(VLOOKUP(D:D,'테스트(2회)'!C:G,5, 0)="X",1,0),0)</f>
        <v>0</v>
      </c>
      <c r="L380" s="34">
        <f>IFERROR(IF(VLOOKUP(D:D,'테스트(3회)'!C:G,5, 0)="X",1,0),0)</f>
        <v>0</v>
      </c>
      <c r="M380" s="34">
        <f>IFERROR(IF(VLOOKUP(D:D,'테스트(4회)'!C:G,5, 0)="X",1,0),0)</f>
        <v>0</v>
      </c>
      <c r="N380" s="34">
        <f>IFERROR(IF(VLOOKUP(D:D,'테스트(5회)'!C:G,5, 0)="X",1,0),0)</f>
        <v>0</v>
      </c>
      <c r="O380" s="10"/>
    </row>
    <row r="381" spans="2:15" ht="85.5" x14ac:dyDescent="0.3">
      <c r="B381" s="17">
        <v>378</v>
      </c>
      <c r="C381" s="34" t="s">
        <v>732</v>
      </c>
      <c r="D381" s="27" t="s">
        <v>542</v>
      </c>
      <c r="E381" s="27" t="s">
        <v>608</v>
      </c>
      <c r="F381" s="29" t="s">
        <v>543</v>
      </c>
      <c r="G381" s="33">
        <v>1</v>
      </c>
      <c r="H381" s="34">
        <f t="shared" si="5"/>
        <v>0</v>
      </c>
      <c r="I381" s="9"/>
      <c r="J381" s="34">
        <f>IFERROR(IF(VLOOKUP(D:D,'테스트(1회)'!C:G,5, 0)="X",1,0),0)</f>
        <v>0</v>
      </c>
      <c r="K381" s="34">
        <f>IFERROR(IF(VLOOKUP(D:D,'테스트(2회)'!C:G,5, 0)="X",1,0),0)</f>
        <v>0</v>
      </c>
      <c r="L381" s="34">
        <f>IFERROR(IF(VLOOKUP(D:D,'테스트(3회)'!C:G,5, 0)="X",1,0),0)</f>
        <v>0</v>
      </c>
      <c r="M381" s="34">
        <f>IFERROR(IF(VLOOKUP(D:D,'테스트(4회)'!C:G,5, 0)="X",1,0),0)</f>
        <v>0</v>
      </c>
      <c r="N381" s="34">
        <f>IFERROR(IF(VLOOKUP(D:D,'테스트(5회)'!C:G,5, 0)="X",1,0),0)</f>
        <v>0</v>
      </c>
      <c r="O381" s="10"/>
    </row>
    <row r="382" spans="2:15" ht="171" x14ac:dyDescent="0.3">
      <c r="B382" s="17">
        <v>379</v>
      </c>
      <c r="C382" s="34" t="s">
        <v>732</v>
      </c>
      <c r="D382" s="27" t="s">
        <v>544</v>
      </c>
      <c r="E382" s="27" t="s">
        <v>608</v>
      </c>
      <c r="F382" s="29" t="s">
        <v>695</v>
      </c>
      <c r="G382" s="33">
        <v>2</v>
      </c>
      <c r="H382" s="34">
        <f t="shared" si="5"/>
        <v>0</v>
      </c>
      <c r="I382" s="9"/>
      <c r="J382" s="34">
        <f>IFERROR(IF(VLOOKUP(D:D,'테스트(1회)'!C:G,5, 0)="X",1,0),0)</f>
        <v>0</v>
      </c>
      <c r="K382" s="34">
        <f>IFERROR(IF(VLOOKUP(D:D,'테스트(2회)'!C:G,5, 0)="X",1,0),0)</f>
        <v>0</v>
      </c>
      <c r="L382" s="34">
        <f>IFERROR(IF(VLOOKUP(D:D,'테스트(3회)'!C:G,5, 0)="X",1,0),0)</f>
        <v>0</v>
      </c>
      <c r="M382" s="34">
        <f>IFERROR(IF(VLOOKUP(D:D,'테스트(4회)'!C:G,5, 0)="X",1,0),0)</f>
        <v>0</v>
      </c>
      <c r="N382" s="34">
        <f>IFERROR(IF(VLOOKUP(D:D,'테스트(5회)'!C:G,5, 0)="X",1,0),0)</f>
        <v>0</v>
      </c>
      <c r="O382" s="10"/>
    </row>
    <row r="383" spans="2:15" ht="114" x14ac:dyDescent="0.3">
      <c r="B383" s="17">
        <v>380</v>
      </c>
      <c r="C383" s="34" t="s">
        <v>732</v>
      </c>
      <c r="D383" s="27" t="s">
        <v>545</v>
      </c>
      <c r="E383" s="27" t="s">
        <v>608</v>
      </c>
      <c r="F383" s="29" t="s">
        <v>546</v>
      </c>
      <c r="G383" s="33">
        <v>3</v>
      </c>
      <c r="H383" s="34">
        <f t="shared" si="5"/>
        <v>0</v>
      </c>
      <c r="I383" s="9"/>
      <c r="J383" s="34">
        <f>IFERROR(IF(VLOOKUP(D:D,'테스트(1회)'!C:G,5, 0)="X",1,0),0)</f>
        <v>0</v>
      </c>
      <c r="K383" s="34">
        <f>IFERROR(IF(VLOOKUP(D:D,'테스트(2회)'!C:G,5, 0)="X",1,0),0)</f>
        <v>0</v>
      </c>
      <c r="L383" s="34">
        <f>IFERROR(IF(VLOOKUP(D:D,'테스트(3회)'!C:G,5, 0)="X",1,0),0)</f>
        <v>0</v>
      </c>
      <c r="M383" s="34">
        <f>IFERROR(IF(VLOOKUP(D:D,'테스트(4회)'!C:G,5, 0)="X",1,0),0)</f>
        <v>0</v>
      </c>
      <c r="N383" s="34">
        <f>IFERROR(IF(VLOOKUP(D:D,'테스트(5회)'!C:G,5, 0)="X",1,0),0)</f>
        <v>0</v>
      </c>
      <c r="O383" s="10"/>
    </row>
    <row r="384" spans="2:15" ht="99.75" x14ac:dyDescent="0.3">
      <c r="B384" s="17">
        <v>381</v>
      </c>
      <c r="C384" s="34" t="s">
        <v>732</v>
      </c>
      <c r="D384" s="27" t="s">
        <v>547</v>
      </c>
      <c r="E384" s="27" t="s">
        <v>608</v>
      </c>
      <c r="F384" s="29" t="s">
        <v>548</v>
      </c>
      <c r="G384" s="33">
        <v>5</v>
      </c>
      <c r="H384" s="34">
        <f t="shared" si="5"/>
        <v>0</v>
      </c>
      <c r="I384" s="9"/>
      <c r="J384" s="34">
        <f>IFERROR(IF(VLOOKUP(D:D,'테스트(1회)'!C:G,5, 0)="X",1,0),0)</f>
        <v>0</v>
      </c>
      <c r="K384" s="34">
        <f>IFERROR(IF(VLOOKUP(D:D,'테스트(2회)'!C:G,5, 0)="X",1,0),0)</f>
        <v>0</v>
      </c>
      <c r="L384" s="34">
        <f>IFERROR(IF(VLOOKUP(D:D,'테스트(3회)'!C:G,5, 0)="X",1,0),0)</f>
        <v>0</v>
      </c>
      <c r="M384" s="34">
        <f>IFERROR(IF(VLOOKUP(D:D,'테스트(4회)'!C:G,5, 0)="X",1,0),0)</f>
        <v>0</v>
      </c>
      <c r="N384" s="34">
        <f>IFERROR(IF(VLOOKUP(D:D,'테스트(5회)'!C:G,5, 0)="X",1,0),0)</f>
        <v>0</v>
      </c>
      <c r="O384" s="10"/>
    </row>
    <row r="385" spans="2:15" ht="142.5" x14ac:dyDescent="0.3">
      <c r="B385" s="17">
        <v>382</v>
      </c>
      <c r="C385" s="34" t="s">
        <v>732</v>
      </c>
      <c r="D385" s="27" t="s">
        <v>549</v>
      </c>
      <c r="E385" s="27" t="s">
        <v>608</v>
      </c>
      <c r="F385" s="29" t="s">
        <v>550</v>
      </c>
      <c r="G385" s="33">
        <v>1</v>
      </c>
      <c r="H385" s="34">
        <f t="shared" si="5"/>
        <v>0</v>
      </c>
      <c r="I385" s="9"/>
      <c r="J385" s="34">
        <f>IFERROR(IF(VLOOKUP(D:D,'테스트(1회)'!C:G,5, 0)="X",1,0),0)</f>
        <v>0</v>
      </c>
      <c r="K385" s="34">
        <f>IFERROR(IF(VLOOKUP(D:D,'테스트(2회)'!C:G,5, 0)="X",1,0),0)</f>
        <v>0</v>
      </c>
      <c r="L385" s="34">
        <f>IFERROR(IF(VLOOKUP(D:D,'테스트(3회)'!C:G,5, 0)="X",1,0),0)</f>
        <v>0</v>
      </c>
      <c r="M385" s="34">
        <f>IFERROR(IF(VLOOKUP(D:D,'테스트(4회)'!C:G,5, 0)="X",1,0),0)</f>
        <v>0</v>
      </c>
      <c r="N385" s="34">
        <f>IFERROR(IF(VLOOKUP(D:D,'테스트(5회)'!C:G,5, 0)="X",1,0),0)</f>
        <v>0</v>
      </c>
      <c r="O385" s="10"/>
    </row>
    <row r="386" spans="2:15" ht="85.5" x14ac:dyDescent="0.3">
      <c r="B386" s="17">
        <v>383</v>
      </c>
      <c r="C386" s="34" t="s">
        <v>732</v>
      </c>
      <c r="D386" s="27" t="s">
        <v>551</v>
      </c>
      <c r="E386" s="27" t="s">
        <v>608</v>
      </c>
      <c r="F386" s="29" t="s">
        <v>699</v>
      </c>
      <c r="G386" s="33">
        <v>4</v>
      </c>
      <c r="H386" s="34">
        <f t="shared" si="5"/>
        <v>0</v>
      </c>
      <c r="I386" s="9"/>
      <c r="J386" s="34">
        <f>IFERROR(IF(VLOOKUP(D:D,'테스트(1회)'!C:G,5, 0)="X",1,0),0)</f>
        <v>0</v>
      </c>
      <c r="K386" s="34">
        <f>IFERROR(IF(VLOOKUP(D:D,'테스트(2회)'!C:G,5, 0)="X",1,0),0)</f>
        <v>0</v>
      </c>
      <c r="L386" s="34">
        <f>IFERROR(IF(VLOOKUP(D:D,'테스트(3회)'!C:G,5, 0)="X",1,0),0)</f>
        <v>0</v>
      </c>
      <c r="M386" s="34">
        <f>IFERROR(IF(VLOOKUP(D:D,'테스트(4회)'!C:G,5, 0)="X",1,0),0)</f>
        <v>0</v>
      </c>
      <c r="N386" s="34">
        <f>IFERROR(IF(VLOOKUP(D:D,'테스트(5회)'!C:G,5, 0)="X",1,0),0)</f>
        <v>0</v>
      </c>
      <c r="O386" s="10"/>
    </row>
    <row r="387" spans="2:15" ht="114" x14ac:dyDescent="0.3">
      <c r="B387" s="17">
        <v>384</v>
      </c>
      <c r="C387" s="34" t="s">
        <v>732</v>
      </c>
      <c r="D387" s="27" t="s">
        <v>552</v>
      </c>
      <c r="E387" s="27" t="s">
        <v>608</v>
      </c>
      <c r="F387" s="29" t="s">
        <v>553</v>
      </c>
      <c r="G387" s="33">
        <v>3</v>
      </c>
      <c r="H387" s="34">
        <f t="shared" si="5"/>
        <v>0</v>
      </c>
      <c r="I387" s="9"/>
      <c r="J387" s="34">
        <f>IFERROR(IF(VLOOKUP(D:D,'테스트(1회)'!C:G,5, 0)="X",1,0),0)</f>
        <v>0</v>
      </c>
      <c r="K387" s="34">
        <f>IFERROR(IF(VLOOKUP(D:D,'테스트(2회)'!C:G,5, 0)="X",1,0),0)</f>
        <v>0</v>
      </c>
      <c r="L387" s="34">
        <f>IFERROR(IF(VLOOKUP(D:D,'테스트(3회)'!C:G,5, 0)="X",1,0),0)</f>
        <v>0</v>
      </c>
      <c r="M387" s="34">
        <f>IFERROR(IF(VLOOKUP(D:D,'테스트(4회)'!C:G,5, 0)="X",1,0),0)</f>
        <v>0</v>
      </c>
      <c r="N387" s="34">
        <f>IFERROR(IF(VLOOKUP(D:D,'테스트(5회)'!C:G,5, 0)="X",1,0),0)</f>
        <v>0</v>
      </c>
      <c r="O387" s="10"/>
    </row>
    <row r="388" spans="2:15" ht="99.75" x14ac:dyDescent="0.3">
      <c r="B388" s="17">
        <v>385</v>
      </c>
      <c r="C388" s="34" t="s">
        <v>732</v>
      </c>
      <c r="D388" s="27" t="s">
        <v>554</v>
      </c>
      <c r="E388" s="27" t="s">
        <v>608</v>
      </c>
      <c r="F388" s="29" t="s">
        <v>555</v>
      </c>
      <c r="G388" s="33">
        <v>5</v>
      </c>
      <c r="H388" s="34">
        <f t="shared" ref="H388:H393" si="6">SUM(J388:N388)</f>
        <v>0</v>
      </c>
      <c r="I388" s="9"/>
      <c r="J388" s="34">
        <f>IFERROR(IF(VLOOKUP(D:D,'테스트(1회)'!C:G,5, 0)="X",1,0),0)</f>
        <v>0</v>
      </c>
      <c r="K388" s="34">
        <f>IFERROR(IF(VLOOKUP(D:D,'테스트(2회)'!C:G,5, 0)="X",1,0),0)</f>
        <v>0</v>
      </c>
      <c r="L388" s="34">
        <f>IFERROR(IF(VLOOKUP(D:D,'테스트(3회)'!C:G,5, 0)="X",1,0),0)</f>
        <v>0</v>
      </c>
      <c r="M388" s="34">
        <f>IFERROR(IF(VLOOKUP(D:D,'테스트(4회)'!C:G,5, 0)="X",1,0),0)</f>
        <v>0</v>
      </c>
      <c r="N388" s="34">
        <f>IFERROR(IF(VLOOKUP(D:D,'테스트(5회)'!C:G,5, 0)="X",1,0),0)</f>
        <v>0</v>
      </c>
      <c r="O388" s="10"/>
    </row>
    <row r="389" spans="2:15" ht="114" x14ac:dyDescent="0.3">
      <c r="B389" s="17">
        <v>386</v>
      </c>
      <c r="C389" s="34" t="s">
        <v>732</v>
      </c>
      <c r="D389" s="27" t="s">
        <v>556</v>
      </c>
      <c r="E389" s="27" t="s">
        <v>608</v>
      </c>
      <c r="F389" s="29" t="s">
        <v>557</v>
      </c>
      <c r="G389" s="33">
        <v>4</v>
      </c>
      <c r="H389" s="34">
        <f t="shared" si="6"/>
        <v>0</v>
      </c>
      <c r="I389" s="9"/>
      <c r="J389" s="34">
        <f>IFERROR(IF(VLOOKUP(D:D,'테스트(1회)'!C:G,5, 0)="X",1,0),0)</f>
        <v>0</v>
      </c>
      <c r="K389" s="34">
        <f>IFERROR(IF(VLOOKUP(D:D,'테스트(2회)'!C:G,5, 0)="X",1,0),0)</f>
        <v>0</v>
      </c>
      <c r="L389" s="34">
        <f>IFERROR(IF(VLOOKUP(D:D,'테스트(3회)'!C:G,5, 0)="X",1,0),0)</f>
        <v>0</v>
      </c>
      <c r="M389" s="34">
        <f>IFERROR(IF(VLOOKUP(D:D,'테스트(4회)'!C:G,5, 0)="X",1,0),0)</f>
        <v>0</v>
      </c>
      <c r="N389" s="34">
        <f>IFERROR(IF(VLOOKUP(D:D,'테스트(5회)'!C:G,5, 0)="X",1,0),0)</f>
        <v>0</v>
      </c>
      <c r="O389" s="10"/>
    </row>
    <row r="390" spans="2:15" ht="99.75" x14ac:dyDescent="0.3">
      <c r="B390" s="17">
        <v>387</v>
      </c>
      <c r="C390" s="34" t="s">
        <v>732</v>
      </c>
      <c r="D390" s="27" t="s">
        <v>558</v>
      </c>
      <c r="E390" s="27" t="s">
        <v>608</v>
      </c>
      <c r="F390" s="29" t="s">
        <v>559</v>
      </c>
      <c r="G390" s="33">
        <v>4</v>
      </c>
      <c r="H390" s="34">
        <f t="shared" si="6"/>
        <v>0</v>
      </c>
      <c r="I390" s="9"/>
      <c r="J390" s="34">
        <f>IFERROR(IF(VLOOKUP(D:D,'테스트(1회)'!C:G,5, 0)="X",1,0),0)</f>
        <v>0</v>
      </c>
      <c r="K390" s="34">
        <f>IFERROR(IF(VLOOKUP(D:D,'테스트(2회)'!C:G,5, 0)="X",1,0),0)</f>
        <v>0</v>
      </c>
      <c r="L390" s="34">
        <f>IFERROR(IF(VLOOKUP(D:D,'테스트(3회)'!C:G,5, 0)="X",1,0),0)</f>
        <v>0</v>
      </c>
      <c r="M390" s="34">
        <f>IFERROR(IF(VLOOKUP(D:D,'테스트(4회)'!C:G,5, 0)="X",1,0),0)</f>
        <v>0</v>
      </c>
      <c r="N390" s="34">
        <f>IFERROR(IF(VLOOKUP(D:D,'테스트(5회)'!C:G,5, 0)="X",1,0),0)</f>
        <v>0</v>
      </c>
      <c r="O390" s="10"/>
    </row>
    <row r="391" spans="2:15" ht="99.75" x14ac:dyDescent="0.3">
      <c r="B391" s="17">
        <v>388</v>
      </c>
      <c r="C391" s="34" t="s">
        <v>732</v>
      </c>
      <c r="D391" s="27" t="s">
        <v>560</v>
      </c>
      <c r="E391" s="27" t="s">
        <v>608</v>
      </c>
      <c r="F391" s="29" t="s">
        <v>561</v>
      </c>
      <c r="G391" s="33">
        <v>1</v>
      </c>
      <c r="H391" s="34">
        <f t="shared" si="6"/>
        <v>0</v>
      </c>
      <c r="I391" s="9"/>
      <c r="J391" s="34">
        <f>IFERROR(IF(VLOOKUP(D:D,'테스트(1회)'!C:G,5, 0)="X",1,0),0)</f>
        <v>0</v>
      </c>
      <c r="K391" s="34">
        <f>IFERROR(IF(VLOOKUP(D:D,'테스트(2회)'!C:G,5, 0)="X",1,0),0)</f>
        <v>0</v>
      </c>
      <c r="L391" s="34">
        <f>IFERROR(IF(VLOOKUP(D:D,'테스트(3회)'!C:G,5, 0)="X",1,0),0)</f>
        <v>0</v>
      </c>
      <c r="M391" s="34">
        <f>IFERROR(IF(VLOOKUP(D:D,'테스트(4회)'!C:G,5, 0)="X",1,0),0)</f>
        <v>0</v>
      </c>
      <c r="N391" s="34">
        <f>IFERROR(IF(VLOOKUP(D:D,'테스트(5회)'!C:G,5, 0)="X",1,0),0)</f>
        <v>0</v>
      </c>
      <c r="O391" s="10"/>
    </row>
    <row r="392" spans="2:15" ht="128.25" x14ac:dyDescent="0.3">
      <c r="B392" s="17">
        <v>389</v>
      </c>
      <c r="C392" s="34" t="s">
        <v>732</v>
      </c>
      <c r="D392" s="27" t="s">
        <v>562</v>
      </c>
      <c r="E392" s="27" t="s">
        <v>608</v>
      </c>
      <c r="F392" s="29" t="s">
        <v>717</v>
      </c>
      <c r="G392" s="33">
        <v>3</v>
      </c>
      <c r="H392" s="34">
        <f t="shared" si="6"/>
        <v>0</v>
      </c>
      <c r="I392" s="9"/>
      <c r="J392" s="34">
        <f>IFERROR(IF(VLOOKUP(D:D,'테스트(1회)'!C:G,5, 0)="X",1,0),0)</f>
        <v>0</v>
      </c>
      <c r="K392" s="34">
        <f>IFERROR(IF(VLOOKUP(D:D,'테스트(2회)'!C:G,5, 0)="X",1,0),0)</f>
        <v>0</v>
      </c>
      <c r="L392" s="34">
        <f>IFERROR(IF(VLOOKUP(D:D,'테스트(3회)'!C:G,5, 0)="X",1,0),0)</f>
        <v>0</v>
      </c>
      <c r="M392" s="34">
        <f>IFERROR(IF(VLOOKUP(D:D,'테스트(4회)'!C:G,5, 0)="X",1,0),0)</f>
        <v>0</v>
      </c>
      <c r="N392" s="34">
        <f>IFERROR(IF(VLOOKUP(D:D,'테스트(5회)'!C:G,5, 0)="X",1,0),0)</f>
        <v>0</v>
      </c>
      <c r="O392" s="10"/>
    </row>
    <row r="393" spans="2:15" ht="85.5" x14ac:dyDescent="0.3">
      <c r="B393" s="17">
        <v>390</v>
      </c>
      <c r="C393" s="34" t="s">
        <v>732</v>
      </c>
      <c r="D393" s="27" t="s">
        <v>563</v>
      </c>
      <c r="E393" s="27" t="s">
        <v>608</v>
      </c>
      <c r="F393" s="29" t="s">
        <v>564</v>
      </c>
      <c r="G393" s="33">
        <v>1</v>
      </c>
      <c r="H393" s="34">
        <f t="shared" si="6"/>
        <v>0</v>
      </c>
      <c r="I393" s="9"/>
      <c r="J393" s="34">
        <f>IFERROR(IF(VLOOKUP(D:D,'테스트(1회)'!C:G,5, 0)="X",1,0),0)</f>
        <v>0</v>
      </c>
      <c r="K393" s="34">
        <f>IFERROR(IF(VLOOKUP(D:D,'테스트(2회)'!C:G,5, 0)="X",1,0),0)</f>
        <v>0</v>
      </c>
      <c r="L393" s="34">
        <f>IFERROR(IF(VLOOKUP(D:D,'테스트(3회)'!C:G,5, 0)="X",1,0),0)</f>
        <v>0</v>
      </c>
      <c r="M393" s="34">
        <f>IFERROR(IF(VLOOKUP(D:D,'테스트(4회)'!C:G,5, 0)="X",1,0),0)</f>
        <v>0</v>
      </c>
      <c r="N393" s="34">
        <f>IFERROR(IF(VLOOKUP(D:D,'테스트(5회)'!C:G,5, 0)="X",1,0),0)</f>
        <v>0</v>
      </c>
      <c r="O393" s="10"/>
    </row>
  </sheetData>
  <mergeCells count="10">
    <mergeCell ref="O2:O3"/>
    <mergeCell ref="B2:B3"/>
    <mergeCell ref="D2:D3"/>
    <mergeCell ref="F2:F3"/>
    <mergeCell ref="G2:G3"/>
    <mergeCell ref="H2:H3"/>
    <mergeCell ref="E2:E3"/>
    <mergeCell ref="J2:N2"/>
    <mergeCell ref="C2:C3"/>
    <mergeCell ref="I2:I3"/>
  </mergeCells>
  <phoneticPr fontId="1" type="noConversion"/>
  <dataValidations disablePrompts="1" count="1">
    <dataValidation type="list" allowBlank="1" showInputMessage="1" showErrorMessage="1" sqref="E4:E1048576" xr:uid="{06A9F814-8B46-4900-85B5-DB6B2147C421}">
      <formula1>"Y,N"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C8AC4-BF4F-4241-9188-5359708EB1D0}">
  <sheetPr codeName="Sheet16">
    <pageSetUpPr autoPageBreaks="0"/>
  </sheetPr>
  <dimension ref="B2:J397"/>
  <sheetViews>
    <sheetView showGridLines="0" tabSelected="1" zoomScaleNormal="100" zoomScaleSheetLayoutView="100" workbookViewId="0">
      <pane ySplit="7" topLeftCell="A8" activePane="bottomLeft" state="frozen"/>
      <selection activeCell="N35" sqref="N35"/>
      <selection pane="bottomLeft" activeCell="E23" sqref="E23"/>
    </sheetView>
  </sheetViews>
  <sheetFormatPr defaultColWidth="9" defaultRowHeight="14.25" x14ac:dyDescent="0.3"/>
  <cols>
    <col min="1" max="1" width="1.625" style="23" customWidth="1"/>
    <col min="2" max="2" width="3.625" style="15" customWidth="1"/>
    <col min="3" max="3" width="10.625" style="15" customWidth="1"/>
    <col min="4" max="4" width="5.625" style="15" customWidth="1"/>
    <col min="5" max="5" width="95.625" style="18" customWidth="1"/>
    <col min="6" max="7" width="5.625" style="26" customWidth="1"/>
    <col min="8" max="9" width="9" style="21"/>
    <col min="10" max="16384" width="9" style="23"/>
  </cols>
  <sheetData>
    <row r="2" spans="2:10" x14ac:dyDescent="0.3">
      <c r="C2" s="16" t="s">
        <v>724</v>
      </c>
      <c r="D2" s="17">
        <v>25</v>
      </c>
      <c r="F2" s="19" t="s">
        <v>763</v>
      </c>
      <c r="G2" s="20">
        <f>MAX(B8:B397)-COUNTBLANK(C8:C397)</f>
        <v>25</v>
      </c>
      <c r="J2" s="22"/>
    </row>
    <row r="3" spans="2:10" x14ac:dyDescent="0.3">
      <c r="C3" s="16" t="s">
        <v>725</v>
      </c>
      <c r="D3" s="17" t="s">
        <v>744</v>
      </c>
      <c r="F3" s="19" t="s">
        <v>773</v>
      </c>
      <c r="G3" s="24">
        <f>COUNTIF(G8:G447,"X")</f>
        <v>0</v>
      </c>
      <c r="J3" s="22"/>
    </row>
    <row r="4" spans="2:10" x14ac:dyDescent="0.3">
      <c r="C4" s="16" t="s">
        <v>729</v>
      </c>
      <c r="D4" s="17" t="s">
        <v>735</v>
      </c>
      <c r="F4" s="24" t="s">
        <v>3</v>
      </c>
      <c r="G4" s="24">
        <f>G2-G3</f>
        <v>25</v>
      </c>
      <c r="J4" s="22"/>
    </row>
    <row r="5" spans="2:10" x14ac:dyDescent="0.3">
      <c r="C5" s="16" t="s">
        <v>726</v>
      </c>
      <c r="D5" s="17" t="s">
        <v>735</v>
      </c>
      <c r="F5" s="24" t="s">
        <v>764</v>
      </c>
      <c r="G5" s="25">
        <f>100/G2*G4</f>
        <v>100</v>
      </c>
      <c r="J5" s="22"/>
    </row>
    <row r="6" spans="2:10" x14ac:dyDescent="0.3">
      <c r="J6" s="22"/>
    </row>
    <row r="7" spans="2:10" x14ac:dyDescent="0.3">
      <c r="B7" s="4" t="s">
        <v>0</v>
      </c>
      <c r="C7" s="4" t="s">
        <v>1</v>
      </c>
      <c r="D7" s="4" t="s">
        <v>606</v>
      </c>
      <c r="E7" s="14" t="s">
        <v>2</v>
      </c>
      <c r="F7" s="14" t="s">
        <v>3</v>
      </c>
      <c r="G7" s="14" t="s">
        <v>598</v>
      </c>
      <c r="J7" s="22"/>
    </row>
    <row r="8" spans="2:10" ht="128.25" x14ac:dyDescent="0.3">
      <c r="B8" s="17">
        <v>1</v>
      </c>
      <c r="C8" s="27" t="s">
        <v>1127</v>
      </c>
      <c r="D8" s="28"/>
      <c r="E8" s="29" t="str">
        <f>IFERROR(VLOOKUP(C8,기출문제!D:G,3,0),"")</f>
        <v>76. 사회보장기본법령상 사회보장제도의 운영에 관한 설명으로 옳지 않은 것은?
① 사회보험은 국가와 지방자치단체의 책임으로 시행하고, 공공부조와 사회서비스는 국가의 책임으로 시행하는 것을 원칙으로 한다.
② 국가와 지방자치단체는 효과적인 사회보장정책의 수립・시행을 위하여 사회보장에 관한 통계를 작성・관리하여야 한다.
③ 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
④ 보건복지부장관은 사회서비스의 품질기준 마련, 평가 및 개선 등의 업무를 수행하기 위하여 필요한 전담기구를 설치할 수 있다.
⑤ 국가와 지방자치단체는 개인・법인 또는 단체가 사회보장에 참여하는 데에 드는 경비의 전부 또는 일부를 지원하거나 그 업무를 수행하기 위하여 필요한 지원을 할 수 있다.</v>
      </c>
      <c r="F8" s="30">
        <f>IFERROR(VLOOKUP(C8,기출문제!D:G,4,0),"")</f>
        <v>1</v>
      </c>
      <c r="G8" s="31" t="str">
        <f>IF(D8="","",IF(D8=F8,"O", "X"))</f>
        <v/>
      </c>
    </row>
    <row r="9" spans="2:10" ht="99.75" x14ac:dyDescent="0.3">
      <c r="B9" s="17">
        <v>2</v>
      </c>
      <c r="C9" s="27" t="s">
        <v>1128</v>
      </c>
      <c r="D9" s="28"/>
      <c r="E9" s="29" t="str">
        <f>IFERROR(VLOOKUP(C9,기출문제!D:G,3,0),"")</f>
        <v>77. 사회보장기본법령상 사회보장 비용의 부담에 관한 설명으로 옳지 않은 것은?
① 사회보장 비용의 부담은 각각의 사회보장제도의 목적에 따라 국가, 지방자치단체 및 민간부문 간에 합리적으로 조정되어야 한다.
② 사회보험에 드는 비용은 사용자, 피용자 및 자영업자가 부담하는 것을 원칙으로 한다.
③ 부담 능력이 있는 국민에 대한 사회서비스에 드는 비용은 그 수익자가 부담함을 원칙으로 한다.
④ 공공부조에 드는 비용은 수익자가 부담함을 원칙으로 한다.
⑤ 공공부조 및 관계 법령에서 정하는 일정 소득 수준 이하의 국민에 대한 사회서비스에 드는 비용의 전부 또는 일부는 국가와 지방자치단체가 부담한다.</v>
      </c>
      <c r="F9" s="30">
        <f>IFERROR(VLOOKUP(C9,기출문제!D:G,4,0),"")</f>
        <v>4</v>
      </c>
      <c r="G9" s="31" t="str">
        <f t="shared" ref="G9:G72" si="0">IF(D9="","",IF(D9=F9,"O", "X"))</f>
        <v/>
      </c>
    </row>
    <row r="10" spans="2:10" ht="99.75" x14ac:dyDescent="0.3">
      <c r="B10" s="17">
        <v>3</v>
      </c>
      <c r="C10" s="27" t="s">
        <v>1129</v>
      </c>
      <c r="D10" s="28"/>
      <c r="E10" s="29" t="str">
        <f>IFERROR(VLOOKUP(C10,기출문제!D:G,3,0),"")</f>
        <v>78. 사회보험 관련법령의 적용에 관한 내용으로 옳지 않은 것은?
① 사립학교교직원 연금법의 적용을 받는 자에게는 고용보험법을 적용하지 아니한다.
② 1개월 미만 동안 고용된 일용근로자는 고용보험법의 적용이 제외되는 근로자이다.
③ 국민연금에 가입된 사업장에 종사하는 18세 미만 근로자는 사업장가입자가 되는 것으로 보나, 본인이 원하지 아니하면 사업장가입자가 되지 아니할 수 있다.
④ 비상근 근로자는 국민건강보험법의 직장가입자에서 제외된다.
⑤ 1개월 동안의 소정근로시간이 60시간 미만인 단시간근로자는 국민건강보험법의 직장가입자에서 제외된다.</v>
      </c>
      <c r="F10" s="30">
        <f>IFERROR(VLOOKUP(C10,기출문제!D:G,4,0),"")</f>
        <v>2</v>
      </c>
      <c r="G10" s="31" t="str">
        <f t="shared" si="0"/>
        <v/>
      </c>
    </row>
    <row r="11" spans="2:10" ht="99.75" x14ac:dyDescent="0.3">
      <c r="B11" s="17">
        <v>4</v>
      </c>
      <c r="C11" s="27" t="s">
        <v>1130</v>
      </c>
      <c r="D11" s="28"/>
      <c r="E11" s="29" t="str">
        <f>IFERROR(VLOOKUP(C11,기출문제!D:G,3,0),"")</f>
        <v>79. 사회보장기본법령상 사회보장수급권에 관한 설명으로 옳지 않은 것은?
① 사회보장수급권은 관계 법령에서 정하는 바에 따라 다른 사람에게 양도하거나 담보로 제공할 수 없다.
② 사회보장수급권은 제한되거나 정지될 수 없으나, 관계 법령에서 따로 정하고 있는 경우에는 그러하지 아니하다.
③ 사회보장수급권이 정지되는 경우에는 정지하는 목적에 필요한 최소한의 범위에 그쳐야 한다.
④ 사회보장수급권은 포기할 수 있으나 포기한 후에는 이를 취소할 수 없다.
⑤ 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v>
      </c>
      <c r="F11" s="30">
        <f>IFERROR(VLOOKUP(C11,기출문제!D:G,4,0),"")</f>
        <v>4</v>
      </c>
      <c r="G11" s="31" t="str">
        <f t="shared" si="0"/>
        <v/>
      </c>
    </row>
    <row r="12" spans="2:10" ht="99.75" x14ac:dyDescent="0.3">
      <c r="B12" s="17">
        <v>5</v>
      </c>
      <c r="C12" s="27" t="s">
        <v>1131</v>
      </c>
      <c r="D12" s="28"/>
      <c r="E12" s="29" t="str">
        <f>IFERROR(VLOOKUP(C12,기출문제!D:G,3,0),"")</f>
        <v>80. 고용보험법령의 내용으로 옳지 않은 것은?
① 국민기초생활 보장법에 따라 자활을 위한 근로기회를 제공하기 위한 사업은 고용보험법의 적용을 받는 사업으로 본다.
② 국가는 매년 고용보험사업에 드는 비용의 일부를 일반회계에서 부담하여야 한다.
③ 피보험자가 사망한 경우에는 사망한 날에 그 피보험자격을 상실한다.
④ 고용보험법에 따른 보험관계의 성립 및 소멸에 대하여는 고용보험 및 산업재해보상보험의 보험료징수 등에 관한 법률로 정하는 바에 따른다.
⑤ 구직급여는 수급자격자가 실업한 상태에 있는 날 중에서 직업안정기관의 장으로부터 실업의 인정을 받은 날에 대하여 지급한다.</v>
      </c>
      <c r="F12" s="30">
        <f>IFERROR(VLOOKUP(C12,기출문제!D:G,4,0),"")</f>
        <v>3</v>
      </c>
      <c r="G12" s="31" t="str">
        <f t="shared" si="0"/>
        <v/>
      </c>
    </row>
    <row r="13" spans="2:10" ht="85.5" x14ac:dyDescent="0.3">
      <c r="B13" s="17">
        <v>6</v>
      </c>
      <c r="C13" s="27" t="s">
        <v>1132</v>
      </c>
      <c r="D13" s="28"/>
      <c r="E13" s="29" t="str">
        <f>IFERROR(VLOOKUP(C13,기출문제!D:G,3,0),"")</f>
        <v>81. 고용보험법령상 폐업한 자영업자인 피보험자의 구직급여 수급 요건으로 옳지 않은 것은?
① 법령을 위반하여 허가 취소를 받음에 따라 폐업한 경우가 아니어야 한다.
② 폐업일 이전 18개월간 자영업자인 피보험자로서 갖춘 피보험 단위기간이 통산하여 180일 이상이어야 한다.
③ 법령을 위반하여 영업 정지를 받음에 따라 폐업한 경우가 아니어야 한다.
④ 재취업을 위한 노력을 적극적으로 하여야 한다.
⑤ 근로의 의사와 능력이 있음에도 불구하고 취업을 하지 못한 상태에 있어야 한다.</v>
      </c>
      <c r="F13" s="30">
        <f>IFERROR(VLOOKUP(C13,기출문제!D:G,4,0),"")</f>
        <v>2</v>
      </c>
      <c r="G13" s="31" t="str">
        <f t="shared" si="0"/>
        <v/>
      </c>
    </row>
    <row r="14" spans="2:10" ht="99.75" x14ac:dyDescent="0.3">
      <c r="B14" s="17">
        <v>7</v>
      </c>
      <c r="C14" s="27" t="s">
        <v>1133</v>
      </c>
      <c r="D14" s="28"/>
      <c r="E14" s="29" t="str">
        <f>IFERROR(VLOOKUP(C14,기출문제!D:G,3,0),"")</f>
        <v>82. 고용보험법령상 심사 및 재심사에 관한 설명으로 옳지 않은 것은?
① 실업급여에 관한 처분에 이의가 있는 자는 고용보험심사관에게 심사를 청구할 수 있다.
② 심사의 청구가 법령으로 정한 방식을 위반하여 보정하지 못할 것인 경우에 고용보험심사관은 그 심사의 청구를 결정으로 각하하여야 한다.
③ 재심사청구인은 법정대리인 외에 자신의 형제자매를 대리인으로 선임할 수 없다.
④ 심사 및 재심사의 청구는 시효중단에 관하여 재판상의 청구로 본다.
⑤ 재심사청구에 대한 심리는 공개로 하나, 당사자의 양쪽 또는 어느 한 쪽이 신청한 경우에는 공개하지 아니할 수 있다.</v>
      </c>
      <c r="F14" s="30">
        <f>IFERROR(VLOOKUP(C14,기출문제!D:G,4,0),"")</f>
        <v>3</v>
      </c>
      <c r="G14" s="31" t="str">
        <f t="shared" si="0"/>
        <v/>
      </c>
    </row>
    <row r="15" spans="2:10" ht="156.75" x14ac:dyDescent="0.3">
      <c r="B15" s="17">
        <v>8</v>
      </c>
      <c r="C15" s="27" t="s">
        <v>1134</v>
      </c>
      <c r="D15" s="28"/>
      <c r="E15" s="29" t="str">
        <f>IFERROR(VLOOKUP(C15,기출문제!D:G,3,0),"")</f>
        <v>83. 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
① ㄱ, ㄴ, ㅁ
② ㄴ, ㄷ, ㄹ
③ ㄷ, ㄹ, ㅁ
④ ㄱ, ㄴ, ㄷ, ㄹ
⑤ ㄱ, ㄷ, ㄹ, ㅁ</v>
      </c>
      <c r="F15" s="30">
        <f>IFERROR(VLOOKUP(C15,기출문제!D:G,4,0),"")</f>
        <v>4</v>
      </c>
      <c r="G15" s="31" t="str">
        <f t="shared" si="0"/>
        <v/>
      </c>
    </row>
    <row r="16" spans="2:10" ht="114" x14ac:dyDescent="0.3">
      <c r="B16" s="17">
        <v>9</v>
      </c>
      <c r="C16" s="27" t="s">
        <v>1135</v>
      </c>
      <c r="D16" s="28"/>
      <c r="E16" s="29" t="str">
        <f>IFERROR(VLOOKUP(C16,기출문제!D:G,3,0),"")</f>
        <v>84. 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
① 월보수총액
② 월보험료액
③ 3개월 평균임금
④ 월 최저임금액
⑤ 실업급여수급계좌에 입금된 금액 전액</v>
      </c>
      <c r="F16" s="30">
        <f>IFERROR(VLOOKUP(C16,기출문제!D:G,4,0),"")</f>
        <v>5</v>
      </c>
      <c r="G16" s="31" t="str">
        <f t="shared" si="0"/>
        <v/>
      </c>
    </row>
    <row r="17" spans="2:10" ht="85.5" x14ac:dyDescent="0.3">
      <c r="B17" s="17">
        <v>10</v>
      </c>
      <c r="C17" s="27" t="s">
        <v>1136</v>
      </c>
      <c r="D17" s="28"/>
      <c r="E17" s="29" t="str">
        <f>IFERROR(VLOOKUP(C17,기출문제!D:G,3,0),"")</f>
        <v>85. 산업재해보상보험법령상 보험급여 중 시효의 완성 기간이 다른 것은?
① 요양급여를 받을 권리
② 간병급여를 받을 권리
③ 상병보상연금을 받을 권리
④ 장례비를 받을 권리
⑤ 직업재활급여를 받을 권리</v>
      </c>
      <c r="F17" s="30">
        <f>IFERROR(VLOOKUP(C17,기출문제!D:G,4,0),"")</f>
        <v>4</v>
      </c>
      <c r="G17" s="31" t="str">
        <f t="shared" si="0"/>
        <v/>
      </c>
    </row>
    <row r="18" spans="2:10" ht="142.5" x14ac:dyDescent="0.3">
      <c r="B18" s="17">
        <v>11</v>
      </c>
      <c r="C18" s="27" t="s">
        <v>1137</v>
      </c>
      <c r="D18" s="28"/>
      <c r="E18" s="29" t="str">
        <f>IFERROR(VLOOKUP(C18,기출문제!D:G,3,0),"")</f>
        <v>86. 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
① ㄱ, ㄴ
② ㄱ, ㄹ
③ ㄴ, ㄷ
④ ㄱ, ㄷ, ㄹ
⑤ ㄱ, ㄴ, ㄷ, ㄹ</v>
      </c>
      <c r="F18" s="30">
        <f>IFERROR(VLOOKUP(C18,기출문제!D:G,4,0),"")</f>
        <v>5</v>
      </c>
      <c r="G18" s="31" t="str">
        <f t="shared" si="0"/>
        <v/>
      </c>
    </row>
    <row r="19" spans="2:10" ht="85.5" x14ac:dyDescent="0.3">
      <c r="B19" s="17">
        <v>12</v>
      </c>
      <c r="C19" s="27" t="s">
        <v>1138</v>
      </c>
      <c r="D19" s="28"/>
      <c r="E19" s="29" t="str">
        <f>IFERROR(VLOOKUP(C19,기출문제!D:G,3,0),"")</f>
        <v>87. 산업재해보상보험법령상 특수형태근로종사자의 범위에 해당하지 않는 자는?
① 한국표준직업분류표의 세세분류에 따른 학습지 교사
② 택배업을 하는 사람으로서 둘 이상의 퀵서비스업자로부터 업무를 의뢰받아 직원을 채용하여 배송 업무를 하는 사람
③ 보험을 모집하는 보험업법에 따른 보험설계사
④ 체육시설의 설치・이용에 관한 법률에 따라 직장체육시설로 설치된 골프장에서 골프경기를 보조하는 골프장 캐디
⑤ 여신전문금융업법에 따른 신용카드회원 모집인</v>
      </c>
      <c r="F19" s="30">
        <f>IFERROR(VLOOKUP(C19,기출문제!D:G,4,0),"")</f>
        <v>2</v>
      </c>
      <c r="G19" s="31" t="str">
        <f t="shared" si="0"/>
        <v/>
      </c>
    </row>
    <row r="20" spans="2:10" ht="85.5" x14ac:dyDescent="0.3">
      <c r="B20" s="17">
        <v>13</v>
      </c>
      <c r="C20" s="27" t="s">
        <v>1139</v>
      </c>
      <c r="D20" s="28"/>
      <c r="E20" s="29" t="str">
        <f>IFERROR(VLOOKUP(C20,기출문제!D:G,3,0),"")</f>
        <v>88. 산업재해보상보험법령상 심사청구의 대상이 아닌 것은?
① 약제비에 관한 결정
② 보험급여에 관한 결정
③ 보험료 부과에 관한 결정
④ 수급권의 대위에 관한 결정
⑤ 부당이득의 징수에 관한 결정</v>
      </c>
      <c r="F20" s="30">
        <f>IFERROR(VLOOKUP(C20,기출문제!D:G,4,0),"")</f>
        <v>3</v>
      </c>
      <c r="G20" s="31" t="str">
        <f t="shared" si="0"/>
        <v/>
      </c>
    </row>
    <row r="21" spans="2:10" ht="85.5" x14ac:dyDescent="0.3">
      <c r="B21" s="17">
        <v>14</v>
      </c>
      <c r="C21" s="27" t="s">
        <v>1140</v>
      </c>
      <c r="D21" s="28"/>
      <c r="E21" s="29" t="str">
        <f>IFERROR(VLOOKUP(C21,기출문제!D:G,3,0),"")</f>
        <v>89. 산업재해보상보험법령상 보험급여에 관한 설명으로 옳은 것은?
① 부상 또는 질병이 7일 이내의 요양으로 치유될 수 있으면 요양급여를 지급하지 아니한다.
② 요양급여의 신청을 한 자는 근로복지공단이 요양급여에 관한 결정을 하기 전에는 국민건강보험법상 요양급여를 받을 수 있다.
③ 장해급여는 근로자가 업무상의 사유로 질병에 걸려 치유된 후 신체 등에 장해가 있는 경우에 한국장애인고용공단에서 지급한다.
④ 장해보상연금의 수급권자가 재요양을 받는 경우에는 그 연금의 지급을 정지한다.
⑤ 간병급여는 실제로 간병을 실시한 자에게 직접 지급한다.</v>
      </c>
      <c r="F21" s="30">
        <f>IFERROR(VLOOKUP(C21,기출문제!D:G,4,0),"")</f>
        <v>2</v>
      </c>
      <c r="G21" s="31" t="str">
        <f t="shared" si="0"/>
        <v/>
      </c>
    </row>
    <row r="22" spans="2:10" s="21" customFormat="1" ht="171" x14ac:dyDescent="0.3">
      <c r="B22" s="17">
        <v>15</v>
      </c>
      <c r="C22" s="27" t="s">
        <v>1141</v>
      </c>
      <c r="D22" s="28"/>
      <c r="E22" s="29" t="str">
        <f>IFERROR(VLOOKUP(C22,기출문제!D:G,3,0),"")</f>
        <v>90. 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
① 1개
② 2개
③ 3개
④ 4개
⑤ 5개</v>
      </c>
      <c r="F22" s="30">
        <f>IFERROR(VLOOKUP(C22,기출문제!D:G,4,0),"")</f>
        <v>5</v>
      </c>
      <c r="G22" s="31" t="str">
        <f t="shared" si="0"/>
        <v/>
      </c>
      <c r="J22" s="23"/>
    </row>
    <row r="23" spans="2:10" s="21" customFormat="1" ht="142.5" x14ac:dyDescent="0.3">
      <c r="B23" s="17">
        <v>16</v>
      </c>
      <c r="C23" s="27" t="s">
        <v>1142</v>
      </c>
      <c r="D23" s="28"/>
      <c r="E23" s="29" t="str">
        <f>IFERROR(VLOOKUP(C23,기출문제!D:G,3,0),"")</f>
        <v>91. 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
① ㄱ: 50, ㄴ: 6, ㄷ: 12
② ㄱ: 50, ㄴ: 12, ㄷ: 18
③ ㄱ: 60, ㄴ: 6, ㄷ: 12
④ ㄱ: 60, ㄴ: 6, ㄷ: 18
⑤ ㄱ: 60, ㄴ: 12, ㄷ: 18</v>
      </c>
      <c r="F23" s="30">
        <f>IFERROR(VLOOKUP(C23,기출문제!D:G,4,0),"")</f>
        <v>2</v>
      </c>
      <c r="G23" s="31" t="str">
        <f t="shared" si="0"/>
        <v/>
      </c>
      <c r="J23" s="23"/>
    </row>
    <row r="24" spans="2:10" s="21" customFormat="1" ht="99.75" x14ac:dyDescent="0.3">
      <c r="B24" s="17">
        <v>17</v>
      </c>
      <c r="C24" s="27" t="s">
        <v>1143</v>
      </c>
      <c r="D24" s="28"/>
      <c r="E24" s="29" t="str">
        <f>IFERROR(VLOOKUP(C24,기출문제!D:G,3,0),"")</f>
        <v>92. 국민연금법령상 유족연금에 관한 설명으로 옳은 것은?
① 사실상의 혼인관계에 있는 배우자는 유족연금을 지급받을 수 있는 유족에 해당하지 않는다.
② 수급권자가 산업재해보상보험법에 의한 유족급여를 받는 경우에는 유족연금을 지급하지 않는다.
③ 유족연금을 지급받을 수 있는 유족의 범위는 배우자, 자녀, 부모, 손자녀, 조부모 및 형제자매이다.
④ 유족연금 수급권자인 자녀가 사망 시 다음 순위자인 부모에게 유족연금을 지급한다.
⑤ 부모, 손자녀 또는 조부모인 유족의 유족연금 수급권은 가입자 또는 가입자였던 사람이 사망할 당시에 그 가입자 또는 가입자였던 사람의 태아가 출생하여 수급권을 갖게 되면 소멸한다.</v>
      </c>
      <c r="F24" s="30">
        <f>IFERROR(VLOOKUP(C24,기출문제!D:G,4,0),"")</f>
        <v>5</v>
      </c>
      <c r="G24" s="31" t="str">
        <f t="shared" si="0"/>
        <v/>
      </c>
      <c r="J24" s="23"/>
    </row>
    <row r="25" spans="2:10" s="21" customFormat="1" ht="128.25" x14ac:dyDescent="0.3">
      <c r="B25" s="17">
        <v>18</v>
      </c>
      <c r="C25" s="27" t="s">
        <v>1144</v>
      </c>
      <c r="D25" s="28"/>
      <c r="E25" s="29" t="str">
        <f>IFERROR(VLOOKUP(C25,기출문제!D:G,3,0),"")</f>
        <v>93. 국민건강보험법령상 급여의 제한 및 정지에 관한 설명으로 옳지 않은 것은?
① 국민건강보험공단은 보험급여를 받을 수 있는 사람이 중대한 과실로 인한 범죄행위에 그 원인이 있는 경우 보험급여를 하지 아니한다.
② 국민건강보험공단은 보험급여를 받을 수 있는 사람이 다른 법령에 따라 국가로부터 보험급여에 상당하는 비용을 지급받게 되는 경우에는 그 한도에서 보험급여를 하지 아니한다.
③ 보험급여를 받을 수 있는 사람이 국외에 여행 중인 경우 그 기간에는 보험급여를 하지 아니한다.
④ 국민건강보험공단은 지역가입자가 1개월 이상 세대단위의 보험료를 체납한 경우 그 체납한 보험료를 완납할 때까지 그 가입자를 제외한 피부양자에 대하여 보험급여를 실시하지 아니한다.
⑤ 보험급여를 받을 수 있는 사람이 국외에서 업무에 종사하고 있는 경우 그 기간에는 보험급여를 하지 아니한다.</v>
      </c>
      <c r="F25" s="30">
        <f>IFERROR(VLOOKUP(C25,기출문제!D:G,4,0),"")</f>
        <v>4</v>
      </c>
      <c r="G25" s="31" t="str">
        <f t="shared" si="0"/>
        <v/>
      </c>
      <c r="J25" s="23"/>
    </row>
    <row r="26" spans="2:10" s="21" customFormat="1" ht="114" x14ac:dyDescent="0.3">
      <c r="B26" s="17">
        <v>19</v>
      </c>
      <c r="C26" s="27" t="s">
        <v>1145</v>
      </c>
      <c r="D26" s="28"/>
      <c r="E26" s="29" t="str">
        <f>IFERROR(VLOOKUP(C26,기출문제!D:G,3,0),"")</f>
        <v>94. 국민건강보험법령상 보험료에 관한 설명으로 옳지 않은 것은?
① 지역가입자의 월별 보험료액은 세대 단위로 산정한다.
② 직장가입자의 소득월액보험료는 직장가입자가 부담한다.
③ 지역가입자의 보험료는 그 가입자가 속한 세대의 지역가입자 전원이 연대하여 부담한다.
④ 직장가입자가 교직원으로서 사립학교에 근무하는 교원인 경우 보수월액보험료는 그 직장가입자와 사립학교를 설립・운영하는 자가 각각 보험료액의 100분의 50씩 부담한다.
⑤ 직장가입자가 공무원인 경우 보수월액보험료는 그 직장가입자와 그 공무원이 소속되어 있는 국가 또는 지방자치단체가 각각 보험료액의 100분의 50씩 부담한다.</v>
      </c>
      <c r="F26" s="30">
        <f>IFERROR(VLOOKUP(C26,기출문제!D:G,4,0),"")</f>
        <v>4</v>
      </c>
      <c r="G26" s="31" t="str">
        <f t="shared" si="0"/>
        <v/>
      </c>
      <c r="J26" s="23"/>
    </row>
    <row r="27" spans="2:10" s="21" customFormat="1" ht="85.5" x14ac:dyDescent="0.3">
      <c r="B27" s="17">
        <v>20</v>
      </c>
      <c r="C27" s="27" t="s">
        <v>1146</v>
      </c>
      <c r="D27" s="28"/>
      <c r="E27" s="29" t="str">
        <f>IFERROR(VLOOKUP(C27,기출문제!D:G,3,0),"")</f>
        <v>95. 국민건강보험법령상 보험료의 경감 대상이 될 수 있는 가입자는?
① 직장가입자로서 65세 이상인 사람
② 직장가입자로서 출산 휴가 중인 사람
③ 직장가입자 중 휴직기간이 1개월 이상인 사람
④ 직장가입자 중 장애인복지법에 따라 등록한 장애인
⑤ 직장가입자 중 국가유공자 등 예우 및 지원에 관한 법률에 따른 국가유공자</v>
      </c>
      <c r="F27" s="30">
        <f>IFERROR(VLOOKUP(C27,기출문제!D:G,4,0),"")</f>
        <v>3</v>
      </c>
      <c r="G27" s="31" t="str">
        <f t="shared" si="0"/>
        <v/>
      </c>
      <c r="J27" s="23"/>
    </row>
    <row r="28" spans="2:10" s="21" customFormat="1" ht="99.75" x14ac:dyDescent="0.3">
      <c r="B28" s="17">
        <v>21</v>
      </c>
      <c r="C28" s="27" t="s">
        <v>1147</v>
      </c>
      <c r="D28" s="28"/>
      <c r="E28" s="29" t="str">
        <f>IFERROR(VLOOKUP(C28,기출문제!D:G,3,0),"")</f>
        <v>96. 고용보험 및 산업재해보상보험의 보험료징수 등에 관한 법령의 내용으로 옳은 것은?
① 사업의 도산으로 보수 관련 자료가 없는 경우에는 고용노동부장관이 정하여 고시하는 금액을 보수로 할 수 있다.
② 원수급인으로부터 사업의 전부를 도급받아 하는 자는 하수급인에 해당하지 않는다.
③ 고용보험료를 징수하는 경우에는 근로자가 휴직기간 중에 사업주 외의 자로부터 지급받는 금품 일체는 보수로 보지 않는다.
④ 보험에 가입한 사업주는 사업의 명칭 및 소재지, 사업의 종류 등이 변경된 경우에는 다음 보험연도 첫날부터 14일 이내에 그 변경사항을 근로복지공단에 신고하여야 한다.
⑤ 산업재해보상보험법을 적용받는 사업의 사업주는 근로복지공단의 승인을 받아 산업재해보상보험에 가입할 수 있다.</v>
      </c>
      <c r="F28" s="30">
        <f>IFERROR(VLOOKUP(C28,기출문제!D:G,4,0),"")</f>
        <v>1</v>
      </c>
      <c r="G28" s="31" t="str">
        <f t="shared" si="0"/>
        <v/>
      </c>
      <c r="J28" s="23"/>
    </row>
    <row r="29" spans="2:10" s="21" customFormat="1" ht="99.75" x14ac:dyDescent="0.3">
      <c r="B29" s="17">
        <v>22</v>
      </c>
      <c r="C29" s="27" t="s">
        <v>1148</v>
      </c>
      <c r="D29" s="28"/>
      <c r="E29" s="29" t="str">
        <f>IFERROR(VLOOKUP(C29,기출문제!D:G,3,0),"")</f>
        <v>97. 고용보험 및 산업재해보상보험의 보험료징수 등에 관한 법령상 보험사무대행기관에 보험사무를 위임할 수 있는 업무의 범위가 아닌 것은?
① 확정보험료의 부과
② 개산보험료의 신고
③ 고용보험 피보험자의 자격 관리에 관한 사무
④ 보험관계의 소멸의 신고
⑤ 보험관계의 변경의 신고</v>
      </c>
      <c r="F29" s="30">
        <f>IFERROR(VLOOKUP(C29,기출문제!D:G,4,0),"")</f>
        <v>1</v>
      </c>
      <c r="G29" s="31" t="str">
        <f t="shared" si="0"/>
        <v/>
      </c>
      <c r="J29" s="23"/>
    </row>
    <row r="30" spans="2:10" s="21" customFormat="1" ht="142.5" x14ac:dyDescent="0.3">
      <c r="B30" s="17">
        <v>23</v>
      </c>
      <c r="C30" s="27" t="s">
        <v>1149</v>
      </c>
      <c r="D30" s="28"/>
      <c r="E30" s="29" t="str">
        <f>IFERROR(VLOOKUP(C30,기출문제!D:G,3,0),"")</f>
        <v>98. 고용보험 및 산업재해보상보험의 보험료징수 등에 관한 법령의 내용으로 옳지 않은 것은?
① 근로복지공단은 사업 실체가 없는 등의 사유로 계속하여 보험관계를 유지할 수 없다고 인정하는 경우에는 그 보험관계를 소멸시킬 수 있다.
② 근로자가 동일한 사업주의 하나의 사업장에서 다른 사업장으로 전근되는 경우에는 그 근로자에 대한 그 월별보험료는 해당 월의 다음 달 부터 산정한다.
③ 근로복지공단은 소멸시효가 완성된 경우에는 고용노동부장관의 승인을 받아 보험료와 이 법에 따른 그 밖의 징수금을 결손처분할 수 있다.
④ 사업종류의 변경으로 보험료 납부방법이 변경되는 경우에는 사업종류의 변경일 전일을 변경 전 사업 폐지일로, 사업종류의 변경일을 새로운 사업성립일로 본다.
⑤ 공동사업에 관계되는 보험료, 이 법에 따른 그 밖의 징수금과 체납처분비는 공동사업자가 연대하여 낼 의무를 진다.</v>
      </c>
      <c r="F30" s="30">
        <f>IFERROR(VLOOKUP(C30,기출문제!D:G,4,0),"")</f>
        <v>3</v>
      </c>
      <c r="G30" s="31" t="str">
        <f t="shared" si="0"/>
        <v/>
      </c>
      <c r="J30" s="23"/>
    </row>
    <row r="31" spans="2:10" s="21" customFormat="1" ht="142.5" x14ac:dyDescent="0.3">
      <c r="B31" s="17">
        <v>24</v>
      </c>
      <c r="C31" s="27" t="s">
        <v>1150</v>
      </c>
      <c r="D31" s="28"/>
      <c r="E31" s="29" t="str">
        <f>IFERROR(VLOOKUP(C31,기출문제!D:G,3,0),"")</f>
        <v>99. 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
① ㄱ: 100분의 20, ㄴ: 1천분의 13
② ㄱ: 100분의 20, ㄴ: 1천분의 20
③ ㄱ: 100분의 30, ㄴ: 1천분의 13
④ ㄱ: 100분의 30, ㄴ: 1천분의 20
⑤ ㄱ: 100분의 30, ㄴ: 1천분의 25</v>
      </c>
      <c r="F31" s="30">
        <f>IFERROR(VLOOKUP(C31,기출문제!D:G,4,0),"")</f>
        <v>4</v>
      </c>
      <c r="G31" s="31" t="str">
        <f t="shared" si="0"/>
        <v/>
      </c>
      <c r="J31" s="23"/>
    </row>
    <row r="32" spans="2:10" s="21" customFormat="1" ht="99.75" x14ac:dyDescent="0.3">
      <c r="B32" s="17">
        <v>25</v>
      </c>
      <c r="C32" s="27" t="s">
        <v>1151</v>
      </c>
      <c r="D32" s="28"/>
      <c r="E32" s="29" t="str">
        <f>IFERROR(VLOOKUP(C32,기출문제!D:G,3,0),"")</f>
        <v>100. 고용보험 및 산업재해보상보험의 보험료징수 등에 관한 법령상 보험료율의 인상 또는 인하 등에 따른 조치로 옳지 않은 것은?
① 보험료율이 인상된 경우 근로복지공단은 월별보험료를 증액 조정한다.
② 보험료율이 인상된 경우 국민건강보험공단은 개산보험료를 증액 조정한다.
③ 보험료율 인상으로 개산보험료가 증액된 때에는 근로복지공단이 징수한다.
④ 보험료율 인상으로 월별보험료가 증액된 때에는 국민건강보험공단이 징수한다.
⑤ 근로복지공단은 보험료를 감액 조정한 경우에는 보험료율의 인하를 결정한 날부터 20일 이내에 그 감액 조정 사실을 사업주에게 알려야 한다.</v>
      </c>
      <c r="F32" s="30">
        <f>IFERROR(VLOOKUP(C32,기출문제!D:G,4,0),"")</f>
        <v>2</v>
      </c>
      <c r="G32" s="31" t="str">
        <f t="shared" si="0"/>
        <v/>
      </c>
      <c r="J32" s="23"/>
    </row>
    <row r="33" spans="2:10" s="21" customFormat="1" x14ac:dyDescent="0.3">
      <c r="B33" s="17">
        <v>26</v>
      </c>
      <c r="C33" s="27" t="s">
        <v>723</v>
      </c>
      <c r="D33" s="28"/>
      <c r="E33" s="29" t="str">
        <f>IFERROR(VLOOKUP(C33,기출문제!D:G,3,0),"")</f>
        <v/>
      </c>
      <c r="F33" s="30" t="str">
        <f>IFERROR(VLOOKUP(C33,기출문제!D:G,4,0),"")</f>
        <v/>
      </c>
      <c r="G33" s="31" t="str">
        <f t="shared" si="0"/>
        <v/>
      </c>
      <c r="J33" s="23"/>
    </row>
    <row r="34" spans="2:10" s="21" customFormat="1" x14ac:dyDescent="0.3">
      <c r="B34" s="17">
        <v>27</v>
      </c>
      <c r="C34" s="27" t="s">
        <v>723</v>
      </c>
      <c r="D34" s="28"/>
      <c r="E34" s="29" t="str">
        <f>IFERROR(VLOOKUP(C34,기출문제!D:G,3,0),"")</f>
        <v/>
      </c>
      <c r="F34" s="30" t="str">
        <f>IFERROR(VLOOKUP(C34,기출문제!D:G,4,0),"")</f>
        <v/>
      </c>
      <c r="G34" s="31" t="str">
        <f t="shared" si="0"/>
        <v/>
      </c>
      <c r="J34" s="23"/>
    </row>
    <row r="35" spans="2:10" s="21" customFormat="1" x14ac:dyDescent="0.3">
      <c r="B35" s="17">
        <v>28</v>
      </c>
      <c r="C35" s="27" t="s">
        <v>723</v>
      </c>
      <c r="D35" s="28"/>
      <c r="E35" s="29" t="str">
        <f>IFERROR(VLOOKUP(C35,기출문제!D:G,3,0),"")</f>
        <v/>
      </c>
      <c r="F35" s="30" t="str">
        <f>IFERROR(VLOOKUP(C35,기출문제!D:G,4,0),"")</f>
        <v/>
      </c>
      <c r="G35" s="31" t="str">
        <f t="shared" si="0"/>
        <v/>
      </c>
      <c r="J35" s="23"/>
    </row>
    <row r="36" spans="2:10" s="21" customFormat="1" x14ac:dyDescent="0.3">
      <c r="B36" s="17">
        <v>29</v>
      </c>
      <c r="C36" s="27" t="s">
        <v>723</v>
      </c>
      <c r="D36" s="28"/>
      <c r="E36" s="29" t="str">
        <f>IFERROR(VLOOKUP(C36,기출문제!D:G,3,0),"")</f>
        <v/>
      </c>
      <c r="F36" s="30" t="str">
        <f>IFERROR(VLOOKUP(C36,기출문제!D:G,4,0),"")</f>
        <v/>
      </c>
      <c r="G36" s="31" t="str">
        <f t="shared" si="0"/>
        <v/>
      </c>
      <c r="J36" s="23"/>
    </row>
    <row r="37" spans="2:10" s="21" customFormat="1" x14ac:dyDescent="0.3">
      <c r="B37" s="17">
        <v>30</v>
      </c>
      <c r="C37" s="27" t="s">
        <v>723</v>
      </c>
      <c r="D37" s="28"/>
      <c r="E37" s="29" t="str">
        <f>IFERROR(VLOOKUP(C37,기출문제!D:G,3,0),"")</f>
        <v/>
      </c>
      <c r="F37" s="30" t="str">
        <f>IFERROR(VLOOKUP(C37,기출문제!D:G,4,0),"")</f>
        <v/>
      </c>
      <c r="G37" s="31" t="str">
        <f t="shared" si="0"/>
        <v/>
      </c>
      <c r="J37" s="23"/>
    </row>
    <row r="38" spans="2:10" s="21" customFormat="1" x14ac:dyDescent="0.3">
      <c r="B38" s="17">
        <v>31</v>
      </c>
      <c r="C38" s="27" t="s">
        <v>723</v>
      </c>
      <c r="D38" s="28"/>
      <c r="E38" s="29" t="str">
        <f>IFERROR(VLOOKUP(C38,기출문제!D:G,3,0),"")</f>
        <v/>
      </c>
      <c r="F38" s="30" t="str">
        <f>IFERROR(VLOOKUP(C38,기출문제!D:G,4,0),"")</f>
        <v/>
      </c>
      <c r="G38" s="31" t="str">
        <f t="shared" si="0"/>
        <v/>
      </c>
      <c r="J38" s="23"/>
    </row>
    <row r="39" spans="2:10" s="21" customFormat="1" x14ac:dyDescent="0.3">
      <c r="B39" s="17">
        <v>32</v>
      </c>
      <c r="C39" s="27" t="s">
        <v>723</v>
      </c>
      <c r="D39" s="28"/>
      <c r="E39" s="29" t="str">
        <f>IFERROR(VLOOKUP(C39,기출문제!D:G,3,0),"")</f>
        <v/>
      </c>
      <c r="F39" s="30" t="str">
        <f>IFERROR(VLOOKUP(C39,기출문제!D:G,4,0),"")</f>
        <v/>
      </c>
      <c r="G39" s="31" t="str">
        <f t="shared" si="0"/>
        <v/>
      </c>
      <c r="J39" s="23"/>
    </row>
    <row r="40" spans="2:10" s="21" customFormat="1" x14ac:dyDescent="0.3">
      <c r="B40" s="17">
        <v>33</v>
      </c>
      <c r="C40" s="27" t="s">
        <v>723</v>
      </c>
      <c r="D40" s="28"/>
      <c r="E40" s="29" t="str">
        <f>IFERROR(VLOOKUP(C40,기출문제!D:G,3,0),"")</f>
        <v/>
      </c>
      <c r="F40" s="30" t="str">
        <f>IFERROR(VLOOKUP(C40,기출문제!D:G,4,0),"")</f>
        <v/>
      </c>
      <c r="G40" s="31" t="str">
        <f t="shared" si="0"/>
        <v/>
      </c>
      <c r="J40" s="23"/>
    </row>
    <row r="41" spans="2:10" s="21" customFormat="1" x14ac:dyDescent="0.3">
      <c r="B41" s="17">
        <v>34</v>
      </c>
      <c r="C41" s="27" t="s">
        <v>723</v>
      </c>
      <c r="D41" s="28"/>
      <c r="E41" s="29" t="str">
        <f>IFERROR(VLOOKUP(C41,기출문제!D:G,3,0),"")</f>
        <v/>
      </c>
      <c r="F41" s="30" t="str">
        <f>IFERROR(VLOOKUP(C41,기출문제!D:G,4,0),"")</f>
        <v/>
      </c>
      <c r="G41" s="31" t="str">
        <f t="shared" si="0"/>
        <v/>
      </c>
      <c r="J41" s="23"/>
    </row>
    <row r="42" spans="2:10" s="21" customFormat="1" x14ac:dyDescent="0.3">
      <c r="B42" s="17">
        <v>35</v>
      </c>
      <c r="C42" s="27" t="s">
        <v>723</v>
      </c>
      <c r="D42" s="28"/>
      <c r="E42" s="29" t="str">
        <f>IFERROR(VLOOKUP(C42,기출문제!D:G,3,0),"")</f>
        <v/>
      </c>
      <c r="F42" s="30" t="str">
        <f>IFERROR(VLOOKUP(C42,기출문제!D:G,4,0),"")</f>
        <v/>
      </c>
      <c r="G42" s="31" t="str">
        <f t="shared" si="0"/>
        <v/>
      </c>
      <c r="J42" s="23"/>
    </row>
    <row r="43" spans="2:10" s="21" customFormat="1" x14ac:dyDescent="0.3">
      <c r="B43" s="17">
        <v>36</v>
      </c>
      <c r="C43" s="27" t="s">
        <v>723</v>
      </c>
      <c r="D43" s="28"/>
      <c r="E43" s="29" t="str">
        <f>IFERROR(VLOOKUP(C43,기출문제!D:G,3,0),"")</f>
        <v/>
      </c>
      <c r="F43" s="30" t="str">
        <f>IFERROR(VLOOKUP(C43,기출문제!D:G,4,0),"")</f>
        <v/>
      </c>
      <c r="G43" s="31" t="str">
        <f t="shared" si="0"/>
        <v/>
      </c>
      <c r="J43" s="23"/>
    </row>
    <row r="44" spans="2:10" s="21" customFormat="1" x14ac:dyDescent="0.3">
      <c r="B44" s="17">
        <v>37</v>
      </c>
      <c r="C44" s="27" t="s">
        <v>723</v>
      </c>
      <c r="D44" s="28"/>
      <c r="E44" s="29" t="str">
        <f>IFERROR(VLOOKUP(C44,기출문제!D:G,3,0),"")</f>
        <v/>
      </c>
      <c r="F44" s="30" t="str">
        <f>IFERROR(VLOOKUP(C44,기출문제!D:G,4,0),"")</f>
        <v/>
      </c>
      <c r="G44" s="31" t="str">
        <f t="shared" si="0"/>
        <v/>
      </c>
      <c r="J44" s="23"/>
    </row>
    <row r="45" spans="2:10" s="21" customFormat="1" x14ac:dyDescent="0.3">
      <c r="B45" s="17">
        <v>38</v>
      </c>
      <c r="C45" s="27" t="s">
        <v>723</v>
      </c>
      <c r="D45" s="28"/>
      <c r="E45" s="29" t="str">
        <f>IFERROR(VLOOKUP(C45,기출문제!D:G,3,0),"")</f>
        <v/>
      </c>
      <c r="F45" s="30" t="str">
        <f>IFERROR(VLOOKUP(C45,기출문제!D:G,4,0),"")</f>
        <v/>
      </c>
      <c r="G45" s="31" t="str">
        <f t="shared" si="0"/>
        <v/>
      </c>
      <c r="J45" s="23"/>
    </row>
    <row r="46" spans="2:10" s="21" customFormat="1" x14ac:dyDescent="0.3">
      <c r="B46" s="17">
        <v>39</v>
      </c>
      <c r="C46" s="27" t="s">
        <v>723</v>
      </c>
      <c r="D46" s="28"/>
      <c r="E46" s="29" t="str">
        <f>IFERROR(VLOOKUP(C46,기출문제!D:G,3,0),"")</f>
        <v/>
      </c>
      <c r="F46" s="30" t="str">
        <f>IFERROR(VLOOKUP(C46,기출문제!D:G,4,0),"")</f>
        <v/>
      </c>
      <c r="G46" s="31" t="str">
        <f t="shared" si="0"/>
        <v/>
      </c>
      <c r="J46" s="23"/>
    </row>
    <row r="47" spans="2:10" s="21" customFormat="1" x14ac:dyDescent="0.3">
      <c r="B47" s="17">
        <v>40</v>
      </c>
      <c r="C47" s="27" t="s">
        <v>723</v>
      </c>
      <c r="D47" s="28"/>
      <c r="E47" s="29" t="str">
        <f>IFERROR(VLOOKUP(C47,기출문제!D:G,3,0),"")</f>
        <v/>
      </c>
      <c r="F47" s="30" t="str">
        <f>IFERROR(VLOOKUP(C47,기출문제!D:G,4,0),"")</f>
        <v/>
      </c>
      <c r="G47" s="31" t="str">
        <f t="shared" si="0"/>
        <v/>
      </c>
      <c r="J47" s="23"/>
    </row>
    <row r="48" spans="2:10" s="21" customFormat="1" x14ac:dyDescent="0.3">
      <c r="B48" s="17">
        <v>41</v>
      </c>
      <c r="C48" s="27" t="s">
        <v>723</v>
      </c>
      <c r="D48" s="28"/>
      <c r="E48" s="29" t="str">
        <f>IFERROR(VLOOKUP(C48,기출문제!D:G,3,0),"")</f>
        <v/>
      </c>
      <c r="F48" s="30" t="str">
        <f>IFERROR(VLOOKUP(C48,기출문제!D:G,4,0),"")</f>
        <v/>
      </c>
      <c r="G48" s="31" t="str">
        <f t="shared" si="0"/>
        <v/>
      </c>
      <c r="J48" s="23"/>
    </row>
    <row r="49" spans="2:10" s="21" customFormat="1" x14ac:dyDescent="0.3">
      <c r="B49" s="17">
        <v>42</v>
      </c>
      <c r="C49" s="27" t="s">
        <v>723</v>
      </c>
      <c r="D49" s="28"/>
      <c r="E49" s="29" t="str">
        <f>IFERROR(VLOOKUP(C49,기출문제!D:G,3,0),"")</f>
        <v/>
      </c>
      <c r="F49" s="30" t="str">
        <f>IFERROR(VLOOKUP(C49,기출문제!D:G,4,0),"")</f>
        <v/>
      </c>
      <c r="G49" s="31" t="str">
        <f t="shared" si="0"/>
        <v/>
      </c>
      <c r="J49" s="23"/>
    </row>
    <row r="50" spans="2:10" s="21" customFormat="1" x14ac:dyDescent="0.3">
      <c r="B50" s="17">
        <v>43</v>
      </c>
      <c r="C50" s="27" t="s">
        <v>723</v>
      </c>
      <c r="D50" s="28"/>
      <c r="E50" s="29" t="str">
        <f>IFERROR(VLOOKUP(C50,기출문제!D:G,3,0),"")</f>
        <v/>
      </c>
      <c r="F50" s="30" t="str">
        <f>IFERROR(VLOOKUP(C50,기출문제!D:G,4,0),"")</f>
        <v/>
      </c>
      <c r="G50" s="31" t="str">
        <f t="shared" si="0"/>
        <v/>
      </c>
      <c r="J50" s="23"/>
    </row>
    <row r="51" spans="2:10" s="21" customFormat="1" x14ac:dyDescent="0.3">
      <c r="B51" s="17">
        <v>44</v>
      </c>
      <c r="C51" s="27" t="s">
        <v>723</v>
      </c>
      <c r="D51" s="28"/>
      <c r="E51" s="29" t="str">
        <f>IFERROR(VLOOKUP(C51,기출문제!D:G,3,0),"")</f>
        <v/>
      </c>
      <c r="F51" s="30" t="str">
        <f>IFERROR(VLOOKUP(C51,기출문제!D:G,4,0),"")</f>
        <v/>
      </c>
      <c r="G51" s="31" t="str">
        <f t="shared" si="0"/>
        <v/>
      </c>
      <c r="J51" s="23"/>
    </row>
    <row r="52" spans="2:10" s="21" customFormat="1" x14ac:dyDescent="0.3">
      <c r="B52" s="17">
        <v>45</v>
      </c>
      <c r="C52" s="27" t="s">
        <v>723</v>
      </c>
      <c r="D52" s="28"/>
      <c r="E52" s="29" t="str">
        <f>IFERROR(VLOOKUP(C52,기출문제!D:G,3,0),"")</f>
        <v/>
      </c>
      <c r="F52" s="30" t="str">
        <f>IFERROR(VLOOKUP(C52,기출문제!D:G,4,0),"")</f>
        <v/>
      </c>
      <c r="G52" s="31" t="str">
        <f t="shared" si="0"/>
        <v/>
      </c>
      <c r="J52" s="23"/>
    </row>
    <row r="53" spans="2:10" s="21" customFormat="1" x14ac:dyDescent="0.3">
      <c r="B53" s="17">
        <v>46</v>
      </c>
      <c r="C53" s="27" t="s">
        <v>723</v>
      </c>
      <c r="D53" s="28"/>
      <c r="E53" s="29" t="str">
        <f>IFERROR(VLOOKUP(C53,기출문제!D:G,3,0),"")</f>
        <v/>
      </c>
      <c r="F53" s="30" t="str">
        <f>IFERROR(VLOOKUP(C53,기출문제!D:G,4,0),"")</f>
        <v/>
      </c>
      <c r="G53" s="31" t="str">
        <f t="shared" si="0"/>
        <v/>
      </c>
      <c r="J53" s="23"/>
    </row>
    <row r="54" spans="2:10" s="21" customFormat="1" x14ac:dyDescent="0.3">
      <c r="B54" s="17">
        <v>47</v>
      </c>
      <c r="C54" s="27" t="s">
        <v>723</v>
      </c>
      <c r="D54" s="28"/>
      <c r="E54" s="29" t="str">
        <f>IFERROR(VLOOKUP(C54,기출문제!D:G,3,0),"")</f>
        <v/>
      </c>
      <c r="F54" s="30" t="str">
        <f>IFERROR(VLOOKUP(C54,기출문제!D:G,4,0),"")</f>
        <v/>
      </c>
      <c r="G54" s="31" t="str">
        <f t="shared" si="0"/>
        <v/>
      </c>
      <c r="J54" s="23"/>
    </row>
    <row r="55" spans="2:10" s="21" customFormat="1" x14ac:dyDescent="0.3">
      <c r="B55" s="17">
        <v>48</v>
      </c>
      <c r="C55" s="27" t="s">
        <v>723</v>
      </c>
      <c r="D55" s="28"/>
      <c r="E55" s="29" t="str">
        <f>IFERROR(VLOOKUP(C55,기출문제!D:G,3,0),"")</f>
        <v/>
      </c>
      <c r="F55" s="30" t="str">
        <f>IFERROR(VLOOKUP(C55,기출문제!D:G,4,0),"")</f>
        <v/>
      </c>
      <c r="G55" s="31" t="str">
        <f t="shared" si="0"/>
        <v/>
      </c>
      <c r="J55" s="23"/>
    </row>
    <row r="56" spans="2:10" s="21" customFormat="1" x14ac:dyDescent="0.3">
      <c r="B56" s="17">
        <v>49</v>
      </c>
      <c r="C56" s="27" t="s">
        <v>723</v>
      </c>
      <c r="D56" s="28"/>
      <c r="E56" s="29" t="str">
        <f>IFERROR(VLOOKUP(C56,기출문제!D:G,3,0),"")</f>
        <v/>
      </c>
      <c r="F56" s="30" t="str">
        <f>IFERROR(VLOOKUP(C56,기출문제!D:G,4,0),"")</f>
        <v/>
      </c>
      <c r="G56" s="31" t="str">
        <f t="shared" si="0"/>
        <v/>
      </c>
      <c r="J56" s="23"/>
    </row>
    <row r="57" spans="2:10" s="21" customFormat="1" x14ac:dyDescent="0.3">
      <c r="B57" s="17">
        <v>50</v>
      </c>
      <c r="C57" s="27" t="s">
        <v>723</v>
      </c>
      <c r="D57" s="28"/>
      <c r="E57" s="29" t="str">
        <f>IFERROR(VLOOKUP(C57,기출문제!D:G,3,0),"")</f>
        <v/>
      </c>
      <c r="F57" s="30" t="str">
        <f>IFERROR(VLOOKUP(C57,기출문제!D:G,4,0),"")</f>
        <v/>
      </c>
      <c r="G57" s="31" t="str">
        <f t="shared" si="0"/>
        <v/>
      </c>
      <c r="J57" s="23"/>
    </row>
    <row r="58" spans="2:10" s="21" customFormat="1" x14ac:dyDescent="0.3">
      <c r="B58" s="17">
        <v>51</v>
      </c>
      <c r="C58" s="27" t="s">
        <v>723</v>
      </c>
      <c r="D58" s="17"/>
      <c r="E58" s="29" t="str">
        <f>IFERROR(VLOOKUP(C58,기출문제!D:G,3,0),"")</f>
        <v/>
      </c>
      <c r="F58" s="30" t="str">
        <f>IFERROR(VLOOKUP(C58,기출문제!D:G,4,0),"")</f>
        <v/>
      </c>
      <c r="G58" s="31" t="str">
        <f t="shared" si="0"/>
        <v/>
      </c>
      <c r="J58" s="23"/>
    </row>
    <row r="59" spans="2:10" s="21" customFormat="1" x14ac:dyDescent="0.3">
      <c r="B59" s="17">
        <v>52</v>
      </c>
      <c r="C59" s="27" t="s">
        <v>723</v>
      </c>
      <c r="D59" s="17"/>
      <c r="E59" s="29" t="str">
        <f>IFERROR(VLOOKUP(C59,기출문제!D:G,3,0),"")</f>
        <v/>
      </c>
      <c r="F59" s="30" t="str">
        <f>IFERROR(VLOOKUP(C59,기출문제!D:G,4,0),"")</f>
        <v/>
      </c>
      <c r="G59" s="31" t="str">
        <f t="shared" si="0"/>
        <v/>
      </c>
      <c r="J59" s="23"/>
    </row>
    <row r="60" spans="2:10" s="21" customFormat="1" x14ac:dyDescent="0.3">
      <c r="B60" s="17">
        <v>53</v>
      </c>
      <c r="C60" s="27" t="s">
        <v>723</v>
      </c>
      <c r="D60" s="17"/>
      <c r="E60" s="29" t="str">
        <f>IFERROR(VLOOKUP(C60,기출문제!D:G,3,0),"")</f>
        <v/>
      </c>
      <c r="F60" s="30" t="str">
        <f>IFERROR(VLOOKUP(C60,기출문제!D:G,4,0),"")</f>
        <v/>
      </c>
      <c r="G60" s="31" t="str">
        <f t="shared" si="0"/>
        <v/>
      </c>
      <c r="J60" s="23"/>
    </row>
    <row r="61" spans="2:10" s="21" customFormat="1" x14ac:dyDescent="0.3">
      <c r="B61" s="17">
        <v>54</v>
      </c>
      <c r="C61" s="27" t="s">
        <v>723</v>
      </c>
      <c r="D61" s="17"/>
      <c r="E61" s="29" t="str">
        <f>IFERROR(VLOOKUP(C61,기출문제!D:G,3,0),"")</f>
        <v/>
      </c>
      <c r="F61" s="30" t="str">
        <f>IFERROR(VLOOKUP(C61,기출문제!D:G,4,0),"")</f>
        <v/>
      </c>
      <c r="G61" s="31" t="str">
        <f t="shared" si="0"/>
        <v/>
      </c>
      <c r="J61" s="23"/>
    </row>
    <row r="62" spans="2:10" s="21" customFormat="1" x14ac:dyDescent="0.3">
      <c r="B62" s="17">
        <v>55</v>
      </c>
      <c r="C62" s="27" t="s">
        <v>723</v>
      </c>
      <c r="D62" s="17"/>
      <c r="E62" s="29" t="str">
        <f>IFERROR(VLOOKUP(C62,기출문제!D:G,3,0),"")</f>
        <v/>
      </c>
      <c r="F62" s="30" t="str">
        <f>IFERROR(VLOOKUP(C62,기출문제!D:G,4,0),"")</f>
        <v/>
      </c>
      <c r="G62" s="31" t="str">
        <f t="shared" si="0"/>
        <v/>
      </c>
      <c r="J62" s="23"/>
    </row>
    <row r="63" spans="2:10" s="21" customFormat="1" x14ac:dyDescent="0.3">
      <c r="B63" s="17">
        <v>56</v>
      </c>
      <c r="C63" s="27" t="s">
        <v>723</v>
      </c>
      <c r="D63" s="17"/>
      <c r="E63" s="29" t="str">
        <f>IFERROR(VLOOKUP(C63,기출문제!D:G,3,0),"")</f>
        <v/>
      </c>
      <c r="F63" s="30" t="str">
        <f>IFERROR(VLOOKUP(C63,기출문제!D:G,4,0),"")</f>
        <v/>
      </c>
      <c r="G63" s="31" t="str">
        <f t="shared" si="0"/>
        <v/>
      </c>
      <c r="J63" s="23"/>
    </row>
    <row r="64" spans="2:10" s="21" customFormat="1" x14ac:dyDescent="0.3">
      <c r="B64" s="17">
        <v>57</v>
      </c>
      <c r="C64" s="27" t="s">
        <v>723</v>
      </c>
      <c r="D64" s="17"/>
      <c r="E64" s="29" t="str">
        <f>IFERROR(VLOOKUP(C64,기출문제!D:G,3,0),"")</f>
        <v/>
      </c>
      <c r="F64" s="30" t="str">
        <f>IFERROR(VLOOKUP(C64,기출문제!D:G,4,0),"")</f>
        <v/>
      </c>
      <c r="G64" s="31" t="str">
        <f t="shared" si="0"/>
        <v/>
      </c>
      <c r="J64" s="23"/>
    </row>
    <row r="65" spans="2:10" s="21" customFormat="1" x14ac:dyDescent="0.3">
      <c r="B65" s="17">
        <v>58</v>
      </c>
      <c r="C65" s="27" t="s">
        <v>723</v>
      </c>
      <c r="D65" s="17"/>
      <c r="E65" s="29" t="str">
        <f>IFERROR(VLOOKUP(C65,기출문제!D:G,3,0),"")</f>
        <v/>
      </c>
      <c r="F65" s="30" t="str">
        <f>IFERROR(VLOOKUP(C65,기출문제!D:G,4,0),"")</f>
        <v/>
      </c>
      <c r="G65" s="31" t="str">
        <f t="shared" si="0"/>
        <v/>
      </c>
      <c r="J65" s="23"/>
    </row>
    <row r="66" spans="2:10" s="21" customFormat="1" x14ac:dyDescent="0.3">
      <c r="B66" s="17">
        <v>59</v>
      </c>
      <c r="C66" s="27" t="s">
        <v>723</v>
      </c>
      <c r="D66" s="17"/>
      <c r="E66" s="29" t="str">
        <f>IFERROR(VLOOKUP(C66,기출문제!D:G,3,0),"")</f>
        <v/>
      </c>
      <c r="F66" s="30" t="str">
        <f>IFERROR(VLOOKUP(C66,기출문제!D:G,4,0),"")</f>
        <v/>
      </c>
      <c r="G66" s="31" t="str">
        <f t="shared" si="0"/>
        <v/>
      </c>
      <c r="J66" s="23"/>
    </row>
    <row r="67" spans="2:10" s="21" customFormat="1" x14ac:dyDescent="0.3">
      <c r="B67" s="17">
        <v>60</v>
      </c>
      <c r="C67" s="27" t="s">
        <v>723</v>
      </c>
      <c r="D67" s="17"/>
      <c r="E67" s="29" t="str">
        <f>IFERROR(VLOOKUP(C67,기출문제!D:G,3,0),"")</f>
        <v/>
      </c>
      <c r="F67" s="30" t="str">
        <f>IFERROR(VLOOKUP(C67,기출문제!D:G,4,0),"")</f>
        <v/>
      </c>
      <c r="G67" s="31" t="str">
        <f t="shared" si="0"/>
        <v/>
      </c>
      <c r="J67" s="23"/>
    </row>
    <row r="68" spans="2:10" s="21" customFormat="1" x14ac:dyDescent="0.3">
      <c r="B68" s="17">
        <v>61</v>
      </c>
      <c r="C68" s="27" t="s">
        <v>723</v>
      </c>
      <c r="D68" s="17"/>
      <c r="E68" s="29" t="str">
        <f>IFERROR(VLOOKUP(C68,기출문제!D:G,3,0),"")</f>
        <v/>
      </c>
      <c r="F68" s="30" t="str">
        <f>IFERROR(VLOOKUP(C68,기출문제!D:G,4,0),"")</f>
        <v/>
      </c>
      <c r="G68" s="31" t="str">
        <f t="shared" si="0"/>
        <v/>
      </c>
      <c r="J68" s="23"/>
    </row>
    <row r="69" spans="2:10" s="21" customFormat="1" x14ac:dyDescent="0.3">
      <c r="B69" s="17">
        <v>62</v>
      </c>
      <c r="C69" s="27" t="s">
        <v>723</v>
      </c>
      <c r="D69" s="17"/>
      <c r="E69" s="29" t="str">
        <f>IFERROR(VLOOKUP(C69,기출문제!D:G,3,0),"")</f>
        <v/>
      </c>
      <c r="F69" s="30" t="str">
        <f>IFERROR(VLOOKUP(C69,기출문제!D:G,4,0),"")</f>
        <v/>
      </c>
      <c r="G69" s="31" t="str">
        <f t="shared" si="0"/>
        <v/>
      </c>
      <c r="J69" s="23"/>
    </row>
    <row r="70" spans="2:10" s="21" customFormat="1" x14ac:dyDescent="0.3">
      <c r="B70" s="17">
        <v>63</v>
      </c>
      <c r="C70" s="27" t="s">
        <v>723</v>
      </c>
      <c r="D70" s="17"/>
      <c r="E70" s="29" t="str">
        <f>IFERROR(VLOOKUP(C70,기출문제!D:G,3,0),"")</f>
        <v/>
      </c>
      <c r="F70" s="30" t="str">
        <f>IFERROR(VLOOKUP(C70,기출문제!D:G,4,0),"")</f>
        <v/>
      </c>
      <c r="G70" s="31" t="str">
        <f t="shared" si="0"/>
        <v/>
      </c>
      <c r="J70" s="23"/>
    </row>
    <row r="71" spans="2:10" s="21" customFormat="1" x14ac:dyDescent="0.3">
      <c r="B71" s="17">
        <v>64</v>
      </c>
      <c r="C71" s="27" t="s">
        <v>723</v>
      </c>
      <c r="D71" s="17"/>
      <c r="E71" s="29" t="str">
        <f>IFERROR(VLOOKUP(C71,기출문제!D:G,3,0),"")</f>
        <v/>
      </c>
      <c r="F71" s="30" t="str">
        <f>IFERROR(VLOOKUP(C71,기출문제!D:G,4,0),"")</f>
        <v/>
      </c>
      <c r="G71" s="31" t="str">
        <f t="shared" si="0"/>
        <v/>
      </c>
      <c r="J71" s="23"/>
    </row>
    <row r="72" spans="2:10" s="21" customFormat="1" x14ac:dyDescent="0.3">
      <c r="B72" s="17">
        <v>65</v>
      </c>
      <c r="C72" s="27" t="s">
        <v>723</v>
      </c>
      <c r="D72" s="17"/>
      <c r="E72" s="29" t="str">
        <f>IFERROR(VLOOKUP(C72,기출문제!D:G,3,0),"")</f>
        <v/>
      </c>
      <c r="F72" s="30" t="str">
        <f>IFERROR(VLOOKUP(C72,기출문제!D:G,4,0),"")</f>
        <v/>
      </c>
      <c r="G72" s="31" t="str">
        <f t="shared" si="0"/>
        <v/>
      </c>
      <c r="J72" s="23"/>
    </row>
    <row r="73" spans="2:10" s="21" customFormat="1" x14ac:dyDescent="0.3">
      <c r="B73" s="17">
        <v>66</v>
      </c>
      <c r="C73" s="27" t="s">
        <v>723</v>
      </c>
      <c r="D73" s="17"/>
      <c r="E73" s="29" t="str">
        <f>IFERROR(VLOOKUP(C73,기출문제!D:G,3,0),"")</f>
        <v/>
      </c>
      <c r="F73" s="30" t="str">
        <f>IFERROR(VLOOKUP(C73,기출문제!D:G,4,0),"")</f>
        <v/>
      </c>
      <c r="G73" s="31" t="str">
        <f t="shared" ref="G73:G136" si="1">IF(D73="","",IF(D73=F73,"O", "X"))</f>
        <v/>
      </c>
      <c r="J73" s="23"/>
    </row>
    <row r="74" spans="2:10" s="21" customFormat="1" x14ac:dyDescent="0.3">
      <c r="B74" s="17">
        <v>67</v>
      </c>
      <c r="C74" s="27" t="s">
        <v>723</v>
      </c>
      <c r="D74" s="17"/>
      <c r="E74" s="29" t="str">
        <f>IFERROR(VLOOKUP(C74,기출문제!D:G,3,0),"")</f>
        <v/>
      </c>
      <c r="F74" s="30" t="str">
        <f>IFERROR(VLOOKUP(C74,기출문제!D:G,4,0),"")</f>
        <v/>
      </c>
      <c r="G74" s="31" t="str">
        <f t="shared" si="1"/>
        <v/>
      </c>
      <c r="J74" s="23"/>
    </row>
    <row r="75" spans="2:10" s="21" customFormat="1" x14ac:dyDescent="0.3">
      <c r="B75" s="17">
        <v>68</v>
      </c>
      <c r="C75" s="27" t="s">
        <v>723</v>
      </c>
      <c r="D75" s="17"/>
      <c r="E75" s="29" t="str">
        <f>IFERROR(VLOOKUP(C75,기출문제!D:G,3,0),"")</f>
        <v/>
      </c>
      <c r="F75" s="30" t="str">
        <f>IFERROR(VLOOKUP(C75,기출문제!D:G,4,0),"")</f>
        <v/>
      </c>
      <c r="G75" s="31" t="str">
        <f t="shared" si="1"/>
        <v/>
      </c>
      <c r="J75" s="23"/>
    </row>
    <row r="76" spans="2:10" s="21" customFormat="1" x14ac:dyDescent="0.3">
      <c r="B76" s="17">
        <v>69</v>
      </c>
      <c r="C76" s="27" t="s">
        <v>723</v>
      </c>
      <c r="D76" s="17"/>
      <c r="E76" s="29" t="str">
        <f>IFERROR(VLOOKUP(C76,기출문제!D:G,3,0),"")</f>
        <v/>
      </c>
      <c r="F76" s="30" t="str">
        <f>IFERROR(VLOOKUP(C76,기출문제!D:G,4,0),"")</f>
        <v/>
      </c>
      <c r="G76" s="31" t="str">
        <f t="shared" si="1"/>
        <v/>
      </c>
      <c r="J76" s="23"/>
    </row>
    <row r="77" spans="2:10" s="21" customFormat="1" x14ac:dyDescent="0.3">
      <c r="B77" s="17">
        <v>70</v>
      </c>
      <c r="C77" s="27" t="s">
        <v>723</v>
      </c>
      <c r="D77" s="17"/>
      <c r="E77" s="29" t="str">
        <f>IFERROR(VLOOKUP(C77,기출문제!D:G,3,0),"")</f>
        <v/>
      </c>
      <c r="F77" s="30" t="str">
        <f>IFERROR(VLOOKUP(C77,기출문제!D:G,4,0),"")</f>
        <v/>
      </c>
      <c r="G77" s="31" t="str">
        <f t="shared" si="1"/>
        <v/>
      </c>
      <c r="J77" s="23"/>
    </row>
    <row r="78" spans="2:10" s="21" customFormat="1" x14ac:dyDescent="0.3">
      <c r="B78" s="17">
        <v>71</v>
      </c>
      <c r="C78" s="27" t="s">
        <v>723</v>
      </c>
      <c r="D78" s="17"/>
      <c r="E78" s="29" t="str">
        <f>IFERROR(VLOOKUP(C78,기출문제!D:G,3,0),"")</f>
        <v/>
      </c>
      <c r="F78" s="30" t="str">
        <f>IFERROR(VLOOKUP(C78,기출문제!D:G,4,0),"")</f>
        <v/>
      </c>
      <c r="G78" s="31" t="str">
        <f t="shared" si="1"/>
        <v/>
      </c>
      <c r="J78" s="23"/>
    </row>
    <row r="79" spans="2:10" s="21" customFormat="1" x14ac:dyDescent="0.3">
      <c r="B79" s="17">
        <v>72</v>
      </c>
      <c r="C79" s="27" t="s">
        <v>723</v>
      </c>
      <c r="D79" s="17"/>
      <c r="E79" s="29" t="str">
        <f>IFERROR(VLOOKUP(C79,기출문제!D:G,3,0),"")</f>
        <v/>
      </c>
      <c r="F79" s="30" t="str">
        <f>IFERROR(VLOOKUP(C79,기출문제!D:G,4,0),"")</f>
        <v/>
      </c>
      <c r="G79" s="31" t="str">
        <f t="shared" si="1"/>
        <v/>
      </c>
      <c r="J79" s="23"/>
    </row>
    <row r="80" spans="2:10" s="21" customFormat="1" x14ac:dyDescent="0.3">
      <c r="B80" s="17">
        <v>73</v>
      </c>
      <c r="C80" s="27" t="s">
        <v>723</v>
      </c>
      <c r="D80" s="17"/>
      <c r="E80" s="29" t="str">
        <f>IFERROR(VLOOKUP(C80,기출문제!D:G,3,0),"")</f>
        <v/>
      </c>
      <c r="F80" s="30" t="str">
        <f>IFERROR(VLOOKUP(C80,기출문제!D:G,4,0),"")</f>
        <v/>
      </c>
      <c r="G80" s="31" t="str">
        <f t="shared" si="1"/>
        <v/>
      </c>
      <c r="J80" s="23"/>
    </row>
    <row r="81" spans="2:10" s="21" customFormat="1" x14ac:dyDescent="0.3">
      <c r="B81" s="17">
        <v>74</v>
      </c>
      <c r="C81" s="27" t="s">
        <v>723</v>
      </c>
      <c r="D81" s="17"/>
      <c r="E81" s="29" t="str">
        <f>IFERROR(VLOOKUP(C81,기출문제!D:G,3,0),"")</f>
        <v/>
      </c>
      <c r="F81" s="30" t="str">
        <f>IFERROR(VLOOKUP(C81,기출문제!D:G,4,0),"")</f>
        <v/>
      </c>
      <c r="G81" s="31" t="str">
        <f t="shared" si="1"/>
        <v/>
      </c>
      <c r="J81" s="23"/>
    </row>
    <row r="82" spans="2:10" s="21" customFormat="1" x14ac:dyDescent="0.3">
      <c r="B82" s="17">
        <v>75</v>
      </c>
      <c r="C82" s="27" t="s">
        <v>723</v>
      </c>
      <c r="D82" s="17"/>
      <c r="E82" s="29" t="str">
        <f>IFERROR(VLOOKUP(C82,기출문제!D:G,3,0),"")</f>
        <v/>
      </c>
      <c r="F82" s="30" t="str">
        <f>IFERROR(VLOOKUP(C82,기출문제!D:G,4,0),"")</f>
        <v/>
      </c>
      <c r="G82" s="31" t="str">
        <f t="shared" si="1"/>
        <v/>
      </c>
      <c r="J82" s="23"/>
    </row>
    <row r="83" spans="2:10" s="21" customFormat="1" x14ac:dyDescent="0.3">
      <c r="B83" s="17">
        <v>76</v>
      </c>
      <c r="C83" s="27" t="s">
        <v>723</v>
      </c>
      <c r="D83" s="17"/>
      <c r="E83" s="29" t="str">
        <f>IFERROR(VLOOKUP(C83,기출문제!D:G,3,0),"")</f>
        <v/>
      </c>
      <c r="F83" s="30" t="str">
        <f>IFERROR(VLOOKUP(C83,기출문제!D:G,4,0),"")</f>
        <v/>
      </c>
      <c r="G83" s="31" t="str">
        <f t="shared" si="1"/>
        <v/>
      </c>
      <c r="J83" s="23"/>
    </row>
    <row r="84" spans="2:10" s="21" customFormat="1" x14ac:dyDescent="0.3">
      <c r="B84" s="17">
        <v>77</v>
      </c>
      <c r="C84" s="27" t="s">
        <v>723</v>
      </c>
      <c r="D84" s="17"/>
      <c r="E84" s="29" t="str">
        <f>IFERROR(VLOOKUP(C84,기출문제!D:G,3,0),"")</f>
        <v/>
      </c>
      <c r="F84" s="30" t="str">
        <f>IFERROR(VLOOKUP(C84,기출문제!D:G,4,0),"")</f>
        <v/>
      </c>
      <c r="G84" s="31" t="str">
        <f t="shared" si="1"/>
        <v/>
      </c>
      <c r="J84" s="23"/>
    </row>
    <row r="85" spans="2:10" s="21" customFormat="1" x14ac:dyDescent="0.3">
      <c r="B85" s="17">
        <v>78</v>
      </c>
      <c r="C85" s="27" t="s">
        <v>723</v>
      </c>
      <c r="D85" s="17"/>
      <c r="E85" s="29" t="str">
        <f>IFERROR(VLOOKUP(C85,기출문제!D:G,3,0),"")</f>
        <v/>
      </c>
      <c r="F85" s="30" t="str">
        <f>IFERROR(VLOOKUP(C85,기출문제!D:G,4,0),"")</f>
        <v/>
      </c>
      <c r="G85" s="31" t="str">
        <f t="shared" si="1"/>
        <v/>
      </c>
      <c r="J85" s="23"/>
    </row>
    <row r="86" spans="2:10" s="21" customFormat="1" x14ac:dyDescent="0.3">
      <c r="B86" s="17">
        <v>79</v>
      </c>
      <c r="C86" s="27" t="s">
        <v>723</v>
      </c>
      <c r="D86" s="17"/>
      <c r="E86" s="29" t="str">
        <f>IFERROR(VLOOKUP(C86,기출문제!D:G,3,0),"")</f>
        <v/>
      </c>
      <c r="F86" s="30" t="str">
        <f>IFERROR(VLOOKUP(C86,기출문제!D:G,4,0),"")</f>
        <v/>
      </c>
      <c r="G86" s="31" t="str">
        <f t="shared" si="1"/>
        <v/>
      </c>
      <c r="J86" s="23"/>
    </row>
    <row r="87" spans="2:10" s="21" customFormat="1" x14ac:dyDescent="0.3">
      <c r="B87" s="17">
        <v>80</v>
      </c>
      <c r="C87" s="27" t="s">
        <v>723</v>
      </c>
      <c r="D87" s="17"/>
      <c r="E87" s="29" t="str">
        <f>IFERROR(VLOOKUP(C87,기출문제!D:G,3,0),"")</f>
        <v/>
      </c>
      <c r="F87" s="30" t="str">
        <f>IFERROR(VLOOKUP(C87,기출문제!D:G,4,0),"")</f>
        <v/>
      </c>
      <c r="G87" s="31" t="str">
        <f t="shared" si="1"/>
        <v/>
      </c>
      <c r="J87" s="23"/>
    </row>
    <row r="88" spans="2:10" s="21" customFormat="1" x14ac:dyDescent="0.3">
      <c r="B88" s="17">
        <v>81</v>
      </c>
      <c r="C88" s="27" t="s">
        <v>723</v>
      </c>
      <c r="D88" s="17"/>
      <c r="E88" s="29" t="str">
        <f>IFERROR(VLOOKUP(C88,기출문제!D:G,3,0),"")</f>
        <v/>
      </c>
      <c r="F88" s="30" t="str">
        <f>IFERROR(VLOOKUP(C88,기출문제!D:G,4,0),"")</f>
        <v/>
      </c>
      <c r="G88" s="31" t="str">
        <f t="shared" si="1"/>
        <v/>
      </c>
      <c r="J88" s="23"/>
    </row>
    <row r="89" spans="2:10" s="21" customFormat="1" x14ac:dyDescent="0.3">
      <c r="B89" s="17">
        <v>82</v>
      </c>
      <c r="C89" s="27" t="s">
        <v>723</v>
      </c>
      <c r="D89" s="17"/>
      <c r="E89" s="29" t="str">
        <f>IFERROR(VLOOKUP(C89,기출문제!D:G,3,0),"")</f>
        <v/>
      </c>
      <c r="F89" s="30" t="str">
        <f>IFERROR(VLOOKUP(C89,기출문제!D:G,4,0),"")</f>
        <v/>
      </c>
      <c r="G89" s="31" t="str">
        <f t="shared" si="1"/>
        <v/>
      </c>
      <c r="J89" s="23"/>
    </row>
    <row r="90" spans="2:10" s="21" customFormat="1" x14ac:dyDescent="0.3">
      <c r="B90" s="17">
        <v>83</v>
      </c>
      <c r="C90" s="27" t="s">
        <v>723</v>
      </c>
      <c r="D90" s="17"/>
      <c r="E90" s="29" t="str">
        <f>IFERROR(VLOOKUP(C90,기출문제!D:G,3,0),"")</f>
        <v/>
      </c>
      <c r="F90" s="30" t="str">
        <f>IFERROR(VLOOKUP(C90,기출문제!D:G,4,0),"")</f>
        <v/>
      </c>
      <c r="G90" s="31" t="str">
        <f t="shared" si="1"/>
        <v/>
      </c>
      <c r="J90" s="23"/>
    </row>
    <row r="91" spans="2:10" s="21" customFormat="1" x14ac:dyDescent="0.3">
      <c r="B91" s="17">
        <v>84</v>
      </c>
      <c r="C91" s="27" t="s">
        <v>723</v>
      </c>
      <c r="D91" s="17"/>
      <c r="E91" s="29" t="str">
        <f>IFERROR(VLOOKUP(C91,기출문제!D:G,3,0),"")</f>
        <v/>
      </c>
      <c r="F91" s="30" t="str">
        <f>IFERROR(VLOOKUP(C91,기출문제!D:G,4,0),"")</f>
        <v/>
      </c>
      <c r="G91" s="31" t="str">
        <f t="shared" si="1"/>
        <v/>
      </c>
      <c r="J91" s="23"/>
    </row>
    <row r="92" spans="2:10" s="21" customFormat="1" x14ac:dyDescent="0.3">
      <c r="B92" s="17">
        <v>85</v>
      </c>
      <c r="C92" s="27" t="s">
        <v>723</v>
      </c>
      <c r="D92" s="17"/>
      <c r="E92" s="29" t="str">
        <f>IFERROR(VLOOKUP(C92,기출문제!D:G,3,0),"")</f>
        <v/>
      </c>
      <c r="F92" s="30" t="str">
        <f>IFERROR(VLOOKUP(C92,기출문제!D:G,4,0),"")</f>
        <v/>
      </c>
      <c r="G92" s="31" t="str">
        <f t="shared" si="1"/>
        <v/>
      </c>
      <c r="J92" s="23"/>
    </row>
    <row r="93" spans="2:10" s="21" customFormat="1" x14ac:dyDescent="0.3">
      <c r="B93" s="17">
        <v>86</v>
      </c>
      <c r="C93" s="27" t="s">
        <v>723</v>
      </c>
      <c r="D93" s="17"/>
      <c r="E93" s="29" t="str">
        <f>IFERROR(VLOOKUP(C93,기출문제!D:G,3,0),"")</f>
        <v/>
      </c>
      <c r="F93" s="30" t="str">
        <f>IFERROR(VLOOKUP(C93,기출문제!D:G,4,0),"")</f>
        <v/>
      </c>
      <c r="G93" s="31" t="str">
        <f t="shared" si="1"/>
        <v/>
      </c>
      <c r="J93" s="23"/>
    </row>
    <row r="94" spans="2:10" s="21" customFormat="1" x14ac:dyDescent="0.3">
      <c r="B94" s="17">
        <v>87</v>
      </c>
      <c r="C94" s="27" t="s">
        <v>723</v>
      </c>
      <c r="D94" s="17"/>
      <c r="E94" s="29" t="str">
        <f>IFERROR(VLOOKUP(C94,기출문제!D:G,3,0),"")</f>
        <v/>
      </c>
      <c r="F94" s="30" t="str">
        <f>IFERROR(VLOOKUP(C94,기출문제!D:G,4,0),"")</f>
        <v/>
      </c>
      <c r="G94" s="31" t="str">
        <f t="shared" si="1"/>
        <v/>
      </c>
      <c r="J94" s="23"/>
    </row>
    <row r="95" spans="2:10" s="21" customFormat="1" x14ac:dyDescent="0.3">
      <c r="B95" s="17">
        <v>88</v>
      </c>
      <c r="C95" s="27" t="s">
        <v>723</v>
      </c>
      <c r="D95" s="17"/>
      <c r="E95" s="29" t="str">
        <f>IFERROR(VLOOKUP(C95,기출문제!D:G,3,0),"")</f>
        <v/>
      </c>
      <c r="F95" s="30" t="str">
        <f>IFERROR(VLOOKUP(C95,기출문제!D:G,4,0),"")</f>
        <v/>
      </c>
      <c r="G95" s="31" t="str">
        <f t="shared" si="1"/>
        <v/>
      </c>
      <c r="J95" s="23"/>
    </row>
    <row r="96" spans="2:10" s="21" customFormat="1" x14ac:dyDescent="0.3">
      <c r="B96" s="17">
        <v>89</v>
      </c>
      <c r="C96" s="27" t="s">
        <v>723</v>
      </c>
      <c r="D96" s="17"/>
      <c r="E96" s="29" t="str">
        <f>IFERROR(VLOOKUP(C96,기출문제!D:G,3,0),"")</f>
        <v/>
      </c>
      <c r="F96" s="30" t="str">
        <f>IFERROR(VLOOKUP(C96,기출문제!D:G,4,0),"")</f>
        <v/>
      </c>
      <c r="G96" s="31" t="str">
        <f t="shared" si="1"/>
        <v/>
      </c>
      <c r="J96" s="23"/>
    </row>
    <row r="97" spans="2:10" s="21" customFormat="1" x14ac:dyDescent="0.3">
      <c r="B97" s="17">
        <v>90</v>
      </c>
      <c r="C97" s="27" t="s">
        <v>723</v>
      </c>
      <c r="D97" s="17"/>
      <c r="E97" s="29" t="str">
        <f>IFERROR(VLOOKUP(C97,기출문제!D:G,3,0),"")</f>
        <v/>
      </c>
      <c r="F97" s="30" t="str">
        <f>IFERROR(VLOOKUP(C97,기출문제!D:G,4,0),"")</f>
        <v/>
      </c>
      <c r="G97" s="31" t="str">
        <f t="shared" si="1"/>
        <v/>
      </c>
      <c r="J97" s="23"/>
    </row>
    <row r="98" spans="2:10" s="21" customFormat="1" x14ac:dyDescent="0.3">
      <c r="B98" s="17">
        <v>91</v>
      </c>
      <c r="C98" s="27" t="s">
        <v>723</v>
      </c>
      <c r="D98" s="17"/>
      <c r="E98" s="29" t="str">
        <f>IFERROR(VLOOKUP(C98,기출문제!D:G,3,0),"")</f>
        <v/>
      </c>
      <c r="F98" s="30" t="str">
        <f>IFERROR(VLOOKUP(C98,기출문제!D:G,4,0),"")</f>
        <v/>
      </c>
      <c r="G98" s="31" t="str">
        <f t="shared" si="1"/>
        <v/>
      </c>
      <c r="J98" s="23"/>
    </row>
    <row r="99" spans="2:10" s="21" customFormat="1" x14ac:dyDescent="0.3">
      <c r="B99" s="17">
        <v>92</v>
      </c>
      <c r="C99" s="27" t="s">
        <v>723</v>
      </c>
      <c r="D99" s="17"/>
      <c r="E99" s="29" t="str">
        <f>IFERROR(VLOOKUP(C99,기출문제!D:G,3,0),"")</f>
        <v/>
      </c>
      <c r="F99" s="30" t="str">
        <f>IFERROR(VLOOKUP(C99,기출문제!D:G,4,0),"")</f>
        <v/>
      </c>
      <c r="G99" s="31" t="str">
        <f t="shared" si="1"/>
        <v/>
      </c>
      <c r="J99" s="23"/>
    </row>
    <row r="100" spans="2:10" s="21" customFormat="1" x14ac:dyDescent="0.3">
      <c r="B100" s="17">
        <v>93</v>
      </c>
      <c r="C100" s="27" t="s">
        <v>723</v>
      </c>
      <c r="D100" s="17"/>
      <c r="E100" s="29" t="str">
        <f>IFERROR(VLOOKUP(C100,기출문제!D:G,3,0),"")</f>
        <v/>
      </c>
      <c r="F100" s="30" t="str">
        <f>IFERROR(VLOOKUP(C100,기출문제!D:G,4,0),"")</f>
        <v/>
      </c>
      <c r="G100" s="31" t="str">
        <f t="shared" si="1"/>
        <v/>
      </c>
      <c r="J100" s="23"/>
    </row>
    <row r="101" spans="2:10" s="21" customFormat="1" x14ac:dyDescent="0.3">
      <c r="B101" s="17">
        <v>94</v>
      </c>
      <c r="C101" s="27" t="s">
        <v>723</v>
      </c>
      <c r="D101" s="17"/>
      <c r="E101" s="29" t="str">
        <f>IFERROR(VLOOKUP(C101,기출문제!D:G,3,0),"")</f>
        <v/>
      </c>
      <c r="F101" s="30" t="str">
        <f>IFERROR(VLOOKUP(C101,기출문제!D:G,4,0),"")</f>
        <v/>
      </c>
      <c r="G101" s="31" t="str">
        <f t="shared" si="1"/>
        <v/>
      </c>
      <c r="J101" s="23"/>
    </row>
    <row r="102" spans="2:10" s="21" customFormat="1" x14ac:dyDescent="0.3">
      <c r="B102" s="17">
        <v>95</v>
      </c>
      <c r="C102" s="27" t="s">
        <v>723</v>
      </c>
      <c r="D102" s="17"/>
      <c r="E102" s="29" t="str">
        <f>IFERROR(VLOOKUP(C102,기출문제!D:G,3,0),"")</f>
        <v/>
      </c>
      <c r="F102" s="30" t="str">
        <f>IFERROR(VLOOKUP(C102,기출문제!D:G,4,0),"")</f>
        <v/>
      </c>
      <c r="G102" s="31" t="str">
        <f t="shared" si="1"/>
        <v/>
      </c>
      <c r="J102" s="23"/>
    </row>
    <row r="103" spans="2:10" s="21" customFormat="1" x14ac:dyDescent="0.3">
      <c r="B103" s="17">
        <v>96</v>
      </c>
      <c r="C103" s="27" t="s">
        <v>723</v>
      </c>
      <c r="D103" s="17"/>
      <c r="E103" s="29" t="str">
        <f>IFERROR(VLOOKUP(C103,기출문제!D:G,3,0),"")</f>
        <v/>
      </c>
      <c r="F103" s="30" t="str">
        <f>IFERROR(VLOOKUP(C103,기출문제!D:G,4,0),"")</f>
        <v/>
      </c>
      <c r="G103" s="31" t="str">
        <f t="shared" si="1"/>
        <v/>
      </c>
      <c r="J103" s="23"/>
    </row>
    <row r="104" spans="2:10" s="21" customFormat="1" x14ac:dyDescent="0.3">
      <c r="B104" s="17">
        <v>97</v>
      </c>
      <c r="C104" s="27" t="s">
        <v>723</v>
      </c>
      <c r="D104" s="17"/>
      <c r="E104" s="29" t="str">
        <f>IFERROR(VLOOKUP(C104,기출문제!D:G,3,0),"")</f>
        <v/>
      </c>
      <c r="F104" s="30" t="str">
        <f>IFERROR(VLOOKUP(C104,기출문제!D:G,4,0),"")</f>
        <v/>
      </c>
      <c r="G104" s="31" t="str">
        <f t="shared" si="1"/>
        <v/>
      </c>
      <c r="J104" s="23"/>
    </row>
    <row r="105" spans="2:10" s="21" customFormat="1" x14ac:dyDescent="0.3">
      <c r="B105" s="17">
        <v>98</v>
      </c>
      <c r="C105" s="27" t="s">
        <v>723</v>
      </c>
      <c r="D105" s="17"/>
      <c r="E105" s="29" t="str">
        <f>IFERROR(VLOOKUP(C105,기출문제!D:G,3,0),"")</f>
        <v/>
      </c>
      <c r="F105" s="30" t="str">
        <f>IFERROR(VLOOKUP(C105,기출문제!D:G,4,0),"")</f>
        <v/>
      </c>
      <c r="G105" s="31" t="str">
        <f t="shared" si="1"/>
        <v/>
      </c>
      <c r="J105" s="23"/>
    </row>
    <row r="106" spans="2:10" s="21" customFormat="1" x14ac:dyDescent="0.3">
      <c r="B106" s="17">
        <v>99</v>
      </c>
      <c r="C106" s="27" t="s">
        <v>723</v>
      </c>
      <c r="D106" s="17"/>
      <c r="E106" s="29" t="str">
        <f>IFERROR(VLOOKUP(C106,기출문제!D:G,3,0),"")</f>
        <v/>
      </c>
      <c r="F106" s="30" t="str">
        <f>IFERROR(VLOOKUP(C106,기출문제!D:G,4,0),"")</f>
        <v/>
      </c>
      <c r="G106" s="31" t="str">
        <f t="shared" si="1"/>
        <v/>
      </c>
      <c r="J106" s="23"/>
    </row>
    <row r="107" spans="2:10" s="21" customFormat="1" x14ac:dyDescent="0.3">
      <c r="B107" s="17">
        <v>100</v>
      </c>
      <c r="C107" s="27" t="s">
        <v>723</v>
      </c>
      <c r="D107" s="17"/>
      <c r="E107" s="29" t="str">
        <f>IFERROR(VLOOKUP(C107,기출문제!D:G,3,0),"")</f>
        <v/>
      </c>
      <c r="F107" s="30" t="str">
        <f>IFERROR(VLOOKUP(C107,기출문제!D:G,4,0),"")</f>
        <v/>
      </c>
      <c r="G107" s="31" t="str">
        <f t="shared" si="1"/>
        <v/>
      </c>
      <c r="J107" s="23"/>
    </row>
    <row r="108" spans="2:10" s="21" customFormat="1" x14ac:dyDescent="0.3">
      <c r="B108" s="17">
        <v>101</v>
      </c>
      <c r="C108" s="27" t="s">
        <v>723</v>
      </c>
      <c r="D108" s="17"/>
      <c r="E108" s="29" t="str">
        <f>IFERROR(VLOOKUP(C108,기출문제!D:G,3,0),"")</f>
        <v/>
      </c>
      <c r="F108" s="30" t="str">
        <f>IFERROR(VLOOKUP(C108,기출문제!D:G,4,0),"")</f>
        <v/>
      </c>
      <c r="G108" s="31" t="str">
        <f>IF(D108="","",IF(D108=F108,"O", "X"))</f>
        <v/>
      </c>
      <c r="J108" s="23"/>
    </row>
    <row r="109" spans="2:10" s="21" customFormat="1" x14ac:dyDescent="0.3">
      <c r="B109" s="17">
        <v>102</v>
      </c>
      <c r="C109" s="27" t="s">
        <v>723</v>
      </c>
      <c r="D109" s="17"/>
      <c r="E109" s="29" t="str">
        <f>IFERROR(VLOOKUP(C109,기출문제!D:G,3,0),"")</f>
        <v/>
      </c>
      <c r="F109" s="30" t="str">
        <f>IFERROR(VLOOKUP(C109,기출문제!D:G,4,0),"")</f>
        <v/>
      </c>
      <c r="G109" s="31" t="str">
        <f t="shared" si="1"/>
        <v/>
      </c>
      <c r="J109" s="23"/>
    </row>
    <row r="110" spans="2:10" s="21" customFormat="1" x14ac:dyDescent="0.3">
      <c r="B110" s="17">
        <v>103</v>
      </c>
      <c r="C110" s="27" t="s">
        <v>723</v>
      </c>
      <c r="D110" s="17"/>
      <c r="E110" s="29" t="str">
        <f>IFERROR(VLOOKUP(C110,기출문제!D:G,3,0),"")</f>
        <v/>
      </c>
      <c r="F110" s="30" t="str">
        <f>IFERROR(VLOOKUP(C110,기출문제!D:G,4,0),"")</f>
        <v/>
      </c>
      <c r="G110" s="31" t="str">
        <f t="shared" si="1"/>
        <v/>
      </c>
      <c r="J110" s="23"/>
    </row>
    <row r="111" spans="2:10" s="21" customFormat="1" x14ac:dyDescent="0.3">
      <c r="B111" s="17">
        <v>104</v>
      </c>
      <c r="C111" s="27" t="s">
        <v>723</v>
      </c>
      <c r="D111" s="17"/>
      <c r="E111" s="29" t="str">
        <f>IFERROR(VLOOKUP(C111,기출문제!D:G,3,0),"")</f>
        <v/>
      </c>
      <c r="F111" s="30" t="str">
        <f>IFERROR(VLOOKUP(C111,기출문제!D:G,4,0),"")</f>
        <v/>
      </c>
      <c r="G111" s="31" t="str">
        <f t="shared" si="1"/>
        <v/>
      </c>
      <c r="J111" s="23"/>
    </row>
    <row r="112" spans="2:10" s="21" customFormat="1" x14ac:dyDescent="0.3">
      <c r="B112" s="17">
        <v>105</v>
      </c>
      <c r="C112" s="27" t="s">
        <v>723</v>
      </c>
      <c r="D112" s="17"/>
      <c r="E112" s="29" t="str">
        <f>IFERROR(VLOOKUP(C112,기출문제!D:G,3,0),"")</f>
        <v/>
      </c>
      <c r="F112" s="30" t="str">
        <f>IFERROR(VLOOKUP(C112,기출문제!D:G,4,0),"")</f>
        <v/>
      </c>
      <c r="G112" s="31" t="str">
        <f t="shared" si="1"/>
        <v/>
      </c>
      <c r="J112" s="23"/>
    </row>
    <row r="113" spans="2:10" s="21" customFormat="1" x14ac:dyDescent="0.3">
      <c r="B113" s="17">
        <v>106</v>
      </c>
      <c r="C113" s="27" t="s">
        <v>723</v>
      </c>
      <c r="D113" s="17"/>
      <c r="E113" s="29" t="str">
        <f>IFERROR(VLOOKUP(C113,기출문제!D:G,3,0),"")</f>
        <v/>
      </c>
      <c r="F113" s="30" t="str">
        <f>IFERROR(VLOOKUP(C113,기출문제!D:G,4,0),"")</f>
        <v/>
      </c>
      <c r="G113" s="31" t="str">
        <f t="shared" si="1"/>
        <v/>
      </c>
      <c r="J113" s="23"/>
    </row>
    <row r="114" spans="2:10" s="21" customFormat="1" x14ac:dyDescent="0.3">
      <c r="B114" s="17">
        <v>107</v>
      </c>
      <c r="C114" s="27" t="s">
        <v>723</v>
      </c>
      <c r="D114" s="17"/>
      <c r="E114" s="29" t="str">
        <f>IFERROR(VLOOKUP(C114,기출문제!D:G,3,0),"")</f>
        <v/>
      </c>
      <c r="F114" s="30" t="str">
        <f>IFERROR(VLOOKUP(C114,기출문제!D:G,4,0),"")</f>
        <v/>
      </c>
      <c r="G114" s="31" t="str">
        <f t="shared" si="1"/>
        <v/>
      </c>
      <c r="J114" s="23"/>
    </row>
    <row r="115" spans="2:10" s="21" customFormat="1" x14ac:dyDescent="0.3">
      <c r="B115" s="17">
        <v>108</v>
      </c>
      <c r="C115" s="27" t="s">
        <v>723</v>
      </c>
      <c r="D115" s="17"/>
      <c r="E115" s="29" t="str">
        <f>IFERROR(VLOOKUP(C115,기출문제!D:G,3,0),"")</f>
        <v/>
      </c>
      <c r="F115" s="30" t="str">
        <f>IFERROR(VLOOKUP(C115,기출문제!D:G,4,0),"")</f>
        <v/>
      </c>
      <c r="G115" s="31" t="str">
        <f t="shared" si="1"/>
        <v/>
      </c>
      <c r="J115" s="23"/>
    </row>
    <row r="116" spans="2:10" s="21" customFormat="1" x14ac:dyDescent="0.3">
      <c r="B116" s="17">
        <v>109</v>
      </c>
      <c r="C116" s="27" t="s">
        <v>723</v>
      </c>
      <c r="D116" s="17"/>
      <c r="E116" s="29" t="str">
        <f>IFERROR(VLOOKUP(C116,기출문제!D:G,3,0),"")</f>
        <v/>
      </c>
      <c r="F116" s="30" t="str">
        <f>IFERROR(VLOOKUP(C116,기출문제!D:G,4,0),"")</f>
        <v/>
      </c>
      <c r="G116" s="31" t="str">
        <f t="shared" si="1"/>
        <v/>
      </c>
      <c r="J116" s="23"/>
    </row>
    <row r="117" spans="2:10" s="21" customFormat="1" x14ac:dyDescent="0.3">
      <c r="B117" s="17">
        <v>110</v>
      </c>
      <c r="C117" s="27" t="s">
        <v>723</v>
      </c>
      <c r="D117" s="17"/>
      <c r="E117" s="29" t="str">
        <f>IFERROR(VLOOKUP(C117,기출문제!D:G,3,0),"")</f>
        <v/>
      </c>
      <c r="F117" s="30" t="str">
        <f>IFERROR(VLOOKUP(C117,기출문제!D:G,4,0),"")</f>
        <v/>
      </c>
      <c r="G117" s="31" t="str">
        <f t="shared" si="1"/>
        <v/>
      </c>
      <c r="J117" s="23"/>
    </row>
    <row r="118" spans="2:10" s="21" customFormat="1" x14ac:dyDescent="0.3">
      <c r="B118" s="17">
        <v>111</v>
      </c>
      <c r="C118" s="27" t="s">
        <v>723</v>
      </c>
      <c r="D118" s="17"/>
      <c r="E118" s="29" t="str">
        <f>IFERROR(VLOOKUP(C118,기출문제!D:G,3,0),"")</f>
        <v/>
      </c>
      <c r="F118" s="30" t="str">
        <f>IFERROR(VLOOKUP(C118,기출문제!D:G,4,0),"")</f>
        <v/>
      </c>
      <c r="G118" s="31" t="str">
        <f t="shared" si="1"/>
        <v/>
      </c>
      <c r="J118" s="23"/>
    </row>
    <row r="119" spans="2:10" s="21" customFormat="1" x14ac:dyDescent="0.3">
      <c r="B119" s="17">
        <v>112</v>
      </c>
      <c r="C119" s="27" t="s">
        <v>723</v>
      </c>
      <c r="D119" s="17"/>
      <c r="E119" s="29" t="str">
        <f>IFERROR(VLOOKUP(C119,기출문제!D:G,3,0),"")</f>
        <v/>
      </c>
      <c r="F119" s="30" t="str">
        <f>IFERROR(VLOOKUP(C119,기출문제!D:G,4,0),"")</f>
        <v/>
      </c>
      <c r="G119" s="31" t="str">
        <f t="shared" si="1"/>
        <v/>
      </c>
      <c r="J119" s="23"/>
    </row>
    <row r="120" spans="2:10" s="21" customFormat="1" x14ac:dyDescent="0.3">
      <c r="B120" s="17">
        <v>113</v>
      </c>
      <c r="C120" s="27" t="s">
        <v>723</v>
      </c>
      <c r="D120" s="17"/>
      <c r="E120" s="29" t="str">
        <f>IFERROR(VLOOKUP(C120,기출문제!D:G,3,0),"")</f>
        <v/>
      </c>
      <c r="F120" s="30" t="str">
        <f>IFERROR(VLOOKUP(C120,기출문제!D:G,4,0),"")</f>
        <v/>
      </c>
      <c r="G120" s="31" t="str">
        <f t="shared" si="1"/>
        <v/>
      </c>
      <c r="J120" s="23"/>
    </row>
    <row r="121" spans="2:10" s="21" customFormat="1" x14ac:dyDescent="0.3">
      <c r="B121" s="17">
        <v>114</v>
      </c>
      <c r="C121" s="27" t="s">
        <v>723</v>
      </c>
      <c r="D121" s="17"/>
      <c r="E121" s="29" t="str">
        <f>IFERROR(VLOOKUP(C121,기출문제!D:G,3,0),"")</f>
        <v/>
      </c>
      <c r="F121" s="30" t="str">
        <f>IFERROR(VLOOKUP(C121,기출문제!D:G,4,0),"")</f>
        <v/>
      </c>
      <c r="G121" s="31" t="str">
        <f t="shared" si="1"/>
        <v/>
      </c>
      <c r="J121" s="23"/>
    </row>
    <row r="122" spans="2:10" s="21" customFormat="1" x14ac:dyDescent="0.3">
      <c r="B122" s="17">
        <v>115</v>
      </c>
      <c r="C122" s="27" t="s">
        <v>723</v>
      </c>
      <c r="D122" s="17"/>
      <c r="E122" s="29" t="str">
        <f>IFERROR(VLOOKUP(C122,기출문제!D:G,3,0),"")</f>
        <v/>
      </c>
      <c r="F122" s="30" t="str">
        <f>IFERROR(VLOOKUP(C122,기출문제!D:G,4,0),"")</f>
        <v/>
      </c>
      <c r="G122" s="31" t="str">
        <f t="shared" si="1"/>
        <v/>
      </c>
      <c r="J122" s="23"/>
    </row>
    <row r="123" spans="2:10" s="21" customFormat="1" x14ac:dyDescent="0.3">
      <c r="B123" s="17">
        <v>116</v>
      </c>
      <c r="C123" s="27" t="s">
        <v>723</v>
      </c>
      <c r="D123" s="17"/>
      <c r="E123" s="29" t="str">
        <f>IFERROR(VLOOKUP(C123,기출문제!D:G,3,0),"")</f>
        <v/>
      </c>
      <c r="F123" s="30" t="str">
        <f>IFERROR(VLOOKUP(C123,기출문제!D:G,4,0),"")</f>
        <v/>
      </c>
      <c r="G123" s="31" t="str">
        <f t="shared" si="1"/>
        <v/>
      </c>
      <c r="J123" s="23"/>
    </row>
    <row r="124" spans="2:10" s="21" customFormat="1" x14ac:dyDescent="0.3">
      <c r="B124" s="17">
        <v>117</v>
      </c>
      <c r="C124" s="27" t="s">
        <v>723</v>
      </c>
      <c r="D124" s="17"/>
      <c r="E124" s="29" t="str">
        <f>IFERROR(VLOOKUP(C124,기출문제!D:G,3,0),"")</f>
        <v/>
      </c>
      <c r="F124" s="30" t="str">
        <f>IFERROR(VLOOKUP(C124,기출문제!D:G,4,0),"")</f>
        <v/>
      </c>
      <c r="G124" s="31" t="str">
        <f t="shared" si="1"/>
        <v/>
      </c>
      <c r="J124" s="23"/>
    </row>
    <row r="125" spans="2:10" s="21" customFormat="1" x14ac:dyDescent="0.3">
      <c r="B125" s="17">
        <v>118</v>
      </c>
      <c r="C125" s="27" t="s">
        <v>723</v>
      </c>
      <c r="D125" s="17"/>
      <c r="E125" s="29" t="str">
        <f>IFERROR(VLOOKUP(C125,기출문제!D:G,3,0),"")</f>
        <v/>
      </c>
      <c r="F125" s="30" t="str">
        <f>IFERROR(VLOOKUP(C125,기출문제!D:G,4,0),"")</f>
        <v/>
      </c>
      <c r="G125" s="31" t="str">
        <f t="shared" si="1"/>
        <v/>
      </c>
      <c r="J125" s="23"/>
    </row>
    <row r="126" spans="2:10" s="21" customFormat="1" x14ac:dyDescent="0.3">
      <c r="B126" s="17">
        <v>119</v>
      </c>
      <c r="C126" s="27" t="s">
        <v>723</v>
      </c>
      <c r="D126" s="17"/>
      <c r="E126" s="29" t="str">
        <f>IFERROR(VLOOKUP(C126,기출문제!D:G,3,0),"")</f>
        <v/>
      </c>
      <c r="F126" s="30" t="str">
        <f>IFERROR(VLOOKUP(C126,기출문제!D:G,4,0),"")</f>
        <v/>
      </c>
      <c r="G126" s="31" t="str">
        <f t="shared" si="1"/>
        <v/>
      </c>
      <c r="J126" s="23"/>
    </row>
    <row r="127" spans="2:10" s="21" customFormat="1" x14ac:dyDescent="0.3">
      <c r="B127" s="17">
        <v>120</v>
      </c>
      <c r="C127" s="27" t="s">
        <v>723</v>
      </c>
      <c r="D127" s="17"/>
      <c r="E127" s="29" t="str">
        <f>IFERROR(VLOOKUP(C127,기출문제!D:G,3,0),"")</f>
        <v/>
      </c>
      <c r="F127" s="30" t="str">
        <f>IFERROR(VLOOKUP(C127,기출문제!D:G,4,0),"")</f>
        <v/>
      </c>
      <c r="G127" s="31" t="str">
        <f t="shared" si="1"/>
        <v/>
      </c>
      <c r="J127" s="23"/>
    </row>
    <row r="128" spans="2:10" s="21" customFormat="1" x14ac:dyDescent="0.3">
      <c r="B128" s="17">
        <v>121</v>
      </c>
      <c r="C128" s="27" t="s">
        <v>723</v>
      </c>
      <c r="D128" s="17"/>
      <c r="E128" s="29" t="str">
        <f>IFERROR(VLOOKUP(C128,기출문제!D:G,3,0),"")</f>
        <v/>
      </c>
      <c r="F128" s="30" t="str">
        <f>IFERROR(VLOOKUP(C128,기출문제!D:G,4,0),"")</f>
        <v/>
      </c>
      <c r="G128" s="31" t="str">
        <f t="shared" si="1"/>
        <v/>
      </c>
      <c r="J128" s="23"/>
    </row>
    <row r="129" spans="2:10" s="21" customFormat="1" x14ac:dyDescent="0.3">
      <c r="B129" s="17">
        <v>122</v>
      </c>
      <c r="C129" s="27" t="s">
        <v>723</v>
      </c>
      <c r="D129" s="17"/>
      <c r="E129" s="29" t="str">
        <f>IFERROR(VLOOKUP(C129,기출문제!D:G,3,0),"")</f>
        <v/>
      </c>
      <c r="F129" s="30" t="str">
        <f>IFERROR(VLOOKUP(C129,기출문제!D:G,4,0),"")</f>
        <v/>
      </c>
      <c r="G129" s="31" t="str">
        <f t="shared" si="1"/>
        <v/>
      </c>
      <c r="J129" s="23"/>
    </row>
    <row r="130" spans="2:10" s="21" customFormat="1" x14ac:dyDescent="0.3">
      <c r="B130" s="17">
        <v>123</v>
      </c>
      <c r="C130" s="27" t="s">
        <v>723</v>
      </c>
      <c r="D130" s="17"/>
      <c r="E130" s="29" t="str">
        <f>IFERROR(VLOOKUP(C130,기출문제!D:G,3,0),"")</f>
        <v/>
      </c>
      <c r="F130" s="30" t="str">
        <f>IFERROR(VLOOKUP(C130,기출문제!D:G,4,0),"")</f>
        <v/>
      </c>
      <c r="G130" s="31" t="str">
        <f t="shared" si="1"/>
        <v/>
      </c>
      <c r="J130" s="23"/>
    </row>
    <row r="131" spans="2:10" s="21" customFormat="1" x14ac:dyDescent="0.3">
      <c r="B131" s="17">
        <v>124</v>
      </c>
      <c r="C131" s="27" t="s">
        <v>723</v>
      </c>
      <c r="D131" s="17"/>
      <c r="E131" s="29" t="str">
        <f>IFERROR(VLOOKUP(C131,기출문제!D:G,3,0),"")</f>
        <v/>
      </c>
      <c r="F131" s="30" t="str">
        <f>IFERROR(VLOOKUP(C131,기출문제!D:G,4,0),"")</f>
        <v/>
      </c>
      <c r="G131" s="31" t="str">
        <f t="shared" si="1"/>
        <v/>
      </c>
      <c r="J131" s="23"/>
    </row>
    <row r="132" spans="2:10" s="21" customFormat="1" x14ac:dyDescent="0.3">
      <c r="B132" s="17">
        <v>125</v>
      </c>
      <c r="C132" s="27" t="s">
        <v>723</v>
      </c>
      <c r="D132" s="17"/>
      <c r="E132" s="29" t="str">
        <f>IFERROR(VLOOKUP(C132,기출문제!D:G,3,0),"")</f>
        <v/>
      </c>
      <c r="F132" s="30" t="str">
        <f>IFERROR(VLOOKUP(C132,기출문제!D:G,4,0),"")</f>
        <v/>
      </c>
      <c r="G132" s="31" t="str">
        <f t="shared" si="1"/>
        <v/>
      </c>
      <c r="J132" s="23"/>
    </row>
    <row r="133" spans="2:10" s="21" customFormat="1" x14ac:dyDescent="0.3">
      <c r="B133" s="17">
        <v>126</v>
      </c>
      <c r="C133" s="27" t="s">
        <v>723</v>
      </c>
      <c r="D133" s="17"/>
      <c r="E133" s="29" t="str">
        <f>IFERROR(VLOOKUP(C133,기출문제!D:G,3,0),"")</f>
        <v/>
      </c>
      <c r="F133" s="30" t="str">
        <f>IFERROR(VLOOKUP(C133,기출문제!D:G,4,0),"")</f>
        <v/>
      </c>
      <c r="G133" s="31" t="str">
        <f t="shared" si="1"/>
        <v/>
      </c>
      <c r="J133" s="23"/>
    </row>
    <row r="134" spans="2:10" s="21" customFormat="1" x14ac:dyDescent="0.3">
      <c r="B134" s="17">
        <v>127</v>
      </c>
      <c r="C134" s="27" t="s">
        <v>723</v>
      </c>
      <c r="D134" s="17"/>
      <c r="E134" s="29" t="str">
        <f>IFERROR(VLOOKUP(C134,기출문제!D:G,3,0),"")</f>
        <v/>
      </c>
      <c r="F134" s="30" t="str">
        <f>IFERROR(VLOOKUP(C134,기출문제!D:G,4,0),"")</f>
        <v/>
      </c>
      <c r="G134" s="31" t="str">
        <f t="shared" si="1"/>
        <v/>
      </c>
      <c r="J134" s="23"/>
    </row>
    <row r="135" spans="2:10" s="21" customFormat="1" x14ac:dyDescent="0.3">
      <c r="B135" s="17">
        <v>128</v>
      </c>
      <c r="C135" s="27" t="s">
        <v>723</v>
      </c>
      <c r="D135" s="17"/>
      <c r="E135" s="29" t="str">
        <f>IFERROR(VLOOKUP(C135,기출문제!D:G,3,0),"")</f>
        <v/>
      </c>
      <c r="F135" s="30" t="str">
        <f>IFERROR(VLOOKUP(C135,기출문제!D:G,4,0),"")</f>
        <v/>
      </c>
      <c r="G135" s="31" t="str">
        <f t="shared" si="1"/>
        <v/>
      </c>
      <c r="J135" s="23"/>
    </row>
    <row r="136" spans="2:10" s="21" customFormat="1" x14ac:dyDescent="0.3">
      <c r="B136" s="17">
        <v>129</v>
      </c>
      <c r="C136" s="27" t="s">
        <v>723</v>
      </c>
      <c r="D136" s="17"/>
      <c r="E136" s="29" t="str">
        <f>IFERROR(VLOOKUP(C136,기출문제!D:G,3,0),"")</f>
        <v/>
      </c>
      <c r="F136" s="30" t="str">
        <f>IFERROR(VLOOKUP(C136,기출문제!D:G,4,0),"")</f>
        <v/>
      </c>
      <c r="G136" s="31" t="str">
        <f t="shared" si="1"/>
        <v/>
      </c>
      <c r="J136" s="23"/>
    </row>
    <row r="137" spans="2:10" s="21" customFormat="1" x14ac:dyDescent="0.3">
      <c r="B137" s="17">
        <v>130</v>
      </c>
      <c r="C137" s="27" t="s">
        <v>723</v>
      </c>
      <c r="D137" s="17"/>
      <c r="E137" s="29" t="str">
        <f>IFERROR(VLOOKUP(C137,기출문제!D:G,3,0),"")</f>
        <v/>
      </c>
      <c r="F137" s="30" t="str">
        <f>IFERROR(VLOOKUP(C137,기출문제!D:G,4,0),"")</f>
        <v/>
      </c>
      <c r="G137" s="31" t="str">
        <f t="shared" ref="G137:G200" si="2">IF(D137="","",IF(D137=F137,"O", "X"))</f>
        <v/>
      </c>
      <c r="J137" s="23"/>
    </row>
    <row r="138" spans="2:10" s="21" customFormat="1" x14ac:dyDescent="0.3">
      <c r="B138" s="17">
        <v>131</v>
      </c>
      <c r="C138" s="27" t="s">
        <v>723</v>
      </c>
      <c r="D138" s="17"/>
      <c r="E138" s="29" t="str">
        <f>IFERROR(VLOOKUP(C138,기출문제!D:G,3,0),"")</f>
        <v/>
      </c>
      <c r="F138" s="30" t="str">
        <f>IFERROR(VLOOKUP(C138,기출문제!D:G,4,0),"")</f>
        <v/>
      </c>
      <c r="G138" s="31" t="str">
        <f t="shared" si="2"/>
        <v/>
      </c>
      <c r="J138" s="23"/>
    </row>
    <row r="139" spans="2:10" s="21" customFormat="1" x14ac:dyDescent="0.3">
      <c r="B139" s="17">
        <v>132</v>
      </c>
      <c r="C139" s="27" t="s">
        <v>723</v>
      </c>
      <c r="D139" s="17"/>
      <c r="E139" s="29" t="str">
        <f>IFERROR(VLOOKUP(C139,기출문제!D:G,3,0),"")</f>
        <v/>
      </c>
      <c r="F139" s="30" t="str">
        <f>IFERROR(VLOOKUP(C139,기출문제!D:G,4,0),"")</f>
        <v/>
      </c>
      <c r="G139" s="31" t="str">
        <f t="shared" si="2"/>
        <v/>
      </c>
      <c r="J139" s="23"/>
    </row>
    <row r="140" spans="2:10" s="21" customFormat="1" x14ac:dyDescent="0.3">
      <c r="B140" s="17">
        <v>133</v>
      </c>
      <c r="C140" s="27" t="s">
        <v>723</v>
      </c>
      <c r="D140" s="17"/>
      <c r="E140" s="29" t="str">
        <f>IFERROR(VLOOKUP(C140,기출문제!D:G,3,0),"")</f>
        <v/>
      </c>
      <c r="F140" s="30" t="str">
        <f>IFERROR(VLOOKUP(C140,기출문제!D:G,4,0),"")</f>
        <v/>
      </c>
      <c r="G140" s="31" t="str">
        <f t="shared" si="2"/>
        <v/>
      </c>
      <c r="J140" s="23"/>
    </row>
    <row r="141" spans="2:10" s="21" customFormat="1" x14ac:dyDescent="0.3">
      <c r="B141" s="17">
        <v>134</v>
      </c>
      <c r="C141" s="27" t="s">
        <v>723</v>
      </c>
      <c r="D141" s="17"/>
      <c r="E141" s="29" t="str">
        <f>IFERROR(VLOOKUP(C141,기출문제!D:G,3,0),"")</f>
        <v/>
      </c>
      <c r="F141" s="30" t="str">
        <f>IFERROR(VLOOKUP(C141,기출문제!D:G,4,0),"")</f>
        <v/>
      </c>
      <c r="G141" s="31" t="str">
        <f t="shared" si="2"/>
        <v/>
      </c>
      <c r="J141" s="23"/>
    </row>
    <row r="142" spans="2:10" s="21" customFormat="1" x14ac:dyDescent="0.3">
      <c r="B142" s="17">
        <v>135</v>
      </c>
      <c r="C142" s="27" t="s">
        <v>723</v>
      </c>
      <c r="D142" s="17"/>
      <c r="E142" s="29" t="str">
        <f>IFERROR(VLOOKUP(C142,기출문제!D:G,3,0),"")</f>
        <v/>
      </c>
      <c r="F142" s="30" t="str">
        <f>IFERROR(VLOOKUP(C142,기출문제!D:G,4,0),"")</f>
        <v/>
      </c>
      <c r="G142" s="31" t="str">
        <f t="shared" si="2"/>
        <v/>
      </c>
      <c r="J142" s="23"/>
    </row>
    <row r="143" spans="2:10" s="21" customFormat="1" x14ac:dyDescent="0.3">
      <c r="B143" s="17">
        <v>136</v>
      </c>
      <c r="C143" s="27" t="s">
        <v>723</v>
      </c>
      <c r="D143" s="17"/>
      <c r="E143" s="29" t="str">
        <f>IFERROR(VLOOKUP(C143,기출문제!D:G,3,0),"")</f>
        <v/>
      </c>
      <c r="F143" s="30" t="str">
        <f>IFERROR(VLOOKUP(C143,기출문제!D:G,4,0),"")</f>
        <v/>
      </c>
      <c r="G143" s="31" t="str">
        <f t="shared" si="2"/>
        <v/>
      </c>
      <c r="J143" s="23"/>
    </row>
    <row r="144" spans="2:10" s="21" customFormat="1" x14ac:dyDescent="0.3">
      <c r="B144" s="17">
        <v>137</v>
      </c>
      <c r="C144" s="27" t="s">
        <v>723</v>
      </c>
      <c r="D144" s="17"/>
      <c r="E144" s="29" t="str">
        <f>IFERROR(VLOOKUP(C144,기출문제!D:G,3,0),"")</f>
        <v/>
      </c>
      <c r="F144" s="30" t="str">
        <f>IFERROR(VLOOKUP(C144,기출문제!D:G,4,0),"")</f>
        <v/>
      </c>
      <c r="G144" s="31" t="str">
        <f t="shared" si="2"/>
        <v/>
      </c>
      <c r="J144" s="23"/>
    </row>
    <row r="145" spans="2:10" s="21" customFormat="1" x14ac:dyDescent="0.3">
      <c r="B145" s="17">
        <v>138</v>
      </c>
      <c r="C145" s="27" t="s">
        <v>723</v>
      </c>
      <c r="D145" s="17"/>
      <c r="E145" s="29" t="str">
        <f>IFERROR(VLOOKUP(C145,기출문제!D:G,3,0),"")</f>
        <v/>
      </c>
      <c r="F145" s="30" t="str">
        <f>IFERROR(VLOOKUP(C145,기출문제!D:G,4,0),"")</f>
        <v/>
      </c>
      <c r="G145" s="31" t="str">
        <f t="shared" si="2"/>
        <v/>
      </c>
      <c r="J145" s="23"/>
    </row>
    <row r="146" spans="2:10" s="21" customFormat="1" x14ac:dyDescent="0.3">
      <c r="B146" s="17">
        <v>139</v>
      </c>
      <c r="C146" s="27" t="s">
        <v>723</v>
      </c>
      <c r="D146" s="17"/>
      <c r="E146" s="29" t="str">
        <f>IFERROR(VLOOKUP(C146,기출문제!D:G,3,0),"")</f>
        <v/>
      </c>
      <c r="F146" s="30" t="str">
        <f>IFERROR(VLOOKUP(C146,기출문제!D:G,4,0),"")</f>
        <v/>
      </c>
      <c r="G146" s="31" t="str">
        <f t="shared" si="2"/>
        <v/>
      </c>
      <c r="J146" s="23"/>
    </row>
    <row r="147" spans="2:10" s="21" customFormat="1" x14ac:dyDescent="0.3">
      <c r="B147" s="17">
        <v>140</v>
      </c>
      <c r="C147" s="27" t="s">
        <v>723</v>
      </c>
      <c r="D147" s="17"/>
      <c r="E147" s="29" t="str">
        <f>IFERROR(VLOOKUP(C147,기출문제!D:G,3,0),"")</f>
        <v/>
      </c>
      <c r="F147" s="30" t="str">
        <f>IFERROR(VLOOKUP(C147,기출문제!D:G,4,0),"")</f>
        <v/>
      </c>
      <c r="G147" s="31" t="str">
        <f t="shared" si="2"/>
        <v/>
      </c>
      <c r="J147" s="23"/>
    </row>
    <row r="148" spans="2:10" s="21" customFormat="1" x14ac:dyDescent="0.3">
      <c r="B148" s="17">
        <v>141</v>
      </c>
      <c r="C148" s="27" t="s">
        <v>723</v>
      </c>
      <c r="D148" s="17"/>
      <c r="E148" s="29" t="str">
        <f>IFERROR(VLOOKUP(C148,기출문제!D:G,3,0),"")</f>
        <v/>
      </c>
      <c r="F148" s="30" t="str">
        <f>IFERROR(VLOOKUP(C148,기출문제!D:G,4,0),"")</f>
        <v/>
      </c>
      <c r="G148" s="31" t="str">
        <f t="shared" si="2"/>
        <v/>
      </c>
      <c r="J148" s="23"/>
    </row>
    <row r="149" spans="2:10" s="21" customFormat="1" x14ac:dyDescent="0.3">
      <c r="B149" s="17">
        <v>142</v>
      </c>
      <c r="C149" s="27" t="s">
        <v>723</v>
      </c>
      <c r="D149" s="17"/>
      <c r="E149" s="29" t="str">
        <f>IFERROR(VLOOKUP(C149,기출문제!D:G,3,0),"")</f>
        <v/>
      </c>
      <c r="F149" s="30" t="str">
        <f>IFERROR(VLOOKUP(C149,기출문제!D:G,4,0),"")</f>
        <v/>
      </c>
      <c r="G149" s="31" t="str">
        <f t="shared" si="2"/>
        <v/>
      </c>
      <c r="J149" s="23"/>
    </row>
    <row r="150" spans="2:10" s="21" customFormat="1" x14ac:dyDescent="0.3">
      <c r="B150" s="17">
        <v>143</v>
      </c>
      <c r="C150" s="27" t="s">
        <v>723</v>
      </c>
      <c r="D150" s="17"/>
      <c r="E150" s="29" t="str">
        <f>IFERROR(VLOOKUP(C150,기출문제!D:G,3,0),"")</f>
        <v/>
      </c>
      <c r="F150" s="30" t="str">
        <f>IFERROR(VLOOKUP(C150,기출문제!D:G,4,0),"")</f>
        <v/>
      </c>
      <c r="G150" s="31" t="str">
        <f t="shared" si="2"/>
        <v/>
      </c>
      <c r="J150" s="23"/>
    </row>
    <row r="151" spans="2:10" s="21" customFormat="1" x14ac:dyDescent="0.3">
      <c r="B151" s="17">
        <v>144</v>
      </c>
      <c r="C151" s="27" t="s">
        <v>723</v>
      </c>
      <c r="D151" s="17"/>
      <c r="E151" s="29" t="str">
        <f>IFERROR(VLOOKUP(C151,기출문제!D:G,3,0),"")</f>
        <v/>
      </c>
      <c r="F151" s="30" t="str">
        <f>IFERROR(VLOOKUP(C151,기출문제!D:G,4,0),"")</f>
        <v/>
      </c>
      <c r="G151" s="31" t="str">
        <f t="shared" si="2"/>
        <v/>
      </c>
      <c r="J151" s="23"/>
    </row>
    <row r="152" spans="2:10" s="21" customFormat="1" x14ac:dyDescent="0.3">
      <c r="B152" s="17">
        <v>145</v>
      </c>
      <c r="C152" s="27" t="s">
        <v>723</v>
      </c>
      <c r="D152" s="17"/>
      <c r="E152" s="29" t="str">
        <f>IFERROR(VLOOKUP(C152,기출문제!D:G,3,0),"")</f>
        <v/>
      </c>
      <c r="F152" s="30" t="str">
        <f>IFERROR(VLOOKUP(C152,기출문제!D:G,4,0),"")</f>
        <v/>
      </c>
      <c r="G152" s="31" t="str">
        <f t="shared" si="2"/>
        <v/>
      </c>
      <c r="J152" s="23"/>
    </row>
    <row r="153" spans="2:10" s="21" customFormat="1" x14ac:dyDescent="0.3">
      <c r="B153" s="17">
        <v>146</v>
      </c>
      <c r="C153" s="27" t="s">
        <v>723</v>
      </c>
      <c r="D153" s="17"/>
      <c r="E153" s="29" t="str">
        <f>IFERROR(VLOOKUP(C153,기출문제!D:G,3,0),"")</f>
        <v/>
      </c>
      <c r="F153" s="30" t="str">
        <f>IFERROR(VLOOKUP(C153,기출문제!D:G,4,0),"")</f>
        <v/>
      </c>
      <c r="G153" s="31" t="str">
        <f t="shared" si="2"/>
        <v/>
      </c>
      <c r="J153" s="23"/>
    </row>
    <row r="154" spans="2:10" s="21" customFormat="1" x14ac:dyDescent="0.3">
      <c r="B154" s="17">
        <v>147</v>
      </c>
      <c r="C154" s="27" t="s">
        <v>723</v>
      </c>
      <c r="D154" s="17"/>
      <c r="E154" s="29" t="str">
        <f>IFERROR(VLOOKUP(C154,기출문제!D:G,3,0),"")</f>
        <v/>
      </c>
      <c r="F154" s="30" t="str">
        <f>IFERROR(VLOOKUP(C154,기출문제!D:G,4,0),"")</f>
        <v/>
      </c>
      <c r="G154" s="31" t="str">
        <f t="shared" si="2"/>
        <v/>
      </c>
      <c r="J154" s="23"/>
    </row>
    <row r="155" spans="2:10" s="21" customFormat="1" x14ac:dyDescent="0.3">
      <c r="B155" s="17">
        <v>148</v>
      </c>
      <c r="C155" s="27" t="s">
        <v>723</v>
      </c>
      <c r="D155" s="17"/>
      <c r="E155" s="29" t="str">
        <f>IFERROR(VLOOKUP(C155,기출문제!D:G,3,0),"")</f>
        <v/>
      </c>
      <c r="F155" s="30" t="str">
        <f>IFERROR(VLOOKUP(C155,기출문제!D:G,4,0),"")</f>
        <v/>
      </c>
      <c r="G155" s="31" t="str">
        <f t="shared" si="2"/>
        <v/>
      </c>
      <c r="J155" s="23"/>
    </row>
    <row r="156" spans="2:10" s="21" customFormat="1" x14ac:dyDescent="0.3">
      <c r="B156" s="17">
        <v>149</v>
      </c>
      <c r="C156" s="27" t="s">
        <v>723</v>
      </c>
      <c r="D156" s="17"/>
      <c r="E156" s="29" t="str">
        <f>IFERROR(VLOOKUP(C156,기출문제!D:G,3,0),"")</f>
        <v/>
      </c>
      <c r="F156" s="30" t="str">
        <f>IFERROR(VLOOKUP(C156,기출문제!D:G,4,0),"")</f>
        <v/>
      </c>
      <c r="G156" s="31" t="str">
        <f t="shared" si="2"/>
        <v/>
      </c>
      <c r="J156" s="23"/>
    </row>
    <row r="157" spans="2:10" s="21" customFormat="1" x14ac:dyDescent="0.3">
      <c r="B157" s="17">
        <v>150</v>
      </c>
      <c r="C157" s="27" t="s">
        <v>723</v>
      </c>
      <c r="D157" s="17"/>
      <c r="E157" s="29" t="str">
        <f>IFERROR(VLOOKUP(C157,기출문제!D:G,3,0),"")</f>
        <v/>
      </c>
      <c r="F157" s="30" t="str">
        <f>IFERROR(VLOOKUP(C157,기출문제!D:G,4,0),"")</f>
        <v/>
      </c>
      <c r="G157" s="31" t="str">
        <f t="shared" si="2"/>
        <v/>
      </c>
      <c r="J157" s="23"/>
    </row>
    <row r="158" spans="2:10" s="21" customFormat="1" x14ac:dyDescent="0.3">
      <c r="B158" s="17">
        <v>151</v>
      </c>
      <c r="C158" s="27" t="s">
        <v>723</v>
      </c>
      <c r="D158" s="17"/>
      <c r="E158" s="29" t="str">
        <f>IFERROR(VLOOKUP(C158,기출문제!D:G,3,0),"")</f>
        <v/>
      </c>
      <c r="F158" s="30" t="str">
        <f>IFERROR(VLOOKUP(C158,기출문제!D:G,4,0),"")</f>
        <v/>
      </c>
      <c r="G158" s="31" t="str">
        <f t="shared" si="2"/>
        <v/>
      </c>
      <c r="J158" s="23"/>
    </row>
    <row r="159" spans="2:10" s="21" customFormat="1" x14ac:dyDescent="0.3">
      <c r="B159" s="17">
        <v>152</v>
      </c>
      <c r="C159" s="27" t="s">
        <v>723</v>
      </c>
      <c r="D159" s="17"/>
      <c r="E159" s="29" t="str">
        <f>IFERROR(VLOOKUP(C159,기출문제!D:G,3,0),"")</f>
        <v/>
      </c>
      <c r="F159" s="30" t="str">
        <f>IFERROR(VLOOKUP(C159,기출문제!D:G,4,0),"")</f>
        <v/>
      </c>
      <c r="G159" s="31" t="str">
        <f t="shared" si="2"/>
        <v/>
      </c>
      <c r="J159" s="23"/>
    </row>
    <row r="160" spans="2:10" s="21" customFormat="1" x14ac:dyDescent="0.3">
      <c r="B160" s="17">
        <v>153</v>
      </c>
      <c r="C160" s="27" t="s">
        <v>723</v>
      </c>
      <c r="D160" s="17"/>
      <c r="E160" s="29" t="str">
        <f>IFERROR(VLOOKUP(C160,기출문제!D:G,3,0),"")</f>
        <v/>
      </c>
      <c r="F160" s="30" t="str">
        <f>IFERROR(VLOOKUP(C160,기출문제!D:G,4,0),"")</f>
        <v/>
      </c>
      <c r="G160" s="31" t="str">
        <f t="shared" si="2"/>
        <v/>
      </c>
      <c r="J160" s="23"/>
    </row>
    <row r="161" spans="2:10" s="21" customFormat="1" x14ac:dyDescent="0.3">
      <c r="B161" s="17">
        <v>154</v>
      </c>
      <c r="C161" s="27" t="s">
        <v>723</v>
      </c>
      <c r="D161" s="17"/>
      <c r="E161" s="29" t="str">
        <f>IFERROR(VLOOKUP(C161,기출문제!D:G,3,0),"")</f>
        <v/>
      </c>
      <c r="F161" s="30" t="str">
        <f>IFERROR(VLOOKUP(C161,기출문제!D:G,4,0),"")</f>
        <v/>
      </c>
      <c r="G161" s="31" t="str">
        <f t="shared" si="2"/>
        <v/>
      </c>
      <c r="J161" s="23"/>
    </row>
    <row r="162" spans="2:10" s="21" customFormat="1" x14ac:dyDescent="0.3">
      <c r="B162" s="17">
        <v>155</v>
      </c>
      <c r="C162" s="27" t="s">
        <v>723</v>
      </c>
      <c r="D162" s="17"/>
      <c r="E162" s="29" t="str">
        <f>IFERROR(VLOOKUP(C162,기출문제!D:G,3,0),"")</f>
        <v/>
      </c>
      <c r="F162" s="30" t="str">
        <f>IFERROR(VLOOKUP(C162,기출문제!D:G,4,0),"")</f>
        <v/>
      </c>
      <c r="G162" s="31" t="str">
        <f t="shared" si="2"/>
        <v/>
      </c>
      <c r="J162" s="23"/>
    </row>
    <row r="163" spans="2:10" s="21" customFormat="1" x14ac:dyDescent="0.3">
      <c r="B163" s="17">
        <v>156</v>
      </c>
      <c r="C163" s="27" t="s">
        <v>723</v>
      </c>
      <c r="D163" s="17"/>
      <c r="E163" s="29" t="str">
        <f>IFERROR(VLOOKUP(C163,기출문제!D:G,3,0),"")</f>
        <v/>
      </c>
      <c r="F163" s="30" t="str">
        <f>IFERROR(VLOOKUP(C163,기출문제!D:G,4,0),"")</f>
        <v/>
      </c>
      <c r="G163" s="31" t="str">
        <f t="shared" si="2"/>
        <v/>
      </c>
      <c r="J163" s="23"/>
    </row>
    <row r="164" spans="2:10" s="21" customFormat="1" x14ac:dyDescent="0.3">
      <c r="B164" s="17">
        <v>157</v>
      </c>
      <c r="C164" s="27" t="s">
        <v>723</v>
      </c>
      <c r="D164" s="17"/>
      <c r="E164" s="29" t="str">
        <f>IFERROR(VLOOKUP(C164,기출문제!D:G,3,0),"")</f>
        <v/>
      </c>
      <c r="F164" s="30" t="str">
        <f>IFERROR(VLOOKUP(C164,기출문제!D:G,4,0),"")</f>
        <v/>
      </c>
      <c r="G164" s="31" t="str">
        <f t="shared" si="2"/>
        <v/>
      </c>
      <c r="J164" s="23"/>
    </row>
    <row r="165" spans="2:10" s="21" customFormat="1" x14ac:dyDescent="0.3">
      <c r="B165" s="17">
        <v>158</v>
      </c>
      <c r="C165" s="27" t="s">
        <v>723</v>
      </c>
      <c r="D165" s="17"/>
      <c r="E165" s="29" t="str">
        <f>IFERROR(VLOOKUP(C165,기출문제!D:G,3,0),"")</f>
        <v/>
      </c>
      <c r="F165" s="30" t="str">
        <f>IFERROR(VLOOKUP(C165,기출문제!D:G,4,0),"")</f>
        <v/>
      </c>
      <c r="G165" s="31" t="str">
        <f t="shared" si="2"/>
        <v/>
      </c>
      <c r="J165" s="23"/>
    </row>
    <row r="166" spans="2:10" s="21" customFormat="1" x14ac:dyDescent="0.3">
      <c r="B166" s="17">
        <v>159</v>
      </c>
      <c r="C166" s="27" t="s">
        <v>723</v>
      </c>
      <c r="D166" s="17"/>
      <c r="E166" s="29" t="str">
        <f>IFERROR(VLOOKUP(C166,기출문제!D:G,3,0),"")</f>
        <v/>
      </c>
      <c r="F166" s="30" t="str">
        <f>IFERROR(VLOOKUP(C166,기출문제!D:G,4,0),"")</f>
        <v/>
      </c>
      <c r="G166" s="31" t="str">
        <f t="shared" si="2"/>
        <v/>
      </c>
      <c r="J166" s="23"/>
    </row>
    <row r="167" spans="2:10" s="21" customFormat="1" x14ac:dyDescent="0.3">
      <c r="B167" s="17">
        <v>160</v>
      </c>
      <c r="C167" s="27" t="s">
        <v>723</v>
      </c>
      <c r="D167" s="17"/>
      <c r="E167" s="29" t="str">
        <f>IFERROR(VLOOKUP(C167,기출문제!D:G,3,0),"")</f>
        <v/>
      </c>
      <c r="F167" s="30" t="str">
        <f>IFERROR(VLOOKUP(C167,기출문제!D:G,4,0),"")</f>
        <v/>
      </c>
      <c r="G167" s="31" t="str">
        <f t="shared" si="2"/>
        <v/>
      </c>
      <c r="J167" s="23"/>
    </row>
    <row r="168" spans="2:10" s="21" customFormat="1" x14ac:dyDescent="0.3">
      <c r="B168" s="17">
        <v>161</v>
      </c>
      <c r="C168" s="27" t="s">
        <v>723</v>
      </c>
      <c r="D168" s="17"/>
      <c r="E168" s="29" t="str">
        <f>IFERROR(VLOOKUP(C168,기출문제!D:G,3,0),"")</f>
        <v/>
      </c>
      <c r="F168" s="30" t="str">
        <f>IFERROR(VLOOKUP(C168,기출문제!D:G,4,0),"")</f>
        <v/>
      </c>
      <c r="G168" s="31" t="str">
        <f t="shared" si="2"/>
        <v/>
      </c>
      <c r="J168" s="23"/>
    </row>
    <row r="169" spans="2:10" s="21" customFormat="1" x14ac:dyDescent="0.3">
      <c r="B169" s="17">
        <v>162</v>
      </c>
      <c r="C169" s="27" t="s">
        <v>723</v>
      </c>
      <c r="D169" s="17"/>
      <c r="E169" s="29" t="str">
        <f>IFERROR(VLOOKUP(C169,기출문제!D:G,3,0),"")</f>
        <v/>
      </c>
      <c r="F169" s="30" t="str">
        <f>IFERROR(VLOOKUP(C169,기출문제!D:G,4,0),"")</f>
        <v/>
      </c>
      <c r="G169" s="31" t="str">
        <f t="shared" si="2"/>
        <v/>
      </c>
      <c r="J169" s="23"/>
    </row>
    <row r="170" spans="2:10" s="21" customFormat="1" x14ac:dyDescent="0.3">
      <c r="B170" s="17">
        <v>163</v>
      </c>
      <c r="C170" s="27" t="s">
        <v>723</v>
      </c>
      <c r="D170" s="17"/>
      <c r="E170" s="29" t="str">
        <f>IFERROR(VLOOKUP(C170,기출문제!D:G,3,0),"")</f>
        <v/>
      </c>
      <c r="F170" s="30" t="str">
        <f>IFERROR(VLOOKUP(C170,기출문제!D:G,4,0),"")</f>
        <v/>
      </c>
      <c r="G170" s="31" t="str">
        <f t="shared" si="2"/>
        <v/>
      </c>
      <c r="J170" s="23"/>
    </row>
    <row r="171" spans="2:10" s="21" customFormat="1" x14ac:dyDescent="0.3">
      <c r="B171" s="17">
        <v>164</v>
      </c>
      <c r="C171" s="27" t="s">
        <v>723</v>
      </c>
      <c r="D171" s="17"/>
      <c r="E171" s="29" t="str">
        <f>IFERROR(VLOOKUP(C171,기출문제!D:G,3,0),"")</f>
        <v/>
      </c>
      <c r="F171" s="30" t="str">
        <f>IFERROR(VLOOKUP(C171,기출문제!D:G,4,0),"")</f>
        <v/>
      </c>
      <c r="G171" s="31" t="str">
        <f t="shared" si="2"/>
        <v/>
      </c>
      <c r="J171" s="23"/>
    </row>
    <row r="172" spans="2:10" s="21" customFormat="1" x14ac:dyDescent="0.3">
      <c r="B172" s="17">
        <v>165</v>
      </c>
      <c r="C172" s="27" t="s">
        <v>723</v>
      </c>
      <c r="D172" s="17"/>
      <c r="E172" s="29" t="str">
        <f>IFERROR(VLOOKUP(C172,기출문제!D:G,3,0),"")</f>
        <v/>
      </c>
      <c r="F172" s="30" t="str">
        <f>IFERROR(VLOOKUP(C172,기출문제!D:G,4,0),"")</f>
        <v/>
      </c>
      <c r="G172" s="31" t="str">
        <f t="shared" si="2"/>
        <v/>
      </c>
      <c r="J172" s="23"/>
    </row>
    <row r="173" spans="2:10" s="21" customFormat="1" x14ac:dyDescent="0.3">
      <c r="B173" s="17">
        <v>166</v>
      </c>
      <c r="C173" s="27" t="s">
        <v>723</v>
      </c>
      <c r="D173" s="17"/>
      <c r="E173" s="29" t="str">
        <f>IFERROR(VLOOKUP(C173,기출문제!D:G,3,0),"")</f>
        <v/>
      </c>
      <c r="F173" s="30" t="str">
        <f>IFERROR(VLOOKUP(C173,기출문제!D:G,4,0),"")</f>
        <v/>
      </c>
      <c r="G173" s="31" t="str">
        <f t="shared" si="2"/>
        <v/>
      </c>
      <c r="J173" s="23"/>
    </row>
    <row r="174" spans="2:10" s="21" customFormat="1" x14ac:dyDescent="0.3">
      <c r="B174" s="17">
        <v>167</v>
      </c>
      <c r="C174" s="27" t="s">
        <v>723</v>
      </c>
      <c r="D174" s="17"/>
      <c r="E174" s="29" t="str">
        <f>IFERROR(VLOOKUP(C174,기출문제!D:G,3,0),"")</f>
        <v/>
      </c>
      <c r="F174" s="30" t="str">
        <f>IFERROR(VLOOKUP(C174,기출문제!D:G,4,0),"")</f>
        <v/>
      </c>
      <c r="G174" s="31" t="str">
        <f t="shared" si="2"/>
        <v/>
      </c>
      <c r="J174" s="23"/>
    </row>
    <row r="175" spans="2:10" s="21" customFormat="1" x14ac:dyDescent="0.3">
      <c r="B175" s="17">
        <v>168</v>
      </c>
      <c r="C175" s="27" t="s">
        <v>723</v>
      </c>
      <c r="D175" s="17"/>
      <c r="E175" s="29" t="str">
        <f>IFERROR(VLOOKUP(C175,기출문제!D:G,3,0),"")</f>
        <v/>
      </c>
      <c r="F175" s="30" t="str">
        <f>IFERROR(VLOOKUP(C175,기출문제!D:G,4,0),"")</f>
        <v/>
      </c>
      <c r="G175" s="31" t="str">
        <f t="shared" si="2"/>
        <v/>
      </c>
      <c r="J175" s="23"/>
    </row>
    <row r="176" spans="2:10" s="21" customFormat="1" x14ac:dyDescent="0.3">
      <c r="B176" s="17">
        <v>169</v>
      </c>
      <c r="C176" s="27" t="s">
        <v>723</v>
      </c>
      <c r="D176" s="17"/>
      <c r="E176" s="29" t="str">
        <f>IFERROR(VLOOKUP(C176,기출문제!D:G,3,0),"")</f>
        <v/>
      </c>
      <c r="F176" s="30" t="str">
        <f>IFERROR(VLOOKUP(C176,기출문제!D:G,4,0),"")</f>
        <v/>
      </c>
      <c r="G176" s="31" t="str">
        <f t="shared" si="2"/>
        <v/>
      </c>
      <c r="J176" s="23"/>
    </row>
    <row r="177" spans="2:10" s="21" customFormat="1" x14ac:dyDescent="0.3">
      <c r="B177" s="17">
        <v>170</v>
      </c>
      <c r="C177" s="27" t="s">
        <v>723</v>
      </c>
      <c r="D177" s="17"/>
      <c r="E177" s="29" t="str">
        <f>IFERROR(VLOOKUP(C177,기출문제!D:G,3,0),"")</f>
        <v/>
      </c>
      <c r="F177" s="30" t="str">
        <f>IFERROR(VLOOKUP(C177,기출문제!D:G,4,0),"")</f>
        <v/>
      </c>
      <c r="G177" s="31" t="str">
        <f t="shared" si="2"/>
        <v/>
      </c>
      <c r="J177" s="23"/>
    </row>
    <row r="178" spans="2:10" s="21" customFormat="1" x14ac:dyDescent="0.3">
      <c r="B178" s="17">
        <v>171</v>
      </c>
      <c r="C178" s="27" t="s">
        <v>723</v>
      </c>
      <c r="D178" s="17"/>
      <c r="E178" s="29" t="str">
        <f>IFERROR(VLOOKUP(C178,기출문제!D:G,3,0),"")</f>
        <v/>
      </c>
      <c r="F178" s="30" t="str">
        <f>IFERROR(VLOOKUP(C178,기출문제!D:G,4,0),"")</f>
        <v/>
      </c>
      <c r="G178" s="31" t="str">
        <f t="shared" si="2"/>
        <v/>
      </c>
      <c r="J178" s="23"/>
    </row>
    <row r="179" spans="2:10" s="21" customFormat="1" x14ac:dyDescent="0.3">
      <c r="B179" s="17">
        <v>172</v>
      </c>
      <c r="C179" s="27" t="s">
        <v>723</v>
      </c>
      <c r="D179" s="17"/>
      <c r="E179" s="29" t="str">
        <f>IFERROR(VLOOKUP(C179,기출문제!D:G,3,0),"")</f>
        <v/>
      </c>
      <c r="F179" s="30" t="str">
        <f>IFERROR(VLOOKUP(C179,기출문제!D:G,4,0),"")</f>
        <v/>
      </c>
      <c r="G179" s="31" t="str">
        <f t="shared" si="2"/>
        <v/>
      </c>
      <c r="J179" s="23"/>
    </row>
    <row r="180" spans="2:10" s="21" customFormat="1" x14ac:dyDescent="0.3">
      <c r="B180" s="17">
        <v>173</v>
      </c>
      <c r="C180" s="27" t="s">
        <v>723</v>
      </c>
      <c r="D180" s="17"/>
      <c r="E180" s="29" t="str">
        <f>IFERROR(VLOOKUP(C180,기출문제!D:G,3,0),"")</f>
        <v/>
      </c>
      <c r="F180" s="30" t="str">
        <f>IFERROR(VLOOKUP(C180,기출문제!D:G,4,0),"")</f>
        <v/>
      </c>
      <c r="G180" s="31" t="str">
        <f t="shared" si="2"/>
        <v/>
      </c>
      <c r="J180" s="23"/>
    </row>
    <row r="181" spans="2:10" s="21" customFormat="1" x14ac:dyDescent="0.3">
      <c r="B181" s="17">
        <v>174</v>
      </c>
      <c r="C181" s="27" t="s">
        <v>723</v>
      </c>
      <c r="D181" s="17"/>
      <c r="E181" s="29" t="str">
        <f>IFERROR(VLOOKUP(C181,기출문제!D:G,3,0),"")</f>
        <v/>
      </c>
      <c r="F181" s="30" t="str">
        <f>IFERROR(VLOOKUP(C181,기출문제!D:G,4,0),"")</f>
        <v/>
      </c>
      <c r="G181" s="31" t="str">
        <f t="shared" si="2"/>
        <v/>
      </c>
      <c r="J181" s="23"/>
    </row>
    <row r="182" spans="2:10" s="21" customFormat="1" x14ac:dyDescent="0.3">
      <c r="B182" s="17">
        <v>175</v>
      </c>
      <c r="C182" s="27" t="s">
        <v>723</v>
      </c>
      <c r="D182" s="17"/>
      <c r="E182" s="29" t="str">
        <f>IFERROR(VLOOKUP(C182,기출문제!D:G,3,0),"")</f>
        <v/>
      </c>
      <c r="F182" s="30" t="str">
        <f>IFERROR(VLOOKUP(C182,기출문제!D:G,4,0),"")</f>
        <v/>
      </c>
      <c r="G182" s="31" t="str">
        <f t="shared" si="2"/>
        <v/>
      </c>
      <c r="J182" s="23"/>
    </row>
    <row r="183" spans="2:10" s="21" customFormat="1" x14ac:dyDescent="0.3">
      <c r="B183" s="17">
        <v>176</v>
      </c>
      <c r="C183" s="27" t="s">
        <v>723</v>
      </c>
      <c r="D183" s="17"/>
      <c r="E183" s="29" t="str">
        <f>IFERROR(VLOOKUP(C183,기출문제!D:G,3,0),"")</f>
        <v/>
      </c>
      <c r="F183" s="30" t="str">
        <f>IFERROR(VLOOKUP(C183,기출문제!D:G,4,0),"")</f>
        <v/>
      </c>
      <c r="G183" s="31" t="str">
        <f t="shared" si="2"/>
        <v/>
      </c>
      <c r="J183" s="23"/>
    </row>
    <row r="184" spans="2:10" s="21" customFormat="1" x14ac:dyDescent="0.3">
      <c r="B184" s="17">
        <v>177</v>
      </c>
      <c r="C184" s="27" t="s">
        <v>723</v>
      </c>
      <c r="D184" s="17"/>
      <c r="E184" s="29" t="str">
        <f>IFERROR(VLOOKUP(C184,기출문제!D:G,3,0),"")</f>
        <v/>
      </c>
      <c r="F184" s="30" t="str">
        <f>IFERROR(VLOOKUP(C184,기출문제!D:G,4,0),"")</f>
        <v/>
      </c>
      <c r="G184" s="31" t="str">
        <f t="shared" si="2"/>
        <v/>
      </c>
      <c r="J184" s="23"/>
    </row>
    <row r="185" spans="2:10" s="21" customFormat="1" x14ac:dyDescent="0.3">
      <c r="B185" s="17">
        <v>178</v>
      </c>
      <c r="C185" s="27" t="s">
        <v>723</v>
      </c>
      <c r="D185" s="17"/>
      <c r="E185" s="29" t="str">
        <f>IFERROR(VLOOKUP(C185,기출문제!D:G,3,0),"")</f>
        <v/>
      </c>
      <c r="F185" s="30" t="str">
        <f>IFERROR(VLOOKUP(C185,기출문제!D:G,4,0),"")</f>
        <v/>
      </c>
      <c r="G185" s="31" t="str">
        <f t="shared" si="2"/>
        <v/>
      </c>
      <c r="J185" s="23"/>
    </row>
    <row r="186" spans="2:10" s="21" customFormat="1" x14ac:dyDescent="0.3">
      <c r="B186" s="17">
        <v>179</v>
      </c>
      <c r="C186" s="27" t="s">
        <v>723</v>
      </c>
      <c r="D186" s="17"/>
      <c r="E186" s="29" t="str">
        <f>IFERROR(VLOOKUP(C186,기출문제!D:G,3,0),"")</f>
        <v/>
      </c>
      <c r="F186" s="30" t="str">
        <f>IFERROR(VLOOKUP(C186,기출문제!D:G,4,0),"")</f>
        <v/>
      </c>
      <c r="G186" s="31" t="str">
        <f t="shared" si="2"/>
        <v/>
      </c>
      <c r="J186" s="23"/>
    </row>
    <row r="187" spans="2:10" s="21" customFormat="1" x14ac:dyDescent="0.3">
      <c r="B187" s="17">
        <v>180</v>
      </c>
      <c r="C187" s="27" t="s">
        <v>723</v>
      </c>
      <c r="D187" s="17"/>
      <c r="E187" s="29" t="str">
        <f>IFERROR(VLOOKUP(C187,기출문제!D:G,3,0),"")</f>
        <v/>
      </c>
      <c r="F187" s="30" t="str">
        <f>IFERROR(VLOOKUP(C187,기출문제!D:G,4,0),"")</f>
        <v/>
      </c>
      <c r="G187" s="31" t="str">
        <f t="shared" si="2"/>
        <v/>
      </c>
      <c r="J187" s="23"/>
    </row>
    <row r="188" spans="2:10" s="21" customFormat="1" x14ac:dyDescent="0.3">
      <c r="B188" s="17">
        <v>181</v>
      </c>
      <c r="C188" s="27" t="s">
        <v>723</v>
      </c>
      <c r="D188" s="17"/>
      <c r="E188" s="29" t="str">
        <f>IFERROR(VLOOKUP(C188,기출문제!D:G,3,0),"")</f>
        <v/>
      </c>
      <c r="F188" s="30" t="str">
        <f>IFERROR(VLOOKUP(C188,기출문제!D:G,4,0),"")</f>
        <v/>
      </c>
      <c r="G188" s="31" t="str">
        <f t="shared" si="2"/>
        <v/>
      </c>
      <c r="J188" s="23"/>
    </row>
    <row r="189" spans="2:10" s="21" customFormat="1" x14ac:dyDescent="0.3">
      <c r="B189" s="17">
        <v>182</v>
      </c>
      <c r="C189" s="27" t="s">
        <v>723</v>
      </c>
      <c r="D189" s="17"/>
      <c r="E189" s="29" t="str">
        <f>IFERROR(VLOOKUP(C189,기출문제!D:G,3,0),"")</f>
        <v/>
      </c>
      <c r="F189" s="30" t="str">
        <f>IFERROR(VLOOKUP(C189,기출문제!D:G,4,0),"")</f>
        <v/>
      </c>
      <c r="G189" s="31" t="str">
        <f t="shared" si="2"/>
        <v/>
      </c>
      <c r="J189" s="23"/>
    </row>
    <row r="190" spans="2:10" s="21" customFormat="1" x14ac:dyDescent="0.3">
      <c r="B190" s="17">
        <v>183</v>
      </c>
      <c r="C190" s="27" t="s">
        <v>723</v>
      </c>
      <c r="D190" s="17"/>
      <c r="E190" s="29" t="str">
        <f>IFERROR(VLOOKUP(C190,기출문제!D:G,3,0),"")</f>
        <v/>
      </c>
      <c r="F190" s="30" t="str">
        <f>IFERROR(VLOOKUP(C190,기출문제!D:G,4,0),"")</f>
        <v/>
      </c>
      <c r="G190" s="31" t="str">
        <f t="shared" si="2"/>
        <v/>
      </c>
      <c r="J190" s="23"/>
    </row>
    <row r="191" spans="2:10" s="21" customFormat="1" x14ac:dyDescent="0.3">
      <c r="B191" s="17">
        <v>184</v>
      </c>
      <c r="C191" s="27" t="s">
        <v>723</v>
      </c>
      <c r="D191" s="17"/>
      <c r="E191" s="29" t="str">
        <f>IFERROR(VLOOKUP(C191,기출문제!D:G,3,0),"")</f>
        <v/>
      </c>
      <c r="F191" s="30" t="str">
        <f>IFERROR(VLOOKUP(C191,기출문제!D:G,4,0),"")</f>
        <v/>
      </c>
      <c r="G191" s="31" t="str">
        <f t="shared" si="2"/>
        <v/>
      </c>
      <c r="J191" s="23"/>
    </row>
    <row r="192" spans="2:10" s="21" customFormat="1" x14ac:dyDescent="0.3">
      <c r="B192" s="17">
        <v>185</v>
      </c>
      <c r="C192" s="27" t="s">
        <v>723</v>
      </c>
      <c r="D192" s="17"/>
      <c r="E192" s="29" t="str">
        <f>IFERROR(VLOOKUP(C192,기출문제!D:G,3,0),"")</f>
        <v/>
      </c>
      <c r="F192" s="30" t="str">
        <f>IFERROR(VLOOKUP(C192,기출문제!D:G,4,0),"")</f>
        <v/>
      </c>
      <c r="G192" s="31" t="str">
        <f t="shared" si="2"/>
        <v/>
      </c>
      <c r="J192" s="23"/>
    </row>
    <row r="193" spans="2:10" s="21" customFormat="1" x14ac:dyDescent="0.3">
      <c r="B193" s="17">
        <v>186</v>
      </c>
      <c r="C193" s="27" t="s">
        <v>723</v>
      </c>
      <c r="D193" s="17"/>
      <c r="E193" s="29" t="str">
        <f>IFERROR(VLOOKUP(C193,기출문제!D:G,3,0),"")</f>
        <v/>
      </c>
      <c r="F193" s="30" t="str">
        <f>IFERROR(VLOOKUP(C193,기출문제!D:G,4,0),"")</f>
        <v/>
      </c>
      <c r="G193" s="31" t="str">
        <f t="shared" si="2"/>
        <v/>
      </c>
      <c r="J193" s="23"/>
    </row>
    <row r="194" spans="2:10" s="21" customFormat="1" x14ac:dyDescent="0.3">
      <c r="B194" s="17">
        <v>187</v>
      </c>
      <c r="C194" s="27" t="s">
        <v>723</v>
      </c>
      <c r="D194" s="17"/>
      <c r="E194" s="29" t="str">
        <f>IFERROR(VLOOKUP(C194,기출문제!D:G,3,0),"")</f>
        <v/>
      </c>
      <c r="F194" s="30" t="str">
        <f>IFERROR(VLOOKUP(C194,기출문제!D:G,4,0),"")</f>
        <v/>
      </c>
      <c r="G194" s="31" t="str">
        <f t="shared" si="2"/>
        <v/>
      </c>
      <c r="J194" s="23"/>
    </row>
    <row r="195" spans="2:10" s="21" customFormat="1" x14ac:dyDescent="0.3">
      <c r="B195" s="17">
        <v>188</v>
      </c>
      <c r="C195" s="27" t="s">
        <v>723</v>
      </c>
      <c r="D195" s="17"/>
      <c r="E195" s="29" t="str">
        <f>IFERROR(VLOOKUP(C195,기출문제!D:G,3,0),"")</f>
        <v/>
      </c>
      <c r="F195" s="30" t="str">
        <f>IFERROR(VLOOKUP(C195,기출문제!D:G,4,0),"")</f>
        <v/>
      </c>
      <c r="G195" s="31" t="str">
        <f t="shared" si="2"/>
        <v/>
      </c>
      <c r="J195" s="23"/>
    </row>
    <row r="196" spans="2:10" s="21" customFormat="1" x14ac:dyDescent="0.3">
      <c r="B196" s="17">
        <v>189</v>
      </c>
      <c r="C196" s="27" t="s">
        <v>723</v>
      </c>
      <c r="D196" s="17"/>
      <c r="E196" s="29" t="str">
        <f>IFERROR(VLOOKUP(C196,기출문제!D:G,3,0),"")</f>
        <v/>
      </c>
      <c r="F196" s="30" t="str">
        <f>IFERROR(VLOOKUP(C196,기출문제!D:G,4,0),"")</f>
        <v/>
      </c>
      <c r="G196" s="31" t="str">
        <f t="shared" si="2"/>
        <v/>
      </c>
      <c r="J196" s="23"/>
    </row>
    <row r="197" spans="2:10" s="21" customFormat="1" x14ac:dyDescent="0.3">
      <c r="B197" s="17">
        <v>190</v>
      </c>
      <c r="C197" s="27" t="s">
        <v>723</v>
      </c>
      <c r="D197" s="17"/>
      <c r="E197" s="29" t="str">
        <f>IFERROR(VLOOKUP(C197,기출문제!D:G,3,0),"")</f>
        <v/>
      </c>
      <c r="F197" s="30" t="str">
        <f>IFERROR(VLOOKUP(C197,기출문제!D:G,4,0),"")</f>
        <v/>
      </c>
      <c r="G197" s="31" t="str">
        <f t="shared" si="2"/>
        <v/>
      </c>
      <c r="J197" s="23"/>
    </row>
    <row r="198" spans="2:10" s="21" customFormat="1" x14ac:dyDescent="0.3">
      <c r="B198" s="17">
        <v>191</v>
      </c>
      <c r="C198" s="27" t="s">
        <v>723</v>
      </c>
      <c r="D198" s="17"/>
      <c r="E198" s="29" t="str">
        <f>IFERROR(VLOOKUP(C198,기출문제!D:G,3,0),"")</f>
        <v/>
      </c>
      <c r="F198" s="30" t="str">
        <f>IFERROR(VLOOKUP(C198,기출문제!D:G,4,0),"")</f>
        <v/>
      </c>
      <c r="G198" s="31" t="str">
        <f t="shared" si="2"/>
        <v/>
      </c>
      <c r="J198" s="23"/>
    </row>
    <row r="199" spans="2:10" s="21" customFormat="1" x14ac:dyDescent="0.3">
      <c r="B199" s="17">
        <v>192</v>
      </c>
      <c r="C199" s="27" t="s">
        <v>723</v>
      </c>
      <c r="D199" s="17"/>
      <c r="E199" s="29" t="str">
        <f>IFERROR(VLOOKUP(C199,기출문제!D:G,3,0),"")</f>
        <v/>
      </c>
      <c r="F199" s="30" t="str">
        <f>IFERROR(VLOOKUP(C199,기출문제!D:G,4,0),"")</f>
        <v/>
      </c>
      <c r="G199" s="31" t="str">
        <f t="shared" si="2"/>
        <v/>
      </c>
      <c r="J199" s="23"/>
    </row>
    <row r="200" spans="2:10" s="21" customFormat="1" x14ac:dyDescent="0.3">
      <c r="B200" s="17">
        <v>193</v>
      </c>
      <c r="C200" s="27" t="s">
        <v>723</v>
      </c>
      <c r="D200" s="17"/>
      <c r="E200" s="29" t="str">
        <f>IFERROR(VLOOKUP(C200,기출문제!D:G,3,0),"")</f>
        <v/>
      </c>
      <c r="F200" s="30" t="str">
        <f>IFERROR(VLOOKUP(C200,기출문제!D:G,4,0),"")</f>
        <v/>
      </c>
      <c r="G200" s="31" t="str">
        <f t="shared" si="2"/>
        <v/>
      </c>
      <c r="J200" s="23"/>
    </row>
    <row r="201" spans="2:10" s="21" customFormat="1" x14ac:dyDescent="0.3">
      <c r="B201" s="17">
        <v>194</v>
      </c>
      <c r="C201" s="27" t="s">
        <v>723</v>
      </c>
      <c r="D201" s="17"/>
      <c r="E201" s="29" t="str">
        <f>IFERROR(VLOOKUP(C201,기출문제!D:G,3,0),"")</f>
        <v/>
      </c>
      <c r="F201" s="30" t="str">
        <f>IFERROR(VLOOKUP(C201,기출문제!D:G,4,0),"")</f>
        <v/>
      </c>
      <c r="G201" s="31" t="str">
        <f t="shared" ref="G201:G264" si="3">IF(D201="","",IF(D201=F201,"O", "X"))</f>
        <v/>
      </c>
      <c r="J201" s="23"/>
    </row>
    <row r="202" spans="2:10" s="21" customFormat="1" x14ac:dyDescent="0.3">
      <c r="B202" s="17">
        <v>195</v>
      </c>
      <c r="C202" s="27" t="s">
        <v>723</v>
      </c>
      <c r="D202" s="17"/>
      <c r="E202" s="29" t="str">
        <f>IFERROR(VLOOKUP(C202,기출문제!D:G,3,0),"")</f>
        <v/>
      </c>
      <c r="F202" s="30" t="str">
        <f>IFERROR(VLOOKUP(C202,기출문제!D:G,4,0),"")</f>
        <v/>
      </c>
      <c r="G202" s="31" t="str">
        <f t="shared" si="3"/>
        <v/>
      </c>
      <c r="J202" s="23"/>
    </row>
    <row r="203" spans="2:10" s="21" customFormat="1" x14ac:dyDescent="0.3">
      <c r="B203" s="17">
        <v>196</v>
      </c>
      <c r="C203" s="27" t="s">
        <v>723</v>
      </c>
      <c r="D203" s="17"/>
      <c r="E203" s="29" t="str">
        <f>IFERROR(VLOOKUP(C203,기출문제!D:G,3,0),"")</f>
        <v/>
      </c>
      <c r="F203" s="30" t="str">
        <f>IFERROR(VLOOKUP(C203,기출문제!D:G,4,0),"")</f>
        <v/>
      </c>
      <c r="G203" s="31" t="str">
        <f t="shared" si="3"/>
        <v/>
      </c>
      <c r="J203" s="23"/>
    </row>
    <row r="204" spans="2:10" s="21" customFormat="1" x14ac:dyDescent="0.3">
      <c r="B204" s="17">
        <v>197</v>
      </c>
      <c r="C204" s="27" t="s">
        <v>723</v>
      </c>
      <c r="D204" s="17"/>
      <c r="E204" s="29" t="str">
        <f>IFERROR(VLOOKUP(C204,기출문제!D:G,3,0),"")</f>
        <v/>
      </c>
      <c r="F204" s="30" t="str">
        <f>IFERROR(VLOOKUP(C204,기출문제!D:G,4,0),"")</f>
        <v/>
      </c>
      <c r="G204" s="31" t="str">
        <f t="shared" si="3"/>
        <v/>
      </c>
      <c r="J204" s="23"/>
    </row>
    <row r="205" spans="2:10" s="21" customFormat="1" x14ac:dyDescent="0.3">
      <c r="B205" s="17">
        <v>198</v>
      </c>
      <c r="C205" s="27" t="s">
        <v>723</v>
      </c>
      <c r="D205" s="17"/>
      <c r="E205" s="29" t="str">
        <f>IFERROR(VLOOKUP(C205,기출문제!D:G,3,0),"")</f>
        <v/>
      </c>
      <c r="F205" s="30" t="str">
        <f>IFERROR(VLOOKUP(C205,기출문제!D:G,4,0),"")</f>
        <v/>
      </c>
      <c r="G205" s="31" t="str">
        <f t="shared" si="3"/>
        <v/>
      </c>
      <c r="J205" s="23"/>
    </row>
    <row r="206" spans="2:10" s="21" customFormat="1" x14ac:dyDescent="0.3">
      <c r="B206" s="17">
        <v>199</v>
      </c>
      <c r="C206" s="27" t="s">
        <v>723</v>
      </c>
      <c r="D206" s="17"/>
      <c r="E206" s="29" t="str">
        <f>IFERROR(VLOOKUP(C206,기출문제!D:G,3,0),"")</f>
        <v/>
      </c>
      <c r="F206" s="30" t="str">
        <f>IFERROR(VLOOKUP(C206,기출문제!D:G,4,0),"")</f>
        <v/>
      </c>
      <c r="G206" s="31" t="str">
        <f t="shared" si="3"/>
        <v/>
      </c>
      <c r="J206" s="23"/>
    </row>
    <row r="207" spans="2:10" s="21" customFormat="1" x14ac:dyDescent="0.3">
      <c r="B207" s="17">
        <v>200</v>
      </c>
      <c r="C207" s="27" t="s">
        <v>723</v>
      </c>
      <c r="D207" s="17"/>
      <c r="E207" s="29" t="str">
        <f>IFERROR(VLOOKUP(C207,기출문제!D:G,3,0),"")</f>
        <v/>
      </c>
      <c r="F207" s="30" t="str">
        <f>IFERROR(VLOOKUP(C207,기출문제!D:G,4,0),"")</f>
        <v/>
      </c>
      <c r="G207" s="31" t="str">
        <f t="shared" si="3"/>
        <v/>
      </c>
      <c r="J207" s="23"/>
    </row>
    <row r="208" spans="2:10" s="21" customFormat="1" x14ac:dyDescent="0.3">
      <c r="B208" s="17">
        <v>201</v>
      </c>
      <c r="C208" s="27" t="s">
        <v>723</v>
      </c>
      <c r="D208" s="17"/>
      <c r="E208" s="29" t="str">
        <f>IFERROR(VLOOKUP(C208,기출문제!D:G,3,0),"")</f>
        <v/>
      </c>
      <c r="F208" s="30" t="str">
        <f>IFERROR(VLOOKUP(C208,기출문제!D:G,4,0),"")</f>
        <v/>
      </c>
      <c r="G208" s="31" t="str">
        <f t="shared" si="3"/>
        <v/>
      </c>
      <c r="J208" s="23"/>
    </row>
    <row r="209" spans="2:10" s="21" customFormat="1" x14ac:dyDescent="0.3">
      <c r="B209" s="17">
        <v>202</v>
      </c>
      <c r="C209" s="27" t="s">
        <v>723</v>
      </c>
      <c r="D209" s="17"/>
      <c r="E209" s="29" t="str">
        <f>IFERROR(VLOOKUP(C209,기출문제!D:G,3,0),"")</f>
        <v/>
      </c>
      <c r="F209" s="30" t="str">
        <f>IFERROR(VLOOKUP(C209,기출문제!D:G,4,0),"")</f>
        <v/>
      </c>
      <c r="G209" s="31" t="str">
        <f t="shared" si="3"/>
        <v/>
      </c>
      <c r="J209" s="23"/>
    </row>
    <row r="210" spans="2:10" s="21" customFormat="1" x14ac:dyDescent="0.3">
      <c r="B210" s="17">
        <v>203</v>
      </c>
      <c r="C210" s="27" t="s">
        <v>723</v>
      </c>
      <c r="D210" s="17"/>
      <c r="E210" s="29" t="str">
        <f>IFERROR(VLOOKUP(C210,기출문제!D:G,3,0),"")</f>
        <v/>
      </c>
      <c r="F210" s="30" t="str">
        <f>IFERROR(VLOOKUP(C210,기출문제!D:G,4,0),"")</f>
        <v/>
      </c>
      <c r="G210" s="31" t="str">
        <f t="shared" si="3"/>
        <v/>
      </c>
      <c r="J210" s="23"/>
    </row>
    <row r="211" spans="2:10" s="21" customFormat="1" x14ac:dyDescent="0.3">
      <c r="B211" s="17">
        <v>204</v>
      </c>
      <c r="C211" s="27" t="s">
        <v>723</v>
      </c>
      <c r="D211" s="17"/>
      <c r="E211" s="29" t="str">
        <f>IFERROR(VLOOKUP(C211,기출문제!D:G,3,0),"")</f>
        <v/>
      </c>
      <c r="F211" s="30" t="str">
        <f>IFERROR(VLOOKUP(C211,기출문제!D:G,4,0),"")</f>
        <v/>
      </c>
      <c r="G211" s="31" t="str">
        <f t="shared" si="3"/>
        <v/>
      </c>
      <c r="J211" s="23"/>
    </row>
    <row r="212" spans="2:10" s="21" customFormat="1" x14ac:dyDescent="0.3">
      <c r="B212" s="17">
        <v>205</v>
      </c>
      <c r="C212" s="27" t="s">
        <v>723</v>
      </c>
      <c r="D212" s="17"/>
      <c r="E212" s="29" t="str">
        <f>IFERROR(VLOOKUP(C212,기출문제!D:G,3,0),"")</f>
        <v/>
      </c>
      <c r="F212" s="30" t="str">
        <f>IFERROR(VLOOKUP(C212,기출문제!D:G,4,0),"")</f>
        <v/>
      </c>
      <c r="G212" s="31" t="str">
        <f t="shared" si="3"/>
        <v/>
      </c>
      <c r="J212" s="23"/>
    </row>
    <row r="213" spans="2:10" s="21" customFormat="1" x14ac:dyDescent="0.3">
      <c r="B213" s="17">
        <v>206</v>
      </c>
      <c r="C213" s="27" t="s">
        <v>723</v>
      </c>
      <c r="D213" s="17"/>
      <c r="E213" s="29" t="str">
        <f>IFERROR(VLOOKUP(C213,기출문제!D:G,3,0),"")</f>
        <v/>
      </c>
      <c r="F213" s="30" t="str">
        <f>IFERROR(VLOOKUP(C213,기출문제!D:G,4,0),"")</f>
        <v/>
      </c>
      <c r="G213" s="31" t="str">
        <f t="shared" si="3"/>
        <v/>
      </c>
      <c r="J213" s="23"/>
    </row>
    <row r="214" spans="2:10" s="21" customFormat="1" x14ac:dyDescent="0.3">
      <c r="B214" s="17">
        <v>207</v>
      </c>
      <c r="C214" s="27" t="s">
        <v>723</v>
      </c>
      <c r="D214" s="17"/>
      <c r="E214" s="29" t="str">
        <f>IFERROR(VLOOKUP(C214,기출문제!D:G,3,0),"")</f>
        <v/>
      </c>
      <c r="F214" s="30" t="str">
        <f>IFERROR(VLOOKUP(C214,기출문제!D:G,4,0),"")</f>
        <v/>
      </c>
      <c r="G214" s="31" t="str">
        <f t="shared" si="3"/>
        <v/>
      </c>
      <c r="J214" s="23"/>
    </row>
    <row r="215" spans="2:10" s="21" customFormat="1" x14ac:dyDescent="0.3">
      <c r="B215" s="17">
        <v>208</v>
      </c>
      <c r="C215" s="27" t="s">
        <v>723</v>
      </c>
      <c r="D215" s="17"/>
      <c r="E215" s="29" t="str">
        <f>IFERROR(VLOOKUP(C215,기출문제!D:G,3,0),"")</f>
        <v/>
      </c>
      <c r="F215" s="30" t="str">
        <f>IFERROR(VLOOKUP(C215,기출문제!D:G,4,0),"")</f>
        <v/>
      </c>
      <c r="G215" s="31" t="str">
        <f t="shared" si="3"/>
        <v/>
      </c>
      <c r="J215" s="23"/>
    </row>
    <row r="216" spans="2:10" s="21" customFormat="1" x14ac:dyDescent="0.3">
      <c r="B216" s="17">
        <v>209</v>
      </c>
      <c r="C216" s="27" t="s">
        <v>723</v>
      </c>
      <c r="D216" s="17"/>
      <c r="E216" s="29" t="str">
        <f>IFERROR(VLOOKUP(C216,기출문제!D:G,3,0),"")</f>
        <v/>
      </c>
      <c r="F216" s="30" t="str">
        <f>IFERROR(VLOOKUP(C216,기출문제!D:G,4,0),"")</f>
        <v/>
      </c>
      <c r="G216" s="31" t="str">
        <f t="shared" si="3"/>
        <v/>
      </c>
      <c r="J216" s="23"/>
    </row>
    <row r="217" spans="2:10" s="21" customFormat="1" x14ac:dyDescent="0.3">
      <c r="B217" s="17">
        <v>210</v>
      </c>
      <c r="C217" s="27" t="s">
        <v>723</v>
      </c>
      <c r="D217" s="17"/>
      <c r="E217" s="29" t="str">
        <f>IFERROR(VLOOKUP(C217,기출문제!D:G,3,0),"")</f>
        <v/>
      </c>
      <c r="F217" s="30" t="str">
        <f>IFERROR(VLOOKUP(C217,기출문제!D:G,4,0),"")</f>
        <v/>
      </c>
      <c r="G217" s="31" t="str">
        <f t="shared" si="3"/>
        <v/>
      </c>
      <c r="J217" s="23"/>
    </row>
    <row r="218" spans="2:10" s="21" customFormat="1" x14ac:dyDescent="0.3">
      <c r="B218" s="17">
        <v>211</v>
      </c>
      <c r="C218" s="27" t="s">
        <v>723</v>
      </c>
      <c r="D218" s="17"/>
      <c r="E218" s="29" t="str">
        <f>IFERROR(VLOOKUP(C218,기출문제!D:G,3,0),"")</f>
        <v/>
      </c>
      <c r="F218" s="30" t="str">
        <f>IFERROR(VLOOKUP(C218,기출문제!D:G,4,0),"")</f>
        <v/>
      </c>
      <c r="G218" s="31" t="str">
        <f t="shared" si="3"/>
        <v/>
      </c>
      <c r="J218" s="23"/>
    </row>
    <row r="219" spans="2:10" s="21" customFormat="1" x14ac:dyDescent="0.3">
      <c r="B219" s="17">
        <v>212</v>
      </c>
      <c r="C219" s="27" t="s">
        <v>723</v>
      </c>
      <c r="D219" s="17"/>
      <c r="E219" s="29" t="str">
        <f>IFERROR(VLOOKUP(C219,기출문제!D:G,3,0),"")</f>
        <v/>
      </c>
      <c r="F219" s="30" t="str">
        <f>IFERROR(VLOOKUP(C219,기출문제!D:G,4,0),"")</f>
        <v/>
      </c>
      <c r="G219" s="31" t="str">
        <f t="shared" si="3"/>
        <v/>
      </c>
      <c r="J219" s="23"/>
    </row>
    <row r="220" spans="2:10" s="21" customFormat="1" x14ac:dyDescent="0.3">
      <c r="B220" s="17">
        <v>213</v>
      </c>
      <c r="C220" s="27" t="s">
        <v>723</v>
      </c>
      <c r="D220" s="17"/>
      <c r="E220" s="29" t="str">
        <f>IFERROR(VLOOKUP(C220,기출문제!D:G,3,0),"")</f>
        <v/>
      </c>
      <c r="F220" s="30" t="str">
        <f>IFERROR(VLOOKUP(C220,기출문제!D:G,4,0),"")</f>
        <v/>
      </c>
      <c r="G220" s="31" t="str">
        <f t="shared" si="3"/>
        <v/>
      </c>
      <c r="J220" s="23"/>
    </row>
    <row r="221" spans="2:10" s="21" customFormat="1" x14ac:dyDescent="0.3">
      <c r="B221" s="17">
        <v>214</v>
      </c>
      <c r="C221" s="27" t="s">
        <v>723</v>
      </c>
      <c r="D221" s="17"/>
      <c r="E221" s="29" t="str">
        <f>IFERROR(VLOOKUP(C221,기출문제!D:G,3,0),"")</f>
        <v/>
      </c>
      <c r="F221" s="30" t="str">
        <f>IFERROR(VLOOKUP(C221,기출문제!D:G,4,0),"")</f>
        <v/>
      </c>
      <c r="G221" s="31" t="str">
        <f t="shared" si="3"/>
        <v/>
      </c>
      <c r="J221" s="23"/>
    </row>
    <row r="222" spans="2:10" s="21" customFormat="1" x14ac:dyDescent="0.3">
      <c r="B222" s="17">
        <v>215</v>
      </c>
      <c r="C222" s="27" t="s">
        <v>723</v>
      </c>
      <c r="D222" s="17"/>
      <c r="E222" s="29" t="str">
        <f>IFERROR(VLOOKUP(C222,기출문제!D:G,3,0),"")</f>
        <v/>
      </c>
      <c r="F222" s="30" t="str">
        <f>IFERROR(VLOOKUP(C222,기출문제!D:G,4,0),"")</f>
        <v/>
      </c>
      <c r="G222" s="31" t="str">
        <f t="shared" si="3"/>
        <v/>
      </c>
      <c r="J222" s="23"/>
    </row>
    <row r="223" spans="2:10" s="21" customFormat="1" x14ac:dyDescent="0.3">
      <c r="B223" s="17">
        <v>216</v>
      </c>
      <c r="C223" s="27" t="s">
        <v>723</v>
      </c>
      <c r="D223" s="17"/>
      <c r="E223" s="29" t="str">
        <f>IFERROR(VLOOKUP(C223,기출문제!D:G,3,0),"")</f>
        <v/>
      </c>
      <c r="F223" s="30" t="str">
        <f>IFERROR(VLOOKUP(C223,기출문제!D:G,4,0),"")</f>
        <v/>
      </c>
      <c r="G223" s="31" t="str">
        <f t="shared" si="3"/>
        <v/>
      </c>
      <c r="J223" s="23"/>
    </row>
    <row r="224" spans="2:10" s="21" customFormat="1" x14ac:dyDescent="0.3">
      <c r="B224" s="17">
        <v>217</v>
      </c>
      <c r="C224" s="27" t="s">
        <v>723</v>
      </c>
      <c r="D224" s="17"/>
      <c r="E224" s="29" t="str">
        <f>IFERROR(VLOOKUP(C224,기출문제!D:G,3,0),"")</f>
        <v/>
      </c>
      <c r="F224" s="30" t="str">
        <f>IFERROR(VLOOKUP(C224,기출문제!D:G,4,0),"")</f>
        <v/>
      </c>
      <c r="G224" s="31" t="str">
        <f t="shared" si="3"/>
        <v/>
      </c>
      <c r="J224" s="23"/>
    </row>
    <row r="225" spans="2:10" s="21" customFormat="1" x14ac:dyDescent="0.3">
      <c r="B225" s="17">
        <v>218</v>
      </c>
      <c r="C225" s="27" t="s">
        <v>723</v>
      </c>
      <c r="D225" s="17"/>
      <c r="E225" s="29" t="str">
        <f>IFERROR(VLOOKUP(C225,기출문제!D:G,3,0),"")</f>
        <v/>
      </c>
      <c r="F225" s="30" t="str">
        <f>IFERROR(VLOOKUP(C225,기출문제!D:G,4,0),"")</f>
        <v/>
      </c>
      <c r="G225" s="31" t="str">
        <f t="shared" si="3"/>
        <v/>
      </c>
      <c r="J225" s="23"/>
    </row>
    <row r="226" spans="2:10" s="21" customFormat="1" x14ac:dyDescent="0.3">
      <c r="B226" s="17">
        <v>219</v>
      </c>
      <c r="C226" s="27" t="s">
        <v>723</v>
      </c>
      <c r="D226" s="17"/>
      <c r="E226" s="29" t="str">
        <f>IFERROR(VLOOKUP(C226,기출문제!D:G,3,0),"")</f>
        <v/>
      </c>
      <c r="F226" s="30" t="str">
        <f>IFERROR(VLOOKUP(C226,기출문제!D:G,4,0),"")</f>
        <v/>
      </c>
      <c r="G226" s="31" t="str">
        <f t="shared" si="3"/>
        <v/>
      </c>
      <c r="J226" s="23"/>
    </row>
    <row r="227" spans="2:10" s="21" customFormat="1" x14ac:dyDescent="0.3">
      <c r="B227" s="17">
        <v>220</v>
      </c>
      <c r="C227" s="27" t="s">
        <v>723</v>
      </c>
      <c r="D227" s="17"/>
      <c r="E227" s="29" t="str">
        <f>IFERROR(VLOOKUP(C227,기출문제!D:G,3,0),"")</f>
        <v/>
      </c>
      <c r="F227" s="30" t="str">
        <f>IFERROR(VLOOKUP(C227,기출문제!D:G,4,0),"")</f>
        <v/>
      </c>
      <c r="G227" s="31" t="str">
        <f t="shared" si="3"/>
        <v/>
      </c>
      <c r="J227" s="23"/>
    </row>
    <row r="228" spans="2:10" s="21" customFormat="1" x14ac:dyDescent="0.3">
      <c r="B228" s="17">
        <v>221</v>
      </c>
      <c r="C228" s="27" t="s">
        <v>723</v>
      </c>
      <c r="D228" s="17"/>
      <c r="E228" s="29" t="str">
        <f>IFERROR(VLOOKUP(C228,기출문제!D:G,3,0),"")</f>
        <v/>
      </c>
      <c r="F228" s="30" t="str">
        <f>IFERROR(VLOOKUP(C228,기출문제!D:G,4,0),"")</f>
        <v/>
      </c>
      <c r="G228" s="31" t="str">
        <f t="shared" si="3"/>
        <v/>
      </c>
      <c r="J228" s="23"/>
    </row>
    <row r="229" spans="2:10" s="21" customFormat="1" x14ac:dyDescent="0.3">
      <c r="B229" s="17">
        <v>222</v>
      </c>
      <c r="C229" s="27" t="s">
        <v>723</v>
      </c>
      <c r="D229" s="17"/>
      <c r="E229" s="29" t="str">
        <f>IFERROR(VLOOKUP(C229,기출문제!D:G,3,0),"")</f>
        <v/>
      </c>
      <c r="F229" s="30" t="str">
        <f>IFERROR(VLOOKUP(C229,기출문제!D:G,4,0),"")</f>
        <v/>
      </c>
      <c r="G229" s="31" t="str">
        <f t="shared" si="3"/>
        <v/>
      </c>
      <c r="J229" s="23"/>
    </row>
    <row r="230" spans="2:10" s="21" customFormat="1" x14ac:dyDescent="0.3">
      <c r="B230" s="17">
        <v>223</v>
      </c>
      <c r="C230" s="27" t="s">
        <v>723</v>
      </c>
      <c r="D230" s="17"/>
      <c r="E230" s="29" t="str">
        <f>IFERROR(VLOOKUP(C230,기출문제!D:G,3,0),"")</f>
        <v/>
      </c>
      <c r="F230" s="30" t="str">
        <f>IFERROR(VLOOKUP(C230,기출문제!D:G,4,0),"")</f>
        <v/>
      </c>
      <c r="G230" s="31" t="str">
        <f t="shared" si="3"/>
        <v/>
      </c>
      <c r="J230" s="23"/>
    </row>
    <row r="231" spans="2:10" s="21" customFormat="1" x14ac:dyDescent="0.3">
      <c r="B231" s="17">
        <v>224</v>
      </c>
      <c r="C231" s="27" t="s">
        <v>723</v>
      </c>
      <c r="D231" s="17"/>
      <c r="E231" s="29" t="str">
        <f>IFERROR(VLOOKUP(C231,기출문제!D:G,3,0),"")</f>
        <v/>
      </c>
      <c r="F231" s="30" t="str">
        <f>IFERROR(VLOOKUP(C231,기출문제!D:G,4,0),"")</f>
        <v/>
      </c>
      <c r="G231" s="31" t="str">
        <f t="shared" si="3"/>
        <v/>
      </c>
      <c r="J231" s="23"/>
    </row>
    <row r="232" spans="2:10" s="21" customFormat="1" x14ac:dyDescent="0.3">
      <c r="B232" s="17">
        <v>225</v>
      </c>
      <c r="C232" s="27" t="s">
        <v>723</v>
      </c>
      <c r="D232" s="17"/>
      <c r="E232" s="29" t="str">
        <f>IFERROR(VLOOKUP(C232,기출문제!D:G,3,0),"")</f>
        <v/>
      </c>
      <c r="F232" s="30" t="str">
        <f>IFERROR(VLOOKUP(C232,기출문제!D:G,4,0),"")</f>
        <v/>
      </c>
      <c r="G232" s="31" t="str">
        <f t="shared" si="3"/>
        <v/>
      </c>
      <c r="J232" s="23"/>
    </row>
    <row r="233" spans="2:10" s="21" customFormat="1" x14ac:dyDescent="0.3">
      <c r="B233" s="17">
        <v>226</v>
      </c>
      <c r="C233" s="27" t="s">
        <v>723</v>
      </c>
      <c r="D233" s="17"/>
      <c r="E233" s="29" t="str">
        <f>IFERROR(VLOOKUP(C233,기출문제!D:G,3,0),"")</f>
        <v/>
      </c>
      <c r="F233" s="30" t="str">
        <f>IFERROR(VLOOKUP(C233,기출문제!D:G,4,0),"")</f>
        <v/>
      </c>
      <c r="G233" s="31" t="str">
        <f t="shared" si="3"/>
        <v/>
      </c>
      <c r="J233" s="23"/>
    </row>
    <row r="234" spans="2:10" s="21" customFormat="1" x14ac:dyDescent="0.3">
      <c r="B234" s="17">
        <v>227</v>
      </c>
      <c r="C234" s="27" t="s">
        <v>723</v>
      </c>
      <c r="D234" s="17"/>
      <c r="E234" s="29" t="str">
        <f>IFERROR(VLOOKUP(C234,기출문제!D:G,3,0),"")</f>
        <v/>
      </c>
      <c r="F234" s="30" t="str">
        <f>IFERROR(VLOOKUP(C234,기출문제!D:G,4,0),"")</f>
        <v/>
      </c>
      <c r="G234" s="31" t="str">
        <f t="shared" si="3"/>
        <v/>
      </c>
      <c r="J234" s="23"/>
    </row>
    <row r="235" spans="2:10" s="21" customFormat="1" x14ac:dyDescent="0.3">
      <c r="B235" s="17">
        <v>228</v>
      </c>
      <c r="C235" s="27" t="s">
        <v>723</v>
      </c>
      <c r="D235" s="17"/>
      <c r="E235" s="29" t="str">
        <f>IFERROR(VLOOKUP(C235,기출문제!D:G,3,0),"")</f>
        <v/>
      </c>
      <c r="F235" s="30" t="str">
        <f>IFERROR(VLOOKUP(C235,기출문제!D:G,4,0),"")</f>
        <v/>
      </c>
      <c r="G235" s="31" t="str">
        <f t="shared" si="3"/>
        <v/>
      </c>
      <c r="J235" s="23"/>
    </row>
    <row r="236" spans="2:10" s="21" customFormat="1" x14ac:dyDescent="0.3">
      <c r="B236" s="17">
        <v>229</v>
      </c>
      <c r="C236" s="27" t="s">
        <v>723</v>
      </c>
      <c r="D236" s="17"/>
      <c r="E236" s="29" t="str">
        <f>IFERROR(VLOOKUP(C236,기출문제!D:G,3,0),"")</f>
        <v/>
      </c>
      <c r="F236" s="30" t="str">
        <f>IFERROR(VLOOKUP(C236,기출문제!D:G,4,0),"")</f>
        <v/>
      </c>
      <c r="G236" s="31" t="str">
        <f t="shared" si="3"/>
        <v/>
      </c>
      <c r="J236" s="23"/>
    </row>
    <row r="237" spans="2:10" s="21" customFormat="1" x14ac:dyDescent="0.3">
      <c r="B237" s="17">
        <v>230</v>
      </c>
      <c r="C237" s="27" t="s">
        <v>723</v>
      </c>
      <c r="D237" s="17"/>
      <c r="E237" s="29" t="str">
        <f>IFERROR(VLOOKUP(C237,기출문제!D:G,3,0),"")</f>
        <v/>
      </c>
      <c r="F237" s="30" t="str">
        <f>IFERROR(VLOOKUP(C237,기출문제!D:G,4,0),"")</f>
        <v/>
      </c>
      <c r="G237" s="31" t="str">
        <f t="shared" si="3"/>
        <v/>
      </c>
      <c r="J237" s="23"/>
    </row>
    <row r="238" spans="2:10" s="21" customFormat="1" x14ac:dyDescent="0.3">
      <c r="B238" s="17">
        <v>231</v>
      </c>
      <c r="C238" s="27" t="s">
        <v>723</v>
      </c>
      <c r="D238" s="17"/>
      <c r="E238" s="29" t="str">
        <f>IFERROR(VLOOKUP(C238,기출문제!D:G,3,0),"")</f>
        <v/>
      </c>
      <c r="F238" s="30" t="str">
        <f>IFERROR(VLOOKUP(C238,기출문제!D:G,4,0),"")</f>
        <v/>
      </c>
      <c r="G238" s="31" t="str">
        <f t="shared" si="3"/>
        <v/>
      </c>
      <c r="J238" s="23"/>
    </row>
    <row r="239" spans="2:10" s="21" customFormat="1" x14ac:dyDescent="0.3">
      <c r="B239" s="17">
        <v>232</v>
      </c>
      <c r="C239" s="27" t="s">
        <v>723</v>
      </c>
      <c r="D239" s="17"/>
      <c r="E239" s="29" t="str">
        <f>IFERROR(VLOOKUP(C239,기출문제!D:G,3,0),"")</f>
        <v/>
      </c>
      <c r="F239" s="30" t="str">
        <f>IFERROR(VLOOKUP(C239,기출문제!D:G,4,0),"")</f>
        <v/>
      </c>
      <c r="G239" s="31" t="str">
        <f t="shared" si="3"/>
        <v/>
      </c>
      <c r="J239" s="23"/>
    </row>
    <row r="240" spans="2:10" s="21" customFormat="1" x14ac:dyDescent="0.3">
      <c r="B240" s="17">
        <v>233</v>
      </c>
      <c r="C240" s="27" t="s">
        <v>723</v>
      </c>
      <c r="D240" s="17"/>
      <c r="E240" s="29" t="str">
        <f>IFERROR(VLOOKUP(C240,기출문제!D:G,3,0),"")</f>
        <v/>
      </c>
      <c r="F240" s="30" t="str">
        <f>IFERROR(VLOOKUP(C240,기출문제!D:G,4,0),"")</f>
        <v/>
      </c>
      <c r="G240" s="31" t="str">
        <f t="shared" si="3"/>
        <v/>
      </c>
      <c r="J240" s="23"/>
    </row>
    <row r="241" spans="2:10" s="21" customFormat="1" x14ac:dyDescent="0.3">
      <c r="B241" s="17">
        <v>234</v>
      </c>
      <c r="C241" s="27" t="s">
        <v>723</v>
      </c>
      <c r="D241" s="17"/>
      <c r="E241" s="29" t="str">
        <f>IFERROR(VLOOKUP(C241,기출문제!D:G,3,0),"")</f>
        <v/>
      </c>
      <c r="F241" s="30" t="str">
        <f>IFERROR(VLOOKUP(C241,기출문제!D:G,4,0),"")</f>
        <v/>
      </c>
      <c r="G241" s="31" t="str">
        <f t="shared" si="3"/>
        <v/>
      </c>
      <c r="J241" s="23"/>
    </row>
    <row r="242" spans="2:10" s="21" customFormat="1" x14ac:dyDescent="0.3">
      <c r="B242" s="17">
        <v>235</v>
      </c>
      <c r="C242" s="27" t="s">
        <v>723</v>
      </c>
      <c r="D242" s="17"/>
      <c r="E242" s="29" t="str">
        <f>IFERROR(VLOOKUP(C242,기출문제!D:G,3,0),"")</f>
        <v/>
      </c>
      <c r="F242" s="30" t="str">
        <f>IFERROR(VLOOKUP(C242,기출문제!D:G,4,0),"")</f>
        <v/>
      </c>
      <c r="G242" s="31" t="str">
        <f t="shared" si="3"/>
        <v/>
      </c>
      <c r="J242" s="23"/>
    </row>
    <row r="243" spans="2:10" s="21" customFormat="1" x14ac:dyDescent="0.3">
      <c r="B243" s="17">
        <v>236</v>
      </c>
      <c r="C243" s="27" t="s">
        <v>723</v>
      </c>
      <c r="D243" s="17"/>
      <c r="E243" s="29" t="str">
        <f>IFERROR(VLOOKUP(C243,기출문제!D:G,3,0),"")</f>
        <v/>
      </c>
      <c r="F243" s="30" t="str">
        <f>IFERROR(VLOOKUP(C243,기출문제!D:G,4,0),"")</f>
        <v/>
      </c>
      <c r="G243" s="31" t="str">
        <f t="shared" si="3"/>
        <v/>
      </c>
      <c r="J243" s="23"/>
    </row>
    <row r="244" spans="2:10" s="21" customFormat="1" x14ac:dyDescent="0.3">
      <c r="B244" s="17">
        <v>237</v>
      </c>
      <c r="C244" s="27" t="s">
        <v>723</v>
      </c>
      <c r="D244" s="17"/>
      <c r="E244" s="29" t="str">
        <f>IFERROR(VLOOKUP(C244,기출문제!D:G,3,0),"")</f>
        <v/>
      </c>
      <c r="F244" s="30" t="str">
        <f>IFERROR(VLOOKUP(C244,기출문제!D:G,4,0),"")</f>
        <v/>
      </c>
      <c r="G244" s="31" t="str">
        <f t="shared" si="3"/>
        <v/>
      </c>
      <c r="J244" s="23"/>
    </row>
    <row r="245" spans="2:10" s="21" customFormat="1" x14ac:dyDescent="0.3">
      <c r="B245" s="17">
        <v>238</v>
      </c>
      <c r="C245" s="27" t="s">
        <v>723</v>
      </c>
      <c r="D245" s="17"/>
      <c r="E245" s="29" t="str">
        <f>IFERROR(VLOOKUP(C245,기출문제!D:G,3,0),"")</f>
        <v/>
      </c>
      <c r="F245" s="30" t="str">
        <f>IFERROR(VLOOKUP(C245,기출문제!D:G,4,0),"")</f>
        <v/>
      </c>
      <c r="G245" s="31" t="str">
        <f t="shared" si="3"/>
        <v/>
      </c>
      <c r="J245" s="23"/>
    </row>
    <row r="246" spans="2:10" s="21" customFormat="1" x14ac:dyDescent="0.3">
      <c r="B246" s="17">
        <v>239</v>
      </c>
      <c r="C246" s="27" t="s">
        <v>723</v>
      </c>
      <c r="D246" s="17"/>
      <c r="E246" s="29" t="str">
        <f>IFERROR(VLOOKUP(C246,기출문제!D:G,3,0),"")</f>
        <v/>
      </c>
      <c r="F246" s="30" t="str">
        <f>IFERROR(VLOOKUP(C246,기출문제!D:G,4,0),"")</f>
        <v/>
      </c>
      <c r="G246" s="31" t="str">
        <f t="shared" si="3"/>
        <v/>
      </c>
      <c r="J246" s="23"/>
    </row>
    <row r="247" spans="2:10" s="21" customFormat="1" x14ac:dyDescent="0.3">
      <c r="B247" s="17">
        <v>240</v>
      </c>
      <c r="C247" s="27" t="s">
        <v>723</v>
      </c>
      <c r="D247" s="17"/>
      <c r="E247" s="29" t="str">
        <f>IFERROR(VLOOKUP(C247,기출문제!D:G,3,0),"")</f>
        <v/>
      </c>
      <c r="F247" s="30" t="str">
        <f>IFERROR(VLOOKUP(C247,기출문제!D:G,4,0),"")</f>
        <v/>
      </c>
      <c r="G247" s="31" t="str">
        <f t="shared" si="3"/>
        <v/>
      </c>
      <c r="J247" s="23"/>
    </row>
    <row r="248" spans="2:10" s="21" customFormat="1" x14ac:dyDescent="0.3">
      <c r="B248" s="17">
        <v>241</v>
      </c>
      <c r="C248" s="27" t="s">
        <v>723</v>
      </c>
      <c r="D248" s="17"/>
      <c r="E248" s="29" t="str">
        <f>IFERROR(VLOOKUP(C248,기출문제!D:G,3,0),"")</f>
        <v/>
      </c>
      <c r="F248" s="30" t="str">
        <f>IFERROR(VLOOKUP(C248,기출문제!D:G,4,0),"")</f>
        <v/>
      </c>
      <c r="G248" s="31" t="str">
        <f t="shared" si="3"/>
        <v/>
      </c>
      <c r="J248" s="23"/>
    </row>
    <row r="249" spans="2:10" s="21" customFormat="1" x14ac:dyDescent="0.3">
      <c r="B249" s="17">
        <v>242</v>
      </c>
      <c r="C249" s="27" t="s">
        <v>723</v>
      </c>
      <c r="D249" s="17"/>
      <c r="E249" s="29" t="str">
        <f>IFERROR(VLOOKUP(C249,기출문제!D:G,3,0),"")</f>
        <v/>
      </c>
      <c r="F249" s="30" t="str">
        <f>IFERROR(VLOOKUP(C249,기출문제!D:G,4,0),"")</f>
        <v/>
      </c>
      <c r="G249" s="31" t="str">
        <f t="shared" si="3"/>
        <v/>
      </c>
      <c r="J249" s="23"/>
    </row>
    <row r="250" spans="2:10" s="21" customFormat="1" x14ac:dyDescent="0.3">
      <c r="B250" s="17">
        <v>243</v>
      </c>
      <c r="C250" s="27" t="s">
        <v>723</v>
      </c>
      <c r="D250" s="17"/>
      <c r="E250" s="29" t="str">
        <f>IFERROR(VLOOKUP(C250,기출문제!D:G,3,0),"")</f>
        <v/>
      </c>
      <c r="F250" s="30" t="str">
        <f>IFERROR(VLOOKUP(C250,기출문제!D:G,4,0),"")</f>
        <v/>
      </c>
      <c r="G250" s="31" t="str">
        <f t="shared" si="3"/>
        <v/>
      </c>
      <c r="J250" s="23"/>
    </row>
    <row r="251" spans="2:10" s="21" customFormat="1" x14ac:dyDescent="0.3">
      <c r="B251" s="17">
        <v>244</v>
      </c>
      <c r="C251" s="27" t="s">
        <v>723</v>
      </c>
      <c r="D251" s="17"/>
      <c r="E251" s="29" t="str">
        <f>IFERROR(VLOOKUP(C251,기출문제!D:G,3,0),"")</f>
        <v/>
      </c>
      <c r="F251" s="30" t="str">
        <f>IFERROR(VLOOKUP(C251,기출문제!D:G,4,0),"")</f>
        <v/>
      </c>
      <c r="G251" s="31" t="str">
        <f t="shared" si="3"/>
        <v/>
      </c>
      <c r="J251" s="23"/>
    </row>
    <row r="252" spans="2:10" s="21" customFormat="1" x14ac:dyDescent="0.3">
      <c r="B252" s="17">
        <v>245</v>
      </c>
      <c r="C252" s="27" t="s">
        <v>723</v>
      </c>
      <c r="D252" s="17"/>
      <c r="E252" s="29" t="str">
        <f>IFERROR(VLOOKUP(C252,기출문제!D:G,3,0),"")</f>
        <v/>
      </c>
      <c r="F252" s="30" t="str">
        <f>IFERROR(VLOOKUP(C252,기출문제!D:G,4,0),"")</f>
        <v/>
      </c>
      <c r="G252" s="31" t="str">
        <f t="shared" si="3"/>
        <v/>
      </c>
      <c r="J252" s="23"/>
    </row>
    <row r="253" spans="2:10" s="21" customFormat="1" x14ac:dyDescent="0.3">
      <c r="B253" s="17">
        <v>246</v>
      </c>
      <c r="C253" s="27" t="s">
        <v>723</v>
      </c>
      <c r="D253" s="17"/>
      <c r="E253" s="29" t="str">
        <f>IFERROR(VLOOKUP(C253,기출문제!D:G,3,0),"")</f>
        <v/>
      </c>
      <c r="F253" s="30" t="str">
        <f>IFERROR(VLOOKUP(C253,기출문제!D:G,4,0),"")</f>
        <v/>
      </c>
      <c r="G253" s="31" t="str">
        <f t="shared" si="3"/>
        <v/>
      </c>
      <c r="J253" s="23"/>
    </row>
    <row r="254" spans="2:10" s="21" customFormat="1" x14ac:dyDescent="0.3">
      <c r="B254" s="17">
        <v>247</v>
      </c>
      <c r="C254" s="27" t="s">
        <v>723</v>
      </c>
      <c r="D254" s="17"/>
      <c r="E254" s="29" t="str">
        <f>IFERROR(VLOOKUP(C254,기출문제!D:G,3,0),"")</f>
        <v/>
      </c>
      <c r="F254" s="30" t="str">
        <f>IFERROR(VLOOKUP(C254,기출문제!D:G,4,0),"")</f>
        <v/>
      </c>
      <c r="G254" s="31" t="str">
        <f t="shared" si="3"/>
        <v/>
      </c>
      <c r="J254" s="23"/>
    </row>
    <row r="255" spans="2:10" s="21" customFormat="1" x14ac:dyDescent="0.3">
      <c r="B255" s="17">
        <v>248</v>
      </c>
      <c r="C255" s="27" t="s">
        <v>723</v>
      </c>
      <c r="D255" s="17"/>
      <c r="E255" s="29" t="str">
        <f>IFERROR(VLOOKUP(C255,기출문제!D:G,3,0),"")</f>
        <v/>
      </c>
      <c r="F255" s="30" t="str">
        <f>IFERROR(VLOOKUP(C255,기출문제!D:G,4,0),"")</f>
        <v/>
      </c>
      <c r="G255" s="31" t="str">
        <f t="shared" si="3"/>
        <v/>
      </c>
      <c r="J255" s="23"/>
    </row>
    <row r="256" spans="2:10" s="21" customFormat="1" x14ac:dyDescent="0.3">
      <c r="B256" s="17">
        <v>249</v>
      </c>
      <c r="C256" s="27" t="s">
        <v>723</v>
      </c>
      <c r="D256" s="17"/>
      <c r="E256" s="29" t="str">
        <f>IFERROR(VLOOKUP(C256,기출문제!D:G,3,0),"")</f>
        <v/>
      </c>
      <c r="F256" s="30" t="str">
        <f>IFERROR(VLOOKUP(C256,기출문제!D:G,4,0),"")</f>
        <v/>
      </c>
      <c r="G256" s="31" t="str">
        <f t="shared" si="3"/>
        <v/>
      </c>
      <c r="J256" s="23"/>
    </row>
    <row r="257" spans="2:10" s="21" customFormat="1" x14ac:dyDescent="0.3">
      <c r="B257" s="17">
        <v>250</v>
      </c>
      <c r="C257" s="27" t="s">
        <v>723</v>
      </c>
      <c r="D257" s="17"/>
      <c r="E257" s="29" t="str">
        <f>IFERROR(VLOOKUP(C257,기출문제!D:G,3,0),"")</f>
        <v/>
      </c>
      <c r="F257" s="30" t="str">
        <f>IFERROR(VLOOKUP(C257,기출문제!D:G,4,0),"")</f>
        <v/>
      </c>
      <c r="G257" s="31" t="str">
        <f t="shared" si="3"/>
        <v/>
      </c>
      <c r="J257" s="23"/>
    </row>
    <row r="258" spans="2:10" s="21" customFormat="1" x14ac:dyDescent="0.3">
      <c r="B258" s="17">
        <v>251</v>
      </c>
      <c r="C258" s="27" t="s">
        <v>723</v>
      </c>
      <c r="D258" s="17"/>
      <c r="E258" s="29" t="str">
        <f>IFERROR(VLOOKUP(C258,기출문제!D:G,3,0),"")</f>
        <v/>
      </c>
      <c r="F258" s="30" t="str">
        <f>IFERROR(VLOOKUP(C258,기출문제!D:G,4,0),"")</f>
        <v/>
      </c>
      <c r="G258" s="31" t="str">
        <f t="shared" si="3"/>
        <v/>
      </c>
      <c r="J258" s="23"/>
    </row>
    <row r="259" spans="2:10" s="21" customFormat="1" x14ac:dyDescent="0.3">
      <c r="B259" s="17">
        <v>252</v>
      </c>
      <c r="C259" s="27" t="s">
        <v>723</v>
      </c>
      <c r="D259" s="17"/>
      <c r="E259" s="29" t="str">
        <f>IFERROR(VLOOKUP(C259,기출문제!D:G,3,0),"")</f>
        <v/>
      </c>
      <c r="F259" s="30" t="str">
        <f>IFERROR(VLOOKUP(C259,기출문제!D:G,4,0),"")</f>
        <v/>
      </c>
      <c r="G259" s="31" t="str">
        <f t="shared" si="3"/>
        <v/>
      </c>
      <c r="J259" s="23"/>
    </row>
    <row r="260" spans="2:10" s="21" customFormat="1" x14ac:dyDescent="0.3">
      <c r="B260" s="17">
        <v>253</v>
      </c>
      <c r="C260" s="27" t="s">
        <v>723</v>
      </c>
      <c r="D260" s="17"/>
      <c r="E260" s="29" t="str">
        <f>IFERROR(VLOOKUP(C260,기출문제!D:G,3,0),"")</f>
        <v/>
      </c>
      <c r="F260" s="30" t="str">
        <f>IFERROR(VLOOKUP(C260,기출문제!D:G,4,0),"")</f>
        <v/>
      </c>
      <c r="G260" s="31" t="str">
        <f t="shared" si="3"/>
        <v/>
      </c>
      <c r="J260" s="23"/>
    </row>
    <row r="261" spans="2:10" s="21" customFormat="1" x14ac:dyDescent="0.3">
      <c r="B261" s="17">
        <v>254</v>
      </c>
      <c r="C261" s="27" t="s">
        <v>723</v>
      </c>
      <c r="D261" s="17"/>
      <c r="E261" s="29" t="str">
        <f>IFERROR(VLOOKUP(C261,기출문제!D:G,3,0),"")</f>
        <v/>
      </c>
      <c r="F261" s="30" t="str">
        <f>IFERROR(VLOOKUP(C261,기출문제!D:G,4,0),"")</f>
        <v/>
      </c>
      <c r="G261" s="31" t="str">
        <f t="shared" si="3"/>
        <v/>
      </c>
      <c r="J261" s="23"/>
    </row>
    <row r="262" spans="2:10" s="21" customFormat="1" x14ac:dyDescent="0.3">
      <c r="B262" s="17">
        <v>255</v>
      </c>
      <c r="C262" s="27" t="s">
        <v>723</v>
      </c>
      <c r="D262" s="17"/>
      <c r="E262" s="29" t="str">
        <f>IFERROR(VLOOKUP(C262,기출문제!D:G,3,0),"")</f>
        <v/>
      </c>
      <c r="F262" s="30" t="str">
        <f>IFERROR(VLOOKUP(C262,기출문제!D:G,4,0),"")</f>
        <v/>
      </c>
      <c r="G262" s="31" t="str">
        <f t="shared" si="3"/>
        <v/>
      </c>
      <c r="J262" s="23"/>
    </row>
    <row r="263" spans="2:10" s="21" customFormat="1" x14ac:dyDescent="0.3">
      <c r="B263" s="17">
        <v>256</v>
      </c>
      <c r="C263" s="27" t="s">
        <v>723</v>
      </c>
      <c r="D263" s="17"/>
      <c r="E263" s="29" t="str">
        <f>IFERROR(VLOOKUP(C263,기출문제!D:G,3,0),"")</f>
        <v/>
      </c>
      <c r="F263" s="30" t="str">
        <f>IFERROR(VLOOKUP(C263,기출문제!D:G,4,0),"")</f>
        <v/>
      </c>
      <c r="G263" s="31" t="str">
        <f t="shared" si="3"/>
        <v/>
      </c>
      <c r="J263" s="23"/>
    </row>
    <row r="264" spans="2:10" s="21" customFormat="1" x14ac:dyDescent="0.3">
      <c r="B264" s="17">
        <v>257</v>
      </c>
      <c r="C264" s="27" t="s">
        <v>723</v>
      </c>
      <c r="D264" s="17"/>
      <c r="E264" s="29" t="str">
        <f>IFERROR(VLOOKUP(C264,기출문제!D:G,3,0),"")</f>
        <v/>
      </c>
      <c r="F264" s="30" t="str">
        <f>IFERROR(VLOOKUP(C264,기출문제!D:G,4,0),"")</f>
        <v/>
      </c>
      <c r="G264" s="31" t="str">
        <f t="shared" si="3"/>
        <v/>
      </c>
      <c r="J264" s="23"/>
    </row>
    <row r="265" spans="2:10" s="21" customFormat="1" x14ac:dyDescent="0.3">
      <c r="B265" s="17">
        <v>258</v>
      </c>
      <c r="C265" s="27" t="s">
        <v>723</v>
      </c>
      <c r="D265" s="17"/>
      <c r="E265" s="29" t="str">
        <f>IFERROR(VLOOKUP(C265,기출문제!D:G,3,0),"")</f>
        <v/>
      </c>
      <c r="F265" s="30" t="str">
        <f>IFERROR(VLOOKUP(C265,기출문제!D:G,4,0),"")</f>
        <v/>
      </c>
      <c r="G265" s="31" t="str">
        <f t="shared" ref="G265:G328" si="4">IF(D265="","",IF(D265=F265,"O", "X"))</f>
        <v/>
      </c>
      <c r="J265" s="23"/>
    </row>
    <row r="266" spans="2:10" s="21" customFormat="1" x14ac:dyDescent="0.3">
      <c r="B266" s="17">
        <v>259</v>
      </c>
      <c r="C266" s="27" t="s">
        <v>723</v>
      </c>
      <c r="D266" s="17"/>
      <c r="E266" s="29" t="str">
        <f>IFERROR(VLOOKUP(C266,기출문제!D:G,3,0),"")</f>
        <v/>
      </c>
      <c r="F266" s="30" t="str">
        <f>IFERROR(VLOOKUP(C266,기출문제!D:G,4,0),"")</f>
        <v/>
      </c>
      <c r="G266" s="31" t="str">
        <f t="shared" si="4"/>
        <v/>
      </c>
      <c r="J266" s="23"/>
    </row>
    <row r="267" spans="2:10" s="21" customFormat="1" x14ac:dyDescent="0.3">
      <c r="B267" s="17">
        <v>260</v>
      </c>
      <c r="C267" s="27" t="s">
        <v>723</v>
      </c>
      <c r="D267" s="17"/>
      <c r="E267" s="29" t="str">
        <f>IFERROR(VLOOKUP(C267,기출문제!D:G,3,0),"")</f>
        <v/>
      </c>
      <c r="F267" s="30" t="str">
        <f>IFERROR(VLOOKUP(C267,기출문제!D:G,4,0),"")</f>
        <v/>
      </c>
      <c r="G267" s="31" t="str">
        <f t="shared" si="4"/>
        <v/>
      </c>
      <c r="J267" s="23"/>
    </row>
    <row r="268" spans="2:10" s="21" customFormat="1" x14ac:dyDescent="0.3">
      <c r="B268" s="17">
        <v>261</v>
      </c>
      <c r="C268" s="27" t="s">
        <v>723</v>
      </c>
      <c r="D268" s="17"/>
      <c r="E268" s="29" t="str">
        <f>IFERROR(VLOOKUP(C268,기출문제!D:G,3,0),"")</f>
        <v/>
      </c>
      <c r="F268" s="30" t="str">
        <f>IFERROR(VLOOKUP(C268,기출문제!D:G,4,0),"")</f>
        <v/>
      </c>
      <c r="G268" s="31" t="str">
        <f t="shared" si="4"/>
        <v/>
      </c>
      <c r="J268" s="23"/>
    </row>
    <row r="269" spans="2:10" s="21" customFormat="1" x14ac:dyDescent="0.3">
      <c r="B269" s="17">
        <v>262</v>
      </c>
      <c r="C269" s="27" t="s">
        <v>723</v>
      </c>
      <c r="D269" s="17"/>
      <c r="E269" s="29" t="str">
        <f>IFERROR(VLOOKUP(C269,기출문제!D:G,3,0),"")</f>
        <v/>
      </c>
      <c r="F269" s="30" t="str">
        <f>IFERROR(VLOOKUP(C269,기출문제!D:G,4,0),"")</f>
        <v/>
      </c>
      <c r="G269" s="31" t="str">
        <f t="shared" si="4"/>
        <v/>
      </c>
      <c r="J269" s="23"/>
    </row>
    <row r="270" spans="2:10" s="21" customFormat="1" x14ac:dyDescent="0.3">
      <c r="B270" s="17">
        <v>263</v>
      </c>
      <c r="C270" s="27" t="s">
        <v>723</v>
      </c>
      <c r="D270" s="17"/>
      <c r="E270" s="29" t="str">
        <f>IFERROR(VLOOKUP(C270,기출문제!D:G,3,0),"")</f>
        <v/>
      </c>
      <c r="F270" s="30" t="str">
        <f>IFERROR(VLOOKUP(C270,기출문제!D:G,4,0),"")</f>
        <v/>
      </c>
      <c r="G270" s="31" t="str">
        <f t="shared" si="4"/>
        <v/>
      </c>
      <c r="J270" s="23"/>
    </row>
    <row r="271" spans="2:10" s="21" customFormat="1" x14ac:dyDescent="0.3">
      <c r="B271" s="17">
        <v>264</v>
      </c>
      <c r="C271" s="27" t="s">
        <v>723</v>
      </c>
      <c r="D271" s="17"/>
      <c r="E271" s="29" t="str">
        <f>IFERROR(VLOOKUP(C271,기출문제!D:G,3,0),"")</f>
        <v/>
      </c>
      <c r="F271" s="30" t="str">
        <f>IFERROR(VLOOKUP(C271,기출문제!D:G,4,0),"")</f>
        <v/>
      </c>
      <c r="G271" s="31" t="str">
        <f t="shared" si="4"/>
        <v/>
      </c>
      <c r="J271" s="23"/>
    </row>
    <row r="272" spans="2:10" s="21" customFormat="1" x14ac:dyDescent="0.3">
      <c r="B272" s="17">
        <v>265</v>
      </c>
      <c r="C272" s="27" t="s">
        <v>723</v>
      </c>
      <c r="D272" s="17"/>
      <c r="E272" s="29" t="str">
        <f>IFERROR(VLOOKUP(C272,기출문제!D:G,3,0),"")</f>
        <v/>
      </c>
      <c r="F272" s="30" t="str">
        <f>IFERROR(VLOOKUP(C272,기출문제!D:G,4,0),"")</f>
        <v/>
      </c>
      <c r="G272" s="31" t="str">
        <f t="shared" si="4"/>
        <v/>
      </c>
      <c r="J272" s="23"/>
    </row>
    <row r="273" spans="2:10" s="21" customFormat="1" x14ac:dyDescent="0.3">
      <c r="B273" s="17">
        <v>266</v>
      </c>
      <c r="C273" s="27" t="s">
        <v>723</v>
      </c>
      <c r="D273" s="17"/>
      <c r="E273" s="29" t="str">
        <f>IFERROR(VLOOKUP(C273,기출문제!D:G,3,0),"")</f>
        <v/>
      </c>
      <c r="F273" s="30" t="str">
        <f>IFERROR(VLOOKUP(C273,기출문제!D:G,4,0),"")</f>
        <v/>
      </c>
      <c r="G273" s="31" t="str">
        <f t="shared" si="4"/>
        <v/>
      </c>
      <c r="J273" s="23"/>
    </row>
    <row r="274" spans="2:10" s="21" customFormat="1" x14ac:dyDescent="0.3">
      <c r="B274" s="17">
        <v>267</v>
      </c>
      <c r="C274" s="27" t="s">
        <v>723</v>
      </c>
      <c r="D274" s="17"/>
      <c r="E274" s="29" t="str">
        <f>IFERROR(VLOOKUP(C274,기출문제!D:G,3,0),"")</f>
        <v/>
      </c>
      <c r="F274" s="30" t="str">
        <f>IFERROR(VLOOKUP(C274,기출문제!D:G,4,0),"")</f>
        <v/>
      </c>
      <c r="G274" s="31" t="str">
        <f t="shared" si="4"/>
        <v/>
      </c>
      <c r="J274" s="23"/>
    </row>
    <row r="275" spans="2:10" s="21" customFormat="1" x14ac:dyDescent="0.3">
      <c r="B275" s="17">
        <v>268</v>
      </c>
      <c r="C275" s="27" t="s">
        <v>723</v>
      </c>
      <c r="D275" s="17"/>
      <c r="E275" s="29" t="str">
        <f>IFERROR(VLOOKUP(C275,기출문제!D:G,3,0),"")</f>
        <v/>
      </c>
      <c r="F275" s="30" t="str">
        <f>IFERROR(VLOOKUP(C275,기출문제!D:G,4,0),"")</f>
        <v/>
      </c>
      <c r="G275" s="31" t="str">
        <f t="shared" si="4"/>
        <v/>
      </c>
      <c r="J275" s="23"/>
    </row>
    <row r="276" spans="2:10" s="21" customFormat="1" x14ac:dyDescent="0.3">
      <c r="B276" s="17">
        <v>269</v>
      </c>
      <c r="C276" s="27" t="s">
        <v>723</v>
      </c>
      <c r="D276" s="17"/>
      <c r="E276" s="29" t="str">
        <f>IFERROR(VLOOKUP(C276,기출문제!D:G,3,0),"")</f>
        <v/>
      </c>
      <c r="F276" s="30" t="str">
        <f>IFERROR(VLOOKUP(C276,기출문제!D:G,4,0),"")</f>
        <v/>
      </c>
      <c r="G276" s="31" t="str">
        <f t="shared" si="4"/>
        <v/>
      </c>
      <c r="J276" s="23"/>
    </row>
    <row r="277" spans="2:10" s="21" customFormat="1" x14ac:dyDescent="0.3">
      <c r="B277" s="17">
        <v>270</v>
      </c>
      <c r="C277" s="27" t="s">
        <v>723</v>
      </c>
      <c r="D277" s="17"/>
      <c r="E277" s="29" t="str">
        <f>IFERROR(VLOOKUP(C277,기출문제!D:G,3,0),"")</f>
        <v/>
      </c>
      <c r="F277" s="30" t="str">
        <f>IFERROR(VLOOKUP(C277,기출문제!D:G,4,0),"")</f>
        <v/>
      </c>
      <c r="G277" s="31" t="str">
        <f t="shared" si="4"/>
        <v/>
      </c>
      <c r="J277" s="23"/>
    </row>
    <row r="278" spans="2:10" s="21" customFormat="1" x14ac:dyDescent="0.3">
      <c r="B278" s="17">
        <v>271</v>
      </c>
      <c r="C278" s="27" t="s">
        <v>723</v>
      </c>
      <c r="D278" s="17"/>
      <c r="E278" s="29" t="str">
        <f>IFERROR(VLOOKUP(C278,기출문제!D:G,3,0),"")</f>
        <v/>
      </c>
      <c r="F278" s="30" t="str">
        <f>IFERROR(VLOOKUP(C278,기출문제!D:G,4,0),"")</f>
        <v/>
      </c>
      <c r="G278" s="31" t="str">
        <f t="shared" si="4"/>
        <v/>
      </c>
      <c r="J278" s="23"/>
    </row>
    <row r="279" spans="2:10" s="21" customFormat="1" x14ac:dyDescent="0.3">
      <c r="B279" s="17">
        <v>272</v>
      </c>
      <c r="C279" s="27" t="s">
        <v>723</v>
      </c>
      <c r="D279" s="17"/>
      <c r="E279" s="29" t="str">
        <f>IFERROR(VLOOKUP(C279,기출문제!D:G,3,0),"")</f>
        <v/>
      </c>
      <c r="F279" s="30" t="str">
        <f>IFERROR(VLOOKUP(C279,기출문제!D:G,4,0),"")</f>
        <v/>
      </c>
      <c r="G279" s="31" t="str">
        <f t="shared" si="4"/>
        <v/>
      </c>
      <c r="J279" s="23"/>
    </row>
    <row r="280" spans="2:10" s="21" customFormat="1" x14ac:dyDescent="0.3">
      <c r="B280" s="17">
        <v>273</v>
      </c>
      <c r="C280" s="27" t="s">
        <v>723</v>
      </c>
      <c r="D280" s="17"/>
      <c r="E280" s="29" t="str">
        <f>IFERROR(VLOOKUP(C280,기출문제!D:G,3,0),"")</f>
        <v/>
      </c>
      <c r="F280" s="30" t="str">
        <f>IFERROR(VLOOKUP(C280,기출문제!D:G,4,0),"")</f>
        <v/>
      </c>
      <c r="G280" s="31" t="str">
        <f t="shared" si="4"/>
        <v/>
      </c>
      <c r="J280" s="23"/>
    </row>
    <row r="281" spans="2:10" s="21" customFormat="1" x14ac:dyDescent="0.3">
      <c r="B281" s="17">
        <v>274</v>
      </c>
      <c r="C281" s="27" t="s">
        <v>723</v>
      </c>
      <c r="D281" s="17"/>
      <c r="E281" s="29" t="str">
        <f>IFERROR(VLOOKUP(C281,기출문제!D:G,3,0),"")</f>
        <v/>
      </c>
      <c r="F281" s="30" t="str">
        <f>IFERROR(VLOOKUP(C281,기출문제!D:G,4,0),"")</f>
        <v/>
      </c>
      <c r="G281" s="31" t="str">
        <f t="shared" si="4"/>
        <v/>
      </c>
      <c r="J281" s="23"/>
    </row>
    <row r="282" spans="2:10" s="21" customFormat="1" x14ac:dyDescent="0.3">
      <c r="B282" s="17">
        <v>275</v>
      </c>
      <c r="C282" s="27" t="s">
        <v>723</v>
      </c>
      <c r="D282" s="17"/>
      <c r="E282" s="29" t="str">
        <f>IFERROR(VLOOKUP(C282,기출문제!D:G,3,0),"")</f>
        <v/>
      </c>
      <c r="F282" s="30" t="str">
        <f>IFERROR(VLOOKUP(C282,기출문제!D:G,4,0),"")</f>
        <v/>
      </c>
      <c r="G282" s="31" t="str">
        <f t="shared" si="4"/>
        <v/>
      </c>
      <c r="J282" s="23"/>
    </row>
    <row r="283" spans="2:10" s="21" customFormat="1" x14ac:dyDescent="0.3">
      <c r="B283" s="17">
        <v>276</v>
      </c>
      <c r="C283" s="27" t="s">
        <v>723</v>
      </c>
      <c r="D283" s="17"/>
      <c r="E283" s="29" t="str">
        <f>IFERROR(VLOOKUP(C283,기출문제!D:G,3,0),"")</f>
        <v/>
      </c>
      <c r="F283" s="30" t="str">
        <f>IFERROR(VLOOKUP(C283,기출문제!D:G,4,0),"")</f>
        <v/>
      </c>
      <c r="G283" s="31" t="str">
        <f t="shared" si="4"/>
        <v/>
      </c>
      <c r="J283" s="23"/>
    </row>
    <row r="284" spans="2:10" s="21" customFormat="1" x14ac:dyDescent="0.3">
      <c r="B284" s="17">
        <v>277</v>
      </c>
      <c r="C284" s="27" t="s">
        <v>723</v>
      </c>
      <c r="D284" s="17"/>
      <c r="E284" s="29" t="str">
        <f>IFERROR(VLOOKUP(C284,기출문제!D:G,3,0),"")</f>
        <v/>
      </c>
      <c r="F284" s="30" t="str">
        <f>IFERROR(VLOOKUP(C284,기출문제!D:G,4,0),"")</f>
        <v/>
      </c>
      <c r="G284" s="31" t="str">
        <f t="shared" si="4"/>
        <v/>
      </c>
      <c r="J284" s="23"/>
    </row>
    <row r="285" spans="2:10" s="21" customFormat="1" x14ac:dyDescent="0.3">
      <c r="B285" s="17">
        <v>278</v>
      </c>
      <c r="C285" s="27" t="s">
        <v>723</v>
      </c>
      <c r="D285" s="17"/>
      <c r="E285" s="29" t="str">
        <f>IFERROR(VLOOKUP(C285,기출문제!D:G,3,0),"")</f>
        <v/>
      </c>
      <c r="F285" s="30" t="str">
        <f>IFERROR(VLOOKUP(C285,기출문제!D:G,4,0),"")</f>
        <v/>
      </c>
      <c r="G285" s="31" t="str">
        <f t="shared" si="4"/>
        <v/>
      </c>
      <c r="J285" s="23"/>
    </row>
    <row r="286" spans="2:10" s="21" customFormat="1" x14ac:dyDescent="0.3">
      <c r="B286" s="17">
        <v>279</v>
      </c>
      <c r="C286" s="27" t="s">
        <v>723</v>
      </c>
      <c r="D286" s="17"/>
      <c r="E286" s="29" t="str">
        <f>IFERROR(VLOOKUP(C286,기출문제!D:G,3,0),"")</f>
        <v/>
      </c>
      <c r="F286" s="30" t="str">
        <f>IFERROR(VLOOKUP(C286,기출문제!D:G,4,0),"")</f>
        <v/>
      </c>
      <c r="G286" s="31" t="str">
        <f t="shared" si="4"/>
        <v/>
      </c>
      <c r="J286" s="23"/>
    </row>
    <row r="287" spans="2:10" s="21" customFormat="1" x14ac:dyDescent="0.3">
      <c r="B287" s="17">
        <v>280</v>
      </c>
      <c r="C287" s="27" t="s">
        <v>723</v>
      </c>
      <c r="D287" s="17"/>
      <c r="E287" s="29" t="str">
        <f>IFERROR(VLOOKUP(C287,기출문제!D:G,3,0),"")</f>
        <v/>
      </c>
      <c r="F287" s="30" t="str">
        <f>IFERROR(VLOOKUP(C287,기출문제!D:G,4,0),"")</f>
        <v/>
      </c>
      <c r="G287" s="31" t="str">
        <f t="shared" si="4"/>
        <v/>
      </c>
      <c r="J287" s="23"/>
    </row>
    <row r="288" spans="2:10" s="21" customFormat="1" x14ac:dyDescent="0.3">
      <c r="B288" s="17">
        <v>281</v>
      </c>
      <c r="C288" s="27" t="s">
        <v>723</v>
      </c>
      <c r="D288" s="17"/>
      <c r="E288" s="29" t="str">
        <f>IFERROR(VLOOKUP(C288,기출문제!D:G,3,0),"")</f>
        <v/>
      </c>
      <c r="F288" s="30" t="str">
        <f>IFERROR(VLOOKUP(C288,기출문제!D:G,4,0),"")</f>
        <v/>
      </c>
      <c r="G288" s="31" t="str">
        <f t="shared" si="4"/>
        <v/>
      </c>
      <c r="J288" s="23"/>
    </row>
    <row r="289" spans="2:10" s="21" customFormat="1" x14ac:dyDescent="0.3">
      <c r="B289" s="17">
        <v>282</v>
      </c>
      <c r="C289" s="27" t="s">
        <v>723</v>
      </c>
      <c r="D289" s="17"/>
      <c r="E289" s="29" t="str">
        <f>IFERROR(VLOOKUP(C289,기출문제!D:G,3,0),"")</f>
        <v/>
      </c>
      <c r="F289" s="30" t="str">
        <f>IFERROR(VLOOKUP(C289,기출문제!D:G,4,0),"")</f>
        <v/>
      </c>
      <c r="G289" s="31" t="str">
        <f t="shared" si="4"/>
        <v/>
      </c>
      <c r="J289" s="23"/>
    </row>
    <row r="290" spans="2:10" s="21" customFormat="1" x14ac:dyDescent="0.3">
      <c r="B290" s="17">
        <v>283</v>
      </c>
      <c r="C290" s="27" t="s">
        <v>723</v>
      </c>
      <c r="D290" s="17"/>
      <c r="E290" s="29" t="str">
        <f>IFERROR(VLOOKUP(C290,기출문제!D:G,3,0),"")</f>
        <v/>
      </c>
      <c r="F290" s="30" t="str">
        <f>IFERROR(VLOOKUP(C290,기출문제!D:G,4,0),"")</f>
        <v/>
      </c>
      <c r="G290" s="31" t="str">
        <f t="shared" si="4"/>
        <v/>
      </c>
      <c r="J290" s="23"/>
    </row>
    <row r="291" spans="2:10" s="21" customFormat="1" x14ac:dyDescent="0.3">
      <c r="B291" s="17">
        <v>284</v>
      </c>
      <c r="C291" s="27" t="s">
        <v>723</v>
      </c>
      <c r="D291" s="17"/>
      <c r="E291" s="29" t="str">
        <f>IFERROR(VLOOKUP(C291,기출문제!D:G,3,0),"")</f>
        <v/>
      </c>
      <c r="F291" s="30" t="str">
        <f>IFERROR(VLOOKUP(C291,기출문제!D:G,4,0),"")</f>
        <v/>
      </c>
      <c r="G291" s="31" t="str">
        <f t="shared" si="4"/>
        <v/>
      </c>
      <c r="J291" s="23"/>
    </row>
    <row r="292" spans="2:10" s="21" customFormat="1" x14ac:dyDescent="0.3">
      <c r="B292" s="17">
        <v>285</v>
      </c>
      <c r="C292" s="27" t="s">
        <v>723</v>
      </c>
      <c r="D292" s="17"/>
      <c r="E292" s="29" t="str">
        <f>IFERROR(VLOOKUP(C292,기출문제!D:G,3,0),"")</f>
        <v/>
      </c>
      <c r="F292" s="30" t="str">
        <f>IFERROR(VLOOKUP(C292,기출문제!D:G,4,0),"")</f>
        <v/>
      </c>
      <c r="G292" s="31" t="str">
        <f t="shared" si="4"/>
        <v/>
      </c>
      <c r="J292" s="23"/>
    </row>
    <row r="293" spans="2:10" s="21" customFormat="1" x14ac:dyDescent="0.3">
      <c r="B293" s="17">
        <v>286</v>
      </c>
      <c r="C293" s="27" t="s">
        <v>723</v>
      </c>
      <c r="D293" s="17"/>
      <c r="E293" s="29" t="str">
        <f>IFERROR(VLOOKUP(C293,기출문제!D:G,3,0),"")</f>
        <v/>
      </c>
      <c r="F293" s="30" t="str">
        <f>IFERROR(VLOOKUP(C293,기출문제!D:G,4,0),"")</f>
        <v/>
      </c>
      <c r="G293" s="31" t="str">
        <f t="shared" si="4"/>
        <v/>
      </c>
      <c r="J293" s="23"/>
    </row>
    <row r="294" spans="2:10" s="21" customFormat="1" x14ac:dyDescent="0.3">
      <c r="B294" s="17">
        <v>287</v>
      </c>
      <c r="C294" s="27" t="s">
        <v>723</v>
      </c>
      <c r="D294" s="17"/>
      <c r="E294" s="29" t="str">
        <f>IFERROR(VLOOKUP(C294,기출문제!D:G,3,0),"")</f>
        <v/>
      </c>
      <c r="F294" s="30" t="str">
        <f>IFERROR(VLOOKUP(C294,기출문제!D:G,4,0),"")</f>
        <v/>
      </c>
      <c r="G294" s="31" t="str">
        <f t="shared" si="4"/>
        <v/>
      </c>
      <c r="J294" s="23"/>
    </row>
    <row r="295" spans="2:10" s="21" customFormat="1" x14ac:dyDescent="0.3">
      <c r="B295" s="17">
        <v>288</v>
      </c>
      <c r="C295" s="27" t="s">
        <v>723</v>
      </c>
      <c r="D295" s="17"/>
      <c r="E295" s="29" t="str">
        <f>IFERROR(VLOOKUP(C295,기출문제!D:G,3,0),"")</f>
        <v/>
      </c>
      <c r="F295" s="30" t="str">
        <f>IFERROR(VLOOKUP(C295,기출문제!D:G,4,0),"")</f>
        <v/>
      </c>
      <c r="G295" s="31" t="str">
        <f t="shared" si="4"/>
        <v/>
      </c>
      <c r="J295" s="23"/>
    </row>
    <row r="296" spans="2:10" s="21" customFormat="1" x14ac:dyDescent="0.3">
      <c r="B296" s="17">
        <v>289</v>
      </c>
      <c r="C296" s="27" t="s">
        <v>723</v>
      </c>
      <c r="D296" s="17"/>
      <c r="E296" s="29" t="str">
        <f>IFERROR(VLOOKUP(C296,기출문제!D:G,3,0),"")</f>
        <v/>
      </c>
      <c r="F296" s="30" t="str">
        <f>IFERROR(VLOOKUP(C296,기출문제!D:G,4,0),"")</f>
        <v/>
      </c>
      <c r="G296" s="31" t="str">
        <f t="shared" si="4"/>
        <v/>
      </c>
      <c r="J296" s="23"/>
    </row>
    <row r="297" spans="2:10" s="21" customFormat="1" x14ac:dyDescent="0.3">
      <c r="B297" s="17">
        <v>290</v>
      </c>
      <c r="C297" s="27" t="s">
        <v>723</v>
      </c>
      <c r="D297" s="17"/>
      <c r="E297" s="29" t="str">
        <f>IFERROR(VLOOKUP(C297,기출문제!D:G,3,0),"")</f>
        <v/>
      </c>
      <c r="F297" s="30" t="str">
        <f>IFERROR(VLOOKUP(C297,기출문제!D:G,4,0),"")</f>
        <v/>
      </c>
      <c r="G297" s="31" t="str">
        <f t="shared" si="4"/>
        <v/>
      </c>
      <c r="J297" s="23"/>
    </row>
    <row r="298" spans="2:10" s="21" customFormat="1" x14ac:dyDescent="0.3">
      <c r="B298" s="17">
        <v>291</v>
      </c>
      <c r="C298" s="27" t="s">
        <v>723</v>
      </c>
      <c r="D298" s="17"/>
      <c r="E298" s="29" t="str">
        <f>IFERROR(VLOOKUP(C298,기출문제!D:G,3,0),"")</f>
        <v/>
      </c>
      <c r="F298" s="30" t="str">
        <f>IFERROR(VLOOKUP(C298,기출문제!D:G,4,0),"")</f>
        <v/>
      </c>
      <c r="G298" s="31" t="str">
        <f t="shared" si="4"/>
        <v/>
      </c>
      <c r="J298" s="23"/>
    </row>
    <row r="299" spans="2:10" s="21" customFormat="1" x14ac:dyDescent="0.3">
      <c r="B299" s="17">
        <v>292</v>
      </c>
      <c r="C299" s="27" t="s">
        <v>723</v>
      </c>
      <c r="D299" s="17"/>
      <c r="E299" s="29" t="str">
        <f>IFERROR(VLOOKUP(C299,기출문제!D:G,3,0),"")</f>
        <v/>
      </c>
      <c r="F299" s="30" t="str">
        <f>IFERROR(VLOOKUP(C299,기출문제!D:G,4,0),"")</f>
        <v/>
      </c>
      <c r="G299" s="31" t="str">
        <f t="shared" si="4"/>
        <v/>
      </c>
      <c r="J299" s="23"/>
    </row>
    <row r="300" spans="2:10" s="21" customFormat="1" x14ac:dyDescent="0.3">
      <c r="B300" s="17">
        <v>293</v>
      </c>
      <c r="C300" s="27" t="s">
        <v>723</v>
      </c>
      <c r="D300" s="17"/>
      <c r="E300" s="29" t="str">
        <f>IFERROR(VLOOKUP(C300,기출문제!D:G,3,0),"")</f>
        <v/>
      </c>
      <c r="F300" s="30" t="str">
        <f>IFERROR(VLOOKUP(C300,기출문제!D:G,4,0),"")</f>
        <v/>
      </c>
      <c r="G300" s="31" t="str">
        <f t="shared" si="4"/>
        <v/>
      </c>
      <c r="J300" s="23"/>
    </row>
    <row r="301" spans="2:10" s="21" customFormat="1" x14ac:dyDescent="0.3">
      <c r="B301" s="17">
        <v>294</v>
      </c>
      <c r="C301" s="27" t="s">
        <v>723</v>
      </c>
      <c r="D301" s="17"/>
      <c r="E301" s="29" t="str">
        <f>IFERROR(VLOOKUP(C301,기출문제!D:G,3,0),"")</f>
        <v/>
      </c>
      <c r="F301" s="30" t="str">
        <f>IFERROR(VLOOKUP(C301,기출문제!D:G,4,0),"")</f>
        <v/>
      </c>
      <c r="G301" s="31" t="str">
        <f t="shared" si="4"/>
        <v/>
      </c>
      <c r="J301" s="23"/>
    </row>
    <row r="302" spans="2:10" s="21" customFormat="1" x14ac:dyDescent="0.3">
      <c r="B302" s="17">
        <v>295</v>
      </c>
      <c r="C302" s="27" t="s">
        <v>723</v>
      </c>
      <c r="D302" s="17"/>
      <c r="E302" s="29" t="str">
        <f>IFERROR(VLOOKUP(C302,기출문제!D:G,3,0),"")</f>
        <v/>
      </c>
      <c r="F302" s="30" t="str">
        <f>IFERROR(VLOOKUP(C302,기출문제!D:G,4,0),"")</f>
        <v/>
      </c>
      <c r="G302" s="31" t="str">
        <f t="shared" si="4"/>
        <v/>
      </c>
      <c r="J302" s="23"/>
    </row>
    <row r="303" spans="2:10" s="21" customFormat="1" x14ac:dyDescent="0.3">
      <c r="B303" s="17">
        <v>296</v>
      </c>
      <c r="C303" s="27" t="s">
        <v>723</v>
      </c>
      <c r="D303" s="17"/>
      <c r="E303" s="29" t="str">
        <f>IFERROR(VLOOKUP(C303,기출문제!D:G,3,0),"")</f>
        <v/>
      </c>
      <c r="F303" s="30" t="str">
        <f>IFERROR(VLOOKUP(C303,기출문제!D:G,4,0),"")</f>
        <v/>
      </c>
      <c r="G303" s="31" t="str">
        <f t="shared" si="4"/>
        <v/>
      </c>
      <c r="J303" s="23"/>
    </row>
    <row r="304" spans="2:10" s="21" customFormat="1" x14ac:dyDescent="0.3">
      <c r="B304" s="17">
        <v>297</v>
      </c>
      <c r="C304" s="27" t="s">
        <v>723</v>
      </c>
      <c r="D304" s="17"/>
      <c r="E304" s="29" t="str">
        <f>IFERROR(VLOOKUP(C304,기출문제!D:G,3,0),"")</f>
        <v/>
      </c>
      <c r="F304" s="30" t="str">
        <f>IFERROR(VLOOKUP(C304,기출문제!D:G,4,0),"")</f>
        <v/>
      </c>
      <c r="G304" s="31" t="str">
        <f t="shared" si="4"/>
        <v/>
      </c>
      <c r="J304" s="23"/>
    </row>
    <row r="305" spans="2:10" s="21" customFormat="1" x14ac:dyDescent="0.3">
      <c r="B305" s="17">
        <v>298</v>
      </c>
      <c r="C305" s="27" t="s">
        <v>723</v>
      </c>
      <c r="D305" s="17"/>
      <c r="E305" s="29" t="str">
        <f>IFERROR(VLOOKUP(C305,기출문제!D:G,3,0),"")</f>
        <v/>
      </c>
      <c r="F305" s="30" t="str">
        <f>IFERROR(VLOOKUP(C305,기출문제!D:G,4,0),"")</f>
        <v/>
      </c>
      <c r="G305" s="31" t="str">
        <f t="shared" si="4"/>
        <v/>
      </c>
      <c r="J305" s="23"/>
    </row>
    <row r="306" spans="2:10" s="21" customFormat="1" x14ac:dyDescent="0.3">
      <c r="B306" s="17">
        <v>299</v>
      </c>
      <c r="C306" s="27" t="s">
        <v>723</v>
      </c>
      <c r="D306" s="17"/>
      <c r="E306" s="29" t="str">
        <f>IFERROR(VLOOKUP(C306,기출문제!D:G,3,0),"")</f>
        <v/>
      </c>
      <c r="F306" s="30" t="str">
        <f>IFERROR(VLOOKUP(C306,기출문제!D:G,4,0),"")</f>
        <v/>
      </c>
      <c r="G306" s="31" t="str">
        <f t="shared" si="4"/>
        <v/>
      </c>
      <c r="J306" s="23"/>
    </row>
    <row r="307" spans="2:10" s="21" customFormat="1" x14ac:dyDescent="0.3">
      <c r="B307" s="17">
        <v>300</v>
      </c>
      <c r="C307" s="27" t="s">
        <v>723</v>
      </c>
      <c r="D307" s="17"/>
      <c r="E307" s="29" t="str">
        <f>IFERROR(VLOOKUP(C307,기출문제!D:G,3,0),"")</f>
        <v/>
      </c>
      <c r="F307" s="30" t="str">
        <f>IFERROR(VLOOKUP(C307,기출문제!D:G,4,0),"")</f>
        <v/>
      </c>
      <c r="G307" s="31" t="str">
        <f t="shared" si="4"/>
        <v/>
      </c>
      <c r="J307" s="23"/>
    </row>
    <row r="308" spans="2:10" s="21" customFormat="1" x14ac:dyDescent="0.3">
      <c r="B308" s="17">
        <v>301</v>
      </c>
      <c r="C308" s="27" t="s">
        <v>723</v>
      </c>
      <c r="D308" s="17"/>
      <c r="E308" s="29" t="str">
        <f>IFERROR(VLOOKUP(C308,기출문제!D:G,3,0),"")</f>
        <v/>
      </c>
      <c r="F308" s="30" t="str">
        <f>IFERROR(VLOOKUP(C308,기출문제!D:G,4,0),"")</f>
        <v/>
      </c>
      <c r="G308" s="31" t="str">
        <f t="shared" si="4"/>
        <v/>
      </c>
      <c r="J308" s="23"/>
    </row>
    <row r="309" spans="2:10" s="21" customFormat="1" x14ac:dyDescent="0.3">
      <c r="B309" s="17">
        <v>302</v>
      </c>
      <c r="C309" s="27" t="s">
        <v>723</v>
      </c>
      <c r="D309" s="17"/>
      <c r="E309" s="29" t="str">
        <f>IFERROR(VLOOKUP(C309,기출문제!D:G,3,0),"")</f>
        <v/>
      </c>
      <c r="F309" s="30" t="str">
        <f>IFERROR(VLOOKUP(C309,기출문제!D:G,4,0),"")</f>
        <v/>
      </c>
      <c r="G309" s="31" t="str">
        <f t="shared" si="4"/>
        <v/>
      </c>
      <c r="J309" s="23"/>
    </row>
    <row r="310" spans="2:10" s="21" customFormat="1" x14ac:dyDescent="0.3">
      <c r="B310" s="17">
        <v>303</v>
      </c>
      <c r="C310" s="27" t="s">
        <v>723</v>
      </c>
      <c r="D310" s="17"/>
      <c r="E310" s="29" t="str">
        <f>IFERROR(VLOOKUP(C310,기출문제!D:G,3,0),"")</f>
        <v/>
      </c>
      <c r="F310" s="30" t="str">
        <f>IFERROR(VLOOKUP(C310,기출문제!D:G,4,0),"")</f>
        <v/>
      </c>
      <c r="G310" s="31" t="str">
        <f t="shared" si="4"/>
        <v/>
      </c>
      <c r="J310" s="23"/>
    </row>
    <row r="311" spans="2:10" s="21" customFormat="1" x14ac:dyDescent="0.3">
      <c r="B311" s="17">
        <v>304</v>
      </c>
      <c r="C311" s="27" t="s">
        <v>723</v>
      </c>
      <c r="D311" s="17"/>
      <c r="E311" s="29" t="str">
        <f>IFERROR(VLOOKUP(C311,기출문제!D:G,3,0),"")</f>
        <v/>
      </c>
      <c r="F311" s="30" t="str">
        <f>IFERROR(VLOOKUP(C311,기출문제!D:G,4,0),"")</f>
        <v/>
      </c>
      <c r="G311" s="31" t="str">
        <f t="shared" si="4"/>
        <v/>
      </c>
      <c r="J311" s="23"/>
    </row>
    <row r="312" spans="2:10" s="21" customFormat="1" x14ac:dyDescent="0.3">
      <c r="B312" s="17">
        <v>305</v>
      </c>
      <c r="C312" s="27" t="s">
        <v>723</v>
      </c>
      <c r="D312" s="17"/>
      <c r="E312" s="29" t="str">
        <f>IFERROR(VLOOKUP(C312,기출문제!D:G,3,0),"")</f>
        <v/>
      </c>
      <c r="F312" s="30" t="str">
        <f>IFERROR(VLOOKUP(C312,기출문제!D:G,4,0),"")</f>
        <v/>
      </c>
      <c r="G312" s="31" t="str">
        <f t="shared" si="4"/>
        <v/>
      </c>
      <c r="J312" s="23"/>
    </row>
    <row r="313" spans="2:10" s="21" customFormat="1" x14ac:dyDescent="0.3">
      <c r="B313" s="17">
        <v>306</v>
      </c>
      <c r="C313" s="27" t="s">
        <v>723</v>
      </c>
      <c r="D313" s="17"/>
      <c r="E313" s="29" t="str">
        <f>IFERROR(VLOOKUP(C313,기출문제!D:G,3,0),"")</f>
        <v/>
      </c>
      <c r="F313" s="30" t="str">
        <f>IFERROR(VLOOKUP(C313,기출문제!D:G,4,0),"")</f>
        <v/>
      </c>
      <c r="G313" s="31" t="str">
        <f t="shared" si="4"/>
        <v/>
      </c>
      <c r="J313" s="23"/>
    </row>
    <row r="314" spans="2:10" s="21" customFormat="1" x14ac:dyDescent="0.3">
      <c r="B314" s="17">
        <v>307</v>
      </c>
      <c r="C314" s="27" t="s">
        <v>723</v>
      </c>
      <c r="D314" s="17"/>
      <c r="E314" s="29" t="str">
        <f>IFERROR(VLOOKUP(C314,기출문제!D:G,3,0),"")</f>
        <v/>
      </c>
      <c r="F314" s="30" t="str">
        <f>IFERROR(VLOOKUP(C314,기출문제!D:G,4,0),"")</f>
        <v/>
      </c>
      <c r="G314" s="31" t="str">
        <f t="shared" si="4"/>
        <v/>
      </c>
      <c r="J314" s="23"/>
    </row>
    <row r="315" spans="2:10" s="21" customFormat="1" x14ac:dyDescent="0.3">
      <c r="B315" s="17">
        <v>308</v>
      </c>
      <c r="C315" s="27" t="s">
        <v>723</v>
      </c>
      <c r="D315" s="17"/>
      <c r="E315" s="29" t="str">
        <f>IFERROR(VLOOKUP(C315,기출문제!D:G,3,0),"")</f>
        <v/>
      </c>
      <c r="F315" s="30" t="str">
        <f>IFERROR(VLOOKUP(C315,기출문제!D:G,4,0),"")</f>
        <v/>
      </c>
      <c r="G315" s="31" t="str">
        <f t="shared" si="4"/>
        <v/>
      </c>
      <c r="J315" s="23"/>
    </row>
    <row r="316" spans="2:10" s="21" customFormat="1" x14ac:dyDescent="0.3">
      <c r="B316" s="17">
        <v>309</v>
      </c>
      <c r="C316" s="27" t="s">
        <v>723</v>
      </c>
      <c r="D316" s="17"/>
      <c r="E316" s="29" t="str">
        <f>IFERROR(VLOOKUP(C316,기출문제!D:G,3,0),"")</f>
        <v/>
      </c>
      <c r="F316" s="30" t="str">
        <f>IFERROR(VLOOKUP(C316,기출문제!D:G,4,0),"")</f>
        <v/>
      </c>
      <c r="G316" s="31" t="str">
        <f t="shared" si="4"/>
        <v/>
      </c>
      <c r="J316" s="23"/>
    </row>
    <row r="317" spans="2:10" s="21" customFormat="1" x14ac:dyDescent="0.3">
      <c r="B317" s="17">
        <v>310</v>
      </c>
      <c r="C317" s="27" t="s">
        <v>723</v>
      </c>
      <c r="D317" s="17"/>
      <c r="E317" s="29" t="str">
        <f>IFERROR(VLOOKUP(C317,기출문제!D:G,3,0),"")</f>
        <v/>
      </c>
      <c r="F317" s="30" t="str">
        <f>IFERROR(VLOOKUP(C317,기출문제!D:G,4,0),"")</f>
        <v/>
      </c>
      <c r="G317" s="31" t="str">
        <f t="shared" si="4"/>
        <v/>
      </c>
      <c r="J317" s="23"/>
    </row>
    <row r="318" spans="2:10" s="21" customFormat="1" x14ac:dyDescent="0.3">
      <c r="B318" s="17">
        <v>311</v>
      </c>
      <c r="C318" s="27" t="s">
        <v>723</v>
      </c>
      <c r="D318" s="17"/>
      <c r="E318" s="29" t="str">
        <f>IFERROR(VLOOKUP(C318,기출문제!D:G,3,0),"")</f>
        <v/>
      </c>
      <c r="F318" s="30" t="str">
        <f>IFERROR(VLOOKUP(C318,기출문제!D:G,4,0),"")</f>
        <v/>
      </c>
      <c r="G318" s="31" t="str">
        <f t="shared" si="4"/>
        <v/>
      </c>
      <c r="J318" s="23"/>
    </row>
    <row r="319" spans="2:10" s="21" customFormat="1" x14ac:dyDescent="0.3">
      <c r="B319" s="17">
        <v>312</v>
      </c>
      <c r="C319" s="27" t="s">
        <v>723</v>
      </c>
      <c r="D319" s="17"/>
      <c r="E319" s="29" t="str">
        <f>IFERROR(VLOOKUP(C319,기출문제!D:G,3,0),"")</f>
        <v/>
      </c>
      <c r="F319" s="30" t="str">
        <f>IFERROR(VLOOKUP(C319,기출문제!D:G,4,0),"")</f>
        <v/>
      </c>
      <c r="G319" s="31" t="str">
        <f t="shared" si="4"/>
        <v/>
      </c>
      <c r="J319" s="23"/>
    </row>
    <row r="320" spans="2:10" s="21" customFormat="1" x14ac:dyDescent="0.3">
      <c r="B320" s="17">
        <v>313</v>
      </c>
      <c r="C320" s="27" t="s">
        <v>723</v>
      </c>
      <c r="D320" s="17"/>
      <c r="E320" s="29" t="str">
        <f>IFERROR(VLOOKUP(C320,기출문제!D:G,3,0),"")</f>
        <v/>
      </c>
      <c r="F320" s="30" t="str">
        <f>IFERROR(VLOOKUP(C320,기출문제!D:G,4,0),"")</f>
        <v/>
      </c>
      <c r="G320" s="31" t="str">
        <f t="shared" si="4"/>
        <v/>
      </c>
      <c r="J320" s="23"/>
    </row>
    <row r="321" spans="2:10" s="21" customFormat="1" x14ac:dyDescent="0.3">
      <c r="B321" s="17">
        <v>314</v>
      </c>
      <c r="C321" s="27" t="s">
        <v>723</v>
      </c>
      <c r="D321" s="17"/>
      <c r="E321" s="29" t="str">
        <f>IFERROR(VLOOKUP(C321,기출문제!D:G,3,0),"")</f>
        <v/>
      </c>
      <c r="F321" s="30" t="str">
        <f>IFERROR(VLOOKUP(C321,기출문제!D:G,4,0),"")</f>
        <v/>
      </c>
      <c r="G321" s="31" t="str">
        <f t="shared" si="4"/>
        <v/>
      </c>
      <c r="J321" s="23"/>
    </row>
    <row r="322" spans="2:10" s="21" customFormat="1" x14ac:dyDescent="0.3">
      <c r="B322" s="17">
        <v>315</v>
      </c>
      <c r="C322" s="27" t="s">
        <v>723</v>
      </c>
      <c r="D322" s="17"/>
      <c r="E322" s="29" t="str">
        <f>IFERROR(VLOOKUP(C322,기출문제!D:G,3,0),"")</f>
        <v/>
      </c>
      <c r="F322" s="30" t="str">
        <f>IFERROR(VLOOKUP(C322,기출문제!D:G,4,0),"")</f>
        <v/>
      </c>
      <c r="G322" s="31" t="str">
        <f t="shared" si="4"/>
        <v/>
      </c>
      <c r="J322" s="23"/>
    </row>
    <row r="323" spans="2:10" s="21" customFormat="1" x14ac:dyDescent="0.3">
      <c r="B323" s="17">
        <v>316</v>
      </c>
      <c r="C323" s="27" t="s">
        <v>723</v>
      </c>
      <c r="D323" s="17"/>
      <c r="E323" s="29" t="str">
        <f>IFERROR(VLOOKUP(C323,기출문제!D:G,3,0),"")</f>
        <v/>
      </c>
      <c r="F323" s="30" t="str">
        <f>IFERROR(VLOOKUP(C323,기출문제!D:G,4,0),"")</f>
        <v/>
      </c>
      <c r="G323" s="31" t="str">
        <f t="shared" si="4"/>
        <v/>
      </c>
      <c r="J323" s="23"/>
    </row>
    <row r="324" spans="2:10" s="21" customFormat="1" x14ac:dyDescent="0.3">
      <c r="B324" s="17">
        <v>317</v>
      </c>
      <c r="C324" s="27" t="s">
        <v>723</v>
      </c>
      <c r="D324" s="17"/>
      <c r="E324" s="29" t="str">
        <f>IFERROR(VLOOKUP(C324,기출문제!D:G,3,0),"")</f>
        <v/>
      </c>
      <c r="F324" s="30" t="str">
        <f>IFERROR(VLOOKUP(C324,기출문제!D:G,4,0),"")</f>
        <v/>
      </c>
      <c r="G324" s="31" t="str">
        <f t="shared" si="4"/>
        <v/>
      </c>
      <c r="J324" s="23"/>
    </row>
    <row r="325" spans="2:10" s="21" customFormat="1" x14ac:dyDescent="0.3">
      <c r="B325" s="17">
        <v>318</v>
      </c>
      <c r="C325" s="27" t="s">
        <v>723</v>
      </c>
      <c r="D325" s="17"/>
      <c r="E325" s="29" t="str">
        <f>IFERROR(VLOOKUP(C325,기출문제!D:G,3,0),"")</f>
        <v/>
      </c>
      <c r="F325" s="30" t="str">
        <f>IFERROR(VLOOKUP(C325,기출문제!D:G,4,0),"")</f>
        <v/>
      </c>
      <c r="G325" s="31" t="str">
        <f t="shared" si="4"/>
        <v/>
      </c>
      <c r="J325" s="23"/>
    </row>
    <row r="326" spans="2:10" s="21" customFormat="1" x14ac:dyDescent="0.3">
      <c r="B326" s="17">
        <v>319</v>
      </c>
      <c r="C326" s="27" t="s">
        <v>723</v>
      </c>
      <c r="D326" s="17"/>
      <c r="E326" s="29" t="str">
        <f>IFERROR(VLOOKUP(C326,기출문제!D:G,3,0),"")</f>
        <v/>
      </c>
      <c r="F326" s="30" t="str">
        <f>IFERROR(VLOOKUP(C326,기출문제!D:G,4,0),"")</f>
        <v/>
      </c>
      <c r="G326" s="31" t="str">
        <f t="shared" si="4"/>
        <v/>
      </c>
      <c r="J326" s="23"/>
    </row>
    <row r="327" spans="2:10" s="21" customFormat="1" x14ac:dyDescent="0.3">
      <c r="B327" s="17">
        <v>320</v>
      </c>
      <c r="C327" s="27" t="s">
        <v>723</v>
      </c>
      <c r="D327" s="17"/>
      <c r="E327" s="29" t="str">
        <f>IFERROR(VLOOKUP(C327,기출문제!D:G,3,0),"")</f>
        <v/>
      </c>
      <c r="F327" s="30" t="str">
        <f>IFERROR(VLOOKUP(C327,기출문제!D:G,4,0),"")</f>
        <v/>
      </c>
      <c r="G327" s="31" t="str">
        <f t="shared" si="4"/>
        <v/>
      </c>
      <c r="J327" s="23"/>
    </row>
    <row r="328" spans="2:10" s="21" customFormat="1" x14ac:dyDescent="0.3">
      <c r="B328" s="17">
        <v>321</v>
      </c>
      <c r="C328" s="27" t="s">
        <v>723</v>
      </c>
      <c r="D328" s="17"/>
      <c r="E328" s="29" t="str">
        <f>IFERROR(VLOOKUP(C328,기출문제!D:G,3,0),"")</f>
        <v/>
      </c>
      <c r="F328" s="30" t="str">
        <f>IFERROR(VLOOKUP(C328,기출문제!D:G,4,0),"")</f>
        <v/>
      </c>
      <c r="G328" s="31" t="str">
        <f t="shared" si="4"/>
        <v/>
      </c>
      <c r="J328" s="23"/>
    </row>
    <row r="329" spans="2:10" s="21" customFormat="1" x14ac:dyDescent="0.3">
      <c r="B329" s="17">
        <v>322</v>
      </c>
      <c r="C329" s="27" t="s">
        <v>723</v>
      </c>
      <c r="D329" s="17"/>
      <c r="E329" s="29" t="str">
        <f>IFERROR(VLOOKUP(C329,기출문제!D:G,3,0),"")</f>
        <v/>
      </c>
      <c r="F329" s="30" t="str">
        <f>IFERROR(VLOOKUP(C329,기출문제!D:G,4,0),"")</f>
        <v/>
      </c>
      <c r="G329" s="31" t="str">
        <f t="shared" ref="G329:G392" si="5">IF(D329="","",IF(D329=F329,"O", "X"))</f>
        <v/>
      </c>
      <c r="J329" s="23"/>
    </row>
    <row r="330" spans="2:10" s="21" customFormat="1" x14ac:dyDescent="0.3">
      <c r="B330" s="17">
        <v>323</v>
      </c>
      <c r="C330" s="27" t="s">
        <v>723</v>
      </c>
      <c r="D330" s="17"/>
      <c r="E330" s="29" t="str">
        <f>IFERROR(VLOOKUP(C330,기출문제!D:G,3,0),"")</f>
        <v/>
      </c>
      <c r="F330" s="30" t="str">
        <f>IFERROR(VLOOKUP(C330,기출문제!D:G,4,0),"")</f>
        <v/>
      </c>
      <c r="G330" s="31" t="str">
        <f t="shared" si="5"/>
        <v/>
      </c>
      <c r="J330" s="23"/>
    </row>
    <row r="331" spans="2:10" s="21" customFormat="1" x14ac:dyDescent="0.3">
      <c r="B331" s="17">
        <v>324</v>
      </c>
      <c r="C331" s="27" t="s">
        <v>723</v>
      </c>
      <c r="D331" s="17"/>
      <c r="E331" s="29" t="str">
        <f>IFERROR(VLOOKUP(C331,기출문제!D:G,3,0),"")</f>
        <v/>
      </c>
      <c r="F331" s="30" t="str">
        <f>IFERROR(VLOOKUP(C331,기출문제!D:G,4,0),"")</f>
        <v/>
      </c>
      <c r="G331" s="31" t="str">
        <f t="shared" si="5"/>
        <v/>
      </c>
      <c r="J331" s="23"/>
    </row>
    <row r="332" spans="2:10" s="21" customFormat="1" x14ac:dyDescent="0.3">
      <c r="B332" s="17">
        <v>325</v>
      </c>
      <c r="C332" s="27" t="s">
        <v>723</v>
      </c>
      <c r="D332" s="17"/>
      <c r="E332" s="29" t="str">
        <f>IFERROR(VLOOKUP(C332,기출문제!D:G,3,0),"")</f>
        <v/>
      </c>
      <c r="F332" s="30" t="str">
        <f>IFERROR(VLOOKUP(C332,기출문제!D:G,4,0),"")</f>
        <v/>
      </c>
      <c r="G332" s="31" t="str">
        <f t="shared" si="5"/>
        <v/>
      </c>
      <c r="J332" s="23"/>
    </row>
    <row r="333" spans="2:10" s="21" customFormat="1" x14ac:dyDescent="0.3">
      <c r="B333" s="17">
        <v>326</v>
      </c>
      <c r="C333" s="27" t="s">
        <v>723</v>
      </c>
      <c r="D333" s="17"/>
      <c r="E333" s="29" t="str">
        <f>IFERROR(VLOOKUP(C333,기출문제!D:G,3,0),"")</f>
        <v/>
      </c>
      <c r="F333" s="30" t="str">
        <f>IFERROR(VLOOKUP(C333,기출문제!D:G,4,0),"")</f>
        <v/>
      </c>
      <c r="G333" s="31" t="str">
        <f t="shared" si="5"/>
        <v/>
      </c>
      <c r="J333" s="23"/>
    </row>
    <row r="334" spans="2:10" s="21" customFormat="1" x14ac:dyDescent="0.3">
      <c r="B334" s="17">
        <v>327</v>
      </c>
      <c r="C334" s="27" t="s">
        <v>723</v>
      </c>
      <c r="D334" s="17"/>
      <c r="E334" s="29" t="str">
        <f>IFERROR(VLOOKUP(C334,기출문제!D:G,3,0),"")</f>
        <v/>
      </c>
      <c r="F334" s="30" t="str">
        <f>IFERROR(VLOOKUP(C334,기출문제!D:G,4,0),"")</f>
        <v/>
      </c>
      <c r="G334" s="31" t="str">
        <f t="shared" si="5"/>
        <v/>
      </c>
      <c r="J334" s="23"/>
    </row>
    <row r="335" spans="2:10" s="21" customFormat="1" x14ac:dyDescent="0.3">
      <c r="B335" s="17">
        <v>328</v>
      </c>
      <c r="C335" s="27" t="s">
        <v>723</v>
      </c>
      <c r="D335" s="17"/>
      <c r="E335" s="29" t="str">
        <f>IFERROR(VLOOKUP(C335,기출문제!D:G,3,0),"")</f>
        <v/>
      </c>
      <c r="F335" s="30" t="str">
        <f>IFERROR(VLOOKUP(C335,기출문제!D:G,4,0),"")</f>
        <v/>
      </c>
      <c r="G335" s="31" t="str">
        <f t="shared" si="5"/>
        <v/>
      </c>
      <c r="J335" s="23"/>
    </row>
    <row r="336" spans="2:10" s="21" customFormat="1" x14ac:dyDescent="0.3">
      <c r="B336" s="17">
        <v>329</v>
      </c>
      <c r="C336" s="27" t="s">
        <v>723</v>
      </c>
      <c r="D336" s="17"/>
      <c r="E336" s="29" t="str">
        <f>IFERROR(VLOOKUP(C336,기출문제!D:G,3,0),"")</f>
        <v/>
      </c>
      <c r="F336" s="30" t="str">
        <f>IFERROR(VLOOKUP(C336,기출문제!D:G,4,0),"")</f>
        <v/>
      </c>
      <c r="G336" s="31" t="str">
        <f t="shared" si="5"/>
        <v/>
      </c>
      <c r="J336" s="23"/>
    </row>
    <row r="337" spans="2:10" s="21" customFormat="1" x14ac:dyDescent="0.3">
      <c r="B337" s="17">
        <v>330</v>
      </c>
      <c r="C337" s="27" t="s">
        <v>723</v>
      </c>
      <c r="D337" s="17"/>
      <c r="E337" s="29" t="str">
        <f>IFERROR(VLOOKUP(C337,기출문제!D:G,3,0),"")</f>
        <v/>
      </c>
      <c r="F337" s="30" t="str">
        <f>IFERROR(VLOOKUP(C337,기출문제!D:G,4,0),"")</f>
        <v/>
      </c>
      <c r="G337" s="31" t="str">
        <f t="shared" si="5"/>
        <v/>
      </c>
      <c r="J337" s="23"/>
    </row>
    <row r="338" spans="2:10" s="21" customFormat="1" x14ac:dyDescent="0.3">
      <c r="B338" s="17">
        <v>331</v>
      </c>
      <c r="C338" s="27" t="s">
        <v>723</v>
      </c>
      <c r="D338" s="17"/>
      <c r="E338" s="29" t="str">
        <f>IFERROR(VLOOKUP(C338,기출문제!D:G,3,0),"")</f>
        <v/>
      </c>
      <c r="F338" s="30" t="str">
        <f>IFERROR(VLOOKUP(C338,기출문제!D:G,4,0),"")</f>
        <v/>
      </c>
      <c r="G338" s="31" t="str">
        <f t="shared" si="5"/>
        <v/>
      </c>
      <c r="J338" s="23"/>
    </row>
    <row r="339" spans="2:10" s="21" customFormat="1" x14ac:dyDescent="0.3">
      <c r="B339" s="17">
        <v>332</v>
      </c>
      <c r="C339" s="27" t="s">
        <v>723</v>
      </c>
      <c r="D339" s="17"/>
      <c r="E339" s="29" t="str">
        <f>IFERROR(VLOOKUP(C339,기출문제!D:G,3,0),"")</f>
        <v/>
      </c>
      <c r="F339" s="30" t="str">
        <f>IFERROR(VLOOKUP(C339,기출문제!D:G,4,0),"")</f>
        <v/>
      </c>
      <c r="G339" s="31" t="str">
        <f t="shared" si="5"/>
        <v/>
      </c>
      <c r="J339" s="23"/>
    </row>
    <row r="340" spans="2:10" s="21" customFormat="1" x14ac:dyDescent="0.3">
      <c r="B340" s="17">
        <v>333</v>
      </c>
      <c r="C340" s="27" t="s">
        <v>723</v>
      </c>
      <c r="D340" s="17"/>
      <c r="E340" s="29" t="str">
        <f>IFERROR(VLOOKUP(C340,기출문제!D:G,3,0),"")</f>
        <v/>
      </c>
      <c r="F340" s="30" t="str">
        <f>IFERROR(VLOOKUP(C340,기출문제!D:G,4,0),"")</f>
        <v/>
      </c>
      <c r="G340" s="31" t="str">
        <f t="shared" si="5"/>
        <v/>
      </c>
      <c r="J340" s="23"/>
    </row>
    <row r="341" spans="2:10" s="21" customFormat="1" x14ac:dyDescent="0.3">
      <c r="B341" s="17">
        <v>334</v>
      </c>
      <c r="C341" s="27" t="s">
        <v>723</v>
      </c>
      <c r="D341" s="17"/>
      <c r="E341" s="29" t="str">
        <f>IFERROR(VLOOKUP(C341,기출문제!D:G,3,0),"")</f>
        <v/>
      </c>
      <c r="F341" s="30" t="str">
        <f>IFERROR(VLOOKUP(C341,기출문제!D:G,4,0),"")</f>
        <v/>
      </c>
      <c r="G341" s="31" t="str">
        <f t="shared" si="5"/>
        <v/>
      </c>
      <c r="J341" s="23"/>
    </row>
    <row r="342" spans="2:10" s="21" customFormat="1" x14ac:dyDescent="0.3">
      <c r="B342" s="17">
        <v>335</v>
      </c>
      <c r="C342" s="27" t="s">
        <v>723</v>
      </c>
      <c r="D342" s="17"/>
      <c r="E342" s="29" t="str">
        <f>IFERROR(VLOOKUP(C342,기출문제!D:G,3,0),"")</f>
        <v/>
      </c>
      <c r="F342" s="30" t="str">
        <f>IFERROR(VLOOKUP(C342,기출문제!D:G,4,0),"")</f>
        <v/>
      </c>
      <c r="G342" s="31" t="str">
        <f t="shared" si="5"/>
        <v/>
      </c>
      <c r="J342" s="23"/>
    </row>
    <row r="343" spans="2:10" s="21" customFormat="1" x14ac:dyDescent="0.3">
      <c r="B343" s="17">
        <v>336</v>
      </c>
      <c r="C343" s="27" t="s">
        <v>723</v>
      </c>
      <c r="D343" s="17"/>
      <c r="E343" s="29" t="str">
        <f>IFERROR(VLOOKUP(C343,기출문제!D:G,3,0),"")</f>
        <v/>
      </c>
      <c r="F343" s="30" t="str">
        <f>IFERROR(VLOOKUP(C343,기출문제!D:G,4,0),"")</f>
        <v/>
      </c>
      <c r="G343" s="31" t="str">
        <f t="shared" si="5"/>
        <v/>
      </c>
      <c r="J343" s="23"/>
    </row>
    <row r="344" spans="2:10" s="21" customFormat="1" x14ac:dyDescent="0.3">
      <c r="B344" s="17">
        <v>337</v>
      </c>
      <c r="C344" s="27" t="s">
        <v>723</v>
      </c>
      <c r="D344" s="17"/>
      <c r="E344" s="29" t="str">
        <f>IFERROR(VLOOKUP(C344,기출문제!D:G,3,0),"")</f>
        <v/>
      </c>
      <c r="F344" s="30" t="str">
        <f>IFERROR(VLOOKUP(C344,기출문제!D:G,4,0),"")</f>
        <v/>
      </c>
      <c r="G344" s="31" t="str">
        <f t="shared" si="5"/>
        <v/>
      </c>
      <c r="J344" s="23"/>
    </row>
    <row r="345" spans="2:10" s="21" customFormat="1" x14ac:dyDescent="0.3">
      <c r="B345" s="17">
        <v>338</v>
      </c>
      <c r="C345" s="27" t="s">
        <v>723</v>
      </c>
      <c r="D345" s="17"/>
      <c r="E345" s="29" t="str">
        <f>IFERROR(VLOOKUP(C345,기출문제!D:G,3,0),"")</f>
        <v/>
      </c>
      <c r="F345" s="30" t="str">
        <f>IFERROR(VLOOKUP(C345,기출문제!D:G,4,0),"")</f>
        <v/>
      </c>
      <c r="G345" s="31" t="str">
        <f t="shared" si="5"/>
        <v/>
      </c>
      <c r="J345" s="23"/>
    </row>
    <row r="346" spans="2:10" s="21" customFormat="1" x14ac:dyDescent="0.3">
      <c r="B346" s="17">
        <v>339</v>
      </c>
      <c r="C346" s="27" t="s">
        <v>723</v>
      </c>
      <c r="D346" s="17"/>
      <c r="E346" s="29" t="str">
        <f>IFERROR(VLOOKUP(C346,기출문제!D:G,3,0),"")</f>
        <v/>
      </c>
      <c r="F346" s="30" t="str">
        <f>IFERROR(VLOOKUP(C346,기출문제!D:G,4,0),"")</f>
        <v/>
      </c>
      <c r="G346" s="31" t="str">
        <f t="shared" si="5"/>
        <v/>
      </c>
      <c r="J346" s="23"/>
    </row>
    <row r="347" spans="2:10" s="21" customFormat="1" x14ac:dyDescent="0.3">
      <c r="B347" s="17">
        <v>340</v>
      </c>
      <c r="C347" s="27" t="s">
        <v>723</v>
      </c>
      <c r="D347" s="17"/>
      <c r="E347" s="29" t="str">
        <f>IFERROR(VLOOKUP(C347,기출문제!D:G,3,0),"")</f>
        <v/>
      </c>
      <c r="F347" s="30" t="str">
        <f>IFERROR(VLOOKUP(C347,기출문제!D:G,4,0),"")</f>
        <v/>
      </c>
      <c r="G347" s="31" t="str">
        <f t="shared" si="5"/>
        <v/>
      </c>
      <c r="J347" s="23"/>
    </row>
    <row r="348" spans="2:10" s="21" customFormat="1" x14ac:dyDescent="0.3">
      <c r="B348" s="17">
        <v>341</v>
      </c>
      <c r="C348" s="27" t="s">
        <v>723</v>
      </c>
      <c r="D348" s="17"/>
      <c r="E348" s="29" t="str">
        <f>IFERROR(VLOOKUP(C348,기출문제!D:G,3,0),"")</f>
        <v/>
      </c>
      <c r="F348" s="30" t="str">
        <f>IFERROR(VLOOKUP(C348,기출문제!D:G,4,0),"")</f>
        <v/>
      </c>
      <c r="G348" s="31" t="str">
        <f t="shared" si="5"/>
        <v/>
      </c>
      <c r="J348" s="23"/>
    </row>
    <row r="349" spans="2:10" s="21" customFormat="1" x14ac:dyDescent="0.3">
      <c r="B349" s="17">
        <v>342</v>
      </c>
      <c r="C349" s="27" t="s">
        <v>723</v>
      </c>
      <c r="D349" s="17"/>
      <c r="E349" s="29" t="str">
        <f>IFERROR(VLOOKUP(C349,기출문제!D:G,3,0),"")</f>
        <v/>
      </c>
      <c r="F349" s="30" t="str">
        <f>IFERROR(VLOOKUP(C349,기출문제!D:G,4,0),"")</f>
        <v/>
      </c>
      <c r="G349" s="31" t="str">
        <f t="shared" si="5"/>
        <v/>
      </c>
      <c r="J349" s="23"/>
    </row>
    <row r="350" spans="2:10" s="21" customFormat="1" x14ac:dyDescent="0.3">
      <c r="B350" s="17">
        <v>343</v>
      </c>
      <c r="C350" s="27" t="s">
        <v>723</v>
      </c>
      <c r="D350" s="17"/>
      <c r="E350" s="29" t="str">
        <f>IFERROR(VLOOKUP(C350,기출문제!D:G,3,0),"")</f>
        <v/>
      </c>
      <c r="F350" s="30" t="str">
        <f>IFERROR(VLOOKUP(C350,기출문제!D:G,4,0),"")</f>
        <v/>
      </c>
      <c r="G350" s="31" t="str">
        <f t="shared" si="5"/>
        <v/>
      </c>
      <c r="J350" s="23"/>
    </row>
    <row r="351" spans="2:10" s="21" customFormat="1" x14ac:dyDescent="0.3">
      <c r="B351" s="17">
        <v>344</v>
      </c>
      <c r="C351" s="27" t="s">
        <v>723</v>
      </c>
      <c r="D351" s="17"/>
      <c r="E351" s="29" t="str">
        <f>IFERROR(VLOOKUP(C351,기출문제!D:G,3,0),"")</f>
        <v/>
      </c>
      <c r="F351" s="30" t="str">
        <f>IFERROR(VLOOKUP(C351,기출문제!D:G,4,0),"")</f>
        <v/>
      </c>
      <c r="G351" s="31" t="str">
        <f t="shared" si="5"/>
        <v/>
      </c>
      <c r="J351" s="23"/>
    </row>
    <row r="352" spans="2:10" s="21" customFormat="1" x14ac:dyDescent="0.3">
      <c r="B352" s="17">
        <v>345</v>
      </c>
      <c r="C352" s="27" t="s">
        <v>723</v>
      </c>
      <c r="D352" s="17"/>
      <c r="E352" s="29" t="str">
        <f>IFERROR(VLOOKUP(C352,기출문제!D:G,3,0),"")</f>
        <v/>
      </c>
      <c r="F352" s="30" t="str">
        <f>IFERROR(VLOOKUP(C352,기출문제!D:G,4,0),"")</f>
        <v/>
      </c>
      <c r="G352" s="31" t="str">
        <f t="shared" si="5"/>
        <v/>
      </c>
      <c r="J352" s="23"/>
    </row>
    <row r="353" spans="2:10" s="21" customFormat="1" x14ac:dyDescent="0.3">
      <c r="B353" s="17">
        <v>346</v>
      </c>
      <c r="C353" s="27" t="s">
        <v>723</v>
      </c>
      <c r="D353" s="17"/>
      <c r="E353" s="29" t="str">
        <f>IFERROR(VLOOKUP(C353,기출문제!D:G,3,0),"")</f>
        <v/>
      </c>
      <c r="F353" s="30" t="str">
        <f>IFERROR(VLOOKUP(C353,기출문제!D:G,4,0),"")</f>
        <v/>
      </c>
      <c r="G353" s="31" t="str">
        <f t="shared" si="5"/>
        <v/>
      </c>
      <c r="J353" s="23"/>
    </row>
    <row r="354" spans="2:10" s="21" customFormat="1" x14ac:dyDescent="0.3">
      <c r="B354" s="17">
        <v>347</v>
      </c>
      <c r="C354" s="27" t="s">
        <v>723</v>
      </c>
      <c r="D354" s="17"/>
      <c r="E354" s="29" t="str">
        <f>IFERROR(VLOOKUP(C354,기출문제!D:G,3,0),"")</f>
        <v/>
      </c>
      <c r="F354" s="30" t="str">
        <f>IFERROR(VLOOKUP(C354,기출문제!D:G,4,0),"")</f>
        <v/>
      </c>
      <c r="G354" s="31" t="str">
        <f t="shared" si="5"/>
        <v/>
      </c>
      <c r="J354" s="23"/>
    </row>
    <row r="355" spans="2:10" s="21" customFormat="1" x14ac:dyDescent="0.3">
      <c r="B355" s="17">
        <v>348</v>
      </c>
      <c r="C355" s="27" t="s">
        <v>723</v>
      </c>
      <c r="D355" s="17"/>
      <c r="E355" s="29" t="str">
        <f>IFERROR(VLOOKUP(C355,기출문제!D:G,3,0),"")</f>
        <v/>
      </c>
      <c r="F355" s="30" t="str">
        <f>IFERROR(VLOOKUP(C355,기출문제!D:G,4,0),"")</f>
        <v/>
      </c>
      <c r="G355" s="31" t="str">
        <f t="shared" si="5"/>
        <v/>
      </c>
      <c r="J355" s="23"/>
    </row>
    <row r="356" spans="2:10" s="21" customFormat="1" x14ac:dyDescent="0.3">
      <c r="B356" s="17">
        <v>349</v>
      </c>
      <c r="C356" s="27" t="s">
        <v>723</v>
      </c>
      <c r="D356" s="17"/>
      <c r="E356" s="29" t="str">
        <f>IFERROR(VLOOKUP(C356,기출문제!D:G,3,0),"")</f>
        <v/>
      </c>
      <c r="F356" s="30" t="str">
        <f>IFERROR(VLOOKUP(C356,기출문제!D:G,4,0),"")</f>
        <v/>
      </c>
      <c r="G356" s="31" t="str">
        <f t="shared" si="5"/>
        <v/>
      </c>
      <c r="J356" s="23"/>
    </row>
    <row r="357" spans="2:10" s="21" customFormat="1" x14ac:dyDescent="0.3">
      <c r="B357" s="17">
        <v>350</v>
      </c>
      <c r="C357" s="27" t="s">
        <v>723</v>
      </c>
      <c r="D357" s="17"/>
      <c r="E357" s="29" t="str">
        <f>IFERROR(VLOOKUP(C357,기출문제!D:G,3,0),"")</f>
        <v/>
      </c>
      <c r="F357" s="30" t="str">
        <f>IFERROR(VLOOKUP(C357,기출문제!D:G,4,0),"")</f>
        <v/>
      </c>
      <c r="G357" s="31" t="str">
        <f t="shared" si="5"/>
        <v/>
      </c>
      <c r="J357" s="23"/>
    </row>
    <row r="358" spans="2:10" s="21" customFormat="1" x14ac:dyDescent="0.3">
      <c r="B358" s="17">
        <v>351</v>
      </c>
      <c r="C358" s="27" t="s">
        <v>723</v>
      </c>
      <c r="D358" s="17"/>
      <c r="E358" s="29" t="str">
        <f>IFERROR(VLOOKUP(C358,기출문제!D:G,3,0),"")</f>
        <v/>
      </c>
      <c r="F358" s="30" t="str">
        <f>IFERROR(VLOOKUP(C358,기출문제!D:G,4,0),"")</f>
        <v/>
      </c>
      <c r="G358" s="31" t="str">
        <f t="shared" si="5"/>
        <v/>
      </c>
      <c r="J358" s="23"/>
    </row>
    <row r="359" spans="2:10" s="21" customFormat="1" x14ac:dyDescent="0.3">
      <c r="B359" s="17">
        <v>352</v>
      </c>
      <c r="C359" s="27" t="s">
        <v>723</v>
      </c>
      <c r="D359" s="17"/>
      <c r="E359" s="29" t="str">
        <f>IFERROR(VLOOKUP(C359,기출문제!D:G,3,0),"")</f>
        <v/>
      </c>
      <c r="F359" s="30" t="str">
        <f>IFERROR(VLOOKUP(C359,기출문제!D:G,4,0),"")</f>
        <v/>
      </c>
      <c r="G359" s="31" t="str">
        <f t="shared" si="5"/>
        <v/>
      </c>
      <c r="J359" s="23"/>
    </row>
    <row r="360" spans="2:10" s="21" customFormat="1" x14ac:dyDescent="0.3">
      <c r="B360" s="17">
        <v>353</v>
      </c>
      <c r="C360" s="27" t="s">
        <v>723</v>
      </c>
      <c r="D360" s="17"/>
      <c r="E360" s="29" t="str">
        <f>IFERROR(VLOOKUP(C360,기출문제!D:G,3,0),"")</f>
        <v/>
      </c>
      <c r="F360" s="30" t="str">
        <f>IFERROR(VLOOKUP(C360,기출문제!D:G,4,0),"")</f>
        <v/>
      </c>
      <c r="G360" s="31" t="str">
        <f t="shared" si="5"/>
        <v/>
      </c>
      <c r="J360" s="23"/>
    </row>
    <row r="361" spans="2:10" s="21" customFormat="1" x14ac:dyDescent="0.3">
      <c r="B361" s="17">
        <v>354</v>
      </c>
      <c r="C361" s="27" t="s">
        <v>723</v>
      </c>
      <c r="D361" s="17"/>
      <c r="E361" s="29" t="str">
        <f>IFERROR(VLOOKUP(C361,기출문제!D:G,3,0),"")</f>
        <v/>
      </c>
      <c r="F361" s="30" t="str">
        <f>IFERROR(VLOOKUP(C361,기출문제!D:G,4,0),"")</f>
        <v/>
      </c>
      <c r="G361" s="31" t="str">
        <f t="shared" si="5"/>
        <v/>
      </c>
      <c r="J361" s="23"/>
    </row>
    <row r="362" spans="2:10" s="21" customFormat="1" x14ac:dyDescent="0.3">
      <c r="B362" s="17">
        <v>355</v>
      </c>
      <c r="C362" s="27" t="s">
        <v>723</v>
      </c>
      <c r="D362" s="17"/>
      <c r="E362" s="29" t="str">
        <f>IFERROR(VLOOKUP(C362,기출문제!D:G,3,0),"")</f>
        <v/>
      </c>
      <c r="F362" s="30" t="str">
        <f>IFERROR(VLOOKUP(C362,기출문제!D:G,4,0),"")</f>
        <v/>
      </c>
      <c r="G362" s="31" t="str">
        <f t="shared" si="5"/>
        <v/>
      </c>
      <c r="J362" s="23"/>
    </row>
    <row r="363" spans="2:10" s="21" customFormat="1" x14ac:dyDescent="0.3">
      <c r="B363" s="17">
        <v>356</v>
      </c>
      <c r="C363" s="27" t="s">
        <v>723</v>
      </c>
      <c r="D363" s="17"/>
      <c r="E363" s="29" t="str">
        <f>IFERROR(VLOOKUP(C363,기출문제!D:G,3,0),"")</f>
        <v/>
      </c>
      <c r="F363" s="30" t="str">
        <f>IFERROR(VLOOKUP(C363,기출문제!D:G,4,0),"")</f>
        <v/>
      </c>
      <c r="G363" s="31" t="str">
        <f t="shared" si="5"/>
        <v/>
      </c>
      <c r="J363" s="23"/>
    </row>
    <row r="364" spans="2:10" s="21" customFormat="1" x14ac:dyDescent="0.3">
      <c r="B364" s="17">
        <v>357</v>
      </c>
      <c r="C364" s="27" t="s">
        <v>723</v>
      </c>
      <c r="D364" s="17"/>
      <c r="E364" s="29" t="str">
        <f>IFERROR(VLOOKUP(C364,기출문제!D:G,3,0),"")</f>
        <v/>
      </c>
      <c r="F364" s="30" t="str">
        <f>IFERROR(VLOOKUP(C364,기출문제!D:G,4,0),"")</f>
        <v/>
      </c>
      <c r="G364" s="31" t="str">
        <f t="shared" si="5"/>
        <v/>
      </c>
      <c r="J364" s="23"/>
    </row>
    <row r="365" spans="2:10" s="21" customFormat="1" x14ac:dyDescent="0.3">
      <c r="B365" s="17">
        <v>358</v>
      </c>
      <c r="C365" s="27" t="s">
        <v>723</v>
      </c>
      <c r="D365" s="17"/>
      <c r="E365" s="29" t="str">
        <f>IFERROR(VLOOKUP(C365,기출문제!D:G,3,0),"")</f>
        <v/>
      </c>
      <c r="F365" s="30" t="str">
        <f>IFERROR(VLOOKUP(C365,기출문제!D:G,4,0),"")</f>
        <v/>
      </c>
      <c r="G365" s="31" t="str">
        <f t="shared" si="5"/>
        <v/>
      </c>
      <c r="J365" s="23"/>
    </row>
    <row r="366" spans="2:10" s="21" customFormat="1" x14ac:dyDescent="0.3">
      <c r="B366" s="17">
        <v>359</v>
      </c>
      <c r="C366" s="27" t="s">
        <v>723</v>
      </c>
      <c r="D366" s="17"/>
      <c r="E366" s="29" t="str">
        <f>IFERROR(VLOOKUP(C366,기출문제!D:G,3,0),"")</f>
        <v/>
      </c>
      <c r="F366" s="30" t="str">
        <f>IFERROR(VLOOKUP(C366,기출문제!D:G,4,0),"")</f>
        <v/>
      </c>
      <c r="G366" s="31" t="str">
        <f t="shared" si="5"/>
        <v/>
      </c>
      <c r="J366" s="23"/>
    </row>
    <row r="367" spans="2:10" s="21" customFormat="1" x14ac:dyDescent="0.3">
      <c r="B367" s="17">
        <v>360</v>
      </c>
      <c r="C367" s="27" t="s">
        <v>723</v>
      </c>
      <c r="D367" s="17"/>
      <c r="E367" s="29" t="str">
        <f>IFERROR(VLOOKUP(C367,기출문제!D:G,3,0),"")</f>
        <v/>
      </c>
      <c r="F367" s="30" t="str">
        <f>IFERROR(VLOOKUP(C367,기출문제!D:G,4,0),"")</f>
        <v/>
      </c>
      <c r="G367" s="31" t="str">
        <f t="shared" si="5"/>
        <v/>
      </c>
      <c r="J367" s="23"/>
    </row>
    <row r="368" spans="2:10" s="21" customFormat="1" x14ac:dyDescent="0.3">
      <c r="B368" s="17">
        <v>361</v>
      </c>
      <c r="C368" s="27" t="s">
        <v>723</v>
      </c>
      <c r="D368" s="17"/>
      <c r="E368" s="29" t="str">
        <f>IFERROR(VLOOKUP(C368,기출문제!D:G,3,0),"")</f>
        <v/>
      </c>
      <c r="F368" s="30" t="str">
        <f>IFERROR(VLOOKUP(C368,기출문제!D:G,4,0),"")</f>
        <v/>
      </c>
      <c r="G368" s="31" t="str">
        <f t="shared" si="5"/>
        <v/>
      </c>
      <c r="J368" s="23"/>
    </row>
    <row r="369" spans="2:10" s="21" customFormat="1" x14ac:dyDescent="0.3">
      <c r="B369" s="17">
        <v>362</v>
      </c>
      <c r="C369" s="27" t="s">
        <v>723</v>
      </c>
      <c r="D369" s="17"/>
      <c r="E369" s="29" t="str">
        <f>IFERROR(VLOOKUP(C369,기출문제!D:G,3,0),"")</f>
        <v/>
      </c>
      <c r="F369" s="30" t="str">
        <f>IFERROR(VLOOKUP(C369,기출문제!D:G,4,0),"")</f>
        <v/>
      </c>
      <c r="G369" s="31" t="str">
        <f t="shared" si="5"/>
        <v/>
      </c>
      <c r="J369" s="23"/>
    </row>
    <row r="370" spans="2:10" s="21" customFormat="1" x14ac:dyDescent="0.3">
      <c r="B370" s="17">
        <v>363</v>
      </c>
      <c r="C370" s="27" t="s">
        <v>723</v>
      </c>
      <c r="D370" s="17"/>
      <c r="E370" s="29" t="str">
        <f>IFERROR(VLOOKUP(C370,기출문제!D:G,3,0),"")</f>
        <v/>
      </c>
      <c r="F370" s="30" t="str">
        <f>IFERROR(VLOOKUP(C370,기출문제!D:G,4,0),"")</f>
        <v/>
      </c>
      <c r="G370" s="31" t="str">
        <f t="shared" si="5"/>
        <v/>
      </c>
      <c r="J370" s="23"/>
    </row>
    <row r="371" spans="2:10" s="21" customFormat="1" x14ac:dyDescent="0.3">
      <c r="B371" s="17">
        <v>364</v>
      </c>
      <c r="C371" s="27" t="s">
        <v>723</v>
      </c>
      <c r="D371" s="17"/>
      <c r="E371" s="29" t="str">
        <f>IFERROR(VLOOKUP(C371,기출문제!D:G,3,0),"")</f>
        <v/>
      </c>
      <c r="F371" s="30" t="str">
        <f>IFERROR(VLOOKUP(C371,기출문제!D:G,4,0),"")</f>
        <v/>
      </c>
      <c r="G371" s="31" t="str">
        <f t="shared" si="5"/>
        <v/>
      </c>
      <c r="J371" s="23"/>
    </row>
    <row r="372" spans="2:10" s="21" customFormat="1" x14ac:dyDescent="0.3">
      <c r="B372" s="17">
        <v>365</v>
      </c>
      <c r="C372" s="27" t="s">
        <v>723</v>
      </c>
      <c r="D372" s="17"/>
      <c r="E372" s="29" t="str">
        <f>IFERROR(VLOOKUP(C372,기출문제!D:G,3,0),"")</f>
        <v/>
      </c>
      <c r="F372" s="30" t="str">
        <f>IFERROR(VLOOKUP(C372,기출문제!D:G,4,0),"")</f>
        <v/>
      </c>
      <c r="G372" s="31" t="str">
        <f t="shared" si="5"/>
        <v/>
      </c>
      <c r="J372" s="23"/>
    </row>
    <row r="373" spans="2:10" s="21" customFormat="1" x14ac:dyDescent="0.3">
      <c r="B373" s="17">
        <v>366</v>
      </c>
      <c r="C373" s="27" t="s">
        <v>723</v>
      </c>
      <c r="D373" s="17"/>
      <c r="E373" s="29" t="str">
        <f>IFERROR(VLOOKUP(C373,기출문제!D:G,3,0),"")</f>
        <v/>
      </c>
      <c r="F373" s="30" t="str">
        <f>IFERROR(VLOOKUP(C373,기출문제!D:G,4,0),"")</f>
        <v/>
      </c>
      <c r="G373" s="31" t="str">
        <f t="shared" si="5"/>
        <v/>
      </c>
      <c r="J373" s="23"/>
    </row>
    <row r="374" spans="2:10" s="21" customFormat="1" x14ac:dyDescent="0.3">
      <c r="B374" s="17">
        <v>367</v>
      </c>
      <c r="C374" s="27" t="s">
        <v>723</v>
      </c>
      <c r="D374" s="17"/>
      <c r="E374" s="29" t="str">
        <f>IFERROR(VLOOKUP(C374,기출문제!D:G,3,0),"")</f>
        <v/>
      </c>
      <c r="F374" s="30" t="str">
        <f>IFERROR(VLOOKUP(C374,기출문제!D:G,4,0),"")</f>
        <v/>
      </c>
      <c r="G374" s="31" t="str">
        <f t="shared" si="5"/>
        <v/>
      </c>
      <c r="J374" s="23"/>
    </row>
    <row r="375" spans="2:10" s="21" customFormat="1" x14ac:dyDescent="0.3">
      <c r="B375" s="17">
        <v>368</v>
      </c>
      <c r="C375" s="27" t="s">
        <v>723</v>
      </c>
      <c r="D375" s="17"/>
      <c r="E375" s="29" t="str">
        <f>IFERROR(VLOOKUP(C375,기출문제!D:G,3,0),"")</f>
        <v/>
      </c>
      <c r="F375" s="30" t="str">
        <f>IFERROR(VLOOKUP(C375,기출문제!D:G,4,0),"")</f>
        <v/>
      </c>
      <c r="G375" s="31" t="str">
        <f t="shared" si="5"/>
        <v/>
      </c>
      <c r="J375" s="23"/>
    </row>
    <row r="376" spans="2:10" s="21" customFormat="1" x14ac:dyDescent="0.3">
      <c r="B376" s="17">
        <v>369</v>
      </c>
      <c r="C376" s="27" t="s">
        <v>723</v>
      </c>
      <c r="D376" s="17"/>
      <c r="E376" s="29" t="str">
        <f>IFERROR(VLOOKUP(C376,기출문제!D:G,3,0),"")</f>
        <v/>
      </c>
      <c r="F376" s="30" t="str">
        <f>IFERROR(VLOOKUP(C376,기출문제!D:G,4,0),"")</f>
        <v/>
      </c>
      <c r="G376" s="31" t="str">
        <f t="shared" si="5"/>
        <v/>
      </c>
      <c r="J376" s="23"/>
    </row>
    <row r="377" spans="2:10" s="21" customFormat="1" x14ac:dyDescent="0.3">
      <c r="B377" s="17">
        <v>370</v>
      </c>
      <c r="C377" s="27" t="s">
        <v>723</v>
      </c>
      <c r="D377" s="17"/>
      <c r="E377" s="29" t="str">
        <f>IFERROR(VLOOKUP(C377,기출문제!D:G,3,0),"")</f>
        <v/>
      </c>
      <c r="F377" s="30" t="str">
        <f>IFERROR(VLOOKUP(C377,기출문제!D:G,4,0),"")</f>
        <v/>
      </c>
      <c r="G377" s="31" t="str">
        <f t="shared" si="5"/>
        <v/>
      </c>
      <c r="J377" s="23"/>
    </row>
    <row r="378" spans="2:10" s="21" customFormat="1" x14ac:dyDescent="0.3">
      <c r="B378" s="17">
        <v>371</v>
      </c>
      <c r="C378" s="27" t="s">
        <v>723</v>
      </c>
      <c r="D378" s="17"/>
      <c r="E378" s="29" t="str">
        <f>IFERROR(VLOOKUP(C378,기출문제!D:G,3,0),"")</f>
        <v/>
      </c>
      <c r="F378" s="30" t="str">
        <f>IFERROR(VLOOKUP(C378,기출문제!D:G,4,0),"")</f>
        <v/>
      </c>
      <c r="G378" s="31" t="str">
        <f t="shared" si="5"/>
        <v/>
      </c>
      <c r="J378" s="23"/>
    </row>
    <row r="379" spans="2:10" s="21" customFormat="1" x14ac:dyDescent="0.3">
      <c r="B379" s="17">
        <v>372</v>
      </c>
      <c r="C379" s="27" t="s">
        <v>723</v>
      </c>
      <c r="D379" s="17"/>
      <c r="E379" s="29" t="str">
        <f>IFERROR(VLOOKUP(C379,기출문제!D:G,3,0),"")</f>
        <v/>
      </c>
      <c r="F379" s="30" t="str">
        <f>IFERROR(VLOOKUP(C379,기출문제!D:G,4,0),"")</f>
        <v/>
      </c>
      <c r="G379" s="31" t="str">
        <f t="shared" si="5"/>
        <v/>
      </c>
      <c r="J379" s="23"/>
    </row>
    <row r="380" spans="2:10" s="21" customFormat="1" x14ac:dyDescent="0.3">
      <c r="B380" s="17">
        <v>373</v>
      </c>
      <c r="C380" s="27" t="s">
        <v>723</v>
      </c>
      <c r="D380" s="17"/>
      <c r="E380" s="29" t="str">
        <f>IFERROR(VLOOKUP(C380,기출문제!D:G,3,0),"")</f>
        <v/>
      </c>
      <c r="F380" s="30" t="str">
        <f>IFERROR(VLOOKUP(C380,기출문제!D:G,4,0),"")</f>
        <v/>
      </c>
      <c r="G380" s="31" t="str">
        <f t="shared" si="5"/>
        <v/>
      </c>
      <c r="J380" s="23"/>
    </row>
    <row r="381" spans="2:10" s="21" customFormat="1" x14ac:dyDescent="0.3">
      <c r="B381" s="17">
        <v>374</v>
      </c>
      <c r="C381" s="27" t="s">
        <v>723</v>
      </c>
      <c r="D381" s="17"/>
      <c r="E381" s="29" t="str">
        <f>IFERROR(VLOOKUP(C381,기출문제!D:G,3,0),"")</f>
        <v/>
      </c>
      <c r="F381" s="30" t="str">
        <f>IFERROR(VLOOKUP(C381,기출문제!D:G,4,0),"")</f>
        <v/>
      </c>
      <c r="G381" s="31" t="str">
        <f t="shared" si="5"/>
        <v/>
      </c>
      <c r="J381" s="23"/>
    </row>
    <row r="382" spans="2:10" s="21" customFormat="1" x14ac:dyDescent="0.3">
      <c r="B382" s="17">
        <v>375</v>
      </c>
      <c r="C382" s="27" t="s">
        <v>723</v>
      </c>
      <c r="D382" s="17"/>
      <c r="E382" s="29" t="str">
        <f>IFERROR(VLOOKUP(C382,기출문제!D:G,3,0),"")</f>
        <v/>
      </c>
      <c r="F382" s="30" t="str">
        <f>IFERROR(VLOOKUP(C382,기출문제!D:G,4,0),"")</f>
        <v/>
      </c>
      <c r="G382" s="31" t="str">
        <f t="shared" si="5"/>
        <v/>
      </c>
      <c r="J382" s="23"/>
    </row>
    <row r="383" spans="2:10" s="21" customFormat="1" x14ac:dyDescent="0.3">
      <c r="B383" s="17">
        <v>376</v>
      </c>
      <c r="C383" s="27" t="s">
        <v>723</v>
      </c>
      <c r="D383" s="17"/>
      <c r="E383" s="29" t="str">
        <f>IFERROR(VLOOKUP(C383,기출문제!D:G,3,0),"")</f>
        <v/>
      </c>
      <c r="F383" s="30" t="str">
        <f>IFERROR(VLOOKUP(C383,기출문제!D:G,4,0),"")</f>
        <v/>
      </c>
      <c r="G383" s="31" t="str">
        <f t="shared" si="5"/>
        <v/>
      </c>
      <c r="J383" s="23"/>
    </row>
    <row r="384" spans="2:10" s="21" customFormat="1" x14ac:dyDescent="0.3">
      <c r="B384" s="17">
        <v>377</v>
      </c>
      <c r="C384" s="27" t="s">
        <v>723</v>
      </c>
      <c r="D384" s="17"/>
      <c r="E384" s="29" t="str">
        <f>IFERROR(VLOOKUP(C384,기출문제!D:G,3,0),"")</f>
        <v/>
      </c>
      <c r="F384" s="30" t="str">
        <f>IFERROR(VLOOKUP(C384,기출문제!D:G,4,0),"")</f>
        <v/>
      </c>
      <c r="G384" s="31" t="str">
        <f t="shared" si="5"/>
        <v/>
      </c>
      <c r="J384" s="23"/>
    </row>
    <row r="385" spans="2:10" s="21" customFormat="1" x14ac:dyDescent="0.3">
      <c r="B385" s="17">
        <v>378</v>
      </c>
      <c r="C385" s="27" t="s">
        <v>723</v>
      </c>
      <c r="D385" s="17"/>
      <c r="E385" s="29" t="str">
        <f>IFERROR(VLOOKUP(C385,기출문제!D:G,3,0),"")</f>
        <v/>
      </c>
      <c r="F385" s="30" t="str">
        <f>IFERROR(VLOOKUP(C385,기출문제!D:G,4,0),"")</f>
        <v/>
      </c>
      <c r="G385" s="31" t="str">
        <f t="shared" si="5"/>
        <v/>
      </c>
      <c r="J385" s="23"/>
    </row>
    <row r="386" spans="2:10" s="21" customFormat="1" x14ac:dyDescent="0.3">
      <c r="B386" s="17">
        <v>379</v>
      </c>
      <c r="C386" s="27" t="s">
        <v>723</v>
      </c>
      <c r="D386" s="17"/>
      <c r="E386" s="29" t="str">
        <f>IFERROR(VLOOKUP(C386,기출문제!D:G,3,0),"")</f>
        <v/>
      </c>
      <c r="F386" s="30" t="str">
        <f>IFERROR(VLOOKUP(C386,기출문제!D:G,4,0),"")</f>
        <v/>
      </c>
      <c r="G386" s="31" t="str">
        <f t="shared" si="5"/>
        <v/>
      </c>
      <c r="J386" s="23"/>
    </row>
    <row r="387" spans="2:10" s="21" customFormat="1" x14ac:dyDescent="0.3">
      <c r="B387" s="17">
        <v>380</v>
      </c>
      <c r="C387" s="27" t="s">
        <v>723</v>
      </c>
      <c r="D387" s="17"/>
      <c r="E387" s="29" t="str">
        <f>IFERROR(VLOOKUP(C387,기출문제!D:G,3,0),"")</f>
        <v/>
      </c>
      <c r="F387" s="30" t="str">
        <f>IFERROR(VLOOKUP(C387,기출문제!D:G,4,0),"")</f>
        <v/>
      </c>
      <c r="G387" s="31" t="str">
        <f t="shared" si="5"/>
        <v/>
      </c>
      <c r="J387" s="23"/>
    </row>
    <row r="388" spans="2:10" s="21" customFormat="1" x14ac:dyDescent="0.3">
      <c r="B388" s="17">
        <v>381</v>
      </c>
      <c r="C388" s="27" t="s">
        <v>723</v>
      </c>
      <c r="D388" s="17"/>
      <c r="E388" s="29" t="str">
        <f>IFERROR(VLOOKUP(C388,기출문제!D:G,3,0),"")</f>
        <v/>
      </c>
      <c r="F388" s="30" t="str">
        <f>IFERROR(VLOOKUP(C388,기출문제!D:G,4,0),"")</f>
        <v/>
      </c>
      <c r="G388" s="31" t="str">
        <f t="shared" si="5"/>
        <v/>
      </c>
      <c r="J388" s="23"/>
    </row>
    <row r="389" spans="2:10" s="21" customFormat="1" x14ac:dyDescent="0.3">
      <c r="B389" s="17">
        <v>382</v>
      </c>
      <c r="C389" s="27" t="s">
        <v>723</v>
      </c>
      <c r="D389" s="17"/>
      <c r="E389" s="29" t="str">
        <f>IFERROR(VLOOKUP(C389,기출문제!D:G,3,0),"")</f>
        <v/>
      </c>
      <c r="F389" s="30" t="str">
        <f>IFERROR(VLOOKUP(C389,기출문제!D:G,4,0),"")</f>
        <v/>
      </c>
      <c r="G389" s="31" t="str">
        <f t="shared" si="5"/>
        <v/>
      </c>
      <c r="J389" s="23"/>
    </row>
    <row r="390" spans="2:10" s="21" customFormat="1" x14ac:dyDescent="0.3">
      <c r="B390" s="17">
        <v>383</v>
      </c>
      <c r="C390" s="27" t="s">
        <v>723</v>
      </c>
      <c r="D390" s="17"/>
      <c r="E390" s="29" t="str">
        <f>IFERROR(VLOOKUP(C390,기출문제!D:G,3,0),"")</f>
        <v/>
      </c>
      <c r="F390" s="30" t="str">
        <f>IFERROR(VLOOKUP(C390,기출문제!D:G,4,0),"")</f>
        <v/>
      </c>
      <c r="G390" s="31" t="str">
        <f t="shared" si="5"/>
        <v/>
      </c>
      <c r="J390" s="23"/>
    </row>
    <row r="391" spans="2:10" s="21" customFormat="1" x14ac:dyDescent="0.3">
      <c r="B391" s="17">
        <v>384</v>
      </c>
      <c r="C391" s="27" t="s">
        <v>723</v>
      </c>
      <c r="D391" s="17"/>
      <c r="E391" s="29" t="str">
        <f>IFERROR(VLOOKUP(C391,기출문제!D:G,3,0),"")</f>
        <v/>
      </c>
      <c r="F391" s="30" t="str">
        <f>IFERROR(VLOOKUP(C391,기출문제!D:G,4,0),"")</f>
        <v/>
      </c>
      <c r="G391" s="31" t="str">
        <f t="shared" si="5"/>
        <v/>
      </c>
      <c r="J391" s="23"/>
    </row>
    <row r="392" spans="2:10" s="21" customFormat="1" x14ac:dyDescent="0.3">
      <c r="B392" s="17">
        <v>385</v>
      </c>
      <c r="C392" s="27" t="s">
        <v>723</v>
      </c>
      <c r="D392" s="17"/>
      <c r="E392" s="29" t="str">
        <f>IFERROR(VLOOKUP(C392,기출문제!D:G,3,0),"")</f>
        <v/>
      </c>
      <c r="F392" s="30" t="str">
        <f>IFERROR(VLOOKUP(C392,기출문제!D:G,4,0),"")</f>
        <v/>
      </c>
      <c r="G392" s="31" t="str">
        <f t="shared" si="5"/>
        <v/>
      </c>
      <c r="J392" s="23"/>
    </row>
    <row r="393" spans="2:10" s="21" customFormat="1" x14ac:dyDescent="0.3">
      <c r="B393" s="17">
        <v>386</v>
      </c>
      <c r="C393" s="27" t="s">
        <v>723</v>
      </c>
      <c r="D393" s="17"/>
      <c r="E393" s="29" t="str">
        <f>IFERROR(VLOOKUP(C393,기출문제!D:G,3,0),"")</f>
        <v/>
      </c>
      <c r="F393" s="30" t="str">
        <f>IFERROR(VLOOKUP(C393,기출문제!D:G,4,0),"")</f>
        <v/>
      </c>
      <c r="G393" s="31" t="str">
        <f t="shared" ref="G393:G397" si="6">IF(D393="","",IF(D393=F393,"O", "X"))</f>
        <v/>
      </c>
      <c r="J393" s="23"/>
    </row>
    <row r="394" spans="2:10" s="21" customFormat="1" x14ac:dyDescent="0.3">
      <c r="B394" s="17">
        <v>387</v>
      </c>
      <c r="C394" s="27" t="s">
        <v>723</v>
      </c>
      <c r="D394" s="17"/>
      <c r="E394" s="29" t="str">
        <f>IFERROR(VLOOKUP(C394,기출문제!D:G,3,0),"")</f>
        <v/>
      </c>
      <c r="F394" s="30" t="str">
        <f>IFERROR(VLOOKUP(C394,기출문제!D:G,4,0),"")</f>
        <v/>
      </c>
      <c r="G394" s="31" t="str">
        <f t="shared" si="6"/>
        <v/>
      </c>
      <c r="J394" s="23"/>
    </row>
    <row r="395" spans="2:10" s="21" customFormat="1" x14ac:dyDescent="0.3">
      <c r="B395" s="17">
        <v>388</v>
      </c>
      <c r="C395" s="27" t="s">
        <v>723</v>
      </c>
      <c r="D395" s="17"/>
      <c r="E395" s="29" t="str">
        <f>IFERROR(VLOOKUP(C395,기출문제!D:G,3,0),"")</f>
        <v/>
      </c>
      <c r="F395" s="30" t="str">
        <f>IFERROR(VLOOKUP(C395,기출문제!D:G,4,0),"")</f>
        <v/>
      </c>
      <c r="G395" s="31" t="str">
        <f t="shared" si="6"/>
        <v/>
      </c>
      <c r="J395" s="23"/>
    </row>
    <row r="396" spans="2:10" s="21" customFormat="1" x14ac:dyDescent="0.3">
      <c r="B396" s="17">
        <v>389</v>
      </c>
      <c r="C396" s="27" t="s">
        <v>723</v>
      </c>
      <c r="D396" s="17"/>
      <c r="E396" s="29" t="str">
        <f>IFERROR(VLOOKUP(C396,기출문제!D:G,3,0),"")</f>
        <v/>
      </c>
      <c r="F396" s="30" t="str">
        <f>IFERROR(VLOOKUP(C396,기출문제!D:G,4,0),"")</f>
        <v/>
      </c>
      <c r="G396" s="31" t="str">
        <f t="shared" si="6"/>
        <v/>
      </c>
      <c r="J396" s="23"/>
    </row>
    <row r="397" spans="2:10" s="21" customFormat="1" x14ac:dyDescent="0.3">
      <c r="B397" s="17">
        <v>390</v>
      </c>
      <c r="C397" s="27" t="s">
        <v>723</v>
      </c>
      <c r="D397" s="17"/>
      <c r="E397" s="29" t="str">
        <f>IFERROR(VLOOKUP(C397,기출문제!D:G,3,0),"")</f>
        <v/>
      </c>
      <c r="F397" s="30" t="str">
        <f>IFERROR(VLOOKUP(C397,기출문제!D:G,4,0),"")</f>
        <v/>
      </c>
      <c r="G397" s="31" t="str">
        <f t="shared" si="6"/>
        <v/>
      </c>
      <c r="J397" s="23"/>
    </row>
  </sheetData>
  <sortState xmlns:xlrd2="http://schemas.microsoft.com/office/spreadsheetml/2017/richdata2" ref="C8:C50">
    <sortCondition ref="C8"/>
  </sortState>
  <phoneticPr fontId="1" type="noConversion"/>
  <conditionalFormatting sqref="F8:F397">
    <cfRule type="expression" dxfId="5" priority="1">
      <formula>$D8&lt;&gt;""</formula>
    </cfRule>
  </conditionalFormatting>
  <dataValidations count="1">
    <dataValidation type="list" allowBlank="1" showInputMessage="1" showErrorMessage="1" sqref="D3" xr:uid="{83BD479B-0F35-45DE-9360-663ADDD3FF71}">
      <formula1>"A(기본),R(랜덤)"</formula1>
    </dataValidation>
  </dataValidations>
  <printOptions horizontalCentered="1"/>
  <pageMargins left="0" right="0" top="0.19685039370078741" bottom="0" header="0" footer="0"/>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현재_통합_문서.TestQuestionCreate_Click" altText="문제생성_x000a_">
                <anchor moveWithCells="1" sizeWithCells="1">
                  <from>
                    <xdr:col>2</xdr:col>
                    <xdr:colOff>9525</xdr:colOff>
                    <xdr:row>5</xdr:row>
                    <xdr:rowOff>28575</xdr:rowOff>
                  </from>
                  <to>
                    <xdr:col>3</xdr:col>
                    <xdr:colOff>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84A372D-1F46-4D96-BF5B-37B03E12AD4E}">
          <x14:formula1>
            <xm:f>기출문제!$C$4:$C$5000</xm:f>
          </x14:formula1>
          <xm:sqref>D4:D5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2279C-5D76-46DB-A5CD-607CEDB1FAC0}">
  <sheetPr codeName="Sheet17">
    <pageSetUpPr autoPageBreaks="0"/>
  </sheetPr>
  <dimension ref="B2:J397"/>
  <sheetViews>
    <sheetView showGridLines="0" zoomScaleNormal="100" zoomScaleSheetLayoutView="100" workbookViewId="0">
      <pane ySplit="7" topLeftCell="A253" activePane="bottomLeft" state="frozen"/>
      <selection activeCell="N35" sqref="N35"/>
      <selection pane="bottomLeft" activeCell="B7" sqref="B7:G7"/>
    </sheetView>
  </sheetViews>
  <sheetFormatPr defaultColWidth="9" defaultRowHeight="14.25" x14ac:dyDescent="0.3"/>
  <cols>
    <col min="1" max="1" width="1.625" style="23" customWidth="1"/>
    <col min="2" max="2" width="3.625" style="15" customWidth="1"/>
    <col min="3" max="3" width="10.625" style="15" customWidth="1"/>
    <col min="4" max="4" width="5.625" style="15" customWidth="1"/>
    <col min="5" max="5" width="95.625" style="18" customWidth="1"/>
    <col min="6" max="7" width="5.625" style="26" customWidth="1"/>
    <col min="8" max="9" width="9" style="21"/>
    <col min="10" max="16384" width="9" style="23"/>
  </cols>
  <sheetData>
    <row r="2" spans="2:10" x14ac:dyDescent="0.3">
      <c r="C2" s="16" t="s">
        <v>724</v>
      </c>
      <c r="D2" s="17">
        <v>265</v>
      </c>
      <c r="F2" s="19" t="s">
        <v>763</v>
      </c>
      <c r="G2" s="20">
        <f>MAX(B8:B397)-COUNTBLANK(C8:C397)</f>
        <v>265</v>
      </c>
      <c r="J2" s="22"/>
    </row>
    <row r="3" spans="2:10" x14ac:dyDescent="0.3">
      <c r="C3" s="16" t="s">
        <v>725</v>
      </c>
      <c r="D3" s="17" t="s">
        <v>744</v>
      </c>
      <c r="F3" s="19" t="s">
        <v>773</v>
      </c>
      <c r="G3" s="24">
        <f>COUNTIF(G8:G447,"X")</f>
        <v>72</v>
      </c>
      <c r="J3" s="22"/>
    </row>
    <row r="4" spans="2:10" x14ac:dyDescent="0.3">
      <c r="C4" s="16" t="s">
        <v>729</v>
      </c>
      <c r="D4" s="17" t="s">
        <v>739</v>
      </c>
      <c r="F4" s="24" t="s">
        <v>3</v>
      </c>
      <c r="G4" s="24">
        <f>G2-G3</f>
        <v>193</v>
      </c>
      <c r="J4" s="22"/>
    </row>
    <row r="5" spans="2:10" x14ac:dyDescent="0.3">
      <c r="C5" s="16" t="s">
        <v>726</v>
      </c>
      <c r="D5" s="17" t="s">
        <v>728</v>
      </c>
      <c r="F5" s="24" t="s">
        <v>764</v>
      </c>
      <c r="G5" s="25">
        <f>100/G2*G4</f>
        <v>72.830188679245282</v>
      </c>
      <c r="J5" s="22"/>
    </row>
    <row r="6" spans="2:10" x14ac:dyDescent="0.3">
      <c r="J6" s="22"/>
    </row>
    <row r="7" spans="2:10" x14ac:dyDescent="0.3">
      <c r="B7" s="4" t="s">
        <v>0</v>
      </c>
      <c r="C7" s="4" t="s">
        <v>1</v>
      </c>
      <c r="D7" s="4" t="s">
        <v>606</v>
      </c>
      <c r="E7" s="14" t="s">
        <v>2</v>
      </c>
      <c r="F7" s="14" t="s">
        <v>3</v>
      </c>
      <c r="G7" s="14" t="s">
        <v>598</v>
      </c>
      <c r="J7" s="22"/>
    </row>
    <row r="8" spans="2:10" ht="156.75" x14ac:dyDescent="0.3">
      <c r="B8" s="17">
        <v>1</v>
      </c>
      <c r="C8" s="27" t="s">
        <v>631</v>
      </c>
      <c r="D8" s="28">
        <v>5</v>
      </c>
      <c r="E8" s="29" t="str">
        <f>IFERROR(VLOOKUP(C8,기출문제!D:G,3,0),"")</f>
        <v>41. 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
① ㄱ, ㄴ, ㄷ 
② ㄱ, ㄴ, ㄹ 
③ ㄱ, ㄷ, ㄹ
④ ㄴ, ㄷ, ㄹ 
⑤ ㄱ, ㄴ, ㄷ, ㄹ</v>
      </c>
      <c r="F8" s="30">
        <f>IFERROR(VLOOKUP(C8,기출문제!D:G,4,0),"")</f>
        <v>5</v>
      </c>
      <c r="G8" s="31" t="str">
        <f>IF(D8="","",IF(D8=F8,"O", "X"))</f>
        <v>O</v>
      </c>
    </row>
    <row r="9" spans="2:10" ht="156.75" x14ac:dyDescent="0.3">
      <c r="B9" s="17">
        <v>2</v>
      </c>
      <c r="C9" s="27" t="s">
        <v>866</v>
      </c>
      <c r="D9" s="28">
        <v>4</v>
      </c>
      <c r="E9" s="29" t="str">
        <f>IFERROR(VLOOKUP(C9,기출문제!D:G,3,0),"")</f>
        <v>42. 사회보장기본법령에 관한 설명으로 옳지 않은 것은?
① 보건복지부장관은 사회보장 행정데이터 분석센터의 설치・운영에 관한 사무를 수행하기 위하여 불가피한 경우「개인정보 보호법」시행령 제18조제2호에 따른 범죄경력자료에 해당하는 정보를 처리할 수 있다.
② 보건복지부장관은 사회보장 분야 전문 인력 양성을 위하여 관계 중앙행정기관, 지방자치단체, 공공기관 및 법인・단체 등의 직원을 대상으로 사회보장에 관한 교육을 매년 1회 이상 실시할 수 있다.
③ 보건복지부장관은 사회보장정보시스템을 통해 다른 법령에 따라 국가 및 지방자치단체로부터 위탁받은 사회보장에 관한 업무를 수행할 수 있다.
④ 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
⑤ 보건복지부장관이 사회보장정보시스템의 운영・지원을 위하여 설치할 수 있는 전담기구는「사회보장급여의 이용・제공 및 수급권자 발굴에 관한 법률」제29조에 따른 한국사회보장정보원으로 한다.</v>
      </c>
      <c r="F9" s="30">
        <f>IFERROR(VLOOKUP(C9,기출문제!D:G,4,0),"")</f>
        <v>1</v>
      </c>
      <c r="G9" s="31" t="str">
        <f t="shared" ref="G9:G72" si="0">IF(D9="","",IF(D9=F9,"O", "X"))</f>
        <v>X</v>
      </c>
    </row>
    <row r="10" spans="2:10" ht="114" x14ac:dyDescent="0.3">
      <c r="B10" s="17">
        <v>3</v>
      </c>
      <c r="C10" s="27" t="s">
        <v>867</v>
      </c>
      <c r="D10" s="28">
        <v>2</v>
      </c>
      <c r="E10" s="29" t="str">
        <f>IFERROR(VLOOKUP(C10,기출문제!D:G,3,0),"")</f>
        <v>43. 사회보장기본법령상 사회보장 재정추계(財政推計)에 관한 설명으로 옳지 않은 것은?
① 국가는 사회보장제도의 안정적인 운영을 위하여 중장기 사회보장 재정추계를 격년으로 실시하고 이를 공표하여야 한다.
② 보건복지부장관은 사회보장 재정추계를 위하여 재정추계를 실시하는 해의 1월 31일까지 재정추계 세부지침을 마련하여야 한다.
③ 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
④ 관계 중앙행정기관의 장은 재정추계 결과를 바탕으로 정책개선안을 마련하여 같은 해 12월 31일까지 보건복지부장관에게 제출하여야 한다.
⑤ 보건복지부장관은 정책개선안을 종합하여 이를 추계 실시 해의 다음 해 3월 31일까지 사회보장위원회에 보고하여야 한다.</v>
      </c>
      <c r="F10" s="30">
        <f>IFERROR(VLOOKUP(C10,기출문제!D:G,4,0),"")</f>
        <v>2</v>
      </c>
      <c r="G10" s="31" t="str">
        <f t="shared" si="0"/>
        <v>O</v>
      </c>
    </row>
    <row r="11" spans="2:10" ht="85.5" x14ac:dyDescent="0.3">
      <c r="B11" s="17">
        <v>4</v>
      </c>
      <c r="C11" s="27" t="s">
        <v>868</v>
      </c>
      <c r="D11" s="28">
        <v>2</v>
      </c>
      <c r="E11" s="29" t="str">
        <f>IFERROR(VLOOKUP(C11,기출문제!D:G,3,0),"")</f>
        <v>44. 고용보험법상「장애인고용촉진 및 직업재활법」제2조제1호에 따른 장애인의 피보험 기간이 1년인 구직급여의 소정급여일수는?
① 120일 
② 180일 
③ 210일 
④ 240일 
⑤ 270일</v>
      </c>
      <c r="F11" s="30">
        <f>IFERROR(VLOOKUP(C11,기출문제!D:G,4,0),"")</f>
        <v>2</v>
      </c>
      <c r="G11" s="31" t="str">
        <f t="shared" si="0"/>
        <v>O</v>
      </c>
    </row>
    <row r="12" spans="2:10" ht="156.75" x14ac:dyDescent="0.3">
      <c r="B12" s="17">
        <v>5</v>
      </c>
      <c r="C12" s="27" t="s">
        <v>869</v>
      </c>
      <c r="D12" s="28">
        <v>4</v>
      </c>
      <c r="E12" s="29" t="str">
        <f>IFERROR(VLOOKUP(C12,기출문제!D:G,3,0),"")</f>
        <v>45. 고용보험법상 심사 및 재심사청구에 관한 설명으로 옳은 것은?
① 직업안정기관 또는 근로복지공단은 심사청구서를 받은 날부터 7일 이내에 의견서를 첨부하여 심사청구서를 고용보험심사관에 보내야 한다.
② 고용보험심사관은 원처분등의 집행에 의하여 발생하는 중대한 위해(危害)를 피하기 위하여 긴급한 필요가 있다고 인정되더라도 직권으로는 그 집행을 정지시킬 수 없다.
③ 육아휴직 급여와 출산전후휴가 급여등에 관한 처분에 대한 심사의 청구는 근로복지공단을 거쳐 고용보험심사관에게 하여야 한다.
④ 고용보험심사관은 심사의 청구에 대한 심리(審理)를 마쳤을 때에는 원처분등의 전부 또는 일부를 취소하거나 심사청구의 전부 또는 일부를 기각한다.
⑤ 심사청구에 대한 결정은 심사청구인 및 직업안정기관의 장 또는 근로복지공단에 결정서의 정본을 보낸 다음 날부터 효력이 발생한다.</v>
      </c>
      <c r="F12" s="30">
        <f>IFERROR(VLOOKUP(C12,기출문제!D:G,4,0),"")</f>
        <v>4</v>
      </c>
      <c r="G12" s="31" t="str">
        <f t="shared" si="0"/>
        <v>O</v>
      </c>
    </row>
    <row r="13" spans="2:10" ht="156.75" x14ac:dyDescent="0.3">
      <c r="B13" s="17">
        <v>6</v>
      </c>
      <c r="C13" s="27" t="s">
        <v>870</v>
      </c>
      <c r="D13" s="28">
        <v>4</v>
      </c>
      <c r="E13" s="29" t="str">
        <f>IFERROR(VLOOKUP(C13,기출문제!D:G,3,0),"")</f>
        <v>46. 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
① ㄱ: 100분의 70, ㄴ: 160 
② ㄱ: 100분의 70, ㄴ: 200 
③ ㄱ: 100분의 80, ㄴ: 100
④ ㄱ: 100분의 80, ㄴ: 160 
⑤ ㄱ: 100분의 80, ㄴ: 200</v>
      </c>
      <c r="F13" s="30">
        <f>IFERROR(VLOOKUP(C13,기출문제!D:G,4,0),"")</f>
        <v>4</v>
      </c>
      <c r="G13" s="31" t="str">
        <f t="shared" si="0"/>
        <v>O</v>
      </c>
    </row>
    <row r="14" spans="2:10" ht="128.25" x14ac:dyDescent="0.3">
      <c r="B14" s="17">
        <v>7</v>
      </c>
      <c r="C14" s="27" t="s">
        <v>871</v>
      </c>
      <c r="D14" s="28">
        <v>0</v>
      </c>
      <c r="E14" s="29" t="str">
        <f>IFERROR(VLOOKUP(C14,기출문제!D:G,3,0),"")</f>
        <v>47. 고용보험법령상 보험가입 등에 관한 설명으로 옳지 않은 것은?
① 「국가공무원법」에 따른 임기제 공무원(이하 "임기제 공무원"이라 한다)의 경우는 본인의 의사에 따라 고용보험(실업급여에 한정)에 가입할 수 있다.
② 임기제 공무원이 원하는 경우에는 임용된 날부터 3개월 이내에 고용노동부장관에게 직접 고용보험 가입을 신청할 수 있다.
③ 고용보험 피보험자격을 취득한 임기제 공무원이 공무원 신분의 변동에 따라 계속하여 다른 임기제 공무원으로 임용된 때에는 별도의 가입신청을 하지 않은 경우에도 고용보험의 피보험자격을 유지한다.
④ 임기제 공무원이 가입한 고용보험에서 탈퇴한 이후에 가입대상 공무원으로 계속 재직하는 경우 본인의 신청에 의하여 고용보험에 다시 가입할 수 있다.
⑤ 고용보험에 가입한 임기제 공무원에 대한 보험료는 소속기관과 고용보험에 가입한 임기제 공무원이 각각 2분의 1씩 부담한다.</v>
      </c>
      <c r="F14" s="30">
        <f>IFERROR(VLOOKUP(C14,기출문제!D:G,4,0),"")</f>
        <v>4</v>
      </c>
      <c r="G14" s="31" t="str">
        <f t="shared" si="0"/>
        <v>X</v>
      </c>
    </row>
    <row r="15" spans="2:10" ht="114" x14ac:dyDescent="0.3">
      <c r="B15" s="17">
        <v>8</v>
      </c>
      <c r="C15" s="27" t="s">
        <v>872</v>
      </c>
      <c r="D15" s="28">
        <v>4</v>
      </c>
      <c r="E15" s="29" t="str">
        <f>IFERROR(VLOOKUP(C15,기출문제!D:G,3,0),"")</f>
        <v>48. 고용보험법령상 실업급여에 관한 설명으로 옳지 않은 것은?
① 실업급여수급계좌의 해당 금융기관은 「고용보험법」에 따른 실업급여만이 실업급여수급계좌에 입금되도록 관리하여야 한다.
② 직업안정기관의 장은 수급자격 인정신청을 한 사람에게 신청인이 원하는 경우에는 해당 실업급여를 실업급여수급계좌로 받을 수 있다는 사실을 안내하여야 한다.
③ 실업급여수급계좌에 입금된 실업급여 금액 전액 이하의 금액에 관한 채권은 압류할 수 없다.
④ 실업급여로서 지급된 금품에 대하여는 「국세기본법」제2조제8호의 공과금을 부과한다.
⑤ 직업안정기관의 장은 정보통신장애로 인하여 실업급여를 실업급여수급계좌로 이체할 수 없을 때에는 해당 실업급여 금액을 수급자격자에게 직접 현금으로 지급할 수 있다.</v>
      </c>
      <c r="F15" s="30">
        <f>IFERROR(VLOOKUP(C15,기출문제!D:G,4,0),"")</f>
        <v>4</v>
      </c>
      <c r="G15" s="31" t="str">
        <f t="shared" si="0"/>
        <v>O</v>
      </c>
    </row>
    <row r="16" spans="2:10" ht="199.5" x14ac:dyDescent="0.3">
      <c r="B16" s="17">
        <v>9</v>
      </c>
      <c r="C16" s="27" t="s">
        <v>873</v>
      </c>
      <c r="D16" s="28">
        <v>0</v>
      </c>
      <c r="E16" s="29" t="str">
        <f>IFERROR(VLOOKUP(C16,기출문제!D:G,3,0),"")</f>
        <v>49. 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
① ㄱ, ㄹ 
② ㄱ, ㄴ, ㅁ 
③ ㄴ, ㄹ, ㅁ
④ ㄴ, ㄷ, ㄹ, ㅁ 
⑤ ㄱ, ㄴ, ㄷ, ㄹ, ㅁ</v>
      </c>
      <c r="F16" s="30">
        <f>IFERROR(VLOOKUP(C16,기출문제!D:G,4,0),"")</f>
        <v>1</v>
      </c>
      <c r="G16" s="31" t="str">
        <f t="shared" si="0"/>
        <v>X</v>
      </c>
    </row>
    <row r="17" spans="2:10" ht="99.75" x14ac:dyDescent="0.3">
      <c r="B17" s="17">
        <v>10</v>
      </c>
      <c r="C17" s="27" t="s">
        <v>874</v>
      </c>
      <c r="D17" s="28">
        <v>1</v>
      </c>
      <c r="E17" s="29" t="str">
        <f>IFERROR(VLOOKUP(C17,기출문제!D:G,3,0),"")</f>
        <v>50. 고용보험법령상 연장급여의 상호 조정 등에 관한 설명으로 옳지 않은 것은?
① 훈련연장급여의 지급 기간은 1년을 한도로 한다.
② 훈련연장급여를 지급받고 있는 수급자격자에게는 그 훈련연장급여의 지급이 끝난 후가 아니면 특별연장급여를 지급하지 아니한다.
③ 개별연장급여를 지급받고 있는 수급자격자가 훈련연장급여를 지급받게 되면 개별연장급여를 지급하지 아니한다.
④ 특별연장급여를 지급받고 있는 수급자격자에게는 특별연장급여의 지급이 끝난 후가 아니면 개별연장급여를 지급하지 아니한다.
⑤ 특별연장급여는 그 수급자격자가 지급받을 수 있는 구직급여의 지급이 끝난 후에 지급한다.</v>
      </c>
      <c r="F17" s="30">
        <f>IFERROR(VLOOKUP(C17,기출문제!D:G,4,0),"")</f>
        <v>1</v>
      </c>
      <c r="G17" s="31" t="str">
        <f t="shared" si="0"/>
        <v>O</v>
      </c>
    </row>
    <row r="18" spans="2:10" ht="156.75" x14ac:dyDescent="0.3">
      <c r="B18" s="17">
        <v>11</v>
      </c>
      <c r="C18" s="27" t="s">
        <v>875</v>
      </c>
      <c r="D18" s="28">
        <v>5</v>
      </c>
      <c r="E18" s="29" t="str">
        <f>IFERROR(VLOOKUP(C18,기출문제!D:G,3,0),"")</f>
        <v>51. 고용보험법상 훈련연장급여에 관한 내용이다. ( )에 들어갈 숫자를 순서대로 옳게 나열한 것은?
제54조(연장급여의 수급기간 및 구직급여일액) 
① &lt;중략&gt;
② 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 
③ 80, 60 
④ 90, 70 
⑤ 100, 70</v>
      </c>
      <c r="F18" s="30">
        <f>IFERROR(VLOOKUP(C18,기출문제!D:G,4,0),"")</f>
        <v>5</v>
      </c>
      <c r="G18" s="31" t="str">
        <f t="shared" si="0"/>
        <v>O</v>
      </c>
    </row>
    <row r="19" spans="2:10" ht="128.25" x14ac:dyDescent="0.3">
      <c r="B19" s="17">
        <v>12</v>
      </c>
      <c r="C19" s="27" t="s">
        <v>876</v>
      </c>
      <c r="D19" s="28">
        <v>0</v>
      </c>
      <c r="E19" s="29" t="str">
        <f>IFERROR(VLOOKUP(C19,기출문제!D:G,3,0),"")</f>
        <v>52. 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
① ㄱ: 1일, ㄴ: 60일 
② ㄱ: 1일, ㄴ: 90일 
③ ㄱ: 1일, ㄴ: 180일
④ ㄱ: 2일, ㄴ: 90일 
⑤ ㄱ: 2일, ㄴ: 180일</v>
      </c>
      <c r="F19" s="30">
        <f>IFERROR(VLOOKUP(C19,기출문제!D:G,4,0),"")</f>
        <v>3</v>
      </c>
      <c r="G19" s="31" t="str">
        <f t="shared" si="0"/>
        <v>X</v>
      </c>
    </row>
    <row r="20" spans="2:10" ht="85.5" x14ac:dyDescent="0.3">
      <c r="B20" s="17">
        <v>13</v>
      </c>
      <c r="C20" s="27" t="s">
        <v>877</v>
      </c>
      <c r="D20" s="28">
        <v>0</v>
      </c>
      <c r="E20" s="29" t="str">
        <f>IFERROR(VLOOKUP(C20,기출문제!D:G,3,0),"")</f>
        <v>53. 고용보험법령상 고용보험위원회(이하 '위원회'라 한다)에 관한 설명으로 옳지 않은 것은?
① 위원회의 위원장은 고용노동부차관이 되며, 그 위원장은 위원을 임명하거나 위촉한다.
② 위원회에는 고용보험운영전문위원회와 고용보험평가전문위원회를 둔다.
③ 위원회의 위원 중 정부를 대표하는 사람은 임명의 대상이 된다.
④ 위원회의 간사는 1명을 두되, 간사는 고용노동부 소속 공무원 중에서 위원장이 임명한다.
⑤ 「고용보험 및 산업재해보상보험의 보험료징수 등에 관한 법률」에 따른 보험료율의 결정에 관한 사항은 위원회의 심의사항이다.</v>
      </c>
      <c r="F20" s="30">
        <f>IFERROR(VLOOKUP(C20,기출문제!D:G,4,0),"")</f>
        <v>1</v>
      </c>
      <c r="G20" s="31" t="str">
        <f t="shared" si="0"/>
        <v>X</v>
      </c>
    </row>
    <row r="21" spans="2:10" ht="85.5" x14ac:dyDescent="0.3">
      <c r="B21" s="17">
        <v>14</v>
      </c>
      <c r="C21" s="27" t="s">
        <v>878</v>
      </c>
      <c r="D21" s="28">
        <v>4</v>
      </c>
      <c r="E21" s="29" t="str">
        <f>IFERROR(VLOOKUP(C21,기출문제!D:G,3,0),"")</f>
        <v>54. 산업재해보상보험법령상 산업재해보상보험및예방심의위원회(이하 '위원회'라 한다)에 관한 내용으로 옳지 않은 것은?
① 위원회는 근로자를 대표하는 사람, 사용자를 대표하는 사람 및 공익을 대표하는 사람으로 구성하되, 그 수는 각각 같은 수로 한다.
② 사용자를 대표하는 위원은 전국을 대표하는 사용자 단체가 추천하는 사람 5명으로 한다.
③ 근로자를 대표하는 위원의 임기는 3년으로 하되, 연임할 수 있다.
④ 위원회의 회의는 재적위원 과반수의 출석으로 개의하고, 출석위원 3분의 2 이상의 찬성으로 의결한다.
⑤ 보궐위원의 임기는 전임자의 남은 임기로 한다.</v>
      </c>
      <c r="F21" s="30">
        <f>IFERROR(VLOOKUP(C21,기출문제!D:G,4,0),"")</f>
        <v>4</v>
      </c>
      <c r="G21" s="31" t="str">
        <f t="shared" si="0"/>
        <v>O</v>
      </c>
    </row>
    <row r="22" spans="2:10" s="21" customFormat="1" ht="128.25" x14ac:dyDescent="0.3">
      <c r="B22" s="17">
        <v>15</v>
      </c>
      <c r="C22" s="27" t="s">
        <v>879</v>
      </c>
      <c r="D22" s="28">
        <v>3</v>
      </c>
      <c r="E22" s="29" t="str">
        <f>IFERROR(VLOOKUP(C22,기출문제!D:G,3,0),"")</f>
        <v>55. 산업재해보상보험법령상 유족보상연금에 관한 내용으로 옳지 않은 것은?
① 유족보상연금 수급자격자인 유족이 사망한 근로자와의 친족 관계가 끝난 경우 그 자격을 잃는다.
② 대한민국 국민이 아닌 유족보상연금 수급자격자인 유족이 외국에서 거주하기 위하여 출국하는 경우 그 자격을 잃는다.
③ 근로복지공단은 근로자의 사망 당시 태아였던 자녀가 출생한 경우 유족보상연금 수급권자의 청구에 의하거나 직권으로 그 사유가 발생한 달 분부터 유족보상연금의 금액을 조정한다.
④ 근로자가 사망할 당시 대한민국 국민이었던 유족보상연금 수급자격자인 유족이 국적을 상실하고 외국에서 거주하고 있거나 외국에서 거주하기 위하여 출국하는 경우 그 자격을 잃는다.
⑤ 유족보상연금을 받을 권리가 있는 유족보상연금 수급자격자가 그 자격을 잃은 경우에 유족보상연금을 받을 권리는 같은 순위자가 있으면 같은 순위자에게, 같은 순위자가 없으면 다음 순위자에게 이전된다.</v>
      </c>
      <c r="F22" s="30">
        <f>IFERROR(VLOOKUP(C22,기출문제!D:G,4,0),"")</f>
        <v>3</v>
      </c>
      <c r="G22" s="31" t="str">
        <f t="shared" si="0"/>
        <v>O</v>
      </c>
      <c r="J22" s="23"/>
    </row>
    <row r="23" spans="2:10" s="21" customFormat="1" ht="142.5" x14ac:dyDescent="0.3">
      <c r="B23" s="17">
        <v>16</v>
      </c>
      <c r="C23" s="27" t="s">
        <v>880</v>
      </c>
      <c r="D23" s="28">
        <v>2</v>
      </c>
      <c r="E23" s="29" t="str">
        <f>IFERROR(VLOOKUP(C23,기출문제!D:G,3,0),"")</f>
        <v>56. 산업재해보상보험법령상 노무제공자에 대한 특례의 내용으로 옳지 않은 것은?
① "플랫폼 종사자"란 온라인 플랫폼을 통해 노무를 제공하는 노무제공자를 말한다.
② "평균보수"란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
③ 보험을 모집하는 사람으로서「새마을금고법」및「신용협동조합법」에 따른 공제의 모집을 전업으로 하는 사람은 노무제공자의 범위에 포함된다.
④ 보험을 모집하는 사람으로서「우체국예금・보험에 관한 법률」에 따른 우체국보험의 모집을 전업으로 하는 사람은 노무제공자의 범위에 포함된다.
⑤ "플랫폼 운영자"란 온라인 플랫폼을 이용하여 플랫폼 종사자의 노무제공을 중개 또는 알선하는 것을 업으로 하는 자를 말한다.</v>
      </c>
      <c r="F23" s="30">
        <f>IFERROR(VLOOKUP(C23,기출문제!D:G,4,0),"")</f>
        <v>2</v>
      </c>
      <c r="G23" s="31" t="str">
        <f t="shared" si="0"/>
        <v>O</v>
      </c>
      <c r="J23" s="23"/>
    </row>
    <row r="24" spans="2:10" s="21" customFormat="1" ht="156.75" x14ac:dyDescent="0.3">
      <c r="B24" s="17">
        <v>17</v>
      </c>
      <c r="C24" s="27" t="s">
        <v>881</v>
      </c>
      <c r="D24" s="28">
        <v>5</v>
      </c>
      <c r="E24" s="29" t="str">
        <f>IFERROR(VLOOKUP(C24,기출문제!D:G,3,0),"")</f>
        <v>57. 산업재해보상보험법상 요양급여의 범위에 해당하는 것은 모두 몇 개인가?
○ 재활치료
○ 간호
○ 이송
○ 간병
○ 약제 또는 진료재료와 의지(義肢)나 그 밖의 보조기의 지급
① 1개 
② 2개 
③ 3개 
④ 4개 
⑤ 5개</v>
      </c>
      <c r="F24" s="30">
        <f>IFERROR(VLOOKUP(C24,기출문제!D:G,4,0),"")</f>
        <v>5</v>
      </c>
      <c r="G24" s="31" t="str">
        <f t="shared" si="0"/>
        <v>O</v>
      </c>
      <c r="J24" s="23"/>
    </row>
    <row r="25" spans="2:10" s="21" customFormat="1" ht="99.75" x14ac:dyDescent="0.3">
      <c r="B25" s="17">
        <v>18</v>
      </c>
      <c r="C25" s="27" t="s">
        <v>882</v>
      </c>
      <c r="D25" s="28">
        <v>0</v>
      </c>
      <c r="E25" s="29" t="str">
        <f>IFERROR(VLOOKUP(C25,기출문제!D:G,3,0),"")</f>
        <v>58. 산업재해보상보험법령상 장례비에 관한 설명으로 옳지 않은 것은?
① 장례비 최고금액 및 최저금액의 적용기간은 당해 연도 1월 1일부터 12월 31일까지로 한다.
② 장례비 최고금액은 전년도 장례비 수급권자에게 지급된 1명당 평균 장례비 90일분 + 최고 보상기준 금액의 30일분으로 산정한다.
③ 장례비 최저금액은 전년도 장례비 수급권자에게 지급된 1명당 평균 장례비 90일분 + 최저 보상기준 금액의 30일분으로 산정한다.
④ 장례비 최고금액 및 최저금액을 산정할 때 10원 미만은 버린다.
⑤ 장례비는 장례를 지낼 유족이 없거나 그 밖에 부득이한 사유로 유족이 아닌 사람이 장례를 지낸 경우에는 평균임금의 120일분에 상당하는 금액의 범위에서 실제 드는 비용을 그 장례를 지낸 사람에게 지급한다.</v>
      </c>
      <c r="F25" s="30">
        <f>IFERROR(VLOOKUP(C25,기출문제!D:G,4,0),"")</f>
        <v>1</v>
      </c>
      <c r="G25" s="31" t="str">
        <f t="shared" si="0"/>
        <v>X</v>
      </c>
      <c r="J25" s="23"/>
    </row>
    <row r="26" spans="2:10" s="21" customFormat="1" ht="99.75" x14ac:dyDescent="0.3">
      <c r="B26" s="17">
        <v>19</v>
      </c>
      <c r="C26" s="27" t="s">
        <v>883</v>
      </c>
      <c r="D26" s="28">
        <v>3</v>
      </c>
      <c r="E26" s="29" t="str">
        <f>IFERROR(VLOOKUP(C26,기출문제!D:G,3,0),"")</f>
        <v>59. 산업재해보상보험법령상 업무상질병판정위원회의 구성에 관한 내용으로 옳은 것은?
① 「고등교육법」제2조에 따른 학교에서 조교수 이상으로 재직하고 있는 사람은 위원이 될 수 없다.
② 「국가기술자격법」에 따른 산업위생관리 기사 이상의 자격을 취득하고 관련 업무에 3년 이상 종사한 치과의사는 위원이 될 수 없다.
③ 산업재해보상보험 관련 업무에 5년 이상 종사한 사람은 위원이 될 수 있다.
④ 「국가기술자격법」에 따른 인간공학 분야 기사 이상의 자격을 취득하고 관련 업무에 3년 이상 종사한 한의사는 위원이 될 수 없다.
⑤ 위원장과 위원의 임기는 3년으로 하되, 연임할 수 있다.</v>
      </c>
      <c r="F26" s="30">
        <f>IFERROR(VLOOKUP(C26,기출문제!D:G,4,0),"")</f>
        <v>3</v>
      </c>
      <c r="G26" s="31" t="str">
        <f t="shared" si="0"/>
        <v>O</v>
      </c>
      <c r="J26" s="23"/>
    </row>
    <row r="27" spans="2:10" s="21" customFormat="1" ht="114" x14ac:dyDescent="0.3">
      <c r="B27" s="17">
        <v>20</v>
      </c>
      <c r="C27" s="27" t="s">
        <v>884</v>
      </c>
      <c r="D27" s="28">
        <v>0</v>
      </c>
      <c r="E27" s="29" t="str">
        <f>IFERROR(VLOOKUP(C27,기출문제!D:G,3,0),"")</f>
        <v>60. 산업재해보상보험법에서 사용하는 용어의 정의로 옳지 않은 것은?
① "유족"이란 사망한 사람의 배우자(사실상 혼인 관계에 있는 사람을 포함한다)・자녀・부모・손자녀・조부모 또는 형제자매를 말한다.
② "장해"란 업무상의 부상 또는 질병에 따른 정신적 또는 육체적 훼손으로 노동능력이 상실되거나 감소된 상태로서 그 부상 또는 질병이 치유되지 아니한 상태를 말한다.
③ "치유"란 부상 또는 질병이 완치되거나 치료의 효과를 더 이상 기대할 수 없고 그 증상이 고정된 상태에 이르게 된 것을 말한다.
④ "출퇴근"이란 취업과 관련하여 주거와 취업장소 사이의 이동 또는 한 취업장소에서 다른 취업장소로의 이동을 말한다.
⑤ "진폐"(塵肺)란 분진을 흡입하여 폐에 생기는 섬유증식성(纖維增殖性) 변화를 주된 증상으로 하는 질병을 말한다.</v>
      </c>
      <c r="F27" s="30">
        <f>IFERROR(VLOOKUP(C27,기출문제!D:G,4,0),"")</f>
        <v>2</v>
      </c>
      <c r="G27" s="31" t="str">
        <f t="shared" si="0"/>
        <v>X</v>
      </c>
      <c r="J27" s="23"/>
    </row>
    <row r="28" spans="2:10" s="21" customFormat="1" ht="128.25" x14ac:dyDescent="0.3">
      <c r="B28" s="17">
        <v>21</v>
      </c>
      <c r="C28" s="27" t="s">
        <v>885</v>
      </c>
      <c r="D28" s="28">
        <v>0</v>
      </c>
      <c r="E28" s="29" t="str">
        <f>IFERROR(VLOOKUP(C28,기출문제!D:G,3,0),"")</f>
        <v>61. 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
① 11 
② 12 
③ 13 
④ 15 
⑤ 18</v>
      </c>
      <c r="F28" s="30">
        <f>IFERROR(VLOOKUP(C28,기출문제!D:G,4,0),"")</f>
        <v>3</v>
      </c>
      <c r="G28" s="31" t="str">
        <f t="shared" si="0"/>
        <v>X</v>
      </c>
      <c r="J28" s="23"/>
    </row>
    <row r="29" spans="2:10" s="21" customFormat="1" ht="128.25" x14ac:dyDescent="0.3">
      <c r="B29" s="17">
        <v>22</v>
      </c>
      <c r="C29" s="27" t="s">
        <v>886</v>
      </c>
      <c r="D29" s="28">
        <v>1</v>
      </c>
      <c r="E29" s="29" t="str">
        <f>IFERROR(VLOOKUP(C29,기출문제!D:G,3,0),"")</f>
        <v>62. 산업재해보상보험법령상 상병보상연금에 관한 설명으로 옳은 것은?
① 중증요양상태등급이 제3급인 경우 평균임금의 257일분을 지급한다.
② 상병보상연금을 받는 근로자가 60세가 되면 그 이후의 상병보상연금은 고령자의 1일당 상병보상연금 지급기준에 따라 감액된 금액을 지급한다.
③ 상병보상연금을 지급받는 경우 요양급여와 휴업급여는 지급되지 아니한다.
④ 재요양을 시작한 지 1년이 지난 후에 부상・질병 상태가 상병보상연금의 지급요건 모두에 해당하는 사람에게는 상병보상연금을 지급한다.
⑤ 상병보상연금을 산정할 때 근로자의 평균임금이 최저임금액에 90분의 100을 곱한 금액보다 적을 때에는 최저임금액의 90분의 100에 해당하는 금액을 그 근로자의 평균임금으로 보아 산정한다.</v>
      </c>
      <c r="F29" s="30">
        <f>IFERROR(VLOOKUP(C29,기출문제!D:G,4,0),"")</f>
        <v>1</v>
      </c>
      <c r="G29" s="31" t="str">
        <f t="shared" si="0"/>
        <v>O</v>
      </c>
      <c r="J29" s="23"/>
    </row>
    <row r="30" spans="2:10" s="21" customFormat="1" ht="171" x14ac:dyDescent="0.3">
      <c r="B30" s="17">
        <v>23</v>
      </c>
      <c r="C30" s="27" t="s">
        <v>887</v>
      </c>
      <c r="D30" s="28">
        <v>5</v>
      </c>
      <c r="E30" s="29" t="str">
        <f>IFERROR(VLOOKUP(C30,기출문제!D:G,3,0),"")</f>
        <v>63. 산업재해보상보험법상 직장복귀지원금 등에 관한 것이다. ( )에 들어갈 숫자로 옳은 것은?
제75조(직장복귀지원금 등) 
① &lt;중략&gt;
② 제1항에 따른 직장복귀지원금은 고용노동부장관이 임금수준 및 노동시장의 여건 등을 고려하여 고시하는 금액의 범위에서 사업주가 장해급여자에게 지급한 임금액으로 하되, 그 지급기간은 (ㄱ)개월 이내로 한다.
③ 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
④ ㄱ: 6, ㄴ: 12 
⑤ ㄱ: 12, ㄴ: 3</v>
      </c>
      <c r="F30" s="30">
        <f>IFERROR(VLOOKUP(C30,기출문제!D:G,4,0),"")</f>
        <v>5</v>
      </c>
      <c r="G30" s="31" t="str">
        <f t="shared" si="0"/>
        <v>O</v>
      </c>
      <c r="J30" s="23"/>
    </row>
    <row r="31" spans="2:10" s="21" customFormat="1" ht="128.25" x14ac:dyDescent="0.3">
      <c r="B31" s="17">
        <v>24</v>
      </c>
      <c r="C31" s="27" t="s">
        <v>888</v>
      </c>
      <c r="D31" s="28">
        <v>2</v>
      </c>
      <c r="E31" s="29" t="str">
        <f>IFERROR(VLOOKUP(C31,기출문제!D:G,3,0),"")</f>
        <v>64. 국민연금법에 관한 내용으로 옳지 않은 것은?
① 급여수급전용계좌에 입금된 급여와 이에 관한 채권은 압류할 수 없다.
② 장애연금액은 장애등급 2급에 해당하는 자에 대하여는 기본연금액의 1천분의 600에 해당하는 금액에 부양가족연금액을 더한 금액으로 한다.
③ 장애등급이 2급 이상인 장애연금 수급권자가 사망하면 그 유족에게 유족연금을 지급한다.
④ 가입자 또는 가입자였던 자가 가입기간이 10년 미만이고 60세가 된 때에는 본인이나 그 유족의 청구에 의하여 반환일시금을 지급받을 수 있다.
⑤ 장애연금 수급권자가 고의나 중대한 과실로 요양 지시에 따르지 아니하거나 정당한 사유 없이 요양 지시에 따르지 아니하여 회복을 방해한 때에는 급여의 전부 또는 일부의 지급을 정지할 수 있다.</v>
      </c>
      <c r="F31" s="30">
        <f>IFERROR(VLOOKUP(C31,기출문제!D:G,4,0),"")</f>
        <v>2</v>
      </c>
      <c r="G31" s="31" t="str">
        <f t="shared" si="0"/>
        <v>O</v>
      </c>
      <c r="J31" s="23"/>
    </row>
    <row r="32" spans="2:10" s="21" customFormat="1" ht="128.25" x14ac:dyDescent="0.3">
      <c r="B32" s="17">
        <v>25</v>
      </c>
      <c r="C32" s="27" t="s">
        <v>889</v>
      </c>
      <c r="D32" s="28">
        <v>3</v>
      </c>
      <c r="E32" s="29" t="str">
        <f>IFERROR(VLOOKUP(C32,기출문제!D:G,3,0),"")</f>
        <v>65. 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
① 4 
② 6 
③ 8 
④ 13 
⑤ 15</v>
      </c>
      <c r="F32" s="30">
        <f>IFERROR(VLOOKUP(C32,기출문제!D:G,4,0),"")</f>
        <v>3</v>
      </c>
      <c r="G32" s="31" t="str">
        <f t="shared" si="0"/>
        <v>O</v>
      </c>
      <c r="J32" s="23"/>
    </row>
    <row r="33" spans="2:10" s="21" customFormat="1" ht="128.25" x14ac:dyDescent="0.3">
      <c r="B33" s="17">
        <v>26</v>
      </c>
      <c r="C33" s="27" t="s">
        <v>890</v>
      </c>
      <c r="D33" s="28">
        <v>0</v>
      </c>
      <c r="E33" s="29" t="str">
        <f>IFERROR(VLOOKUP(C33,기출문제!D:G,3,0),"")</f>
        <v>66. 국민연금법령상 심사청구 및 재심사청구에 관한 내용으로 옳지 않은 것은?
① 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
② 국민연금심사위원회 위원의 임기는 2년으로 하며, 1차례만 연임할 수 있으며, 국민연금공단의 임직원인 위원의 임기는 그 직위의 재임기간으로 한다.
③ 청구인은 결정이 있기 전까지는 언제든지 심사청구를 문서로 취하할 수 있다.
④ 심사청구에 대한 결정에 불복하는 자는 그 결정통지를 받은 날부터 90일 이내에 국민연금재심사위원회에 재심사를 청구할 수 있다.
⑤ 국민연금재심사위원회의 재심사와 재결에 관한 절차에 관하여는 「행정심판법」을 준용한다.</v>
      </c>
      <c r="F33" s="30">
        <f>IFERROR(VLOOKUP(C33,기출문제!D:G,4,0),"")</f>
        <v>2</v>
      </c>
      <c r="G33" s="31" t="str">
        <f t="shared" si="0"/>
        <v>X</v>
      </c>
      <c r="J33" s="23"/>
    </row>
    <row r="34" spans="2:10" s="21" customFormat="1" ht="185.25" x14ac:dyDescent="0.3">
      <c r="B34" s="17">
        <v>27</v>
      </c>
      <c r="C34" s="27" t="s">
        <v>891</v>
      </c>
      <c r="D34" s="28">
        <v>0</v>
      </c>
      <c r="E34" s="29" t="str">
        <f>IFERROR(VLOOKUP(C34,기출문제!D:G,3,0),"")</f>
        <v>67. 국민연금법령상 연금보험료 등의 독촉에 관한 내용이다. ( )에 들어갈 내용은?
제64조(연금보험료 등의 독촉) 
① 국민건강보험공단은 법 제95조제1항에 따라 사업장가입자의 연금보험료와 그에 따른 징수금의 납부를 독촉할 때에는 납부기한이 지난 후 (ㄱ) 이내에 해당 사업장가입자의 사용자에게 독촉장을 발부하여야 한다.
② 국민건강보험공단은 법 제95조제1항에 따라 지역가입자의 연금보험료와 그에 따른 징수금의 납부를 독촉할 때에는 납부 기한이 지난 후 (ㄴ) 이내에 해당 가입자에게 독촉장을 발부하여야 한다.
③ 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 
④ ㄱ: 30일, ㄴ: 3개월, ㄷ: 20일
⑤ ㄱ: 30일, ㄴ: 3개월, ㄷ: 30일</v>
      </c>
      <c r="F34" s="30">
        <f>IFERROR(VLOOKUP(C34,기출문제!D:G,4,0),"")</f>
        <v>3</v>
      </c>
      <c r="G34" s="31" t="str">
        <f t="shared" si="0"/>
        <v>X</v>
      </c>
      <c r="J34" s="23"/>
    </row>
    <row r="35" spans="2:10" s="21" customFormat="1" ht="142.5" x14ac:dyDescent="0.3">
      <c r="B35" s="17">
        <v>28</v>
      </c>
      <c r="C35" s="27" t="s">
        <v>892</v>
      </c>
      <c r="D35" s="28">
        <v>0</v>
      </c>
      <c r="E35" s="29" t="str">
        <f>IFERROR(VLOOKUP(C35,기출문제!D:G,3,0),"")</f>
        <v>68. 국민연금법령상 국민연금기금에 관한 설명으로 옳지 않은 것은?
① 국민연금기금은 연금보험료, 국민연금기금 운용 수익금, 적립금, 국민연금공단의 수입지출 결산상의 잉여금을 재원으로 조성한다.
② 국민연금기금운용위원회는 국민연금기금을 관리기금에 위탁할 경우 예탁 이자율의 협의에 관한 사항을 심의・의결할 수 있다.
③ 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
④ 보건복지부장관은 매년 국민연금기금 운용계획을 세워서 국민연금기금운용위원회 및 국무회의의 심의를 거쳐 대통령의 승인을 받아야 한다.
⑤ 보건복지부장관은 국민연금기금의 운용 내용과 관리기금에 예탁된 국민연금기금의 사용 내용을 다음 연도 6월 말까지 국민연금기금운용위원회에 제출하여야 한다.</v>
      </c>
      <c r="F35" s="30">
        <f>IFERROR(VLOOKUP(C35,기출문제!D:G,4,0),"")</f>
        <v>5</v>
      </c>
      <c r="G35" s="31" t="str">
        <f t="shared" si="0"/>
        <v>X</v>
      </c>
      <c r="J35" s="23"/>
    </row>
    <row r="36" spans="2:10" s="21" customFormat="1" ht="171" x14ac:dyDescent="0.3">
      <c r="B36" s="17">
        <v>29</v>
      </c>
      <c r="C36" s="27" t="s">
        <v>893</v>
      </c>
      <c r="D36" s="28">
        <v>5</v>
      </c>
      <c r="E36" s="29" t="str">
        <f>IFERROR(VLOOKUP(C36,기출문제!D:G,3,0),"")</f>
        <v>69. 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
① ㄱ, ㄴ 
② ㄴ, ㄷ 
③ ㄱ, ㄴ, ㄹ
④ ㄱ, ㄷ, ㄹ 
⑤ ㄱ, ㄴ, ㄷ, ㄹ</v>
      </c>
      <c r="F36" s="30">
        <f>IFERROR(VLOOKUP(C36,기출문제!D:G,4,0),"")</f>
        <v>5</v>
      </c>
      <c r="G36" s="31" t="str">
        <f t="shared" si="0"/>
        <v>O</v>
      </c>
      <c r="J36" s="23"/>
    </row>
    <row r="37" spans="2:10" s="21" customFormat="1" ht="156.75" x14ac:dyDescent="0.3">
      <c r="B37" s="17">
        <v>30</v>
      </c>
      <c r="C37" s="27" t="s">
        <v>894</v>
      </c>
      <c r="D37" s="28">
        <v>3</v>
      </c>
      <c r="E37" s="29" t="str">
        <f>IFERROR(VLOOKUP(C37,기출문제!D:G,3,0),"")</f>
        <v>70. 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
① ㄱ 
② ㄱ, ㄴ 
③ ㄴ, ㄷ
④ ㄴ, ㄷ, ㄹ 
⑤ ㄱ, ㄴ, ㄷ, ㄹ</v>
      </c>
      <c r="F37" s="30">
        <f>IFERROR(VLOOKUP(C37,기출문제!D:G,4,0),"")</f>
        <v>4</v>
      </c>
      <c r="G37" s="31" t="str">
        <f t="shared" si="0"/>
        <v>X</v>
      </c>
      <c r="J37" s="23"/>
    </row>
    <row r="38" spans="2:10" s="21" customFormat="1" ht="85.5" x14ac:dyDescent="0.3">
      <c r="B38" s="17">
        <v>31</v>
      </c>
      <c r="C38" s="27" t="s">
        <v>895</v>
      </c>
      <c r="D38" s="28">
        <v>2</v>
      </c>
      <c r="E38" s="29" t="str">
        <f>IFERROR(VLOOKUP(C38,기출문제!D:G,3,0),"")</f>
        <v>71. 국민건강보험법상 국민건강보험공단(이하 '공단'이라 한다)에 관한 설명으로 옳지 않은 것은?
① 공단은 법인으로 한다.
② 공단의 해산에 관하여는 정관으로 정한다.
③ 공단은 주된 사무소의 소재지에서 설립등기를 함으로써 성립한다.
④ 공단의 설립등기에는 목적, 명칭, 주된 사무소 및 분사무소의 소재지, 이사장의 성명・주소 및 주민등록번호를 포함하여야 한다.
⑤ 공단의 주된 사무소의 소재지는 정관으로 정한다.</v>
      </c>
      <c r="F38" s="30">
        <f>IFERROR(VLOOKUP(C38,기출문제!D:G,4,0),"")</f>
        <v>2</v>
      </c>
      <c r="G38" s="31" t="str">
        <f t="shared" si="0"/>
        <v>O</v>
      </c>
      <c r="J38" s="23"/>
    </row>
    <row r="39" spans="2:10" s="21" customFormat="1" ht="114" x14ac:dyDescent="0.3">
      <c r="B39" s="17">
        <v>32</v>
      </c>
      <c r="C39" s="27" t="s">
        <v>896</v>
      </c>
      <c r="D39" s="28">
        <v>4</v>
      </c>
      <c r="E39" s="29" t="str">
        <f>IFERROR(VLOOKUP(C39,기출문제!D:G,3,0),"")</f>
        <v>72. 국민건강보험법상 이의신청 및 심판청구 등에 관한 설명으로 옳지 않은 것은?
① 보험급여 비용에 관한 국민건강보험공단의 처분에 이의가 있는 자는 국민건강보험공단에 이의신청을 할 수 있다.
② 요양급여의 적정성 평가 등에 관한 건강보험심사평가원의 처분에 이의가 있는 자는 건강보험심사평가원에 이의신청을 할 수 있다.
③ 이의신청에 대한 결정에 불복하는 자는 건강보험분쟁조정위원회에 심판청구를 할 수 있다.
④ 정당한 사유로 이의신청을 할 수 없었음을 소명한 경우가 아니면 이의신청은 처분이 있은 날부터 90일을 지나면 제기하지 못한다.
⑤ 이의신청에 대한 결정에 불복하는 자는「행정소송법」이 정하는 바에 따라 행정소송을 제기할 수 있다.</v>
      </c>
      <c r="F39" s="30">
        <f>IFERROR(VLOOKUP(C39,기출문제!D:G,4,0),"")</f>
        <v>4</v>
      </c>
      <c r="G39" s="31" t="str">
        <f t="shared" si="0"/>
        <v>O</v>
      </c>
      <c r="J39" s="23"/>
    </row>
    <row r="40" spans="2:10" s="21" customFormat="1" ht="142.5" x14ac:dyDescent="0.3">
      <c r="B40" s="17">
        <v>33</v>
      </c>
      <c r="C40" s="27" t="s">
        <v>897</v>
      </c>
      <c r="D40" s="28">
        <v>4</v>
      </c>
      <c r="E40" s="29" t="str">
        <f>IFERROR(VLOOKUP(C40,기출문제!D:G,3,0),"")</f>
        <v>73. 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
① ㄱ 
② ㄹ 
③ ㄱ, ㄴ 
④ ㄴ, ㄷ 
⑤ ㄷ, ㄹ</v>
      </c>
      <c r="F40" s="30">
        <f>IFERROR(VLOOKUP(C40,기출문제!D:G,4,0),"")</f>
        <v>4</v>
      </c>
      <c r="G40" s="31" t="str">
        <f t="shared" si="0"/>
        <v>O</v>
      </c>
      <c r="J40" s="23"/>
    </row>
    <row r="41" spans="2:10" s="21" customFormat="1" ht="156.75" x14ac:dyDescent="0.3">
      <c r="B41" s="17">
        <v>34</v>
      </c>
      <c r="C41" s="27" t="s">
        <v>898</v>
      </c>
      <c r="D41" s="28">
        <v>5</v>
      </c>
      <c r="E41" s="29" t="str">
        <f>IFERROR(VLOOKUP(C41,기출문제!D:G,3,0),"")</f>
        <v>74. 국민건강보험법령상 보수월액에 관한 설명으로 옳지 않은 것은?
① 보수의 전부 또는 일부가 현물(現物)로 지급되는 경우에는 그 지역의 시가(時價)를 기준으로 국민건강보험공단이 정하는 가액(價額)을 그에 해당하는 보수로 본다.
② 직장가입자의 보수월액은 직장가입자가 지급받는 보수를 기준으로 하여 산정한다.
③ 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
④ 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
⑤ 휴직이나 그 밖의 사유로 보수의 전부 또는 일부가 지급되지 아니하는 가입자의 보수월액보험료는 해당 사유가 생긴 달의 보수월액을 기준으로 산정한다.</v>
      </c>
      <c r="F41" s="30">
        <f>IFERROR(VLOOKUP(C41,기출문제!D:G,4,0),"")</f>
        <v>5</v>
      </c>
      <c r="G41" s="31" t="str">
        <f t="shared" si="0"/>
        <v>O</v>
      </c>
      <c r="J41" s="23"/>
    </row>
    <row r="42" spans="2:10" s="21" customFormat="1" ht="128.25" x14ac:dyDescent="0.3">
      <c r="B42" s="17">
        <v>35</v>
      </c>
      <c r="C42" s="27" t="s">
        <v>899</v>
      </c>
      <c r="D42" s="28">
        <v>5</v>
      </c>
      <c r="E42" s="29" t="str">
        <f>IFERROR(VLOOKUP(C42,기출문제!D:G,3,0),"")</f>
        <v>75. 고용보험 및 산업재해보상보험의 보험료징수 등에 관한 법률 제49조의2(자영업자에 대한 특례)에 관한 설명으로 옳은 것은?
① 자영업자에 대한 고용보험료 산정의 기초가 되는 보수액은 자영업자의 소득, 보수수준 등을 고려하여 기획재정부장관이 정하여 고시한다.
② 고용보험에 가입한 자영업자는 매월 부과된 보험료를 다음 달 14일까지 납부하여야 한다.
③ 자영업자의 고용보험료는 근로복지공단이 매월 부과하고 징수한다.
④ 고용보험에 가입한 자영업자가 자신에게 부과된 월(月)의 고용보험료를 계속하여 3개월간 납부하지 아니한 경우에는 마지막으로 납부한 고용보험료에 해당되는 피보험기간의 다음 날에 보험관계가 소멸된다.
⑤ 근로복지공단의 승인을 통해 고용보험에 가입한 자영업자가 50명 이상의 근로자를 사용하게 된 경우에도 본인이 피보험자격을 유지하려는 경우에는 계속하여 보험에 가입된 것으로 본다.</v>
      </c>
      <c r="F42" s="30">
        <f>IFERROR(VLOOKUP(C42,기출문제!D:G,4,0),"")</f>
        <v>5</v>
      </c>
      <c r="G42" s="31" t="str">
        <f t="shared" si="0"/>
        <v>O</v>
      </c>
      <c r="J42" s="23"/>
    </row>
    <row r="43" spans="2:10" s="21" customFormat="1" ht="171" x14ac:dyDescent="0.3">
      <c r="B43" s="17">
        <v>36</v>
      </c>
      <c r="C43" s="27" t="s">
        <v>900</v>
      </c>
      <c r="D43" s="28">
        <v>5</v>
      </c>
      <c r="E43" s="29" t="str">
        <f>IFERROR(VLOOKUP(C43,기출문제!D:G,3,0),"")</f>
        <v>76. 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
① ㄱ, ㄴ, ㄷ 
② ㄱ, ㄴ, ㄹ 
③ ㄱ, ㄷ, ㄹ
④ ㄴ, ㄷ, ㄹ 
⑤ ㄱ, ㄴ, ㄷ, ㄹ</v>
      </c>
      <c r="F43" s="30">
        <f>IFERROR(VLOOKUP(C43,기출문제!D:G,4,0),"")</f>
        <v>5</v>
      </c>
      <c r="G43" s="31" t="str">
        <f t="shared" si="0"/>
        <v>O</v>
      </c>
      <c r="J43" s="23"/>
    </row>
    <row r="44" spans="2:10" s="21" customFormat="1" ht="99.75" x14ac:dyDescent="0.3">
      <c r="B44" s="17">
        <v>37</v>
      </c>
      <c r="C44" s="27" t="s">
        <v>901</v>
      </c>
      <c r="D44" s="28">
        <v>1</v>
      </c>
      <c r="E44" s="29" t="str">
        <f>IFERROR(VLOOKUP(C44,기출문제!D:G,3,0),"")</f>
        <v>77. 고용보험 및 산업재해보상보험의 보험료징수 등에 관한 법률상 납부의무가 확정된 보험료가 600만원인 경우, 이를 납부기한 전이라도 징수할 수 있는 사유에 해당하지 않는 것은?
① 법인이 합병한 경우
② 공과금을 체납하여 체납처분을 받은 경우
③ 강제집행을 받은 경우
④ 법인이 해산한 경우
⑤ 「어음법」 및 「수표법」에 따른 어음교환소에서 거래정지처분을 받은 경우</v>
      </c>
      <c r="F44" s="30">
        <f>IFERROR(VLOOKUP(C44,기출문제!D:G,4,0),"")</f>
        <v>1</v>
      </c>
      <c r="G44" s="31" t="str">
        <f t="shared" si="0"/>
        <v>O</v>
      </c>
      <c r="J44" s="23"/>
    </row>
    <row r="45" spans="2:10" s="21" customFormat="1" ht="142.5" x14ac:dyDescent="0.3">
      <c r="B45" s="17">
        <v>38</v>
      </c>
      <c r="C45" s="27" t="s">
        <v>902</v>
      </c>
      <c r="D45" s="28">
        <v>0</v>
      </c>
      <c r="E45" s="29" t="str">
        <f>IFERROR(VLOOKUP(C45,기출문제!D:G,3,0),"")</f>
        <v>78. 고용보험 및 산업재해보상보험의 보험료징수 등에 관한 법령상 보험료율의 인상 또는 인하 등에 따른 조치에 관한 설명으로 옳지 않은 것은?
① 근로복지공단은 보험료율 인하로 보험료를 감액 조정한 경우에는 보험료율의 인하를 결정한 날부터 20일 이내에 그 감액 조정 사실을 사업주에게 알려야 한다.
② 보험료율 인상으로 월별보험료가 증액된 때에는 국민건강보험공단이 징수한다.
③ 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
④ 근로복지공단은 사업주가 보험연도 중에 사업의 규모를 축소하여 실제의 개산보험료 총액이 이미 신고한 개산보험료 총액보다 100분의 20 이상으로 감소하게 된 경우에는 그 초과액을 감액해야 한다.
⑤ 보험료율 인상으로 개산보험료가 증액된 때에는 근로복지공단이 징수한다.</v>
      </c>
      <c r="F45" s="30">
        <f>IFERROR(VLOOKUP(C45,기출문제!D:G,4,0),"")</f>
        <v>4</v>
      </c>
      <c r="G45" s="31" t="str">
        <f t="shared" si="0"/>
        <v>X</v>
      </c>
      <c r="J45" s="23"/>
    </row>
    <row r="46" spans="2:10" s="21" customFormat="1" ht="99.75" x14ac:dyDescent="0.3">
      <c r="B46" s="17">
        <v>39</v>
      </c>
      <c r="C46" s="27" t="s">
        <v>903</v>
      </c>
      <c r="D46" s="28">
        <v>3</v>
      </c>
      <c r="E46" s="29" t="str">
        <f>IFERROR(VLOOKUP(C46,기출문제!D:G,3,0),"")</f>
        <v>79. 고용보험 및 산업재해보상보험의 보험료징수 등에 관한 법령상 거짓으로 보험사무대행기관 인가를 받아 근로복지공단으로부터 인가가 취소된 경우 보험사무대행기관 인가의 제한 기간은?
① 3개월 
② 6개월 
③ 1년 
④ 3년 
⑤ 5년</v>
      </c>
      <c r="F46" s="30">
        <f>IFERROR(VLOOKUP(C46,기출문제!D:G,4,0),"")</f>
        <v>3</v>
      </c>
      <c r="G46" s="31" t="str">
        <f t="shared" si="0"/>
        <v>O</v>
      </c>
      <c r="J46" s="23"/>
    </row>
    <row r="47" spans="2:10" s="21" customFormat="1" ht="213.75" x14ac:dyDescent="0.3">
      <c r="B47" s="17">
        <v>40</v>
      </c>
      <c r="C47" s="27" t="s">
        <v>904</v>
      </c>
      <c r="D47" s="28">
        <v>2</v>
      </c>
      <c r="E47" s="29" t="str">
        <f>IFERROR(VLOOKUP(C47,기출문제!D:G,3,0),"")</f>
        <v>80. 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
① ㄱ - a, ㄴ - c 
② ㄱ - b, ㄷ - d 
③ ㄱ - c, ㄴ - e
④ ㄴ - d, ㄷ - a 
⑤ ㄴ - e, ㄷ - b</v>
      </c>
      <c r="F47" s="30">
        <f>IFERROR(VLOOKUP(C47,기출문제!D:G,4,0),"")</f>
        <v>2</v>
      </c>
      <c r="G47" s="31" t="str">
        <f t="shared" si="0"/>
        <v>O</v>
      </c>
      <c r="J47" s="23"/>
    </row>
    <row r="48" spans="2:10" s="21" customFormat="1" ht="128.25" x14ac:dyDescent="0.3">
      <c r="B48" s="17">
        <v>41</v>
      </c>
      <c r="C48" s="27" t="s">
        <v>5</v>
      </c>
      <c r="D48" s="28">
        <v>4</v>
      </c>
      <c r="E48" s="29" t="str">
        <f>IFERROR(VLOOKUP(C48,기출문제!D:G,3,0),"")</f>
        <v>76. 사회보장기본법령에 관한 설명으로 옳은 것은?
① 국가와 지방자치단체는 모든 국민의 인간다운 생활과 자립, 사회참여, 자아실현 등을 지원하여 삶의 질이 향상될 수 있도록 사회서비스에 관한 시책을 마련하여야 한다.
② 보건복지부장관은 제공받은 사회보장 행정데이터의 원활한 분석, 활용 등을 위하여 사회보장 행정데이터 분석센터를 설치・운영하여야 한다.
③ 부담 능력이 있는 국민에 대한 사회서비스에 드는 비용은 국가가 부담함을 원칙으로 한다.
④ 사회보장수급권을 포기하는 것이 다른 사람에게 피해를 주는 경우에는 사회보장수급권을 포기할 수 있다.
⑤ 보건복지부장관은 재정추계의 결과를 사회보장위원회의 심의를 거쳐 같은 해 9월 30일까지 관계 중앙행정기관의 장에게 통보하여야 한다.</v>
      </c>
      <c r="F48" s="30">
        <f>IFERROR(VLOOKUP(C48,기출문제!D:G,4,0),"")</f>
        <v>1</v>
      </c>
      <c r="G48" s="31" t="str">
        <f t="shared" si="0"/>
        <v>X</v>
      </c>
      <c r="J48" s="23"/>
    </row>
    <row r="49" spans="2:10" s="21" customFormat="1" ht="156.75" x14ac:dyDescent="0.3">
      <c r="B49" s="17">
        <v>42</v>
      </c>
      <c r="C49" s="27" t="s">
        <v>905</v>
      </c>
      <c r="D49" s="28">
        <v>5</v>
      </c>
      <c r="E49" s="29" t="str">
        <f>IFERROR(VLOOKUP(C49,기출문제!D:G,3,0),"")</f>
        <v>77. 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
① 1개
② 2개
③ 3개
④ 4개
⑤ 5개</v>
      </c>
      <c r="F49" s="30">
        <f>IFERROR(VLOOKUP(C49,기출문제!D:G,4,0),"")</f>
        <v>5</v>
      </c>
      <c r="G49" s="31" t="str">
        <f t="shared" si="0"/>
        <v>O</v>
      </c>
      <c r="J49" s="23"/>
    </row>
    <row r="50" spans="2:10" s="21" customFormat="1" ht="99.75" x14ac:dyDescent="0.3">
      <c r="B50" s="17">
        <v>43</v>
      </c>
      <c r="C50" s="27" t="s">
        <v>906</v>
      </c>
      <c r="D50" s="28">
        <v>2</v>
      </c>
      <c r="E50" s="29" t="str">
        <f>IFERROR(VLOOKUP(C50,기출문제!D:G,3,0),"")</f>
        <v>78. 사회보장기본법에 관한 설명으로 옳은 것은?
① 사회보장수급권은 정당한 권한이 있는 기관에 서면이나 구두로 포기할 수 있다.
② 고용노동부장관은 관계 중앙행정기관의 장과 협의하여 사회보장에 관한 기본계획을 5년마다 수립하여야 한다.
③ 국가와 지방자치단체는 효과적인 사회보장정책의 수립・시행을 위하여 사회보장에 관한 통계를 작성・관리할 수 있다.
④ 국가는 사회보장제도의 안정적인 운영을 위하여 중장기 사회보장 재정추계를 매년 실시하고 이를 공표하여야 한다.
⑤ 국가와 지방자치단체는 평생사회안전망을 구축・운영함에 있어 사회적 취약계층을 위한 공공부조를 마련하여 최저생활을 보장하여야 한다.</v>
      </c>
      <c r="F50" s="30">
        <f>IFERROR(VLOOKUP(C50,기출문제!D:G,4,0),"")</f>
        <v>5</v>
      </c>
      <c r="G50" s="31" t="str">
        <f t="shared" si="0"/>
        <v>X</v>
      </c>
      <c r="J50" s="23"/>
    </row>
    <row r="51" spans="2:10" s="21" customFormat="1" ht="142.5" x14ac:dyDescent="0.3">
      <c r="B51" s="17">
        <v>44</v>
      </c>
      <c r="C51" s="27" t="s">
        <v>907</v>
      </c>
      <c r="D51" s="28">
        <v>1</v>
      </c>
      <c r="E51" s="29" t="str">
        <f>IFERROR(VLOOKUP(C51,기출문제!D:G,3,0),"")</f>
        <v>79. 고용보험법령상 구직급여에 관한 설명으로 옳지 않은 것은?
① 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
② 구직급여는 수급자격자가 실업한 상태에 있는 날 중에서 직업안정기관의 장으로부터 실업의 인정을 받은 날에 대하여 지급한다.
③ 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
④ 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
⑤ 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v>
      </c>
      <c r="F51" s="30">
        <f>IFERROR(VLOOKUP(C51,기출문제!D:G,4,0),"")</f>
        <v>4</v>
      </c>
      <c r="G51" s="31" t="str">
        <f t="shared" si="0"/>
        <v>X</v>
      </c>
      <c r="J51" s="23"/>
    </row>
    <row r="52" spans="2:10" s="21" customFormat="1" ht="128.25" x14ac:dyDescent="0.3">
      <c r="B52" s="17">
        <v>45</v>
      </c>
      <c r="C52" s="27" t="s">
        <v>908</v>
      </c>
      <c r="D52" s="28">
        <v>2</v>
      </c>
      <c r="E52" s="29" t="str">
        <f>IFERROR(VLOOKUP(C52,기출문제!D:G,3,0),"")</f>
        <v>80. 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
① ㄱ: 1, ㄴ: 3분의 2 이상 10분의 7 이하
② ㄱ: 1, ㄴ: 4분의 3 이상 10분의 9 이하
③ ㄱ: 2, ㄴ: 3분의 2 이상 10분의 7 이하
④ ㄱ: 2, ㄴ: 4분의 3 이상 10분의 9 이하
⑤ ㄱ: 3, ㄴ: 3분의 2 이상 10분의 9 이하</v>
      </c>
      <c r="F52" s="30">
        <f>IFERROR(VLOOKUP(C52,기출문제!D:G,4,0),"")</f>
        <v>2</v>
      </c>
      <c r="G52" s="31" t="str">
        <f t="shared" si="0"/>
        <v>O</v>
      </c>
      <c r="J52" s="23"/>
    </row>
    <row r="53" spans="2:10" s="21" customFormat="1" ht="85.5" x14ac:dyDescent="0.3">
      <c r="B53" s="17">
        <v>46</v>
      </c>
      <c r="C53" s="27" t="s">
        <v>909</v>
      </c>
      <c r="D53" s="28">
        <v>0</v>
      </c>
      <c r="E53" s="29" t="str">
        <f>IFERROR(VLOOKUP(C53,기출문제!D:G,3,0),"")</f>
        <v>81. 고용보험법령상 예술인인 피보험자가 임신 13주차에 유산을 한 경우 출산전후급여등의 지급기간은?
① 5일
② 10일
③ 15일
④ 20일
⑤ 30일</v>
      </c>
      <c r="F53" s="30">
        <f>IFERROR(VLOOKUP(C53,기출문제!D:G,4,0),"")</f>
        <v>2</v>
      </c>
      <c r="G53" s="31" t="str">
        <f t="shared" si="0"/>
        <v>X</v>
      </c>
      <c r="J53" s="23"/>
    </row>
    <row r="54" spans="2:10" s="21" customFormat="1" ht="85.5" x14ac:dyDescent="0.3">
      <c r="B54" s="17">
        <v>47</v>
      </c>
      <c r="C54" s="27" t="s">
        <v>910</v>
      </c>
      <c r="D54" s="28">
        <v>1</v>
      </c>
      <c r="E54" s="29" t="str">
        <f>IFERROR(VLOOKUP(C54,기출문제!D:G,3,0),"")</f>
        <v>82. 고용보험법령상 고용보험위원회(이하 '위원회'라 한다)에 관한 설명으로 옳지 않은 것은?
① 위촉위원 중 정부를 대표하는 사람의 임기는 2년으로 한다.
② 위촉위원 중 보궐위원의 임기는 전임자 임기의 남은 기간으로 한다.
③ 위원회의 위원장이 부득이한 사유로 직무를 수행할 수 없을 때에는 위원장이 미리 지명하는 위원이 그 직무를 대행한다.
④ 위원회의 회의는 재적위원 과반수의 출석으로 개의(開議)하고 출석의원 과반수의 찬성으로 의결한다.
⑤ 위원회에 고용보험운영전문위원회와 고용보험평가전문위원회를 둔다.</v>
      </c>
      <c r="F54" s="30">
        <f>IFERROR(VLOOKUP(C54,기출문제!D:G,4,0),"")</f>
        <v>1</v>
      </c>
      <c r="G54" s="31" t="str">
        <f t="shared" si="0"/>
        <v>O</v>
      </c>
      <c r="J54" s="23"/>
    </row>
    <row r="55" spans="2:10" s="21" customFormat="1" ht="142.5" x14ac:dyDescent="0.3">
      <c r="B55" s="17">
        <v>48</v>
      </c>
      <c r="C55" s="27" t="s">
        <v>911</v>
      </c>
      <c r="D55" s="28">
        <v>5</v>
      </c>
      <c r="E55" s="29" t="str">
        <f>IFERROR(VLOOKUP(C55,기출문제!D:G,3,0),"")</f>
        <v>83. 고용보험법상 고용보험심사관(이하 '심사관'이라 한다)에 관한 설명으로 옳지 않은 것은?
① 실업급여에 관한 처분에 이의가 있는 자는 심사관에게 심사를 청구할 수 있다.
② 심사관은 심사청구를 받으면 30일 이내에 그 심사청구에 대한 결정을 하여야 한다. 다만, 부득이한 사정으로 그 기간에 결정할 수 없을 때에는 한 차례만 10일을 넘지 아니하는 범위에서 그 기간을 연장할 수 있다.
③ 심사관은 심사의 청구에 대한 심리를 위하여 필요하다고 인정하면 심사청구인의 신청 또는 직권으로 심사청구인 또는 관계인을 지정 장소에 출석하게 하여 질문하거나 의견을 진술하게 할 수 있다.
④ 당사자는 심사관에게 심리・결정의 공정을 기대하기 어려운 사정이 있으면 그 심사관에 대한 기피신청을 고용노동부장관에게 할 수 있다.
⑤ 직업안정기관 또는 근로복지공단은 심사청구서를 받은 날부터 14일 이내에 의견서를 첨부하여 심사청구서를 심사관에게 보내야 한다.</v>
      </c>
      <c r="F55" s="30">
        <f>IFERROR(VLOOKUP(C55,기출문제!D:G,4,0),"")</f>
        <v>5</v>
      </c>
      <c r="G55" s="31" t="str">
        <f t="shared" si="0"/>
        <v>O</v>
      </c>
      <c r="J55" s="23"/>
    </row>
    <row r="56" spans="2:10" s="21" customFormat="1" ht="142.5" x14ac:dyDescent="0.3">
      <c r="B56" s="17">
        <v>49</v>
      </c>
      <c r="C56" s="27" t="s">
        <v>912</v>
      </c>
      <c r="D56" s="28">
        <v>1</v>
      </c>
      <c r="E56" s="29" t="str">
        <f>IFERROR(VLOOKUP(C56,기출문제!D:G,3,0),"")</f>
        <v>84. 고용보험법령상 폐업한 자영업자인 피보험자에 관한 설명으로 옳지 않은 것은?
① 법령을 위반하여 영업 정지를 받아 폐업한 경우라도 직업안정기관의 장이 인정하는 경우에는 수급자격이 있는 것으로 본다. 
② 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
③ 자영업자인 피보험자로서 폐업한 수급자격자에 대한 소정급여일수는 대기기간이 끝난 다음 날부터 계산하기 시작하여 피보험기간이 5년 이상 10년 미만이면 180일까지로 한다.
④ 자영업자인 피보험자의 피보험기간은 그 수급자격과 관련된 폐업 당시의 적용 사업에의 보험가입기간 중에서 실제로 납부한 고용보험료에 해당하는 기간으로 한다.
⑤ 자영업자인 피보험자로서 폐업한 수급자격자에 대한 구직급여일액은 그 수급자격자의 기초일액에 100분의 60을 곱한 금액으로 한다.</v>
      </c>
      <c r="F56" s="30">
        <f>IFERROR(VLOOKUP(C56,기출문제!D:G,4,0),"")</f>
        <v>1</v>
      </c>
      <c r="G56" s="31" t="str">
        <f t="shared" si="0"/>
        <v>O</v>
      </c>
      <c r="J56" s="23"/>
    </row>
    <row r="57" spans="2:10" s="21" customFormat="1" ht="142.5" x14ac:dyDescent="0.3">
      <c r="B57" s="17">
        <v>50</v>
      </c>
      <c r="C57" s="27" t="s">
        <v>913</v>
      </c>
      <c r="D57" s="28">
        <v>0</v>
      </c>
      <c r="E57" s="29" t="str">
        <f>IFERROR(VLOOKUP(C57,기출문제!D:G,3,0),"")</f>
        <v>85. 고용보험법령상 고용노동부장관이 고용환경 개선, 근무형태 변경 등으로 고용의 기회를 확대한 사업주에게 임금의 일부를 지원할 수 있는 경우가 아닌 것은?
① 직무의 분할 등을 통하여 실업자를 근로계약기간을 정하지 않고 시간제로 근무하는 형태로 하여 새로 고용하는 경우
② 고용보험위원회에서 심의・의결한 국내복귀기업  또는 지역특화산업 등 고용지원이 필요한 업종에 해당하는 기업이 실업자를 고용하는 경우
③ 고용보험위원회에서 심의・의결한 업종에 해당하는 우선지원대상기업이 고용노동부장관이 정하는 전문적인 자격을 갖춘 자를 고용하는 경우
④ 임금을 감액하는 제도 또는 그 밖의 임금체계 개편 등을 통하여 18세 이상 35세 이하의 청년 실업자를 고용하는 경우
⑤ 고용노동부장관이 「고용상 연령차별 금지 및 고령자고용촉진에 관한 법률」에 따른 고령자가 근무하기에 적합한 것으로 인정하는 직무에 고령자를 새로 고용하는 경우</v>
      </c>
      <c r="F57" s="30">
        <f>IFERROR(VLOOKUP(C57,기출문제!D:G,4,0),"")</f>
        <v>4</v>
      </c>
      <c r="G57" s="31" t="str">
        <f t="shared" si="0"/>
        <v>X</v>
      </c>
      <c r="J57" s="23"/>
    </row>
    <row r="58" spans="2:10" s="21" customFormat="1" ht="156.75" x14ac:dyDescent="0.3">
      <c r="B58" s="17">
        <v>51</v>
      </c>
      <c r="C58" s="27" t="s">
        <v>914</v>
      </c>
      <c r="D58" s="17">
        <v>3</v>
      </c>
      <c r="E58" s="29" t="str">
        <f>IFERROR(VLOOKUP(C58,기출문제!D:G,3,0),"")</f>
        <v>86. 산업재해보상보험법상 진폐에 따른 보험급여 종류를 모두 고른 것은?
ㄱ. 장례비
ㄴ. 휴업급여
ㄷ. 직업재활급여
ㄹ. 간병급여
ㅁ. 유족급여
① ㄱ, ㄹ
② ㄱ, ㄴ, ㅁ
③ ㄱ, ㄷ, ㄹ
④ ㄴ, ㄷ, ㄹ, ㅁ
⑤ ㄱ, ㄴ, ㄷ, ㄹ, ㅁ</v>
      </c>
      <c r="F58" s="30">
        <f>IFERROR(VLOOKUP(C58,기출문제!D:G,4,0),"")</f>
        <v>3</v>
      </c>
      <c r="G58" s="31" t="str">
        <f t="shared" si="0"/>
        <v>O</v>
      </c>
      <c r="J58" s="23"/>
    </row>
    <row r="59" spans="2:10" s="21" customFormat="1" ht="99.75" x14ac:dyDescent="0.3">
      <c r="B59" s="17">
        <v>52</v>
      </c>
      <c r="C59" s="27" t="s">
        <v>915</v>
      </c>
      <c r="D59" s="17">
        <v>4</v>
      </c>
      <c r="E59" s="29" t="str">
        <f>IFERROR(VLOOKUP(C59,기출문제!D:G,3,0),"")</f>
        <v>87. 산업재해보상보험법상 심사 청구 및 재심사 청구에 관한 설명으로 옳지 않은 것은?
① 재심사위원회의 재결은 근로복지공단을 기속(羈束)한다.
② 재심사위원회 위원(당연직위원은 제외한다)의 임기는 3년으로 하되 연임할 수 있고, 위원장이나 위원의 임기가 끝난 경우 그 후임자가 임명될 때까지 그 직무를 수행한다.
③ 보험급여 결정등에 대하여는 「행정심판법」에 따른 행정심판을 제기할 수 없다.
④ 재심사위원회의 위원장 및 위원은 고용노동부장관이 임명한다.
⑤ 재심사 청구의 제기는 시효의 중단에 관하여 「민법」 제168조에 따른 재판상의 청구로 본다.</v>
      </c>
      <c r="F59" s="30">
        <f>IFERROR(VLOOKUP(C59,기출문제!D:G,4,0),"")</f>
        <v>4</v>
      </c>
      <c r="G59" s="31" t="str">
        <f t="shared" si="0"/>
        <v>O</v>
      </c>
      <c r="J59" s="23"/>
    </row>
    <row r="60" spans="2:10" s="21" customFormat="1" ht="142.5" x14ac:dyDescent="0.3">
      <c r="B60" s="17">
        <v>53</v>
      </c>
      <c r="C60" s="27" t="s">
        <v>916</v>
      </c>
      <c r="D60" s="17">
        <v>3</v>
      </c>
      <c r="E60" s="29" t="str">
        <f>IFERROR(VLOOKUP(C60,기출문제!D:G,3,0),"")</f>
        <v>88. 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
① ㄱ
② ㄴ
③ ㄱ, ㄷ
④ ㄴ, ㄷ
⑤ ㄱ, ㄴ, ㄷ</v>
      </c>
      <c r="F60" s="30">
        <f>IFERROR(VLOOKUP(C60,기출문제!D:G,4,0),"")</f>
        <v>3</v>
      </c>
      <c r="G60" s="31" t="str">
        <f t="shared" si="0"/>
        <v>O</v>
      </c>
      <c r="J60" s="23"/>
    </row>
    <row r="61" spans="2:10" s="21" customFormat="1" ht="156.75" x14ac:dyDescent="0.3">
      <c r="B61" s="17">
        <v>54</v>
      </c>
      <c r="C61" s="27" t="s">
        <v>917</v>
      </c>
      <c r="D61" s="17">
        <v>0</v>
      </c>
      <c r="E61" s="29" t="str">
        <f>IFERROR(VLOOKUP(C61,기출문제!D:G,3,0),"")</f>
        <v>89. 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
① ㄱ, ㄴ
② ㄱ, ㄷ
③ ㄴ, ㄷ
④ ㄴ, ㄹ
⑤ ㄷ, ㄹ</v>
      </c>
      <c r="F61" s="30">
        <f>IFERROR(VLOOKUP(C61,기출문제!D:G,4,0),"")</f>
        <v>2</v>
      </c>
      <c r="G61" s="31" t="str">
        <f t="shared" si="0"/>
        <v>X</v>
      </c>
      <c r="J61" s="23"/>
    </row>
    <row r="62" spans="2:10" s="21" customFormat="1" ht="99.75" x14ac:dyDescent="0.3">
      <c r="B62" s="17">
        <v>55</v>
      </c>
      <c r="C62" s="27" t="s">
        <v>918</v>
      </c>
      <c r="D62" s="17">
        <v>4</v>
      </c>
      <c r="E62" s="29" t="str">
        <f>IFERROR(VLOOKUP(C62,기출문제!D:G,3,0),"")</f>
        <v>90. 산업재해보상보험법령상 업무상 사고에 해당하지 않는 것은?
① 근로자가 근로계약에 따른 업무수행 행위를 하던 중 발생한 사고
② 업무를 준비하는 행위를 하던 중 발생한 사고
③ 천재지변・화재 등 사업장 내에 발생한 돌발적인 사고에 따른 긴급피난・구조행위 등 사회통념상 예견되는 행위를 하던 중에 발생한 사고
④ 사업장 밖에서 업무를 수행하던 중 사업주의 구체적인 지시를 위반한 행위로 인한 사고
⑤ 휴게시간 중 사업주의 지배관리하에 있다고 볼 수 있는 행위로 발생한 사고</v>
      </c>
      <c r="F62" s="30">
        <f>IFERROR(VLOOKUP(C62,기출문제!D:G,4,0),"")</f>
        <v>4</v>
      </c>
      <c r="G62" s="31" t="str">
        <f t="shared" si="0"/>
        <v>O</v>
      </c>
      <c r="J62" s="23"/>
    </row>
    <row r="63" spans="2:10" s="21" customFormat="1" ht="85.5" x14ac:dyDescent="0.3">
      <c r="B63" s="17">
        <v>56</v>
      </c>
      <c r="C63" s="27" t="s">
        <v>919</v>
      </c>
      <c r="D63" s="17">
        <v>3</v>
      </c>
      <c r="E63" s="29" t="str">
        <f>IFERROR(VLOOKUP(C63,기출문제!D:G,3,0),"")</f>
        <v>91. 산업재해보상보험법령상 업무상질병판정위원회의 심의에서 제외되는 질병이 아닌 것은?
① 진폐
② 이황화탄소 중독증
③ 유해・위험요인에 지속적으로 소량 노출되어 나타나는 만성 중독 증상 또는 소견 등의 질병
④ 「한국산업안전보건공단법」에 따른 한국산업안전보건공단에 자문한 결과 업무와의 관련성이 높다고 인정된 질병
⑤ 업무와 그 질병 사이에 상당인과관계가 있는지를 명백히 알 수 있는 경우로서 근로복지공단이 정하는 질병</v>
      </c>
      <c r="F63" s="30">
        <f>IFERROR(VLOOKUP(C63,기출문제!D:G,4,0),"")</f>
        <v>3</v>
      </c>
      <c r="G63" s="31" t="str">
        <f t="shared" si="0"/>
        <v>O</v>
      </c>
      <c r="J63" s="23"/>
    </row>
    <row r="64" spans="2:10" s="21" customFormat="1" ht="99.75" x14ac:dyDescent="0.3">
      <c r="B64" s="17">
        <v>57</v>
      </c>
      <c r="C64" s="27" t="s">
        <v>920</v>
      </c>
      <c r="D64" s="17">
        <v>2</v>
      </c>
      <c r="E64" s="29" t="str">
        <f>IFERROR(VLOOKUP(C64,기출문제!D:G,3,0),"")</f>
        <v>92. 국민연금법령상 다음 A근로자의 경우 산입될 국민연금 가입기간은?
○ 사용자가 A근로자의 임금에서 7개월간 기여금을 공제하였음에도 연금보험료를 내지 않았다.
① 3개월
② 4개월
③ 5개월
④ 6개월
⑤ 7개월</v>
      </c>
      <c r="F64" s="30">
        <f>IFERROR(VLOOKUP(C64,기출문제!D:G,4,0),"")</f>
        <v>2</v>
      </c>
      <c r="G64" s="31" t="str">
        <f t="shared" si="0"/>
        <v>O</v>
      </c>
      <c r="J64" s="23"/>
    </row>
    <row r="65" spans="2:10" s="21" customFormat="1" ht="199.5" x14ac:dyDescent="0.3">
      <c r="B65" s="17">
        <v>58</v>
      </c>
      <c r="C65" s="27" t="s">
        <v>921</v>
      </c>
      <c r="D65" s="17">
        <v>3</v>
      </c>
      <c r="E65" s="29" t="str">
        <f>IFERROR(VLOOKUP(C65,기출문제!D:G,3,0),"")</f>
        <v>93. 국민연금법상 다음 ( )에 들어갈 숫자의 합은?
제64조(분할연금 수급권자 등)
① 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
① 6
② 8
③ 10
④ 13
⑤ 15</v>
      </c>
      <c r="F65" s="30">
        <f>IFERROR(VLOOKUP(C65,기출문제!D:G,4,0),"")</f>
        <v>3</v>
      </c>
      <c r="G65" s="31" t="str">
        <f t="shared" si="0"/>
        <v>O</v>
      </c>
      <c r="J65" s="23"/>
    </row>
    <row r="66" spans="2:10" s="21" customFormat="1" ht="99.75" x14ac:dyDescent="0.3">
      <c r="B66" s="17">
        <v>59</v>
      </c>
      <c r="C66" s="27" t="s">
        <v>922</v>
      </c>
      <c r="D66" s="17">
        <v>1</v>
      </c>
      <c r="E66" s="29" t="str">
        <f>IFERROR(VLOOKUP(C66,기출문제!D:G,3,0),"")</f>
        <v>94. 국민건강보험법령상 피부양자에 해당하지 않는 자는? (단, 직장가입자에게 주로 생계를 의존하는 사람으로서 소득 및 재산이 보건복지부령으로 정하는 기준 이하에 해당하는 사람에 한정한다.)
① 직장가입자의 형제의 배우자
② 직장가입자의 직계비속
③ 직장가입자의 배우자의 직계비속
④ 직장가입자의 직계존속
⑤ 직장가입자의 형제・자매</v>
      </c>
      <c r="F66" s="30">
        <f>IFERROR(VLOOKUP(C66,기출문제!D:G,4,0),"")</f>
        <v>1</v>
      </c>
      <c r="G66" s="31" t="str">
        <f t="shared" si="0"/>
        <v>O</v>
      </c>
      <c r="J66" s="23"/>
    </row>
    <row r="67" spans="2:10" s="21" customFormat="1" ht="128.25" x14ac:dyDescent="0.3">
      <c r="B67" s="17">
        <v>60</v>
      </c>
      <c r="C67" s="27" t="s">
        <v>923</v>
      </c>
      <c r="D67" s="17">
        <v>0</v>
      </c>
      <c r="E67" s="29" t="str">
        <f>IFERROR(VLOOKUP(C67,기출문제!D:G,3,0),"")</f>
        <v>95. 국민건강보험법령에 관한 설명으로 옳은 것은?
① 요양급여비용 및 요양급여의 적정성 평가 등에 관한 건강보험심사평가원의 처분에 이의가 있는 국민건강보험공단, 요양기관 또는 그 밖의 자는 건강보험정책심의위원회에 이의신청을 할 수 있다.
② 직장가입자의 보수월액보험료 상한은 보험료가 부과되는 연도의 전전년도 직장가입자 평균 보수월액보험료의 20배에 해당하는 금액을 고려하여 보건복지부장관이 정하여 고시하는 금액으로 한다.
③ 국민건강보험공단은 보험급여를 받을 수 있는 사람이 고의 또는 중대한 과실로 국민건강보험공단이나 요양기관의 요양에 관한 지시에 따르지 아니한 경우 보험급여를 하지 아니한다.
④ 건강보험심사평가원은 요양급여에 대한 의료의 질을 향상시키기 위하여 요양급여의 적정성 평가를 격년으로 실시하여야 한다.
⑤ 보수의 일부가 현물로 지급되는 경우에는 그 지역의 시가를 기준으로 근로복지공단이 정하는 가액을 그에 해당하는 보수로 본다.</v>
      </c>
      <c r="F67" s="30">
        <f>IFERROR(VLOOKUP(C67,기출문제!D:G,4,0),"")</f>
        <v>3</v>
      </c>
      <c r="G67" s="31" t="str">
        <f t="shared" si="0"/>
        <v>X</v>
      </c>
      <c r="J67" s="23"/>
    </row>
    <row r="68" spans="2:10" s="21" customFormat="1" ht="85.5" x14ac:dyDescent="0.3">
      <c r="B68" s="17">
        <v>61</v>
      </c>
      <c r="C68" s="27" t="s">
        <v>924</v>
      </c>
      <c r="D68" s="17">
        <v>1</v>
      </c>
      <c r="E68" s="29" t="str">
        <f>IFERROR(VLOOKUP(C68,기출문제!D:G,3,0),"")</f>
        <v>96. 국민건강보험법령상 보험료에 관한 설명으로 옳은 것은?
① 가입자의 자격을 취득한 날이 속하는 달의 다음 달부터 가입자의 자격을 잃은 날이 속하는 달까지 징수한다.
② 직장가입자의 소득월액보험료는 사용자가 납부한다.
③ 보험료 납부의무가 있는 자는 가입자에 대한 그 달의 보험료를 그 달 말일까지 납부하여야 한다.
④ 직장가입자의 보험료율은 1만분의 709로 한다.
⑤ 60세 이상인 사람은 보험료 경감대상이 될 수 있다.</v>
      </c>
      <c r="F68" s="30">
        <f>IFERROR(VLOOKUP(C68,기출문제!D:G,4,0),"")</f>
        <v>4</v>
      </c>
      <c r="G68" s="31" t="str">
        <f t="shared" si="0"/>
        <v>X</v>
      </c>
      <c r="J68" s="23"/>
    </row>
    <row r="69" spans="2:10" s="21" customFormat="1" ht="85.5" x14ac:dyDescent="0.3">
      <c r="B69" s="17">
        <v>62</v>
      </c>
      <c r="C69" s="27" t="s">
        <v>925</v>
      </c>
      <c r="D69" s="17">
        <v>3</v>
      </c>
      <c r="E69" s="29" t="str">
        <f>IFERROR(VLOOKUP(C69,기출문제!D:G,3,0),"")</f>
        <v>97. 국민건강보험법령상 건강검진에 관한 설명으로 옳지 않은 것은?
① 사무직에 종사하지 않는 직장가입자에 대해서는 1년에 1회 실시한다.
② 검진기관이 건강검진을 받은 사람에게 직접 통보한 경우에는 국민건강보험공단은 그 통보를 생략할 수 있다.
③ 직장가입자, 세대주인 지역가입자, 18세 이상인 지역가입자는 일반건강검진 대상이다.
④ 영유아건강검진 대상은 6세 미만의 가입자 및 피부양자이다.
⑤ 국민건강보험공단은 직장가입자에게 실시하는 일반건강검진의 실시에 관한 사항을 해당 사용자에게 통보해야 한다.</v>
      </c>
      <c r="F69" s="30">
        <f>IFERROR(VLOOKUP(C69,기출문제!D:G,4,0),"")</f>
        <v>3</v>
      </c>
      <c r="G69" s="31" t="str">
        <f t="shared" si="0"/>
        <v>O</v>
      </c>
      <c r="J69" s="23"/>
    </row>
    <row r="70" spans="2:10" s="21" customFormat="1" ht="142.5" x14ac:dyDescent="0.3">
      <c r="B70" s="17">
        <v>63</v>
      </c>
      <c r="C70" s="27" t="s">
        <v>629</v>
      </c>
      <c r="D70" s="17">
        <v>0</v>
      </c>
      <c r="E70" s="29" t="str">
        <f>IFERROR(VLOOKUP(C70,기출문제!D:G,3,0),"")</f>
        <v>98. 고용보험 및 산업재해보상보험의 보험료 징수 등에 관한 법령상 고액・상습 체납자의 인적사항 공개에 관한 설명으로 옳지 않은 것은?
① 국민건강보험공단은 체납된 보험료, 이 법에 따른 그 밖의 징수금과 체납처분비와 관련하여 행정심판이 계류 중인 경우에는 공개하여서는 아니 된다.
② 체납자의 인적사항등에 대한 공개 여부를 심의하기 위하여 국민건강보험공단에 보험료정보공개심의위원회를 둔다.
③ 국민건강보험공단은 인정사항등의 공개가 결정된 자에 대하여 소명할 기회를 주어야 한다.
④ 체납자 인적사항등의 공개는 관보에 게재하거나, 고용・산재정보통신망 또는 국민건강보험공단 게시판에 게시하는 방법에 따른다.
⑤ 국민건강보험공단은 보험료정보공개심의위원회의 심의와 관련한 통지일부터 3개월이 지난 후 체납자 인적사항등의 공개 여부를 재심의하게 한 후 공개대상자를 선정한다.</v>
      </c>
      <c r="F70" s="30">
        <f>IFERROR(VLOOKUP(C70,기출문제!D:G,4,0),"")</f>
        <v>5</v>
      </c>
      <c r="G70" s="31" t="str">
        <f t="shared" si="0"/>
        <v>X</v>
      </c>
      <c r="J70" s="23"/>
    </row>
    <row r="71" spans="2:10" s="21" customFormat="1" ht="99.75" x14ac:dyDescent="0.3">
      <c r="B71" s="17">
        <v>64</v>
      </c>
      <c r="C71" s="27" t="s">
        <v>926</v>
      </c>
      <c r="D71" s="17">
        <v>2</v>
      </c>
      <c r="E71" s="29" t="str">
        <f>IFERROR(VLOOKUP(C71,기출문제!D:G,3,0),"")</f>
        <v>99. 고용보험 및 산업재해보상보험의 보험료징수 등에 관한 법령상 예술인과 이들을 상대방으로 하여 문화예술용역 관련 계약을 체결한 사업의 사업주에 대한 고용보험료율은?
① 1천분의 8
② 1천분의 16
③ 1천분의 24
④ 1천분의 32
⑤ 1천분의 40</v>
      </c>
      <c r="F71" s="30">
        <f>IFERROR(VLOOKUP(C71,기출문제!D:G,4,0),"")</f>
        <v>2</v>
      </c>
      <c r="G71" s="31" t="str">
        <f t="shared" si="0"/>
        <v>O</v>
      </c>
      <c r="J71" s="23"/>
    </row>
    <row r="72" spans="2:10" s="21" customFormat="1" ht="185.25" x14ac:dyDescent="0.3">
      <c r="B72" s="17">
        <v>65</v>
      </c>
      <c r="C72" s="27" t="s">
        <v>927</v>
      </c>
      <c r="D72" s="17">
        <v>3</v>
      </c>
      <c r="E72" s="29" t="str">
        <f>IFERROR(VLOOKUP(C72,기출문제!D:G,3,0),"")</f>
        <v>100. 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
① A
② B
③ C
④ D
⑤ E</v>
      </c>
      <c r="F72" s="30">
        <f>IFERROR(VLOOKUP(C72,기출문제!D:G,4,0),"")</f>
        <v>3</v>
      </c>
      <c r="G72" s="31" t="str">
        <f t="shared" si="0"/>
        <v>O</v>
      </c>
      <c r="J72" s="23"/>
    </row>
    <row r="73" spans="2:10" s="21" customFormat="1" ht="85.5" x14ac:dyDescent="0.3">
      <c r="B73" s="17">
        <v>66</v>
      </c>
      <c r="C73" s="27" t="s">
        <v>566</v>
      </c>
      <c r="D73" s="17">
        <v>0</v>
      </c>
      <c r="E73" s="29" t="str">
        <f>IFERROR(VLOOKUP(C73,기출문제!D:G,3,0),"")</f>
        <v>76. 사회보장기본법에 관한 설명으로 옳지 않은 것은?
① 모든 국민은 자신의 능력을 최대한 발휘하여 자립・자활(自活)할 수 있도록 노력하여야 한다.
② 국가와 지방자치단체는 사회보장제도를 시행할 때에 가정과 지역공동체의 자발적인 복지활동을 촉진하여야 한다.
③ 사회보험이란 국민에게 발생하는 사회적 위험을 보험의 방식으로 대처함으로써 국민의 건강과 소득을 보장하는 제도를 말한다.
④ 국내에 거주하는 외국인에게 사회보장제도를 적용할 때에는 국민과 차별하지 아니하되 예외적으로 상호주의에 따를 수 있다.
⑤ 국가와 지방자치단체는 가정이 건전하게 유지되고 그 기능이 향상되도록 노력하여야 한다.</v>
      </c>
      <c r="F73" s="30">
        <f>IFERROR(VLOOKUP(C73,기출문제!D:G,4,0),"")</f>
        <v>4</v>
      </c>
      <c r="G73" s="31" t="str">
        <f t="shared" ref="G73:G136" si="1">IF(D73="","",IF(D73=F73,"O", "X"))</f>
        <v>X</v>
      </c>
      <c r="J73" s="23"/>
    </row>
    <row r="74" spans="2:10" s="21" customFormat="1" ht="99.75" x14ac:dyDescent="0.3">
      <c r="B74" s="17">
        <v>67</v>
      </c>
      <c r="C74" s="27" t="s">
        <v>928</v>
      </c>
      <c r="D74" s="17">
        <v>3</v>
      </c>
      <c r="E74" s="29" t="str">
        <f>IFERROR(VLOOKUP(C74,기출문제!D:G,3,0),"")</f>
        <v>77. 사회보장기본법상 사회보장제도의 운영에 관한 설명으로 옳지 않은 것은?
① 국가와 지방자치단체가 사회보장제도를 운영할 때에는 이 제도를 필요로 하는 모든 국민에게 적용하여야 한다.
② 국가와 지방자치단체는 공공부문과 민간부문의 사회보장 전달체계가 효율적으로 연계되도록 노력하여야 한다.
③ 공공부조는 국가의 책임으로 시행하고, 사회보험과 사회서비스는 국가와 지방자치단체의 책임으로 시행하는 것을 원칙으로 한다.
④ 국가와 지방자치단체는 사회보장 관계 법령에서 정하는 바에 따라 사회보장에 관한 상담에 응하여야 한다.
⑤ 국가와 지방자치단체는 효과적인 사회보장정책의 수립・시행을 위하여 사회보장에 관한 통계를 작성・관리하여야 한다.</v>
      </c>
      <c r="F74" s="30">
        <f>IFERROR(VLOOKUP(C74,기출문제!D:G,4,0),"")</f>
        <v>3</v>
      </c>
      <c r="G74" s="31" t="str">
        <f t="shared" si="1"/>
        <v>O</v>
      </c>
      <c r="J74" s="23"/>
    </row>
    <row r="75" spans="2:10" s="21" customFormat="1" ht="128.25" x14ac:dyDescent="0.3">
      <c r="B75" s="17">
        <v>68</v>
      </c>
      <c r="C75" s="27" t="s">
        <v>929</v>
      </c>
      <c r="D75" s="17">
        <v>0</v>
      </c>
      <c r="E75" s="29" t="str">
        <f>IFERROR(VLOOKUP(C75,기출문제!D:G,3,0),"")</f>
        <v>78. 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
① ㄱ: 1월 31일, ㄴ: 3월 31일 
② ㄱ: 1월 31일, ㄴ: 6월 30일
③ ㄱ: 3월 31일, ㄴ: 6월 30일 
④ ㄱ: 3월 31일, ㄴ: 9월 30일
⑤ ㄱ: 6월 30일, ㄴ: 9월 30일</v>
      </c>
      <c r="F75" s="30">
        <f>IFERROR(VLOOKUP(C75,기출문제!D:G,4,0),"")</f>
        <v>1</v>
      </c>
      <c r="G75" s="31" t="str">
        <f t="shared" si="1"/>
        <v>X</v>
      </c>
      <c r="J75" s="23"/>
    </row>
    <row r="76" spans="2:10" s="21" customFormat="1" ht="85.5" x14ac:dyDescent="0.3">
      <c r="B76" s="17">
        <v>69</v>
      </c>
      <c r="C76" s="27" t="s">
        <v>930</v>
      </c>
      <c r="D76" s="17">
        <v>4</v>
      </c>
      <c r="E76" s="29" t="str">
        <f>IFERROR(VLOOKUP(C76,기출문제!D:G,3,0),"")</f>
        <v>79. 사회보장기본법에 관한 설명으로 옳지 않은 것은?
① 국가는 관계 법령에서 정하는 바에 따라 최저보장수준과 최저임금을 매년 공표하여야 한다.
② 국가와 지방자치단체는 사회보장에 관한 책임과 역할을 합리적으로 분담하여야 한다.
③ 사회보장수급권이 제한되거나 정지되는 경우에는 제한 또는 정지하는 목적에 필요한 최소한의 범위에 그쳐야 한다.
④ 사회보장수급권은 정당한 권한이 있는 기관에 구두 또는 서면으로 통지하여 포기할 수 있다.
⑤ 사회보장에 관한 다른 법률을 제정하거나 개정하는 경우에는 사회보장기본법에 부합되도록 하여야 한다.</v>
      </c>
      <c r="F76" s="30">
        <f>IFERROR(VLOOKUP(C76,기출문제!D:G,4,0),"")</f>
        <v>4</v>
      </c>
      <c r="G76" s="31" t="str">
        <f t="shared" si="1"/>
        <v>O</v>
      </c>
      <c r="J76" s="23"/>
    </row>
    <row r="77" spans="2:10" s="21" customFormat="1" ht="99.75" x14ac:dyDescent="0.3">
      <c r="B77" s="17">
        <v>70</v>
      </c>
      <c r="C77" s="27" t="s">
        <v>931</v>
      </c>
      <c r="D77" s="17">
        <v>4</v>
      </c>
      <c r="E77" s="29" t="str">
        <f>IFERROR(VLOOKUP(C77,기출문제!D:G,3,0),"")</f>
        <v>80. 고용보험법상 피보험자격의 취득 또는 상실 등에 관한 설명으로 옳지 않은 것은?
① 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
② 근로자인 피보험자가 이직한 경우에는 이직한 날의 다음 날에 피보험자격을 상실한다.
③ 근로자인 피보험자가 사망한 경우에는 사망한 날의 다음 날에 피보험자격을 상실한다.
④ 고용산재보험료징수법에 따라 보험관계가 소멸한 경우에는 그 보험관계가 소멸한 날에 그 피보험자격을 상실한다.
⑤ 피보험자 또는 피보험자였던 사람은 언제든지 고용노동부장관에게 피보험자격의 취득 또는 상실에 관한 확인을 청구할 수 있다.</v>
      </c>
      <c r="F77" s="30">
        <f>IFERROR(VLOOKUP(C77,기출문제!D:G,4,0),"")</f>
        <v>1</v>
      </c>
      <c r="G77" s="31" t="str">
        <f t="shared" si="1"/>
        <v>X</v>
      </c>
      <c r="J77" s="23"/>
    </row>
    <row r="78" spans="2:10" s="21" customFormat="1" ht="128.25" x14ac:dyDescent="0.3">
      <c r="B78" s="17">
        <v>71</v>
      </c>
      <c r="C78" s="27" t="s">
        <v>932</v>
      </c>
      <c r="D78" s="17">
        <v>5</v>
      </c>
      <c r="E78" s="29" t="str">
        <f>IFERROR(VLOOKUP(C78,기출문제!D:G,3,0),"")</f>
        <v>81. 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
① ㄱ 
② ㄱ, ㄴ 
③ ㄱ, ㄷ 
④ ㄴ, ㄷ 
⑤ ㄱ, ㄴ, ㄷ</v>
      </c>
      <c r="F78" s="30">
        <f>IFERROR(VLOOKUP(C78,기출문제!D:G,4,0),"")</f>
        <v>5</v>
      </c>
      <c r="G78" s="31" t="str">
        <f t="shared" si="1"/>
        <v>O</v>
      </c>
      <c r="J78" s="23"/>
    </row>
    <row r="79" spans="2:10" s="21" customFormat="1" ht="85.5" x14ac:dyDescent="0.3">
      <c r="B79" s="17">
        <v>72</v>
      </c>
      <c r="C79" s="27" t="s">
        <v>933</v>
      </c>
      <c r="D79" s="17">
        <v>2</v>
      </c>
      <c r="E79" s="29" t="str">
        <f>IFERROR(VLOOKUP(C79,기출문제!D:G,3,0),"")</f>
        <v>82. 고용보험법상 자영업자의 구직급여에 관한 사항으로 피보험기간과 소정급여일수가 옳게 연결된 것은?
① 피보험기간 6개월 - 소정급여일수 120일
② 피보험기간 1년 - 소정급여일수 150일
③ 피보험기간 3년 - 소정급여일수 180일
④ 피보험기간 10년 - 소정급여일수 210일
⑤ 피보험기간 15년 - 소정급여일수 240일</v>
      </c>
      <c r="F79" s="30">
        <f>IFERROR(VLOOKUP(C79,기출문제!D:G,4,0),"")</f>
        <v>4</v>
      </c>
      <c r="G79" s="31" t="str">
        <f t="shared" si="1"/>
        <v>X</v>
      </c>
      <c r="J79" s="23"/>
    </row>
    <row r="80" spans="2:10" s="21" customFormat="1" ht="85.5" x14ac:dyDescent="0.3">
      <c r="B80" s="17">
        <v>73</v>
      </c>
      <c r="C80" s="27" t="s">
        <v>934</v>
      </c>
      <c r="D80" s="17">
        <v>4</v>
      </c>
      <c r="E80" s="29" t="str">
        <f>IFERROR(VLOOKUP(C80,기출문제!D:G,3,0),"")</f>
        <v>83. 고용보험법령상 노무제공자인 피보험자에 해당하지 않는 것은?
① 한국표준직업분류표의 세세분류에 따른 대여 제품 방문점검원
② 가전제품의 판매를 위한 배송 업무를 주로 수행하고 가전제품의 설치, 시운전 등을 통해 작동상태를 확인하는 사람
③ 「초・중등교육법」에 따른 학교에서 운영하는 방과후 학교의 과정을 담당하는 강사
④ 「방문판매 등에 관한 법률」에 따른 후원방문판매원으로서 자가 소비를 위한 후원 방문판매원
⑤ 「우체국 예금・보험에 관한 법률」에 따른 우체국보험의 모집을 전업으로 하는 사람</v>
      </c>
      <c r="F80" s="30">
        <f>IFERROR(VLOOKUP(C80,기출문제!D:G,4,0),"")</f>
        <v>4</v>
      </c>
      <c r="G80" s="31" t="str">
        <f t="shared" si="1"/>
        <v>O</v>
      </c>
      <c r="J80" s="23"/>
    </row>
    <row r="81" spans="2:10" s="21" customFormat="1" ht="99.75" x14ac:dyDescent="0.3">
      <c r="B81" s="17">
        <v>74</v>
      </c>
      <c r="C81" s="27" t="s">
        <v>935</v>
      </c>
      <c r="D81" s="17">
        <v>2</v>
      </c>
      <c r="E81" s="29" t="str">
        <f>IFERROR(VLOOKUP(C81,기출문제!D:G,3,0),"")</f>
        <v>84. 고용보험법령상 고용보험기금에 관한 설명으로 옳지 않은 것은?
① 고용노동부장관은 한국은행에 고용보험기금계정을 설치하여야 한다.
② 고용보험기금의 결산상 손실금이 생기는 경우 이를 적립금으로 보전(補塡)할 수 없다.
③ 기금수입징수관은 기금징수액보고서를 매월 말일을 기준으로 작성하여 다음 달 20일까지 고용노동부장관에게 제출하여야 한다.
④ 고용보험기금을 지출할 때 자금 부족이 발생할 것으로 예상되는 경우에는 고용보험기금의 부담으로 금융기관・다른 기금과 그 밖의 재원 등으로부터 차입을 할 수 있다.
⑤ 고용노동부장관의 고용보험기금 관리・운용 방법에는 금융기관에 예탁하는 방법이 있다.</v>
      </c>
      <c r="F81" s="30">
        <f>IFERROR(VLOOKUP(C81,기출문제!D:G,4,0),"")</f>
        <v>2</v>
      </c>
      <c r="G81" s="31" t="str">
        <f t="shared" si="1"/>
        <v>O</v>
      </c>
      <c r="J81" s="23"/>
    </row>
    <row r="82" spans="2:10" s="21" customFormat="1" ht="114" x14ac:dyDescent="0.3">
      <c r="B82" s="17">
        <v>75</v>
      </c>
      <c r="C82" s="27" t="s">
        <v>936</v>
      </c>
      <c r="D82" s="17">
        <v>3</v>
      </c>
      <c r="E82" s="29" t="str">
        <f>IFERROR(VLOOKUP(C82,기출문제!D:G,3,0),"")</f>
        <v>85. 고용보험법상 재심사에 관한 설명으로 옳지 않은 것은?
① 재심사의 청구는 심사청구에 대한 결정이 있음을 안 날부터 90일 이내에 제기하여야 한다.
② 재심사의 청구는 시효중단에 관하여 재판상의 청구로 본다.
③ 고용보험심사위원회의 재심사청구에 대한 심리는 공개하지 않음이 원칙이지만, 당사자의 양쪽 또는 어느 한 쪽이 신청한 경우에는 공개할 수 있다.
④ 고용보험심사위원회는 재심사의 청구를 받으면 그 청구에 대한 심리 기일(審理期日) 및 장소를 정하여 심리 기일 3일 전까지 당사자 및 그 사건을 심사한 고용보험심사관에게 알려야 한다.
⑤ 당사자는 고용보험심사위원회에 문서나 구두로 그 의견을 진술할 수 있다.</v>
      </c>
      <c r="F82" s="30">
        <f>IFERROR(VLOOKUP(C82,기출문제!D:G,4,0),"")</f>
        <v>3</v>
      </c>
      <c r="G82" s="31" t="str">
        <f t="shared" si="1"/>
        <v>O</v>
      </c>
      <c r="J82" s="23"/>
    </row>
    <row r="83" spans="2:10" s="21" customFormat="1" ht="85.5" x14ac:dyDescent="0.3">
      <c r="B83" s="17">
        <v>76</v>
      </c>
      <c r="C83" s="27" t="s">
        <v>937</v>
      </c>
      <c r="D83" s="17">
        <v>0</v>
      </c>
      <c r="E83" s="29" t="str">
        <f>IFERROR(VLOOKUP(C83,기출문제!D:G,3,0),"")</f>
        <v>86. 산업재해보상보험법령상 산업재해보상보험및예방심의위원회의 심의사항이 아닌 것은?
① 요양급여의 범위나 비용 등 요양급여의 산정 기준에 관한 사항
② 「고용보험 및 산업재해보상보험의 보험료징수 등에 관한 법률」에 따른 산재보험료율의 결정에 관한 사항
③ 「산업안전보건법」에 따른 산업재해 보상의 세부계획에 관한 사항
④ 산업재해보상보험및예방기금의 운용계획 수립에 관한 사항
⑤ 고용노동부장관이 산업재해보상보험 사업 및 산업안전・보건 업무에 관하여 심의에 부치는 사항</v>
      </c>
      <c r="F83" s="30">
        <f>IFERROR(VLOOKUP(C83,기출문제!D:G,4,0),"")</f>
        <v>3</v>
      </c>
      <c r="G83" s="31" t="str">
        <f t="shared" si="1"/>
        <v>X</v>
      </c>
      <c r="J83" s="23"/>
    </row>
    <row r="84" spans="2:10" s="21" customFormat="1" ht="85.5" x14ac:dyDescent="0.3">
      <c r="B84" s="17">
        <v>77</v>
      </c>
      <c r="C84" s="27" t="s">
        <v>938</v>
      </c>
      <c r="D84" s="17">
        <v>3</v>
      </c>
      <c r="E84" s="29" t="str">
        <f>IFERROR(VLOOKUP(C84,기출문제!D:G,3,0),"")</f>
        <v>87. 산업재해보상보험법령상 산업재해보상보험법의 적용 제외 사업에 해당하지 않는 것은?
① 「군인 재해보상법」에 따라 재해보상이 되는 사업
② 「선원법」에 따라 재해보상이 되는 사업
③ 벌목업 중 법인이 아닌 자의 사업으로서 상시근로자 수가 5명 미만인 사업
④ 수렵업 중 법인이 아닌 자의 사업으로서 상시근로자 수가 5명 미만인 사업
⑤ 가구내 고용활동</v>
      </c>
      <c r="F84" s="30">
        <f>IFERROR(VLOOKUP(C84,기출문제!D:G,4,0),"")</f>
        <v>3</v>
      </c>
      <c r="G84" s="31" t="str">
        <f t="shared" si="1"/>
        <v>O</v>
      </c>
      <c r="J84" s="23"/>
    </row>
    <row r="85" spans="2:10" s="21" customFormat="1" ht="128.25" x14ac:dyDescent="0.3">
      <c r="B85" s="17">
        <v>78</v>
      </c>
      <c r="C85" s="27" t="s">
        <v>939</v>
      </c>
      <c r="D85" s="17">
        <v>1</v>
      </c>
      <c r="E85" s="29" t="str">
        <f>IFERROR(VLOOKUP(C85,기출문제!D:G,3,0),"")</f>
        <v>88. 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
① ㄱ 
② ㄷ 
③ ㄱ, ㄴ 
④ ㄴ, ㄷ 
⑤ ㄱ, ㄴ, ㄷ</v>
      </c>
      <c r="F85" s="30">
        <f>IFERROR(VLOOKUP(C85,기출문제!D:G,4,0),"")</f>
        <v>1</v>
      </c>
      <c r="G85" s="31" t="str">
        <f t="shared" si="1"/>
        <v>O</v>
      </c>
      <c r="J85" s="23"/>
    </row>
    <row r="86" spans="2:10" s="21" customFormat="1" ht="128.25" x14ac:dyDescent="0.3">
      <c r="B86" s="17">
        <v>79</v>
      </c>
      <c r="C86" s="27" t="s">
        <v>940</v>
      </c>
      <c r="D86" s="17">
        <v>5</v>
      </c>
      <c r="E86" s="29" t="str">
        <f>IFERROR(VLOOKUP(C86,기출문제!D:G,3,0),"")</f>
        <v>89. 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
① ㄱ 
② ㄴ 
③ ㄱ, ㄴ 
④ ㄴ, ㄷ 
⑤ ㄱ, ㄴ, ㄷ</v>
      </c>
      <c r="F86" s="30">
        <f>IFERROR(VLOOKUP(C86,기출문제!D:G,4,0),"")</f>
        <v>5</v>
      </c>
      <c r="G86" s="31" t="str">
        <f t="shared" si="1"/>
        <v>O</v>
      </c>
      <c r="J86" s="23"/>
    </row>
    <row r="87" spans="2:10" s="21" customFormat="1" ht="85.5" x14ac:dyDescent="0.3">
      <c r="B87" s="17">
        <v>80</v>
      </c>
      <c r="C87" s="27" t="s">
        <v>941</v>
      </c>
      <c r="D87" s="17">
        <v>2</v>
      </c>
      <c r="E87" s="29" t="str">
        <f>IFERROR(VLOOKUP(C87,기출문제!D:G,3,0),"")</f>
        <v>90. 산업재해보상보험법령상 업무상의 재해의 인정 기준에 해당하는 사유가 아닌 것은?
① 근로자가 근로계약에 따른 업무나 그에 따르는 행위를 하던 중 발생한 사고
② 사업주의 구체적인 지시를 위반한 행위로 인한 사고
③ 사업주가 제공한 시설물 등을 이용하던 중 그 시설물 등의 결함이나 관리소홀로 발생한 사고
④ 사업주가 주관하거나 사업주의 지시에 따라 참여한 행사나 행사준비 중에 발생한 사고
⑤ 휴게시간 중 사업주의 지배관리하에 있다고 볼 수 있는 행위로 발생한 사고</v>
      </c>
      <c r="F87" s="30">
        <f>IFERROR(VLOOKUP(C87,기출문제!D:G,4,0),"")</f>
        <v>2</v>
      </c>
      <c r="G87" s="31" t="str">
        <f t="shared" si="1"/>
        <v>O</v>
      </c>
      <c r="J87" s="23"/>
    </row>
    <row r="88" spans="2:10" s="21" customFormat="1" ht="128.25" x14ac:dyDescent="0.3">
      <c r="B88" s="17">
        <v>81</v>
      </c>
      <c r="C88" s="27" t="s">
        <v>942</v>
      </c>
      <c r="D88" s="17">
        <v>4</v>
      </c>
      <c r="E88" s="29" t="str">
        <f>IFERROR(VLOOKUP(C88,기출문제!D:G,3,0),"")</f>
        <v>91. 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
① ㄱ: 70, ㄴ: 70 
② ㄱ: 70, ㄴ: 80 
③ ㄱ: 80, ㄴ: 80
④ ㄱ: 80, ㄴ: 90 
⑤ ㄱ: 90, ㄴ: 90</v>
      </c>
      <c r="F88" s="30">
        <f>IFERROR(VLOOKUP(C88,기출문제!D:G,4,0),"")</f>
        <v>4</v>
      </c>
      <c r="G88" s="31" t="str">
        <f t="shared" si="1"/>
        <v>O</v>
      </c>
      <c r="J88" s="23"/>
    </row>
    <row r="89" spans="2:10" s="21" customFormat="1" ht="99.75" x14ac:dyDescent="0.3">
      <c r="B89" s="17">
        <v>82</v>
      </c>
      <c r="C89" s="27" t="s">
        <v>943</v>
      </c>
      <c r="D89" s="17">
        <v>5</v>
      </c>
      <c r="E89" s="29" t="str">
        <f>IFERROR(VLOOKUP(C89,기출문제!D:G,3,0),"")</f>
        <v>92. 국민연금법상 급여에 관한 설명으로 옳은 것은?
① 급여는 노령연금과 장애연금 두 종류로 나뉜다.
② 급여수급전용계좌에 입금된 급여와 이에 관한 채권은 압류할 수 있다.
③ 급여로 지급된 금액에 대하여는「조세특례제한법」이나 그 밖의 법률 또는 지방자치단체가 조례로 정하는 바에 따라 조세, 그 밖에 국가 또는 지방자치단체의 공과금을 감면할 수 없다.
④ 국민연금공단은 장애연금 수급권자의 장애 정도를 심사하여 장애등급에 해당되지 아니하면 장애연금액을 변경한다.
⑤ 자녀인 수급권자가 다른 사람에게 입양된 때에는 그에 해당하게 된 때부터 유족연금의 지급을 정지한다.</v>
      </c>
      <c r="F89" s="30">
        <f>IFERROR(VLOOKUP(C89,기출문제!D:G,4,0),"")</f>
        <v>5</v>
      </c>
      <c r="G89" s="31" t="str">
        <f t="shared" si="1"/>
        <v>O</v>
      </c>
      <c r="J89" s="23"/>
    </row>
    <row r="90" spans="2:10" s="21" customFormat="1" ht="85.5" x14ac:dyDescent="0.3">
      <c r="B90" s="17">
        <v>83</v>
      </c>
      <c r="C90" s="27" t="s">
        <v>944</v>
      </c>
      <c r="D90" s="17">
        <v>5</v>
      </c>
      <c r="E90" s="29" t="str">
        <f>IFERROR(VLOOKUP(C90,기출문제!D:G,3,0),"")</f>
        <v>93. 국민연금법상 국민연금가입자에 관한 설명으로 옳지 않은 것은?
① 가입자는 사업장가입자, 지역가입자, 임의가입자 및 임의계속가입자로 구분한다.
② 임의가입자는 보건복지부령으로 정하는 바에 따라 국민연금공단에 신청하여 탈퇴할 수 있다.
③ 가입자의 가입 종류가 변동되면 그 가입자의 가입기간은 각 종류별 가입기간을 합산한 기간으로 한다.
④ 가입자의 자격을 상실한 후 다시 그 자격을 취득한 자에 대하여는 전후(前後)의 가입기간을 합산한다.
⑤ 임의가입자는 가입 신청을 한 날에 자격을 취득한다.</v>
      </c>
      <c r="F90" s="30">
        <f>IFERROR(VLOOKUP(C90,기출문제!D:G,4,0),"")</f>
        <v>5</v>
      </c>
      <c r="G90" s="31" t="str">
        <f t="shared" si="1"/>
        <v>O</v>
      </c>
      <c r="J90" s="23"/>
    </row>
    <row r="91" spans="2:10" s="21" customFormat="1" ht="114" x14ac:dyDescent="0.3">
      <c r="B91" s="17">
        <v>84</v>
      </c>
      <c r="C91" s="27" t="s">
        <v>945</v>
      </c>
      <c r="D91" s="17">
        <v>5</v>
      </c>
      <c r="E91" s="29" t="str">
        <f>IFERROR(VLOOKUP(C91,기출문제!D:G,3,0),"")</f>
        <v>94. 국민건강보험법령상 보수월액에 관한 설명으로 옳지 않은 것은?
① 직장가입자의 보수월액은 직장가입자가 지급받는 보수를 기준으로 하여 산정한다.
② 휴직으로 보수의 전부 또는 일부가 지급되지 아니하는 가입자의 보수월액보험료는 해당 사유가 생기기 전 달의 보수월액을 기준으로 산정한다.
③ 근로자가 근로를 제공하고 사용자로부터 지급받는 금품 중 퇴직금은 보수에서 제외한다.
④ 보수의 전부 또는 일부가 현물(現物)로 지급되는 경우에는 그 지역의 시가(時價)를 기준으로 국민건강보험공단이 정하는 가액(價額)을 그에 해당하는 보수로 본다.
⑤ 보수 관련 자료가 없거나 불명확한 경우에 해당하면 고용노동부장관이 정하여 고시하는 금액을 보수로 본다.</v>
      </c>
      <c r="F91" s="30">
        <f>IFERROR(VLOOKUP(C91,기출문제!D:G,4,0),"")</f>
        <v>5</v>
      </c>
      <c r="G91" s="31" t="str">
        <f t="shared" si="1"/>
        <v>O</v>
      </c>
      <c r="J91" s="23"/>
    </row>
    <row r="92" spans="2:10" s="21" customFormat="1" ht="142.5" x14ac:dyDescent="0.3">
      <c r="B92" s="17">
        <v>85</v>
      </c>
      <c r="C92" s="27" t="s">
        <v>946</v>
      </c>
      <c r="D92" s="17">
        <v>5</v>
      </c>
      <c r="E92" s="29" t="str">
        <f>IFERROR(VLOOKUP(C92,기출문제!D:G,3,0),"")</f>
        <v>95. 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
① ㄱ, ㄴ 
② ㄴ, ㄷ 
③ ㄱ, ㄴ, ㄹ
④ ㄱ, ㄷ, ㄹ 
⑤ ㄱ, ㄴ, ㄷ, ㄹ</v>
      </c>
      <c r="F92" s="30">
        <f>IFERROR(VLOOKUP(C92,기출문제!D:G,4,0),"")</f>
        <v>5</v>
      </c>
      <c r="G92" s="31" t="str">
        <f t="shared" si="1"/>
        <v>O</v>
      </c>
      <c r="J92" s="23"/>
    </row>
    <row r="93" spans="2:10" s="21" customFormat="1" ht="128.25" x14ac:dyDescent="0.3">
      <c r="B93" s="17">
        <v>86</v>
      </c>
      <c r="C93" s="27" t="s">
        <v>947</v>
      </c>
      <c r="D93" s="17">
        <v>1</v>
      </c>
      <c r="E93" s="29" t="str">
        <f>IFERROR(VLOOKUP(C93,기출문제!D:G,3,0),"")</f>
        <v>96. 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
① ㄱ: 근로복지공단, ㄴ: 국민건강보험공단, ㄷ: 근로복지공단
② ㄱ: 근로복지공단, ㄴ: 근로복지공단, ㄷ: 국민건강보험공단
③ ㄱ: 근로복지공단, ㄴ: 근로복지공단, ㄷ: 근로복지공단
④ ㄱ: 국민건강보험공단, ㄴ: 근로복지공단, ㄷ: 국민건강보험공단
⑤ ㄱ: 국민건강보험공단, ㄴ: 국민건강보험공단, ㄷ: 근로복지공단</v>
      </c>
      <c r="F93" s="30">
        <f>IFERROR(VLOOKUP(C93,기출문제!D:G,4,0),"")</f>
        <v>1</v>
      </c>
      <c r="G93" s="31" t="str">
        <f t="shared" si="1"/>
        <v>O</v>
      </c>
      <c r="J93" s="23"/>
    </row>
    <row r="94" spans="2:10" s="21" customFormat="1" ht="142.5" x14ac:dyDescent="0.3">
      <c r="B94" s="17">
        <v>87</v>
      </c>
      <c r="C94" s="27" t="s">
        <v>948</v>
      </c>
      <c r="D94" s="17">
        <v>0</v>
      </c>
      <c r="E94" s="29" t="str">
        <f>IFERROR(VLOOKUP(C94,기출문제!D:G,3,0),"")</f>
        <v>97. 고용보험 및 산업재해보상보험의 보험료징수 등에 관한 법령상 보험관계의 성립 및 소멸에 관한 설명으로 옳지 않은 것은?
① 산업재해보상보험법을 적용하지 아니하는 사업의 사업주는 근로복지공단의 승인을 받아 산업재해보상보험에 가입할 수 있다.
② 일괄적용사업의 사업주는 사업의 개시일부터 14일 이내에 끝나는 사업의 경우에는 그 끝나는 날의 다음 날까지 개시 및 종료 사실을 근로복지공단에 신고하여야 한다.
③ 고용보험법을 적용하지 아니하는 사업의 사업주가 고용보험에 가입된 경우 그 보험계약을 해지할 때에는 미리 근로복지공단의 승인을 받아야 한다.
④ 고용보험에 가입한 사업주는 기간의 정함이 있는 건설사업의 경우 사업의 기간이 변경되면 그 변경된 날부터 14일 이내에 그 변경사항을 근로복지공단에 신고하여야 한다.
⑤ 고용보험법을 적용하지 아니하는 사업의 사업주가 근로자의 과반수의 동의를 받아 근로복지공단의 승인을 받으면 그 사업의 사업주와 근로자는 고용보험에 가입할 수 있다.</v>
      </c>
      <c r="F94" s="30">
        <f>IFERROR(VLOOKUP(C94,기출문제!D:G,4,0),"")</f>
        <v>2</v>
      </c>
      <c r="G94" s="31" t="str">
        <f t="shared" si="1"/>
        <v>X</v>
      </c>
      <c r="J94" s="23"/>
    </row>
    <row r="95" spans="2:10" s="21" customFormat="1" ht="99.75" x14ac:dyDescent="0.3">
      <c r="B95" s="17">
        <v>88</v>
      </c>
      <c r="C95" s="27" t="s">
        <v>949</v>
      </c>
      <c r="D95" s="17">
        <v>2</v>
      </c>
      <c r="E95" s="29" t="str">
        <f>IFERROR(VLOOKUP(C95,기출문제!D:G,3,0),"")</f>
        <v>98. 고용보험 및 산업재해보상보험의 보험료징수 등에 관한 법령상 상시근로자수가 150명 미만인 사업주의 사업의 고용안정・직업능력개발사업의 보험료율은?
① 1만분의 15 
② 1만분의 25 
③ 1만분의 35 
④ 1만분의 45 
⑤ 1만분의 55</v>
      </c>
      <c r="F95" s="30">
        <f>IFERROR(VLOOKUP(C95,기출문제!D:G,4,0),"")</f>
        <v>2</v>
      </c>
      <c r="G95" s="31" t="str">
        <f t="shared" si="1"/>
        <v>O</v>
      </c>
      <c r="J95" s="23"/>
    </row>
    <row r="96" spans="2:10" s="21" customFormat="1" ht="99.75" x14ac:dyDescent="0.3">
      <c r="B96" s="17">
        <v>89</v>
      </c>
      <c r="C96" s="27" t="s">
        <v>950</v>
      </c>
      <c r="D96" s="17">
        <v>0</v>
      </c>
      <c r="E96" s="29" t="str">
        <f>IFERROR(VLOOKUP(C96,기출문제!D:G,3,0),"")</f>
        <v>99. 고용보험 및 산업재해보상보험의 보험료징수 등에 관한 법령상 기준보수에 관한 설명으로 옳지 않은 것은?
① 근로시간에 따라 보수를 지급받는 근로자가 주당 소정근로시간을 확정할 수 없는 경우에는 시간단위 기준보수를 적용한다.
② 기준보수는 사업의 규모, 근로형태 및 보수수준 등을 고려하여 고용보험법에 따른 고용보험위원회의 심의를 거쳐 시간・일 또는 월 단위로 정하되, 사업의 종류별 또는 지역별로 구분하여 정할 수 있다.
③ 사업 또는 사업장의 이전 등으로 사업의 소재지를 파악하기 곤란한 경우에는 기준보수를 보수로 할 수 있다.
④ 통상근로자로서 월정액으로 보수를 지급받는 근로자에게는 월단위 기준보수를 적용한다.
⑤ 사업의 폐업으로 보수를 산정하기 곤란한 경우에는 기준보수를 보수로 할 수 있다.</v>
      </c>
      <c r="F96" s="30">
        <f>IFERROR(VLOOKUP(C96,기출문제!D:G,4,0),"")</f>
        <v>1</v>
      </c>
      <c r="G96" s="31" t="str">
        <f t="shared" si="1"/>
        <v>X</v>
      </c>
      <c r="J96" s="23"/>
    </row>
    <row r="97" spans="2:10" s="21" customFormat="1" ht="128.25" x14ac:dyDescent="0.3">
      <c r="B97" s="17">
        <v>90</v>
      </c>
      <c r="C97" s="27" t="s">
        <v>951</v>
      </c>
      <c r="D97" s="17">
        <v>2</v>
      </c>
      <c r="E97" s="29" t="str">
        <f>IFERROR(VLOOKUP(C97,기출문제!D:G,3,0),"")</f>
        <v>100. 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
① 7 
② 14 
③ 15 
④ 20 
⑤ 30</v>
      </c>
      <c r="F97" s="30">
        <f>IFERROR(VLOOKUP(C97,기출문제!D:G,4,0),"")</f>
        <v>2</v>
      </c>
      <c r="G97" s="31" t="str">
        <f t="shared" si="1"/>
        <v>O</v>
      </c>
      <c r="J97" s="23"/>
    </row>
    <row r="98" spans="2:10" s="21" customFormat="1" ht="99.75" x14ac:dyDescent="0.3">
      <c r="B98" s="17">
        <v>91</v>
      </c>
      <c r="C98" s="27" t="s">
        <v>44</v>
      </c>
      <c r="D98" s="17">
        <v>0</v>
      </c>
      <c r="E98" s="29" t="str">
        <f>IFERROR(VLOOKUP(C98,기출문제!D:G,3,0),"")</f>
        <v>76. 사회보장기본법령상 국가와 지방자치단체의 책임에 관한 내용으로 옳지 않은 것은?
① 국가와 지방자치단체는 국가 발전수준에 부응하고 사회환경의 변화에 선제적으로 대응하며 지속가능한 사회보장제도를 확립하고 매년 이에 필요한 재원을 조달하여야 한다.
② 국가와 지방자치단체는 사회보장 관계 법령에서 규정한 권리나 의무를 모든 국민에게 설명하여야 한다.
③ 국가와 지방자치단체는 사회보장에 관한 책임과 역할을 합리적으로 분담하여야 한다.
④ 국가는 사회보장제도의 안정적인 운영을 위하여 중장기 사회보장 재정추계를 격년으로 실시하고 이를 공표하여야 한다.
⑤ 국가와 지방자치단체는 모든 국민의 인간다운 생활을 유지・증진하는 책임을 가진다.</v>
      </c>
      <c r="F98" s="30">
        <f>IFERROR(VLOOKUP(C98,기출문제!D:G,4,0),"")</f>
        <v>2</v>
      </c>
      <c r="G98" s="31" t="str">
        <f t="shared" si="1"/>
        <v>X</v>
      </c>
      <c r="J98" s="23"/>
    </row>
    <row r="99" spans="2:10" s="21" customFormat="1" ht="85.5" x14ac:dyDescent="0.3">
      <c r="B99" s="17">
        <v>92</v>
      </c>
      <c r="C99" s="27" t="s">
        <v>952</v>
      </c>
      <c r="D99" s="17">
        <v>3</v>
      </c>
      <c r="E99" s="29" t="str">
        <f>IFERROR(VLOOKUP(C99,기출문제!D:G,3,0),"")</f>
        <v>77. 사회보장기본법령상 사회보장위원회에 관한 내용으로 옳지 않은 것은?
① 사회보장위원회의 부위원장은 기획재정부장관, 교육부장관 및 보건복지부장관이 된다.
② 사회보장위원회의 사무를 효율적으로 처리하기 위하여 보건복지부에 사무국을 둔다.
③ 사회보장위원회에 간사 1명을 두고, 간사는 보건복지부 사회복지정책실장으로 한다.
④ 대통령은 위촉한 사회보장위원회의 위원이 직무와 관련된 비위사실이 있는 경우에는 해당 위원을 해촉할 수 있다.
⑤ 사회보장위원회에 두는 실무위원회는 공동위원장 2명을 포함하여 30명 이내의 위원으로 구성한다.</v>
      </c>
      <c r="F99" s="30">
        <f>IFERROR(VLOOKUP(C99,기출문제!D:G,4,0),"")</f>
        <v>3</v>
      </c>
      <c r="G99" s="31" t="str">
        <f t="shared" si="1"/>
        <v>O</v>
      </c>
      <c r="J99" s="23"/>
    </row>
    <row r="100" spans="2:10" s="21" customFormat="1" ht="85.5" x14ac:dyDescent="0.3">
      <c r="B100" s="17">
        <v>93</v>
      </c>
      <c r="C100" s="27" t="s">
        <v>953</v>
      </c>
      <c r="D100" s="17">
        <v>2</v>
      </c>
      <c r="E100" s="29" t="str">
        <f>IFERROR(VLOOKUP(C100,기출문제!D:G,3,0),"")</f>
        <v>78. 사회보장기본법령상 사회보장수급권에 관한 내용으로 옳지 않은 것은?
① 사회보장수급권이 정지되는 경우에는 정지하는 목적에 필요한 최소한의 범위에 그쳐야 한다.
② 사회보장수급권은 관계 법령에서 정하는 바에 따라 타인에게 양도할 수 있다.
③ 사회보장수급권은 관계 법령에서 따로 정하고 있는 경우에는 제한될 수 있다.
④ 사회보장수급권은 관계 법령에서 정하는 바에 따라 타인에게 담보로 제공할 수 없다.
⑤ 사회보장수급권을 포기하는 것이 다른 사람에게 피해를 주는 경우에는 사회보장수급권을 포기할 수 없다.</v>
      </c>
      <c r="F100" s="30">
        <f>IFERROR(VLOOKUP(C100,기출문제!D:G,4,0),"")</f>
        <v>2</v>
      </c>
      <c r="G100" s="31" t="str">
        <f t="shared" si="1"/>
        <v>O</v>
      </c>
      <c r="J100" s="23"/>
    </row>
    <row r="101" spans="2:10" s="21" customFormat="1" ht="128.25" x14ac:dyDescent="0.3">
      <c r="B101" s="17">
        <v>94</v>
      </c>
      <c r="C101" s="27" t="s">
        <v>954</v>
      </c>
      <c r="D101" s="17">
        <v>0</v>
      </c>
      <c r="E101" s="29" t="str">
        <f>IFERROR(VLOOKUP(C101,기출문제!D:G,3,0),"")</f>
        <v>79. 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
① ㄱ: 30, ㄴ: 30, ㄷ: 30
② ㄱ: 30, ㄴ: 30, ㄷ: 60
③ ㄱ: 30, ㄴ: 60, ㄷ: 60
④ ㄱ: 60, ㄴ: 60, ㄷ: 30
⑤ ㄱ: 60, ㄴ: 60, ㄷ: 60</v>
      </c>
      <c r="F101" s="30">
        <f>IFERROR(VLOOKUP(C101,기출문제!D:G,4,0),"")</f>
        <v>4</v>
      </c>
      <c r="G101" s="31" t="str">
        <f t="shared" si="1"/>
        <v>X</v>
      </c>
      <c r="J101" s="23"/>
    </row>
    <row r="102" spans="2:10" s="21" customFormat="1" ht="99.75" x14ac:dyDescent="0.3">
      <c r="B102" s="17">
        <v>95</v>
      </c>
      <c r="C102" s="27" t="s">
        <v>955</v>
      </c>
      <c r="D102" s="17">
        <v>5</v>
      </c>
      <c r="E102" s="29" t="str">
        <f>IFERROR(VLOOKUP(C102,기출문제!D:G,3,0),"")</f>
        <v>80. 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
① 120일
② 180일
③ 210일
④ 240일
⑤ 270일</v>
      </c>
      <c r="F102" s="30">
        <f>IFERROR(VLOOKUP(C102,기출문제!D:G,4,0),"")</f>
        <v>5</v>
      </c>
      <c r="G102" s="31" t="str">
        <f t="shared" si="1"/>
        <v>O</v>
      </c>
      <c r="J102" s="23"/>
    </row>
    <row r="103" spans="2:10" s="21" customFormat="1" ht="85.5" x14ac:dyDescent="0.3">
      <c r="B103" s="17">
        <v>96</v>
      </c>
      <c r="C103" s="27" t="s">
        <v>956</v>
      </c>
      <c r="D103" s="17">
        <v>3</v>
      </c>
      <c r="E103" s="29" t="str">
        <f>IFERROR(VLOOKUP(C103,기출문제!D:G,3,0),"")</f>
        <v>81. 고용보험법령상 예술인인 피보험자의 구직급여에 관한 내용으로 옳지 않은 것은?
① 이직일 이전 24개월 동안의 피보험 단위기간이 통산하여 9개월 이상일 것을 지급요건으로 한다.
② 이직일 이전 24개월 중 3개월 이상을 예술인인 피보험자로 피보험자격을 유지하였을 것을 지급요건으로 한다.
③ 실업의 신고일부터 계산하기 시작하여 30일간은 대기기간으로 보아 구직급여를 지급하지 아니한다.
④ 예술인의 구직급여일액은 기초일액에 100분의 60을 곱한 금액으로 한다.
⑤ 예술인의 구직급여일액의 상한액은 6만6천원이다.</v>
      </c>
      <c r="F103" s="30">
        <f>IFERROR(VLOOKUP(C103,기출문제!D:G,4,0),"")</f>
        <v>3</v>
      </c>
      <c r="G103" s="31" t="str">
        <f t="shared" si="1"/>
        <v>O</v>
      </c>
      <c r="J103" s="23"/>
    </row>
    <row r="104" spans="2:10" s="21" customFormat="1" ht="114" x14ac:dyDescent="0.3">
      <c r="B104" s="17">
        <v>97</v>
      </c>
      <c r="C104" s="27" t="s">
        <v>957</v>
      </c>
      <c r="D104" s="17">
        <v>5</v>
      </c>
      <c r="E104" s="29" t="str">
        <f>IFERROR(VLOOKUP(C104,기출문제!D:G,3,0),"")</f>
        <v>82. 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
① ㄱ: 월 통상임금의 100분의 50에 해당하는 금액, ㄴ: 120만원
② ㄱ: 월 통상임금의 100분의 80에 해당하는 금액, ㄴ: 120만원
③ ㄱ: 월 통상임금의 100분의 80에 해당하는 금액, ㄴ: 150만원
④ ㄱ: 월 통상임금에 해당하는 금액, ㄴ: 150만원
⑤ ㄱ: 월 통상임금에 해당하는 금액, ㄴ: 250만원</v>
      </c>
      <c r="F104" s="30">
        <f>IFERROR(VLOOKUP(C104,기출문제!D:G,4,0),"")</f>
        <v>5</v>
      </c>
      <c r="G104" s="31" t="str">
        <f t="shared" si="1"/>
        <v>O</v>
      </c>
      <c r="J104" s="23"/>
    </row>
    <row r="105" spans="2:10" s="21" customFormat="1" ht="128.25" x14ac:dyDescent="0.3">
      <c r="B105" s="17">
        <v>98</v>
      </c>
      <c r="C105" s="27" t="s">
        <v>958</v>
      </c>
      <c r="D105" s="17">
        <v>0</v>
      </c>
      <c r="E105" s="29" t="str">
        <f>IFERROR(VLOOKUP(C105,기출문제!D:G,3,0),"")</f>
        <v>83. 고용보험법령상 피보험자격에 관한 내용으로 옳지 않은 것은?
① 사업주는 그 사업에 고용된 근로자의 피보험자격 취득에 관한 사항을 신고하려는 경우 그 사유가 발생한 날이 속하는 달의 다음 달 말일까지 고용노동부장관에게 신고해야 한다.
② 사업주가 그 사업에 고용된 근로자의 피보험자격의 취득에 관한 사항을 신고하지 아니하면 근로자가 근로계약서 등 고용관계를 증명할 수 있는 서류를 제출하여 신고할 수 있다.
③ 자영업자인 피보험자는 피보험자격의 취득 및 상실에 관한 신고를 하지 아니한다.
④ 근로자가 보험관계가 성립되어 있는 둘 이상의 사업에 동시에 고용되어 있는 경우에는 고용노동부령으로 정하는 바에 따라 그 중 한 사업의 근로자로서의 피보험자격을 취득한다.
⑤ 피보험자는 언제든지 고용노동부장관에게 피보험자격의 취득 또는 상실에 관한 확인을 청구할 수 있다.</v>
      </c>
      <c r="F105" s="30">
        <f>IFERROR(VLOOKUP(C105,기출문제!D:G,4,0),"")</f>
        <v>1</v>
      </c>
      <c r="G105" s="31" t="str">
        <f t="shared" si="1"/>
        <v>X</v>
      </c>
      <c r="J105" s="23"/>
    </row>
    <row r="106" spans="2:10" s="21" customFormat="1" ht="99.75" x14ac:dyDescent="0.3">
      <c r="B106" s="17">
        <v>99</v>
      </c>
      <c r="C106" s="27" t="s">
        <v>959</v>
      </c>
      <c r="D106" s="17">
        <v>3</v>
      </c>
      <c r="E106" s="29" t="str">
        <f>IFERROR(VLOOKUP(C106,기출문제!D:G,3,0),"")</f>
        <v>84. 고용보험법령상 자영업자인 피보험자에 대한 실업급여 적용의 특례에 관한 내용으로 옳은 것은?
① 자영업자인 피보험자의 실업급여의 종류에는 광역 구직활동비가 포함되지 않는다.
② 폐업일 이전 12개월간 자영업자인 피보험자로서 갖춘 피보험 단위기간이 합산하여 6개월이면 구직급여를 지급한다.
③ 자영업자인 피보험자로서 폐업한 수급자격자에 대한 구직급여일액은 그 수급자격자의 기초일액에 100분의 60을 곱한 금액으로 한다.
④ 고용노동부장관은 자영업자의 피보험기간이 3년이면서 보험료 체납 횟수가 1회인 경우 실업급여를 지급하지 아니한다.
⑤ 자영업자의 실업급여를 받을 권리는 양도하거나 담보로 제공할 수 있다.</v>
      </c>
      <c r="F106" s="30">
        <f>IFERROR(VLOOKUP(C106,기출문제!D:G,4,0),"")</f>
        <v>3</v>
      </c>
      <c r="G106" s="31" t="str">
        <f t="shared" si="1"/>
        <v>O</v>
      </c>
      <c r="J106" s="23"/>
    </row>
    <row r="107" spans="2:10" s="21" customFormat="1" ht="114" x14ac:dyDescent="0.3">
      <c r="B107" s="17">
        <v>100</v>
      </c>
      <c r="C107" s="27" t="s">
        <v>960</v>
      </c>
      <c r="D107" s="17"/>
      <c r="E107" s="32" t="str">
        <f>IFERROR(VLOOKUP(C107,기출문제!D:G,3,0),"")</f>
        <v>85. 산업재해보상보험법령상 특수형태근로종사자의 직종에 해당하지 않는 사람은?
① 한국표준직업분류표의 세분류에 따른 택배원인 사람으로서 소화물을 집화・수송 과정을 거쳐 배송하는 택배사업에서 집화 업무를 하는 사람
② 우체국 예금・보험에 관한 법률에 따른 우체국보험의 모집을 전업으로 하는 사람
③ 한국표준직업분류표의 세세분류에 따른 대여 제품 방문점검원
④ 한국표준직업분류표의 세분류에 다른 가전제품 설치 및 수리원으로서 가전제품을 배송, 설치 및 시운전하여 작동상태를 확인하는 사람
⑤ 신용정보의 이용 및 보호에 관한 법률에 따른 위임직채권추심인</v>
      </c>
      <c r="F107" s="30">
        <f>IFERROR(VLOOKUP(C107,기출문제!D:G,4,0),"")</f>
        <v>5</v>
      </c>
      <c r="G107" s="31" t="str">
        <f t="shared" si="1"/>
        <v/>
      </c>
      <c r="J107" s="23"/>
    </row>
    <row r="108" spans="2:10" s="21" customFormat="1" ht="99.75" x14ac:dyDescent="0.3">
      <c r="B108" s="17">
        <v>101</v>
      </c>
      <c r="C108" s="27" t="s">
        <v>961</v>
      </c>
      <c r="D108" s="17">
        <v>4</v>
      </c>
      <c r="E108" s="29" t="str">
        <f>IFERROR(VLOOKUP(C108,기출문제!D:G,3,0),"")</f>
        <v>86. 산업재해보상보험법령상 업무상질병판정위원회에 관한 내용으로 옳지 않은 것은?
① 한의사는 업무상질병판정위원회의 위원이 될 수 있다.
② 업무상질병판정위원회의 위원장과 위원의 임기는 2년으로 하되, 연임할 수 있다.
③ 이황화탄소 중독증은 업무상질병판정위원회의 심의에서 제외되는 질병에 해당한다.
④ 업무상질병판정위원회는 부득이한 사유로 심의를 의뢰받은 날부터 60일 이내에 심의를 마칠 수 없으면 20일 단위로 두 차례 연장할 수 있다.
⑤ 업무상질병판정위원회의 원활한 운영을 위하여 필요하면 위원장이 지명하는 위원이 회의를 주재할 수 있다.</v>
      </c>
      <c r="F108" s="30">
        <f>IFERROR(VLOOKUP(C108,기출문제!D:G,4,0),"")</f>
        <v>4</v>
      </c>
      <c r="G108" s="31" t="str">
        <f>IF(D108="","",IF(D108=F108,"O", "X"))</f>
        <v>O</v>
      </c>
      <c r="J108" s="23"/>
    </row>
    <row r="109" spans="2:10" s="21" customFormat="1" ht="114" x14ac:dyDescent="0.3">
      <c r="B109" s="17">
        <v>102</v>
      </c>
      <c r="C109" s="27" t="s">
        <v>962</v>
      </c>
      <c r="D109" s="17">
        <v>4</v>
      </c>
      <c r="E109" s="29" t="str">
        <f>IFERROR(VLOOKUP(C109,기출문제!D:G,3,0),"")</f>
        <v>87. 산업재해보상보험법령상 보험급여에 관한 내용으로 옳지 않은 것은?
① 장해보상연금의 수급권자가 재요양을 받는 경우에도 그 연금의 지급을 정지하지 아니한다.
② 진폐유족연금의 지급은 그 지급사유가 발생한 달의 다음 달 첫날부터 시작된다.
③ 유족보상연금 수급자격자인 손자녀가 25세가 된 때에는 그 자격을 잃는다.
④ 요양급여를 받는 근로자가 요양을 시작한 지 1년이 지난 이후에 취업하지 못하면 휴업급여 대신 상병보상연금을 그 근로자에게 지급한다.
⑤ 장해보상연금은 그 지급을 정지할 사유가 발생한 때에는 그 사유가 발생한 달의 다음 달 첫날부터 그 사유가 소멸한 달의 말일까지 지급하지 아니한다.</v>
      </c>
      <c r="F109" s="30">
        <f>IFERROR(VLOOKUP(C109,기출문제!D:G,4,0),"")</f>
        <v>4</v>
      </c>
      <c r="G109" s="31" t="str">
        <f t="shared" si="1"/>
        <v>O</v>
      </c>
      <c r="J109" s="23"/>
    </row>
    <row r="110" spans="2:10" s="21" customFormat="1" ht="156.75" x14ac:dyDescent="0.3">
      <c r="B110" s="17">
        <v>103</v>
      </c>
      <c r="C110" s="27" t="s">
        <v>963</v>
      </c>
      <c r="D110" s="17">
        <v>1</v>
      </c>
      <c r="E110" s="29" t="str">
        <f>IFERROR(VLOOKUP(C110,기출문제!D:G,3,0),"")</f>
        <v>88. 산업재해보상보험법령상 진폐에 따른 보험급여의 종류에 해당하는 것을 모두 고른 것은?
ㄱ. 요양급여
ㄴ. 휴업급여
ㄷ. 장해급여
ㄹ. 간병급여
ㅁ. 유족급여
① ㄱ, ㄹ
② ㄱ, ㄴ, ㅁ
③ ㄴ, ㄹ, ㅁ
④ ㄴ, ㄷ, ㄹ, ㅁ
⑤ ㄱ, ㄴ, ㄷ, ㄹ, ㅁ</v>
      </c>
      <c r="F110" s="30">
        <f>IFERROR(VLOOKUP(C110,기출문제!D:G,4,0),"")</f>
        <v>1</v>
      </c>
      <c r="G110" s="31" t="str">
        <f t="shared" si="1"/>
        <v>O</v>
      </c>
      <c r="J110" s="23"/>
    </row>
    <row r="111" spans="2:10" s="21" customFormat="1" ht="85.5" x14ac:dyDescent="0.3">
      <c r="B111" s="17">
        <v>104</v>
      </c>
      <c r="C111" s="27" t="s">
        <v>964</v>
      </c>
      <c r="D111" s="17">
        <v>4</v>
      </c>
      <c r="E111" s="29" t="str">
        <f>IFERROR(VLOOKUP(C111,기출문제!D:G,3,0),"")</f>
        <v>89. 산업재해보상보험법령상 과태료 부과 대상이 되는 자는?
① 근로복지공단의 임직원이나 그 직에 있었던 사람이 그 직무상 알게 된 비밀을 누설한 자
② 산재보험 의료기관의 종사자로서 거짓이나 그 밖의 부정한 방법으로 진료비를 지급받은 자
③ 거짓이나 그 밖의 부정한 방법으로 보험급여를 받도록 시키거나 도와준 자
④ 근로복지공단이 아닌 자가 근로복지공단과 비슷한 명칭을 사용한 자
⑤ 근로자가 보험급여를 신청한 것을 이유로 근로자를 해고한 사업주</v>
      </c>
      <c r="F111" s="30">
        <f>IFERROR(VLOOKUP(C111,기출문제!D:G,4,0),"")</f>
        <v>4</v>
      </c>
      <c r="G111" s="31" t="str">
        <f t="shared" si="1"/>
        <v>O</v>
      </c>
      <c r="J111" s="23"/>
    </row>
    <row r="112" spans="2:10" s="21" customFormat="1" ht="128.25" x14ac:dyDescent="0.3">
      <c r="B112" s="17">
        <v>105</v>
      </c>
      <c r="C112" s="27" t="s">
        <v>965</v>
      </c>
      <c r="D112" s="17">
        <v>4</v>
      </c>
      <c r="E112" s="29" t="str">
        <f>IFERROR(VLOOKUP(C112,기출문제!D:G,3,0),"")</f>
        <v>90. 산업재해보상보험법령상 간병 및 이송에 관한 내용으로 옳지 않은 것은?
① 요양 중인 근로자가 회복실에서 요양 중인 경우 그 기간에는 별도의 간병을 제공하지 않는다.
② 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
③ 해당 근로자의 13세 이상의 자녀 또는 형제자매도 간병을 할 수 있는 사람이다.
④ 간병의 대상이 되는 근로자의 부상・질병 상태 등이 전문적인 간병을 필요로 하는 경우에는 의료법에 따른 간호사만 간병을 하도록 할 수 있다.
⑤ 해당 근로자의 부상・질병 상태로 보아 이송 시 간호인의 동행이 필요하다고 인정되는 경우에는 간호인 1명이 동행할 수 있으나, 의학적으로 특별히 필요하다고 인정되는 경우에는 2명까지 동행할 수 있다.</v>
      </c>
      <c r="F112" s="30">
        <f>IFERROR(VLOOKUP(C112,기출문제!D:G,4,0),"")</f>
        <v>4</v>
      </c>
      <c r="G112" s="31" t="str">
        <f t="shared" si="1"/>
        <v>O</v>
      </c>
      <c r="J112" s="23"/>
    </row>
    <row r="113" spans="2:10" s="21" customFormat="1" ht="114" x14ac:dyDescent="0.3">
      <c r="B113" s="17">
        <v>106</v>
      </c>
      <c r="C113" s="27" t="s">
        <v>966</v>
      </c>
      <c r="D113" s="17">
        <v>3</v>
      </c>
      <c r="E113" s="29" t="str">
        <f>IFERROR(VLOOKUP(C113,기출문제!D:G,3,0),"")</f>
        <v>91. 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
① 55
② 60
③ 65
④ 70
⑤ 75</v>
      </c>
      <c r="F113" s="30">
        <f>IFERROR(VLOOKUP(C113,기출문제!D:G,4,0),"")</f>
        <v>3</v>
      </c>
      <c r="G113" s="31" t="str">
        <f t="shared" si="1"/>
        <v>O</v>
      </c>
      <c r="J113" s="23"/>
    </row>
    <row r="114" spans="2:10" s="21" customFormat="1" ht="85.5" x14ac:dyDescent="0.3">
      <c r="B114" s="17">
        <v>107</v>
      </c>
      <c r="C114" s="27" t="s">
        <v>967</v>
      </c>
      <c r="D114" s="17">
        <v>2</v>
      </c>
      <c r="E114" s="29" t="str">
        <f>IFERROR(VLOOKUP(C114,기출문제!D:G,3,0),"")</f>
        <v>92. 국민연금법령에 관한 내용으로 옳지 않은 것은?
① 국민기초생활 보장법에 따른 생계급여 수급자는 지역가입자에서 제외된다.
② 지역가입자가 국적을 상실한 때에는 그에 해당하게 된 날에 그 자격을 상실한다.
③ 지역가입자가 사업장가입자의 자격을 취득한 때에는 그에 해당하게 된 날에 그 자격을 상실한다.
④ 임의가입자는 가입 신청이 수리된 날에 자격을 취득한다.
⑤ 사립학교교직원 연금법을 적용받는 사립학교 교직원은 국민연금 가입대상에서 제외된다.</v>
      </c>
      <c r="F114" s="30">
        <f>IFERROR(VLOOKUP(C114,기출문제!D:G,4,0),"")</f>
        <v>2</v>
      </c>
      <c r="G114" s="31" t="str">
        <f t="shared" si="1"/>
        <v>O</v>
      </c>
      <c r="J114" s="23"/>
    </row>
    <row r="115" spans="2:10" s="21" customFormat="1" ht="85.5" x14ac:dyDescent="0.3">
      <c r="B115" s="17">
        <v>108</v>
      </c>
      <c r="C115" s="27" t="s">
        <v>968</v>
      </c>
      <c r="D115" s="17">
        <v>2</v>
      </c>
      <c r="E115" s="29" t="str">
        <f>IFERROR(VLOOKUP(C115,기출문제!D:G,3,0),"")</f>
        <v>93. 국민건강보험법령상 일반건강검진의 대상이 아닌 자는?
① 직장가입자
② 6세 미만의 피부양자
③ 20세 이상인 지역가입자
④ 20세 이상인 피부양자
⑤ 세대주인 지역가입자</v>
      </c>
      <c r="F115" s="30">
        <f>IFERROR(VLOOKUP(C115,기출문제!D:G,4,0),"")</f>
        <v>2</v>
      </c>
      <c r="G115" s="31" t="str">
        <f t="shared" si="1"/>
        <v>O</v>
      </c>
      <c r="J115" s="23"/>
    </row>
    <row r="116" spans="2:10" s="21" customFormat="1" ht="142.5" x14ac:dyDescent="0.3">
      <c r="B116" s="17">
        <v>109</v>
      </c>
      <c r="C116" s="27" t="s">
        <v>969</v>
      </c>
      <c r="D116" s="17">
        <v>1</v>
      </c>
      <c r="E116" s="29" t="str">
        <f>IFERROR(VLOOKUP(C116,기출문제!D:G,3,0),"")</f>
        <v>94. 국민건강보험법령상 보험가입자의 자격 상실 시기로 옳은 것을 모두 고른 것은?
ㄱ. 사망한 날
ㄴ. 국적을 잃은 날
ㄷ. 국내에 거주하지 아니하게 된 날
ㄹ. 직장가입자의 피부양자가 된 날
① ㄹ
② ㄱ, ㄷ
③ ㄱ, ㄴ, ㄷ
④ ㄴ, ㄷ, ㄹ
⑤ ㄱ, ㄴ, ㄷ, ㄹ</v>
      </c>
      <c r="F116" s="30">
        <f>IFERROR(VLOOKUP(C116,기출문제!D:G,4,0),"")</f>
        <v>1</v>
      </c>
      <c r="G116" s="31" t="str">
        <f t="shared" si="1"/>
        <v>O</v>
      </c>
      <c r="J116" s="23"/>
    </row>
    <row r="117" spans="2:10" s="21" customFormat="1" ht="99.75" x14ac:dyDescent="0.3">
      <c r="B117" s="17">
        <v>110</v>
      </c>
      <c r="C117" s="27" t="s">
        <v>970</v>
      </c>
      <c r="D117" s="17">
        <v>5</v>
      </c>
      <c r="E117" s="29" t="str">
        <f>IFERROR(VLOOKUP(C117,기출문제!D:G,3,0),"")</f>
        <v>95. 고용보험 및 산업재해보상보험의 보험료 징수 등에 관한 법령상 보험료의 부과 및 징수에 관한 내용으로 옳은 것은?
① 건설업 중 건설장비운영업은 보험료의 월별 부과・징수 제외대상 사업에 해당한다.
② 임업 중 벌목업은 보험료의 월별 부과・징수 대상 사업에 해당한다.
③ 근로복지공단은 사업주에게 납부기한 20일 전까지 월별보험료의 납입을 고지하여야 한다.
④ 장애인고용촉진 및 직업재활법상 장애인인 보험가입자의 보험료는 근로복지공단이 매월 부과하고, 한국장애인고용공단이 이를 징수한다.
⑤ 제조업의 보험료는 근로복지공단이 매월 부과하고, 국민건강보험공단이 이를 징수한다.</v>
      </c>
      <c r="F117" s="30">
        <f>IFERROR(VLOOKUP(C117,기출문제!D:G,4,0),"")</f>
        <v>5</v>
      </c>
      <c r="G117" s="31" t="str">
        <f t="shared" si="1"/>
        <v>O</v>
      </c>
      <c r="J117" s="23"/>
    </row>
    <row r="118" spans="2:10" s="21" customFormat="1" ht="128.25" x14ac:dyDescent="0.3">
      <c r="B118" s="17">
        <v>111</v>
      </c>
      <c r="C118" s="27" t="s">
        <v>971</v>
      </c>
      <c r="D118" s="17">
        <v>2</v>
      </c>
      <c r="E118" s="29" t="str">
        <f>IFERROR(VLOOKUP(C118,기출문제!D:G,3,0),"")</f>
        <v>96. 고용보험 및 산업재해보상보험의 보험료 징수 등에 관한 법령상 보험료의 납부 등에 관한 내용으로 옳지 않은 것은?
① 법인이 합병한 경우에 합병 후 존속하는 법인은 합병으로 소멸된 법인이 내야 하는 보험료를 낼 의무를 진다.
② 근로복지공단은 사업주가 국세를 체납하여 체납처분을 받은 경우에는 보험료와 이 법에 따른 징수금 총액이 300만원 미만이면 납부기한 전이라도 즉시 보험료를 징수하여야 한다.
③ 국민건강보험공단은 소멸시효가 완성된 경우에는 고용노동부장관의 승인을 받아 보험료와 이 법에 따른 그 밖의 징수금을 결손처분할 수 있다.
④ 공동사업에 관계되는 보험료, 이 법에 따른 그 밖의 징수금과 체납처분비는 공동사업자가 연대하여 낼 의무를 진다.
⑤ 상속이 개시된 때에 그 상속인은 피상속인에게 부과되거나 피상속인이 내야 하는 보험료를 상속받은 재산의 한도에서 낼 의무를 진다.</v>
      </c>
      <c r="F118" s="30">
        <f>IFERROR(VLOOKUP(C118,기출문제!D:G,4,0),"")</f>
        <v>2</v>
      </c>
      <c r="G118" s="31" t="str">
        <f t="shared" si="1"/>
        <v>O</v>
      </c>
      <c r="J118" s="23"/>
    </row>
    <row r="119" spans="2:10" s="21" customFormat="1" ht="128.25" x14ac:dyDescent="0.3">
      <c r="B119" s="17">
        <v>112</v>
      </c>
      <c r="C119" s="27" t="s">
        <v>972</v>
      </c>
      <c r="D119" s="17">
        <v>0</v>
      </c>
      <c r="E119" s="29" t="str">
        <f>IFERROR(VLOOKUP(C119,기출문제!D:G,3,0),"")</f>
        <v>97. 고용보험 및 산업재해보상보험의 보험료 징수 등에 관한 법령상 보험관계의 성립일 또는 소멸일에 관한 내용으로 옳지 않은 것은?
① 사업이 폐업되거나 끝난 날의 다음 날에 소멸한다.
② 일괄적용을 받는 사업의 경우에는 처음 하는 사업이 시작된 날에 성립한다.
③ 근로복지공단이 계속하여 보험관계를 유지할 수 없다고 인정하여 그 보험관계를 소멸시키는 경우에는 그 소멸을 결정・통지한 날의 다음 날에 소멸한다.
④ 근로복지공단의 승인을 얻어 가입한 보험계약을 해지하는 경우에는 그 해지에 관하여 근로복지공단의 승인을 받은 날의 다음 날에 소멸한다.
⑤ 보험에 가입한 하수급인의 경우에는 그 하도급공사의 착공일의 다음 날에 성립한다.</v>
      </c>
      <c r="F119" s="30">
        <f>IFERROR(VLOOKUP(C119,기출문제!D:G,4,0),"")</f>
        <v>5</v>
      </c>
      <c r="G119" s="31" t="str">
        <f t="shared" si="1"/>
        <v>X</v>
      </c>
      <c r="J119" s="23"/>
    </row>
    <row r="120" spans="2:10" s="21" customFormat="1" ht="156.75" x14ac:dyDescent="0.3">
      <c r="B120" s="17">
        <v>113</v>
      </c>
      <c r="C120" s="27" t="s">
        <v>973</v>
      </c>
      <c r="D120" s="17">
        <v>0</v>
      </c>
      <c r="E120" s="29" t="str">
        <f>IFERROR(VLOOKUP(C120,기출문제!D:G,3,0),"")</f>
        <v>98. 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
① ㄱ, ㄴ
② ㄴ, ㄷ
③ ㄱ, ㄴ, ㄹ
④ ㄱ, ㄷ, ㄹ
⑤ ㄱ, ㄴ, ㄷ, ㄹ</v>
      </c>
      <c r="F120" s="30">
        <f>IFERROR(VLOOKUP(C120,기출문제!D:G,4,0),"")</f>
        <v>5</v>
      </c>
      <c r="G120" s="31" t="str">
        <f t="shared" si="1"/>
        <v>X</v>
      </c>
      <c r="J120" s="23"/>
    </row>
    <row r="121" spans="2:10" s="21" customFormat="1" ht="99.75" x14ac:dyDescent="0.3">
      <c r="B121" s="17">
        <v>114</v>
      </c>
      <c r="C121" s="27" t="s">
        <v>974</v>
      </c>
      <c r="D121" s="17">
        <v>4</v>
      </c>
      <c r="E121" s="29" t="str">
        <f>IFERROR(VLOOKUP(C121,기출문제!D:G,3,0),"")</f>
        <v>99. 고용보험 및 산업재해보상보험의 보험료 징수 등에 관한 법령상 국가・지방자치단체가 직접 하는 사업의 고용안정・직업능력개발사업의 보험료율은?
① 1만분의 25
② 1만분의 45
③ 1만분의 65
④ 1만분의 85
⑤ 1천분의 16</v>
      </c>
      <c r="F121" s="30">
        <f>IFERROR(VLOOKUP(C121,기출문제!D:G,4,0),"")</f>
        <v>4</v>
      </c>
      <c r="G121" s="31" t="str">
        <f t="shared" si="1"/>
        <v>O</v>
      </c>
      <c r="J121" s="23"/>
    </row>
    <row r="122" spans="2:10" s="21" customFormat="1" ht="85.5" x14ac:dyDescent="0.3">
      <c r="B122" s="17">
        <v>115</v>
      </c>
      <c r="C122" s="27" t="s">
        <v>975</v>
      </c>
      <c r="D122" s="17">
        <v>0</v>
      </c>
      <c r="E122" s="29" t="str">
        <f>IFERROR(VLOOKUP(C122,기출문제!D:G,3,0),"")</f>
        <v>100. 고용보험 및 산업재해보상보험의 보험료 징수 등에 관한 법령상 소멸시효에 관한 내용을 옳지 않은 것은?
① 월별보험료의 고지로 중단된 소멸시효는 월별보험료를 고지한 날부터 새로 진행한다.
② 소멸시효에 관하여는 이 법에 규정된 것을 제외하고는 민법에 따른다.
③ 징수금의 독촉에 따라 중단된 소멸시효는 독촉에 의한 납부기한이 지난 때부터 새로 진행한다.
④ 이 법에 따른 그 밖의 징수금을 징수할 수 있는 권리는 3년간 행사하지 아니하면 시효로 인하여 소멸한다.
⑤ 이 법에 따른 체납처분 절차에 따라 하는 교부청구로 중단된 소멸시효는 교부청구중의 기간이 지난 때부터 새로 진행한다.</v>
      </c>
      <c r="F122" s="30">
        <f>IFERROR(VLOOKUP(C122,기출문제!D:G,4,0),"")</f>
        <v>1</v>
      </c>
      <c r="G122" s="31" t="str">
        <f t="shared" si="1"/>
        <v>X</v>
      </c>
      <c r="J122" s="23"/>
    </row>
    <row r="123" spans="2:10" s="21" customFormat="1" ht="85.5" x14ac:dyDescent="0.3">
      <c r="B123" s="17">
        <v>116</v>
      </c>
      <c r="C123" s="27" t="s">
        <v>85</v>
      </c>
      <c r="D123" s="17">
        <v>2</v>
      </c>
      <c r="E123" s="29" t="str">
        <f>IFERROR(VLOOKUP(C123,기출문제!D:G,3,0),"")</f>
        <v>76. 사회보장기본법에 관한 설명으로 옳은 것은?
① 사회보장수급권은 다른 사람에게 양도하거나 담보로 제공할 수 있으며, 이를 압류할 수 있다.
② 국내에 거주하는 외국인에게 사회보장제도를 적용할 때에는 상호주의에 따르되, 관계법령에서 정하는 바에 따른다.
③ 사회보장수급권의 포기는 원칙적으로 취소할 수 없다.
④ 국가는 사회보장제도의 안정적인 운영을 위하여 중장기 사회보장 재정추계를 3년마다 실시한다.
⑤ 공공부조란 국민에게 발생하는 사회적 위험을 보험의 방식으로 대처함으로써 국민의 건강과 소득을 보장하는 제도를 말한다.</v>
      </c>
      <c r="F123" s="30">
        <f>IFERROR(VLOOKUP(C123,기출문제!D:G,4,0),"")</f>
        <v>2</v>
      </c>
      <c r="G123" s="31" t="str">
        <f t="shared" si="1"/>
        <v>O</v>
      </c>
      <c r="J123" s="23"/>
    </row>
    <row r="124" spans="2:10" s="21" customFormat="1" ht="114" x14ac:dyDescent="0.3">
      <c r="B124" s="17">
        <v>117</v>
      </c>
      <c r="C124" s="27" t="s">
        <v>976</v>
      </c>
      <c r="D124" s="17">
        <v>2</v>
      </c>
      <c r="E124" s="29" t="str">
        <f>IFERROR(VLOOKUP(C124,기출문제!D:G,3,0),"")</f>
        <v>77. 사회보장기본법상 사회보장 기본계획에 관한 설명으로 옳지 않은 것은?
① 사회보장 기본계획은 사회보장위원회와 국무회의의 심의를 거쳐 확정된다.
② 다른 법령에 따라 수립되는 사회보장에 관한 계획은 사회보장 기본계획에 우선한다.
③ 보건복지부장관은 관계 중앙행정기관의 장과 협의하여 사회보장 증진을 위하여 사회보장에 관한 기본계획을 5년마다 수립하여야 한다.
④ 사회보장 기본계획에는 사회보장 전달체계가 포함되어야 한다.
⑤ 보건복지부장관 및 관계 중앙행정기관의 장은 사회보장 기본계획에 따라 사회보장과 관련된 소관 주요 시책의 시행계획을 매년 수립・시행하여야 한다.</v>
      </c>
      <c r="F124" s="30">
        <f>IFERROR(VLOOKUP(C124,기출문제!D:G,4,0),"")</f>
        <v>2</v>
      </c>
      <c r="G124" s="31" t="str">
        <f t="shared" si="1"/>
        <v>O</v>
      </c>
      <c r="J124" s="23"/>
    </row>
    <row r="125" spans="2:10" s="21" customFormat="1" ht="85.5" x14ac:dyDescent="0.3">
      <c r="B125" s="17">
        <v>118</v>
      </c>
      <c r="C125" s="27" t="s">
        <v>977</v>
      </c>
      <c r="D125" s="17">
        <v>5</v>
      </c>
      <c r="E125" s="29" t="str">
        <f>IFERROR(VLOOKUP(C125,기출문제!D:G,3,0),"")</f>
        <v>78. 사회보장기본법령상 사회보장위원회에 관한 설명으로 옳지 않은 것은?
① 국무총리 소속으로 둔다.
② 부위원장은 기획재정부장관, 교육부장관 및 보건복지부장관이 된다.
③ 보궐위원의 임기는 전임자 임기의 남은 기간으로 한다.
④ 사무 처리를 위한 사무국은 보건복지부에 둔다.
⑤ 심의사항을 전문적으로 검토하기 위하여 전문위원회를 두며, 전문위원회에 분야별 실무위원회를 둔다.</v>
      </c>
      <c r="F125" s="30">
        <f>IFERROR(VLOOKUP(C125,기출문제!D:G,4,0),"")</f>
        <v>5</v>
      </c>
      <c r="G125" s="31" t="str">
        <f t="shared" si="1"/>
        <v>O</v>
      </c>
      <c r="J125" s="23"/>
    </row>
    <row r="126" spans="2:10" s="21" customFormat="1" ht="128.25" x14ac:dyDescent="0.3">
      <c r="B126" s="17">
        <v>119</v>
      </c>
      <c r="C126" s="27" t="s">
        <v>978</v>
      </c>
      <c r="D126" s="17">
        <v>1</v>
      </c>
      <c r="E126" s="29" t="str">
        <f>IFERROR(VLOOKUP(C126,기출문제!D:G,3,0),"")</f>
        <v>79. 고용보험법상 구직급여에 관한 설명으로 옳지 않은 것은?
① 피보험 단위기간을 계산할 때, 최후로 피보험자격을 취득한 날 이전에 구직급여를 받은 사실이 있는 경우에는 그 구직급여와 관련된 피보험자격 상실일 이전의 피보험 단위기간은 산입한다.
② 최종 이직 당시 건설일용근로자였던 피보험자가 구직급여를 받으려는 경우에는 건설일용근로자로서 수급자격 인정신청일 이전 14일간 연속하여 근로내역이 없어야 한다.
③ 구직급여를 지급받으려는 자는 이직 후 지체없이 직업안정기관에 출석하여 실업을 신고하여야 한다.
④ 직업안정기관의 장은 필요하다고 인정하면 수급자격자의 실업인정대상기간 중의 취업사실에 대하여 조사할 수 있다.
⑤ 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v>
      </c>
      <c r="F126" s="30">
        <f>IFERROR(VLOOKUP(C126,기출문제!D:G,4,0),"")</f>
        <v>1</v>
      </c>
      <c r="G126" s="31" t="str">
        <f t="shared" si="1"/>
        <v>O</v>
      </c>
      <c r="J126" s="23"/>
    </row>
    <row r="127" spans="2:10" s="21" customFormat="1" ht="142.5" x14ac:dyDescent="0.3">
      <c r="B127" s="17">
        <v>120</v>
      </c>
      <c r="C127" s="27" t="s">
        <v>979</v>
      </c>
      <c r="D127" s="17">
        <v>3</v>
      </c>
      <c r="E127" s="29" t="str">
        <f>IFERROR(VLOOKUP(C127,기출문제!D:G,3,0),"")</f>
        <v>80. 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
① 30
② 40
③ 50
④ 60
⑤ 70</v>
      </c>
      <c r="F127" s="30">
        <f>IFERROR(VLOOKUP(C127,기출문제!D:G,4,0),"")</f>
        <v>3</v>
      </c>
      <c r="G127" s="31" t="str">
        <f t="shared" si="1"/>
        <v>O</v>
      </c>
      <c r="J127" s="23"/>
    </row>
    <row r="128" spans="2:10" s="21" customFormat="1" ht="85.5" x14ac:dyDescent="0.3">
      <c r="B128" s="17">
        <v>121</v>
      </c>
      <c r="C128" s="27" t="s">
        <v>980</v>
      </c>
      <c r="D128" s="17">
        <v>0</v>
      </c>
      <c r="E128" s="29" t="str">
        <f>IFERROR(VLOOKUP(C128,기출문제!D:G,3,0),"")</f>
        <v>81. 고용보험법령상 육아휴직 급여 신청기간의 연장 사유가 아닌 것은?
① 천재지변
② 배우자의 질병・부상
③ 「병역법」에 따른 의무복무
④ 범죄혐의로 인한 구속
⑤ 배우자의 국외발령 등에 따른 동거 목적의 거소 이전</v>
      </c>
      <c r="F128" s="30">
        <f>IFERROR(VLOOKUP(C128,기출문제!D:G,4,0),"")</f>
        <v>5</v>
      </c>
      <c r="G128" s="31" t="str">
        <f t="shared" si="1"/>
        <v>X</v>
      </c>
      <c r="J128" s="23"/>
    </row>
    <row r="129" spans="2:10" s="21" customFormat="1" ht="85.5" x14ac:dyDescent="0.3">
      <c r="B129" s="17">
        <v>122</v>
      </c>
      <c r="C129" s="27" t="s">
        <v>981</v>
      </c>
      <c r="D129" s="17">
        <v>3</v>
      </c>
      <c r="E129" s="29" t="str">
        <f>IFERROR(VLOOKUP(C129,기출문제!D:G,3,0),"")</f>
        <v>82. 고용보험법상의 취업촉진 수당에 해당하지 않는 것은?
① 이주비
② 직업능력개발 수당
③ 구직급여
④ 광역 구직활동비
⑤ 조기(早期)재취업 수당</v>
      </c>
      <c r="F129" s="30">
        <f>IFERROR(VLOOKUP(C129,기출문제!D:G,4,0),"")</f>
        <v>3</v>
      </c>
      <c r="G129" s="31" t="str">
        <f t="shared" si="1"/>
        <v>O</v>
      </c>
      <c r="J129" s="23"/>
    </row>
    <row r="130" spans="2:10" s="21" customFormat="1" ht="85.5" x14ac:dyDescent="0.3">
      <c r="B130" s="17">
        <v>123</v>
      </c>
      <c r="C130" s="27" t="s">
        <v>982</v>
      </c>
      <c r="D130" s="17">
        <v>0</v>
      </c>
      <c r="E130" s="29" t="str">
        <f>IFERROR(VLOOKUP(C130,기출문제!D:G,3,0),"")</f>
        <v>83. 고용보험법상 고용보험위원회에 관한 설명으로 옳은 것은?
① 근로복지공단에 고용보험위원회를 둔다.
② 심의 사항을 사전에 검토・조정하기 위하여 실무위원회를 둔다.
③ 위원장 1명을 포함한 15명 이내의 위원으로 구성한다.
④ 위원장은 고용노동부장관이 된다.
⑤ 심의 사항에는 보험제도 및 보험사업의 개선에 관한 사항이 포함된다.</v>
      </c>
      <c r="F130" s="30">
        <f>IFERROR(VLOOKUP(C130,기출문제!D:G,4,0),"")</f>
        <v>5</v>
      </c>
      <c r="G130" s="31" t="str">
        <f t="shared" si="1"/>
        <v>X</v>
      </c>
      <c r="J130" s="23"/>
    </row>
    <row r="131" spans="2:10" s="21" customFormat="1" ht="128.25" x14ac:dyDescent="0.3">
      <c r="B131" s="17">
        <v>124</v>
      </c>
      <c r="C131" s="27" t="s">
        <v>983</v>
      </c>
      <c r="D131" s="17">
        <v>4</v>
      </c>
      <c r="E131" s="29" t="str">
        <f>IFERROR(VLOOKUP(C131,기출문제!D:G,3,0),"")</f>
        <v>84. 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
① ㄱ
② ㄱ, ㄴ
③ ㄱ, ㄷ
④ ㄴ, ㄷ
⑤ ㄱ, ㄴ, ㄷ</v>
      </c>
      <c r="F131" s="30">
        <f>IFERROR(VLOOKUP(C131,기출문제!D:G,4,0),"")</f>
        <v>4</v>
      </c>
      <c r="G131" s="31" t="str">
        <f t="shared" si="1"/>
        <v>O</v>
      </c>
      <c r="J131" s="23"/>
    </row>
    <row r="132" spans="2:10" s="21" customFormat="1" ht="114" x14ac:dyDescent="0.3">
      <c r="B132" s="17">
        <v>125</v>
      </c>
      <c r="C132" s="27" t="s">
        <v>984</v>
      </c>
      <c r="D132" s="17">
        <v>3</v>
      </c>
      <c r="E132" s="29" t="str">
        <f>IFERROR(VLOOKUP(C132,기출문제!D:G,3,0),"")</f>
        <v>85. 고용보험법령상 구직급여와 관련한 내용이다. ( )에 들어갈 내용으로 옳은 것은?
○ 훈련연장급여의 지급 기간은 (ㄱ) 년을 한도로 한다.
○ 개별연장급여는 (ㄴ)일의 범위에서 대통령령으로 정하는 기간 동안 지급한다.
① ㄱ: 1, ㄴ: 60
② ㄱ: 1, ㄴ: 90
③ ㄱ: 2, ㄴ: 60
④ ㄱ: 2, ㄴ: 90
⑤ ㄱ: 3, ㄴ: 60</v>
      </c>
      <c r="F132" s="30">
        <f>IFERROR(VLOOKUP(C132,기출문제!D:G,4,0),"")</f>
        <v>3</v>
      </c>
      <c r="G132" s="31" t="str">
        <f t="shared" si="1"/>
        <v>O</v>
      </c>
      <c r="J132" s="23"/>
    </row>
    <row r="133" spans="2:10" s="21" customFormat="1" ht="85.5" x14ac:dyDescent="0.3">
      <c r="B133" s="17">
        <v>126</v>
      </c>
      <c r="C133" s="27" t="s">
        <v>985</v>
      </c>
      <c r="D133" s="17">
        <v>5</v>
      </c>
      <c r="E133" s="29" t="str">
        <f>IFERROR(VLOOKUP(C133,기출문제!D:G,3,0),"")</f>
        <v>86. 산업재해보상보험법상 심사청구 및 재심사청구에 관한 설명으로 옳은 것은? 
① 재심사위원회의 재결은 근로복지공단을 기속하지 아니한다.
② 재심사위원회 위원(당연직위원은 제외)의 임기는 2년으로 하되 연임할 수 없다.
③ 보험급여에 관한 결정에 대해서는 「행정심판법」에 따른 행정심판을 제기할 수 있다.
④ 재심사위원회의 위원장 및 위원은 고용노동부장관이 임명한다.
⑤ 재심사 청구의 제기는 시효의 중단에 관하여 「민법」 제168조에 따른 재판상의 청구로 본다.</v>
      </c>
      <c r="F133" s="30">
        <f>IFERROR(VLOOKUP(C133,기출문제!D:G,4,0),"")</f>
        <v>5</v>
      </c>
      <c r="G133" s="31" t="str">
        <f t="shared" si="1"/>
        <v>O</v>
      </c>
      <c r="J133" s="23"/>
    </row>
    <row r="134" spans="2:10" s="21" customFormat="1" ht="114" x14ac:dyDescent="0.3">
      <c r="B134" s="17">
        <v>127</v>
      </c>
      <c r="C134" s="27" t="s">
        <v>986</v>
      </c>
      <c r="D134" s="17">
        <v>0</v>
      </c>
      <c r="E134" s="29" t="str">
        <f>IFERROR(VLOOKUP(C134,기출문제!D:G,3,0),"")</f>
        <v>87. 산업재해보상보험법상 진폐에 따른 보험급여의 특례에 관한 설명으로 옳지 않은 것은?
① 고용노동부에 진폐심사회의를 둔다.
② 진폐보상연금은 진폐장해등급별 진폐장해연금과 기초연금을 합산한 금액으로 한다.
③ 진폐유족연금은 사망 당시 진폐근로자에게 지급하고 있거나 지급하기로 결정된 진폐보상연금과 같은 금액으로 하되 유족보상연금을 초과할 수 없다.
④ 근로복지공단은 근로자가 진폐에 대한 요양급여를 청구하면 「진폐의 예방과 진폐근로자의 보호 등에 관한 법률」에 따른 건강진단기관에 진폐판정에 필요한 진단을 의뢰하여야 한다.
⑤ 장해보상연금을 받고 있는 사람에게는 진폐에 대한 진단을 받는 경우 진단수당을 지급하지 아니한다.</v>
      </c>
      <c r="F134" s="30">
        <f>IFERROR(VLOOKUP(C134,기출문제!D:G,4,0),"")</f>
        <v>1</v>
      </c>
      <c r="G134" s="31" t="str">
        <f t="shared" si="1"/>
        <v>X</v>
      </c>
      <c r="J134" s="23"/>
    </row>
    <row r="135" spans="2:10" s="21" customFormat="1" ht="128.25" x14ac:dyDescent="0.3">
      <c r="B135" s="17">
        <v>128</v>
      </c>
      <c r="C135" s="27" t="s">
        <v>987</v>
      </c>
      <c r="D135" s="17">
        <v>0</v>
      </c>
      <c r="E135" s="29" t="str">
        <f>IFERROR(VLOOKUP(C135,기출문제!D:G,3,0),"")</f>
        <v>88. 산업재해보상보험법령상 휴업급여에 관한 설명으로 옳은 것은?
① 1일당 지급액은 평균임금의 100분의 70에 상당하는 금액으로 하며 취업하지 못한 기간이 5일 이내이면 지급하지 아니한다.
② 요양을 받고 있는 근로자가 그 요양기간 중 단시간 취업을 하는 경우에는 취업한 시간에 해당하는 그 근로자의 평균임금에서 취업한 시간에 대한 임금을 뺀 금액의 100분의 70에 상당하는 금액을 지급할 수 있다.
③ 휴업급여를 받는 근로자가 60세가 되면 그 이후의 휴업급여는 감액하여 지급한다.
④ 재요양을 받는 자에 대하여는 재요양 당시의 임금을 기준으로 산정한 평균임금의 100분의 90에 상당하는 금액을 1일당 휴업급여 지급액으로 한다.
⑤ 재요양을 받는 자에 대하여 산정한 1일당 휴업급여 지급액이 최저임금액보다 적으면 최저임금액을 1일당 휴업급여 지급액으로 한다.</v>
      </c>
      <c r="F135" s="30">
        <f>IFERROR(VLOOKUP(C135,기출문제!D:G,4,0),"")</f>
        <v>5</v>
      </c>
      <c r="G135" s="31" t="str">
        <f t="shared" si="1"/>
        <v>X</v>
      </c>
      <c r="J135" s="23"/>
    </row>
    <row r="136" spans="2:10" s="21" customFormat="1" ht="142.5" x14ac:dyDescent="0.3">
      <c r="B136" s="17">
        <v>129</v>
      </c>
      <c r="C136" s="27" t="s">
        <v>988</v>
      </c>
      <c r="D136" s="17">
        <v>3</v>
      </c>
      <c r="E136" s="29" t="str">
        <f>IFERROR(VLOOKUP(C136,기출문제!D:G,3,0),"")</f>
        <v>89. 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
① ㄱ, ㄴ
② ㄴ, ㄷ
③ ㄱ, ㄴ, ㄹ
④ ㄱ, ㄷ, ㄹ
⑤ ㄴ, ㄷ, ㄹ</v>
      </c>
      <c r="F136" s="30">
        <f>IFERROR(VLOOKUP(C136,기출문제!D:G,4,0),"")</f>
        <v>3</v>
      </c>
      <c r="G136" s="31" t="str">
        <f t="shared" si="1"/>
        <v>O</v>
      </c>
      <c r="J136" s="23"/>
    </row>
    <row r="137" spans="2:10" s="21" customFormat="1" ht="99.75" x14ac:dyDescent="0.3">
      <c r="B137" s="17">
        <v>130</v>
      </c>
      <c r="C137" s="27" t="s">
        <v>609</v>
      </c>
      <c r="D137" s="17">
        <v>2</v>
      </c>
      <c r="E137" s="29" t="str">
        <f>IFERROR(VLOOKUP(C137,기출문제!D:G,3,0),"")</f>
        <v>90. 산업재해보상보험법상 직업재활급여에 관한 설명으로 옳은 것은?
① 직업훈련비용은 직업훈련을 받은 자에게 지급한다.
② 직업훈련비용의 금액은 고용노동부장관이 훈련비용, 훈련기간 및 노동시장의 여건 등을 고려하여 고시하는 금액의 범위에서 실제 드는 비용으로 한다.
③ 직업훈련비용을 지급하는 훈련기간은 24개월 이내로 한다.
④ 직장적응훈련비 및 재활운동비의 지급기간은 6개월 이내로 한다.
⑤ 직업훈련수당의 1일당 지급액은 평균임금의 100분의 70에 상당하는 금액으로 한다.</v>
      </c>
      <c r="F137" s="30">
        <f>IFERROR(VLOOKUP(C137,기출문제!D:G,4,0),"")</f>
        <v>2</v>
      </c>
      <c r="G137" s="31" t="str">
        <f t="shared" ref="G137:G200" si="2">IF(D137="","",IF(D137=F137,"O", "X"))</f>
        <v>O</v>
      </c>
      <c r="J137" s="23"/>
    </row>
    <row r="138" spans="2:10" s="21" customFormat="1" ht="85.5" x14ac:dyDescent="0.3">
      <c r="B138" s="17">
        <v>131</v>
      </c>
      <c r="C138" s="27" t="s">
        <v>989</v>
      </c>
      <c r="D138" s="17">
        <v>0</v>
      </c>
      <c r="E138" s="29" t="str">
        <f>IFERROR(VLOOKUP(C138,기출문제!D:G,3,0),"")</f>
        <v>91. 산업재해보상보험법상 보험급여의 일시 중지를 할 수 있는 사유가 아닌 것은?
① 질문이나 조사에 응하지 아니하는 경우
② 보고・서류제출 또는 신고를 하지 아니하는 경우
③ 거짓이나 그 밖의 부정한 방법으로 진료비나 약제비를 지급받은 경우
④ 진찰 요구에 따르지 아니하는 경우
⑤ 근로복지공단이 직권으로 실시하는 장해등급 또는 진폐장해등급 재판정 요구에 응하지 아니하는 경우</v>
      </c>
      <c r="F138" s="30">
        <f>IFERROR(VLOOKUP(C138,기출문제!D:G,4,0),"")</f>
        <v>3</v>
      </c>
      <c r="G138" s="31" t="str">
        <f t="shared" si="2"/>
        <v>X</v>
      </c>
      <c r="J138" s="23"/>
    </row>
    <row r="139" spans="2:10" s="21" customFormat="1" ht="85.5" x14ac:dyDescent="0.3">
      <c r="B139" s="17">
        <v>132</v>
      </c>
      <c r="C139" s="27" t="s">
        <v>990</v>
      </c>
      <c r="D139" s="17">
        <v>1</v>
      </c>
      <c r="E139" s="29" t="str">
        <f>IFERROR(VLOOKUP(C139,기출문제!D:G,3,0),"")</f>
        <v>92. 국민연금법상 가입자 자격의 상실 시기가 옳지 않은 것은?
① 사업장가입자의 경우 사용관계가 끝난 날
② 지역가입자의 경우 사망한 날의 다음 날
③ 지역가입자의 경우 국민연금가입 대상 제외자에 해당하게 된 날
④ 임의가입자의 경우 사업장 가입자의 자격을 취득한 날
⑤ 임의가입자의 경우 60세가 된 날의 다음 날</v>
      </c>
      <c r="F139" s="30">
        <f>IFERROR(VLOOKUP(C139,기출문제!D:G,4,0),"")</f>
        <v>1</v>
      </c>
      <c r="G139" s="31" t="str">
        <f t="shared" si="2"/>
        <v>O</v>
      </c>
      <c r="J139" s="23"/>
    </row>
    <row r="140" spans="2:10" s="21" customFormat="1" ht="85.5" x14ac:dyDescent="0.3">
      <c r="B140" s="17">
        <v>133</v>
      </c>
      <c r="C140" s="27" t="s">
        <v>991</v>
      </c>
      <c r="D140" s="17">
        <v>4</v>
      </c>
      <c r="E140" s="29" t="str">
        <f>IFERROR(VLOOKUP(C140,기출문제!D:G,3,0),"")</f>
        <v>93. 국민연금법상 급여에 관한 설명으로 옳지 않은 것은?
① 급여의 종류는 노령연금, 장애연금, 유족연금, 반환일시금이 있다.
② 급여는 수급권자의 청구에 따라 국민연금공단이 지급한다.
③ 연금액은 지급사유에 따라 기본연금액과 부양가족연금액을 기초로 산정한다.
④ 연금은 매월 25일에 그 달의 금액을 지급하되, 지급일이 공휴일이면 그 다음날에 지급한다.
⑤ 급여수급전용계좌에 입금된 급여와 이에 관한 채권은 압류할 수 없다.</v>
      </c>
      <c r="F140" s="30">
        <f>IFERROR(VLOOKUP(C140,기출문제!D:G,4,0),"")</f>
        <v>4</v>
      </c>
      <c r="G140" s="31" t="str">
        <f t="shared" si="2"/>
        <v>O</v>
      </c>
      <c r="J140" s="23"/>
    </row>
    <row r="141" spans="2:10" s="21" customFormat="1" ht="128.25" x14ac:dyDescent="0.3">
      <c r="B141" s="17">
        <v>134</v>
      </c>
      <c r="C141" s="27" t="s">
        <v>992</v>
      </c>
      <c r="D141" s="17">
        <v>3</v>
      </c>
      <c r="E141" s="29" t="str">
        <f>IFERROR(VLOOKUP(C141,기출문제!D:G,3,0),"")</f>
        <v>94. 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
① ㄴ
② ㄱ, ㄴ
③ ㄱ, ㄷ
④ ㄴ, ㄷ
⑤ ㄱ, ㄴ, ㄷ</v>
      </c>
      <c r="F141" s="30">
        <f>IFERROR(VLOOKUP(C141,기출문제!D:G,4,0),"")</f>
        <v>3</v>
      </c>
      <c r="G141" s="31" t="str">
        <f t="shared" si="2"/>
        <v>O</v>
      </c>
      <c r="J141" s="23"/>
    </row>
    <row r="142" spans="2:10" s="21" customFormat="1" ht="85.5" x14ac:dyDescent="0.3">
      <c r="B142" s="17">
        <v>135</v>
      </c>
      <c r="C142" s="27" t="s">
        <v>993</v>
      </c>
      <c r="D142" s="17">
        <v>0</v>
      </c>
      <c r="E142" s="29" t="str">
        <f>IFERROR(VLOOKUP(C142,기출문제!D:G,3,0),"")</f>
        <v>95. 국민건강보험법상의 요양급여가 아닌 것은?
① 입원
② 이송
③ 상병수당
④ 예방・재활
⑤ 약제・치료재료의 지급</v>
      </c>
      <c r="F142" s="30">
        <f>IFERROR(VLOOKUP(C142,기출문제!D:G,4,0),"")</f>
        <v>3</v>
      </c>
      <c r="G142" s="31" t="str">
        <f t="shared" si="2"/>
        <v>X</v>
      </c>
      <c r="J142" s="23"/>
    </row>
    <row r="143" spans="2:10" s="21" customFormat="1" ht="142.5" x14ac:dyDescent="0.3">
      <c r="B143" s="17">
        <v>136</v>
      </c>
      <c r="C143" s="27" t="s">
        <v>994</v>
      </c>
      <c r="D143" s="17">
        <v>4</v>
      </c>
      <c r="E143" s="29" t="str">
        <f>IFERROR(VLOOKUP(C143,기출문제!D:G,3,0),"")</f>
        <v>96. 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
① ㄱ: 7, ㄴ: 1
② ㄱ: 7, ㄴ: 3
③ ㄱ: 10, ㄴ: 1
④ ㄱ: 10, ㄴ: 3
⑤ ㄱ: 14, ㄴ: 1</v>
      </c>
      <c r="F143" s="30">
        <f>IFERROR(VLOOKUP(C143,기출문제!D:G,4,0),"")</f>
        <v>4</v>
      </c>
      <c r="G143" s="31" t="str">
        <f t="shared" si="2"/>
        <v>O</v>
      </c>
      <c r="J143" s="23"/>
    </row>
    <row r="144" spans="2:10" s="21" customFormat="1" ht="171" x14ac:dyDescent="0.3">
      <c r="B144" s="17">
        <v>137</v>
      </c>
      <c r="C144" s="27" t="s">
        <v>995</v>
      </c>
      <c r="D144" s="17">
        <v>4</v>
      </c>
      <c r="E144" s="29" t="str">
        <f>IFERROR(VLOOKUP(C144,기출문제!D:G,3,0),"")</f>
        <v>97. 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
① ㄱ: 2, ㄴ: 20
② ㄱ: 2, ㄴ: 30
③ ㄱ: 3, ㄴ: 15
④ ㄱ: 3, ㄴ: 20
⑤ ㄱ: 3, ㄴ: 30</v>
      </c>
      <c r="F144" s="30">
        <f>IFERROR(VLOOKUP(C144,기출문제!D:G,4,0),"")</f>
        <v>4</v>
      </c>
      <c r="G144" s="31" t="str">
        <f t="shared" si="2"/>
        <v>O</v>
      </c>
      <c r="J144" s="23"/>
    </row>
    <row r="145" spans="2:10" s="21" customFormat="1" ht="171" x14ac:dyDescent="0.3">
      <c r="B145" s="17">
        <v>138</v>
      </c>
      <c r="C145" s="27" t="s">
        <v>996</v>
      </c>
      <c r="D145" s="17">
        <v>2</v>
      </c>
      <c r="E145" s="29" t="str">
        <f>IFERROR(VLOOKUP(C145,기출문제!D:G,3,0),"")</f>
        <v>98. 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
① ㄱ
② ㄱ, ㄴ
③ ㄱ, ㄷ
④ ㄴ, ㄷ
⑤ ㄱ, ㄴ, ㄷ</v>
      </c>
      <c r="F145" s="30">
        <f>IFERROR(VLOOKUP(C145,기출문제!D:G,4,0),"")</f>
        <v>2</v>
      </c>
      <c r="G145" s="31" t="str">
        <f t="shared" si="2"/>
        <v>O</v>
      </c>
      <c r="J145" s="23"/>
    </row>
    <row r="146" spans="2:10" s="21" customFormat="1" ht="128.25" x14ac:dyDescent="0.3">
      <c r="B146" s="17">
        <v>139</v>
      </c>
      <c r="C146" s="27" t="s">
        <v>997</v>
      </c>
      <c r="D146" s="17">
        <v>2</v>
      </c>
      <c r="E146" s="29" t="str">
        <f>IFERROR(VLOOKUP(C146,기출문제!D:G,3,0),"")</f>
        <v>99. 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
① ㄱ: 1, ㄴ: 1천분의 1, ㄷ : 1천분의 30
② ㄱ: 1, ㄴ: 6천분의 1, ㄷ : 1천분의 50
③ ㄱ: 1, ㄴ: 1천분의 1, ㄷ : 1천분의 90
④ ㄱ: 7, ㄴ: 1천분의 1, ㄷ : 1천분의 30
⑤ ㄱ: 7, ㄴ: 6천분의 1, ㄷ : 1천분의 90</v>
      </c>
      <c r="F146" s="30">
        <f>IFERROR(VLOOKUP(C146,기출문제!D:G,4,0),"")</f>
        <v>2</v>
      </c>
      <c r="G146" s="31" t="str">
        <f t="shared" si="2"/>
        <v>O</v>
      </c>
      <c r="J146" s="23"/>
    </row>
    <row r="147" spans="2:10" s="21" customFormat="1" ht="128.25" x14ac:dyDescent="0.3">
      <c r="B147" s="17">
        <v>140</v>
      </c>
      <c r="C147" s="27" t="s">
        <v>998</v>
      </c>
      <c r="D147" s="17">
        <v>1</v>
      </c>
      <c r="E147" s="29" t="str">
        <f>IFERROR(VLOOKUP(C147,기출문제!D:G,3,0),"")</f>
        <v>100. 고용보험 및 산업재해보상보험의 보험료징수 등에 관한 법령상 보수총액 등의 신고와 관련한 내용으로 옳지 않은 것은?
① 보수총액신고는 문서로 함을 원칙으로 한다.
② 사업주는 근로자가 다른 사업장으로 전보되는 등 대통령령으로 정하는 사유가 발생한 때에는 그 사유 발생일부터 14일 이내에 그 사실을 근로복지공단에 신고하여야 한다.
③ 사업주는 사업의 폐지 등으로 보험관계가 소멸한 때에는 그 보험관계가 소멸한 날부터 14일 이내에 근로자에게 지급한 보수총액 등을 근로복지공단에 신고하여야 한다.
④ 사업주는 전년도에 근로자에게 지급한 보수총액 등을 매년 3월 15일까지 근로복지공단에 신고하여야 한다.
⑤ 사업주는 근로자와 고용관계를 종료한 때에는 그 근로자에게 지급한 보수총액, 고용관계 종료일 등을 그 근로자의 고용관계가 종료한 날이 속하는 달의 다음 달 15일까지 근로복지공단에 신고하여야 한다.</v>
      </c>
      <c r="F147" s="30">
        <f>IFERROR(VLOOKUP(C147,기출문제!D:G,4,0),"")</f>
        <v>1</v>
      </c>
      <c r="G147" s="31" t="str">
        <f t="shared" si="2"/>
        <v>O</v>
      </c>
      <c r="J147" s="23"/>
    </row>
    <row r="148" spans="2:10" s="21" customFormat="1" ht="128.25" x14ac:dyDescent="0.3">
      <c r="B148" s="17">
        <v>141</v>
      </c>
      <c r="C148" s="27" t="s">
        <v>121</v>
      </c>
      <c r="D148" s="17">
        <v>1</v>
      </c>
      <c r="E148" s="29" t="str">
        <f>IFERROR(VLOOKUP(C148,기출문제!D:G,3,0),"")</f>
        <v>76. 사회보장기본법령상 사회보장제도의 운영에 관한 설명으로 옳지 않은 것은?
① 사회보험은 국가와 지방자치단체의 책임으로 시행하고, 공공부조와 사회서비스는 국가의 책임으로 시행하는 것을 원칙으로 한다.
② 국가와 지방자치단체는 효과적인 사회보장정책의 수립・시행을 위하여 사회보장에 관한 통계를 작성・관리하여야 한다.
③ 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
④ 보건복지부장관은 사회서비스의 품질기준 마련, 평가 및 개선 등의 업무를 수행하기 위하여 필요한 전담기구를 설치할 수 있다.
⑤ 국가와 지방자치단체는 개인・법인 또는 단체가 사회보장에 참여하는 데에 드는 경비의 전부 또는 일부를 지원하거나 그 업무를 수행하기 위하여 필요한 지원을 할 수 있다.</v>
      </c>
      <c r="F148" s="30">
        <f>IFERROR(VLOOKUP(C148,기출문제!D:G,4,0),"")</f>
        <v>1</v>
      </c>
      <c r="G148" s="31" t="str">
        <f t="shared" si="2"/>
        <v>O</v>
      </c>
      <c r="J148" s="23"/>
    </row>
    <row r="149" spans="2:10" s="21" customFormat="1" ht="99.75" x14ac:dyDescent="0.3">
      <c r="B149" s="17">
        <v>142</v>
      </c>
      <c r="C149" s="27" t="s">
        <v>999</v>
      </c>
      <c r="D149" s="17">
        <v>0</v>
      </c>
      <c r="E149" s="29" t="str">
        <f>IFERROR(VLOOKUP(C149,기출문제!D:G,3,0),"")</f>
        <v>77. 사회보장기본법령상 사회보장 비용의 부담에 관한 설명으로 옳지 않은 것은?
① 사회보장 비용의 부담은 각각의 사회보장제도의 목적에 따라 국가, 지방자치단체 및 민간부문 간에 합리적으로 조정되어야 한다.
② 사회보험에 드는 비용은 사용자, 피용자 및 자영업자가 부담하는 것을 원칙으로 한다.
③ 부담 능력이 있는 국민에 대한 사회서비스에 드는 비용은 그 수익자가 부담함을 원칙으로 한다.
④ 공공부조에 드는 비용은 수익자가 부담함을 원칙으로 한다.
⑤ 공공부조 및 관계 법령에서 정하는 일정 소득 수준 이하의 국민에 대한 사회서비스에 드는 비용의 전부 또는 일부는 국가와 지방자치단체가 부담한다.</v>
      </c>
      <c r="F149" s="30">
        <f>IFERROR(VLOOKUP(C149,기출문제!D:G,4,0),"")</f>
        <v>4</v>
      </c>
      <c r="G149" s="31" t="str">
        <f t="shared" si="2"/>
        <v>X</v>
      </c>
      <c r="J149" s="23"/>
    </row>
    <row r="150" spans="2:10" s="21" customFormat="1" ht="99.75" x14ac:dyDescent="0.3">
      <c r="B150" s="17">
        <v>143</v>
      </c>
      <c r="C150" s="27" t="s">
        <v>1000</v>
      </c>
      <c r="D150" s="17">
        <v>2</v>
      </c>
      <c r="E150" s="29" t="str">
        <f>IFERROR(VLOOKUP(C150,기출문제!D:G,3,0),"")</f>
        <v>78. 사회보험 관련법령의 적용에 관한 내용으로 옳지 않은 것은?
① 사립학교교직원 연금법의 적용을 받는 자에게는 고용보험법을 적용하지 아니한다.
② 1개월 미만 동안 고용된 일용근로자는 고용보험법의 적용이 제외되는 근로자이다.
③ 국민연금에 가입된 사업장에 종사하는 18세 미만 근로자는 사업장가입자가 되는 것으로 보나, 본인이 원하지 아니하면 사업장가입자가 되지 아니할 수 있다.
④ 비상근 근로자는 국민건강보험법의 직장가입자에서 제외된다.
⑤ 1개월 동안의 소정근로시간이 60시간 미만인 단시간근로자는 국민건강보험법의 직장가입자에서 제외된다.</v>
      </c>
      <c r="F150" s="30">
        <f>IFERROR(VLOOKUP(C150,기출문제!D:G,4,0),"")</f>
        <v>2</v>
      </c>
      <c r="G150" s="31" t="str">
        <f t="shared" si="2"/>
        <v>O</v>
      </c>
      <c r="J150" s="23"/>
    </row>
    <row r="151" spans="2:10" s="21" customFormat="1" ht="99.75" x14ac:dyDescent="0.3">
      <c r="B151" s="17">
        <v>144</v>
      </c>
      <c r="C151" s="27" t="s">
        <v>1001</v>
      </c>
      <c r="D151" s="17">
        <v>4</v>
      </c>
      <c r="E151" s="29" t="str">
        <f>IFERROR(VLOOKUP(C151,기출문제!D:G,3,0),"")</f>
        <v>79. 사회보장기본법령상 사회보장수급권에 관한 설명으로 옳지 않은 것은?
① 사회보장수급권은 관계 법령에서 정하는 바에 따라 다른 사람에게 양도하거나 담보로 제공할 수 없다.
② 사회보장수급권은 제한되거나 정지될 수 없으나, 관계 법령에서 따로 정하고 있는 경우에는 그러하지 아니하다.
③ 사회보장수급권이 정지되는 경우에는 정지하는 목적에 필요한 최소한의 범위에 그쳐야 한다.
④ 사회보장수급권은 포기할 수 있으나 포기한 후에는 이를 취소할 수 없다.
⑤ 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v>
      </c>
      <c r="F151" s="30">
        <f>IFERROR(VLOOKUP(C151,기출문제!D:G,4,0),"")</f>
        <v>4</v>
      </c>
      <c r="G151" s="31" t="str">
        <f t="shared" si="2"/>
        <v>O</v>
      </c>
      <c r="J151" s="23"/>
    </row>
    <row r="152" spans="2:10" s="21" customFormat="1" ht="99.75" x14ac:dyDescent="0.3">
      <c r="B152" s="17">
        <v>145</v>
      </c>
      <c r="C152" s="27" t="s">
        <v>1002</v>
      </c>
      <c r="D152" s="17">
        <v>3</v>
      </c>
      <c r="E152" s="29" t="str">
        <f>IFERROR(VLOOKUP(C152,기출문제!D:G,3,0),"")</f>
        <v>80. 고용보험법령의 내용으로 옳지 않은 것은?
① 국민기초생활 보장법에 따라 자활을 위한 근로기회를 제공하기 위한 사업은 고용보험법의 적용을 받는 사업으로 본다.
② 국가는 매년 고용보험사업에 드는 비용의 일부를 일반회계에서 부담하여야 한다.
③ 피보험자가 사망한 경우에는 사망한 날에 그 피보험자격을 상실한다.
④ 고용보험법에 따른 보험관계의 성립 및 소멸에 대하여는 고용보험 및 산업재해보상보험의 보험료징수 등에 관한 법률로 정하는 바에 따른다.
⑤ 구직급여는 수급자격자가 실업한 상태에 있는 날 중에서 직업안정기관의 장으로부터 실업의 인정을 받은 날에 대하여 지급한다.</v>
      </c>
      <c r="F152" s="30">
        <f>IFERROR(VLOOKUP(C152,기출문제!D:G,4,0),"")</f>
        <v>3</v>
      </c>
      <c r="G152" s="31" t="str">
        <f t="shared" si="2"/>
        <v>O</v>
      </c>
      <c r="J152" s="23"/>
    </row>
    <row r="153" spans="2:10" s="21" customFormat="1" ht="85.5" x14ac:dyDescent="0.3">
      <c r="B153" s="17">
        <v>146</v>
      </c>
      <c r="C153" s="27" t="s">
        <v>1003</v>
      </c>
      <c r="D153" s="17">
        <v>2</v>
      </c>
      <c r="E153" s="29" t="str">
        <f>IFERROR(VLOOKUP(C153,기출문제!D:G,3,0),"")</f>
        <v>81. 고용보험법령상 폐업한 자영업자인 피보험자의 구직급여 수급 요건으로 옳지 않은 것은?
① 법령을 위반하여 허가 취소를 받음에 따라 폐업한 경우가 아니어야 한다.
② 폐업일 이전 18개월간 자영업자인 피보험자로서 갖춘 피보험 단위기간이 통산하여 180일 이상이어야 한다.
③ 법령을 위반하여 영업 정지를 받음에 따라 폐업한 경우가 아니어야 한다.
④ 재취업을 위한 노력을 적극적으로 하여야 한다.
⑤ 근로의 의사와 능력이 있음에도 불구하고 취업을 하지 못한 상태에 있어야 한다.</v>
      </c>
      <c r="F153" s="30">
        <f>IFERROR(VLOOKUP(C153,기출문제!D:G,4,0),"")</f>
        <v>2</v>
      </c>
      <c r="G153" s="31" t="str">
        <f t="shared" si="2"/>
        <v>O</v>
      </c>
      <c r="J153" s="23"/>
    </row>
    <row r="154" spans="2:10" s="21" customFormat="1" ht="99.75" x14ac:dyDescent="0.3">
      <c r="B154" s="17">
        <v>147</v>
      </c>
      <c r="C154" s="27" t="s">
        <v>1004</v>
      </c>
      <c r="D154" s="17">
        <v>3</v>
      </c>
      <c r="E154" s="29" t="str">
        <f>IFERROR(VLOOKUP(C154,기출문제!D:G,3,0),"")</f>
        <v>82. 고용보험법령상 심사 및 재심사에 관한 설명으로 옳지 않은 것은?
① 실업급여에 관한 처분에 이의가 있는 자는 고용보험심사관에게 심사를 청구할 수 있다.
② 심사의 청구가 법령으로 정한 방식을 위반하여 보정하지 못할 것인 경우에 고용보험심사관은 그 심사의 청구를 결정으로 각하하여야 한다.
③ 재심사청구인은 법정대리인 외에 자신의 형제자매를 대리인으로 선임할 수 없다.
④ 심사 및 재심사의 청구는 시효중단에 관하여 재판상의 청구로 본다.
⑤ 재심사청구에 대한 심리는 공개로 하나, 당사자의 양쪽 또는 어느 한 쪽이 신청한 경우에는 공개하지 아니할 수 있다.</v>
      </c>
      <c r="F154" s="30">
        <f>IFERROR(VLOOKUP(C154,기출문제!D:G,4,0),"")</f>
        <v>3</v>
      </c>
      <c r="G154" s="31" t="str">
        <f t="shared" si="2"/>
        <v>O</v>
      </c>
      <c r="J154" s="23"/>
    </row>
    <row r="155" spans="2:10" s="21" customFormat="1" ht="156.75" x14ac:dyDescent="0.3">
      <c r="B155" s="17">
        <v>148</v>
      </c>
      <c r="C155" s="27" t="s">
        <v>1005</v>
      </c>
      <c r="D155" s="17">
        <v>4</v>
      </c>
      <c r="E155" s="29" t="str">
        <f>IFERROR(VLOOKUP(C155,기출문제!D:G,3,0),"")</f>
        <v>83. 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
① ㄱ, ㄴ, ㅁ
② ㄴ, ㄷ, ㄹ
③ ㄷ, ㄹ, ㅁ
④ ㄱ, ㄴ, ㄷ, ㄹ
⑤ ㄱ, ㄷ, ㄹ, ㅁ</v>
      </c>
      <c r="F155" s="30">
        <f>IFERROR(VLOOKUP(C155,기출문제!D:G,4,0),"")</f>
        <v>4</v>
      </c>
      <c r="G155" s="31" t="str">
        <f t="shared" si="2"/>
        <v>O</v>
      </c>
      <c r="J155" s="23"/>
    </row>
    <row r="156" spans="2:10" s="21" customFormat="1" ht="114" x14ac:dyDescent="0.3">
      <c r="B156" s="17">
        <v>149</v>
      </c>
      <c r="C156" s="27" t="s">
        <v>1006</v>
      </c>
      <c r="D156" s="17">
        <v>5</v>
      </c>
      <c r="E156" s="29" t="str">
        <f>IFERROR(VLOOKUP(C156,기출문제!D:G,3,0),"")</f>
        <v>84. 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
① 월보수총액
② 월보험료액
③ 3개월 평균임금
④ 월 최저임금액
⑤ 실업급여수급계좌에 입금된 금액 전액</v>
      </c>
      <c r="F156" s="30">
        <f>IFERROR(VLOOKUP(C156,기출문제!D:G,4,0),"")</f>
        <v>5</v>
      </c>
      <c r="G156" s="31" t="str">
        <f t="shared" si="2"/>
        <v>O</v>
      </c>
      <c r="J156" s="23"/>
    </row>
    <row r="157" spans="2:10" s="21" customFormat="1" ht="85.5" x14ac:dyDescent="0.3">
      <c r="B157" s="17">
        <v>150</v>
      </c>
      <c r="C157" s="27" t="s">
        <v>1007</v>
      </c>
      <c r="D157" s="17">
        <v>4</v>
      </c>
      <c r="E157" s="29" t="str">
        <f>IFERROR(VLOOKUP(C157,기출문제!D:G,3,0),"")</f>
        <v>85. 산업재해보상보험법령상 보험급여 중 시효의 완성 기간이 다른 것은?
① 요양급여를 받을 권리
② 간병급여를 받을 권리
③ 상병보상연금을 받을 권리
④ 장례비를 받을 권리
⑤ 직업재활급여를 받을 권리</v>
      </c>
      <c r="F157" s="30">
        <f>IFERROR(VLOOKUP(C157,기출문제!D:G,4,0),"")</f>
        <v>4</v>
      </c>
      <c r="G157" s="31" t="str">
        <f t="shared" si="2"/>
        <v>O</v>
      </c>
      <c r="J157" s="23"/>
    </row>
    <row r="158" spans="2:10" s="21" customFormat="1" ht="142.5" x14ac:dyDescent="0.3">
      <c r="B158" s="17">
        <v>151</v>
      </c>
      <c r="C158" s="27" t="s">
        <v>1008</v>
      </c>
      <c r="D158" s="17">
        <v>5</v>
      </c>
      <c r="E158" s="29" t="str">
        <f>IFERROR(VLOOKUP(C158,기출문제!D:G,3,0),"")</f>
        <v>86. 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
① ㄱ, ㄴ
② ㄱ, ㄹ
③ ㄴ, ㄷ
④ ㄱ, ㄷ, ㄹ
⑤ ㄱ, ㄴ, ㄷ, ㄹ</v>
      </c>
      <c r="F158" s="30">
        <f>IFERROR(VLOOKUP(C158,기출문제!D:G,4,0),"")</f>
        <v>5</v>
      </c>
      <c r="G158" s="31" t="str">
        <f t="shared" si="2"/>
        <v>O</v>
      </c>
      <c r="J158" s="23"/>
    </row>
    <row r="159" spans="2:10" s="21" customFormat="1" ht="85.5" x14ac:dyDescent="0.3">
      <c r="B159" s="17">
        <v>152</v>
      </c>
      <c r="C159" s="27" t="s">
        <v>1009</v>
      </c>
      <c r="D159" s="17"/>
      <c r="E159" s="32" t="str">
        <f>IFERROR(VLOOKUP(C159,기출문제!D:G,3,0),"")</f>
        <v>87. 산업재해보상보험법령상 특수형태근로종사자의 범위에 해당하지 않는 자는?
① 한국표준직업분류표의 세세분류에 따른 학습지 교사
② 택배업을 하는 사람으로서 둘 이상의 퀵서비스업자로부터 업무를 의뢰받아 직원을 채용하여 배송 업무를 하는 사람
③ 보험을 모집하는 보험업법에 따른 보험설계사
④ 체육시설의 설치・이용에 관한 법률에 따라 직장체육시설로 설치된 골프장에서 골프경기를 보조하는 골프장 캐디
⑤ 여신전문금융업법에 따른 신용카드회원 모집인</v>
      </c>
      <c r="F159" s="30">
        <f>IFERROR(VLOOKUP(C159,기출문제!D:G,4,0),"")</f>
        <v>2</v>
      </c>
      <c r="G159" s="31" t="str">
        <f t="shared" si="2"/>
        <v/>
      </c>
      <c r="J159" s="23"/>
    </row>
    <row r="160" spans="2:10" s="21" customFormat="1" ht="85.5" x14ac:dyDescent="0.3">
      <c r="B160" s="17">
        <v>153</v>
      </c>
      <c r="C160" s="27" t="s">
        <v>1010</v>
      </c>
      <c r="D160" s="17">
        <v>0</v>
      </c>
      <c r="E160" s="29" t="str">
        <f>IFERROR(VLOOKUP(C160,기출문제!D:G,3,0),"")</f>
        <v>88. 산업재해보상보험법령상 심사청구의 대상이 아닌 것은?
① 약제비에 관한 결정
② 보험급여에 관한 결정
③ 보험료 부과에 관한 결정
④ 수급권의 대위에 관한 결정
⑤ 부당이득의 징수에 관한 결정</v>
      </c>
      <c r="F160" s="30">
        <f>IFERROR(VLOOKUP(C160,기출문제!D:G,4,0),"")</f>
        <v>3</v>
      </c>
      <c r="G160" s="31" t="str">
        <f t="shared" si="2"/>
        <v>X</v>
      </c>
      <c r="J160" s="23"/>
    </row>
    <row r="161" spans="2:10" s="21" customFormat="1" ht="85.5" x14ac:dyDescent="0.3">
      <c r="B161" s="17">
        <v>154</v>
      </c>
      <c r="C161" s="27" t="s">
        <v>1011</v>
      </c>
      <c r="D161" s="17">
        <v>0</v>
      </c>
      <c r="E161" s="29" t="str">
        <f>IFERROR(VLOOKUP(C161,기출문제!D:G,3,0),"")</f>
        <v>89. 산업재해보상보험법령상 보험급여에 관한 설명으로 옳은 것은?
① 부상 또는 질병이 7일 이내의 요양으로 치유될 수 있으면 요양급여를 지급하지 아니한다.
② 요양급여의 신청을 한 자는 근로복지공단이 요양급여에 관한 결정을 하기 전에는 국민건강보험법상 요양급여를 받을 수 있다.
③ 장해급여는 근로자가 업무상의 사유로 질병에 걸려 치유된 후 신체 등에 장해가 있는 경우에 한국장애인고용공단에서 지급한다.
④ 장해보상연금의 수급권자가 재요양을 받는 경우에는 그 연금의 지급을 정지한다.
⑤ 간병급여는 실제로 간병을 실시한 자에게 직접 지급한다.</v>
      </c>
      <c r="F161" s="30">
        <f>IFERROR(VLOOKUP(C161,기출문제!D:G,4,0),"")</f>
        <v>2</v>
      </c>
      <c r="G161" s="31" t="str">
        <f t="shared" si="2"/>
        <v>X</v>
      </c>
      <c r="J161" s="23"/>
    </row>
    <row r="162" spans="2:10" s="21" customFormat="1" ht="171" x14ac:dyDescent="0.3">
      <c r="B162" s="17">
        <v>155</v>
      </c>
      <c r="C162" s="27" t="s">
        <v>1012</v>
      </c>
      <c r="D162" s="17">
        <v>5</v>
      </c>
      <c r="E162" s="29" t="str">
        <f>IFERROR(VLOOKUP(C162,기출문제!D:G,3,0),"")</f>
        <v>90. 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
① 1개
② 2개
③ 3개
④ 4개
⑤ 5개</v>
      </c>
      <c r="F162" s="30">
        <f>IFERROR(VLOOKUP(C162,기출문제!D:G,4,0),"")</f>
        <v>5</v>
      </c>
      <c r="G162" s="31" t="str">
        <f t="shared" si="2"/>
        <v>O</v>
      </c>
      <c r="J162" s="23"/>
    </row>
    <row r="163" spans="2:10" s="21" customFormat="1" ht="142.5" x14ac:dyDescent="0.3">
      <c r="B163" s="17">
        <v>156</v>
      </c>
      <c r="C163" s="27" t="s">
        <v>1013</v>
      </c>
      <c r="D163" s="17">
        <v>2</v>
      </c>
      <c r="E163" s="29" t="str">
        <f>IFERROR(VLOOKUP(C163,기출문제!D:G,3,0),"")</f>
        <v>91. 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
① ㄱ: 50, ㄴ: 6, ㄷ: 12
② ㄱ: 50, ㄴ: 12, ㄷ: 18
③ ㄱ: 60, ㄴ: 6, ㄷ: 12
④ ㄱ: 60, ㄴ: 6, ㄷ: 18
⑤ ㄱ: 60, ㄴ: 12, ㄷ: 18</v>
      </c>
      <c r="F163" s="30">
        <f>IFERROR(VLOOKUP(C163,기출문제!D:G,4,0),"")</f>
        <v>2</v>
      </c>
      <c r="G163" s="31" t="str">
        <f t="shared" si="2"/>
        <v>O</v>
      </c>
      <c r="J163" s="23"/>
    </row>
    <row r="164" spans="2:10" s="21" customFormat="1" ht="99.75" x14ac:dyDescent="0.3">
      <c r="B164" s="17">
        <v>157</v>
      </c>
      <c r="C164" s="27" t="s">
        <v>1014</v>
      </c>
      <c r="D164" s="17">
        <v>5</v>
      </c>
      <c r="E164" s="29" t="str">
        <f>IFERROR(VLOOKUP(C164,기출문제!D:G,3,0),"")</f>
        <v>92. 국민연금법령상 유족연금에 관한 설명으로 옳은 것은?
① 사실상의 혼인관계에 있는 배우자는 유족연금을 지급받을 수 있는 유족에 해당하지 않는다.
② 수급권자가 산업재해보상보험법에 의한 유족급여를 받는 경우에는 유족연금을 지급하지 않는다.
③ 유족연금을 지급받을 수 있는 유족의 범위는 배우자, 자녀, 부모, 손자녀, 조부모 및 형제자매이다.
④ 유족연금 수급권자인 자녀가 사망 시 다음 순위자인 부모에게 유족연금을 지급한다.
⑤ 부모, 손자녀 또는 조부모인 유족의 유족연금 수급권은 가입자 또는 가입자였던 사람이 사망할 당시에 그 가입자 또는 가입자였던 사람의 태아가 출생하여 수급권을 갖게 되면 소멸한다.</v>
      </c>
      <c r="F164" s="30">
        <f>IFERROR(VLOOKUP(C164,기출문제!D:G,4,0),"")</f>
        <v>5</v>
      </c>
      <c r="G164" s="31" t="str">
        <f t="shared" si="2"/>
        <v>O</v>
      </c>
      <c r="J164" s="23"/>
    </row>
    <row r="165" spans="2:10" s="21" customFormat="1" ht="128.25" x14ac:dyDescent="0.3">
      <c r="B165" s="17">
        <v>158</v>
      </c>
      <c r="C165" s="27" t="s">
        <v>1015</v>
      </c>
      <c r="D165" s="17">
        <v>0</v>
      </c>
      <c r="E165" s="29" t="str">
        <f>IFERROR(VLOOKUP(C165,기출문제!D:G,3,0),"")</f>
        <v>93. 국민건강보험법령상 급여의 제한 및 정지에 관한 설명으로 옳지 않은 것은?
① 국민건강보험공단은 보험급여를 받을 수 있는 사람이 중대한 과실로 인한 범죄행위에 그 원인이 있는 경우 보험급여를 하지 아니한다.
② 국민건강보험공단은 보험급여를 받을 수 있는 사람이 다른 법령에 따라 국가로부터 보험급여에 상당하는 비용을 지급받게 되는 경우에는 그 한도에서 보험급여를 하지 아니한다.
③ 보험급여를 받을 수 있는 사람이 국외에 여행 중인 경우 그 기간에는 보험급여를 하지 아니한다.
④ 국민건강보험공단은 지역가입자가 1개월 이상 세대단위의 보험료를 체납한 경우 그 체납한 보험료를 완납할 때까지 그 가입자를 제외한 피부양자에 대하여 보험급여를 실시하지 아니한다.
⑤ 보험급여를 받을 수 있는 사람이 국외에서 업무에 종사하고 있는 경우 그 기간에는 보험급여를 하지 아니한다.</v>
      </c>
      <c r="F165" s="30">
        <f>IFERROR(VLOOKUP(C165,기출문제!D:G,4,0),"")</f>
        <v>4</v>
      </c>
      <c r="G165" s="31" t="str">
        <f t="shared" si="2"/>
        <v>X</v>
      </c>
      <c r="J165" s="23"/>
    </row>
    <row r="166" spans="2:10" s="21" customFormat="1" ht="114" x14ac:dyDescent="0.3">
      <c r="B166" s="17">
        <v>159</v>
      </c>
      <c r="C166" s="27" t="s">
        <v>1016</v>
      </c>
      <c r="D166" s="17">
        <v>4</v>
      </c>
      <c r="E166" s="29" t="str">
        <f>IFERROR(VLOOKUP(C166,기출문제!D:G,3,0),"")</f>
        <v>94. 국민건강보험법령상 보험료에 관한 설명으로 옳지 않은 것은?
① 지역가입자의 월별 보험료액은 세대 단위로 산정한다.
② 직장가입자의 소득월액보험료는 직장가입자가 부담한다.
③ 지역가입자의 보험료는 그 가입자가 속한 세대의 지역가입자 전원이 연대하여 부담한다.
④ 직장가입자가 교직원으로서 사립학교에 근무하는 교원인 경우 보수월액보험료는 그 직장가입자와 사립학교를 설립・운영하는 자가 각각 보험료액의 100분의 50씩 부담한다.
⑤ 직장가입자가 공무원인 경우 보수월액보험료는 그 직장가입자와 그 공무원이 소속되어 있는 국가 또는 지방자치단체가 각각 보험료액의 100분의 50씩 부담한다.</v>
      </c>
      <c r="F166" s="30">
        <f>IFERROR(VLOOKUP(C166,기출문제!D:G,4,0),"")</f>
        <v>4</v>
      </c>
      <c r="G166" s="31" t="str">
        <f t="shared" si="2"/>
        <v>O</v>
      </c>
      <c r="J166" s="23"/>
    </row>
    <row r="167" spans="2:10" s="21" customFormat="1" ht="85.5" x14ac:dyDescent="0.3">
      <c r="B167" s="17">
        <v>160</v>
      </c>
      <c r="C167" s="27" t="s">
        <v>1017</v>
      </c>
      <c r="D167" s="17">
        <v>0</v>
      </c>
      <c r="E167" s="29" t="str">
        <f>IFERROR(VLOOKUP(C167,기출문제!D:G,3,0),"")</f>
        <v>95. 국민건강보험법령상 보험료의 경감 대상이 될 수 있는 가입자는?
① 직장가입자로서 65세 이상인 사람
② 직장가입자로서 출산 휴가 중인 사람
③ 직장가입자 중 휴직기간이 1개월 이상인 사람
④ 직장가입자 중 장애인복지법에 따라 등록한 장애인
⑤ 직장가입자 중 국가유공자 등 예우 및 지원에 관한 법률에 따른 국가유공자</v>
      </c>
      <c r="F167" s="30">
        <f>IFERROR(VLOOKUP(C167,기출문제!D:G,4,0),"")</f>
        <v>3</v>
      </c>
      <c r="G167" s="31" t="str">
        <f t="shared" si="2"/>
        <v>X</v>
      </c>
      <c r="J167" s="23"/>
    </row>
    <row r="168" spans="2:10" s="21" customFormat="1" ht="99.75" x14ac:dyDescent="0.3">
      <c r="B168" s="17">
        <v>161</v>
      </c>
      <c r="C168" s="27" t="s">
        <v>1018</v>
      </c>
      <c r="D168" s="17">
        <v>1</v>
      </c>
      <c r="E168" s="29" t="str">
        <f>IFERROR(VLOOKUP(C168,기출문제!D:G,3,0),"")</f>
        <v>96. 고용보험 및 산업재해보상보험의 보험료징수 등에 관한 법령의 내용으로 옳은 것은?
① 사업의 도산으로 보수 관련 자료가 없는 경우에는 고용노동부장관이 정하여 고시하는 금액을 보수로 할 수 있다.
② 원수급인으로부터 사업의 전부를 도급받아 하는 자는 하수급인에 해당하지 않는다.
③ 고용보험료를 징수하는 경우에는 근로자가 휴직기간 중에 사업주 외의 자로부터 지급받는 금품 일체는 보수로 보지 않는다.
④ 보험에 가입한 사업주는 사업의 명칭 및 소재지, 사업의 종류 등이 변경된 경우에는 다음 보험연도 첫날부터 14일 이내에 그 변경사항을 근로복지공단에 신고하여야 한다.
⑤ 산업재해보상보험법을 적용받는 사업의 사업주는 근로복지공단의 승인을 받아 산업재해보상보험에 가입할 수 있다.</v>
      </c>
      <c r="F168" s="30">
        <f>IFERROR(VLOOKUP(C168,기출문제!D:G,4,0),"")</f>
        <v>1</v>
      </c>
      <c r="G168" s="31" t="str">
        <f t="shared" si="2"/>
        <v>O</v>
      </c>
      <c r="J168" s="23"/>
    </row>
    <row r="169" spans="2:10" s="21" customFormat="1" ht="99.75" x14ac:dyDescent="0.3">
      <c r="B169" s="17">
        <v>162</v>
      </c>
      <c r="C169" s="27" t="s">
        <v>1019</v>
      </c>
      <c r="D169" s="17">
        <v>1</v>
      </c>
      <c r="E169" s="29" t="str">
        <f>IFERROR(VLOOKUP(C169,기출문제!D:G,3,0),"")</f>
        <v>97. 고용보험 및 산업재해보상보험의 보험료징수 등에 관한 법령상 보험사무대행기관에 보험사무를 위임할 수 있는 업무의 범위가 아닌 것은?
① 확정보험료의 부과
② 개산보험료의 신고
③ 고용보험 피보험자의 자격 관리에 관한 사무
④ 보험관계의 소멸의 신고
⑤ 보험관계의 변경의 신고</v>
      </c>
      <c r="F169" s="30">
        <f>IFERROR(VLOOKUP(C169,기출문제!D:G,4,0),"")</f>
        <v>1</v>
      </c>
      <c r="G169" s="31" t="str">
        <f t="shared" si="2"/>
        <v>O</v>
      </c>
      <c r="J169" s="23"/>
    </row>
    <row r="170" spans="2:10" s="21" customFormat="1" ht="142.5" x14ac:dyDescent="0.3">
      <c r="B170" s="17">
        <v>163</v>
      </c>
      <c r="C170" s="27" t="s">
        <v>1020</v>
      </c>
      <c r="D170" s="17">
        <v>0</v>
      </c>
      <c r="E170" s="29" t="str">
        <f>IFERROR(VLOOKUP(C170,기출문제!D:G,3,0),"")</f>
        <v>98. 고용보험 및 산업재해보상보험의 보험료징수 등에 관한 법령의 내용으로 옳지 않은 것은?
① 근로복지공단은 사업 실체가 없는 등의 사유로 계속하여 보험관계를 유지할 수 없다고 인정하는 경우에는 그 보험관계를 소멸시킬 수 있다.
② 근로자가 동일한 사업주의 하나의 사업장에서 다른 사업장으로 전근되는 경우에는 그 근로자에 대한 그 월별보험료는 해당 월의 다음 달 부터 산정한다.
③ 근로복지공단은 소멸시효가 완성된 경우에는 고용노동부장관의 승인을 받아 보험료와 이 법에 따른 그 밖의 징수금을 결손처분할 수 있다.
④ 사업종류의 변경으로 보험료 납부방법이 변경되는 경우에는 사업종류의 변경일 전일을 변경 전 사업 폐지일로, 사업종류의 변경일을 새로운 사업성립일로 본다.
⑤ 공동사업에 관계되는 보험료, 이 법에 따른 그 밖의 징수금과 체납처분비는 공동사업자가 연대하여 낼 의무를 진다.</v>
      </c>
      <c r="F170" s="30">
        <f>IFERROR(VLOOKUP(C170,기출문제!D:G,4,0),"")</f>
        <v>3</v>
      </c>
      <c r="G170" s="31" t="str">
        <f t="shared" si="2"/>
        <v>X</v>
      </c>
      <c r="J170" s="23"/>
    </row>
    <row r="171" spans="2:10" s="21" customFormat="1" ht="142.5" x14ac:dyDescent="0.3">
      <c r="B171" s="17">
        <v>164</v>
      </c>
      <c r="C171" s="27" t="s">
        <v>1021</v>
      </c>
      <c r="D171" s="17">
        <v>0</v>
      </c>
      <c r="E171" s="29" t="str">
        <f>IFERROR(VLOOKUP(C171,기출문제!D:G,3,0),"")</f>
        <v>99. 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
① ㄱ: 100분의 20, ㄴ: 1천분의 13
② ㄱ: 100분의 20, ㄴ: 1천분의 20
③ ㄱ: 100분의 30, ㄴ: 1천분의 13
④ ㄱ: 100분의 30, ㄴ: 1천분의 20
⑤ ㄱ: 100분의 30, ㄴ: 1천분의 25</v>
      </c>
      <c r="F171" s="30">
        <f>IFERROR(VLOOKUP(C171,기출문제!D:G,4,0),"")</f>
        <v>4</v>
      </c>
      <c r="G171" s="31" t="str">
        <f t="shared" si="2"/>
        <v>X</v>
      </c>
      <c r="J171" s="23"/>
    </row>
    <row r="172" spans="2:10" s="21" customFormat="1" ht="99.75" x14ac:dyDescent="0.3">
      <c r="B172" s="17">
        <v>165</v>
      </c>
      <c r="C172" s="27" t="s">
        <v>1022</v>
      </c>
      <c r="D172" s="17">
        <v>2</v>
      </c>
      <c r="E172" s="29" t="str">
        <f>IFERROR(VLOOKUP(C172,기출문제!D:G,3,0),"")</f>
        <v>100. 고용보험 및 산업재해보상보험의 보험료징수 등에 관한 법령상 보험료율의 인상 또는 인하 등에 따른 조치로 옳지 않은 것은?
① 보험료율이 인상된 경우 근로복지공단은 월별보험료를 증액 조정한다.
② 보험료율이 인상된 경우 국민건강보험공단은 개산보험료를 증액 조정한다.
③ 보험료율 인상으로 개산보험료가 증액된 때에는 근로복지공단이 징수한다.
④ 보험료율 인상으로 월별보험료가 증액된 때에는 국민건강보험공단이 징수한다.
⑤ 근로복지공단은 보험료를 감액 조정한 경우에는 보험료율의 인하를 결정한 날부터 20일 이내에 그 감액 조정 사실을 사업주에게 알려야 한다.</v>
      </c>
      <c r="F172" s="30">
        <f>IFERROR(VLOOKUP(C172,기출문제!D:G,4,0),"")</f>
        <v>2</v>
      </c>
      <c r="G172" s="31" t="str">
        <f t="shared" si="2"/>
        <v>O</v>
      </c>
      <c r="J172" s="23"/>
    </row>
    <row r="173" spans="2:10" s="21" customFormat="1" ht="85.5" x14ac:dyDescent="0.3">
      <c r="B173" s="17">
        <v>166</v>
      </c>
      <c r="C173" s="27" t="s">
        <v>167</v>
      </c>
      <c r="D173" s="17">
        <v>5</v>
      </c>
      <c r="E173" s="29" t="str">
        <f>IFERROR(VLOOKUP(C173,기출문제!D:G,3,0),"")</f>
        <v>76. 사회보장기본법상 내용으로 옳은 것은?
① 국가는 중장기 사회보장 재정추계를 매년 실시하고 공표하여야 한다.
② 사회보장수급권의 포기는 취소할 수 없다.
③ 사회서비스란 사회적 위험을 보험의 방식으로 대처함으로써 국민의 건강과 소득을 보장하는 제도를 말한다.
④ 사회보장수급권은 다른 사람에게 양도할 수 있다.
⑤ 국가와 지방자치단체는 최저보장수준과 최저임금 등을 고려하여 사회보장급여의 수준을 결정하여야 한다.</v>
      </c>
      <c r="F173" s="30">
        <f>IFERROR(VLOOKUP(C173,기출문제!D:G,4,0),"")</f>
        <v>5</v>
      </c>
      <c r="G173" s="31" t="str">
        <f t="shared" si="2"/>
        <v>O</v>
      </c>
      <c r="J173" s="23"/>
    </row>
    <row r="174" spans="2:10" s="21" customFormat="1" ht="114" x14ac:dyDescent="0.3">
      <c r="B174" s="17">
        <v>167</v>
      </c>
      <c r="C174" s="27" t="s">
        <v>1023</v>
      </c>
      <c r="D174" s="17">
        <v>4</v>
      </c>
      <c r="E174" s="29" t="str">
        <f>IFERROR(VLOOKUP(C174,기출문제!D:G,3,0),"")</f>
        <v>77. 사회보장기본법상 내용으로 옳지 않은 것은?
① 사회보장기본법은 사회보장에 관한 국민의 권리와 국가 및 지방자치단체의 책임을 정하고 있다.
② 사회보장은 사회참여・자아실현에 필요한 제도와 여건을 조성하여 사회통합과 행복한 복지사회를 실현하는 것을 기본 이념으로 한다.
③ 국가와 지방자치단체의 책임하에 생활 유지 능력이 없거나 생활이 어려운 국민의 최저생활을 보장하고 자립을 지원하는 제도를 공공부조라고 한다.
④ 사회보장위원회는 사회보장급여 관련 업무에 공통적으로 적용되는 기준을 마련하여야 한다.
⑤ 국내에 거주하는 외국인에게 사회보장제도를 적용할 때에는 상호주의의 원칙에 따르되, 관계 법령에서 정하는 바에 따른다.</v>
      </c>
      <c r="F174" s="30">
        <f>IFERROR(VLOOKUP(C174,기출문제!D:G,4,0),"")</f>
        <v>4</v>
      </c>
      <c r="G174" s="31" t="str">
        <f t="shared" si="2"/>
        <v>O</v>
      </c>
      <c r="J174" s="23"/>
    </row>
    <row r="175" spans="2:10" s="21" customFormat="1" ht="142.5" x14ac:dyDescent="0.3">
      <c r="B175" s="17">
        <v>168</v>
      </c>
      <c r="C175" s="27" t="s">
        <v>1024</v>
      </c>
      <c r="D175" s="17">
        <v>5</v>
      </c>
      <c r="E175" s="29" t="str">
        <f>IFERROR(VLOOKUP(C175,기출문제!D:G,3,0),"")</f>
        <v>78. 사회보장기본법상 사회보장정보시스템의 구축・운영 등에 관한 설명으로 옳지 않은 것은?
① 보건복지부장관은 사회보장정보시스템의 구축・운영을 총괄한다.
② 국가와 지방자치단체는 국민편익의 증진과 사회보장업무의 효율성 향상을 위하여 사회보장업무를 전자적으로 관리하도록 노력하여야 한다.
③ 국가와 지방자치단체가 조사하거나 제공받은 개인・법인의 정보는 이 법과 관련 법률에 근거하지 아니하고 보유, 이용, 제공되어서는 아니 된다.
④ 관계 중앙행정기관 및 지방자치단체의 장은 사회보장정보와 관련하여 사회보장정보시스템의 활용이 필요한 경우 사전에 보건복지부장관과 협의하여야 한다.
⑤ 사회복지법인의 보조금 수급이력에 관한 자료는 사회보장정보시스템의 운영을 위하여 수집・보유할 수 있는 정보에 해당하지 않는다.</v>
      </c>
      <c r="F175" s="30">
        <f>IFERROR(VLOOKUP(C175,기출문제!D:G,4,0),"")</f>
        <v>5</v>
      </c>
      <c r="G175" s="31" t="str">
        <f t="shared" si="2"/>
        <v>O</v>
      </c>
      <c r="J175" s="23"/>
    </row>
    <row r="176" spans="2:10" s="21" customFormat="1" ht="85.5" x14ac:dyDescent="0.3">
      <c r="B176" s="17">
        <v>169</v>
      </c>
      <c r="C176" s="27" t="s">
        <v>1025</v>
      </c>
      <c r="D176" s="17">
        <v>3</v>
      </c>
      <c r="E176" s="29" t="str">
        <f>IFERROR(VLOOKUP(C176,기출문제!D:G,3,0),"")</f>
        <v>79. 고용보험법령상 피보험기간이 4년인 자영업자인 경우 구직급여의 소정급여일수는?
① 90일
② 120일
③ 150일
④ 180일
⑤ 210일</v>
      </c>
      <c r="F176" s="30">
        <f>IFERROR(VLOOKUP(C176,기출문제!D:G,4,0),"")</f>
        <v>3</v>
      </c>
      <c r="G176" s="31" t="str">
        <f t="shared" si="2"/>
        <v>O</v>
      </c>
      <c r="J176" s="23"/>
    </row>
    <row r="177" spans="2:10" s="21" customFormat="1" ht="85.5" x14ac:dyDescent="0.3">
      <c r="B177" s="17">
        <v>170</v>
      </c>
      <c r="C177" s="27" t="s">
        <v>1026</v>
      </c>
      <c r="D177" s="17">
        <v>3</v>
      </c>
      <c r="E177" s="29" t="str">
        <f>IFERROR(VLOOKUP(C177,기출문제!D:G,3,0),"")</f>
        <v>80. 고용보험법에서 사용하는 용어의 뜻으로 옳은 것은?
① 피보험자 : 근로기준법상 근로자와 사업주를 말한다.
② 이직 : 근로계약이 당사자의 합의에 의해 해지되는 것을 말하며, 정년퇴직은 포함되지 아니한다.
③ 실업 : 근로의 의사와 능력이 있음에도 불구하고 취업하지 못한 상태에 있는 것을 말한다.
④ 보수 : 사용자로부터 받는 일체의 금품을 말한다.
⑤ 일용근로자 : 3개월 미만 동안 고용된 자를 말한다.</v>
      </c>
      <c r="F177" s="30">
        <f>IFERROR(VLOOKUP(C177,기출문제!D:G,4,0),"")</f>
        <v>3</v>
      </c>
      <c r="G177" s="31" t="str">
        <f t="shared" si="2"/>
        <v>O</v>
      </c>
      <c r="J177" s="23"/>
    </row>
    <row r="178" spans="2:10" s="21" customFormat="1" ht="114" x14ac:dyDescent="0.3">
      <c r="B178" s="17">
        <v>171</v>
      </c>
      <c r="C178" s="27" t="s">
        <v>1027</v>
      </c>
      <c r="D178" s="17">
        <v>4</v>
      </c>
      <c r="E178" s="29" t="str">
        <f>IFERROR(VLOOKUP(C178,기출문제!D:G,3,0),"")</f>
        <v>81. 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
① 15, 1
② 15, 3
③ 60, 1
④ 60, 3
⑤ 90, 1</v>
      </c>
      <c r="F178" s="30">
        <f>IFERROR(VLOOKUP(C178,기출문제!D:G,4,0),"")</f>
        <v>4</v>
      </c>
      <c r="G178" s="31" t="str">
        <f t="shared" si="2"/>
        <v>O</v>
      </c>
      <c r="J178" s="23"/>
    </row>
    <row r="179" spans="2:10" s="21" customFormat="1" ht="85.5" x14ac:dyDescent="0.3">
      <c r="B179" s="17">
        <v>172</v>
      </c>
      <c r="C179" s="27" t="s">
        <v>1028</v>
      </c>
      <c r="D179" s="17">
        <v>3</v>
      </c>
      <c r="E179" s="29" t="str">
        <f>IFERROR(VLOOKUP(C179,기출문제!D:G,3,0),"")</f>
        <v>82. 고용보험법상 피보험자의 관리에 관한 내용으로 옳은 것은?
① 피보험자가 이직을 한 경우에는 이직한 날에 그 피보험자격을 상실한다.
② 이 법의 적용 제외 근로자였던 자가 이 법의 적용을 받게 된 경우에는 해당 사업에 고용된 날에 피보험자격을 취득한다.
③ 피보험자 또는 피보험자였던 자는 언제든지 고용노동부장관에게 피보험자격의 취득 또는 상실에 관한 확인을 청구할 수 있다.
④ 근로자가 보험관계가 성립되어 있는 두 개의 사업에 동시에 고용되어 있는 경우에는 두 개의 피보험자격을 취득한다.
⑤ 피보험자가 사망한 경우에는 사망한 날에 그 피보험자격을 상실한다.</v>
      </c>
      <c r="F179" s="30">
        <f>IFERROR(VLOOKUP(C179,기출문제!D:G,4,0),"")</f>
        <v>3</v>
      </c>
      <c r="G179" s="31" t="str">
        <f t="shared" si="2"/>
        <v>O</v>
      </c>
      <c r="J179" s="23"/>
    </row>
    <row r="180" spans="2:10" s="21" customFormat="1" ht="99.75" x14ac:dyDescent="0.3">
      <c r="B180" s="17">
        <v>173</v>
      </c>
      <c r="C180" s="27" t="s">
        <v>1029</v>
      </c>
      <c r="D180" s="17">
        <v>2</v>
      </c>
      <c r="E180" s="29" t="str">
        <f>IFERROR(VLOOKUP(C180,기출문제!D:G,3,0),"")</f>
        <v>83. 고용보험법령상 구직급여에 관한 내용으로 옳지 않은 것은?
① 구직급여는 수급자격자가 실업한 상태에 있는 날 중에서 직업안정기관의 장으로부터 실업의 인정을 받은 날에 대하여 지급한다.
② 수급자격자가 인터넷 등을 이용하여 구인에 응모한 경우에는 적극적인 재취업 활동을 한 것으로 보지 아니한다.
③ 자영업자가 아닌 피보험자의 피보험 단위기간은 피보험기간 중 보수 지급의 기초가 된 날을 합하여 계산한다.
④ 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
⑤ 구직급여를 지급받으려는 자는 이직 후 지체없이 직업안정기관에 출석하여 실업을 신고해야 한다.</v>
      </c>
      <c r="F180" s="30">
        <f>IFERROR(VLOOKUP(C180,기출문제!D:G,4,0),"")</f>
        <v>2</v>
      </c>
      <c r="G180" s="31" t="str">
        <f t="shared" si="2"/>
        <v>O</v>
      </c>
      <c r="J180" s="23"/>
    </row>
    <row r="181" spans="2:10" s="21" customFormat="1" ht="142.5" x14ac:dyDescent="0.3">
      <c r="B181" s="17">
        <v>174</v>
      </c>
      <c r="C181" s="27" t="s">
        <v>1030</v>
      </c>
      <c r="D181" s="17">
        <v>2</v>
      </c>
      <c r="E181" s="29" t="str">
        <f>IFERROR(VLOOKUP(C181,기출문제!D:G,3,0),"")</f>
        <v>84. 고용보험법령상 고용조정의 지원에 관한 내용으로 옳지 않은 것은?
① 고용노동부장관은 산업구조의 변화에 따른 사업의 전환으로 고용조정이 불가피하게 된 사업주가 근로자에 대한 휴직, 인력의 재배치 등을 실시하면 그 사업주에게 필요한 지원을 할 수 있다.
② 경영상 이유에 따른 사업주의 권고에 따라 퇴직이 예정된 자를 1개월 동안 이직시키지 아니한 경우에는 고용유지지원금을 지급한다.
③ 사업주가 고용유지조치 기간 동안 근로자를 새로 고용하는 경우에는 관할 직업안정기관의 장이 불가피하다고 인정하는 경우를 제외하고는 해당 달에 대한 고용유지지원금을 지급하지 아니한다.
④ 고용노동부장관은 신고한 고용유지조치계획과 다르게 고용유지조치를 이행한 사업주에게는 해당 사실이 발생한 날이 속한 달에 대한 고용유지지원금의 전부 또는 일부를 지급하지 아니할 수 있다.
⑤ 고용유지지원금을 받으려는 사업주는 그 사업의 근로자대표와 협의를 거쳐 고용유지조치계획을 수립해야 한다.</v>
      </c>
      <c r="F181" s="30">
        <f>IFERROR(VLOOKUP(C181,기출문제!D:G,4,0),"")</f>
        <v>2</v>
      </c>
      <c r="G181" s="31" t="str">
        <f t="shared" si="2"/>
        <v>O</v>
      </c>
      <c r="J181" s="23"/>
    </row>
    <row r="182" spans="2:10" s="21" customFormat="1" ht="99.75" x14ac:dyDescent="0.3">
      <c r="B182" s="17">
        <v>175</v>
      </c>
      <c r="C182" s="27" t="s">
        <v>1031</v>
      </c>
      <c r="D182" s="17">
        <v>3</v>
      </c>
      <c r="E182" s="29" t="str">
        <f>IFERROR(VLOOKUP(C182,기출문제!D:G,3,0),"")</f>
        <v>85. 고용보험법령상 자영업자인 피보험자에 대한 실업급여 적용의 특례에 관한 내용으로 옳은 것은?
① 자영업자인 피보험자의 실업급여의 종류에는 조기재취업 수당이 포함된다.
② 자영업자인 피보험자의 실업급여에는 취업촉진 수당이 포함되지 아니한다.
③ 자영업자인 피보험자로서 폐업한 수급자격자에 대한 구직급여일액은 그 수급자격자의 기초일액에 100분의 60을 곱한 금액으로 한다.
④ 폐업사유에 관계없이 수급자격이 인정된다.
⑤ 폐업한 자영업자인 피보험자의 구직급여 수급요건에 재취업을 위한 노력을 적극적으로 하는 것은 포함되지 아니한다.</v>
      </c>
      <c r="F182" s="30">
        <f>IFERROR(VLOOKUP(C182,기출문제!D:G,4,0),"")</f>
        <v>3</v>
      </c>
      <c r="G182" s="31" t="str">
        <f t="shared" si="2"/>
        <v>O</v>
      </c>
      <c r="J182" s="23"/>
    </row>
    <row r="183" spans="2:10" s="21" customFormat="1" ht="128.25" x14ac:dyDescent="0.3">
      <c r="B183" s="17">
        <v>176</v>
      </c>
      <c r="C183" s="27" t="s">
        <v>1032</v>
      </c>
      <c r="D183" s="17">
        <v>5</v>
      </c>
      <c r="E183" s="29" t="str">
        <f>IFERROR(VLOOKUP(C183,기출문제!D:G,3,0),"")</f>
        <v>86. 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
① ㄱ
② ㄴ
③ ㄱ, ㄴ
④ ㄴ, ㄷ
⑤ ㄱ, ㄴ, ㄷ</v>
      </c>
      <c r="F183" s="30">
        <f>IFERROR(VLOOKUP(C183,기출문제!D:G,4,0),"")</f>
        <v>3</v>
      </c>
      <c r="G183" s="31" t="str">
        <f t="shared" si="2"/>
        <v>X</v>
      </c>
      <c r="J183" s="23"/>
    </row>
    <row r="184" spans="2:10" s="21" customFormat="1" ht="142.5" x14ac:dyDescent="0.3">
      <c r="B184" s="17">
        <v>177</v>
      </c>
      <c r="C184" s="27" t="s">
        <v>1033</v>
      </c>
      <c r="D184" s="17">
        <v>5</v>
      </c>
      <c r="E184" s="29" t="str">
        <f>IFERROR(VLOOKUP(C184,기출문제!D:G,3,0),"")</f>
        <v>87. 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
① ㄱ, ㄷ
② ㄴ, ㄹ
③ ㄱ, ㄴ, ㄹ
④ ㄴ, ㄷ, ㄹ
⑤ ㄱ, ㄴ, ㄷ, ㄹ</v>
      </c>
      <c r="F184" s="30">
        <f>IFERROR(VLOOKUP(C184,기출문제!D:G,4,0),"")</f>
        <v>5</v>
      </c>
      <c r="G184" s="31" t="str">
        <f t="shared" si="2"/>
        <v>O</v>
      </c>
      <c r="J184" s="23"/>
    </row>
    <row r="185" spans="2:10" s="21" customFormat="1" ht="128.25" x14ac:dyDescent="0.3">
      <c r="B185" s="17">
        <v>178</v>
      </c>
      <c r="C185" s="27" t="s">
        <v>1034</v>
      </c>
      <c r="D185" s="17">
        <v>2</v>
      </c>
      <c r="E185" s="29" t="str">
        <f>IFERROR(VLOOKUP(C185,기출문제!D:G,3,0),"")</f>
        <v>88. 산업재해보상보험법령상 보험급여에 관한 설명으로 옳지 않은 것은?
① 장해급여 청구사유 발생 당시 대한민국 국민이 아닌 자로서 외국에서 거주하고 있는 근로자에게는 장해보상일시금을 지급한다.
② 2급 장해등급 근로자에게는 장해보상연금 또는 장해보상일시금을 근로자의 선택에 따라 지급한다.
③ 장례비는 장례를 지낼 유족이 없는 경우에는 평균임금의 120일분에 상당하는 금액의 범위에서 실제 드는 비용을 그 장례를 지낸 자에게 지급한다.
④ 상병보상연금을 산정할 때 평균임금이 최저임금액의 70분의 100보다 적을 때에는 최저임금액의 70분의 100에 해당하는 금액을 평균임금으로 본다.
⑤ 요양급여는 소정의 산재보험 의료기관에서 요양을 하게 하는 것이고 부득이한 경우에는 요양을 갈음하여 요양비를 지급할 수 있다.</v>
      </c>
      <c r="F185" s="30">
        <f>IFERROR(VLOOKUP(C185,기출문제!D:G,4,0),"")</f>
        <v>2</v>
      </c>
      <c r="G185" s="31" t="str">
        <f t="shared" si="2"/>
        <v>O</v>
      </c>
      <c r="J185" s="23"/>
    </row>
    <row r="186" spans="2:10" s="21" customFormat="1" ht="99.75" x14ac:dyDescent="0.3">
      <c r="B186" s="17">
        <v>179</v>
      </c>
      <c r="C186" s="27" t="s">
        <v>1035</v>
      </c>
      <c r="D186" s="17">
        <v>5</v>
      </c>
      <c r="E186" s="29" t="str">
        <f>IFERROR(VLOOKUP(C186,기출문제!D:G,3,0),"")</f>
        <v>89. 산업재해보상보험법에 관한 설명으로 옳은 것은?
① 근로자를 진료한 산재보험 의료기관은 요양급여의 신청을 대행할 수 없다.
② 보험급여는 지급결정일로부터 30일 이내에 지급하여야 한다.
③ 근로복지공단은 제3자의 행위에 따른 재해로 보험급여를 지급한 경우에는 손해배상청구권을 대위할 수 없다.
④ 요양급여가 지급된 후 그 지급결정이 취소된 경우 국민건강보험공단은 그 건강보험 요양급여액을 근로복지공단에 청구할 수 있다.
⑤ 보험급여로서 지급된 금품에 대하여는 국가나 지방자치단체의 공과금을 부과하지 아니한다.</v>
      </c>
      <c r="F186" s="30">
        <f>IFERROR(VLOOKUP(C186,기출문제!D:G,4,0),"")</f>
        <v>5</v>
      </c>
      <c r="G186" s="31" t="str">
        <f t="shared" si="2"/>
        <v>O</v>
      </c>
      <c r="J186" s="23"/>
    </row>
    <row r="187" spans="2:10" s="21" customFormat="1" ht="85.5" x14ac:dyDescent="0.3">
      <c r="B187" s="17">
        <v>180</v>
      </c>
      <c r="C187" s="27" t="s">
        <v>1036</v>
      </c>
      <c r="D187" s="17"/>
      <c r="E187" s="32" t="str">
        <f>IFERROR(VLOOKUP(C187,기출문제!D:G,3,0),"")</f>
        <v>90. 산업재해보상보험법령상 특수형태근로종사자의 직종에 해당하는 자는?
① 여신전문금융업법에 따른 신용카드회원 모집인
② 예술인 복지법에 따른 예술인
③ 화물자동차 운수사업법에 따른 화물자동차 운송사업자
④ 자동차관리법에 따른 자동차정비업자
⑤ 여객자동차 운수사업법에 따른 여객자동차 운송사업자</v>
      </c>
      <c r="F187" s="30">
        <f>IFERROR(VLOOKUP(C187,기출문제!D:G,4,0),"")</f>
        <v>1</v>
      </c>
      <c r="G187" s="31" t="str">
        <f t="shared" si="2"/>
        <v/>
      </c>
      <c r="J187" s="23"/>
    </row>
    <row r="188" spans="2:10" s="21" customFormat="1" ht="85.5" x14ac:dyDescent="0.3">
      <c r="B188" s="17">
        <v>181</v>
      </c>
      <c r="C188" s="27" t="s">
        <v>1037</v>
      </c>
      <c r="D188" s="17">
        <v>1</v>
      </c>
      <c r="E188" s="29" t="str">
        <f>IFERROR(VLOOKUP(C188,기출문제!D:G,3,0),"")</f>
        <v>91. 산업재해보상보험법상 과태료 부과 대상이 아닌 경우는?
① 거짓으로 보험급여를 받은 경우
② 심사 청구의 심리・결정 등을 위하여 확인이 필요하다고 인정된 사업장의 조사를 거부한 경우
③ 보험급여 결정 등을 위하여 확인이 필요하다고 인정된 사업장의 조사를 방해한 경우
④ 유사명칭의 사용 금지를 위반하여 근로복지공단 또는 이와 비슷한 명칭을 사용한 경우
⑤ 요양기간을 연장할 필요가 있는 때 제출해야할 진료계획을 정당한 사유 없이 제출하지 아니한 경우</v>
      </c>
      <c r="F188" s="30">
        <f>IFERROR(VLOOKUP(C188,기출문제!D:G,4,0),"")</f>
        <v>1</v>
      </c>
      <c r="G188" s="31" t="str">
        <f t="shared" si="2"/>
        <v>O</v>
      </c>
      <c r="J188" s="23"/>
    </row>
    <row r="189" spans="2:10" s="21" customFormat="1" ht="142.5" x14ac:dyDescent="0.3">
      <c r="B189" s="17">
        <v>182</v>
      </c>
      <c r="C189" s="27" t="s">
        <v>1038</v>
      </c>
      <c r="D189" s="17">
        <v>5</v>
      </c>
      <c r="E189" s="29" t="str">
        <f>IFERROR(VLOOKUP(C189,기출문제!D:G,3,0),"")</f>
        <v>92. 국민연금법상 사업장가입자 자격의 상실 사유에 해당하는 것을 모두 고른 것은?
ㄱ. 사망한 때
ㄴ. 60세가 된 때
ㄷ. 사용관계가 끝난 때
ㄹ. 국적을 상실하거나 국외로 이주한 때
① ㄱ, ㄴ
② ㄱ, ㄴ, ㄷ
③ ㄱ, ㄷ, ㄹ
④ ㄴ, ㄷ, ㄹ
⑤ ㄱ, ㄴ, ㄷ, ㄹ</v>
      </c>
      <c r="F189" s="30">
        <f>IFERROR(VLOOKUP(C189,기출문제!D:G,4,0),"")</f>
        <v>5</v>
      </c>
      <c r="G189" s="31" t="str">
        <f t="shared" si="2"/>
        <v>O</v>
      </c>
      <c r="J189" s="23"/>
    </row>
    <row r="190" spans="2:10" s="21" customFormat="1" ht="128.25" x14ac:dyDescent="0.3">
      <c r="B190" s="17">
        <v>183</v>
      </c>
      <c r="C190" s="27" t="s">
        <v>1039</v>
      </c>
      <c r="D190" s="17">
        <v>5</v>
      </c>
      <c r="E190" s="29" t="str">
        <f>IFERROR(VLOOKUP(C190,기출문제!D:G,3,0),"")</f>
        <v>93. 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
① 1, 55
② 3, 55
③ 3, 60
④ 5, 55
⑤ 5, 60</v>
      </c>
      <c r="F190" s="30">
        <f>IFERROR(VLOOKUP(C190,기출문제!D:G,4,0),"")</f>
        <v>5</v>
      </c>
      <c r="G190" s="31" t="str">
        <f t="shared" si="2"/>
        <v>O</v>
      </c>
      <c r="J190" s="23"/>
    </row>
    <row r="191" spans="2:10" s="21" customFormat="1" ht="128.25" x14ac:dyDescent="0.3">
      <c r="B191" s="17">
        <v>184</v>
      </c>
      <c r="C191" s="27" t="s">
        <v>1040</v>
      </c>
      <c r="D191" s="17">
        <v>1</v>
      </c>
      <c r="E191" s="29" t="str">
        <f>IFERROR(VLOOKUP(C191,기출문제!D:G,3,0),"")</f>
        <v>94. 국민건강보험법령상 보험급여의 제한에 관한 내용으로 옳지 않은 것은?
① 공단은 보험급여를 제한하는 경우에는 지체없이 구두로 그 내용과 사유를 가입자에게 알려야 한다.
② 공단은 보험급여를 받을 수 있는 사람이 중대한 과실로 요양기관의 요양에 관한 지시에 따르지 아니한 경우에는 보험급여를 하지 아니한다.
③ 공단은 보험급여를 받을 수 있는 사람이 다른 법령에 따라 국가나 지방자치단체로부터 보험급여에 상당하는 급여를 받은 경우에는 그 한도에서 보험급여를 하지 아니한다.
④ 공단은 보험급여를 받을 수 있는 사람이 업무로 생긴 질병으로 다른 법령에 따른 보험급여를 받게 된 경우에는 보험급여를 하지 아니한다.
⑤ 공단은 보험급여를 받을 수 있는 사람이 고의로 사고를 일으킨 경우에는 보험급여를 하지 아니한다.</v>
      </c>
      <c r="F191" s="30">
        <f>IFERROR(VLOOKUP(C191,기출문제!D:G,4,0),"")</f>
        <v>1</v>
      </c>
      <c r="G191" s="31" t="str">
        <f t="shared" si="2"/>
        <v>O</v>
      </c>
      <c r="J191" s="23"/>
    </row>
    <row r="192" spans="2:10" s="21" customFormat="1" ht="128.25" x14ac:dyDescent="0.3">
      <c r="B192" s="17">
        <v>185</v>
      </c>
      <c r="C192" s="27" t="s">
        <v>1041</v>
      </c>
      <c r="D192" s="17">
        <v>1</v>
      </c>
      <c r="E192" s="29" t="str">
        <f>IFERROR(VLOOKUP(C192,기출문제!D:G,3,0),"")</f>
        <v>95. 국민건강보험법상 보험료에 관한 내용으로 옳지 않은 것은?
① 보험료는 가입자의 자격을 매월 1일에 취득하는 경우에는 다음 달부터 가입자의 자격을 잃은 날의 전날이 속하는 달까지 징수한다.
② 휴직으로 보수의 전부 또는 일부가 지급되니 아니하는 가입자의 보수월액보험료는 해당 사유가 생기기 전 달의 보수월액을 기준으로 산정한다.
③ 보험료부과점수의 산정방법과 산정기준을 정할 때 법령에 따라 재산권의 행사가 제한되는 재산에 대하여는 다른 재산과 달리 정할 수 있다.
④ 직장가입자의 소득월액보험료는 직장가입자가 부담한다.
⑤ 지역가입자의 보험료는 그 가입자가 속한 세대의 지역가입자 전원이 연대하여 부담한다.</v>
      </c>
      <c r="F192" s="30">
        <f>IFERROR(VLOOKUP(C192,기출문제!D:G,4,0),"")</f>
        <v>1</v>
      </c>
      <c r="G192" s="31" t="str">
        <f t="shared" si="2"/>
        <v>O</v>
      </c>
      <c r="J192" s="23"/>
    </row>
    <row r="193" spans="2:10" s="21" customFormat="1" ht="99.75" x14ac:dyDescent="0.3">
      <c r="B193" s="17">
        <v>186</v>
      </c>
      <c r="C193" s="27" t="s">
        <v>1042</v>
      </c>
      <c r="D193" s="17">
        <v>0</v>
      </c>
      <c r="E193" s="29" t="str">
        <f>IFERROR(VLOOKUP(C193,기출문제!D:G,3,0),"")</f>
        <v>96. 고용보험 및 산업재해보상보험의 보험료징수 등에 관한 법률상 근로복지공단의 업무가 아닌 것은?
① 고용보험료의 월별 부과
② 환수대상이 되는 고용보험료의 지원금의 징수
③ 사업주가 법이 정한 기한까지 확정보험료를 신고하지 않은 경우 부과한 보험료 가산금의 징수
④ 사업주가 법이 정한 납부기한까지 보험료를 내지 아니한 경우 보험료 연체금의 징수
⑤ 사업주가 산재보험료의 납부를 게을리한 기간 중에 발생한 재해에 대하여 산재보험급여를 지급하는 경우 사업주로부터 그 급여에 해당하는 금액의 징수</v>
      </c>
      <c r="F193" s="30">
        <f>IFERROR(VLOOKUP(C193,기출문제!D:G,4,0),"")</f>
        <v>4</v>
      </c>
      <c r="G193" s="31" t="str">
        <f t="shared" si="2"/>
        <v>X</v>
      </c>
      <c r="J193" s="23"/>
    </row>
    <row r="194" spans="2:10" s="21" customFormat="1" ht="114" x14ac:dyDescent="0.3">
      <c r="B194" s="17">
        <v>187</v>
      </c>
      <c r="C194" s="27" t="s">
        <v>1043</v>
      </c>
      <c r="D194" s="17">
        <v>0</v>
      </c>
      <c r="E194" s="29" t="str">
        <f>IFERROR(VLOOKUP(C194,기출문제!D:G,3,0),"")</f>
        <v>97. 고용보험 및 산업재해보상보험의 보험료징수 등에 관한 법령상 보험료 등의 분할 납부에 관한 설명으로 옳은 것은?
① 사업주는 납부기한이 지난 고용보험료의 분할 납부의 승인을 근로복지공단에 신청할 수 있다.
② 건강보험공단은 분할 납부를 신청한 사업주에 대하여 납부능력을 확인하여 보험료와 이 법에 따른 그 밖의 징수금의 분할 납부를 승인할 수 있다.
③ 분할 납부의 승인과 취소에 관한 절차・방법, 분할 납부의 기간 및 납부능력 확인 등에 필요한 사항은 대통령령으로 정한다.
④ 근로복지공단은 분할 납부 승인을 받은 사업주가 분할 납부하여야 하는 보험료를 정당한 사유 없이 내지 아니한 경우에는 분할 납부의 승인을 취소할 수 있다.
⑤ 분할 납부의 총 기간은 분할 납부의 승인을 받은 날의 다음 날부터 1년 이내로 한다.</v>
      </c>
      <c r="F194" s="30">
        <f>IFERROR(VLOOKUP(C194,기출문제!D:G,4,0),"")</f>
        <v>2</v>
      </c>
      <c r="G194" s="31" t="str">
        <f t="shared" si="2"/>
        <v>X</v>
      </c>
      <c r="J194" s="23"/>
    </row>
    <row r="195" spans="2:10" s="21" customFormat="1" ht="128.25" x14ac:dyDescent="0.3">
      <c r="B195" s="17">
        <v>188</v>
      </c>
      <c r="C195" s="27" t="s">
        <v>1044</v>
      </c>
      <c r="D195" s="17">
        <v>0</v>
      </c>
      <c r="E195" s="29" t="str">
        <f>IFERROR(VLOOKUP(C195,기출문제!D:G,3,0),"")</f>
        <v>98. 고용보험 및 산업재해보상보험의 보험료징수 등에 관한 법령상 징수 및 체납 처분 등에 관한 설명으로 옳은 것은?
① 상속이 개시된 경우 피상속인에 대한 처분의 효력은 상속인에게 미치지 않는다.
② 근로복지공단은 월별보험료의 독촉을 받은 자가 그 기한까지 내지 아니한 경우에는 국세 체납처분의 예에 따라 이를 징수할 수 있다.
③ 한국자산관리공사는 공매대행의 의뢰를 받은 날부터 2년 이내에 공매되지 않은 재산이 있으면 국민건강보험공단에 그 재산에 대한 공매대행 의뢰의 해제를 요구할 수 있다.
④ 국민건강보험공단은 독촉할 경우 그 납부기한은 독촉장 발급일부터 7일 이상의 여유가 있도록 하여야 한다.
⑤ 사업주가 국세를 체납하여 체납처분을 받은 경우 보험료의 총액이 500만원이라면 납부기한 전에 이미 납부의무가 확정된 보험료를 징수할 수 없다.</v>
      </c>
      <c r="F195" s="30">
        <f>IFERROR(VLOOKUP(C195,기출문제!D:G,4,0),"")</f>
        <v>3</v>
      </c>
      <c r="G195" s="31" t="str">
        <f t="shared" si="2"/>
        <v>X</v>
      </c>
      <c r="J195" s="23"/>
    </row>
    <row r="196" spans="2:10" s="21" customFormat="1" ht="142.5" x14ac:dyDescent="0.3">
      <c r="B196" s="17">
        <v>189</v>
      </c>
      <c r="C196" s="27" t="s">
        <v>1045</v>
      </c>
      <c r="D196" s="17">
        <v>4</v>
      </c>
      <c r="E196" s="29" t="str">
        <f>IFERROR(VLOOKUP(C196,기출문제!D:G,3,0),"")</f>
        <v>99. 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
① ㄷ
② ㄴ, ㄷ
③ ㄴ, ㄹ
④ ㄴ, ㄷ, ㄹ
⑤ ㄱ, ㄴ, ㄷ, ㄹ</v>
      </c>
      <c r="F196" s="30">
        <f>IFERROR(VLOOKUP(C196,기출문제!D:G,4,0),"")</f>
        <v>4</v>
      </c>
      <c r="G196" s="31" t="str">
        <f t="shared" si="2"/>
        <v>O</v>
      </c>
      <c r="J196" s="23"/>
    </row>
    <row r="197" spans="2:10" s="21" customFormat="1" ht="142.5" x14ac:dyDescent="0.3">
      <c r="B197" s="17">
        <v>190</v>
      </c>
      <c r="C197" s="27" t="s">
        <v>1046</v>
      </c>
      <c r="D197" s="17">
        <v>4</v>
      </c>
      <c r="E197" s="29" t="str">
        <f>IFERROR(VLOOKUP(C197,기출문제!D:G,3,0),"")</f>
        <v>100. 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
① 6개월, 1000분의 15
② 6개월, 1000분의 30
③ 1년, 1000분의 15
④ 1년, 1000분의 30
⑤ 3년, 1000분의 30</v>
      </c>
      <c r="F197" s="30">
        <f>IFERROR(VLOOKUP(C197,기출문제!D:G,4,0),"")</f>
        <v>4</v>
      </c>
      <c r="G197" s="31" t="str">
        <f t="shared" si="2"/>
        <v>O</v>
      </c>
      <c r="J197" s="23"/>
    </row>
    <row r="198" spans="2:10" s="21" customFormat="1" ht="114" x14ac:dyDescent="0.3">
      <c r="B198" s="17">
        <v>191</v>
      </c>
      <c r="C198" s="27" t="s">
        <v>210</v>
      </c>
      <c r="D198" s="17">
        <v>3</v>
      </c>
      <c r="E198" s="29" t="str">
        <f>IFERROR(VLOOKUP(C198,기출문제!D:G,3,0),"")</f>
        <v>76. 사회보장기본법상 내용으로 옳은 것은?
① 사회보장위원회는 사회보장급여 관련 업무에 공통적으로 적용되는 기준을 마련하여야 한다.
② 사회보장 비용의 부담은 각각의 사회보장제도의 목적에 따라 국가, 지방자치단체가 민간부문보다 우선적으로 부담하여야 한다.
③ 국가와 지방자치단체는 관계 법령에서 정하는 바에 따라 공표된 최저보장수준과 최저임금 등을 고려하여 사회보장급여의 수준을 결정하여야 한다.
④ 사회보험에 드는 비용은 수익자가 부담함을 원칙으로 하되, 관계 법령에서 정하는 바에 따라 국가가 그 비용의 전부 또는 일부를 부담할 수 있다.
⑤ 사회보장에 관한 기본계획은 다른 법령에 따라 수립되는 사회보장에 관한 계획을 제외한 모든 계획의 기본이 된다.</v>
      </c>
      <c r="F198" s="30">
        <f>IFERROR(VLOOKUP(C198,기출문제!D:G,4,0),"")</f>
        <v>3</v>
      </c>
      <c r="G198" s="31" t="str">
        <f t="shared" si="2"/>
        <v>O</v>
      </c>
      <c r="J198" s="23"/>
    </row>
    <row r="199" spans="2:10" s="21" customFormat="1" ht="85.5" x14ac:dyDescent="0.3">
      <c r="B199" s="17">
        <v>192</v>
      </c>
      <c r="C199" s="27" t="s">
        <v>1047</v>
      </c>
      <c r="D199" s="17">
        <v>5</v>
      </c>
      <c r="E199" s="29" t="str">
        <f>IFERROR(VLOOKUP(C199,기출문제!D:G,3,0),"")</f>
        <v>77. 사회보장기본법상 사회보장수급권에 관한 내용으로 옳지 않은 것은?
① 사회보장수급권은 관계 법령에서 정하는 바에 따라 다른 사람에게 양도하거나 담보로 제공할 수 없다.
② 사회보장수급권은 관계 법령에서 따로 정하고 있는 경우 외에는 제한되거나 정지될 수 없다.
③ 사회보장수급권이 제한되는 경우에는 제한하는 목적에 필요한 최소한의 범위에 그쳐야 한다.
④ 사회보장수급권은 정당한 권한이 있는 기관에 서면으로 통지하여 포기할 수 있다.
⑤ 사회보장수급권의 포기는 취소할 수 없다.</v>
      </c>
      <c r="F199" s="30">
        <f>IFERROR(VLOOKUP(C199,기출문제!D:G,4,0),"")</f>
        <v>5</v>
      </c>
      <c r="G199" s="31" t="str">
        <f t="shared" si="2"/>
        <v>O</v>
      </c>
      <c r="J199" s="23"/>
    </row>
    <row r="200" spans="2:10" s="21" customFormat="1" ht="128.25" x14ac:dyDescent="0.3">
      <c r="B200" s="17">
        <v>193</v>
      </c>
      <c r="C200" s="27" t="s">
        <v>1048</v>
      </c>
      <c r="D200" s="17">
        <v>4</v>
      </c>
      <c r="E200" s="29" t="str">
        <f>IFERROR(VLOOKUP(C200,기출문제!D:G,3,0),"")</f>
        <v>78. 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
① 3년, 매년
② 3년, 격년
③ 5년, 매년
④ 5년, 격년
⑤ 10년, 격년</v>
      </c>
      <c r="F200" s="30">
        <f>IFERROR(VLOOKUP(C200,기출문제!D:G,4,0),"")</f>
        <v>4</v>
      </c>
      <c r="G200" s="31" t="str">
        <f t="shared" si="2"/>
        <v>O</v>
      </c>
      <c r="J200" s="23"/>
    </row>
    <row r="201" spans="2:10" s="21" customFormat="1" ht="114" x14ac:dyDescent="0.3">
      <c r="B201" s="17">
        <v>194</v>
      </c>
      <c r="C201" s="27" t="s">
        <v>1049</v>
      </c>
      <c r="D201" s="17">
        <v>4</v>
      </c>
      <c r="E201" s="29" t="str">
        <f>IFERROR(VLOOKUP(C201,기출문제!D:G,3,0),"")</f>
        <v>79. 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
① 20만원
② 30만원
③ 40만원
④ 50만원
⑤ 60만원</v>
      </c>
      <c r="F201" s="30">
        <f>IFERROR(VLOOKUP(C201,기출문제!D:G,4,0),"")</f>
        <v>4</v>
      </c>
      <c r="G201" s="31" t="str">
        <f t="shared" ref="G201:G264" si="3">IF(D201="","",IF(D201=F201,"O", "X"))</f>
        <v>O</v>
      </c>
      <c r="J201" s="23"/>
    </row>
    <row r="202" spans="2:10" s="21" customFormat="1" ht="99.75" x14ac:dyDescent="0.3">
      <c r="B202" s="17">
        <v>195</v>
      </c>
      <c r="C202" s="27" t="s">
        <v>1050</v>
      </c>
      <c r="D202" s="17">
        <v>5</v>
      </c>
      <c r="E202" s="29" t="str">
        <f>IFERROR(VLOOKUP(C202,기출문제!D:G,3,0),"")</f>
        <v>80. 고용보험법령상 고용창출에 대한 지원을 받을 수 있는 경우가 아닌 것은?
① 교대근로 개편을 통하여 실업자를 고용함으로써 근로자 수가 증가한 경우
② 시간제 직무 개발을 통하여 실업자를 근로계약기간을 정하지 않고 시간제로 근무하는 형태로 하여 새로 고용하는 경우
③ 고용보험위원회에서 심의・의결한 인력수급 불일치 업종에 해당하는 기업이 실업자를 고용하는 경우
④ 고용노동부장관이 정하는 시설을 설치・운영하여 고용환경을 개선하고 실업자를 고용하여 근로자 수가 증가한 경우
⑤ 고용보험위원회에서 심의・의결한 업종에 해당하는 대규모기업이 직업안정기관의 장이 정하는 전문적인 자격을 갖춘 자를 고용하는 경우</v>
      </c>
      <c r="F202" s="30">
        <f>IFERROR(VLOOKUP(C202,기출문제!D:G,4,0),"")</f>
        <v>5</v>
      </c>
      <c r="G202" s="31" t="str">
        <f t="shared" si="3"/>
        <v>O</v>
      </c>
      <c r="J202" s="23"/>
    </row>
    <row r="203" spans="2:10" s="21" customFormat="1" ht="128.25" x14ac:dyDescent="0.3">
      <c r="B203" s="17">
        <v>196</v>
      </c>
      <c r="C203" s="27" t="s">
        <v>1051</v>
      </c>
      <c r="D203" s="17">
        <v>1</v>
      </c>
      <c r="E203" s="29" t="str">
        <f>IFERROR(VLOOKUP(C203,기출문제!D:G,3,0),"")</f>
        <v>81. 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
① ㄱ
② ㄱ, ㄴ
③ ㄱ, ㄷ
④ ㄴ, ㄷ
⑤ ㄱ, ㄴ, ㄷ</v>
      </c>
      <c r="F203" s="30">
        <f>IFERROR(VLOOKUP(C203,기출문제!D:G,4,0),"")</f>
        <v>1</v>
      </c>
      <c r="G203" s="31" t="str">
        <f t="shared" si="3"/>
        <v>O</v>
      </c>
      <c r="J203" s="23"/>
    </row>
    <row r="204" spans="2:10" s="21" customFormat="1" ht="85.5" x14ac:dyDescent="0.3">
      <c r="B204" s="17">
        <v>197</v>
      </c>
      <c r="C204" s="27" t="s">
        <v>1052</v>
      </c>
      <c r="D204" s="17">
        <v>5</v>
      </c>
      <c r="E204" s="29" t="str">
        <f>IFERROR(VLOOKUP(C204,기출문제!D:G,3,0),"")</f>
        <v>82. 고용보험법상 구직급여의 소정급여일수로 옳은 것은?
① 피보험기간 4년, 이직일 현재 25세인 비장애인: 90일
② 피보험기간 2년, 이직일 현재 35세인 장애인: 120일
③ 피보험기간 4년, 이직일 현재 40세인 비장애인: 120일
④ 피보험기간 6년, 이직일 현재 30세인 장애인: 180일
⑤ 피보험기간 10년, 이직일 현재 45세인 비장애인: 240일</v>
      </c>
      <c r="F204" s="30">
        <f>IFERROR(VLOOKUP(C204,기출문제!D:G,4,0),"")</f>
        <v>5</v>
      </c>
      <c r="G204" s="31" t="str">
        <f t="shared" si="3"/>
        <v>O</v>
      </c>
      <c r="J204" s="23"/>
    </row>
    <row r="205" spans="2:10" s="21" customFormat="1" ht="128.25" x14ac:dyDescent="0.3">
      <c r="B205" s="17">
        <v>198</v>
      </c>
      <c r="C205" s="27" t="s">
        <v>1053</v>
      </c>
      <c r="D205" s="17">
        <v>1</v>
      </c>
      <c r="E205" s="29" t="str">
        <f>IFERROR(VLOOKUP(C205,기출문제!D:G,3,0),"")</f>
        <v>83. 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
① ㄱ
② ㄱ, ㄴ
③ ㄱ, ㄷ
④ ㄴ, ㄷ
⑤ ㄱ, ㄴ, ㄷ</v>
      </c>
      <c r="F205" s="30">
        <f>IFERROR(VLOOKUP(C205,기출문제!D:G,4,0),"")</f>
        <v>1</v>
      </c>
      <c r="G205" s="31" t="str">
        <f t="shared" si="3"/>
        <v>O</v>
      </c>
      <c r="J205" s="23"/>
    </row>
    <row r="206" spans="2:10" s="21" customFormat="1" ht="114" x14ac:dyDescent="0.3">
      <c r="B206" s="17">
        <v>199</v>
      </c>
      <c r="C206" s="27" t="s">
        <v>1054</v>
      </c>
      <c r="D206" s="17">
        <v>0</v>
      </c>
      <c r="E206" s="29" t="str">
        <f>IFERROR(VLOOKUP(C206,기출문제!D:G,3,0),"")</f>
        <v>84. 고용보험법상 고용보험기금에 관한 설명으로 옳지 않은 것은?
① 고용노동부장관은 매년 고용보험기금운용 계획을 세워 고용보험위원회 및 국무회의의 심의를 거쳐 대통령의 승인을 받아야 한다.
② 고용보험기금을 지출할 때 자금 부족이 발생한 경우에는 고용보험기금의 부담으로 금융기관・다른 기금과 그 밖의 재원 등으로부터 차입을 할 수 있다.
③ 고용노동부장관은 매년 고용보험기금의 운용 결과에 대하여 고용보험위원회의 심의를 거쳐 공표하여야 한다.
④ 고용보험기금의 관리・운용에 관한 세부 사항은 국고금관리법의 규정에 따른다.
⑤ 고용보험기금의 결산상 손실금이 생기면 적립금을 사용하여 이를 보전(補塡)할 수 있다.</v>
      </c>
      <c r="F206" s="30">
        <f>IFERROR(VLOOKUP(C206,기출문제!D:G,4,0),"")</f>
        <v>4</v>
      </c>
      <c r="G206" s="31" t="str">
        <f t="shared" si="3"/>
        <v>X</v>
      </c>
      <c r="J206" s="23"/>
    </row>
    <row r="207" spans="2:10" s="21" customFormat="1" ht="85.5" x14ac:dyDescent="0.3">
      <c r="B207" s="17">
        <v>200</v>
      </c>
      <c r="C207" s="27" t="s">
        <v>1055</v>
      </c>
      <c r="D207" s="17">
        <v>5</v>
      </c>
      <c r="E207" s="29" t="str">
        <f>IFERROR(VLOOKUP(C207,기출문제!D:G,3,0),"")</f>
        <v>85. 산업재해보상보험법령상의 보험급여의 내용으로 옳지 않은 것은?
① 장해급여 청구사유 발생 당시 대한민국 국민이 아닌 자로서 외국에서 거주하고 있는 근로자에게는 장해보상일시금을 지급한다.
② 간병급여 수급권자가 재요양을 받는 경우 그 재요양 기간 중에는 간병급여를 지급하지 않는다.
③ 유족보상일시금은 근로자가 사망할 당시 유족보상연금을 받을 수 있는 자격이 있는 자가 없는 경우에 지급한다.
④ 유족급여는 근로자가 업무상의 사유로 사망한 경우에 유족에게 지급한다.
⑤ 장례비는 유족이 아닌 자가 장례를 지낸 경우에는 평균임금의 120일분을 그 장례를 지낸 자에게 지급한다.</v>
      </c>
      <c r="F207" s="30">
        <f>IFERROR(VLOOKUP(C207,기출문제!D:G,4,0),"")</f>
        <v>5</v>
      </c>
      <c r="G207" s="31" t="str">
        <f t="shared" si="3"/>
        <v>O</v>
      </c>
      <c r="J207" s="23"/>
    </row>
    <row r="208" spans="2:10" s="21" customFormat="1" ht="85.5" x14ac:dyDescent="0.3">
      <c r="B208" s="17">
        <v>201</v>
      </c>
      <c r="C208" s="27" t="s">
        <v>1056</v>
      </c>
      <c r="D208" s="17">
        <v>4</v>
      </c>
      <c r="E208" s="29" t="str">
        <f>IFERROR(VLOOKUP(C208,기출문제!D:G,3,0),"")</f>
        <v>86. 산업재해보상보험법상 심사청구의 제기와 관련한 내용으로 옳지 않은 것은?
① 심사 청구는 그 보험급여 결정등을 한 근로복지공단의 소속 기관을 거쳐 근로복지공단에 제기하여야 한다.
② 심사 청구는 보험급여 결정등이 있음을 안 날부터 90일 이내에 하여야 한다.
③ 심사 청구서를 받은 근로복지공단의 소속 기관은 5일 이내에 의견서를 첨부하여 근로복지공단에 보내야 한다.
④ 보험급여 결정등에 대하여 행정심판법에 따른 행정심판을 제기할 수 있다.
⑤ 약제비에 관한 근로복지공단의 결정에 불복하는 자는 근로복지공단에 심사 청구를 할 수 있다.</v>
      </c>
      <c r="F208" s="30">
        <f>IFERROR(VLOOKUP(C208,기출문제!D:G,4,0),"")</f>
        <v>4</v>
      </c>
      <c r="G208" s="31" t="str">
        <f t="shared" si="3"/>
        <v>O</v>
      </c>
      <c r="J208" s="23"/>
    </row>
    <row r="209" spans="2:10" s="21" customFormat="1" ht="114" x14ac:dyDescent="0.3">
      <c r="B209" s="17">
        <v>202</v>
      </c>
      <c r="C209" s="27" t="s">
        <v>1057</v>
      </c>
      <c r="D209" s="17">
        <v>3</v>
      </c>
      <c r="E209" s="29" t="str">
        <f>IFERROR(VLOOKUP(C209,기출문제!D:G,3,0),"")</f>
        <v>87. 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
① 70, 80
② 80, 80
③ 80, 90
④ 85, 90
⑤ 90, 90</v>
      </c>
      <c r="F209" s="30">
        <f>IFERROR(VLOOKUP(C209,기출문제!D:G,4,0),"")</f>
        <v>3</v>
      </c>
      <c r="G209" s="31" t="str">
        <f t="shared" si="3"/>
        <v>O</v>
      </c>
      <c r="J209" s="23"/>
    </row>
    <row r="210" spans="2:10" s="21" customFormat="1" ht="85.5" x14ac:dyDescent="0.3">
      <c r="B210" s="17">
        <v>203</v>
      </c>
      <c r="C210" s="27" t="s">
        <v>1058</v>
      </c>
      <c r="D210" s="17"/>
      <c r="E210" s="32" t="str">
        <f>IFERROR(VLOOKUP(C210,기출문제!D:G,3,0),"")</f>
        <v>88. 산업재해보상보험법령상 특수형태근로종사자가 아닌 것은?
① 한국표준직업분류표의 세분류에 따른 택배원인 사람으로서 택배사업에서 배송업무를 하는 사람
② 농업협동조합법에 따른 공제를 모집하는 사람
③ 대부업 등의 등록 및 금융이용자 보호에 관한 법률 제3조제1항 단서에 따른 대출모집인
④ 여신전문금융업법 제14조의2제1항제2호에 따른 신용카드회원 모집인
⑤ 고용노동부장관이 정하는 기준에 따라 주로 하나의 대리운전업자로부터 업무를 의뢰받아 대리운전업무를 하는 사람</v>
      </c>
      <c r="F210" s="30">
        <f>IFERROR(VLOOKUP(C210,기출문제!D:G,4,0),"")</f>
        <v>2</v>
      </c>
      <c r="G210" s="31" t="str">
        <f t="shared" si="3"/>
        <v/>
      </c>
      <c r="J210" s="23"/>
    </row>
    <row r="211" spans="2:10" s="21" customFormat="1" ht="128.25" x14ac:dyDescent="0.3">
      <c r="B211" s="17">
        <v>204</v>
      </c>
      <c r="C211" s="27" t="s">
        <v>1059</v>
      </c>
      <c r="D211" s="17">
        <v>5</v>
      </c>
      <c r="E211" s="29" t="str">
        <f>IFERROR(VLOOKUP(C211,기출문제!D:G,3,0),"")</f>
        <v>89. 산업재해보상보험법상 다음 내용으로 옳은 것은?
① 보험급여는 지급 결정일부터 30일 이내에 지급하여야 한다.
② 수급권자 및 보험가입자는 제3자의 행위로 재해가 발생하면 30일 이내에 근로복지공단에 신고하여야 한다.
③ 진폐의 진단결과에 대하여 진폐병형 및 합병증 등을 심사하기 위하여 안전보건공단에 관계 전문가 등으로 구성된 진폐심사회의를 둔다.
④ 근로복지공단은 산재보험 의료기관이 요양급여의 산정 기준을 위반하여 부당하게 진료비를 지급받은 경우에는 그 진료비의 2배에 해당하는 금액을 징수하여야 한다.
⑤ 근로복지공단은 보험급여를 받은 자가 거짓이나 그 밖의 부정한 방법으로 보험급여를 받은 경우에는 그 급여액의 2배에 해당하는 금액을 징수하여야 한다.</v>
      </c>
      <c r="F211" s="30">
        <f>IFERROR(VLOOKUP(C211,기출문제!D:G,4,0),"")</f>
        <v>5</v>
      </c>
      <c r="G211" s="31" t="str">
        <f t="shared" si="3"/>
        <v>O</v>
      </c>
      <c r="J211" s="23"/>
    </row>
    <row r="212" spans="2:10" s="21" customFormat="1" ht="85.5" x14ac:dyDescent="0.3">
      <c r="B212" s="17">
        <v>205</v>
      </c>
      <c r="C212" s="27" t="s">
        <v>1060</v>
      </c>
      <c r="D212" s="17">
        <v>1</v>
      </c>
      <c r="E212" s="29" t="str">
        <f>IFERROR(VLOOKUP(C212,기출문제!D:G,3,0),"")</f>
        <v>90. 산업재해보상보험법령상 산업재해보상보험및예방심의위원회의 위원의 임기 등과 관련한 내용으로 옳지 않은 것은?
① 위원의 임기는 3년으로 하며, 연임할 수 없다.
② 보궐위원의 임기는 전임자의 남은 임기로 한다.
③ 고용노동부장관은 심신장애로 인하여 직무를 수행할 수 없게 된 경우 해당 위원을 해촉(解囑)할 수 있다.
④ 고용노동부장관은 직무와 관련된 비위사실이 있는 경우 해당 위원을 해촉(解囑)할 수 있다.
⑤ 고용노동부장관은 위원 스스로 직무를 수행하는 것이 곤란하다고 의사를 밝히는 경우 해당 위원을 해촉(解囑)할 수 있다.</v>
      </c>
      <c r="F212" s="30">
        <f>IFERROR(VLOOKUP(C212,기출문제!D:G,4,0),"")</f>
        <v>1</v>
      </c>
      <c r="G212" s="31" t="str">
        <f t="shared" si="3"/>
        <v>O</v>
      </c>
      <c r="J212" s="23"/>
    </row>
    <row r="213" spans="2:10" s="21" customFormat="1" ht="114" x14ac:dyDescent="0.3">
      <c r="B213" s="17">
        <v>206</v>
      </c>
      <c r="C213" s="27" t="s">
        <v>1061</v>
      </c>
      <c r="D213" s="17">
        <v>0</v>
      </c>
      <c r="E213" s="29" t="str">
        <f>IFERROR(VLOOKUP(C213,기출문제!D:G,3,0),"")</f>
        <v>91. 산업재해보상보험법에 관한 설명으로 옳은 것은?
① "장해"란 부상 또는 질병이 완치되거나 치료의 효과를 더 이상 기대할 수 없고 그 증상이 고정된 상태에 이르게 된 것을 말한다.
② 근로복지공단의 이사장은 산업재해 예방 사업에 필요한 재원을 확보하고, 보험급여에 충당하기 위하여 산업재해보상보험및예방기금을 설치・운용한다.
③ 산업재해보상보험심사위원회는 근로복지공단에 두며, 산업재해보상보험재심사위원회는 고용노동부에 둔다.
④ "업무상의 사고"란 업무상의 사유에 따른 근로자의 부상, 질병, 장해 또는 사망을 말한다.
⑤ 근로복지공단은 심사청구서를 받은 날부터 90일 이내에 산업재해보상보험심사위원회의 심의를 거쳐 심사 청구에 대한 결정을 하여야 한다.</v>
      </c>
      <c r="F213" s="30">
        <f>IFERROR(VLOOKUP(C213,기출문제!D:G,4,0),"")</f>
        <v>3</v>
      </c>
      <c r="G213" s="31" t="str">
        <f t="shared" si="3"/>
        <v>X</v>
      </c>
      <c r="J213" s="23"/>
    </row>
    <row r="214" spans="2:10" s="21" customFormat="1" ht="114" x14ac:dyDescent="0.3">
      <c r="B214" s="17">
        <v>207</v>
      </c>
      <c r="C214" s="27" t="s">
        <v>1062</v>
      </c>
      <c r="D214" s="17">
        <v>1</v>
      </c>
      <c r="E214" s="29" t="str">
        <f>IFERROR(VLOOKUP(C214,기출문제!D:G,3,0),"")</f>
        <v>92. 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
① 10, 60, 55
② 10, 60, 60
③ 10, 65, 60
④ 20, 60, 55
⑤ 20, 65, 60</v>
      </c>
      <c r="F214" s="30">
        <f>IFERROR(VLOOKUP(C214,기출문제!D:G,4,0),"")</f>
        <v>1</v>
      </c>
      <c r="G214" s="31" t="str">
        <f t="shared" si="3"/>
        <v>O</v>
      </c>
      <c r="J214" s="23"/>
    </row>
    <row r="215" spans="2:10" s="21" customFormat="1" ht="99.75" x14ac:dyDescent="0.3">
      <c r="B215" s="17">
        <v>208</v>
      </c>
      <c r="C215" s="27" t="s">
        <v>1063</v>
      </c>
      <c r="D215" s="17">
        <v>3</v>
      </c>
      <c r="E215" s="29" t="str">
        <f>IFERROR(VLOOKUP(C215,기출문제!D:G,3,0),"")</f>
        <v>93. 국민연금법상 시효에 관한 설명으로 옳지 않은 것은?
① 연금보험료를 징수할 권리는 3년간 행사하지 아니하면 소멸시효가 완성된다.
② 환수금을 환수할 권리는 3년간 행사하지 아니하면 소멸시효가 완성된다.
③ 급여를 받거나 과오납금을 반환받을 수급권자 또는 가입자 등의 권리는 3년간 행사하지 아니하면 소멸시효가 완성된다.
④ 급여를 지급받을 권리는 그 급여 전액에 대하여 지급이 정지되어 있는 동안은 시효가 진행되지 아니한다.
⑤ 급여의 지급이나 과오납금 등의 반환청구에 관한 기간을 계산할 때 그 서류의 송달에 들어간 일수는 그 기간에 산입하지 아니한다.</v>
      </c>
      <c r="F215" s="30">
        <f>IFERROR(VLOOKUP(C215,기출문제!D:G,4,0),"")</f>
        <v>3</v>
      </c>
      <c r="G215" s="31" t="str">
        <f t="shared" si="3"/>
        <v>O</v>
      </c>
      <c r="J215" s="23"/>
    </row>
    <row r="216" spans="2:10" s="21" customFormat="1" ht="85.5" x14ac:dyDescent="0.3">
      <c r="B216" s="17">
        <v>209</v>
      </c>
      <c r="C216" s="27" t="s">
        <v>1064</v>
      </c>
      <c r="D216" s="17">
        <v>3</v>
      </c>
      <c r="E216" s="29" t="str">
        <f>IFERROR(VLOOKUP(C216,기출문제!D:G,3,0),"")</f>
        <v>94. 국민건강보험법상 가입자의 자격변동 시기에 해당하지 않는 것은?
① 지역가입자가 적용대상사업장의 사용자로 된 날
② 직장가입자가 다른 적용대상사업장의 근로자로 사용된 날
③ 직장가입자인 근로자등이 그 사용관계가 끝난 날
④ 지역가입자가 적용대상사업장의 근로자로 사용된 날
⑤ 지역가입자가 다른 세대로 전입한 날</v>
      </c>
      <c r="F216" s="30">
        <f>IFERROR(VLOOKUP(C216,기출문제!D:G,4,0),"")</f>
        <v>3</v>
      </c>
      <c r="G216" s="31" t="str">
        <f t="shared" si="3"/>
        <v>O</v>
      </c>
      <c r="J216" s="23"/>
    </row>
    <row r="217" spans="2:10" s="21" customFormat="1" ht="99.75" x14ac:dyDescent="0.3">
      <c r="B217" s="17">
        <v>210</v>
      </c>
      <c r="C217" s="27" t="s">
        <v>1065</v>
      </c>
      <c r="D217" s="17">
        <v>5</v>
      </c>
      <c r="E217" s="29" t="str">
        <f>IFERROR(VLOOKUP(C217,기출문제!D:G,3,0),"")</f>
        <v>95. 국민건강보험법상 다음 설명으로 옳지 않은 것은?
① 직장가입자의 보수월액보험료는 사용자가 납부한다.
② 직장가입자의 보수월액보험료는 보수월액에 보험료율을 곱하여 얻은 금액으로 한다.
③ 직장가입자의 보수월액은 직장가입자가 지급받는 보수를 기준으로 하여 산정하되, 상한과 하한을 정할 수 있다.
④ 국민건강보험공단 또는 건강보험심사평가원의 이의신청에 대한 결정에 불복하는 자는 보건복지부에 둔 건강보험분쟁조정위원회에 심판청구를 할 수 있다.
⑤ 이의신청은 처분이 있음을 안 날부터 60일 이내, 처분이 있은 날부터 180일 이내에 하여야 한다.</v>
      </c>
      <c r="F217" s="30">
        <f>IFERROR(VLOOKUP(C217,기출문제!D:G,4,0),"")</f>
        <v>5</v>
      </c>
      <c r="G217" s="31" t="str">
        <f t="shared" si="3"/>
        <v>O</v>
      </c>
      <c r="J217" s="23"/>
    </row>
    <row r="218" spans="2:10" s="21" customFormat="1" ht="99.75" x14ac:dyDescent="0.3">
      <c r="B218" s="17">
        <v>211</v>
      </c>
      <c r="C218" s="27" t="s">
        <v>1066</v>
      </c>
      <c r="D218" s="17">
        <v>5</v>
      </c>
      <c r="E218" s="29" t="str">
        <f>IFERROR(VLOOKUP(C218,기출문제!D:G,3,0),"")</f>
        <v>96. 고용보험 및 산업재해보상보험의 보험료 징수 등에 관한 법률상 소멸시효 등 보칙에 관한 설명으로 옳은 것은?
① 보험료를 반환받을 수 있는 권리는 1년간 행사하지 아니하면 시효로 인하여 소멸한다.
② 월별보험료 납입을 전자문서로 고지한 경우에는 소멸시효가 중단되지 않는다.
③ 사업종류의 변경으로 보험료 납부방법이 변경되는 경우에는 사업종류의 변경일을 변경 전 사업 폐지일로, 사업종류의 변경일 다음 날을 새로운 사업성립일로 본다.
④ 보험료 과납액의 반환을 청구하는 경우에는 소멸시효가 중단되지 않는다.
⑤ 이 법에 따른 체납처분 절차에 따라 하는 교부청구로 중단된 소멸시효는 교부청구 중의 기간이 지난 때부터 새로 진행한다.</v>
      </c>
      <c r="F218" s="30">
        <f>IFERROR(VLOOKUP(C218,기출문제!D:G,4,0),"")</f>
        <v>5</v>
      </c>
      <c r="G218" s="31" t="str">
        <f t="shared" si="3"/>
        <v>O</v>
      </c>
      <c r="J218" s="23"/>
    </row>
    <row r="219" spans="2:10" s="21" customFormat="1" ht="114" x14ac:dyDescent="0.3">
      <c r="B219" s="17">
        <v>212</v>
      </c>
      <c r="C219" s="27" t="s">
        <v>1067</v>
      </c>
      <c r="D219" s="17">
        <v>3</v>
      </c>
      <c r="E219" s="29" t="str">
        <f>IFERROR(VLOOKUP(C219,기출문제!D:G,3,0),"")</f>
        <v>97. 고용보험 및 산업재해보상보험의 보험료 징수 등에 관한 법령상 고용노동부장관이 정하여 고시하는 금액(기준보수)에 관한 설명으로 옳지 않은 것은?
① 사업의 도산으로 보수를 확인하기 곤란한 경우 기준보수를 보수로 할 수 있다.
② 사업장의 이전으로 사업의 소재지를 파악하기 곤란한 경우 기준보수를 보수로 할 수 있다.
③ 근로일에 따라 일당 형식의 보수를 지급받는 근로자에게는 주당 소정근로시간을 실제 근로한 시간으로 보아 일단위 기준보수를 적용한다.
④ 통상근로자로서 월정액으로 보수를 지급받는 근로자에게는 월단위 기준보수를 적용한다.
⑤ 시간급근로자 또는 일급근로자임이 명확하지 아니한 경우에는 월단위 기준보수를 적용한다.</v>
      </c>
      <c r="F219" s="30">
        <f>IFERROR(VLOOKUP(C219,기출문제!D:G,4,0),"")</f>
        <v>3</v>
      </c>
      <c r="G219" s="31" t="str">
        <f t="shared" si="3"/>
        <v>O</v>
      </c>
      <c r="J219" s="23"/>
    </row>
    <row r="220" spans="2:10" s="21" customFormat="1" ht="114" x14ac:dyDescent="0.3">
      <c r="B220" s="17">
        <v>213</v>
      </c>
      <c r="C220" s="27" t="s">
        <v>1068</v>
      </c>
      <c r="D220" s="17">
        <v>4</v>
      </c>
      <c r="E220" s="29" t="str">
        <f>IFERROR(VLOOKUP(C220,기출문제!D:G,3,0),"")</f>
        <v>98. 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
① 10, 2, 15
② 10, 3, 15
③ 15, 2, 15
④ 15, 3, 15
⑤ 20, 2, 15</v>
      </c>
      <c r="F220" s="30">
        <f>IFERROR(VLOOKUP(C220,기출문제!D:G,4,0),"")</f>
        <v>2</v>
      </c>
      <c r="G220" s="31" t="str">
        <f t="shared" si="3"/>
        <v>X</v>
      </c>
      <c r="J220" s="23"/>
    </row>
    <row r="221" spans="2:10" s="21" customFormat="1" ht="142.5" x14ac:dyDescent="0.3">
      <c r="B221" s="17">
        <v>214</v>
      </c>
      <c r="C221" s="27" t="s">
        <v>1069</v>
      </c>
      <c r="D221" s="17">
        <v>4</v>
      </c>
      <c r="E221" s="29" t="str">
        <f>IFERROR(VLOOKUP(C221,기출문제!D:G,3,0),"")</f>
        <v>99. 고용보험 및 산업재해보상보험의 보험료 징수 등에 관한 법령의 내용으로 옳은 것은?
① 고용보험료를 징수하는 경우, 근로자가 휴직기간 중에 사업주 외의 자로부터 지급받는 금품 일체는 보수에서 제외된다.
② "하수급인"이란 원수급인으로부터 그 사업의 전부 또는 일부를 도급받아 하는 자를 말하고, 그 자로부터 그 사업의 전부 또는 일부를 도급받아 하는 자는 제외한다.
③ 보험에 가입한 사업주는 그 이름, 사업의 소재지 등 대통령령으로 정하는 사항이 변경된 경우에는 그 날부터 7일 이내에 그 변경사항을 근로복지공단에 신고하여야 한다.
④ 근로기준법에 따른 출산전후휴가의 기간이 월의 중간에 종료된 경우에 그 근로자의 월별보험료는 해당 월의 다음 달부터 산정한다.
⑤ 보험사업에 드는 비용에 충당하기 위하여 보험가입자로부터 고용안정・직업능력개발사업 및 실업급여의 보험료, 육아휴직 급여 및 출산전후휴가 급여의 보험료, 산재보험의 보험료를 징수한다.</v>
      </c>
      <c r="F221" s="30">
        <f>IFERROR(VLOOKUP(C221,기출문제!D:G,4,0),"")</f>
        <v>4</v>
      </c>
      <c r="G221" s="31" t="str">
        <f t="shared" si="3"/>
        <v>O</v>
      </c>
      <c r="J221" s="23"/>
    </row>
    <row r="222" spans="2:10" s="21" customFormat="1" ht="128.25" x14ac:dyDescent="0.3">
      <c r="B222" s="17">
        <v>215</v>
      </c>
      <c r="C222" s="27" t="s">
        <v>1070</v>
      </c>
      <c r="D222" s="17">
        <v>3</v>
      </c>
      <c r="E222" s="29" t="str">
        <f>IFERROR(VLOOKUP(C222,기출문제!D:G,3,0),"")</f>
        <v>100. 고용보험 및 산업재해보상보험의 보험료 징수 등에 관한 법률상 보험관계의 성립일 또는 소멸일에 관한 설명으로 옳은 것은?
① 보험에 가입한 하수급인의 경우에는 그 하도급공사의 착공일의 다음 날이 성립일이다.
② 가입사업주가 그 사업의 운영 중에 근로자를 고용하지 아니하게 된 때에 근로자를 사용하지 아니한 첫 날부터 1년이 되는 날이 소멸일이다.
③ 근로복지공단이 계속하여 보험관계를 유지할 수 없다고 인정하여 그 보험관계를 소멸시키는 경우에는 그 소멸을 결정・통지한 날의 다음 날이 소멸일이다.
④ 근로복지공단의 승인을 얻어 가입한 보험계약을 해지하는 경우에는 그 해지에 관하여 근로복지공단의 승인을 받은 날이 소멸일이다.
⑤ 일괄적용을 받는 사업의 경우에는 처음하는 사업이 시작된 날의 다음 날이 성립일이다.</v>
      </c>
      <c r="F222" s="30">
        <f>IFERROR(VLOOKUP(C222,기출문제!D:G,4,0),"")</f>
        <v>3</v>
      </c>
      <c r="G222" s="31" t="str">
        <f t="shared" si="3"/>
        <v>O</v>
      </c>
      <c r="J222" s="23"/>
    </row>
    <row r="223" spans="2:10" s="21" customFormat="1" ht="114" x14ac:dyDescent="0.3">
      <c r="B223" s="17">
        <v>216</v>
      </c>
      <c r="C223" s="27" t="s">
        <v>253</v>
      </c>
      <c r="D223" s="17">
        <v>3</v>
      </c>
      <c r="E223" s="29" t="str">
        <f>IFERROR(VLOOKUP(C223,기출문제!D:G,3,0),"")</f>
        <v>76. 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
① 사회보험, 공공부조, 사회안전망
② 공공부조, 사회서비스, 사회안전망
③ 사회보험, 공공부조, 사회서비스
④ 사회서비스, 사회안전망, 사회보험
⑤ 보편적 복지, 공공부조, 사회서비스</v>
      </c>
      <c r="F223" s="30">
        <f>IFERROR(VLOOKUP(C223,기출문제!D:G,4,0),"")</f>
        <v>3</v>
      </c>
      <c r="G223" s="31" t="str">
        <f t="shared" si="3"/>
        <v>O</v>
      </c>
      <c r="J223" s="23"/>
    </row>
    <row r="224" spans="2:10" s="21" customFormat="1" ht="85.5" x14ac:dyDescent="0.3">
      <c r="B224" s="17">
        <v>217</v>
      </c>
      <c r="C224" s="27" t="s">
        <v>842</v>
      </c>
      <c r="D224" s="17">
        <v>1</v>
      </c>
      <c r="E224" s="29" t="str">
        <f>IFERROR(VLOOKUP(C224,기출문제!D:G,3,0),"")</f>
        <v>77. 사회보장기본법령상 사회보장위원회의 구성에 관한 설명으로 옳은 것은?
① 농림축산식품부장관, 환경부장관은 위원회의 위원이다.
② 대통령이 위촉한 근로자를 대표하는 위원은 어떤 경우에도 해촉될 수 없다.
③ 보궐위원의 임기는 2년으로 한다.
④ 위원회의 위원장은 행정자치부장관이 된다.
⑤ 위원회의 사무를 효율적으로 처리하기 위하여 행정자치부에 사무국을 둔다.</v>
      </c>
      <c r="F224" s="30">
        <f>IFERROR(VLOOKUP(C224,기출문제!D:G,4,0),"")</f>
        <v>1</v>
      </c>
      <c r="G224" s="31" t="str">
        <f t="shared" si="3"/>
        <v>O</v>
      </c>
      <c r="J224" s="23"/>
    </row>
    <row r="225" spans="2:10" s="21" customFormat="1" ht="99.75" x14ac:dyDescent="0.3">
      <c r="B225" s="17">
        <v>218</v>
      </c>
      <c r="C225" s="27" t="s">
        <v>843</v>
      </c>
      <c r="D225" s="17">
        <v>5</v>
      </c>
      <c r="E225" s="29" t="str">
        <f>IFERROR(VLOOKUP(C225,기출문제!D:G,3,0),"")</f>
        <v>78. 사회보장기본법상 내용으로 옳지 않은 것은?
① 국가와 지방자치단체는 모든 국민의 인간다운 생활을 유지・증진하는 책임을 가진다.
② 국가와 지방자치단체는 사회보장에 관한 책임과 역할을 합리적으로 분담하여야 한다.
③ 국가와 지방자치단체는 국가 발전수준에 부응하고 사회환경의 변화에 선제적으로 대응하며 지속가능한 사회보장제도를 확립하고 매년 이에 필요한 재원을 조달하여야 한다.
④ 국가와 지방자치단체는 가정이 건전하게 유지되고 그 기능이 향상되도록 노력하여야 한다.
⑤ 국가와 지방자치단체는 중장기 사회보장 재정추계를 격년으로 실시하고 이를 공표하여야 한다.</v>
      </c>
      <c r="F225" s="30">
        <f>IFERROR(VLOOKUP(C225,기출문제!D:G,4,0),"")</f>
        <v>5</v>
      </c>
      <c r="G225" s="31" t="str">
        <f t="shared" si="3"/>
        <v>O</v>
      </c>
      <c r="J225" s="23"/>
    </row>
    <row r="226" spans="2:10" s="21" customFormat="1" ht="128.25" x14ac:dyDescent="0.3">
      <c r="B226" s="17">
        <v>219</v>
      </c>
      <c r="C226" s="27" t="s">
        <v>844</v>
      </c>
      <c r="D226" s="17">
        <v>3</v>
      </c>
      <c r="E226" s="29" t="str">
        <f>IFERROR(VLOOKUP(C226,기출문제!D:G,3,0),"")</f>
        <v>79. 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
① 10일
② 15일
③ 30일
④ 2개월
⑤ 3개월</v>
      </c>
      <c r="F226" s="30">
        <f>IFERROR(VLOOKUP(C226,기출문제!D:G,4,0),"")</f>
        <v>3</v>
      </c>
      <c r="G226" s="31" t="str">
        <f t="shared" si="3"/>
        <v>O</v>
      </c>
      <c r="J226" s="23"/>
    </row>
    <row r="227" spans="2:10" s="21" customFormat="1" ht="114" x14ac:dyDescent="0.3">
      <c r="B227" s="17">
        <v>220</v>
      </c>
      <c r="C227" s="27" t="s">
        <v>845</v>
      </c>
      <c r="D227" s="17">
        <v>0</v>
      </c>
      <c r="E227" s="29" t="str">
        <f>IFERROR(VLOOKUP(C227,기출문제!D:G,3,0),"")</f>
        <v>80. 고용보험법령상 구직급여에 관한 설명으로 옳지 않은 것은?
① 구직급여를 받으려는 자는 이직 후 지체없이 직업안정기관에 출석하여 실업을 신고하여야 한다.
② 구직급여를 지급받기 위해 실업을 신고하려는 자가 사업주로부터 이직확인서를 발급받는 경우에는 이를 소재지 관할 직업안정기관의 장에게 제출하여야 한다.
③ 직업안정기관의 장은 수급자격 인정신청서를 제출한 자가 구직급여의 수급자격이 인정되지 아니하는 경우에는 그 신청인과 사업주에게 해당 사실을 알려야 한다.
④ 수급자격자가 주민등록번호를 변경하거나 정정한 경우에는 신청지 관할 직업안정기관의 장에게 신고하여야 한다.
⑤ 구직급여는 수급자격자가 실업한 상태에 있는 날 중에서 직업안정기관의 장으로 부터 인정을 받은 날에 대하여 지급한다.</v>
      </c>
      <c r="F227" s="30">
        <f>IFERROR(VLOOKUP(C227,기출문제!D:G,4,0),"")</f>
        <v>3</v>
      </c>
      <c r="G227" s="31" t="str">
        <f t="shared" si="3"/>
        <v>X</v>
      </c>
      <c r="J227" s="23"/>
    </row>
    <row r="228" spans="2:10" s="21" customFormat="1" ht="114" x14ac:dyDescent="0.3">
      <c r="B228" s="17">
        <v>221</v>
      </c>
      <c r="C228" s="27" t="s">
        <v>846</v>
      </c>
      <c r="D228" s="17">
        <v>3</v>
      </c>
      <c r="E228" s="29" t="str">
        <f>IFERROR(VLOOKUP(C228,기출문제!D:G,3,0),"")</f>
        <v>81. 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
① 50만원
② 100만원
③ 실업급여수급계좌에 입금된 금액 전액
④ 실업급여수급계좌에 입금된 금액 반액
⑤ 실업급여수급계좌에 입금된 금액 일부</v>
      </c>
      <c r="F228" s="30">
        <f>IFERROR(VLOOKUP(C228,기출문제!D:G,4,0),"")</f>
        <v>3</v>
      </c>
      <c r="G228" s="31" t="str">
        <f t="shared" si="3"/>
        <v>O</v>
      </c>
      <c r="J228" s="23"/>
    </row>
    <row r="229" spans="2:10" s="21" customFormat="1" ht="142.5" x14ac:dyDescent="0.3">
      <c r="B229" s="17">
        <v>222</v>
      </c>
      <c r="C229" s="27" t="s">
        <v>847</v>
      </c>
      <c r="D229" s="17">
        <v>5</v>
      </c>
      <c r="E229" s="29" t="str">
        <f>IFERROR(VLOOKUP(C229,기출문제!D:G,3,0),"")</f>
        <v>82. 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
① ㄱ
② ㄱ, ㄴ
③ ㄱ, ㄷ
④ ㄴ, ㄷ
⑤ ㄱ, ㄴ, ㄷ</v>
      </c>
      <c r="F229" s="30">
        <f>IFERROR(VLOOKUP(C229,기출문제!D:G,4,0),"")</f>
        <v>5</v>
      </c>
      <c r="G229" s="31" t="str">
        <f t="shared" si="3"/>
        <v>O</v>
      </c>
      <c r="J229" s="23"/>
    </row>
    <row r="230" spans="2:10" s="21" customFormat="1" ht="85.5" x14ac:dyDescent="0.3">
      <c r="B230" s="17">
        <v>223</v>
      </c>
      <c r="C230" s="27" t="s">
        <v>848</v>
      </c>
      <c r="D230" s="17">
        <v>4</v>
      </c>
      <c r="E230" s="29" t="str">
        <f>IFERROR(VLOOKUP(C230,기출문제!D:G,3,0),"")</f>
        <v>83. 고용보험법령상 과태료 부과 대상이 아닌 것은?
① 사업주가 이직확인서를 거짓으로 작성하여 제출하는 경우
② 고용노동부장관이 부정수급 조사를 위하여 관계인의 출석을 요구함에도 출석을 거부하는 경우
③ 심사의 청구를 받아 하는 고용보험심사관의 질문에 거짓으로 진술한 경우
④ 사업주가 피보험자격 취득에 관한 확인청구를 한 것을 이유로 그 근로자에게 불이익한 처우를 한 경우
⑤ 사업주가 그 사업에 고용된 근로자의 피보험자격 취득에 관한 사항을 고용노동부장관에게 신고하지 아니한 경우</v>
      </c>
      <c r="F230" s="30">
        <f>IFERROR(VLOOKUP(C230,기출문제!D:G,4,0),"")</f>
        <v>4</v>
      </c>
      <c r="G230" s="31" t="str">
        <f t="shared" si="3"/>
        <v>O</v>
      </c>
      <c r="J230" s="23"/>
    </row>
    <row r="231" spans="2:10" s="21" customFormat="1" ht="85.5" x14ac:dyDescent="0.3">
      <c r="B231" s="17">
        <v>224</v>
      </c>
      <c r="C231" s="27" t="s">
        <v>849</v>
      </c>
      <c r="D231" s="17">
        <v>1</v>
      </c>
      <c r="E231" s="29" t="str">
        <f>IFERROR(VLOOKUP(C231,기출문제!D:G,3,0),"")</f>
        <v>84. 고용보험법상 피보험기간이 2년일 경우 이직일 현재 연령에 따른 구직급여의 소정급여일수가 옳은 것은?
① 25세 장애인 : 180일
② 28세 비장애인 : 120일
③ 35세 비장애인 : 120일
④ 40세 비장애인 : 180일
⑤ 55세 장애인 : 210일</v>
      </c>
      <c r="F231" s="30">
        <f>IFERROR(VLOOKUP(C231,기출문제!D:G,4,0),"")</f>
        <v>1</v>
      </c>
      <c r="G231" s="31" t="str">
        <f t="shared" si="3"/>
        <v>O</v>
      </c>
      <c r="J231" s="23"/>
    </row>
    <row r="232" spans="2:10" s="21" customFormat="1" ht="99.75" x14ac:dyDescent="0.3">
      <c r="B232" s="17">
        <v>225</v>
      </c>
      <c r="C232" s="27" t="s">
        <v>850</v>
      </c>
      <c r="D232" s="17">
        <v>2</v>
      </c>
      <c r="E232" s="29" t="str">
        <f>IFERROR(VLOOKUP(C232,기출문제!D:G,3,0),"")</f>
        <v>85. 산업재해보상보험법상 재요양을 받는 자에 대한 1일당 휴업급여 지급액을 산정한 결과가 최저임금액보다 적은 경우, 1일당 휴업급여 지급액은 얼마인가?
① 최저임금액의 100분의 70에 상당하는 금액
② 최저임금액
③ 최저임금액의 100분의 120에 상당하는 금액
④ 통상임금액의 100분의 60에 상당하는 금액
⑤ 통상임금액의 100분의 70에 상당하는 금액</v>
      </c>
      <c r="F232" s="30">
        <f>IFERROR(VLOOKUP(C232,기출문제!D:G,4,0),"")</f>
        <v>2</v>
      </c>
      <c r="G232" s="31" t="str">
        <f t="shared" si="3"/>
        <v>O</v>
      </c>
      <c r="J232" s="23"/>
    </row>
    <row r="233" spans="2:10" s="21" customFormat="1" ht="85.5" x14ac:dyDescent="0.3">
      <c r="B233" s="17">
        <v>226</v>
      </c>
      <c r="C233" s="27" t="s">
        <v>851</v>
      </c>
      <c r="D233" s="17">
        <v>4</v>
      </c>
      <c r="E233" s="29" t="str">
        <f>IFERROR(VLOOKUP(C233,기출문제!D:G,3,0),"")</f>
        <v>86. 산업재해보상보험법상 직업재활급여에 관한 설명으로 옳지 않은 것은?
① 훈련대상자에 대한 직업훈련은 근로복지공단과 계약을 체결한 직업훈련기관에서 실시하게 한다.
② 상병보상연금을 받는 훈련대상자에게는 직업훈련수당을 지급하지 아니한다.
③ 직장적응훈련비의 지급기간은 3개월 이내로 한다.
④ 재활운동비는 장해급여자에게 직접 지급한다.
⑤ 직장복귀지원금의 지급기간은 12개월 이내로 한다.</v>
      </c>
      <c r="F233" s="30">
        <f>IFERROR(VLOOKUP(C233,기출문제!D:G,4,0),"")</f>
        <v>4</v>
      </c>
      <c r="G233" s="31" t="str">
        <f t="shared" si="3"/>
        <v>O</v>
      </c>
      <c r="J233" s="23"/>
    </row>
    <row r="234" spans="2:10" s="21" customFormat="1" ht="85.5" x14ac:dyDescent="0.3">
      <c r="B234" s="17">
        <v>227</v>
      </c>
      <c r="C234" s="27" t="s">
        <v>852</v>
      </c>
      <c r="D234" s="17">
        <v>4</v>
      </c>
      <c r="E234" s="29" t="str">
        <f>IFERROR(VLOOKUP(C234,기출문제!D:G,3,0),"")</f>
        <v>87. 산업재해보상보험법령상 업무상 질병에 관한 설명으로 옳지 않은 것은?
① 신체부담업무의 수행 과정에서 발생한 일시적인 급격한 힘의 작용으로 근골격계 질병이 발병하면 업무상 질병으로 본다.
② 업무수행 과정에서 석면에 노출되어 발생한 석면폐증은 업무상 질병으로 본다.
③ 업무수행 과정에서 카드뮴 또는 그 화합물에 2년 이상 노출되어 발생한 후각신경마비는 업무상 질병으로 본다.
④ 업무수행 과정에서 고객의 폭언 등과 직접 관련된 스트레스로 생긴 우울병 에피소드는 업무상 질병으로 보지 않는다.
⑤ 업무와 관련하여 정신적 충격을 유발할 수 있는 사건에 의해 발생한 외상후스트레스장애는 업무상 질병으로 본다.</v>
      </c>
      <c r="F234" s="30">
        <f>IFERROR(VLOOKUP(C234,기출문제!D:G,4,0),"")</f>
        <v>4</v>
      </c>
      <c r="G234" s="31" t="str">
        <f t="shared" si="3"/>
        <v>O</v>
      </c>
      <c r="J234" s="23"/>
    </row>
    <row r="235" spans="2:10" s="21" customFormat="1" ht="99.75" x14ac:dyDescent="0.3">
      <c r="B235" s="17">
        <v>228</v>
      </c>
      <c r="C235" s="27" t="s">
        <v>853</v>
      </c>
      <c r="D235" s="17">
        <v>3</v>
      </c>
      <c r="E235" s="29" t="str">
        <f>IFERROR(VLOOKUP(C235,기출문제!D:G,3,0),"")</f>
        <v>88. 산업재해보상보험법상 근로자가 업무상의 사유로 사망한 경우 그 장례를 지낸 유족에게 장례비를 지급한다. 이 때 장례비는 평균임금의 며칠분에 상당하는 금액을 지급하는가?
① 60일
② 90일
③ 120일
④ 150일
⑤ 180일</v>
      </c>
      <c r="F235" s="30">
        <f>IFERROR(VLOOKUP(C235,기출문제!D:G,4,0),"")</f>
        <v>3</v>
      </c>
      <c r="G235" s="31" t="str">
        <f t="shared" si="3"/>
        <v>O</v>
      </c>
      <c r="J235" s="23"/>
    </row>
    <row r="236" spans="2:10" s="21" customFormat="1" ht="99.75" x14ac:dyDescent="0.3">
      <c r="B236" s="17">
        <v>229</v>
      </c>
      <c r="C236" s="27" t="s">
        <v>854</v>
      </c>
      <c r="D236" s="17">
        <v>0</v>
      </c>
      <c r="E236" s="29" t="str">
        <f>IFERROR(VLOOKUP(C236,기출문제!D:G,3,0),"")</f>
        <v>89. 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
① ㄱ: 1, ㄴ: 1
② ㄱ: 1, ㄴ: 2
③ ㄱ: 2, ㄴ: 1
④ ㄱ: 2, ㄴ: 2
⑤ ㄱ: 3, ㄴ: 2</v>
      </c>
      <c r="F236" s="30">
        <f>IFERROR(VLOOKUP(C236,기출문제!D:G,4,0),"")</f>
        <v>3</v>
      </c>
      <c r="G236" s="31" t="str">
        <f t="shared" si="3"/>
        <v>X</v>
      </c>
      <c r="J236" s="23"/>
    </row>
    <row r="237" spans="2:10" s="21" customFormat="1" ht="85.5" x14ac:dyDescent="0.3">
      <c r="B237" s="17">
        <v>230</v>
      </c>
      <c r="C237" s="27" t="s">
        <v>855</v>
      </c>
      <c r="D237" s="17">
        <v>5</v>
      </c>
      <c r="E237" s="29" t="str">
        <f>IFERROR(VLOOKUP(C237,기출문제!D:G,3,0),"")</f>
        <v>90. 산업재해보상보험법령상 업무상 사고가 아닌 것은?
① 근로계약에 따른 업무수행 행위를 하던 중 발생한 사고
② 업무수행 과정에서 하는 용변 등 생리적 필요 행위를 하던 중 발생한 사고
③ 업무를 준비하거나 마무리하는 행위를 하던 중 발생한 사고
④ 업무에 따르는 필요적 부수행위를 하던 중 발생한 사고
⑤ 출장 중에 사적 행위 또는 정상적인 출장 경로를 벗어났을 때 발생한 사고</v>
      </c>
      <c r="F237" s="30">
        <f>IFERROR(VLOOKUP(C237,기출문제!D:G,4,0),"")</f>
        <v>5</v>
      </c>
      <c r="G237" s="31" t="str">
        <f t="shared" si="3"/>
        <v>O</v>
      </c>
      <c r="J237" s="23"/>
    </row>
    <row r="238" spans="2:10" s="21" customFormat="1" ht="128.25" x14ac:dyDescent="0.3">
      <c r="B238" s="17">
        <v>231</v>
      </c>
      <c r="C238" s="27" t="s">
        <v>856</v>
      </c>
      <c r="D238" s="17">
        <v>4</v>
      </c>
      <c r="E238" s="29" t="str">
        <f>IFERROR(VLOOKUP(C238,기출문제!D:G,3,0),"")</f>
        <v>91. 국민연금법상 유족연금 수급권자의 유족연금 수급권이 소멸되는 사유를 모두 고른 것은?
ㄱ. 장애등급 2등급인 자녀가 19세가 된 때
ㄴ. 손자녀인 수급권자가 파양된 때
ㄷ. 배우자인 수급권자가 재혼한 때
① ㄱ
② ㄱ, ㄴ
③ ㄱ, ㄷ
④ ㄴ, ㄷ
⑤ ㄱ, ㄴ, ㄷ</v>
      </c>
      <c r="F238" s="30">
        <f>IFERROR(VLOOKUP(C238,기출문제!D:G,4,0),"")</f>
        <v>4</v>
      </c>
      <c r="G238" s="31" t="str">
        <f t="shared" si="3"/>
        <v>O</v>
      </c>
      <c r="J238" s="23"/>
    </row>
    <row r="239" spans="2:10" s="21" customFormat="1" ht="128.25" x14ac:dyDescent="0.3">
      <c r="B239" s="17">
        <v>232</v>
      </c>
      <c r="C239" s="27" t="s">
        <v>857</v>
      </c>
      <c r="D239" s="17">
        <v>0</v>
      </c>
      <c r="E239" s="29" t="str">
        <f>IFERROR(VLOOKUP(C239,기출문제!D:G,3,0),"")</f>
        <v>92. 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① ㄱ: 10, ㄴ: 2
② ㄱ: 10, ㄴ: 3
③ ㄱ: 20, ㄴ: 2
④ ㄱ: 20, ㄴ: 3
⑤ ㄱ: 30, ㄴ: 2</v>
      </c>
      <c r="F239" s="30">
        <f>IFERROR(VLOOKUP(C239,기출문제!D:G,4,0),"")</f>
        <v>2</v>
      </c>
      <c r="G239" s="31" t="str">
        <f t="shared" si="3"/>
        <v>X</v>
      </c>
      <c r="J239" s="23"/>
    </row>
    <row r="240" spans="2:10" s="21" customFormat="1" ht="85.5" x14ac:dyDescent="0.3">
      <c r="B240" s="17">
        <v>233</v>
      </c>
      <c r="C240" s="27" t="s">
        <v>858</v>
      </c>
      <c r="D240" s="17">
        <v>5</v>
      </c>
      <c r="E240" s="29" t="str">
        <f>IFERROR(VLOOKUP(C240,기출문제!D:G,3,0),"")</f>
        <v>93. 국민건강보험법상 보험료 부담 및 납부의무에 관한 설명으로 옳지 않은 것은?
① 직장가입자의 보수월액보험료는 직장가입자가 보험료액의 100분의 50을 부담한다.
② 직장가입자의 소득월액보험료는 직장가입자가 부담한다.
③ 지역가입자의 보험료는 그 가입자가 속한 세대의 지역가입자 전원이 연대하여 부담한다.
④ 직장가입자의 보수월액보험료는 사용자가 납부한다.
⑤ 공무원인 직장가입자의 보수월액보험료는 그 공무원이 소속되어 있는 국가 또는 지방자치단체가 보험료액의 전액을 부담한다.</v>
      </c>
      <c r="F240" s="30">
        <f>IFERROR(VLOOKUP(C240,기출문제!D:G,4,0),"")</f>
        <v>5</v>
      </c>
      <c r="G240" s="31" t="str">
        <f t="shared" si="3"/>
        <v>O</v>
      </c>
      <c r="J240" s="23"/>
    </row>
    <row r="241" spans="2:10" s="21" customFormat="1" ht="85.5" x14ac:dyDescent="0.3">
      <c r="B241" s="17">
        <v>234</v>
      </c>
      <c r="C241" s="27" t="s">
        <v>859</v>
      </c>
      <c r="D241" s="17">
        <v>2</v>
      </c>
      <c r="E241" s="29" t="str">
        <f>IFERROR(VLOOKUP(C241,기출문제!D:G,3,0),"")</f>
        <v>94. 국민건강보험법상 보험급여의 정지 사유에 해당하는 것은?
① 고의로 인한 범죄행위에 그 원인이 있는 경우
② 국외에 체류하는 경우
③ 고의로 국민건강보험공단의 지시를 따르지 않은 경우
④ 중대한 과실로 국민건강보험공단에서 요구하는 문서나 물건을 제출하지 않은 경우
⑤ 업무로 생긴 질병으로 인해 다른 법령에 따라 보상을 받게 된 경우</v>
      </c>
      <c r="F241" s="30">
        <f>IFERROR(VLOOKUP(C241,기출문제!D:G,4,0),"")</f>
        <v>2</v>
      </c>
      <c r="G241" s="31" t="str">
        <f t="shared" si="3"/>
        <v>O</v>
      </c>
      <c r="J241" s="23"/>
    </row>
    <row r="242" spans="2:10" s="21" customFormat="1" ht="142.5" x14ac:dyDescent="0.3">
      <c r="B242" s="17">
        <v>235</v>
      </c>
      <c r="C242" s="27" t="s">
        <v>860</v>
      </c>
      <c r="D242" s="17">
        <v>0</v>
      </c>
      <c r="E242" s="29" t="str">
        <f>IFERROR(VLOOKUP(C242,기출문제!D:G,3,0),"")</f>
        <v>95. 고용보험 및 산업재해보상보험의 보험료징수 등에 관한 법률상 보수총액 등의 신고에 관한 설명으로 옳은 것은?
① 사업주는 근로자를 새로 고용한 경우 그 근로자의 성명 등을 그 근로자를 고용한 날이 속하는 달의 말일까지 근로복지공단에 신고하여야 한다.
② 사업주는 사업의 폐지・종료 등으로 보험관계가 소멸한 때에는 그 보험관계가 소멸한 날이 속하는 달의 다음 달 15일까지 근로자에게 지급한 보수총액 등을 근로복지공단에 신고하여야 한다.
③ 사업주는 전년도에 근로자에게 지급한 보수총액 등을 매년 1월 말일까지 근로복지공단에 신고하여야 한다.
④ 사업주는 근로자가 휴직하는 경우에는 그 사유 발생일이 속하는 달의 다음 달 15일까지 그 사실을 근로복지공단에 신고하여야 한다.
⑤ 사업주는 근로자와 고용관계를 종료한 때에는 그 근로자에게 지급한 보수총액, 고용관계 종료일 등을 그 근로자의 고용관계가 종료한 날이 속하는 달의 다음 달 15일까지 근로복지공단에 신고하여야 한다.</v>
      </c>
      <c r="F242" s="30">
        <f>IFERROR(VLOOKUP(C242,기출문제!D:G,4,0),"")</f>
        <v>5</v>
      </c>
      <c r="G242" s="31" t="str">
        <f t="shared" si="3"/>
        <v>X</v>
      </c>
      <c r="J242" s="23"/>
    </row>
    <row r="243" spans="2:10" s="21" customFormat="1" ht="128.25" x14ac:dyDescent="0.3">
      <c r="B243" s="17">
        <v>236</v>
      </c>
      <c r="C243" s="27" t="s">
        <v>861</v>
      </c>
      <c r="D243" s="17">
        <v>0</v>
      </c>
      <c r="E243" s="29" t="str">
        <f>IFERROR(VLOOKUP(C243,기출문제!D:G,3,0),"")</f>
        <v>96. 고용보험 및 산업재해보상보험의 보험료징수 등에 관한 법령에 관한 설명으로 옳은 것은?
① 해외파견자에 대한 산재보험의 가입을 승인하려면 직업안정법에 따른 국외근로자 공급사업이 아니어야 한다.
② 해외파견자에 대한 산재보험 가입의 승인을 받은 경우 파견예정자의 보험관계 성립일은 출국한 날의 다음 날이다.
③ 자영업자에 대한 특례에 따라 고용보험에 가입한 자영업자가 50명 이상의 근로자를 사용하게 된 경우에는 본인은 피보험자격을 유지할 수 없다.
④ 자영업자에게 적용하는 고용보험료율은 보험수지의 동향과 경제상황 등을 고려하여 정하는 데, 현재 고용안정・직업능력개발사업의 보험료율은 1천분의 25이다.
⑤ 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v>
      </c>
      <c r="F243" s="30">
        <f>IFERROR(VLOOKUP(C243,기출문제!D:G,4,0),"")</f>
        <v>1</v>
      </c>
      <c r="G243" s="31" t="str">
        <f t="shared" si="3"/>
        <v>X</v>
      </c>
      <c r="J243" s="23"/>
    </row>
    <row r="244" spans="2:10" s="21" customFormat="1" ht="114" x14ac:dyDescent="0.3">
      <c r="B244" s="17">
        <v>237</v>
      </c>
      <c r="C244" s="27" t="s">
        <v>862</v>
      </c>
      <c r="D244" s="17">
        <v>4</v>
      </c>
      <c r="E244" s="29" t="str">
        <f>IFERROR(VLOOKUP(C244,기출문제!D:G,3,0),"")</f>
        <v>97. 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
① ㄱ: 55, ㄴ: 18
② ㄱ: 60, ㄴ: 18
③ ㄱ: 60, ㄴ: 25
④ ㄱ: 65, ㄴ: 18
⑤ ㄱ: 65, ㄴ: 25</v>
      </c>
      <c r="F244" s="30">
        <f>IFERROR(VLOOKUP(C244,기출문제!D:G,4,0),"")</f>
        <v>4</v>
      </c>
      <c r="G244" s="31" t="str">
        <f t="shared" si="3"/>
        <v>O</v>
      </c>
      <c r="J244" s="23"/>
    </row>
    <row r="245" spans="2:10" s="21" customFormat="1" ht="114" x14ac:dyDescent="0.3">
      <c r="B245" s="17">
        <v>238</v>
      </c>
      <c r="C245" s="27" t="s">
        <v>863</v>
      </c>
      <c r="D245" s="17">
        <v>3</v>
      </c>
      <c r="E245" s="29" t="str">
        <f>IFERROR(VLOOKUP(C245,기출문제!D:G,3,0),"")</f>
        <v>98. 고용보험 및 산업재해보상보험의 보험료징수 등에 관한 법령상 보험가입자에 관한 설명으로 옳지 않은 것은?
① 고용보험을 적용받는 사업의 사업주와 근로자는 당연히 고용보험법에 따른 고용보험의 보험가입자가 된다.
② 산업재해보상보험법을 적용받는 사업의 사업주는 당연히 산업재해보상보험법에 따른 산업재해보상보험의 보험가입자가 된다.
③ 고용보험법에 따라 같은 법을 적용하지 아니하는 사업장의 근로자는 개별적으로 고용보험에 가입할 수 있다.
④ 산업재해보상보험법에 따라 같은 법을 적용하지 아니하는 사업의 사업주는 근로복지공단의 승인을 받아 산재보험에 가입할 수 있다.
⑤ 근로복지공단은 사업 실체가 없는 등의 사유로 계속하여 보험관계를 유지할 수 없다고 인정하는 경우에는 그 보험관계를 소멸시킬 수 있다.</v>
      </c>
      <c r="F245" s="30">
        <f>IFERROR(VLOOKUP(C245,기출문제!D:G,4,0),"")</f>
        <v>3</v>
      </c>
      <c r="G245" s="31" t="str">
        <f t="shared" si="3"/>
        <v>O</v>
      </c>
      <c r="J245" s="23"/>
    </row>
    <row r="246" spans="2:10" s="21" customFormat="1" ht="156.75" x14ac:dyDescent="0.3">
      <c r="B246" s="17">
        <v>239</v>
      </c>
      <c r="C246" s="27" t="s">
        <v>864</v>
      </c>
      <c r="D246" s="17">
        <v>3</v>
      </c>
      <c r="E246" s="29" t="str">
        <f>IFERROR(VLOOKUP(C246,기출문제!D:G,3,0),"")</f>
        <v>99. 고용보험 및 산업재해보상보험의 보험료징수 등에 관한 법률상 고액・상습 체납자의 인적사항 공개에 관한 설명으로 옳지 않은 것은?
① 국민건강보험공단은 이 법에 따른 납부기한의 다음 날부터 1년이 지난 보험료의 총액이 1억원 이상인 체납자에 대하여는 그 인적사항등을 공개하여야 한다.
② 국민건강보험공단은 체납된 보험료, 이 법에 따른 그 밖의 징수금과 체납처분비와 관련하여 행정소송이 계류 중인 경우에는 체납자의 인적사항등을 공개할 수 없다.
③ 체납자의 인정사항등에 대한 공개 여부를 심의하기 위하여 국민건강보험공단에 보험료정보공개심의위원회를 둔다.
④ 국민건강보험공단은 보험료정보공개심의위원회의 심의를 거쳐 인정사항등의 공개가 결정된 자에 대하여 공개대상자임을 알림으로써 소명할 기회를 주어야 한다.
⑤ 체납자 인적사항등의 공개는 관보에 게재하거나, 고용・산재정보통신망 또는 국민건강보험공단 게시판에 게시하는 방법에 따른다.</v>
      </c>
      <c r="F246" s="30">
        <f>IFERROR(VLOOKUP(C246,기출문제!D:G,4,0),"")</f>
        <v>1</v>
      </c>
      <c r="G246" s="31" t="str">
        <f t="shared" si="3"/>
        <v>X</v>
      </c>
      <c r="J246" s="23"/>
    </row>
    <row r="247" spans="2:10" s="21" customFormat="1" ht="114" x14ac:dyDescent="0.3">
      <c r="B247" s="17">
        <v>240</v>
      </c>
      <c r="C247" s="27" t="s">
        <v>865</v>
      </c>
      <c r="D247" s="17">
        <v>0</v>
      </c>
      <c r="E247" s="29" t="str">
        <f>IFERROR(VLOOKUP(C247,기출문제!D:G,3,0),"")</f>
        <v>100. 고용보험 및 산업재해보상보험의 보험료징수 등에 관한 법령상 산재보험료율의 구성은 다음과 같다. ( ) 안에 들어갈 내용으로 옳은 것은?
○ 산재보험료율(100%) = [산재보험급여지급률 + 추가지출률](ㄱ)% + 부가보험료율(ㄴ)%
① ㄱ: 70, ㄴ: 30
② ㄱ: 75, ㄴ: 25
③ ㄱ: 80, ㄴ: 20
④ ㄱ: 85, ㄴ: 15
⑤ ㄱ: 90, ㄴ: 10</v>
      </c>
      <c r="F247" s="30">
        <f>IFERROR(VLOOKUP(C247,기출문제!D:G,4,0),"")</f>
        <v>4</v>
      </c>
      <c r="G247" s="31" t="str">
        <f t="shared" si="3"/>
        <v>X</v>
      </c>
      <c r="J247" s="23"/>
    </row>
    <row r="248" spans="2:10" s="21" customFormat="1" ht="114" x14ac:dyDescent="0.3">
      <c r="B248" s="17">
        <v>241</v>
      </c>
      <c r="C248" s="27" t="s">
        <v>288</v>
      </c>
      <c r="D248" s="17">
        <v>2</v>
      </c>
      <c r="E248" s="29" t="str">
        <f>IFERROR(VLOOKUP(C248,기출문제!D:G,3,0),"")</f>
        <v>76. 사회보장기본법상 사회보장정책의 기본방향에 관한 설명으로 옳지 않은 것은?
① 국가와 지방자치단체는 평생사회안전망을 구축・운영함에 있어 사회적 취약계층을 위한 공공부조를 마련하여 최저생활을 보장하여야 한다.
② 국가와 지방자치단체는 공공부문과 민간부문의 소득보장제도가 각각 독자적으로 구축될 수 있는 시책을 강구하여야 한다.
③ 국가와 지방자치단체는 모든 국민이 생애 동안 삶의 질을 유지・증진할 수 있도록 평생사회안전망을 구축하여야 한다.
④ 국가와 지방자치단체는 사회서비스 보장과 소득보장이 효과적이고 균형적으로 연계되도록 하여야 한다.
⑤ 국가와 지방자치단체는 모든 국민의 인간다운 생활과 자립, 사회참여, 자아실현 등을 지원하여 삶의 질이 향상될 수 있도록 사회서비스에 관한 시책을 마련하여야 한다.</v>
      </c>
      <c r="F248" s="30">
        <f>IFERROR(VLOOKUP(C248,기출문제!D:G,4,0),"")</f>
        <v>2</v>
      </c>
      <c r="G248" s="31" t="str">
        <f t="shared" si="3"/>
        <v>O</v>
      </c>
      <c r="J248" s="23"/>
    </row>
    <row r="249" spans="2:10" s="21" customFormat="1" ht="128.25" x14ac:dyDescent="0.3">
      <c r="B249" s="17">
        <v>242</v>
      </c>
      <c r="C249" s="27" t="s">
        <v>816</v>
      </c>
      <c r="D249" s="17">
        <v>3</v>
      </c>
      <c r="E249" s="29" t="str">
        <f>IFERROR(VLOOKUP(C249,기출문제!D:G,3,0),"")</f>
        <v>77. 사회보장기본법상 사회보장위원회에 관한 설명으로 옳지 않은 것은?
① 사회보장에 관한 주요 시책을 심의・조정하기 위하여 국무총리 소속으로 사회보장위원회를 둔다.
② 관계 중앙행정기관의 장과 지방자치단체의 장은 사회보장위원회의 심의・조정사항을 반영하여 사회보장제도를 운영 또는 개선하여야 한다.
③ 사회보장위원회는 위원장 1명, 부위원장 3명과 행정자치부장관, 고용노동부장관, 여성가족부장관, 국토교통부장관을 포함한 20명 이내의 위원으로 구성한다.
④ 사회보장위원회의 위원장은 국무총리가 되고 부위원장은 기획재정부장관, 교육부장관 및 보건복지부장관이 된다.
⑤ 사회보장위원회를 효율적으로 운영하고 위원회의 심의사항을 전문적으로 검토하기 위하여 위원회에 실무위원회를 두며, 실무위원회에 분야별 전문위원회를 둘 수 있다.</v>
      </c>
      <c r="F249" s="30">
        <f>IFERROR(VLOOKUP(C249,기출문제!D:G,4,0),"")</f>
        <v>3</v>
      </c>
      <c r="G249" s="31" t="str">
        <f t="shared" si="3"/>
        <v>O</v>
      </c>
      <c r="J249" s="23"/>
    </row>
    <row r="250" spans="2:10" s="21" customFormat="1" ht="114" x14ac:dyDescent="0.3">
      <c r="B250" s="17">
        <v>243</v>
      </c>
      <c r="C250" s="27" t="s">
        <v>817</v>
      </c>
      <c r="D250" s="17">
        <v>5</v>
      </c>
      <c r="E250" s="29" t="str">
        <f>IFERROR(VLOOKUP(C250,기출문제!D:G,3,0),"")</f>
        <v>78. 사회보장기본법상 사회보장급여와 사회보장수급권에 관한 설명으로 옳은 것은?
① 사회보장수급권은 구두로 포기할 수 있다.
② 사회보장급여는 관계 법령에 따라 국가나 지방자치단체에 신청하여야 한다. 다만, 관계 법령이 따로 정하는 경우는 국가나 지방자치단체가 직권으로 결정할 수 있다.
③ 사회보장수급권은 관계 법령에서 따로 정하고 있는 경우에 압류할 수 있다.
④ 국가와 지방자치단체는 관계 법령이 정하는 바에 따라 최저생계비와 최저임금을 매년 공표하여야 한다.
⑤ 사회보장급여를 다른 기관에 신청한 경우에는 그 기관은 지체 없이 이를 정당한 권한이 있는 기관에 이송하여야 한다. 이 경우 정당한 권한이 있는 기관에 이송된 날을 사회보장급여의 신청일로 본다.</v>
      </c>
      <c r="F250" s="30">
        <f>IFERROR(VLOOKUP(C250,기출문제!D:G,4,0),"")</f>
        <v>5</v>
      </c>
      <c r="G250" s="31" t="str">
        <f t="shared" si="3"/>
        <v>O</v>
      </c>
      <c r="J250" s="23"/>
    </row>
    <row r="251" spans="2:10" s="21" customFormat="1" ht="171" x14ac:dyDescent="0.3">
      <c r="B251" s="17">
        <v>244</v>
      </c>
      <c r="C251" s="27" t="s">
        <v>818</v>
      </c>
      <c r="D251" s="17">
        <v>3</v>
      </c>
      <c r="E251" s="29" t="str">
        <f>IFERROR(VLOOKUP(C251,기출문제!D:G,3,0),"")</f>
        <v>79. 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
① ㄱ, ㄷ
② ㄴ, ㄹ
③ ㄱ, ㄴ, ㄷ
④ ㄱ, ㄷ, ㄹ
⑤ ㄴ, ㄷ, ㄹ</v>
      </c>
      <c r="F251" s="30">
        <f>IFERROR(VLOOKUP(C251,기출문제!D:G,4,0),"")</f>
        <v>3</v>
      </c>
      <c r="G251" s="31" t="str">
        <f t="shared" si="3"/>
        <v>O</v>
      </c>
      <c r="J251" s="23"/>
    </row>
    <row r="252" spans="2:10" s="21" customFormat="1" ht="85.5" x14ac:dyDescent="0.3">
      <c r="B252" s="17">
        <v>245</v>
      </c>
      <c r="C252" s="27" t="s">
        <v>819</v>
      </c>
      <c r="D252" s="17">
        <v>2</v>
      </c>
      <c r="E252" s="29" t="str">
        <f>IFERROR(VLOOKUP(C252,기출문제!D:G,3,0),"")</f>
        <v>80. 고용보험법령상 고용안정・직업능력개발 사업의 내용으로 옳지 않은 것은?
① 고용창출의 지원
② 조기재취업 수당 지원
③ 고용유지지원금의 지급
④ 지역 고용의 촉진
⑤ 임금피크제 지원금의 지급</v>
      </c>
      <c r="F252" s="30">
        <f>IFERROR(VLOOKUP(C252,기출문제!D:G,4,0),"")</f>
        <v>2</v>
      </c>
      <c r="G252" s="31" t="str">
        <f t="shared" si="3"/>
        <v>O</v>
      </c>
      <c r="J252" s="23"/>
    </row>
    <row r="253" spans="2:10" s="21" customFormat="1" ht="114" x14ac:dyDescent="0.3">
      <c r="B253" s="17">
        <v>246</v>
      </c>
      <c r="C253" s="27" t="s">
        <v>820</v>
      </c>
      <c r="D253" s="17">
        <v>1</v>
      </c>
      <c r="E253" s="29" t="str">
        <f>IFERROR(VLOOKUP(C253,기출문제!D:G,3,0),"")</f>
        <v>81. 고용보험법령상 급여에 관한 설명으로 옳은 것은?
① 이주비의 금액은 수급자격자 및 그 수급자격자에 의존하여 생계를 유지하는 동거친족의 이주에 일반적으로 드는 비용으로 하되, 그 금액의 산정은 고용노동부령으로 정하는 바에 따라 따른다.
② 근로자를 전혀 사용하지 아니하는 자영업자는 자신을 피보험자로 하여 조기재취업수당을 지급받을 수 있다.
③ 구직급여의 산정 기초가 되는 임금일액(기초일액)의 상한액은 9만 6천원이다.
④ 고용노동부장관은 고용조정이 불가피하게 된 사업주가 근로자에 대한 휴업을 실시한 경우, 근로자의 임금이 평균임금의 100분의 70 미만으로 감소할 때는 그 근로자에게도 필요한 지원을 할 수 있다.
⑤ 피보험자가 육아휴직 급여 기간 중에 그 사업에서 이직한 경우에도 육아휴직 급여를 지급한다.</v>
      </c>
      <c r="F253" s="30">
        <f>IFERROR(VLOOKUP(C253,기출문제!D:G,4,0),"")</f>
        <v>1</v>
      </c>
      <c r="G253" s="31" t="str">
        <f t="shared" si="3"/>
        <v>O</v>
      </c>
      <c r="J253" s="23"/>
    </row>
    <row r="254" spans="2:10" s="21" customFormat="1" ht="128.25" x14ac:dyDescent="0.3">
      <c r="B254" s="17">
        <v>247</v>
      </c>
      <c r="C254" s="27" t="s">
        <v>821</v>
      </c>
      <c r="D254" s="17">
        <v>3</v>
      </c>
      <c r="E254" s="29" t="str">
        <f>IFERROR(VLOOKUP(C254,기출문제!D:G,3,0),"")</f>
        <v>82. 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
① ㄱ
② ㄱ, ㄴ
③ ㄱ, ㄷ
④ ㄴ, ㄷ
⑤ ㄱ, ㄴ, ㄷ</v>
      </c>
      <c r="F254" s="30">
        <f>IFERROR(VLOOKUP(C254,기출문제!D:G,4,0),"")</f>
        <v>3</v>
      </c>
      <c r="G254" s="31" t="str">
        <f t="shared" si="3"/>
        <v>O</v>
      </c>
      <c r="J254" s="23"/>
    </row>
    <row r="255" spans="2:10" s="21" customFormat="1" ht="99.75" x14ac:dyDescent="0.3">
      <c r="B255" s="17">
        <v>248</v>
      </c>
      <c r="C255" s="27" t="s">
        <v>822</v>
      </c>
      <c r="D255" s="17">
        <v>3</v>
      </c>
      <c r="E255" s="29" t="str">
        <f>IFERROR(VLOOKUP(C255,기출문제!D:G,3,0),"")</f>
        <v>83. 고용보험법상 피보험자격의 취득일 및 상실일에 관한 설명으로 옳은 것은?
① 피보험자는 고용보험법이 적용되는 사업에 고용된 날의 다음 날에 피보험자격을 취득한다.
② 적용 제외 근로자였던 자가 고용보험법의 적용을 받게 된 경우에는 그 적용을 받게 된 날의 다음 날에 피보험자격을 취득한 것으로 본다.
③ 피보험자가 적용 제외 근로자에 해당하게 된 경우에는 그 적용 제외 대상자가 된 날의 다음 날에 피보험자격을 상실한다.
④ 보험관계가 소멸한 경우에는 그 보험관계가 소멸한 날의 다음 날에 피보험자격을 상실한다.
⑤ 피보험자가 이직한 경우에는 이직한 날의 다음 날에 피보험자격을 상실한다.</v>
      </c>
      <c r="F255" s="30">
        <f>IFERROR(VLOOKUP(C255,기출문제!D:G,4,0),"")</f>
        <v>5</v>
      </c>
      <c r="G255" s="31" t="str">
        <f t="shared" si="3"/>
        <v>X</v>
      </c>
      <c r="J255" s="23"/>
    </row>
    <row r="256" spans="2:10" s="21" customFormat="1" ht="85.5" x14ac:dyDescent="0.3">
      <c r="B256" s="17">
        <v>249</v>
      </c>
      <c r="C256" s="27" t="s">
        <v>823</v>
      </c>
      <c r="D256" s="17">
        <v>3</v>
      </c>
      <c r="E256" s="29" t="str">
        <f>IFERROR(VLOOKUP(C256,기출문제!D:G,3,0),"")</f>
        <v>84. 고용보험법상 고용보험심사위원회의 재심사 청구에서 재심사 청구인의 대리인이 될 수 없는 자는?
① 청구인인 법인의 직원
② 청구인의 배우자
③ 청구인이 가입한 노동조합의 위원장
④ 변호사
⑤ 고용보험심사위원회의 허가를 받은 자</v>
      </c>
      <c r="F256" s="30">
        <f>IFERROR(VLOOKUP(C256,기출문제!D:G,4,0),"")</f>
        <v>3</v>
      </c>
      <c r="G256" s="31" t="str">
        <f t="shared" si="3"/>
        <v>O</v>
      </c>
      <c r="J256" s="23"/>
    </row>
    <row r="257" spans="2:10" s="21" customFormat="1" ht="85.5" x14ac:dyDescent="0.3">
      <c r="B257" s="17">
        <v>250</v>
      </c>
      <c r="C257" s="27" t="s">
        <v>824</v>
      </c>
      <c r="D257" s="17">
        <v>0</v>
      </c>
      <c r="E257" s="29" t="str">
        <f>IFERROR(VLOOKUP(C257,기출문제!D:G,3,0),"")</f>
        <v>85. 고용보험법상 구직급여(상병급여)의 수급자격 제한 또는 지급 제한이 되지 않는 경우는?
① 중대한 귀책사유로 해고된 피보험자로서 정당한 사유 없이 근로계약 또는 취업규칙 등을 위반하여 장기간 무단 결근한 경우
② 자기 사정으로 이직한 피보험자로서 전직 또는 자영업을 하기 위하여 이직한 경우
③ 중대한 귀책사유가 있는 자가 해고되지 아니하고 사업주의 권고로 이직한 경우
④ 퇴직한 근로자로서 국민연금법에 의한 노령연금을 지급받는 경우
⑤ 실업신고 이후 산업재해보상보험법에 따른 휴업급여를 지급받을 수 있는 경우</v>
      </c>
      <c r="F257" s="30">
        <f>IFERROR(VLOOKUP(C257,기출문제!D:G,4,0),"")</f>
        <v>4</v>
      </c>
      <c r="G257" s="31" t="str">
        <f t="shared" si="3"/>
        <v>X</v>
      </c>
      <c r="J257" s="23"/>
    </row>
    <row r="258" spans="2:10" s="21" customFormat="1" ht="114" x14ac:dyDescent="0.3">
      <c r="B258" s="17">
        <v>251</v>
      </c>
      <c r="C258" s="27" t="s">
        <v>825</v>
      </c>
      <c r="D258" s="17">
        <v>1</v>
      </c>
      <c r="E258" s="29" t="str">
        <f>IFERROR(VLOOKUP(C258,기출문제!D:G,3,0),"")</f>
        <v>86. 산업재해보상보험법상 심사 청구 및 재심사 청구에 관한 설명으로 옳은 것은?
① 근로복지공단은 심사 청구서를 받은 날부터 60일 이내에 결정을 하여야 하지만, 부득이한 사유로 그 기간 이내에 결정을 할 수 없으면 1차에 한하여 20일을 넘지 아니하는 범위에서 그 기간을 연장할 수 있다.
② 심사 청구 및 재심사 청구에 관하여 산업재해보상보험법에서 정하고 있지 아니한 사항에 대하여는 행정소송법에 따른다.
③ 업무상질병판정위원회의 심의를 거친 보험급여에 관한 결정에 불복하는 자는 근로복지공단에 심사 청구를 하지 아니하고는 산업재해보상보험재심사위원회에 재심사 청구를 할 수 없다.
④ 심사 청구는 보험급여 결정 등이 있음을 안 날로부터 180일 이내에 하여야 한다.
⑤ 재심사위원회의 위원장은 재심사위원회의 제청으로 고용노동부장관이 임명한다.</v>
      </c>
      <c r="F258" s="30">
        <f>IFERROR(VLOOKUP(C258,기출문제!D:G,4,0),"")</f>
        <v>1</v>
      </c>
      <c r="G258" s="31" t="str">
        <f t="shared" si="3"/>
        <v>O</v>
      </c>
      <c r="J258" s="23"/>
    </row>
    <row r="259" spans="2:10" s="21" customFormat="1" ht="114" x14ac:dyDescent="0.3">
      <c r="B259" s="17">
        <v>252</v>
      </c>
      <c r="C259" s="27" t="s">
        <v>826</v>
      </c>
      <c r="D259" s="17">
        <v>4</v>
      </c>
      <c r="E259" s="29" t="str">
        <f>IFERROR(VLOOKUP(C259,기출문제!D:G,3,0),"")</f>
        <v>87. 산업재해보상보험법령상 재요양의 요건 및 절차에 해당하지 않는 것은?
① 치유된 업무상 부상 또는 질병과 재요양의 대상이 되는 부상 또는 질병 사이에 상당인과관계가 있을 것
② 재요양의 대상이 되는 부상 또는 질병의 상태가 치유 당시보다 악화된 경우로서 나이나 그 밖에 업무 외의 사유로 악화된 경우가 아닐 것
③ 재요양의 대상이 되는 부상 또는 질병의 상태가 재요양을 통해 호전되는 등 치료효과를 기대할 수 있을 것
④ 재요양을 받으려는 사람은 고용노동부령으로 정하는 바에 따라 공단에 재요양을 신청하여야 한다.
⑤ 업무상의 사유로 발생한 부상 또는 질병으로 인하여 요양 중으로서 그 부상 또는 질병의 상태가 치유 후에도 장해등급에 해당할 것이라는 내용의 의학적 소견이 있을 것</v>
      </c>
      <c r="F259" s="30">
        <f>IFERROR(VLOOKUP(C259,기출문제!D:G,4,0),"")</f>
        <v>5</v>
      </c>
      <c r="G259" s="31" t="str">
        <f t="shared" si="3"/>
        <v>X</v>
      </c>
      <c r="J259" s="23"/>
    </row>
    <row r="260" spans="2:10" s="21" customFormat="1" ht="85.5" x14ac:dyDescent="0.3">
      <c r="B260" s="17">
        <v>253</v>
      </c>
      <c r="C260" s="27" t="s">
        <v>827</v>
      </c>
      <c r="D260" s="17">
        <v>2</v>
      </c>
      <c r="E260" s="29" t="str">
        <f>IFERROR(VLOOKUP(C260,기출문제!D:G,3,0),"")</f>
        <v>88. 산업재해보상보험법상 보험급여에 관한 설명으로 옳지 않은 것은?
① 진폐에 따른 보험급여의 종류는 요양급여, 간병급여, 장례비, 직업재활급여, 진폐보상연금 및 진폐유족연금으로 한다.
② 요양급여는 근로자가 업무상의 사유로 부상을 당하거나 질병에 걸린 경우에 그 보험가입자에게 지급한다.
③ 요양으로 취업하지 못한 기간이 3일 이내이면 휴업급여를 지급하지 아니한다.
④ 대한민국 국민이 아닌 장해보상연금의 수급권자가 외국에서 거주하기 위하여 출국하는 경우 그 수급권이 소멸한다.
⑤ 산업재해로 사망한 근로자의 배우자가 재혼한 때 유족보상연금 수급자격을 잃는다.</v>
      </c>
      <c r="F260" s="30">
        <f>IFERROR(VLOOKUP(C260,기출문제!D:G,4,0),"")</f>
        <v>2</v>
      </c>
      <c r="G260" s="31" t="str">
        <f t="shared" si="3"/>
        <v>O</v>
      </c>
      <c r="J260" s="23"/>
    </row>
    <row r="261" spans="2:10" s="21" customFormat="1" ht="99.75" x14ac:dyDescent="0.3">
      <c r="B261" s="17">
        <v>254</v>
      </c>
      <c r="C261" s="27" t="s">
        <v>828</v>
      </c>
      <c r="D261" s="17">
        <v>0</v>
      </c>
      <c r="E261" s="29" t="str">
        <f>IFERROR(VLOOKUP(C261,기출문제!D:G,3,0),"")</f>
        <v>89. 산업재해보상보험법상 내용으로 옳은 것은?
① 근로복지공단은 대통령령이 정하는 바에 따라 회계연도마다 사업 운영계획과 예산에 관하여 고용노동부장관의 승인을 받아야 한다.
② 업무상 질병의 인정 여부를 심의하기 위하여 고용노동부에 업무상질병판정위원회를 둔다.
③ 산업재해보상보험심사위원회는 근로복지공단의 결정에 대한 심사 청구를 심의하기 위하여 고용노동부에 두는 기구이다.
④ 산업재해보상보험및예방기금은 근로복지공단 기금운영위원회가 관리・운용한다.
⑤ 국가는 회계연도마다 예산범위 안에서 보험사업에 드는 비용을 지원하여야 한다.</v>
      </c>
      <c r="F261" s="30">
        <f>IFERROR(VLOOKUP(C261,기출문제!D:G,4,0),"")</f>
        <v>1</v>
      </c>
      <c r="G261" s="31" t="str">
        <f t="shared" si="3"/>
        <v>X</v>
      </c>
      <c r="J261" s="23"/>
    </row>
    <row r="262" spans="2:10" s="21" customFormat="1" ht="114" x14ac:dyDescent="0.3">
      <c r="B262" s="17">
        <v>255</v>
      </c>
      <c r="C262" s="27" t="s">
        <v>829</v>
      </c>
      <c r="D262" s="17">
        <v>3</v>
      </c>
      <c r="E262" s="29" t="str">
        <f>IFERROR(VLOOKUP(C262,기출문제!D:G,3,0),"")</f>
        <v>90. 산업재해보상보험법상 연금의 지급기간 및 지급시기에 관한 설명으로 옳은 것은?
① 장해보상연금의 지급은 그 지급사유가 발생한 달의 초일부터 시작된다.
② 유족보상연금의 지급은 그 지급받을 권리가 소멸한 달의 다음 달 말일에 끝난다.
③ 진폐유족연금은 그 지급을 정지할 사유가 발생한 때에는 그 사유가 발생한 달의 다음 달 초일부터 그 사유가 소멸한 달의 말일까지 지급하지 아니한다.
④ 진폐보상연금은 매년 이를 12등분하여 매달 25일에 그 달 치의 금액을 지급하되, 지급일이 토요일이거나 공휴일이면 그 다음날에 지급한다.
⑤ 유족보상연금의 지급은 그 지급사유가 발생한 달의 초일부터 시작된다.</v>
      </c>
      <c r="F262" s="30">
        <f>IFERROR(VLOOKUP(C262,기출문제!D:G,4,0),"")</f>
        <v>3</v>
      </c>
      <c r="G262" s="31" t="str">
        <f t="shared" si="3"/>
        <v>O</v>
      </c>
      <c r="J262" s="23"/>
    </row>
    <row r="263" spans="2:10" s="21" customFormat="1" ht="142.5" x14ac:dyDescent="0.3">
      <c r="B263" s="17">
        <v>256</v>
      </c>
      <c r="C263" s="27" t="s">
        <v>830</v>
      </c>
      <c r="D263" s="17">
        <v>3</v>
      </c>
      <c r="E263" s="29" t="str">
        <f>IFERROR(VLOOKUP(C263,기출문제!D:G,3,0),"")</f>
        <v>91. 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
① ㄱ, ㄷ
② ㄴ, ㄹ
③ ㄱ, ㄴ, ㄷ
④ ㄱ, ㄴ, ㄹ
⑤ ㄴ, ㄷ, ㄹ</v>
      </c>
      <c r="F263" s="30">
        <f>IFERROR(VLOOKUP(C263,기출문제!D:G,4,0),"")</f>
        <v>3</v>
      </c>
      <c r="G263" s="31" t="str">
        <f t="shared" si="3"/>
        <v>O</v>
      </c>
      <c r="J263" s="23"/>
    </row>
    <row r="264" spans="2:10" s="21" customFormat="1" ht="185.25" x14ac:dyDescent="0.3">
      <c r="B264" s="17">
        <v>257</v>
      </c>
      <c r="C264" s="27" t="s">
        <v>607</v>
      </c>
      <c r="D264" s="17">
        <v>0</v>
      </c>
      <c r="E264" s="29" t="str">
        <f>IFERROR(VLOOKUP(C264,기출문제!D:G,3,0),"")</f>
        <v>92. 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
① 20
② 21
③ 22
④ 23
⑤ 24</v>
      </c>
      <c r="F264" s="30">
        <f>IFERROR(VLOOKUP(C264,기출문제!D:G,4,0),"")</f>
        <v>4</v>
      </c>
      <c r="G264" s="31" t="str">
        <f t="shared" si="3"/>
        <v>X</v>
      </c>
      <c r="J264" s="23"/>
    </row>
    <row r="265" spans="2:10" s="21" customFormat="1" ht="85.5" x14ac:dyDescent="0.3">
      <c r="B265" s="17">
        <v>258</v>
      </c>
      <c r="C265" s="27" t="s">
        <v>831</v>
      </c>
      <c r="D265" s="17">
        <v>5</v>
      </c>
      <c r="E265" s="29" t="str">
        <f>IFERROR(VLOOKUP(C265,기출문제!D:G,3,0),"")</f>
        <v>93. 국민연금법상 장애등급 3급에 해당하는 자에 대하여 지급하는 장애연금액은?
① 기본연금액의 100%
② 기본연금액의 90%에 부양가족연금액을 더한 금액
③ 기본연금액의 80%에 부양가족연금액을 더한 금액
④ 기본연금액의 70%에 부양가족연금액을 더한 금액
⑤ 기본연금액의 60%에 부양가족연금액을 더한 금액</v>
      </c>
      <c r="F265" s="30">
        <f>IFERROR(VLOOKUP(C265,기출문제!D:G,4,0),"")</f>
        <v>5</v>
      </c>
      <c r="G265" s="31" t="str">
        <f t="shared" ref="G265:G328" si="4">IF(D265="","",IF(D265=F265,"O", "X"))</f>
        <v>O</v>
      </c>
      <c r="J265" s="23"/>
    </row>
    <row r="266" spans="2:10" s="21" customFormat="1" ht="114" x14ac:dyDescent="0.3">
      <c r="B266" s="17">
        <v>259</v>
      </c>
      <c r="C266" s="27" t="s">
        <v>832</v>
      </c>
      <c r="D266" s="17">
        <v>4</v>
      </c>
      <c r="E266" s="29" t="str">
        <f>IFERROR(VLOOKUP(C266,기출문제!D:G,3,0),"")</f>
        <v>94. 국민건강보험법령상 보험료에 관한 설명으로 옳지 않은 것은?
① 직장가입자의 보수월액보험료는 직장가입자가 납부한다.
② 보수가 지급되지 아니하는 사용자의 보수월액은 객관적인 자료를 통하여 확인된 금액으로 하고, 객관적인 자료가 없는 경우에는 사용자의 신고금액으로 한다.
③ 직장가입자의 소득월액보험료 및 지역가입자의 보험료는 분기별로 납부할 수 있다.
④ 직장가입자의 월별 보험료액은 보수월액에 보험료율을 곱하여 얻은 금액과 보수 외 소득월액에 보험료율을 곱하여 얻은 금액으로 한다.
⑤ 직장가입자의 소득월액보험료는 직장가입자가 전액 부담한다.</v>
      </c>
      <c r="F266" s="30">
        <f>IFERROR(VLOOKUP(C266,기출문제!D:G,4,0),"")</f>
        <v>1</v>
      </c>
      <c r="G266" s="31" t="str">
        <f t="shared" si="4"/>
        <v>X</v>
      </c>
      <c r="J266" s="23"/>
    </row>
    <row r="267" spans="2:10" s="21" customFormat="1" ht="85.5" x14ac:dyDescent="0.3">
      <c r="B267" s="17">
        <v>260</v>
      </c>
      <c r="C267" s="27" t="s">
        <v>833</v>
      </c>
      <c r="D267" s="17">
        <v>0</v>
      </c>
      <c r="E267" s="29" t="str">
        <f>IFERROR(VLOOKUP(C267,기출문제!D:G,3,0),"")</f>
        <v>95. 국민건강보험법상 건강보험심사평가원의 관장 업무가 아닌 것은?
① 요양급여비용의 심사
② 요양급여의 적정성 평가
③ 심사기준 및 평가기준의 개발
④ 직장가입자의 보험료율에 대한 심사
⑤ 건강보험과 관련하여 보건복지부장관이 필요하다고 인정한 업무</v>
      </c>
      <c r="F267" s="30">
        <f>IFERROR(VLOOKUP(C267,기출문제!D:G,4,0),"")</f>
        <v>4</v>
      </c>
      <c r="G267" s="31" t="str">
        <f t="shared" si="4"/>
        <v>X</v>
      </c>
      <c r="J267" s="23"/>
    </row>
    <row r="268" spans="2:10" s="21" customFormat="1" ht="99.75" x14ac:dyDescent="0.3">
      <c r="B268" s="17">
        <v>261</v>
      </c>
      <c r="C268" s="27" t="s">
        <v>834</v>
      </c>
      <c r="D268" s="17">
        <v>4</v>
      </c>
      <c r="E268" s="29" t="str">
        <f>IFERROR(VLOOKUP(C268,기출문제!D:G,3,0),"")</f>
        <v>96. 고용보험 및 산업재해보상보험의 보험료 징수 등에 관한 법률상 보험관계의 성립일 또는 소멸일에 해당하지 않는 것은?
① 보험에 가입한 하수급인의 경우에는 그 하도급공사의 착공일
② 사업이 폐업된 날의 다음 날
③ 사업 실체가 없는 등의 사유로 계속하여 보험관계를 유지할 수 없다고 인정하여 근로복지공단이 보험관계를 소멸시키는 경우에는 그 소멸을 결정・통지한 날의 다음 날
④ 근로복지공단의 승인을 얻어 가입한 보험계약을 해지하는 경우에는 그 해지에 관하여 공단의 승인을 받은 날
⑤ 사업이 끝난 날의 다음 날</v>
      </c>
      <c r="F268" s="30">
        <f>IFERROR(VLOOKUP(C268,기출문제!D:G,4,0),"")</f>
        <v>4</v>
      </c>
      <c r="G268" s="31" t="str">
        <f t="shared" si="4"/>
        <v>O</v>
      </c>
      <c r="J268" s="23"/>
    </row>
    <row r="269" spans="2:10" s="21" customFormat="1" ht="128.25" x14ac:dyDescent="0.3">
      <c r="B269" s="17">
        <v>262</v>
      </c>
      <c r="C269" s="27" t="s">
        <v>835</v>
      </c>
      <c r="D269" s="17">
        <v>5</v>
      </c>
      <c r="E269" s="29" t="str">
        <f>IFERROR(VLOOKUP(C269,기출문제!D:G,3,0),"")</f>
        <v>97. 고용보험 및 산업재해보상보험의 보험료 징수 등에 관한 법률상 보험료율에 관한 설명으로 옳은 것은?
① 개별실적요율의 적용을 받는 사업의 산재보험료율은 100분의 75의 범위에서 대통령령으로 정하는 바에 따라 인상하거나 인하할 수 있다.
② 고용보험료율을 결정하거나 변경하려면 고용보험법에 따른 고용보험위원회의 심의를 거쳐야 한다.
③ 산재보험료율은 매년 6월 30일 현재 과거 2년 동안의 보수총액에 대한 산재보험급여총액의 비율을 기초로 하여 정한다.
④ 고용노동부장관은 특정 사업 종류의 산재보험료율이 전체 사업의 평균 산재보험료율의 10배를 초과하지 아니하도록 하여야 한다.
⑤ 특정 사업 종류의 산재보험료율이 인상되거나 인하되는 경우에는 직전 보험연도 산재보험료율의 100분의 20의 범위에서 조정하여야 한다.</v>
      </c>
      <c r="F269" s="30">
        <f>IFERROR(VLOOKUP(C269,기출문제!D:G,4,0),"")</f>
        <v>2</v>
      </c>
      <c r="G269" s="31" t="str">
        <f t="shared" si="4"/>
        <v>X</v>
      </c>
      <c r="J269" s="23"/>
    </row>
    <row r="270" spans="2:10" s="21" customFormat="1" ht="99.75" x14ac:dyDescent="0.3">
      <c r="B270" s="17">
        <v>263</v>
      </c>
      <c r="C270" s="27" t="s">
        <v>836</v>
      </c>
      <c r="D270" s="17">
        <v>4</v>
      </c>
      <c r="E270" s="29" t="str">
        <f>IFERROR(VLOOKUP(C270,기출문제!D:G,3,0),"")</f>
        <v>98. 고용보험 및 산업재해보상보험의 보험료 징수 등에 관한 법률상 납부의무가 확정된 보험료의 총액이 600만원인 경우, 당해 보험료를 납부기한 전에 징수할 수 있는 사유로 옳지 않은 것은?
① 경매가 개시된 경우
② 국세를 체납한 경우
③ 강제집행을 받은 경우
④ 공과금을 체납하여 체납처분을 받은 경우
⑤ 어음법 및 수표법에 따른 어음교환소에서 거래정지처분을 받은 경우</v>
      </c>
      <c r="F270" s="30">
        <f>IFERROR(VLOOKUP(C270,기출문제!D:G,4,0),"")</f>
        <v>2</v>
      </c>
      <c r="G270" s="31" t="str">
        <f t="shared" si="4"/>
        <v>X</v>
      </c>
      <c r="J270" s="23"/>
    </row>
    <row r="271" spans="2:10" s="21" customFormat="1" ht="114" x14ac:dyDescent="0.3">
      <c r="B271" s="17">
        <v>264</v>
      </c>
      <c r="C271" s="27" t="s">
        <v>837</v>
      </c>
      <c r="D271" s="17">
        <v>3</v>
      </c>
      <c r="E271" s="29" t="str">
        <f>IFERROR(VLOOKUP(C271,기출문제!D:G,3,0),"")</f>
        <v>99. 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
① 10
② 20
③ 30
④ 40
⑤ 50</v>
      </c>
      <c r="F271" s="30">
        <f>IFERROR(VLOOKUP(C271,기출문제!D:G,4,0),"")</f>
        <v>3</v>
      </c>
      <c r="G271" s="31" t="str">
        <f t="shared" si="4"/>
        <v>O</v>
      </c>
      <c r="J271" s="23"/>
    </row>
    <row r="272" spans="2:10" s="21" customFormat="1" ht="99.75" x14ac:dyDescent="0.3">
      <c r="B272" s="17">
        <v>265</v>
      </c>
      <c r="C272" s="27" t="s">
        <v>838</v>
      </c>
      <c r="D272" s="17">
        <v>4</v>
      </c>
      <c r="E272" s="29" t="str">
        <f>IFERROR(VLOOKUP(C272,기출문제!D:G,3,0),"")</f>
        <v>100. 고용보험 및 산업재해보상보험의 보험료 징수 등에 관한 법률상 보험료에 관한 설명으로 옳은 것은?
① 고용보험료는 근로복지공단이 부과하고 이를 징수한다.
② 근로자가 월의 중간에 동일한 사업주의 하나의 사업장에서 다른 사업장으로 전근되는 경우 그 근로자에 대한 그 월별보험료는 해당 월의 다음 달부터 산정한다.
③ 사업주는 그 달의 월별보험료를 다음 달 15일까지 납부하여야 한다.
④ 근로복지공단은 사업주에게 문서로써 납부기한 10일 전까지 월별보험료의 납입을 고지하여야 한다.
⑤ 사업주는 전년도에 근로자에게 지급한 보수총액 등을 매년 1월 31일까지 근로복지공단에 신고하여야 한다.</v>
      </c>
      <c r="F272" s="30">
        <f>IFERROR(VLOOKUP(C272,기출문제!D:G,4,0),"")</f>
        <v>2</v>
      </c>
      <c r="G272" s="31" t="str">
        <f t="shared" si="4"/>
        <v>X</v>
      </c>
      <c r="J272" s="23"/>
    </row>
    <row r="273" spans="2:10" s="21" customFormat="1" x14ac:dyDescent="0.3">
      <c r="B273" s="17">
        <v>266</v>
      </c>
      <c r="C273" s="27" t="s">
        <v>723</v>
      </c>
      <c r="D273" s="17"/>
      <c r="E273" s="29" t="str">
        <f>IFERROR(VLOOKUP(C273,기출문제!D:G,3,0),"")</f>
        <v/>
      </c>
      <c r="F273" s="30" t="str">
        <f>IFERROR(VLOOKUP(C273,기출문제!D:G,4,0),"")</f>
        <v/>
      </c>
      <c r="G273" s="31" t="str">
        <f t="shared" si="4"/>
        <v/>
      </c>
      <c r="J273" s="23"/>
    </row>
    <row r="274" spans="2:10" s="21" customFormat="1" x14ac:dyDescent="0.3">
      <c r="B274" s="17">
        <v>267</v>
      </c>
      <c r="C274" s="27" t="s">
        <v>723</v>
      </c>
      <c r="D274" s="17"/>
      <c r="E274" s="29" t="str">
        <f>IFERROR(VLOOKUP(C274,기출문제!D:G,3,0),"")</f>
        <v/>
      </c>
      <c r="F274" s="30" t="str">
        <f>IFERROR(VLOOKUP(C274,기출문제!D:G,4,0),"")</f>
        <v/>
      </c>
      <c r="G274" s="31" t="str">
        <f t="shared" si="4"/>
        <v/>
      </c>
      <c r="J274" s="23"/>
    </row>
    <row r="275" spans="2:10" s="21" customFormat="1" x14ac:dyDescent="0.3">
      <c r="B275" s="17">
        <v>268</v>
      </c>
      <c r="C275" s="27" t="s">
        <v>723</v>
      </c>
      <c r="D275" s="17"/>
      <c r="E275" s="29" t="str">
        <f>IFERROR(VLOOKUP(C275,기출문제!D:G,3,0),"")</f>
        <v/>
      </c>
      <c r="F275" s="30" t="str">
        <f>IFERROR(VLOOKUP(C275,기출문제!D:G,4,0),"")</f>
        <v/>
      </c>
      <c r="G275" s="31" t="str">
        <f t="shared" si="4"/>
        <v/>
      </c>
      <c r="J275" s="23"/>
    </row>
    <row r="276" spans="2:10" s="21" customFormat="1" x14ac:dyDescent="0.3">
      <c r="B276" s="17">
        <v>269</v>
      </c>
      <c r="C276" s="27" t="s">
        <v>723</v>
      </c>
      <c r="D276" s="17"/>
      <c r="E276" s="29" t="str">
        <f>IFERROR(VLOOKUP(C276,기출문제!D:G,3,0),"")</f>
        <v/>
      </c>
      <c r="F276" s="30" t="str">
        <f>IFERROR(VLOOKUP(C276,기출문제!D:G,4,0),"")</f>
        <v/>
      </c>
      <c r="G276" s="31" t="str">
        <f t="shared" si="4"/>
        <v/>
      </c>
      <c r="J276" s="23"/>
    </row>
    <row r="277" spans="2:10" s="21" customFormat="1" x14ac:dyDescent="0.3">
      <c r="B277" s="17">
        <v>270</v>
      </c>
      <c r="C277" s="27" t="s">
        <v>723</v>
      </c>
      <c r="D277" s="17"/>
      <c r="E277" s="29" t="str">
        <f>IFERROR(VLOOKUP(C277,기출문제!D:G,3,0),"")</f>
        <v/>
      </c>
      <c r="F277" s="30" t="str">
        <f>IFERROR(VLOOKUP(C277,기출문제!D:G,4,0),"")</f>
        <v/>
      </c>
      <c r="G277" s="31" t="str">
        <f t="shared" si="4"/>
        <v/>
      </c>
      <c r="J277" s="23"/>
    </row>
    <row r="278" spans="2:10" s="21" customFormat="1" x14ac:dyDescent="0.3">
      <c r="B278" s="17">
        <v>271</v>
      </c>
      <c r="C278" s="27" t="s">
        <v>723</v>
      </c>
      <c r="D278" s="17"/>
      <c r="E278" s="29" t="str">
        <f>IFERROR(VLOOKUP(C278,기출문제!D:G,3,0),"")</f>
        <v/>
      </c>
      <c r="F278" s="30" t="str">
        <f>IFERROR(VLOOKUP(C278,기출문제!D:G,4,0),"")</f>
        <v/>
      </c>
      <c r="G278" s="31" t="str">
        <f t="shared" si="4"/>
        <v/>
      </c>
      <c r="J278" s="23"/>
    </row>
    <row r="279" spans="2:10" s="21" customFormat="1" x14ac:dyDescent="0.3">
      <c r="B279" s="17">
        <v>272</v>
      </c>
      <c r="C279" s="27" t="s">
        <v>723</v>
      </c>
      <c r="D279" s="17"/>
      <c r="E279" s="29" t="str">
        <f>IFERROR(VLOOKUP(C279,기출문제!D:G,3,0),"")</f>
        <v/>
      </c>
      <c r="F279" s="30" t="str">
        <f>IFERROR(VLOOKUP(C279,기출문제!D:G,4,0),"")</f>
        <v/>
      </c>
      <c r="G279" s="31" t="str">
        <f t="shared" si="4"/>
        <v/>
      </c>
      <c r="J279" s="23"/>
    </row>
    <row r="280" spans="2:10" s="21" customFormat="1" x14ac:dyDescent="0.3">
      <c r="B280" s="17">
        <v>273</v>
      </c>
      <c r="C280" s="27" t="s">
        <v>723</v>
      </c>
      <c r="D280" s="17"/>
      <c r="E280" s="29" t="str">
        <f>IFERROR(VLOOKUP(C280,기출문제!D:G,3,0),"")</f>
        <v/>
      </c>
      <c r="F280" s="30" t="str">
        <f>IFERROR(VLOOKUP(C280,기출문제!D:G,4,0),"")</f>
        <v/>
      </c>
      <c r="G280" s="31" t="str">
        <f t="shared" si="4"/>
        <v/>
      </c>
      <c r="J280" s="23"/>
    </row>
    <row r="281" spans="2:10" s="21" customFormat="1" x14ac:dyDescent="0.3">
      <c r="B281" s="17">
        <v>274</v>
      </c>
      <c r="C281" s="27" t="s">
        <v>723</v>
      </c>
      <c r="D281" s="17"/>
      <c r="E281" s="29" t="str">
        <f>IFERROR(VLOOKUP(C281,기출문제!D:G,3,0),"")</f>
        <v/>
      </c>
      <c r="F281" s="30" t="str">
        <f>IFERROR(VLOOKUP(C281,기출문제!D:G,4,0),"")</f>
        <v/>
      </c>
      <c r="G281" s="31" t="str">
        <f t="shared" si="4"/>
        <v/>
      </c>
      <c r="J281" s="23"/>
    </row>
    <row r="282" spans="2:10" s="21" customFormat="1" x14ac:dyDescent="0.3">
      <c r="B282" s="17">
        <v>275</v>
      </c>
      <c r="C282" s="27" t="s">
        <v>723</v>
      </c>
      <c r="D282" s="17"/>
      <c r="E282" s="29" t="str">
        <f>IFERROR(VLOOKUP(C282,기출문제!D:G,3,0),"")</f>
        <v/>
      </c>
      <c r="F282" s="30" t="str">
        <f>IFERROR(VLOOKUP(C282,기출문제!D:G,4,0),"")</f>
        <v/>
      </c>
      <c r="G282" s="31" t="str">
        <f t="shared" si="4"/>
        <v/>
      </c>
      <c r="J282" s="23"/>
    </row>
    <row r="283" spans="2:10" s="21" customFormat="1" x14ac:dyDescent="0.3">
      <c r="B283" s="17">
        <v>276</v>
      </c>
      <c r="C283" s="27" t="s">
        <v>723</v>
      </c>
      <c r="D283" s="17"/>
      <c r="E283" s="29" t="str">
        <f>IFERROR(VLOOKUP(C283,기출문제!D:G,3,0),"")</f>
        <v/>
      </c>
      <c r="F283" s="30" t="str">
        <f>IFERROR(VLOOKUP(C283,기출문제!D:G,4,0),"")</f>
        <v/>
      </c>
      <c r="G283" s="31" t="str">
        <f t="shared" si="4"/>
        <v/>
      </c>
      <c r="J283" s="23"/>
    </row>
    <row r="284" spans="2:10" s="21" customFormat="1" x14ac:dyDescent="0.3">
      <c r="B284" s="17">
        <v>277</v>
      </c>
      <c r="C284" s="27" t="s">
        <v>723</v>
      </c>
      <c r="D284" s="17"/>
      <c r="E284" s="29" t="str">
        <f>IFERROR(VLOOKUP(C284,기출문제!D:G,3,0),"")</f>
        <v/>
      </c>
      <c r="F284" s="30" t="str">
        <f>IFERROR(VLOOKUP(C284,기출문제!D:G,4,0),"")</f>
        <v/>
      </c>
      <c r="G284" s="31" t="str">
        <f t="shared" si="4"/>
        <v/>
      </c>
      <c r="J284" s="23"/>
    </row>
    <row r="285" spans="2:10" s="21" customFormat="1" x14ac:dyDescent="0.3">
      <c r="B285" s="17">
        <v>278</v>
      </c>
      <c r="C285" s="27" t="s">
        <v>723</v>
      </c>
      <c r="D285" s="17"/>
      <c r="E285" s="29" t="str">
        <f>IFERROR(VLOOKUP(C285,기출문제!D:G,3,0),"")</f>
        <v/>
      </c>
      <c r="F285" s="30" t="str">
        <f>IFERROR(VLOOKUP(C285,기출문제!D:G,4,0),"")</f>
        <v/>
      </c>
      <c r="G285" s="31" t="str">
        <f t="shared" si="4"/>
        <v/>
      </c>
      <c r="J285" s="23"/>
    </row>
    <row r="286" spans="2:10" s="21" customFormat="1" x14ac:dyDescent="0.3">
      <c r="B286" s="17">
        <v>279</v>
      </c>
      <c r="C286" s="27" t="s">
        <v>723</v>
      </c>
      <c r="D286" s="17"/>
      <c r="E286" s="29" t="str">
        <f>IFERROR(VLOOKUP(C286,기출문제!D:G,3,0),"")</f>
        <v/>
      </c>
      <c r="F286" s="30" t="str">
        <f>IFERROR(VLOOKUP(C286,기출문제!D:G,4,0),"")</f>
        <v/>
      </c>
      <c r="G286" s="31" t="str">
        <f t="shared" si="4"/>
        <v/>
      </c>
      <c r="J286" s="23"/>
    </row>
    <row r="287" spans="2:10" s="21" customFormat="1" x14ac:dyDescent="0.3">
      <c r="B287" s="17">
        <v>280</v>
      </c>
      <c r="C287" s="27" t="s">
        <v>723</v>
      </c>
      <c r="D287" s="17"/>
      <c r="E287" s="29" t="str">
        <f>IFERROR(VLOOKUP(C287,기출문제!D:G,3,0),"")</f>
        <v/>
      </c>
      <c r="F287" s="30" t="str">
        <f>IFERROR(VLOOKUP(C287,기출문제!D:G,4,0),"")</f>
        <v/>
      </c>
      <c r="G287" s="31" t="str">
        <f t="shared" si="4"/>
        <v/>
      </c>
      <c r="J287" s="23"/>
    </row>
    <row r="288" spans="2:10" s="21" customFormat="1" x14ac:dyDescent="0.3">
      <c r="B288" s="17">
        <v>281</v>
      </c>
      <c r="C288" s="27" t="s">
        <v>723</v>
      </c>
      <c r="D288" s="17"/>
      <c r="E288" s="29" t="str">
        <f>IFERROR(VLOOKUP(C288,기출문제!D:G,3,0),"")</f>
        <v/>
      </c>
      <c r="F288" s="30" t="str">
        <f>IFERROR(VLOOKUP(C288,기출문제!D:G,4,0),"")</f>
        <v/>
      </c>
      <c r="G288" s="31" t="str">
        <f t="shared" si="4"/>
        <v/>
      </c>
      <c r="J288" s="23"/>
    </row>
    <row r="289" spans="2:10" s="21" customFormat="1" x14ac:dyDescent="0.3">
      <c r="B289" s="17">
        <v>282</v>
      </c>
      <c r="C289" s="27" t="s">
        <v>723</v>
      </c>
      <c r="D289" s="17"/>
      <c r="E289" s="29" t="str">
        <f>IFERROR(VLOOKUP(C289,기출문제!D:G,3,0),"")</f>
        <v/>
      </c>
      <c r="F289" s="30" t="str">
        <f>IFERROR(VLOOKUP(C289,기출문제!D:G,4,0),"")</f>
        <v/>
      </c>
      <c r="G289" s="31" t="str">
        <f t="shared" si="4"/>
        <v/>
      </c>
      <c r="J289" s="23"/>
    </row>
    <row r="290" spans="2:10" s="21" customFormat="1" x14ac:dyDescent="0.3">
      <c r="B290" s="17">
        <v>283</v>
      </c>
      <c r="C290" s="27" t="s">
        <v>723</v>
      </c>
      <c r="D290" s="17"/>
      <c r="E290" s="29" t="str">
        <f>IFERROR(VLOOKUP(C290,기출문제!D:G,3,0),"")</f>
        <v/>
      </c>
      <c r="F290" s="30" t="str">
        <f>IFERROR(VLOOKUP(C290,기출문제!D:G,4,0),"")</f>
        <v/>
      </c>
      <c r="G290" s="31" t="str">
        <f t="shared" si="4"/>
        <v/>
      </c>
      <c r="J290" s="23"/>
    </row>
    <row r="291" spans="2:10" s="21" customFormat="1" x14ac:dyDescent="0.3">
      <c r="B291" s="17">
        <v>284</v>
      </c>
      <c r="C291" s="27" t="s">
        <v>723</v>
      </c>
      <c r="D291" s="17"/>
      <c r="E291" s="29" t="str">
        <f>IFERROR(VLOOKUP(C291,기출문제!D:G,3,0),"")</f>
        <v/>
      </c>
      <c r="F291" s="30" t="str">
        <f>IFERROR(VLOOKUP(C291,기출문제!D:G,4,0),"")</f>
        <v/>
      </c>
      <c r="G291" s="31" t="str">
        <f t="shared" si="4"/>
        <v/>
      </c>
      <c r="J291" s="23"/>
    </row>
    <row r="292" spans="2:10" s="21" customFormat="1" x14ac:dyDescent="0.3">
      <c r="B292" s="17">
        <v>285</v>
      </c>
      <c r="C292" s="27" t="s">
        <v>723</v>
      </c>
      <c r="D292" s="17"/>
      <c r="E292" s="29" t="str">
        <f>IFERROR(VLOOKUP(C292,기출문제!D:G,3,0),"")</f>
        <v/>
      </c>
      <c r="F292" s="30" t="str">
        <f>IFERROR(VLOOKUP(C292,기출문제!D:G,4,0),"")</f>
        <v/>
      </c>
      <c r="G292" s="31" t="str">
        <f t="shared" si="4"/>
        <v/>
      </c>
      <c r="J292" s="23"/>
    </row>
    <row r="293" spans="2:10" s="21" customFormat="1" x14ac:dyDescent="0.3">
      <c r="B293" s="17">
        <v>286</v>
      </c>
      <c r="C293" s="27" t="s">
        <v>723</v>
      </c>
      <c r="D293" s="17"/>
      <c r="E293" s="29" t="str">
        <f>IFERROR(VLOOKUP(C293,기출문제!D:G,3,0),"")</f>
        <v/>
      </c>
      <c r="F293" s="30" t="str">
        <f>IFERROR(VLOOKUP(C293,기출문제!D:G,4,0),"")</f>
        <v/>
      </c>
      <c r="G293" s="31" t="str">
        <f t="shared" si="4"/>
        <v/>
      </c>
      <c r="J293" s="23"/>
    </row>
    <row r="294" spans="2:10" s="21" customFormat="1" x14ac:dyDescent="0.3">
      <c r="B294" s="17">
        <v>287</v>
      </c>
      <c r="C294" s="27" t="s">
        <v>723</v>
      </c>
      <c r="D294" s="17"/>
      <c r="E294" s="29" t="str">
        <f>IFERROR(VLOOKUP(C294,기출문제!D:G,3,0),"")</f>
        <v/>
      </c>
      <c r="F294" s="30" t="str">
        <f>IFERROR(VLOOKUP(C294,기출문제!D:G,4,0),"")</f>
        <v/>
      </c>
      <c r="G294" s="31" t="str">
        <f t="shared" si="4"/>
        <v/>
      </c>
      <c r="J294" s="23"/>
    </row>
    <row r="295" spans="2:10" s="21" customFormat="1" x14ac:dyDescent="0.3">
      <c r="B295" s="17">
        <v>288</v>
      </c>
      <c r="C295" s="27" t="s">
        <v>723</v>
      </c>
      <c r="D295" s="17"/>
      <c r="E295" s="29" t="str">
        <f>IFERROR(VLOOKUP(C295,기출문제!D:G,3,0),"")</f>
        <v/>
      </c>
      <c r="F295" s="30" t="str">
        <f>IFERROR(VLOOKUP(C295,기출문제!D:G,4,0),"")</f>
        <v/>
      </c>
      <c r="G295" s="31" t="str">
        <f t="shared" si="4"/>
        <v/>
      </c>
      <c r="J295" s="23"/>
    </row>
    <row r="296" spans="2:10" s="21" customFormat="1" x14ac:dyDescent="0.3">
      <c r="B296" s="17">
        <v>289</v>
      </c>
      <c r="C296" s="27" t="s">
        <v>723</v>
      </c>
      <c r="D296" s="17"/>
      <c r="E296" s="29" t="str">
        <f>IFERROR(VLOOKUP(C296,기출문제!D:G,3,0),"")</f>
        <v/>
      </c>
      <c r="F296" s="30" t="str">
        <f>IFERROR(VLOOKUP(C296,기출문제!D:G,4,0),"")</f>
        <v/>
      </c>
      <c r="G296" s="31" t="str">
        <f t="shared" si="4"/>
        <v/>
      </c>
      <c r="J296" s="23"/>
    </row>
    <row r="297" spans="2:10" s="21" customFormat="1" x14ac:dyDescent="0.3">
      <c r="B297" s="17">
        <v>290</v>
      </c>
      <c r="C297" s="27" t="s">
        <v>723</v>
      </c>
      <c r="D297" s="17"/>
      <c r="E297" s="29" t="str">
        <f>IFERROR(VLOOKUP(C297,기출문제!D:G,3,0),"")</f>
        <v/>
      </c>
      <c r="F297" s="30" t="str">
        <f>IFERROR(VLOOKUP(C297,기출문제!D:G,4,0),"")</f>
        <v/>
      </c>
      <c r="G297" s="31" t="str">
        <f t="shared" si="4"/>
        <v/>
      </c>
      <c r="J297" s="23"/>
    </row>
    <row r="298" spans="2:10" s="21" customFormat="1" x14ac:dyDescent="0.3">
      <c r="B298" s="17">
        <v>291</v>
      </c>
      <c r="C298" s="27" t="s">
        <v>723</v>
      </c>
      <c r="D298" s="17"/>
      <c r="E298" s="29" t="str">
        <f>IFERROR(VLOOKUP(C298,기출문제!D:G,3,0),"")</f>
        <v/>
      </c>
      <c r="F298" s="30" t="str">
        <f>IFERROR(VLOOKUP(C298,기출문제!D:G,4,0),"")</f>
        <v/>
      </c>
      <c r="G298" s="31" t="str">
        <f t="shared" si="4"/>
        <v/>
      </c>
      <c r="J298" s="23"/>
    </row>
    <row r="299" spans="2:10" s="21" customFormat="1" x14ac:dyDescent="0.3">
      <c r="B299" s="17">
        <v>292</v>
      </c>
      <c r="C299" s="27" t="s">
        <v>723</v>
      </c>
      <c r="D299" s="17"/>
      <c r="E299" s="29" t="str">
        <f>IFERROR(VLOOKUP(C299,기출문제!D:G,3,0),"")</f>
        <v/>
      </c>
      <c r="F299" s="30" t="str">
        <f>IFERROR(VLOOKUP(C299,기출문제!D:G,4,0),"")</f>
        <v/>
      </c>
      <c r="G299" s="31" t="str">
        <f t="shared" si="4"/>
        <v/>
      </c>
      <c r="J299" s="23"/>
    </row>
    <row r="300" spans="2:10" s="21" customFormat="1" x14ac:dyDescent="0.3">
      <c r="B300" s="17">
        <v>293</v>
      </c>
      <c r="C300" s="27" t="s">
        <v>723</v>
      </c>
      <c r="D300" s="17"/>
      <c r="E300" s="29" t="str">
        <f>IFERROR(VLOOKUP(C300,기출문제!D:G,3,0),"")</f>
        <v/>
      </c>
      <c r="F300" s="30" t="str">
        <f>IFERROR(VLOOKUP(C300,기출문제!D:G,4,0),"")</f>
        <v/>
      </c>
      <c r="G300" s="31" t="str">
        <f t="shared" si="4"/>
        <v/>
      </c>
      <c r="J300" s="23"/>
    </row>
    <row r="301" spans="2:10" s="21" customFormat="1" x14ac:dyDescent="0.3">
      <c r="B301" s="17">
        <v>294</v>
      </c>
      <c r="C301" s="27" t="s">
        <v>723</v>
      </c>
      <c r="D301" s="17"/>
      <c r="E301" s="29" t="str">
        <f>IFERROR(VLOOKUP(C301,기출문제!D:G,3,0),"")</f>
        <v/>
      </c>
      <c r="F301" s="30" t="str">
        <f>IFERROR(VLOOKUP(C301,기출문제!D:G,4,0),"")</f>
        <v/>
      </c>
      <c r="G301" s="31" t="str">
        <f t="shared" si="4"/>
        <v/>
      </c>
      <c r="J301" s="23"/>
    </row>
    <row r="302" spans="2:10" s="21" customFormat="1" x14ac:dyDescent="0.3">
      <c r="B302" s="17">
        <v>295</v>
      </c>
      <c r="C302" s="27" t="s">
        <v>723</v>
      </c>
      <c r="D302" s="17"/>
      <c r="E302" s="29" t="str">
        <f>IFERROR(VLOOKUP(C302,기출문제!D:G,3,0),"")</f>
        <v/>
      </c>
      <c r="F302" s="30" t="str">
        <f>IFERROR(VLOOKUP(C302,기출문제!D:G,4,0),"")</f>
        <v/>
      </c>
      <c r="G302" s="31" t="str">
        <f t="shared" si="4"/>
        <v/>
      </c>
      <c r="J302" s="23"/>
    </row>
    <row r="303" spans="2:10" s="21" customFormat="1" x14ac:dyDescent="0.3">
      <c r="B303" s="17">
        <v>296</v>
      </c>
      <c r="C303" s="27" t="s">
        <v>723</v>
      </c>
      <c r="D303" s="17"/>
      <c r="E303" s="29" t="str">
        <f>IFERROR(VLOOKUP(C303,기출문제!D:G,3,0),"")</f>
        <v/>
      </c>
      <c r="F303" s="30" t="str">
        <f>IFERROR(VLOOKUP(C303,기출문제!D:G,4,0),"")</f>
        <v/>
      </c>
      <c r="G303" s="31" t="str">
        <f t="shared" si="4"/>
        <v/>
      </c>
      <c r="J303" s="23"/>
    </row>
    <row r="304" spans="2:10" s="21" customFormat="1" x14ac:dyDescent="0.3">
      <c r="B304" s="17">
        <v>297</v>
      </c>
      <c r="C304" s="27" t="s">
        <v>723</v>
      </c>
      <c r="D304" s="17"/>
      <c r="E304" s="29" t="str">
        <f>IFERROR(VLOOKUP(C304,기출문제!D:G,3,0),"")</f>
        <v/>
      </c>
      <c r="F304" s="30" t="str">
        <f>IFERROR(VLOOKUP(C304,기출문제!D:G,4,0),"")</f>
        <v/>
      </c>
      <c r="G304" s="31" t="str">
        <f t="shared" si="4"/>
        <v/>
      </c>
      <c r="J304" s="23"/>
    </row>
    <row r="305" spans="2:10" s="21" customFormat="1" x14ac:dyDescent="0.3">
      <c r="B305" s="17">
        <v>298</v>
      </c>
      <c r="C305" s="27" t="s">
        <v>723</v>
      </c>
      <c r="D305" s="17"/>
      <c r="E305" s="29" t="str">
        <f>IFERROR(VLOOKUP(C305,기출문제!D:G,3,0),"")</f>
        <v/>
      </c>
      <c r="F305" s="30" t="str">
        <f>IFERROR(VLOOKUP(C305,기출문제!D:G,4,0),"")</f>
        <v/>
      </c>
      <c r="G305" s="31" t="str">
        <f t="shared" si="4"/>
        <v/>
      </c>
      <c r="J305" s="23"/>
    </row>
    <row r="306" spans="2:10" s="21" customFormat="1" x14ac:dyDescent="0.3">
      <c r="B306" s="17">
        <v>299</v>
      </c>
      <c r="C306" s="27" t="s">
        <v>723</v>
      </c>
      <c r="D306" s="17"/>
      <c r="E306" s="29" t="str">
        <f>IFERROR(VLOOKUP(C306,기출문제!D:G,3,0),"")</f>
        <v/>
      </c>
      <c r="F306" s="30" t="str">
        <f>IFERROR(VLOOKUP(C306,기출문제!D:G,4,0),"")</f>
        <v/>
      </c>
      <c r="G306" s="31" t="str">
        <f t="shared" si="4"/>
        <v/>
      </c>
      <c r="J306" s="23"/>
    </row>
    <row r="307" spans="2:10" s="21" customFormat="1" x14ac:dyDescent="0.3">
      <c r="B307" s="17">
        <v>300</v>
      </c>
      <c r="C307" s="27" t="s">
        <v>723</v>
      </c>
      <c r="D307" s="17"/>
      <c r="E307" s="29" t="str">
        <f>IFERROR(VLOOKUP(C307,기출문제!D:G,3,0),"")</f>
        <v/>
      </c>
      <c r="F307" s="30" t="str">
        <f>IFERROR(VLOOKUP(C307,기출문제!D:G,4,0),"")</f>
        <v/>
      </c>
      <c r="G307" s="31" t="str">
        <f t="shared" si="4"/>
        <v/>
      </c>
      <c r="J307" s="23"/>
    </row>
    <row r="308" spans="2:10" s="21" customFormat="1" x14ac:dyDescent="0.3">
      <c r="B308" s="17">
        <v>301</v>
      </c>
      <c r="C308" s="27" t="s">
        <v>723</v>
      </c>
      <c r="D308" s="17"/>
      <c r="E308" s="29" t="str">
        <f>IFERROR(VLOOKUP(C308,기출문제!D:G,3,0),"")</f>
        <v/>
      </c>
      <c r="F308" s="30" t="str">
        <f>IFERROR(VLOOKUP(C308,기출문제!D:G,4,0),"")</f>
        <v/>
      </c>
      <c r="G308" s="31" t="str">
        <f t="shared" si="4"/>
        <v/>
      </c>
      <c r="J308" s="23"/>
    </row>
    <row r="309" spans="2:10" s="21" customFormat="1" x14ac:dyDescent="0.3">
      <c r="B309" s="17">
        <v>302</v>
      </c>
      <c r="C309" s="27" t="s">
        <v>723</v>
      </c>
      <c r="D309" s="17"/>
      <c r="E309" s="29" t="str">
        <f>IFERROR(VLOOKUP(C309,기출문제!D:G,3,0),"")</f>
        <v/>
      </c>
      <c r="F309" s="30" t="str">
        <f>IFERROR(VLOOKUP(C309,기출문제!D:G,4,0),"")</f>
        <v/>
      </c>
      <c r="G309" s="31" t="str">
        <f t="shared" si="4"/>
        <v/>
      </c>
      <c r="J309" s="23"/>
    </row>
    <row r="310" spans="2:10" s="21" customFormat="1" x14ac:dyDescent="0.3">
      <c r="B310" s="17">
        <v>303</v>
      </c>
      <c r="C310" s="27" t="s">
        <v>723</v>
      </c>
      <c r="D310" s="17"/>
      <c r="E310" s="29" t="str">
        <f>IFERROR(VLOOKUP(C310,기출문제!D:G,3,0),"")</f>
        <v/>
      </c>
      <c r="F310" s="30" t="str">
        <f>IFERROR(VLOOKUP(C310,기출문제!D:G,4,0),"")</f>
        <v/>
      </c>
      <c r="G310" s="31" t="str">
        <f t="shared" si="4"/>
        <v/>
      </c>
      <c r="J310" s="23"/>
    </row>
    <row r="311" spans="2:10" s="21" customFormat="1" x14ac:dyDescent="0.3">
      <c r="B311" s="17">
        <v>304</v>
      </c>
      <c r="C311" s="27" t="s">
        <v>723</v>
      </c>
      <c r="D311" s="17"/>
      <c r="E311" s="29" t="str">
        <f>IFERROR(VLOOKUP(C311,기출문제!D:G,3,0),"")</f>
        <v/>
      </c>
      <c r="F311" s="30" t="str">
        <f>IFERROR(VLOOKUP(C311,기출문제!D:G,4,0),"")</f>
        <v/>
      </c>
      <c r="G311" s="31" t="str">
        <f t="shared" si="4"/>
        <v/>
      </c>
      <c r="J311" s="23"/>
    </row>
    <row r="312" spans="2:10" s="21" customFormat="1" x14ac:dyDescent="0.3">
      <c r="B312" s="17">
        <v>305</v>
      </c>
      <c r="C312" s="27" t="s">
        <v>723</v>
      </c>
      <c r="D312" s="17"/>
      <c r="E312" s="29" t="str">
        <f>IFERROR(VLOOKUP(C312,기출문제!D:G,3,0),"")</f>
        <v/>
      </c>
      <c r="F312" s="30" t="str">
        <f>IFERROR(VLOOKUP(C312,기출문제!D:G,4,0),"")</f>
        <v/>
      </c>
      <c r="G312" s="31" t="str">
        <f t="shared" si="4"/>
        <v/>
      </c>
      <c r="J312" s="23"/>
    </row>
    <row r="313" spans="2:10" s="21" customFormat="1" x14ac:dyDescent="0.3">
      <c r="B313" s="17">
        <v>306</v>
      </c>
      <c r="C313" s="27" t="s">
        <v>723</v>
      </c>
      <c r="D313" s="17"/>
      <c r="E313" s="29" t="str">
        <f>IFERROR(VLOOKUP(C313,기출문제!D:G,3,0),"")</f>
        <v/>
      </c>
      <c r="F313" s="30" t="str">
        <f>IFERROR(VLOOKUP(C313,기출문제!D:G,4,0),"")</f>
        <v/>
      </c>
      <c r="G313" s="31" t="str">
        <f t="shared" si="4"/>
        <v/>
      </c>
      <c r="J313" s="23"/>
    </row>
    <row r="314" spans="2:10" s="21" customFormat="1" x14ac:dyDescent="0.3">
      <c r="B314" s="17">
        <v>307</v>
      </c>
      <c r="C314" s="27" t="s">
        <v>723</v>
      </c>
      <c r="D314" s="17"/>
      <c r="E314" s="29" t="str">
        <f>IFERROR(VLOOKUP(C314,기출문제!D:G,3,0),"")</f>
        <v/>
      </c>
      <c r="F314" s="30" t="str">
        <f>IFERROR(VLOOKUP(C314,기출문제!D:G,4,0),"")</f>
        <v/>
      </c>
      <c r="G314" s="31" t="str">
        <f t="shared" si="4"/>
        <v/>
      </c>
      <c r="J314" s="23"/>
    </row>
    <row r="315" spans="2:10" s="21" customFormat="1" x14ac:dyDescent="0.3">
      <c r="B315" s="17">
        <v>308</v>
      </c>
      <c r="C315" s="27" t="s">
        <v>723</v>
      </c>
      <c r="D315" s="17"/>
      <c r="E315" s="29" t="str">
        <f>IFERROR(VLOOKUP(C315,기출문제!D:G,3,0),"")</f>
        <v/>
      </c>
      <c r="F315" s="30" t="str">
        <f>IFERROR(VLOOKUP(C315,기출문제!D:G,4,0),"")</f>
        <v/>
      </c>
      <c r="G315" s="31" t="str">
        <f t="shared" si="4"/>
        <v/>
      </c>
      <c r="J315" s="23"/>
    </row>
    <row r="316" spans="2:10" s="21" customFormat="1" x14ac:dyDescent="0.3">
      <c r="B316" s="17">
        <v>309</v>
      </c>
      <c r="C316" s="27" t="s">
        <v>723</v>
      </c>
      <c r="D316" s="17"/>
      <c r="E316" s="29" t="str">
        <f>IFERROR(VLOOKUP(C316,기출문제!D:G,3,0),"")</f>
        <v/>
      </c>
      <c r="F316" s="30" t="str">
        <f>IFERROR(VLOOKUP(C316,기출문제!D:G,4,0),"")</f>
        <v/>
      </c>
      <c r="G316" s="31" t="str">
        <f t="shared" si="4"/>
        <v/>
      </c>
      <c r="J316" s="23"/>
    </row>
    <row r="317" spans="2:10" s="21" customFormat="1" x14ac:dyDescent="0.3">
      <c r="B317" s="17">
        <v>310</v>
      </c>
      <c r="C317" s="27" t="s">
        <v>723</v>
      </c>
      <c r="D317" s="17"/>
      <c r="E317" s="29" t="str">
        <f>IFERROR(VLOOKUP(C317,기출문제!D:G,3,0),"")</f>
        <v/>
      </c>
      <c r="F317" s="30" t="str">
        <f>IFERROR(VLOOKUP(C317,기출문제!D:G,4,0),"")</f>
        <v/>
      </c>
      <c r="G317" s="31" t="str">
        <f t="shared" si="4"/>
        <v/>
      </c>
      <c r="J317" s="23"/>
    </row>
    <row r="318" spans="2:10" s="21" customFormat="1" x14ac:dyDescent="0.3">
      <c r="B318" s="17">
        <v>311</v>
      </c>
      <c r="C318" s="27" t="s">
        <v>723</v>
      </c>
      <c r="D318" s="17"/>
      <c r="E318" s="29" t="str">
        <f>IFERROR(VLOOKUP(C318,기출문제!D:G,3,0),"")</f>
        <v/>
      </c>
      <c r="F318" s="30" t="str">
        <f>IFERROR(VLOOKUP(C318,기출문제!D:G,4,0),"")</f>
        <v/>
      </c>
      <c r="G318" s="31" t="str">
        <f t="shared" si="4"/>
        <v/>
      </c>
      <c r="J318" s="23"/>
    </row>
    <row r="319" spans="2:10" s="21" customFormat="1" x14ac:dyDescent="0.3">
      <c r="B319" s="17">
        <v>312</v>
      </c>
      <c r="C319" s="27" t="s">
        <v>723</v>
      </c>
      <c r="D319" s="17"/>
      <c r="E319" s="29" t="str">
        <f>IFERROR(VLOOKUP(C319,기출문제!D:G,3,0),"")</f>
        <v/>
      </c>
      <c r="F319" s="30" t="str">
        <f>IFERROR(VLOOKUP(C319,기출문제!D:G,4,0),"")</f>
        <v/>
      </c>
      <c r="G319" s="31" t="str">
        <f t="shared" si="4"/>
        <v/>
      </c>
      <c r="J319" s="23"/>
    </row>
    <row r="320" spans="2:10" s="21" customFormat="1" x14ac:dyDescent="0.3">
      <c r="B320" s="17">
        <v>313</v>
      </c>
      <c r="C320" s="27" t="s">
        <v>723</v>
      </c>
      <c r="D320" s="17"/>
      <c r="E320" s="29" t="str">
        <f>IFERROR(VLOOKUP(C320,기출문제!D:G,3,0),"")</f>
        <v/>
      </c>
      <c r="F320" s="30" t="str">
        <f>IFERROR(VLOOKUP(C320,기출문제!D:G,4,0),"")</f>
        <v/>
      </c>
      <c r="G320" s="31" t="str">
        <f t="shared" si="4"/>
        <v/>
      </c>
      <c r="J320" s="23"/>
    </row>
    <row r="321" spans="2:10" s="21" customFormat="1" x14ac:dyDescent="0.3">
      <c r="B321" s="17">
        <v>314</v>
      </c>
      <c r="C321" s="27" t="s">
        <v>723</v>
      </c>
      <c r="D321" s="17"/>
      <c r="E321" s="29" t="str">
        <f>IFERROR(VLOOKUP(C321,기출문제!D:G,3,0),"")</f>
        <v/>
      </c>
      <c r="F321" s="30" t="str">
        <f>IFERROR(VLOOKUP(C321,기출문제!D:G,4,0),"")</f>
        <v/>
      </c>
      <c r="G321" s="31" t="str">
        <f t="shared" si="4"/>
        <v/>
      </c>
      <c r="J321" s="23"/>
    </row>
    <row r="322" spans="2:10" s="21" customFormat="1" x14ac:dyDescent="0.3">
      <c r="B322" s="17">
        <v>315</v>
      </c>
      <c r="C322" s="27" t="s">
        <v>723</v>
      </c>
      <c r="D322" s="17"/>
      <c r="E322" s="29" t="str">
        <f>IFERROR(VLOOKUP(C322,기출문제!D:G,3,0),"")</f>
        <v/>
      </c>
      <c r="F322" s="30" t="str">
        <f>IFERROR(VLOOKUP(C322,기출문제!D:G,4,0),"")</f>
        <v/>
      </c>
      <c r="G322" s="31" t="str">
        <f t="shared" si="4"/>
        <v/>
      </c>
      <c r="J322" s="23"/>
    </row>
    <row r="323" spans="2:10" s="21" customFormat="1" x14ac:dyDescent="0.3">
      <c r="B323" s="17">
        <v>316</v>
      </c>
      <c r="C323" s="27" t="s">
        <v>723</v>
      </c>
      <c r="D323" s="17"/>
      <c r="E323" s="29" t="str">
        <f>IFERROR(VLOOKUP(C323,기출문제!D:G,3,0),"")</f>
        <v/>
      </c>
      <c r="F323" s="30" t="str">
        <f>IFERROR(VLOOKUP(C323,기출문제!D:G,4,0),"")</f>
        <v/>
      </c>
      <c r="G323" s="31" t="str">
        <f t="shared" si="4"/>
        <v/>
      </c>
      <c r="J323" s="23"/>
    </row>
    <row r="324" spans="2:10" s="21" customFormat="1" x14ac:dyDescent="0.3">
      <c r="B324" s="17">
        <v>317</v>
      </c>
      <c r="C324" s="27" t="s">
        <v>723</v>
      </c>
      <c r="D324" s="17"/>
      <c r="E324" s="29" t="str">
        <f>IFERROR(VLOOKUP(C324,기출문제!D:G,3,0),"")</f>
        <v/>
      </c>
      <c r="F324" s="30" t="str">
        <f>IFERROR(VLOOKUP(C324,기출문제!D:G,4,0),"")</f>
        <v/>
      </c>
      <c r="G324" s="31" t="str">
        <f t="shared" si="4"/>
        <v/>
      </c>
      <c r="J324" s="23"/>
    </row>
    <row r="325" spans="2:10" s="21" customFormat="1" x14ac:dyDescent="0.3">
      <c r="B325" s="17">
        <v>318</v>
      </c>
      <c r="C325" s="27" t="s">
        <v>723</v>
      </c>
      <c r="D325" s="17"/>
      <c r="E325" s="29" t="str">
        <f>IFERROR(VLOOKUP(C325,기출문제!D:G,3,0),"")</f>
        <v/>
      </c>
      <c r="F325" s="30" t="str">
        <f>IFERROR(VLOOKUP(C325,기출문제!D:G,4,0),"")</f>
        <v/>
      </c>
      <c r="G325" s="31" t="str">
        <f t="shared" si="4"/>
        <v/>
      </c>
      <c r="J325" s="23"/>
    </row>
    <row r="326" spans="2:10" s="21" customFormat="1" x14ac:dyDescent="0.3">
      <c r="B326" s="17">
        <v>319</v>
      </c>
      <c r="C326" s="27" t="s">
        <v>723</v>
      </c>
      <c r="D326" s="17"/>
      <c r="E326" s="29" t="str">
        <f>IFERROR(VLOOKUP(C326,기출문제!D:G,3,0),"")</f>
        <v/>
      </c>
      <c r="F326" s="30" t="str">
        <f>IFERROR(VLOOKUP(C326,기출문제!D:G,4,0),"")</f>
        <v/>
      </c>
      <c r="G326" s="31" t="str">
        <f t="shared" si="4"/>
        <v/>
      </c>
      <c r="J326" s="23"/>
    </row>
    <row r="327" spans="2:10" s="21" customFormat="1" x14ac:dyDescent="0.3">
      <c r="B327" s="17">
        <v>320</v>
      </c>
      <c r="C327" s="27" t="s">
        <v>723</v>
      </c>
      <c r="D327" s="17"/>
      <c r="E327" s="29" t="str">
        <f>IFERROR(VLOOKUP(C327,기출문제!D:G,3,0),"")</f>
        <v/>
      </c>
      <c r="F327" s="30" t="str">
        <f>IFERROR(VLOOKUP(C327,기출문제!D:G,4,0),"")</f>
        <v/>
      </c>
      <c r="G327" s="31" t="str">
        <f t="shared" si="4"/>
        <v/>
      </c>
      <c r="J327" s="23"/>
    </row>
    <row r="328" spans="2:10" s="21" customFormat="1" x14ac:dyDescent="0.3">
      <c r="B328" s="17">
        <v>321</v>
      </c>
      <c r="C328" s="27" t="s">
        <v>723</v>
      </c>
      <c r="D328" s="17"/>
      <c r="E328" s="29" t="str">
        <f>IFERROR(VLOOKUP(C328,기출문제!D:G,3,0),"")</f>
        <v/>
      </c>
      <c r="F328" s="30" t="str">
        <f>IFERROR(VLOOKUP(C328,기출문제!D:G,4,0),"")</f>
        <v/>
      </c>
      <c r="G328" s="31" t="str">
        <f t="shared" si="4"/>
        <v/>
      </c>
      <c r="J328" s="23"/>
    </row>
    <row r="329" spans="2:10" s="21" customFormat="1" x14ac:dyDescent="0.3">
      <c r="B329" s="17">
        <v>322</v>
      </c>
      <c r="C329" s="27" t="s">
        <v>723</v>
      </c>
      <c r="D329" s="17"/>
      <c r="E329" s="29" t="str">
        <f>IFERROR(VLOOKUP(C329,기출문제!D:G,3,0),"")</f>
        <v/>
      </c>
      <c r="F329" s="30" t="str">
        <f>IFERROR(VLOOKUP(C329,기출문제!D:G,4,0),"")</f>
        <v/>
      </c>
      <c r="G329" s="31" t="str">
        <f t="shared" ref="G329:G392" si="5">IF(D329="","",IF(D329=F329,"O", "X"))</f>
        <v/>
      </c>
      <c r="J329" s="23"/>
    </row>
    <row r="330" spans="2:10" s="21" customFormat="1" x14ac:dyDescent="0.3">
      <c r="B330" s="17">
        <v>323</v>
      </c>
      <c r="C330" s="27" t="s">
        <v>723</v>
      </c>
      <c r="D330" s="17"/>
      <c r="E330" s="29" t="str">
        <f>IFERROR(VLOOKUP(C330,기출문제!D:G,3,0),"")</f>
        <v/>
      </c>
      <c r="F330" s="30" t="str">
        <f>IFERROR(VLOOKUP(C330,기출문제!D:G,4,0),"")</f>
        <v/>
      </c>
      <c r="G330" s="31" t="str">
        <f t="shared" si="5"/>
        <v/>
      </c>
      <c r="J330" s="23"/>
    </row>
    <row r="331" spans="2:10" s="21" customFormat="1" x14ac:dyDescent="0.3">
      <c r="B331" s="17">
        <v>324</v>
      </c>
      <c r="C331" s="27" t="s">
        <v>723</v>
      </c>
      <c r="D331" s="17"/>
      <c r="E331" s="29" t="str">
        <f>IFERROR(VLOOKUP(C331,기출문제!D:G,3,0),"")</f>
        <v/>
      </c>
      <c r="F331" s="30" t="str">
        <f>IFERROR(VLOOKUP(C331,기출문제!D:G,4,0),"")</f>
        <v/>
      </c>
      <c r="G331" s="31" t="str">
        <f t="shared" si="5"/>
        <v/>
      </c>
      <c r="J331" s="23"/>
    </row>
    <row r="332" spans="2:10" s="21" customFormat="1" x14ac:dyDescent="0.3">
      <c r="B332" s="17">
        <v>325</v>
      </c>
      <c r="C332" s="27" t="s">
        <v>723</v>
      </c>
      <c r="D332" s="17"/>
      <c r="E332" s="29" t="str">
        <f>IFERROR(VLOOKUP(C332,기출문제!D:G,3,0),"")</f>
        <v/>
      </c>
      <c r="F332" s="30" t="str">
        <f>IFERROR(VLOOKUP(C332,기출문제!D:G,4,0),"")</f>
        <v/>
      </c>
      <c r="G332" s="31" t="str">
        <f t="shared" si="5"/>
        <v/>
      </c>
      <c r="J332" s="23"/>
    </row>
    <row r="333" spans="2:10" s="21" customFormat="1" x14ac:dyDescent="0.3">
      <c r="B333" s="17">
        <v>326</v>
      </c>
      <c r="C333" s="27" t="s">
        <v>723</v>
      </c>
      <c r="D333" s="17"/>
      <c r="E333" s="29" t="str">
        <f>IFERROR(VLOOKUP(C333,기출문제!D:G,3,0),"")</f>
        <v/>
      </c>
      <c r="F333" s="30" t="str">
        <f>IFERROR(VLOOKUP(C333,기출문제!D:G,4,0),"")</f>
        <v/>
      </c>
      <c r="G333" s="31" t="str">
        <f t="shared" si="5"/>
        <v/>
      </c>
      <c r="J333" s="23"/>
    </row>
    <row r="334" spans="2:10" s="21" customFormat="1" x14ac:dyDescent="0.3">
      <c r="B334" s="17">
        <v>327</v>
      </c>
      <c r="C334" s="27" t="s">
        <v>723</v>
      </c>
      <c r="D334" s="17"/>
      <c r="E334" s="29" t="str">
        <f>IFERROR(VLOOKUP(C334,기출문제!D:G,3,0),"")</f>
        <v/>
      </c>
      <c r="F334" s="30" t="str">
        <f>IFERROR(VLOOKUP(C334,기출문제!D:G,4,0),"")</f>
        <v/>
      </c>
      <c r="G334" s="31" t="str">
        <f t="shared" si="5"/>
        <v/>
      </c>
      <c r="J334" s="23"/>
    </row>
    <row r="335" spans="2:10" s="21" customFormat="1" x14ac:dyDescent="0.3">
      <c r="B335" s="17">
        <v>328</v>
      </c>
      <c r="C335" s="27" t="s">
        <v>723</v>
      </c>
      <c r="D335" s="17"/>
      <c r="E335" s="29" t="str">
        <f>IFERROR(VLOOKUP(C335,기출문제!D:G,3,0),"")</f>
        <v/>
      </c>
      <c r="F335" s="30" t="str">
        <f>IFERROR(VLOOKUP(C335,기출문제!D:G,4,0),"")</f>
        <v/>
      </c>
      <c r="G335" s="31" t="str">
        <f t="shared" si="5"/>
        <v/>
      </c>
      <c r="J335" s="23"/>
    </row>
    <row r="336" spans="2:10" s="21" customFormat="1" x14ac:dyDescent="0.3">
      <c r="B336" s="17">
        <v>329</v>
      </c>
      <c r="C336" s="27" t="s">
        <v>723</v>
      </c>
      <c r="D336" s="17"/>
      <c r="E336" s="29" t="str">
        <f>IFERROR(VLOOKUP(C336,기출문제!D:G,3,0),"")</f>
        <v/>
      </c>
      <c r="F336" s="30" t="str">
        <f>IFERROR(VLOOKUP(C336,기출문제!D:G,4,0),"")</f>
        <v/>
      </c>
      <c r="G336" s="31" t="str">
        <f t="shared" si="5"/>
        <v/>
      </c>
      <c r="J336" s="23"/>
    </row>
    <row r="337" spans="2:10" s="21" customFormat="1" x14ac:dyDescent="0.3">
      <c r="B337" s="17">
        <v>330</v>
      </c>
      <c r="C337" s="27" t="s">
        <v>723</v>
      </c>
      <c r="D337" s="17"/>
      <c r="E337" s="29" t="str">
        <f>IFERROR(VLOOKUP(C337,기출문제!D:G,3,0),"")</f>
        <v/>
      </c>
      <c r="F337" s="30" t="str">
        <f>IFERROR(VLOOKUP(C337,기출문제!D:G,4,0),"")</f>
        <v/>
      </c>
      <c r="G337" s="31" t="str">
        <f t="shared" si="5"/>
        <v/>
      </c>
      <c r="J337" s="23"/>
    </row>
    <row r="338" spans="2:10" s="21" customFormat="1" x14ac:dyDescent="0.3">
      <c r="B338" s="17">
        <v>331</v>
      </c>
      <c r="C338" s="27" t="s">
        <v>723</v>
      </c>
      <c r="D338" s="17"/>
      <c r="E338" s="29" t="str">
        <f>IFERROR(VLOOKUP(C338,기출문제!D:G,3,0),"")</f>
        <v/>
      </c>
      <c r="F338" s="30" t="str">
        <f>IFERROR(VLOOKUP(C338,기출문제!D:G,4,0),"")</f>
        <v/>
      </c>
      <c r="G338" s="31" t="str">
        <f t="shared" si="5"/>
        <v/>
      </c>
      <c r="J338" s="23"/>
    </row>
    <row r="339" spans="2:10" s="21" customFormat="1" x14ac:dyDescent="0.3">
      <c r="B339" s="17">
        <v>332</v>
      </c>
      <c r="C339" s="27" t="s">
        <v>723</v>
      </c>
      <c r="D339" s="17"/>
      <c r="E339" s="29" t="str">
        <f>IFERROR(VLOOKUP(C339,기출문제!D:G,3,0),"")</f>
        <v/>
      </c>
      <c r="F339" s="30" t="str">
        <f>IFERROR(VLOOKUP(C339,기출문제!D:G,4,0),"")</f>
        <v/>
      </c>
      <c r="G339" s="31" t="str">
        <f t="shared" si="5"/>
        <v/>
      </c>
      <c r="J339" s="23"/>
    </row>
    <row r="340" spans="2:10" s="21" customFormat="1" x14ac:dyDescent="0.3">
      <c r="B340" s="17">
        <v>333</v>
      </c>
      <c r="C340" s="27" t="s">
        <v>723</v>
      </c>
      <c r="D340" s="17"/>
      <c r="E340" s="29" t="str">
        <f>IFERROR(VLOOKUP(C340,기출문제!D:G,3,0),"")</f>
        <v/>
      </c>
      <c r="F340" s="30" t="str">
        <f>IFERROR(VLOOKUP(C340,기출문제!D:G,4,0),"")</f>
        <v/>
      </c>
      <c r="G340" s="31" t="str">
        <f t="shared" si="5"/>
        <v/>
      </c>
      <c r="J340" s="23"/>
    </row>
    <row r="341" spans="2:10" s="21" customFormat="1" x14ac:dyDescent="0.3">
      <c r="B341" s="17">
        <v>334</v>
      </c>
      <c r="C341" s="27" t="s">
        <v>723</v>
      </c>
      <c r="D341" s="17"/>
      <c r="E341" s="29" t="str">
        <f>IFERROR(VLOOKUP(C341,기출문제!D:G,3,0),"")</f>
        <v/>
      </c>
      <c r="F341" s="30" t="str">
        <f>IFERROR(VLOOKUP(C341,기출문제!D:G,4,0),"")</f>
        <v/>
      </c>
      <c r="G341" s="31" t="str">
        <f t="shared" si="5"/>
        <v/>
      </c>
      <c r="J341" s="23"/>
    </row>
    <row r="342" spans="2:10" s="21" customFormat="1" x14ac:dyDescent="0.3">
      <c r="B342" s="17">
        <v>335</v>
      </c>
      <c r="C342" s="27" t="s">
        <v>723</v>
      </c>
      <c r="D342" s="17"/>
      <c r="E342" s="29" t="str">
        <f>IFERROR(VLOOKUP(C342,기출문제!D:G,3,0),"")</f>
        <v/>
      </c>
      <c r="F342" s="30" t="str">
        <f>IFERROR(VLOOKUP(C342,기출문제!D:G,4,0),"")</f>
        <v/>
      </c>
      <c r="G342" s="31" t="str">
        <f t="shared" si="5"/>
        <v/>
      </c>
      <c r="J342" s="23"/>
    </row>
    <row r="343" spans="2:10" s="21" customFormat="1" x14ac:dyDescent="0.3">
      <c r="B343" s="17">
        <v>336</v>
      </c>
      <c r="C343" s="27" t="s">
        <v>723</v>
      </c>
      <c r="D343" s="17"/>
      <c r="E343" s="29" t="str">
        <f>IFERROR(VLOOKUP(C343,기출문제!D:G,3,0),"")</f>
        <v/>
      </c>
      <c r="F343" s="30" t="str">
        <f>IFERROR(VLOOKUP(C343,기출문제!D:G,4,0),"")</f>
        <v/>
      </c>
      <c r="G343" s="31" t="str">
        <f t="shared" si="5"/>
        <v/>
      </c>
      <c r="J343" s="23"/>
    </row>
    <row r="344" spans="2:10" s="21" customFormat="1" x14ac:dyDescent="0.3">
      <c r="B344" s="17">
        <v>337</v>
      </c>
      <c r="C344" s="27" t="s">
        <v>723</v>
      </c>
      <c r="D344" s="17"/>
      <c r="E344" s="29" t="str">
        <f>IFERROR(VLOOKUP(C344,기출문제!D:G,3,0),"")</f>
        <v/>
      </c>
      <c r="F344" s="30" t="str">
        <f>IFERROR(VLOOKUP(C344,기출문제!D:G,4,0),"")</f>
        <v/>
      </c>
      <c r="G344" s="31" t="str">
        <f t="shared" si="5"/>
        <v/>
      </c>
      <c r="J344" s="23"/>
    </row>
    <row r="345" spans="2:10" s="21" customFormat="1" x14ac:dyDescent="0.3">
      <c r="B345" s="17">
        <v>338</v>
      </c>
      <c r="C345" s="27" t="s">
        <v>723</v>
      </c>
      <c r="D345" s="17"/>
      <c r="E345" s="29" t="str">
        <f>IFERROR(VLOOKUP(C345,기출문제!D:G,3,0),"")</f>
        <v/>
      </c>
      <c r="F345" s="30" t="str">
        <f>IFERROR(VLOOKUP(C345,기출문제!D:G,4,0),"")</f>
        <v/>
      </c>
      <c r="G345" s="31" t="str">
        <f t="shared" si="5"/>
        <v/>
      </c>
      <c r="J345" s="23"/>
    </row>
    <row r="346" spans="2:10" s="21" customFormat="1" x14ac:dyDescent="0.3">
      <c r="B346" s="17">
        <v>339</v>
      </c>
      <c r="C346" s="27" t="s">
        <v>723</v>
      </c>
      <c r="D346" s="17"/>
      <c r="E346" s="29" t="str">
        <f>IFERROR(VLOOKUP(C346,기출문제!D:G,3,0),"")</f>
        <v/>
      </c>
      <c r="F346" s="30" t="str">
        <f>IFERROR(VLOOKUP(C346,기출문제!D:G,4,0),"")</f>
        <v/>
      </c>
      <c r="G346" s="31" t="str">
        <f t="shared" si="5"/>
        <v/>
      </c>
      <c r="J346" s="23"/>
    </row>
    <row r="347" spans="2:10" s="21" customFormat="1" x14ac:dyDescent="0.3">
      <c r="B347" s="17">
        <v>340</v>
      </c>
      <c r="C347" s="27" t="s">
        <v>723</v>
      </c>
      <c r="D347" s="17"/>
      <c r="E347" s="29" t="str">
        <f>IFERROR(VLOOKUP(C347,기출문제!D:G,3,0),"")</f>
        <v/>
      </c>
      <c r="F347" s="30" t="str">
        <f>IFERROR(VLOOKUP(C347,기출문제!D:G,4,0),"")</f>
        <v/>
      </c>
      <c r="G347" s="31" t="str">
        <f t="shared" si="5"/>
        <v/>
      </c>
      <c r="J347" s="23"/>
    </row>
    <row r="348" spans="2:10" s="21" customFormat="1" x14ac:dyDescent="0.3">
      <c r="B348" s="17">
        <v>341</v>
      </c>
      <c r="C348" s="27" t="s">
        <v>723</v>
      </c>
      <c r="D348" s="17"/>
      <c r="E348" s="29" t="str">
        <f>IFERROR(VLOOKUP(C348,기출문제!D:G,3,0),"")</f>
        <v/>
      </c>
      <c r="F348" s="30" t="str">
        <f>IFERROR(VLOOKUP(C348,기출문제!D:G,4,0),"")</f>
        <v/>
      </c>
      <c r="G348" s="31" t="str">
        <f t="shared" si="5"/>
        <v/>
      </c>
      <c r="J348" s="23"/>
    </row>
    <row r="349" spans="2:10" s="21" customFormat="1" x14ac:dyDescent="0.3">
      <c r="B349" s="17">
        <v>342</v>
      </c>
      <c r="C349" s="27" t="s">
        <v>723</v>
      </c>
      <c r="D349" s="17"/>
      <c r="E349" s="29" t="str">
        <f>IFERROR(VLOOKUP(C349,기출문제!D:G,3,0),"")</f>
        <v/>
      </c>
      <c r="F349" s="30" t="str">
        <f>IFERROR(VLOOKUP(C349,기출문제!D:G,4,0),"")</f>
        <v/>
      </c>
      <c r="G349" s="31" t="str">
        <f t="shared" si="5"/>
        <v/>
      </c>
      <c r="J349" s="23"/>
    </row>
    <row r="350" spans="2:10" s="21" customFormat="1" x14ac:dyDescent="0.3">
      <c r="B350" s="17">
        <v>343</v>
      </c>
      <c r="C350" s="27" t="s">
        <v>723</v>
      </c>
      <c r="D350" s="17"/>
      <c r="E350" s="29" t="str">
        <f>IFERROR(VLOOKUP(C350,기출문제!D:G,3,0),"")</f>
        <v/>
      </c>
      <c r="F350" s="30" t="str">
        <f>IFERROR(VLOOKUP(C350,기출문제!D:G,4,0),"")</f>
        <v/>
      </c>
      <c r="G350" s="31" t="str">
        <f t="shared" si="5"/>
        <v/>
      </c>
      <c r="J350" s="23"/>
    </row>
    <row r="351" spans="2:10" s="21" customFormat="1" x14ac:dyDescent="0.3">
      <c r="B351" s="17">
        <v>344</v>
      </c>
      <c r="C351" s="27" t="s">
        <v>723</v>
      </c>
      <c r="D351" s="17"/>
      <c r="E351" s="29" t="str">
        <f>IFERROR(VLOOKUP(C351,기출문제!D:G,3,0),"")</f>
        <v/>
      </c>
      <c r="F351" s="30" t="str">
        <f>IFERROR(VLOOKUP(C351,기출문제!D:G,4,0),"")</f>
        <v/>
      </c>
      <c r="G351" s="31" t="str">
        <f t="shared" si="5"/>
        <v/>
      </c>
      <c r="J351" s="23"/>
    </row>
    <row r="352" spans="2:10" s="21" customFormat="1" x14ac:dyDescent="0.3">
      <c r="B352" s="17">
        <v>345</v>
      </c>
      <c r="C352" s="27" t="s">
        <v>723</v>
      </c>
      <c r="D352" s="17"/>
      <c r="E352" s="29" t="str">
        <f>IFERROR(VLOOKUP(C352,기출문제!D:G,3,0),"")</f>
        <v/>
      </c>
      <c r="F352" s="30" t="str">
        <f>IFERROR(VLOOKUP(C352,기출문제!D:G,4,0),"")</f>
        <v/>
      </c>
      <c r="G352" s="31" t="str">
        <f t="shared" si="5"/>
        <v/>
      </c>
      <c r="J352" s="23"/>
    </row>
    <row r="353" spans="2:10" s="21" customFormat="1" x14ac:dyDescent="0.3">
      <c r="B353" s="17">
        <v>346</v>
      </c>
      <c r="C353" s="27" t="s">
        <v>723</v>
      </c>
      <c r="D353" s="17"/>
      <c r="E353" s="29" t="str">
        <f>IFERROR(VLOOKUP(C353,기출문제!D:G,3,0),"")</f>
        <v/>
      </c>
      <c r="F353" s="30" t="str">
        <f>IFERROR(VLOOKUP(C353,기출문제!D:G,4,0),"")</f>
        <v/>
      </c>
      <c r="G353" s="31" t="str">
        <f t="shared" si="5"/>
        <v/>
      </c>
      <c r="J353" s="23"/>
    </row>
    <row r="354" spans="2:10" s="21" customFormat="1" x14ac:dyDescent="0.3">
      <c r="B354" s="17">
        <v>347</v>
      </c>
      <c r="C354" s="27" t="s">
        <v>723</v>
      </c>
      <c r="D354" s="17"/>
      <c r="E354" s="29" t="str">
        <f>IFERROR(VLOOKUP(C354,기출문제!D:G,3,0),"")</f>
        <v/>
      </c>
      <c r="F354" s="30" t="str">
        <f>IFERROR(VLOOKUP(C354,기출문제!D:G,4,0),"")</f>
        <v/>
      </c>
      <c r="G354" s="31" t="str">
        <f t="shared" si="5"/>
        <v/>
      </c>
      <c r="J354" s="23"/>
    </row>
    <row r="355" spans="2:10" s="21" customFormat="1" x14ac:dyDescent="0.3">
      <c r="B355" s="17">
        <v>348</v>
      </c>
      <c r="C355" s="27" t="s">
        <v>723</v>
      </c>
      <c r="D355" s="17"/>
      <c r="E355" s="29" t="str">
        <f>IFERROR(VLOOKUP(C355,기출문제!D:G,3,0),"")</f>
        <v/>
      </c>
      <c r="F355" s="30" t="str">
        <f>IFERROR(VLOOKUP(C355,기출문제!D:G,4,0),"")</f>
        <v/>
      </c>
      <c r="G355" s="31" t="str">
        <f t="shared" si="5"/>
        <v/>
      </c>
      <c r="J355" s="23"/>
    </row>
    <row r="356" spans="2:10" s="21" customFormat="1" x14ac:dyDescent="0.3">
      <c r="B356" s="17">
        <v>349</v>
      </c>
      <c r="C356" s="27" t="s">
        <v>723</v>
      </c>
      <c r="D356" s="17"/>
      <c r="E356" s="29" t="str">
        <f>IFERROR(VLOOKUP(C356,기출문제!D:G,3,0),"")</f>
        <v/>
      </c>
      <c r="F356" s="30" t="str">
        <f>IFERROR(VLOOKUP(C356,기출문제!D:G,4,0),"")</f>
        <v/>
      </c>
      <c r="G356" s="31" t="str">
        <f t="shared" si="5"/>
        <v/>
      </c>
      <c r="J356" s="23"/>
    </row>
    <row r="357" spans="2:10" s="21" customFormat="1" x14ac:dyDescent="0.3">
      <c r="B357" s="17">
        <v>350</v>
      </c>
      <c r="C357" s="27" t="s">
        <v>723</v>
      </c>
      <c r="D357" s="17"/>
      <c r="E357" s="29" t="str">
        <f>IFERROR(VLOOKUP(C357,기출문제!D:G,3,0),"")</f>
        <v/>
      </c>
      <c r="F357" s="30" t="str">
        <f>IFERROR(VLOOKUP(C357,기출문제!D:G,4,0),"")</f>
        <v/>
      </c>
      <c r="G357" s="31" t="str">
        <f t="shared" si="5"/>
        <v/>
      </c>
      <c r="J357" s="23"/>
    </row>
    <row r="358" spans="2:10" s="21" customFormat="1" x14ac:dyDescent="0.3">
      <c r="B358" s="17">
        <v>351</v>
      </c>
      <c r="C358" s="27" t="s">
        <v>723</v>
      </c>
      <c r="D358" s="17"/>
      <c r="E358" s="29" t="str">
        <f>IFERROR(VLOOKUP(C358,기출문제!D:G,3,0),"")</f>
        <v/>
      </c>
      <c r="F358" s="30" t="str">
        <f>IFERROR(VLOOKUP(C358,기출문제!D:G,4,0),"")</f>
        <v/>
      </c>
      <c r="G358" s="31" t="str">
        <f t="shared" si="5"/>
        <v/>
      </c>
      <c r="J358" s="23"/>
    </row>
    <row r="359" spans="2:10" s="21" customFormat="1" x14ac:dyDescent="0.3">
      <c r="B359" s="17">
        <v>352</v>
      </c>
      <c r="C359" s="27" t="s">
        <v>723</v>
      </c>
      <c r="D359" s="17"/>
      <c r="E359" s="29" t="str">
        <f>IFERROR(VLOOKUP(C359,기출문제!D:G,3,0),"")</f>
        <v/>
      </c>
      <c r="F359" s="30" t="str">
        <f>IFERROR(VLOOKUP(C359,기출문제!D:G,4,0),"")</f>
        <v/>
      </c>
      <c r="G359" s="31" t="str">
        <f t="shared" si="5"/>
        <v/>
      </c>
      <c r="J359" s="23"/>
    </row>
    <row r="360" spans="2:10" s="21" customFormat="1" x14ac:dyDescent="0.3">
      <c r="B360" s="17">
        <v>353</v>
      </c>
      <c r="C360" s="27" t="s">
        <v>723</v>
      </c>
      <c r="D360" s="17"/>
      <c r="E360" s="29" t="str">
        <f>IFERROR(VLOOKUP(C360,기출문제!D:G,3,0),"")</f>
        <v/>
      </c>
      <c r="F360" s="30" t="str">
        <f>IFERROR(VLOOKUP(C360,기출문제!D:G,4,0),"")</f>
        <v/>
      </c>
      <c r="G360" s="31" t="str">
        <f t="shared" si="5"/>
        <v/>
      </c>
      <c r="J360" s="23"/>
    </row>
    <row r="361" spans="2:10" s="21" customFormat="1" x14ac:dyDescent="0.3">
      <c r="B361" s="17">
        <v>354</v>
      </c>
      <c r="C361" s="27" t="s">
        <v>723</v>
      </c>
      <c r="D361" s="17"/>
      <c r="E361" s="29" t="str">
        <f>IFERROR(VLOOKUP(C361,기출문제!D:G,3,0),"")</f>
        <v/>
      </c>
      <c r="F361" s="30" t="str">
        <f>IFERROR(VLOOKUP(C361,기출문제!D:G,4,0),"")</f>
        <v/>
      </c>
      <c r="G361" s="31" t="str">
        <f t="shared" si="5"/>
        <v/>
      </c>
      <c r="J361" s="23"/>
    </row>
    <row r="362" spans="2:10" s="21" customFormat="1" x14ac:dyDescent="0.3">
      <c r="B362" s="17">
        <v>355</v>
      </c>
      <c r="C362" s="27" t="s">
        <v>723</v>
      </c>
      <c r="D362" s="17"/>
      <c r="E362" s="29" t="str">
        <f>IFERROR(VLOOKUP(C362,기출문제!D:G,3,0),"")</f>
        <v/>
      </c>
      <c r="F362" s="30" t="str">
        <f>IFERROR(VLOOKUP(C362,기출문제!D:G,4,0),"")</f>
        <v/>
      </c>
      <c r="G362" s="31" t="str">
        <f t="shared" si="5"/>
        <v/>
      </c>
      <c r="J362" s="23"/>
    </row>
    <row r="363" spans="2:10" s="21" customFormat="1" x14ac:dyDescent="0.3">
      <c r="B363" s="17">
        <v>356</v>
      </c>
      <c r="C363" s="27" t="s">
        <v>723</v>
      </c>
      <c r="D363" s="17"/>
      <c r="E363" s="29" t="str">
        <f>IFERROR(VLOOKUP(C363,기출문제!D:G,3,0),"")</f>
        <v/>
      </c>
      <c r="F363" s="30" t="str">
        <f>IFERROR(VLOOKUP(C363,기출문제!D:G,4,0),"")</f>
        <v/>
      </c>
      <c r="G363" s="31" t="str">
        <f t="shared" si="5"/>
        <v/>
      </c>
      <c r="J363" s="23"/>
    </row>
    <row r="364" spans="2:10" s="21" customFormat="1" x14ac:dyDescent="0.3">
      <c r="B364" s="17">
        <v>357</v>
      </c>
      <c r="C364" s="27" t="s">
        <v>723</v>
      </c>
      <c r="D364" s="17"/>
      <c r="E364" s="29" t="str">
        <f>IFERROR(VLOOKUP(C364,기출문제!D:G,3,0),"")</f>
        <v/>
      </c>
      <c r="F364" s="30" t="str">
        <f>IFERROR(VLOOKUP(C364,기출문제!D:G,4,0),"")</f>
        <v/>
      </c>
      <c r="G364" s="31" t="str">
        <f t="shared" si="5"/>
        <v/>
      </c>
      <c r="J364" s="23"/>
    </row>
    <row r="365" spans="2:10" s="21" customFormat="1" x14ac:dyDescent="0.3">
      <c r="B365" s="17">
        <v>358</v>
      </c>
      <c r="C365" s="27" t="s">
        <v>723</v>
      </c>
      <c r="D365" s="17"/>
      <c r="E365" s="29" t="str">
        <f>IFERROR(VLOOKUP(C365,기출문제!D:G,3,0),"")</f>
        <v/>
      </c>
      <c r="F365" s="30" t="str">
        <f>IFERROR(VLOOKUP(C365,기출문제!D:G,4,0),"")</f>
        <v/>
      </c>
      <c r="G365" s="31" t="str">
        <f t="shared" si="5"/>
        <v/>
      </c>
      <c r="J365" s="23"/>
    </row>
    <row r="366" spans="2:10" s="21" customFormat="1" x14ac:dyDescent="0.3">
      <c r="B366" s="17">
        <v>359</v>
      </c>
      <c r="C366" s="27" t="s">
        <v>723</v>
      </c>
      <c r="D366" s="17"/>
      <c r="E366" s="29" t="str">
        <f>IFERROR(VLOOKUP(C366,기출문제!D:G,3,0),"")</f>
        <v/>
      </c>
      <c r="F366" s="30" t="str">
        <f>IFERROR(VLOOKUP(C366,기출문제!D:G,4,0),"")</f>
        <v/>
      </c>
      <c r="G366" s="31" t="str">
        <f t="shared" si="5"/>
        <v/>
      </c>
      <c r="J366" s="23"/>
    </row>
    <row r="367" spans="2:10" s="21" customFormat="1" x14ac:dyDescent="0.3">
      <c r="B367" s="17">
        <v>360</v>
      </c>
      <c r="C367" s="27" t="s">
        <v>723</v>
      </c>
      <c r="D367" s="17"/>
      <c r="E367" s="29" t="str">
        <f>IFERROR(VLOOKUP(C367,기출문제!D:G,3,0),"")</f>
        <v/>
      </c>
      <c r="F367" s="30" t="str">
        <f>IFERROR(VLOOKUP(C367,기출문제!D:G,4,0),"")</f>
        <v/>
      </c>
      <c r="G367" s="31" t="str">
        <f t="shared" si="5"/>
        <v/>
      </c>
      <c r="J367" s="23"/>
    </row>
    <row r="368" spans="2:10" s="21" customFormat="1" x14ac:dyDescent="0.3">
      <c r="B368" s="17">
        <v>361</v>
      </c>
      <c r="C368" s="27" t="s">
        <v>723</v>
      </c>
      <c r="D368" s="17"/>
      <c r="E368" s="29" t="str">
        <f>IFERROR(VLOOKUP(C368,기출문제!D:G,3,0),"")</f>
        <v/>
      </c>
      <c r="F368" s="30" t="str">
        <f>IFERROR(VLOOKUP(C368,기출문제!D:G,4,0),"")</f>
        <v/>
      </c>
      <c r="G368" s="31" t="str">
        <f t="shared" si="5"/>
        <v/>
      </c>
      <c r="J368" s="23"/>
    </row>
    <row r="369" spans="2:10" s="21" customFormat="1" x14ac:dyDescent="0.3">
      <c r="B369" s="17">
        <v>362</v>
      </c>
      <c r="C369" s="27" t="s">
        <v>723</v>
      </c>
      <c r="D369" s="17"/>
      <c r="E369" s="29" t="str">
        <f>IFERROR(VLOOKUP(C369,기출문제!D:G,3,0),"")</f>
        <v/>
      </c>
      <c r="F369" s="30" t="str">
        <f>IFERROR(VLOOKUP(C369,기출문제!D:G,4,0),"")</f>
        <v/>
      </c>
      <c r="G369" s="31" t="str">
        <f t="shared" si="5"/>
        <v/>
      </c>
      <c r="J369" s="23"/>
    </row>
    <row r="370" spans="2:10" s="21" customFormat="1" x14ac:dyDescent="0.3">
      <c r="B370" s="17">
        <v>363</v>
      </c>
      <c r="C370" s="27" t="s">
        <v>723</v>
      </c>
      <c r="D370" s="17"/>
      <c r="E370" s="29" t="str">
        <f>IFERROR(VLOOKUP(C370,기출문제!D:G,3,0),"")</f>
        <v/>
      </c>
      <c r="F370" s="30" t="str">
        <f>IFERROR(VLOOKUP(C370,기출문제!D:G,4,0),"")</f>
        <v/>
      </c>
      <c r="G370" s="31" t="str">
        <f t="shared" si="5"/>
        <v/>
      </c>
      <c r="J370" s="23"/>
    </row>
    <row r="371" spans="2:10" s="21" customFormat="1" x14ac:dyDescent="0.3">
      <c r="B371" s="17">
        <v>364</v>
      </c>
      <c r="C371" s="27" t="s">
        <v>723</v>
      </c>
      <c r="D371" s="17"/>
      <c r="E371" s="29" t="str">
        <f>IFERROR(VLOOKUP(C371,기출문제!D:G,3,0),"")</f>
        <v/>
      </c>
      <c r="F371" s="30" t="str">
        <f>IFERROR(VLOOKUP(C371,기출문제!D:G,4,0),"")</f>
        <v/>
      </c>
      <c r="G371" s="31" t="str">
        <f t="shared" si="5"/>
        <v/>
      </c>
      <c r="J371" s="23"/>
    </row>
    <row r="372" spans="2:10" s="21" customFormat="1" x14ac:dyDescent="0.3">
      <c r="B372" s="17">
        <v>365</v>
      </c>
      <c r="C372" s="27" t="s">
        <v>723</v>
      </c>
      <c r="D372" s="17"/>
      <c r="E372" s="29" t="str">
        <f>IFERROR(VLOOKUP(C372,기출문제!D:G,3,0),"")</f>
        <v/>
      </c>
      <c r="F372" s="30" t="str">
        <f>IFERROR(VLOOKUP(C372,기출문제!D:G,4,0),"")</f>
        <v/>
      </c>
      <c r="G372" s="31" t="str">
        <f t="shared" si="5"/>
        <v/>
      </c>
      <c r="J372" s="23"/>
    </row>
    <row r="373" spans="2:10" s="21" customFormat="1" x14ac:dyDescent="0.3">
      <c r="B373" s="17">
        <v>366</v>
      </c>
      <c r="C373" s="27" t="s">
        <v>723</v>
      </c>
      <c r="D373" s="17"/>
      <c r="E373" s="29" t="str">
        <f>IFERROR(VLOOKUP(C373,기출문제!D:G,3,0),"")</f>
        <v/>
      </c>
      <c r="F373" s="30" t="str">
        <f>IFERROR(VLOOKUP(C373,기출문제!D:G,4,0),"")</f>
        <v/>
      </c>
      <c r="G373" s="31" t="str">
        <f t="shared" si="5"/>
        <v/>
      </c>
      <c r="J373" s="23"/>
    </row>
    <row r="374" spans="2:10" s="21" customFormat="1" x14ac:dyDescent="0.3">
      <c r="B374" s="17">
        <v>367</v>
      </c>
      <c r="C374" s="27" t="s">
        <v>723</v>
      </c>
      <c r="D374" s="17"/>
      <c r="E374" s="29" t="str">
        <f>IFERROR(VLOOKUP(C374,기출문제!D:G,3,0),"")</f>
        <v/>
      </c>
      <c r="F374" s="30" t="str">
        <f>IFERROR(VLOOKUP(C374,기출문제!D:G,4,0),"")</f>
        <v/>
      </c>
      <c r="G374" s="31" t="str">
        <f t="shared" si="5"/>
        <v/>
      </c>
      <c r="J374" s="23"/>
    </row>
    <row r="375" spans="2:10" s="21" customFormat="1" x14ac:dyDescent="0.3">
      <c r="B375" s="17">
        <v>368</v>
      </c>
      <c r="C375" s="27" t="s">
        <v>723</v>
      </c>
      <c r="D375" s="17"/>
      <c r="E375" s="29" t="str">
        <f>IFERROR(VLOOKUP(C375,기출문제!D:G,3,0),"")</f>
        <v/>
      </c>
      <c r="F375" s="30" t="str">
        <f>IFERROR(VLOOKUP(C375,기출문제!D:G,4,0),"")</f>
        <v/>
      </c>
      <c r="G375" s="31" t="str">
        <f t="shared" si="5"/>
        <v/>
      </c>
      <c r="J375" s="23"/>
    </row>
    <row r="376" spans="2:10" s="21" customFormat="1" x14ac:dyDescent="0.3">
      <c r="B376" s="17">
        <v>369</v>
      </c>
      <c r="C376" s="27" t="s">
        <v>723</v>
      </c>
      <c r="D376" s="17"/>
      <c r="E376" s="29" t="str">
        <f>IFERROR(VLOOKUP(C376,기출문제!D:G,3,0),"")</f>
        <v/>
      </c>
      <c r="F376" s="30" t="str">
        <f>IFERROR(VLOOKUP(C376,기출문제!D:G,4,0),"")</f>
        <v/>
      </c>
      <c r="G376" s="31" t="str">
        <f t="shared" si="5"/>
        <v/>
      </c>
      <c r="J376" s="23"/>
    </row>
    <row r="377" spans="2:10" s="21" customFormat="1" x14ac:dyDescent="0.3">
      <c r="B377" s="17">
        <v>370</v>
      </c>
      <c r="C377" s="27" t="s">
        <v>723</v>
      </c>
      <c r="D377" s="17"/>
      <c r="E377" s="29" t="str">
        <f>IFERROR(VLOOKUP(C377,기출문제!D:G,3,0),"")</f>
        <v/>
      </c>
      <c r="F377" s="30" t="str">
        <f>IFERROR(VLOOKUP(C377,기출문제!D:G,4,0),"")</f>
        <v/>
      </c>
      <c r="G377" s="31" t="str">
        <f t="shared" si="5"/>
        <v/>
      </c>
      <c r="J377" s="23"/>
    </row>
    <row r="378" spans="2:10" s="21" customFormat="1" x14ac:dyDescent="0.3">
      <c r="B378" s="17">
        <v>371</v>
      </c>
      <c r="C378" s="27" t="s">
        <v>723</v>
      </c>
      <c r="D378" s="17"/>
      <c r="E378" s="29" t="str">
        <f>IFERROR(VLOOKUP(C378,기출문제!D:G,3,0),"")</f>
        <v/>
      </c>
      <c r="F378" s="30" t="str">
        <f>IFERROR(VLOOKUP(C378,기출문제!D:G,4,0),"")</f>
        <v/>
      </c>
      <c r="G378" s="31" t="str">
        <f t="shared" si="5"/>
        <v/>
      </c>
      <c r="J378" s="23"/>
    </row>
    <row r="379" spans="2:10" s="21" customFormat="1" x14ac:dyDescent="0.3">
      <c r="B379" s="17">
        <v>372</v>
      </c>
      <c r="C379" s="27" t="s">
        <v>723</v>
      </c>
      <c r="D379" s="17"/>
      <c r="E379" s="29" t="str">
        <f>IFERROR(VLOOKUP(C379,기출문제!D:G,3,0),"")</f>
        <v/>
      </c>
      <c r="F379" s="30" t="str">
        <f>IFERROR(VLOOKUP(C379,기출문제!D:G,4,0),"")</f>
        <v/>
      </c>
      <c r="G379" s="31" t="str">
        <f t="shared" si="5"/>
        <v/>
      </c>
      <c r="J379" s="23"/>
    </row>
    <row r="380" spans="2:10" s="21" customFormat="1" x14ac:dyDescent="0.3">
      <c r="B380" s="17">
        <v>373</v>
      </c>
      <c r="C380" s="27" t="s">
        <v>723</v>
      </c>
      <c r="D380" s="17"/>
      <c r="E380" s="29" t="str">
        <f>IFERROR(VLOOKUP(C380,기출문제!D:G,3,0),"")</f>
        <v/>
      </c>
      <c r="F380" s="30" t="str">
        <f>IFERROR(VLOOKUP(C380,기출문제!D:G,4,0),"")</f>
        <v/>
      </c>
      <c r="G380" s="31" t="str">
        <f t="shared" si="5"/>
        <v/>
      </c>
      <c r="J380" s="23"/>
    </row>
    <row r="381" spans="2:10" s="21" customFormat="1" x14ac:dyDescent="0.3">
      <c r="B381" s="17">
        <v>374</v>
      </c>
      <c r="C381" s="27" t="s">
        <v>723</v>
      </c>
      <c r="D381" s="17"/>
      <c r="E381" s="29" t="str">
        <f>IFERROR(VLOOKUP(C381,기출문제!D:G,3,0),"")</f>
        <v/>
      </c>
      <c r="F381" s="30" t="str">
        <f>IFERROR(VLOOKUP(C381,기출문제!D:G,4,0),"")</f>
        <v/>
      </c>
      <c r="G381" s="31" t="str">
        <f t="shared" si="5"/>
        <v/>
      </c>
      <c r="J381" s="23"/>
    </row>
    <row r="382" spans="2:10" s="21" customFormat="1" x14ac:dyDescent="0.3">
      <c r="B382" s="17">
        <v>375</v>
      </c>
      <c r="C382" s="27" t="s">
        <v>723</v>
      </c>
      <c r="D382" s="17"/>
      <c r="E382" s="29" t="str">
        <f>IFERROR(VLOOKUP(C382,기출문제!D:G,3,0),"")</f>
        <v/>
      </c>
      <c r="F382" s="30" t="str">
        <f>IFERROR(VLOOKUP(C382,기출문제!D:G,4,0),"")</f>
        <v/>
      </c>
      <c r="G382" s="31" t="str">
        <f t="shared" si="5"/>
        <v/>
      </c>
      <c r="J382" s="23"/>
    </row>
    <row r="383" spans="2:10" s="21" customFormat="1" x14ac:dyDescent="0.3">
      <c r="B383" s="17">
        <v>376</v>
      </c>
      <c r="C383" s="27" t="s">
        <v>723</v>
      </c>
      <c r="D383" s="17"/>
      <c r="E383" s="29" t="str">
        <f>IFERROR(VLOOKUP(C383,기출문제!D:G,3,0),"")</f>
        <v/>
      </c>
      <c r="F383" s="30" t="str">
        <f>IFERROR(VLOOKUP(C383,기출문제!D:G,4,0),"")</f>
        <v/>
      </c>
      <c r="G383" s="31" t="str">
        <f t="shared" si="5"/>
        <v/>
      </c>
      <c r="J383" s="23"/>
    </row>
    <row r="384" spans="2:10" s="21" customFormat="1" x14ac:dyDescent="0.3">
      <c r="B384" s="17">
        <v>377</v>
      </c>
      <c r="C384" s="27" t="s">
        <v>723</v>
      </c>
      <c r="D384" s="17"/>
      <c r="E384" s="29" t="str">
        <f>IFERROR(VLOOKUP(C384,기출문제!D:G,3,0),"")</f>
        <v/>
      </c>
      <c r="F384" s="30" t="str">
        <f>IFERROR(VLOOKUP(C384,기출문제!D:G,4,0),"")</f>
        <v/>
      </c>
      <c r="G384" s="31" t="str">
        <f t="shared" si="5"/>
        <v/>
      </c>
      <c r="J384" s="23"/>
    </row>
    <row r="385" spans="2:10" s="21" customFormat="1" x14ac:dyDescent="0.3">
      <c r="B385" s="17">
        <v>378</v>
      </c>
      <c r="C385" s="27" t="s">
        <v>723</v>
      </c>
      <c r="D385" s="17"/>
      <c r="E385" s="29" t="str">
        <f>IFERROR(VLOOKUP(C385,기출문제!D:G,3,0),"")</f>
        <v/>
      </c>
      <c r="F385" s="30" t="str">
        <f>IFERROR(VLOOKUP(C385,기출문제!D:G,4,0),"")</f>
        <v/>
      </c>
      <c r="G385" s="31" t="str">
        <f t="shared" si="5"/>
        <v/>
      </c>
      <c r="J385" s="23"/>
    </row>
    <row r="386" spans="2:10" s="21" customFormat="1" x14ac:dyDescent="0.3">
      <c r="B386" s="17">
        <v>379</v>
      </c>
      <c r="C386" s="27" t="s">
        <v>723</v>
      </c>
      <c r="D386" s="17"/>
      <c r="E386" s="29" t="str">
        <f>IFERROR(VLOOKUP(C386,기출문제!D:G,3,0),"")</f>
        <v/>
      </c>
      <c r="F386" s="30" t="str">
        <f>IFERROR(VLOOKUP(C386,기출문제!D:G,4,0),"")</f>
        <v/>
      </c>
      <c r="G386" s="31" t="str">
        <f t="shared" si="5"/>
        <v/>
      </c>
      <c r="J386" s="23"/>
    </row>
    <row r="387" spans="2:10" s="21" customFormat="1" x14ac:dyDescent="0.3">
      <c r="B387" s="17">
        <v>380</v>
      </c>
      <c r="C387" s="27" t="s">
        <v>723</v>
      </c>
      <c r="D387" s="17"/>
      <c r="E387" s="29" t="str">
        <f>IFERROR(VLOOKUP(C387,기출문제!D:G,3,0),"")</f>
        <v/>
      </c>
      <c r="F387" s="30" t="str">
        <f>IFERROR(VLOOKUP(C387,기출문제!D:G,4,0),"")</f>
        <v/>
      </c>
      <c r="G387" s="31" t="str">
        <f t="shared" si="5"/>
        <v/>
      </c>
      <c r="J387" s="23"/>
    </row>
    <row r="388" spans="2:10" s="21" customFormat="1" x14ac:dyDescent="0.3">
      <c r="B388" s="17">
        <v>381</v>
      </c>
      <c r="C388" s="27" t="s">
        <v>723</v>
      </c>
      <c r="D388" s="17"/>
      <c r="E388" s="29" t="str">
        <f>IFERROR(VLOOKUP(C388,기출문제!D:G,3,0),"")</f>
        <v/>
      </c>
      <c r="F388" s="30" t="str">
        <f>IFERROR(VLOOKUP(C388,기출문제!D:G,4,0),"")</f>
        <v/>
      </c>
      <c r="G388" s="31" t="str">
        <f t="shared" si="5"/>
        <v/>
      </c>
      <c r="J388" s="23"/>
    </row>
    <row r="389" spans="2:10" s="21" customFormat="1" x14ac:dyDescent="0.3">
      <c r="B389" s="17">
        <v>382</v>
      </c>
      <c r="C389" s="27" t="s">
        <v>723</v>
      </c>
      <c r="D389" s="17"/>
      <c r="E389" s="29" t="str">
        <f>IFERROR(VLOOKUP(C389,기출문제!D:G,3,0),"")</f>
        <v/>
      </c>
      <c r="F389" s="30" t="str">
        <f>IFERROR(VLOOKUP(C389,기출문제!D:G,4,0),"")</f>
        <v/>
      </c>
      <c r="G389" s="31" t="str">
        <f t="shared" si="5"/>
        <v/>
      </c>
      <c r="J389" s="23"/>
    </row>
    <row r="390" spans="2:10" s="21" customFormat="1" x14ac:dyDescent="0.3">
      <c r="B390" s="17">
        <v>383</v>
      </c>
      <c r="C390" s="27" t="s">
        <v>723</v>
      </c>
      <c r="D390" s="17"/>
      <c r="E390" s="29" t="str">
        <f>IFERROR(VLOOKUP(C390,기출문제!D:G,3,0),"")</f>
        <v/>
      </c>
      <c r="F390" s="30" t="str">
        <f>IFERROR(VLOOKUP(C390,기출문제!D:G,4,0),"")</f>
        <v/>
      </c>
      <c r="G390" s="31" t="str">
        <f t="shared" si="5"/>
        <v/>
      </c>
      <c r="J390" s="23"/>
    </row>
    <row r="391" spans="2:10" s="21" customFormat="1" x14ac:dyDescent="0.3">
      <c r="B391" s="17">
        <v>384</v>
      </c>
      <c r="C391" s="27" t="s">
        <v>723</v>
      </c>
      <c r="D391" s="17"/>
      <c r="E391" s="29" t="str">
        <f>IFERROR(VLOOKUP(C391,기출문제!D:G,3,0),"")</f>
        <v/>
      </c>
      <c r="F391" s="30" t="str">
        <f>IFERROR(VLOOKUP(C391,기출문제!D:G,4,0),"")</f>
        <v/>
      </c>
      <c r="G391" s="31" t="str">
        <f t="shared" si="5"/>
        <v/>
      </c>
      <c r="J391" s="23"/>
    </row>
    <row r="392" spans="2:10" s="21" customFormat="1" x14ac:dyDescent="0.3">
      <c r="B392" s="17">
        <v>385</v>
      </c>
      <c r="C392" s="27" t="s">
        <v>723</v>
      </c>
      <c r="D392" s="17"/>
      <c r="E392" s="29" t="str">
        <f>IFERROR(VLOOKUP(C392,기출문제!D:G,3,0),"")</f>
        <v/>
      </c>
      <c r="F392" s="30" t="str">
        <f>IFERROR(VLOOKUP(C392,기출문제!D:G,4,0),"")</f>
        <v/>
      </c>
      <c r="G392" s="31" t="str">
        <f t="shared" si="5"/>
        <v/>
      </c>
      <c r="J392" s="23"/>
    </row>
    <row r="393" spans="2:10" s="21" customFormat="1" x14ac:dyDescent="0.3">
      <c r="B393" s="17">
        <v>386</v>
      </c>
      <c r="C393" s="27" t="s">
        <v>723</v>
      </c>
      <c r="D393" s="17"/>
      <c r="E393" s="29" t="str">
        <f>IFERROR(VLOOKUP(C393,기출문제!D:G,3,0),"")</f>
        <v/>
      </c>
      <c r="F393" s="30" t="str">
        <f>IFERROR(VLOOKUP(C393,기출문제!D:G,4,0),"")</f>
        <v/>
      </c>
      <c r="G393" s="31" t="str">
        <f t="shared" ref="G393:G397" si="6">IF(D393="","",IF(D393=F393,"O", "X"))</f>
        <v/>
      </c>
      <c r="J393" s="23"/>
    </row>
    <row r="394" spans="2:10" s="21" customFormat="1" x14ac:dyDescent="0.3">
      <c r="B394" s="17">
        <v>387</v>
      </c>
      <c r="C394" s="27" t="s">
        <v>723</v>
      </c>
      <c r="D394" s="17"/>
      <c r="E394" s="29" t="str">
        <f>IFERROR(VLOOKUP(C394,기출문제!D:G,3,0),"")</f>
        <v/>
      </c>
      <c r="F394" s="30" t="str">
        <f>IFERROR(VLOOKUP(C394,기출문제!D:G,4,0),"")</f>
        <v/>
      </c>
      <c r="G394" s="31" t="str">
        <f t="shared" si="6"/>
        <v/>
      </c>
      <c r="J394" s="23"/>
    </row>
    <row r="395" spans="2:10" s="21" customFormat="1" x14ac:dyDescent="0.3">
      <c r="B395" s="17">
        <v>388</v>
      </c>
      <c r="C395" s="27" t="s">
        <v>723</v>
      </c>
      <c r="D395" s="17"/>
      <c r="E395" s="29" t="str">
        <f>IFERROR(VLOOKUP(C395,기출문제!D:G,3,0),"")</f>
        <v/>
      </c>
      <c r="F395" s="30" t="str">
        <f>IFERROR(VLOOKUP(C395,기출문제!D:G,4,0),"")</f>
        <v/>
      </c>
      <c r="G395" s="31" t="str">
        <f t="shared" si="6"/>
        <v/>
      </c>
      <c r="J395" s="23"/>
    </row>
    <row r="396" spans="2:10" s="21" customFormat="1" x14ac:dyDescent="0.3">
      <c r="B396" s="17">
        <v>389</v>
      </c>
      <c r="C396" s="27" t="s">
        <v>723</v>
      </c>
      <c r="D396" s="17"/>
      <c r="E396" s="29" t="str">
        <f>IFERROR(VLOOKUP(C396,기출문제!D:G,3,0),"")</f>
        <v/>
      </c>
      <c r="F396" s="30" t="str">
        <f>IFERROR(VLOOKUP(C396,기출문제!D:G,4,0),"")</f>
        <v/>
      </c>
      <c r="G396" s="31" t="str">
        <f t="shared" si="6"/>
        <v/>
      </c>
      <c r="J396" s="23"/>
    </row>
    <row r="397" spans="2:10" s="21" customFormat="1" x14ac:dyDescent="0.3">
      <c r="B397" s="17">
        <v>390</v>
      </c>
      <c r="C397" s="27" t="s">
        <v>723</v>
      </c>
      <c r="D397" s="17"/>
      <c r="E397" s="29" t="str">
        <f>IFERROR(VLOOKUP(C397,기출문제!D:G,3,0),"")</f>
        <v/>
      </c>
      <c r="F397" s="30" t="str">
        <f>IFERROR(VLOOKUP(C397,기출문제!D:G,4,0),"")</f>
        <v/>
      </c>
      <c r="G397" s="31" t="str">
        <f t="shared" si="6"/>
        <v/>
      </c>
      <c r="J397" s="23"/>
    </row>
  </sheetData>
  <phoneticPr fontId="1" type="noConversion"/>
  <conditionalFormatting sqref="F8:F397">
    <cfRule type="expression" dxfId="4" priority="1">
      <formula>$D8&lt;&gt;""</formula>
    </cfRule>
  </conditionalFormatting>
  <dataValidations count="1">
    <dataValidation type="list" allowBlank="1" showInputMessage="1" showErrorMessage="1" sqref="D3" xr:uid="{757D72A2-4A06-4823-A03F-5B428C19C9FC}">
      <formula1>"A(기본),R(랜덤)"</formula1>
    </dataValidation>
  </dataValidations>
  <printOptions horizontalCentered="1"/>
  <pageMargins left="0" right="0" top="0.19685039370078741" bottom="0" header="0" footer="0"/>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현재_통합_문서.TestQuestionCreate_Click" altText="문제생성_x000a_">
                <anchor moveWithCells="1" sizeWithCells="1">
                  <from>
                    <xdr:col>2</xdr:col>
                    <xdr:colOff>9525</xdr:colOff>
                    <xdr:row>5</xdr:row>
                    <xdr:rowOff>28575</xdr:rowOff>
                  </from>
                  <to>
                    <xdr:col>3</xdr:col>
                    <xdr:colOff>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D6126F3-2D7F-45CD-9375-6E57A58072FD}">
          <x14:formula1>
            <xm:f>기출문제!$C$4:$C$5000</xm:f>
          </x14:formula1>
          <xm:sqref>D4:D5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DD5A2-C487-46ED-98A7-0496D7775CC9}">
  <sheetPr codeName="Sheet18">
    <pageSetUpPr autoPageBreaks="0"/>
  </sheetPr>
  <dimension ref="B2:J397"/>
  <sheetViews>
    <sheetView showGridLines="0" zoomScaleNormal="100" zoomScaleSheetLayoutView="100" workbookViewId="0">
      <pane ySplit="7" topLeftCell="A203" activePane="bottomLeft" state="frozen"/>
      <selection activeCell="N35" sqref="N35"/>
      <selection pane="bottomLeft" activeCell="E204" sqref="E204"/>
    </sheetView>
  </sheetViews>
  <sheetFormatPr defaultColWidth="9" defaultRowHeight="14.25" x14ac:dyDescent="0.3"/>
  <cols>
    <col min="1" max="1" width="1.625" style="23" customWidth="1"/>
    <col min="2" max="2" width="3.625" style="15" customWidth="1"/>
    <col min="3" max="3" width="10.625" style="15" customWidth="1"/>
    <col min="4" max="4" width="5.625" style="15" customWidth="1"/>
    <col min="5" max="5" width="95.625" style="18" customWidth="1"/>
    <col min="6" max="7" width="5.625" style="26" customWidth="1"/>
    <col min="8" max="9" width="9" style="21"/>
    <col min="10" max="16384" width="9" style="23"/>
  </cols>
  <sheetData>
    <row r="2" spans="2:10" x14ac:dyDescent="0.3">
      <c r="C2" s="16" t="s">
        <v>724</v>
      </c>
      <c r="D2" s="17">
        <v>265</v>
      </c>
      <c r="F2" s="19" t="s">
        <v>763</v>
      </c>
      <c r="G2" s="20">
        <f>MAX(B8:B397)-COUNTBLANK(C8:C397)</f>
        <v>265</v>
      </c>
      <c r="J2" s="22"/>
    </row>
    <row r="3" spans="2:10" x14ac:dyDescent="0.3">
      <c r="C3" s="16" t="s">
        <v>725</v>
      </c>
      <c r="D3" s="17" t="s">
        <v>744</v>
      </c>
      <c r="F3" s="19" t="s">
        <v>773</v>
      </c>
      <c r="G3" s="24">
        <f>COUNTIF(G8:G447,"X")</f>
        <v>0</v>
      </c>
      <c r="J3" s="22"/>
    </row>
    <row r="4" spans="2:10" x14ac:dyDescent="0.3">
      <c r="C4" s="16" t="s">
        <v>729</v>
      </c>
      <c r="D4" s="17" t="s">
        <v>739</v>
      </c>
      <c r="F4" s="24" t="s">
        <v>3</v>
      </c>
      <c r="G4" s="24">
        <f>G2-G3</f>
        <v>265</v>
      </c>
      <c r="J4" s="22"/>
    </row>
    <row r="5" spans="2:10" x14ac:dyDescent="0.3">
      <c r="C5" s="16" t="s">
        <v>726</v>
      </c>
      <c r="D5" s="17" t="s">
        <v>728</v>
      </c>
      <c r="F5" s="24" t="s">
        <v>764</v>
      </c>
      <c r="G5" s="25">
        <f>100/G2*G4</f>
        <v>100.00000000000001</v>
      </c>
      <c r="J5" s="22"/>
    </row>
    <row r="6" spans="2:10" x14ac:dyDescent="0.3">
      <c r="J6" s="22"/>
    </row>
    <row r="7" spans="2:10" x14ac:dyDescent="0.3">
      <c r="B7" s="4" t="s">
        <v>0</v>
      </c>
      <c r="C7" s="4" t="s">
        <v>1</v>
      </c>
      <c r="D7" s="4" t="s">
        <v>606</v>
      </c>
      <c r="E7" s="14" t="s">
        <v>2</v>
      </c>
      <c r="F7" s="14" t="s">
        <v>3</v>
      </c>
      <c r="G7" s="14" t="s">
        <v>598</v>
      </c>
      <c r="J7" s="22"/>
    </row>
    <row r="8" spans="2:10" ht="156.75" x14ac:dyDescent="0.3">
      <c r="B8" s="17">
        <v>1</v>
      </c>
      <c r="C8" s="27" t="s">
        <v>631</v>
      </c>
      <c r="D8" s="28"/>
      <c r="E8" s="29" t="str">
        <f>IFERROR(VLOOKUP(C8,기출문제!D:G,3,0),"")</f>
        <v>41. 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
① ㄱ, ㄴ, ㄷ 
② ㄱ, ㄴ, ㄹ 
③ ㄱ, ㄷ, ㄹ
④ ㄴ, ㄷ, ㄹ 
⑤ ㄱ, ㄴ, ㄷ, ㄹ</v>
      </c>
      <c r="F8" s="30">
        <f>IFERROR(VLOOKUP(C8,기출문제!D:G,4,0),"")</f>
        <v>5</v>
      </c>
      <c r="G8" s="31" t="str">
        <f>IF(D8="","",IF(D8=F8,"O", "X"))</f>
        <v/>
      </c>
    </row>
    <row r="9" spans="2:10" ht="156.75" x14ac:dyDescent="0.3">
      <c r="B9" s="17">
        <v>2</v>
      </c>
      <c r="C9" s="27" t="s">
        <v>866</v>
      </c>
      <c r="D9" s="28"/>
      <c r="E9" s="29" t="str">
        <f>IFERROR(VLOOKUP(C9,기출문제!D:G,3,0),"")</f>
        <v>42. 사회보장기본법령에 관한 설명으로 옳지 않은 것은?
① 보건복지부장관은 사회보장 행정데이터 분석센터의 설치・운영에 관한 사무를 수행하기 위하여 불가피한 경우「개인정보 보호법」시행령 제18조제2호에 따른 범죄경력자료에 해당하는 정보를 처리할 수 있다.
② 보건복지부장관은 사회보장 분야 전문 인력 양성을 위하여 관계 중앙행정기관, 지방자치단체, 공공기관 및 법인・단체 등의 직원을 대상으로 사회보장에 관한 교육을 매년 1회 이상 실시할 수 있다.
③ 보건복지부장관은 사회보장정보시스템을 통해 다른 법령에 따라 국가 및 지방자치단체로부터 위탁받은 사회보장에 관한 업무를 수행할 수 있다.
④ 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
⑤ 보건복지부장관이 사회보장정보시스템의 운영・지원을 위하여 설치할 수 있는 전담기구는「사회보장급여의 이용・제공 및 수급권자 발굴에 관한 법률」제29조에 따른 한국사회보장정보원으로 한다.</v>
      </c>
      <c r="F9" s="30">
        <f>IFERROR(VLOOKUP(C9,기출문제!D:G,4,0),"")</f>
        <v>1</v>
      </c>
      <c r="G9" s="31" t="str">
        <f t="shared" ref="G9:G72" si="0">IF(D9="","",IF(D9=F9,"O", "X"))</f>
        <v/>
      </c>
    </row>
    <row r="10" spans="2:10" ht="114" x14ac:dyDescent="0.3">
      <c r="B10" s="17">
        <v>3</v>
      </c>
      <c r="C10" s="27" t="s">
        <v>867</v>
      </c>
      <c r="D10" s="28"/>
      <c r="E10" s="29" t="str">
        <f>IFERROR(VLOOKUP(C10,기출문제!D:G,3,0),"")</f>
        <v>43. 사회보장기본법령상 사회보장 재정추계(財政推計)에 관한 설명으로 옳지 않은 것은?
① 국가는 사회보장제도의 안정적인 운영을 위하여 중장기 사회보장 재정추계를 격년으로 실시하고 이를 공표하여야 한다.
② 보건복지부장관은 사회보장 재정추계를 위하여 재정추계를 실시하는 해의 1월 31일까지 재정추계 세부지침을 마련하여야 한다.
③ 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
④ 관계 중앙행정기관의 장은 재정추계 결과를 바탕으로 정책개선안을 마련하여 같은 해 12월 31일까지 보건복지부장관에게 제출하여야 한다.
⑤ 보건복지부장관은 정책개선안을 종합하여 이를 추계 실시 해의 다음 해 3월 31일까지 사회보장위원회에 보고하여야 한다.</v>
      </c>
      <c r="F10" s="30">
        <f>IFERROR(VLOOKUP(C10,기출문제!D:G,4,0),"")</f>
        <v>2</v>
      </c>
      <c r="G10" s="31" t="str">
        <f t="shared" si="0"/>
        <v/>
      </c>
    </row>
    <row r="11" spans="2:10" ht="85.5" x14ac:dyDescent="0.3">
      <c r="B11" s="17">
        <v>4</v>
      </c>
      <c r="C11" s="27" t="s">
        <v>868</v>
      </c>
      <c r="D11" s="28"/>
      <c r="E11" s="29" t="str">
        <f>IFERROR(VLOOKUP(C11,기출문제!D:G,3,0),"")</f>
        <v>44. 고용보험법상「장애인고용촉진 및 직업재활법」제2조제1호에 따른 장애인의 피보험 기간이 1년인 구직급여의 소정급여일수는?
① 120일 
② 180일 
③ 210일 
④ 240일 
⑤ 270일</v>
      </c>
      <c r="F11" s="30">
        <f>IFERROR(VLOOKUP(C11,기출문제!D:G,4,0),"")</f>
        <v>2</v>
      </c>
      <c r="G11" s="31" t="str">
        <f t="shared" si="0"/>
        <v/>
      </c>
    </row>
    <row r="12" spans="2:10" ht="156.75" x14ac:dyDescent="0.3">
      <c r="B12" s="17">
        <v>5</v>
      </c>
      <c r="C12" s="27" t="s">
        <v>869</v>
      </c>
      <c r="D12" s="28"/>
      <c r="E12" s="29" t="str">
        <f>IFERROR(VLOOKUP(C12,기출문제!D:G,3,0),"")</f>
        <v>45. 고용보험법상 심사 및 재심사청구에 관한 설명으로 옳은 것은?
① 직업안정기관 또는 근로복지공단은 심사청구서를 받은 날부터 7일 이내에 의견서를 첨부하여 심사청구서를 고용보험심사관에 보내야 한다.
② 고용보험심사관은 원처분등의 집행에 의하여 발생하는 중대한 위해(危害)를 피하기 위하여 긴급한 필요가 있다고 인정되더라도 직권으로는 그 집행을 정지시킬 수 없다.
③ 육아휴직 급여와 출산전후휴가 급여등에 관한 처분에 대한 심사의 청구는 근로복지공단을 거쳐 고용보험심사관에게 하여야 한다.
④ 고용보험심사관은 심사의 청구에 대한 심리(審理)를 마쳤을 때에는 원처분등의 전부 또는 일부를 취소하거나 심사청구의 전부 또는 일부를 기각한다.
⑤ 심사청구에 대한 결정은 심사청구인 및 직업안정기관의 장 또는 근로복지공단에 결정서의 정본을 보낸 다음 날부터 효력이 발생한다.</v>
      </c>
      <c r="F12" s="30">
        <f>IFERROR(VLOOKUP(C12,기출문제!D:G,4,0),"")</f>
        <v>4</v>
      </c>
      <c r="G12" s="31" t="str">
        <f t="shared" si="0"/>
        <v/>
      </c>
    </row>
    <row r="13" spans="2:10" ht="156.75" x14ac:dyDescent="0.3">
      <c r="B13" s="17">
        <v>6</v>
      </c>
      <c r="C13" s="27" t="s">
        <v>870</v>
      </c>
      <c r="D13" s="28"/>
      <c r="E13" s="29" t="str">
        <f>IFERROR(VLOOKUP(C13,기출문제!D:G,3,0),"")</f>
        <v>46. 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
① ㄱ: 100분의 70, ㄴ: 160 
② ㄱ: 100분의 70, ㄴ: 200 
③ ㄱ: 100분의 80, ㄴ: 100
④ ㄱ: 100분의 80, ㄴ: 160 
⑤ ㄱ: 100분의 80, ㄴ: 200</v>
      </c>
      <c r="F13" s="30">
        <f>IFERROR(VLOOKUP(C13,기출문제!D:G,4,0),"")</f>
        <v>4</v>
      </c>
      <c r="G13" s="31" t="str">
        <f t="shared" si="0"/>
        <v/>
      </c>
    </row>
    <row r="14" spans="2:10" ht="128.25" x14ac:dyDescent="0.3">
      <c r="B14" s="17">
        <v>7</v>
      </c>
      <c r="C14" s="27" t="s">
        <v>871</v>
      </c>
      <c r="D14" s="28"/>
      <c r="E14" s="29" t="str">
        <f>IFERROR(VLOOKUP(C14,기출문제!D:G,3,0),"")</f>
        <v>47. 고용보험법령상 보험가입 등에 관한 설명으로 옳지 않은 것은?
① 「국가공무원법」에 따른 임기제 공무원(이하 "임기제 공무원"이라 한다)의 경우는 본인의 의사에 따라 고용보험(실업급여에 한정)에 가입할 수 있다.
② 임기제 공무원이 원하는 경우에는 임용된 날부터 3개월 이내에 고용노동부장관에게 직접 고용보험 가입을 신청할 수 있다.
③ 고용보험 피보험자격을 취득한 임기제 공무원이 공무원 신분의 변동에 따라 계속하여 다른 임기제 공무원으로 임용된 때에는 별도의 가입신청을 하지 않은 경우에도 고용보험의 피보험자격을 유지한다.
④ 임기제 공무원이 가입한 고용보험에서 탈퇴한 이후에 가입대상 공무원으로 계속 재직하는 경우 본인의 신청에 의하여 고용보험에 다시 가입할 수 있다.
⑤ 고용보험에 가입한 임기제 공무원에 대한 보험료는 소속기관과 고용보험에 가입한 임기제 공무원이 각각 2분의 1씩 부담한다.</v>
      </c>
      <c r="F14" s="30">
        <f>IFERROR(VLOOKUP(C14,기출문제!D:G,4,0),"")</f>
        <v>4</v>
      </c>
      <c r="G14" s="31" t="str">
        <f t="shared" si="0"/>
        <v/>
      </c>
    </row>
    <row r="15" spans="2:10" ht="114" x14ac:dyDescent="0.3">
      <c r="B15" s="17">
        <v>8</v>
      </c>
      <c r="C15" s="27" t="s">
        <v>872</v>
      </c>
      <c r="D15" s="28"/>
      <c r="E15" s="29" t="str">
        <f>IFERROR(VLOOKUP(C15,기출문제!D:G,3,0),"")</f>
        <v>48. 고용보험법령상 실업급여에 관한 설명으로 옳지 않은 것은?
① 실업급여수급계좌의 해당 금융기관은 「고용보험법」에 따른 실업급여만이 실업급여수급계좌에 입금되도록 관리하여야 한다.
② 직업안정기관의 장은 수급자격 인정신청을 한 사람에게 신청인이 원하는 경우에는 해당 실업급여를 실업급여수급계좌로 받을 수 있다는 사실을 안내하여야 한다.
③ 실업급여수급계좌에 입금된 실업급여 금액 전액 이하의 금액에 관한 채권은 압류할 수 없다.
④ 실업급여로서 지급된 금품에 대하여는 「국세기본법」제2조제8호의 공과금을 부과한다.
⑤ 직업안정기관의 장은 정보통신장애로 인하여 실업급여를 실업급여수급계좌로 이체할 수 없을 때에는 해당 실업급여 금액을 수급자격자에게 직접 현금으로 지급할 수 있다.</v>
      </c>
      <c r="F15" s="30">
        <f>IFERROR(VLOOKUP(C15,기출문제!D:G,4,0),"")</f>
        <v>4</v>
      </c>
      <c r="G15" s="31" t="str">
        <f t="shared" si="0"/>
        <v/>
      </c>
    </row>
    <row r="16" spans="2:10" ht="199.5" x14ac:dyDescent="0.3">
      <c r="B16" s="17">
        <v>9</v>
      </c>
      <c r="C16" s="27" t="s">
        <v>873</v>
      </c>
      <c r="D16" s="28"/>
      <c r="E16" s="29" t="str">
        <f>IFERROR(VLOOKUP(C16,기출문제!D:G,3,0),"")</f>
        <v>49. 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
① ㄱ, ㄹ 
② ㄱ, ㄴ, ㅁ 
③ ㄴ, ㄹ, ㅁ
④ ㄴ, ㄷ, ㄹ, ㅁ 
⑤ ㄱ, ㄴ, ㄷ, ㄹ, ㅁ</v>
      </c>
      <c r="F16" s="30">
        <f>IFERROR(VLOOKUP(C16,기출문제!D:G,4,0),"")</f>
        <v>1</v>
      </c>
      <c r="G16" s="31" t="str">
        <f t="shared" si="0"/>
        <v/>
      </c>
    </row>
    <row r="17" spans="2:10" ht="99.75" x14ac:dyDescent="0.3">
      <c r="B17" s="17">
        <v>10</v>
      </c>
      <c r="C17" s="27" t="s">
        <v>874</v>
      </c>
      <c r="D17" s="28"/>
      <c r="E17" s="29" t="str">
        <f>IFERROR(VLOOKUP(C17,기출문제!D:G,3,0),"")</f>
        <v>50. 고용보험법령상 연장급여의 상호 조정 등에 관한 설명으로 옳지 않은 것은?
① 훈련연장급여의 지급 기간은 1년을 한도로 한다.
② 훈련연장급여를 지급받고 있는 수급자격자에게는 그 훈련연장급여의 지급이 끝난 후가 아니면 특별연장급여를 지급하지 아니한다.
③ 개별연장급여를 지급받고 있는 수급자격자가 훈련연장급여를 지급받게 되면 개별연장급여를 지급하지 아니한다.
④ 특별연장급여를 지급받고 있는 수급자격자에게는 특별연장급여의 지급이 끝난 후가 아니면 개별연장급여를 지급하지 아니한다.
⑤ 특별연장급여는 그 수급자격자가 지급받을 수 있는 구직급여의 지급이 끝난 후에 지급한다.</v>
      </c>
      <c r="F17" s="30">
        <f>IFERROR(VLOOKUP(C17,기출문제!D:G,4,0),"")</f>
        <v>1</v>
      </c>
      <c r="G17" s="31" t="str">
        <f t="shared" si="0"/>
        <v/>
      </c>
    </row>
    <row r="18" spans="2:10" ht="156.75" x14ac:dyDescent="0.3">
      <c r="B18" s="17">
        <v>11</v>
      </c>
      <c r="C18" s="27" t="s">
        <v>875</v>
      </c>
      <c r="D18" s="28"/>
      <c r="E18" s="29" t="str">
        <f>IFERROR(VLOOKUP(C18,기출문제!D:G,3,0),"")</f>
        <v>51. 고용보험법상 훈련연장급여에 관한 내용이다. ( )에 들어갈 숫자를 순서대로 옳게 나열한 것은?
제54조(연장급여의 수급기간 및 구직급여일액) 
① &lt;중략&gt;
② 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 
③ 80, 60 
④ 90, 70 
⑤ 100, 70</v>
      </c>
      <c r="F18" s="30">
        <f>IFERROR(VLOOKUP(C18,기출문제!D:G,4,0),"")</f>
        <v>5</v>
      </c>
      <c r="G18" s="31" t="str">
        <f t="shared" si="0"/>
        <v/>
      </c>
    </row>
    <row r="19" spans="2:10" ht="128.25" x14ac:dyDescent="0.3">
      <c r="B19" s="17">
        <v>12</v>
      </c>
      <c r="C19" s="27" t="s">
        <v>876</v>
      </c>
      <c r="D19" s="28"/>
      <c r="E19" s="29" t="str">
        <f>IFERROR(VLOOKUP(C19,기출문제!D:G,3,0),"")</f>
        <v>52. 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
① ㄱ: 1일, ㄴ: 60일 
② ㄱ: 1일, ㄴ: 90일 
③ ㄱ: 1일, ㄴ: 180일
④ ㄱ: 2일, ㄴ: 90일 
⑤ ㄱ: 2일, ㄴ: 180일</v>
      </c>
      <c r="F19" s="30">
        <f>IFERROR(VLOOKUP(C19,기출문제!D:G,4,0),"")</f>
        <v>3</v>
      </c>
      <c r="G19" s="31" t="str">
        <f t="shared" si="0"/>
        <v/>
      </c>
    </row>
    <row r="20" spans="2:10" ht="85.5" x14ac:dyDescent="0.3">
      <c r="B20" s="17">
        <v>13</v>
      </c>
      <c r="C20" s="27" t="s">
        <v>877</v>
      </c>
      <c r="D20" s="28"/>
      <c r="E20" s="29" t="str">
        <f>IFERROR(VLOOKUP(C20,기출문제!D:G,3,0),"")</f>
        <v>53. 고용보험법령상 고용보험위원회(이하 '위원회'라 한다)에 관한 설명으로 옳지 않은 것은?
① 위원회의 위원장은 고용노동부차관이 되며, 그 위원장은 위원을 임명하거나 위촉한다.
② 위원회에는 고용보험운영전문위원회와 고용보험평가전문위원회를 둔다.
③ 위원회의 위원 중 정부를 대표하는 사람은 임명의 대상이 된다.
④ 위원회의 간사는 1명을 두되, 간사는 고용노동부 소속 공무원 중에서 위원장이 임명한다.
⑤ 「고용보험 및 산업재해보상보험의 보험료징수 등에 관한 법률」에 따른 보험료율의 결정에 관한 사항은 위원회의 심의사항이다.</v>
      </c>
      <c r="F20" s="30">
        <f>IFERROR(VLOOKUP(C20,기출문제!D:G,4,0),"")</f>
        <v>1</v>
      </c>
      <c r="G20" s="31" t="str">
        <f t="shared" si="0"/>
        <v/>
      </c>
    </row>
    <row r="21" spans="2:10" ht="85.5" x14ac:dyDescent="0.3">
      <c r="B21" s="17">
        <v>14</v>
      </c>
      <c r="C21" s="27" t="s">
        <v>878</v>
      </c>
      <c r="D21" s="28"/>
      <c r="E21" s="29" t="str">
        <f>IFERROR(VLOOKUP(C21,기출문제!D:G,3,0),"")</f>
        <v>54. 산업재해보상보험법령상 산업재해보상보험및예방심의위원회(이하 '위원회'라 한다)에 관한 내용으로 옳지 않은 것은?
① 위원회는 근로자를 대표하는 사람, 사용자를 대표하는 사람 및 공익을 대표하는 사람으로 구성하되, 그 수는 각각 같은 수로 한다.
② 사용자를 대표하는 위원은 전국을 대표하는 사용자 단체가 추천하는 사람 5명으로 한다.
③ 근로자를 대표하는 위원의 임기는 3년으로 하되, 연임할 수 있다.
④ 위원회의 회의는 재적위원 과반수의 출석으로 개의하고, 출석위원 3분의 2 이상의 찬성으로 의결한다.
⑤ 보궐위원의 임기는 전임자의 남은 임기로 한다.</v>
      </c>
      <c r="F21" s="30">
        <f>IFERROR(VLOOKUP(C21,기출문제!D:G,4,0),"")</f>
        <v>4</v>
      </c>
      <c r="G21" s="31" t="str">
        <f t="shared" si="0"/>
        <v/>
      </c>
    </row>
    <row r="22" spans="2:10" s="21" customFormat="1" ht="128.25" x14ac:dyDescent="0.3">
      <c r="B22" s="17">
        <v>15</v>
      </c>
      <c r="C22" s="27" t="s">
        <v>879</v>
      </c>
      <c r="D22" s="28"/>
      <c r="E22" s="29" t="str">
        <f>IFERROR(VLOOKUP(C22,기출문제!D:G,3,0),"")</f>
        <v>55. 산업재해보상보험법령상 유족보상연금에 관한 내용으로 옳지 않은 것은?
① 유족보상연금 수급자격자인 유족이 사망한 근로자와의 친족 관계가 끝난 경우 그 자격을 잃는다.
② 대한민국 국민이 아닌 유족보상연금 수급자격자인 유족이 외국에서 거주하기 위하여 출국하는 경우 그 자격을 잃는다.
③ 근로복지공단은 근로자의 사망 당시 태아였던 자녀가 출생한 경우 유족보상연금 수급권자의 청구에 의하거나 직권으로 그 사유가 발생한 달 분부터 유족보상연금의 금액을 조정한다.
④ 근로자가 사망할 당시 대한민국 국민이었던 유족보상연금 수급자격자인 유족이 국적을 상실하고 외국에서 거주하고 있거나 외국에서 거주하기 위하여 출국하는 경우 그 자격을 잃는다.
⑤ 유족보상연금을 받을 권리가 있는 유족보상연금 수급자격자가 그 자격을 잃은 경우에 유족보상연금을 받을 권리는 같은 순위자가 있으면 같은 순위자에게, 같은 순위자가 없으면 다음 순위자에게 이전된다.</v>
      </c>
      <c r="F22" s="30">
        <f>IFERROR(VLOOKUP(C22,기출문제!D:G,4,0),"")</f>
        <v>3</v>
      </c>
      <c r="G22" s="31" t="str">
        <f t="shared" si="0"/>
        <v/>
      </c>
      <c r="J22" s="23"/>
    </row>
    <row r="23" spans="2:10" s="21" customFormat="1" ht="142.5" x14ac:dyDescent="0.3">
      <c r="B23" s="17">
        <v>16</v>
      </c>
      <c r="C23" s="27" t="s">
        <v>880</v>
      </c>
      <c r="D23" s="28"/>
      <c r="E23" s="29" t="str">
        <f>IFERROR(VLOOKUP(C23,기출문제!D:G,3,0),"")</f>
        <v>56. 산업재해보상보험법령상 노무제공자에 대한 특례의 내용으로 옳지 않은 것은?
① "플랫폼 종사자"란 온라인 플랫폼을 통해 노무를 제공하는 노무제공자를 말한다.
② "평균보수"란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
③ 보험을 모집하는 사람으로서「새마을금고법」및「신용협동조합법」에 따른 공제의 모집을 전업으로 하는 사람은 노무제공자의 범위에 포함된다.
④ 보험을 모집하는 사람으로서「우체국예금・보험에 관한 법률」에 따른 우체국보험의 모집을 전업으로 하는 사람은 노무제공자의 범위에 포함된다.
⑤ "플랫폼 운영자"란 온라인 플랫폼을 이용하여 플랫폼 종사자의 노무제공을 중개 또는 알선하는 것을 업으로 하는 자를 말한다.</v>
      </c>
      <c r="F23" s="30">
        <f>IFERROR(VLOOKUP(C23,기출문제!D:G,4,0),"")</f>
        <v>2</v>
      </c>
      <c r="G23" s="31" t="str">
        <f t="shared" si="0"/>
        <v/>
      </c>
      <c r="J23" s="23"/>
    </row>
    <row r="24" spans="2:10" s="21" customFormat="1" ht="156.75" x14ac:dyDescent="0.3">
      <c r="B24" s="17">
        <v>17</v>
      </c>
      <c r="C24" s="27" t="s">
        <v>881</v>
      </c>
      <c r="D24" s="28"/>
      <c r="E24" s="29" t="str">
        <f>IFERROR(VLOOKUP(C24,기출문제!D:G,3,0),"")</f>
        <v>57. 산업재해보상보험법상 요양급여의 범위에 해당하는 것은 모두 몇 개인가?
○ 재활치료
○ 간호
○ 이송
○ 간병
○ 약제 또는 진료재료와 의지(義肢)나 그 밖의 보조기의 지급
① 1개 
② 2개 
③ 3개 
④ 4개 
⑤ 5개</v>
      </c>
      <c r="F24" s="30">
        <f>IFERROR(VLOOKUP(C24,기출문제!D:G,4,0),"")</f>
        <v>5</v>
      </c>
      <c r="G24" s="31" t="str">
        <f t="shared" si="0"/>
        <v/>
      </c>
      <c r="J24" s="23"/>
    </row>
    <row r="25" spans="2:10" s="21" customFormat="1" ht="99.75" x14ac:dyDescent="0.3">
      <c r="B25" s="17">
        <v>18</v>
      </c>
      <c r="C25" s="27" t="s">
        <v>882</v>
      </c>
      <c r="D25" s="28"/>
      <c r="E25" s="29" t="str">
        <f>IFERROR(VLOOKUP(C25,기출문제!D:G,3,0),"")</f>
        <v>58. 산업재해보상보험법령상 장례비에 관한 설명으로 옳지 않은 것은?
① 장례비 최고금액 및 최저금액의 적용기간은 당해 연도 1월 1일부터 12월 31일까지로 한다.
② 장례비 최고금액은 전년도 장례비 수급권자에게 지급된 1명당 평균 장례비 90일분 + 최고 보상기준 금액의 30일분으로 산정한다.
③ 장례비 최저금액은 전년도 장례비 수급권자에게 지급된 1명당 평균 장례비 90일분 + 최저 보상기준 금액의 30일분으로 산정한다.
④ 장례비 최고금액 및 최저금액을 산정할 때 10원 미만은 버린다.
⑤ 장례비는 장례를 지낼 유족이 없거나 그 밖에 부득이한 사유로 유족이 아닌 사람이 장례를 지낸 경우에는 평균임금의 120일분에 상당하는 금액의 범위에서 실제 드는 비용을 그 장례를 지낸 사람에게 지급한다.</v>
      </c>
      <c r="F25" s="30">
        <f>IFERROR(VLOOKUP(C25,기출문제!D:G,4,0),"")</f>
        <v>1</v>
      </c>
      <c r="G25" s="31" t="str">
        <f t="shared" si="0"/>
        <v/>
      </c>
      <c r="J25" s="23"/>
    </row>
    <row r="26" spans="2:10" s="21" customFormat="1" ht="99.75" x14ac:dyDescent="0.3">
      <c r="B26" s="17">
        <v>19</v>
      </c>
      <c r="C26" s="27" t="s">
        <v>883</v>
      </c>
      <c r="D26" s="28"/>
      <c r="E26" s="29" t="str">
        <f>IFERROR(VLOOKUP(C26,기출문제!D:G,3,0),"")</f>
        <v>59. 산업재해보상보험법령상 업무상질병판정위원회의 구성에 관한 내용으로 옳은 것은?
① 「고등교육법」제2조에 따른 학교에서 조교수 이상으로 재직하고 있는 사람은 위원이 될 수 없다.
② 「국가기술자격법」에 따른 산업위생관리 기사 이상의 자격을 취득하고 관련 업무에 3년 이상 종사한 치과의사는 위원이 될 수 없다.
③ 산업재해보상보험 관련 업무에 5년 이상 종사한 사람은 위원이 될 수 있다.
④ 「국가기술자격법」에 따른 인간공학 분야 기사 이상의 자격을 취득하고 관련 업무에 3년 이상 종사한 한의사는 위원이 될 수 없다.
⑤ 위원장과 위원의 임기는 3년으로 하되, 연임할 수 있다.</v>
      </c>
      <c r="F26" s="30">
        <f>IFERROR(VLOOKUP(C26,기출문제!D:G,4,0),"")</f>
        <v>3</v>
      </c>
      <c r="G26" s="31" t="str">
        <f t="shared" si="0"/>
        <v/>
      </c>
      <c r="J26" s="23"/>
    </row>
    <row r="27" spans="2:10" s="21" customFormat="1" ht="114" x14ac:dyDescent="0.3">
      <c r="B27" s="17">
        <v>20</v>
      </c>
      <c r="C27" s="27" t="s">
        <v>884</v>
      </c>
      <c r="D27" s="28"/>
      <c r="E27" s="29" t="str">
        <f>IFERROR(VLOOKUP(C27,기출문제!D:G,3,0),"")</f>
        <v>60. 산업재해보상보험법에서 사용하는 용어의 정의로 옳지 않은 것은?
① "유족"이란 사망한 사람의 배우자(사실상 혼인 관계에 있는 사람을 포함한다)・자녀・부모・손자녀・조부모 또는 형제자매를 말한다.
② "장해"란 업무상의 부상 또는 질병에 따른 정신적 또는 육체적 훼손으로 노동능력이 상실되거나 감소된 상태로서 그 부상 또는 질병이 치유되지 아니한 상태를 말한다.
③ "치유"란 부상 또는 질병이 완치되거나 치료의 효과를 더 이상 기대할 수 없고 그 증상이 고정된 상태에 이르게 된 것을 말한다.
④ "출퇴근"이란 취업과 관련하여 주거와 취업장소 사이의 이동 또는 한 취업장소에서 다른 취업장소로의 이동을 말한다.
⑤ "진폐"(塵肺)란 분진을 흡입하여 폐에 생기는 섬유증식성(纖維增殖性) 변화를 주된 증상으로 하는 질병을 말한다.</v>
      </c>
      <c r="F27" s="30">
        <f>IFERROR(VLOOKUP(C27,기출문제!D:G,4,0),"")</f>
        <v>2</v>
      </c>
      <c r="G27" s="31" t="str">
        <f t="shared" si="0"/>
        <v/>
      </c>
      <c r="J27" s="23"/>
    </row>
    <row r="28" spans="2:10" s="21" customFormat="1" ht="128.25" x14ac:dyDescent="0.3">
      <c r="B28" s="17">
        <v>21</v>
      </c>
      <c r="C28" s="27" t="s">
        <v>885</v>
      </c>
      <c r="D28" s="28"/>
      <c r="E28" s="29" t="str">
        <f>IFERROR(VLOOKUP(C28,기출문제!D:G,3,0),"")</f>
        <v>61. 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
① 11 
② 12 
③ 13 
④ 15 
⑤ 18</v>
      </c>
      <c r="F28" s="30">
        <f>IFERROR(VLOOKUP(C28,기출문제!D:G,4,0),"")</f>
        <v>3</v>
      </c>
      <c r="G28" s="31" t="str">
        <f t="shared" si="0"/>
        <v/>
      </c>
      <c r="J28" s="23"/>
    </row>
    <row r="29" spans="2:10" s="21" customFormat="1" ht="128.25" x14ac:dyDescent="0.3">
      <c r="B29" s="17">
        <v>22</v>
      </c>
      <c r="C29" s="27" t="s">
        <v>886</v>
      </c>
      <c r="D29" s="28"/>
      <c r="E29" s="29" t="str">
        <f>IFERROR(VLOOKUP(C29,기출문제!D:G,3,0),"")</f>
        <v>62. 산업재해보상보험법령상 상병보상연금에 관한 설명으로 옳은 것은?
① 중증요양상태등급이 제3급인 경우 평균임금의 257일분을 지급한다.
② 상병보상연금을 받는 근로자가 60세가 되면 그 이후의 상병보상연금은 고령자의 1일당 상병보상연금 지급기준에 따라 감액된 금액을 지급한다.
③ 상병보상연금을 지급받는 경우 요양급여와 휴업급여는 지급되지 아니한다.
④ 재요양을 시작한 지 1년이 지난 후에 부상・질병 상태가 상병보상연금의 지급요건 모두에 해당하는 사람에게는 상병보상연금을 지급한다.
⑤ 상병보상연금을 산정할 때 근로자의 평균임금이 최저임금액에 90분의 100을 곱한 금액보다 적을 때에는 최저임금액의 90분의 100에 해당하는 금액을 그 근로자의 평균임금으로 보아 산정한다.</v>
      </c>
      <c r="F29" s="30">
        <f>IFERROR(VLOOKUP(C29,기출문제!D:G,4,0),"")</f>
        <v>1</v>
      </c>
      <c r="G29" s="31" t="str">
        <f t="shared" si="0"/>
        <v/>
      </c>
      <c r="J29" s="23"/>
    </row>
    <row r="30" spans="2:10" s="21" customFormat="1" ht="171" x14ac:dyDescent="0.3">
      <c r="B30" s="17">
        <v>23</v>
      </c>
      <c r="C30" s="27" t="s">
        <v>887</v>
      </c>
      <c r="D30" s="28"/>
      <c r="E30" s="29" t="str">
        <f>IFERROR(VLOOKUP(C30,기출문제!D:G,3,0),"")</f>
        <v>63. 산업재해보상보험법상 직장복귀지원금 등에 관한 것이다. ( )에 들어갈 숫자로 옳은 것은?
제75조(직장복귀지원금 등) 
① &lt;중략&gt;
② 제1항에 따른 직장복귀지원금은 고용노동부장관이 임금수준 및 노동시장의 여건 등을 고려하여 고시하는 금액의 범위에서 사업주가 장해급여자에게 지급한 임금액으로 하되, 그 지급기간은 (ㄱ)개월 이내로 한다.
③ 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
④ ㄱ: 6, ㄴ: 12 
⑤ ㄱ: 12, ㄴ: 3</v>
      </c>
      <c r="F30" s="30">
        <f>IFERROR(VLOOKUP(C30,기출문제!D:G,4,0),"")</f>
        <v>5</v>
      </c>
      <c r="G30" s="31" t="str">
        <f t="shared" si="0"/>
        <v/>
      </c>
      <c r="J30" s="23"/>
    </row>
    <row r="31" spans="2:10" s="21" customFormat="1" ht="128.25" x14ac:dyDescent="0.3">
      <c r="B31" s="17">
        <v>24</v>
      </c>
      <c r="C31" s="27" t="s">
        <v>888</v>
      </c>
      <c r="D31" s="28"/>
      <c r="E31" s="29" t="str">
        <f>IFERROR(VLOOKUP(C31,기출문제!D:G,3,0),"")</f>
        <v>64. 국민연금법에 관한 내용으로 옳지 않은 것은?
① 급여수급전용계좌에 입금된 급여와 이에 관한 채권은 압류할 수 없다.
② 장애연금액은 장애등급 2급에 해당하는 자에 대하여는 기본연금액의 1천분의 600에 해당하는 금액에 부양가족연금액을 더한 금액으로 한다.
③ 장애등급이 2급 이상인 장애연금 수급권자가 사망하면 그 유족에게 유족연금을 지급한다.
④ 가입자 또는 가입자였던 자가 가입기간이 10년 미만이고 60세가 된 때에는 본인이나 그 유족의 청구에 의하여 반환일시금을 지급받을 수 있다.
⑤ 장애연금 수급권자가 고의나 중대한 과실로 요양 지시에 따르지 아니하거나 정당한 사유 없이 요양 지시에 따르지 아니하여 회복을 방해한 때에는 급여의 전부 또는 일부의 지급을 정지할 수 있다.</v>
      </c>
      <c r="F31" s="30">
        <f>IFERROR(VLOOKUP(C31,기출문제!D:G,4,0),"")</f>
        <v>2</v>
      </c>
      <c r="G31" s="31" t="str">
        <f t="shared" si="0"/>
        <v/>
      </c>
      <c r="J31" s="23"/>
    </row>
    <row r="32" spans="2:10" s="21" customFormat="1" ht="128.25" x14ac:dyDescent="0.3">
      <c r="B32" s="17">
        <v>25</v>
      </c>
      <c r="C32" s="27" t="s">
        <v>889</v>
      </c>
      <c r="D32" s="28"/>
      <c r="E32" s="29" t="str">
        <f>IFERROR(VLOOKUP(C32,기출문제!D:G,3,0),"")</f>
        <v>65. 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
① 4 
② 6 
③ 8 
④ 13 
⑤ 15</v>
      </c>
      <c r="F32" s="30">
        <f>IFERROR(VLOOKUP(C32,기출문제!D:G,4,0),"")</f>
        <v>3</v>
      </c>
      <c r="G32" s="31" t="str">
        <f t="shared" si="0"/>
        <v/>
      </c>
      <c r="J32" s="23"/>
    </row>
    <row r="33" spans="2:10" s="21" customFormat="1" ht="128.25" x14ac:dyDescent="0.3">
      <c r="B33" s="17">
        <v>26</v>
      </c>
      <c r="C33" s="27" t="s">
        <v>890</v>
      </c>
      <c r="D33" s="28"/>
      <c r="E33" s="29" t="str">
        <f>IFERROR(VLOOKUP(C33,기출문제!D:G,3,0),"")</f>
        <v>66. 국민연금법령상 심사청구 및 재심사청구에 관한 내용으로 옳지 않은 것은?
① 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
② 국민연금심사위원회 위원의 임기는 2년으로 하며, 1차례만 연임할 수 있으며, 국민연금공단의 임직원인 위원의 임기는 그 직위의 재임기간으로 한다.
③ 청구인은 결정이 있기 전까지는 언제든지 심사청구를 문서로 취하할 수 있다.
④ 심사청구에 대한 결정에 불복하는 자는 그 결정통지를 받은 날부터 90일 이내에 국민연금재심사위원회에 재심사를 청구할 수 있다.
⑤ 국민연금재심사위원회의 재심사와 재결에 관한 절차에 관하여는 「행정심판법」을 준용한다.</v>
      </c>
      <c r="F33" s="30">
        <f>IFERROR(VLOOKUP(C33,기출문제!D:G,4,0),"")</f>
        <v>2</v>
      </c>
      <c r="G33" s="31" t="str">
        <f t="shared" si="0"/>
        <v/>
      </c>
      <c r="J33" s="23"/>
    </row>
    <row r="34" spans="2:10" s="21" customFormat="1" ht="185.25" x14ac:dyDescent="0.3">
      <c r="B34" s="17">
        <v>27</v>
      </c>
      <c r="C34" s="27" t="s">
        <v>891</v>
      </c>
      <c r="D34" s="28"/>
      <c r="E34" s="29" t="str">
        <f>IFERROR(VLOOKUP(C34,기출문제!D:G,3,0),"")</f>
        <v>67. 국민연금법령상 연금보험료 등의 독촉에 관한 내용이다. ( )에 들어갈 내용은?
제64조(연금보험료 등의 독촉) 
① 국민건강보험공단은 법 제95조제1항에 따라 사업장가입자의 연금보험료와 그에 따른 징수금의 납부를 독촉할 때에는 납부기한이 지난 후 (ㄱ) 이내에 해당 사업장가입자의 사용자에게 독촉장을 발부하여야 한다.
② 국민건강보험공단은 법 제95조제1항에 따라 지역가입자의 연금보험료와 그에 따른 징수금의 납부를 독촉할 때에는 납부 기한이 지난 후 (ㄴ) 이내에 해당 가입자에게 독촉장을 발부하여야 한다.
③ 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 
④ ㄱ: 30일, ㄴ: 3개월, ㄷ: 20일
⑤ ㄱ: 30일, ㄴ: 3개월, ㄷ: 30일</v>
      </c>
      <c r="F34" s="30">
        <f>IFERROR(VLOOKUP(C34,기출문제!D:G,4,0),"")</f>
        <v>3</v>
      </c>
      <c r="G34" s="31" t="str">
        <f t="shared" si="0"/>
        <v/>
      </c>
      <c r="J34" s="23"/>
    </row>
    <row r="35" spans="2:10" s="21" customFormat="1" ht="142.5" x14ac:dyDescent="0.3">
      <c r="B35" s="17">
        <v>28</v>
      </c>
      <c r="C35" s="27" t="s">
        <v>892</v>
      </c>
      <c r="D35" s="28"/>
      <c r="E35" s="29" t="str">
        <f>IFERROR(VLOOKUP(C35,기출문제!D:G,3,0),"")</f>
        <v>68. 국민연금법령상 국민연금기금에 관한 설명으로 옳지 않은 것은?
① 국민연금기금은 연금보험료, 국민연금기금 운용 수익금, 적립금, 국민연금공단의 수입지출 결산상의 잉여금을 재원으로 조성한다.
② 국민연금기금운용위원회는 국민연금기금을 관리기금에 위탁할 경우 예탁 이자율의 협의에 관한 사항을 심의・의결할 수 있다.
③ 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
④ 보건복지부장관은 매년 국민연금기금 운용계획을 세워서 국민연금기금운용위원회 및 국무회의의 심의를 거쳐 대통령의 승인을 받아야 한다.
⑤ 보건복지부장관은 국민연금기금의 운용 내용과 관리기금에 예탁된 국민연금기금의 사용 내용을 다음 연도 6월 말까지 국민연금기금운용위원회에 제출하여야 한다.</v>
      </c>
      <c r="F35" s="30">
        <f>IFERROR(VLOOKUP(C35,기출문제!D:G,4,0),"")</f>
        <v>5</v>
      </c>
      <c r="G35" s="31" t="str">
        <f t="shared" si="0"/>
        <v/>
      </c>
      <c r="J35" s="23"/>
    </row>
    <row r="36" spans="2:10" s="21" customFormat="1" ht="171" x14ac:dyDescent="0.3">
      <c r="B36" s="17">
        <v>29</v>
      </c>
      <c r="C36" s="27" t="s">
        <v>893</v>
      </c>
      <c r="D36" s="28"/>
      <c r="E36" s="29" t="str">
        <f>IFERROR(VLOOKUP(C36,기출문제!D:G,3,0),"")</f>
        <v>69. 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
① ㄱ, ㄴ 
② ㄴ, ㄷ 
③ ㄱ, ㄴ, ㄹ
④ ㄱ, ㄷ, ㄹ 
⑤ ㄱ, ㄴ, ㄷ, ㄹ</v>
      </c>
      <c r="F36" s="30">
        <f>IFERROR(VLOOKUP(C36,기출문제!D:G,4,0),"")</f>
        <v>5</v>
      </c>
      <c r="G36" s="31" t="str">
        <f t="shared" si="0"/>
        <v/>
      </c>
      <c r="J36" s="23"/>
    </row>
    <row r="37" spans="2:10" s="21" customFormat="1" ht="156.75" x14ac:dyDescent="0.3">
      <c r="B37" s="17">
        <v>30</v>
      </c>
      <c r="C37" s="27" t="s">
        <v>894</v>
      </c>
      <c r="D37" s="28"/>
      <c r="E37" s="29" t="str">
        <f>IFERROR(VLOOKUP(C37,기출문제!D:G,3,0),"")</f>
        <v>70. 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
① ㄱ 
② ㄱ, ㄴ 
③ ㄴ, ㄷ
④ ㄴ, ㄷ, ㄹ 
⑤ ㄱ, ㄴ, ㄷ, ㄹ</v>
      </c>
      <c r="F37" s="30">
        <f>IFERROR(VLOOKUP(C37,기출문제!D:G,4,0),"")</f>
        <v>4</v>
      </c>
      <c r="G37" s="31" t="str">
        <f t="shared" si="0"/>
        <v/>
      </c>
      <c r="J37" s="23"/>
    </row>
    <row r="38" spans="2:10" s="21" customFormat="1" ht="85.5" x14ac:dyDescent="0.3">
      <c r="B38" s="17">
        <v>31</v>
      </c>
      <c r="C38" s="27" t="s">
        <v>895</v>
      </c>
      <c r="D38" s="28"/>
      <c r="E38" s="29" t="str">
        <f>IFERROR(VLOOKUP(C38,기출문제!D:G,3,0),"")</f>
        <v>71. 국민건강보험법상 국민건강보험공단(이하 '공단'이라 한다)에 관한 설명으로 옳지 않은 것은?
① 공단은 법인으로 한다.
② 공단의 해산에 관하여는 정관으로 정한다.
③ 공단은 주된 사무소의 소재지에서 설립등기를 함으로써 성립한다.
④ 공단의 설립등기에는 목적, 명칭, 주된 사무소 및 분사무소의 소재지, 이사장의 성명・주소 및 주민등록번호를 포함하여야 한다.
⑤ 공단의 주된 사무소의 소재지는 정관으로 정한다.</v>
      </c>
      <c r="F38" s="30">
        <f>IFERROR(VLOOKUP(C38,기출문제!D:G,4,0),"")</f>
        <v>2</v>
      </c>
      <c r="G38" s="31" t="str">
        <f t="shared" si="0"/>
        <v/>
      </c>
      <c r="J38" s="23"/>
    </row>
    <row r="39" spans="2:10" s="21" customFormat="1" ht="114" x14ac:dyDescent="0.3">
      <c r="B39" s="17">
        <v>32</v>
      </c>
      <c r="C39" s="27" t="s">
        <v>896</v>
      </c>
      <c r="D39" s="28"/>
      <c r="E39" s="29" t="str">
        <f>IFERROR(VLOOKUP(C39,기출문제!D:G,3,0),"")</f>
        <v>72. 국민건강보험법상 이의신청 및 심판청구 등에 관한 설명으로 옳지 않은 것은?
① 보험급여 비용에 관한 국민건강보험공단의 처분에 이의가 있는 자는 국민건강보험공단에 이의신청을 할 수 있다.
② 요양급여의 적정성 평가 등에 관한 건강보험심사평가원의 처분에 이의가 있는 자는 건강보험심사평가원에 이의신청을 할 수 있다.
③ 이의신청에 대한 결정에 불복하는 자는 건강보험분쟁조정위원회에 심판청구를 할 수 있다.
④ 정당한 사유로 이의신청을 할 수 없었음을 소명한 경우가 아니면 이의신청은 처분이 있은 날부터 90일을 지나면 제기하지 못한다.
⑤ 이의신청에 대한 결정에 불복하는 자는「행정소송법」이 정하는 바에 따라 행정소송을 제기할 수 있다.</v>
      </c>
      <c r="F39" s="30">
        <f>IFERROR(VLOOKUP(C39,기출문제!D:G,4,0),"")</f>
        <v>4</v>
      </c>
      <c r="G39" s="31" t="str">
        <f t="shared" si="0"/>
        <v/>
      </c>
      <c r="J39" s="23"/>
    </row>
    <row r="40" spans="2:10" s="21" customFormat="1" ht="142.5" x14ac:dyDescent="0.3">
      <c r="B40" s="17">
        <v>33</v>
      </c>
      <c r="C40" s="27" t="s">
        <v>897</v>
      </c>
      <c r="D40" s="28"/>
      <c r="E40" s="29" t="str">
        <f>IFERROR(VLOOKUP(C40,기출문제!D:G,3,0),"")</f>
        <v>73. 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
① ㄱ 
② ㄹ 
③ ㄱ, ㄴ 
④ ㄴ, ㄷ 
⑤ ㄷ, ㄹ</v>
      </c>
      <c r="F40" s="30">
        <f>IFERROR(VLOOKUP(C40,기출문제!D:G,4,0),"")</f>
        <v>4</v>
      </c>
      <c r="G40" s="31" t="str">
        <f t="shared" si="0"/>
        <v/>
      </c>
      <c r="J40" s="23"/>
    </row>
    <row r="41" spans="2:10" s="21" customFormat="1" ht="156.75" x14ac:dyDescent="0.3">
      <c r="B41" s="17">
        <v>34</v>
      </c>
      <c r="C41" s="27" t="s">
        <v>898</v>
      </c>
      <c r="D41" s="28"/>
      <c r="E41" s="29" t="str">
        <f>IFERROR(VLOOKUP(C41,기출문제!D:G,3,0),"")</f>
        <v>74. 국민건강보험법령상 보수월액에 관한 설명으로 옳지 않은 것은?
① 보수의 전부 또는 일부가 현물(現物)로 지급되는 경우에는 그 지역의 시가(時價)를 기준으로 국민건강보험공단이 정하는 가액(價額)을 그에 해당하는 보수로 본다.
② 직장가입자의 보수월액은 직장가입자가 지급받는 보수를 기준으로 하여 산정한다.
③ 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
④ 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
⑤ 휴직이나 그 밖의 사유로 보수의 전부 또는 일부가 지급되지 아니하는 가입자의 보수월액보험료는 해당 사유가 생긴 달의 보수월액을 기준으로 산정한다.</v>
      </c>
      <c r="F41" s="30">
        <f>IFERROR(VLOOKUP(C41,기출문제!D:G,4,0),"")</f>
        <v>5</v>
      </c>
      <c r="G41" s="31" t="str">
        <f t="shared" si="0"/>
        <v/>
      </c>
      <c r="J41" s="23"/>
    </row>
    <row r="42" spans="2:10" s="21" customFormat="1" ht="128.25" x14ac:dyDescent="0.3">
      <c r="B42" s="17">
        <v>35</v>
      </c>
      <c r="C42" s="27" t="s">
        <v>899</v>
      </c>
      <c r="D42" s="28"/>
      <c r="E42" s="29" t="str">
        <f>IFERROR(VLOOKUP(C42,기출문제!D:G,3,0),"")</f>
        <v>75. 고용보험 및 산업재해보상보험의 보험료징수 등에 관한 법률 제49조의2(자영업자에 대한 특례)에 관한 설명으로 옳은 것은?
① 자영업자에 대한 고용보험료 산정의 기초가 되는 보수액은 자영업자의 소득, 보수수준 등을 고려하여 기획재정부장관이 정하여 고시한다.
② 고용보험에 가입한 자영업자는 매월 부과된 보험료를 다음 달 14일까지 납부하여야 한다.
③ 자영업자의 고용보험료는 근로복지공단이 매월 부과하고 징수한다.
④ 고용보험에 가입한 자영업자가 자신에게 부과된 월(月)의 고용보험료를 계속하여 3개월간 납부하지 아니한 경우에는 마지막으로 납부한 고용보험료에 해당되는 피보험기간의 다음 날에 보험관계가 소멸된다.
⑤ 근로복지공단의 승인을 통해 고용보험에 가입한 자영업자가 50명 이상의 근로자를 사용하게 된 경우에도 본인이 피보험자격을 유지하려는 경우에는 계속하여 보험에 가입된 것으로 본다.</v>
      </c>
      <c r="F42" s="30">
        <f>IFERROR(VLOOKUP(C42,기출문제!D:G,4,0),"")</f>
        <v>5</v>
      </c>
      <c r="G42" s="31" t="str">
        <f t="shared" si="0"/>
        <v/>
      </c>
      <c r="J42" s="23"/>
    </row>
    <row r="43" spans="2:10" s="21" customFormat="1" ht="171" x14ac:dyDescent="0.3">
      <c r="B43" s="17">
        <v>36</v>
      </c>
      <c r="C43" s="27" t="s">
        <v>900</v>
      </c>
      <c r="D43" s="28"/>
      <c r="E43" s="29" t="str">
        <f>IFERROR(VLOOKUP(C43,기출문제!D:G,3,0),"")</f>
        <v>76. 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
① ㄱ, ㄴ, ㄷ 
② ㄱ, ㄴ, ㄹ 
③ ㄱ, ㄷ, ㄹ
④ ㄴ, ㄷ, ㄹ 
⑤ ㄱ, ㄴ, ㄷ, ㄹ</v>
      </c>
      <c r="F43" s="30">
        <f>IFERROR(VLOOKUP(C43,기출문제!D:G,4,0),"")</f>
        <v>5</v>
      </c>
      <c r="G43" s="31" t="str">
        <f t="shared" si="0"/>
        <v/>
      </c>
      <c r="J43" s="23"/>
    </row>
    <row r="44" spans="2:10" s="21" customFormat="1" ht="99.75" x14ac:dyDescent="0.3">
      <c r="B44" s="17">
        <v>37</v>
      </c>
      <c r="C44" s="27" t="s">
        <v>901</v>
      </c>
      <c r="D44" s="28"/>
      <c r="E44" s="29" t="str">
        <f>IFERROR(VLOOKUP(C44,기출문제!D:G,3,0),"")</f>
        <v>77. 고용보험 및 산업재해보상보험의 보험료징수 등에 관한 법률상 납부의무가 확정된 보험료가 600만원인 경우, 이를 납부기한 전이라도 징수할 수 있는 사유에 해당하지 않는 것은?
① 법인이 합병한 경우
② 공과금을 체납하여 체납처분을 받은 경우
③ 강제집행을 받은 경우
④ 법인이 해산한 경우
⑤ 「어음법」 및 「수표법」에 따른 어음교환소에서 거래정지처분을 받은 경우</v>
      </c>
      <c r="F44" s="30">
        <f>IFERROR(VLOOKUP(C44,기출문제!D:G,4,0),"")</f>
        <v>1</v>
      </c>
      <c r="G44" s="31" t="str">
        <f t="shared" si="0"/>
        <v/>
      </c>
      <c r="J44" s="23"/>
    </row>
    <row r="45" spans="2:10" s="21" customFormat="1" ht="142.5" x14ac:dyDescent="0.3">
      <c r="B45" s="17">
        <v>38</v>
      </c>
      <c r="C45" s="27" t="s">
        <v>902</v>
      </c>
      <c r="D45" s="28"/>
      <c r="E45" s="29" t="str">
        <f>IFERROR(VLOOKUP(C45,기출문제!D:G,3,0),"")</f>
        <v>78. 고용보험 및 산업재해보상보험의 보험료징수 등에 관한 법령상 보험료율의 인상 또는 인하 등에 따른 조치에 관한 설명으로 옳지 않은 것은?
① 근로복지공단은 보험료율 인하로 보험료를 감액 조정한 경우에는 보험료율의 인하를 결정한 날부터 20일 이내에 그 감액 조정 사실을 사업주에게 알려야 한다.
② 보험료율 인상으로 월별보험료가 증액된 때에는 국민건강보험공단이 징수한다.
③ 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
④ 근로복지공단은 사업주가 보험연도 중에 사업의 규모를 축소하여 실제의 개산보험료 총액이 이미 신고한 개산보험료 총액보다 100분의 20 이상으로 감소하게 된 경우에는 그 초과액을 감액해야 한다.
⑤ 보험료율 인상으로 개산보험료가 증액된 때에는 근로복지공단이 징수한다.</v>
      </c>
      <c r="F45" s="30">
        <f>IFERROR(VLOOKUP(C45,기출문제!D:G,4,0),"")</f>
        <v>4</v>
      </c>
      <c r="G45" s="31" t="str">
        <f t="shared" si="0"/>
        <v/>
      </c>
      <c r="J45" s="23"/>
    </row>
    <row r="46" spans="2:10" s="21" customFormat="1" ht="99.75" x14ac:dyDescent="0.3">
      <c r="B46" s="17">
        <v>39</v>
      </c>
      <c r="C46" s="27" t="s">
        <v>903</v>
      </c>
      <c r="D46" s="28"/>
      <c r="E46" s="29" t="str">
        <f>IFERROR(VLOOKUP(C46,기출문제!D:G,3,0),"")</f>
        <v>79. 고용보험 및 산업재해보상보험의 보험료징수 등에 관한 법령상 거짓으로 보험사무대행기관 인가를 받아 근로복지공단으로부터 인가가 취소된 경우 보험사무대행기관 인가의 제한 기간은?
① 3개월 
② 6개월 
③ 1년 
④ 3년 
⑤ 5년</v>
      </c>
      <c r="F46" s="30">
        <f>IFERROR(VLOOKUP(C46,기출문제!D:G,4,0),"")</f>
        <v>3</v>
      </c>
      <c r="G46" s="31" t="str">
        <f t="shared" si="0"/>
        <v/>
      </c>
      <c r="J46" s="23"/>
    </row>
    <row r="47" spans="2:10" s="21" customFormat="1" ht="213.75" x14ac:dyDescent="0.3">
      <c r="B47" s="17">
        <v>40</v>
      </c>
      <c r="C47" s="27" t="s">
        <v>904</v>
      </c>
      <c r="D47" s="28"/>
      <c r="E47" s="29" t="str">
        <f>IFERROR(VLOOKUP(C47,기출문제!D:G,3,0),"")</f>
        <v>80. 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
① ㄱ - a, ㄴ - c 
② ㄱ - b, ㄷ - d 
③ ㄱ - c, ㄴ - e
④ ㄴ - d, ㄷ - a 
⑤ ㄴ - e, ㄷ - b</v>
      </c>
      <c r="F47" s="30">
        <f>IFERROR(VLOOKUP(C47,기출문제!D:G,4,0),"")</f>
        <v>2</v>
      </c>
      <c r="G47" s="31" t="str">
        <f t="shared" si="0"/>
        <v/>
      </c>
      <c r="J47" s="23"/>
    </row>
    <row r="48" spans="2:10" s="21" customFormat="1" ht="128.25" x14ac:dyDescent="0.3">
      <c r="B48" s="17">
        <v>41</v>
      </c>
      <c r="C48" s="27" t="s">
        <v>5</v>
      </c>
      <c r="D48" s="28"/>
      <c r="E48" s="29" t="str">
        <f>IFERROR(VLOOKUP(C48,기출문제!D:G,3,0),"")</f>
        <v>76. 사회보장기본법령에 관한 설명으로 옳은 것은?
① 국가와 지방자치단체는 모든 국민의 인간다운 생활과 자립, 사회참여, 자아실현 등을 지원하여 삶의 질이 향상될 수 있도록 사회서비스에 관한 시책을 마련하여야 한다.
② 보건복지부장관은 제공받은 사회보장 행정데이터의 원활한 분석, 활용 등을 위하여 사회보장 행정데이터 분석센터를 설치・운영하여야 한다.
③ 부담 능력이 있는 국민에 대한 사회서비스에 드는 비용은 국가가 부담함을 원칙으로 한다.
④ 사회보장수급권을 포기하는 것이 다른 사람에게 피해를 주는 경우에는 사회보장수급권을 포기할 수 있다.
⑤ 보건복지부장관은 재정추계의 결과를 사회보장위원회의 심의를 거쳐 같은 해 9월 30일까지 관계 중앙행정기관의 장에게 통보하여야 한다.</v>
      </c>
      <c r="F48" s="30">
        <f>IFERROR(VLOOKUP(C48,기출문제!D:G,4,0),"")</f>
        <v>1</v>
      </c>
      <c r="G48" s="31" t="str">
        <f t="shared" si="0"/>
        <v/>
      </c>
      <c r="J48" s="23"/>
    </row>
    <row r="49" spans="2:10" s="21" customFormat="1" ht="156.75" x14ac:dyDescent="0.3">
      <c r="B49" s="17">
        <v>42</v>
      </c>
      <c r="C49" s="27" t="s">
        <v>905</v>
      </c>
      <c r="D49" s="28"/>
      <c r="E49" s="29" t="str">
        <f>IFERROR(VLOOKUP(C49,기출문제!D:G,3,0),"")</f>
        <v>77. 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
① 1개
② 2개
③ 3개
④ 4개
⑤ 5개</v>
      </c>
      <c r="F49" s="30">
        <f>IFERROR(VLOOKUP(C49,기출문제!D:G,4,0),"")</f>
        <v>5</v>
      </c>
      <c r="G49" s="31" t="str">
        <f t="shared" si="0"/>
        <v/>
      </c>
      <c r="J49" s="23"/>
    </row>
    <row r="50" spans="2:10" s="21" customFormat="1" ht="99.75" x14ac:dyDescent="0.3">
      <c r="B50" s="17">
        <v>43</v>
      </c>
      <c r="C50" s="27" t="s">
        <v>906</v>
      </c>
      <c r="D50" s="28"/>
      <c r="E50" s="29" t="str">
        <f>IFERROR(VLOOKUP(C50,기출문제!D:G,3,0),"")</f>
        <v>78. 사회보장기본법에 관한 설명으로 옳은 것은?
① 사회보장수급권은 정당한 권한이 있는 기관에 서면이나 구두로 포기할 수 있다.
② 고용노동부장관은 관계 중앙행정기관의 장과 협의하여 사회보장에 관한 기본계획을 5년마다 수립하여야 한다.
③ 국가와 지방자치단체는 효과적인 사회보장정책의 수립・시행을 위하여 사회보장에 관한 통계를 작성・관리할 수 있다.
④ 국가는 사회보장제도의 안정적인 운영을 위하여 중장기 사회보장 재정추계를 매년 실시하고 이를 공표하여야 한다.
⑤ 국가와 지방자치단체는 평생사회안전망을 구축・운영함에 있어 사회적 취약계층을 위한 공공부조를 마련하여 최저생활을 보장하여야 한다.</v>
      </c>
      <c r="F50" s="30">
        <f>IFERROR(VLOOKUP(C50,기출문제!D:G,4,0),"")</f>
        <v>5</v>
      </c>
      <c r="G50" s="31" t="str">
        <f t="shared" si="0"/>
        <v/>
      </c>
      <c r="J50" s="23"/>
    </row>
    <row r="51" spans="2:10" s="21" customFormat="1" ht="142.5" x14ac:dyDescent="0.3">
      <c r="B51" s="17">
        <v>44</v>
      </c>
      <c r="C51" s="27" t="s">
        <v>907</v>
      </c>
      <c r="D51" s="28"/>
      <c r="E51" s="29" t="str">
        <f>IFERROR(VLOOKUP(C51,기출문제!D:G,3,0),"")</f>
        <v>79. 고용보험법령상 구직급여에 관한 설명으로 옳지 않은 것은?
① 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
② 구직급여는 수급자격자가 실업한 상태에 있는 날 중에서 직업안정기관의 장으로부터 실업의 인정을 받은 날에 대하여 지급한다.
③ 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
④ 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
⑤ 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v>
      </c>
      <c r="F51" s="30">
        <f>IFERROR(VLOOKUP(C51,기출문제!D:G,4,0),"")</f>
        <v>4</v>
      </c>
      <c r="G51" s="31" t="str">
        <f t="shared" si="0"/>
        <v/>
      </c>
      <c r="J51" s="23"/>
    </row>
    <row r="52" spans="2:10" s="21" customFormat="1" ht="128.25" x14ac:dyDescent="0.3">
      <c r="B52" s="17">
        <v>45</v>
      </c>
      <c r="C52" s="27" t="s">
        <v>908</v>
      </c>
      <c r="D52" s="28"/>
      <c r="E52" s="29" t="str">
        <f>IFERROR(VLOOKUP(C52,기출문제!D:G,3,0),"")</f>
        <v>80. 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
① ㄱ: 1, ㄴ: 3분의 2 이상 10분의 7 이하
② ㄱ: 1, ㄴ: 4분의 3 이상 10분의 9 이하
③ ㄱ: 2, ㄴ: 3분의 2 이상 10분의 7 이하
④ ㄱ: 2, ㄴ: 4분의 3 이상 10분의 9 이하
⑤ ㄱ: 3, ㄴ: 3분의 2 이상 10분의 9 이하</v>
      </c>
      <c r="F52" s="30">
        <f>IFERROR(VLOOKUP(C52,기출문제!D:G,4,0),"")</f>
        <v>2</v>
      </c>
      <c r="G52" s="31" t="str">
        <f t="shared" si="0"/>
        <v/>
      </c>
      <c r="J52" s="23"/>
    </row>
    <row r="53" spans="2:10" s="21" customFormat="1" ht="85.5" x14ac:dyDescent="0.3">
      <c r="B53" s="17">
        <v>46</v>
      </c>
      <c r="C53" s="27" t="s">
        <v>909</v>
      </c>
      <c r="D53" s="28"/>
      <c r="E53" s="29" t="str">
        <f>IFERROR(VLOOKUP(C53,기출문제!D:G,3,0),"")</f>
        <v>81. 고용보험법령상 예술인인 피보험자가 임신 13주차에 유산을 한 경우 출산전후급여등의 지급기간은?
① 5일
② 10일
③ 15일
④ 20일
⑤ 30일</v>
      </c>
      <c r="F53" s="30">
        <f>IFERROR(VLOOKUP(C53,기출문제!D:G,4,0),"")</f>
        <v>2</v>
      </c>
      <c r="G53" s="31" t="str">
        <f t="shared" si="0"/>
        <v/>
      </c>
      <c r="J53" s="23"/>
    </row>
    <row r="54" spans="2:10" s="21" customFormat="1" ht="85.5" x14ac:dyDescent="0.3">
      <c r="B54" s="17">
        <v>47</v>
      </c>
      <c r="C54" s="27" t="s">
        <v>910</v>
      </c>
      <c r="D54" s="28"/>
      <c r="E54" s="29" t="str">
        <f>IFERROR(VLOOKUP(C54,기출문제!D:G,3,0),"")</f>
        <v>82. 고용보험법령상 고용보험위원회(이하 '위원회'라 한다)에 관한 설명으로 옳지 않은 것은?
① 위촉위원 중 정부를 대표하는 사람의 임기는 2년으로 한다.
② 위촉위원 중 보궐위원의 임기는 전임자 임기의 남은 기간으로 한다.
③ 위원회의 위원장이 부득이한 사유로 직무를 수행할 수 없을 때에는 위원장이 미리 지명하는 위원이 그 직무를 대행한다.
④ 위원회의 회의는 재적위원 과반수의 출석으로 개의(開議)하고 출석의원 과반수의 찬성으로 의결한다.
⑤ 위원회에 고용보험운영전문위원회와 고용보험평가전문위원회를 둔다.</v>
      </c>
      <c r="F54" s="30">
        <f>IFERROR(VLOOKUP(C54,기출문제!D:G,4,0),"")</f>
        <v>1</v>
      </c>
      <c r="G54" s="31" t="str">
        <f t="shared" si="0"/>
        <v/>
      </c>
      <c r="J54" s="23"/>
    </row>
    <row r="55" spans="2:10" s="21" customFormat="1" ht="142.5" x14ac:dyDescent="0.3">
      <c r="B55" s="17">
        <v>48</v>
      </c>
      <c r="C55" s="27" t="s">
        <v>911</v>
      </c>
      <c r="D55" s="28"/>
      <c r="E55" s="29" t="str">
        <f>IFERROR(VLOOKUP(C55,기출문제!D:G,3,0),"")</f>
        <v>83. 고용보험법상 고용보험심사관(이하 '심사관'이라 한다)에 관한 설명으로 옳지 않은 것은?
① 실업급여에 관한 처분에 이의가 있는 자는 심사관에게 심사를 청구할 수 있다.
② 심사관은 심사청구를 받으면 30일 이내에 그 심사청구에 대한 결정을 하여야 한다. 다만, 부득이한 사정으로 그 기간에 결정할 수 없을 때에는 한 차례만 10일을 넘지 아니하는 범위에서 그 기간을 연장할 수 있다.
③ 심사관은 심사의 청구에 대한 심리를 위하여 필요하다고 인정하면 심사청구인의 신청 또는 직권으로 심사청구인 또는 관계인을 지정 장소에 출석하게 하여 질문하거나 의견을 진술하게 할 수 있다.
④ 당사자는 심사관에게 심리・결정의 공정을 기대하기 어려운 사정이 있으면 그 심사관에 대한 기피신청을 고용노동부장관에게 할 수 있다.
⑤ 직업안정기관 또는 근로복지공단은 심사청구서를 받은 날부터 14일 이내에 의견서를 첨부하여 심사청구서를 심사관에게 보내야 한다.</v>
      </c>
      <c r="F55" s="30">
        <f>IFERROR(VLOOKUP(C55,기출문제!D:G,4,0),"")</f>
        <v>5</v>
      </c>
      <c r="G55" s="31" t="str">
        <f t="shared" si="0"/>
        <v/>
      </c>
      <c r="J55" s="23"/>
    </row>
    <row r="56" spans="2:10" s="21" customFormat="1" ht="142.5" x14ac:dyDescent="0.3">
      <c r="B56" s="17">
        <v>49</v>
      </c>
      <c r="C56" s="27" t="s">
        <v>912</v>
      </c>
      <c r="D56" s="28"/>
      <c r="E56" s="29" t="str">
        <f>IFERROR(VLOOKUP(C56,기출문제!D:G,3,0),"")</f>
        <v>84. 고용보험법령상 폐업한 자영업자인 피보험자에 관한 설명으로 옳지 않은 것은?
① 법령을 위반하여 영업 정지를 받아 폐업한 경우라도 직업안정기관의 장이 인정하는 경우에는 수급자격이 있는 것으로 본다. 
② 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
③ 자영업자인 피보험자로서 폐업한 수급자격자에 대한 소정급여일수는 대기기간이 끝난 다음 날부터 계산하기 시작하여 피보험기간이 5년 이상 10년 미만이면 180일까지로 한다.
④ 자영업자인 피보험자의 피보험기간은 그 수급자격과 관련된 폐업 당시의 적용 사업에의 보험가입기간 중에서 실제로 납부한 고용보험료에 해당하는 기간으로 한다.
⑤ 자영업자인 피보험자로서 폐업한 수급자격자에 대한 구직급여일액은 그 수급자격자의 기초일액에 100분의 60을 곱한 금액으로 한다.</v>
      </c>
      <c r="F56" s="30">
        <f>IFERROR(VLOOKUP(C56,기출문제!D:G,4,0),"")</f>
        <v>1</v>
      </c>
      <c r="G56" s="31" t="str">
        <f t="shared" si="0"/>
        <v/>
      </c>
      <c r="J56" s="23"/>
    </row>
    <row r="57" spans="2:10" s="21" customFormat="1" ht="142.5" x14ac:dyDescent="0.3">
      <c r="B57" s="17">
        <v>50</v>
      </c>
      <c r="C57" s="27" t="s">
        <v>913</v>
      </c>
      <c r="D57" s="28"/>
      <c r="E57" s="29" t="str">
        <f>IFERROR(VLOOKUP(C57,기출문제!D:G,3,0),"")</f>
        <v>85. 고용보험법령상 고용노동부장관이 고용환경 개선, 근무형태 변경 등으로 고용의 기회를 확대한 사업주에게 임금의 일부를 지원할 수 있는 경우가 아닌 것은?
① 직무의 분할 등을 통하여 실업자를 근로계약기간을 정하지 않고 시간제로 근무하는 형태로 하여 새로 고용하는 경우
② 고용보험위원회에서 심의・의결한 국내복귀기업  또는 지역특화산업 등 고용지원이 필요한 업종에 해당하는 기업이 실업자를 고용하는 경우
③ 고용보험위원회에서 심의・의결한 업종에 해당하는 우선지원대상기업이 고용노동부장관이 정하는 전문적인 자격을 갖춘 자를 고용하는 경우
④ 임금을 감액하는 제도 또는 그 밖의 임금체계 개편 등을 통하여 18세 이상 35세 이하의 청년 실업자를 고용하는 경우
⑤ 고용노동부장관이 「고용상 연령차별 금지 및 고령자고용촉진에 관한 법률」에 따른 고령자가 근무하기에 적합한 것으로 인정하는 직무에 고령자를 새로 고용하는 경우</v>
      </c>
      <c r="F57" s="30">
        <f>IFERROR(VLOOKUP(C57,기출문제!D:G,4,0),"")</f>
        <v>4</v>
      </c>
      <c r="G57" s="31" t="str">
        <f t="shared" si="0"/>
        <v/>
      </c>
      <c r="J57" s="23"/>
    </row>
    <row r="58" spans="2:10" s="21" customFormat="1" ht="156.75" x14ac:dyDescent="0.3">
      <c r="B58" s="17">
        <v>51</v>
      </c>
      <c r="C58" s="27" t="s">
        <v>914</v>
      </c>
      <c r="D58" s="17"/>
      <c r="E58" s="29" t="str">
        <f>IFERROR(VLOOKUP(C58,기출문제!D:G,3,0),"")</f>
        <v>86. 산업재해보상보험법상 진폐에 따른 보험급여 종류를 모두 고른 것은?
ㄱ. 장례비
ㄴ. 휴업급여
ㄷ. 직업재활급여
ㄹ. 간병급여
ㅁ. 유족급여
① ㄱ, ㄹ
② ㄱ, ㄴ, ㅁ
③ ㄱ, ㄷ, ㄹ
④ ㄴ, ㄷ, ㄹ, ㅁ
⑤ ㄱ, ㄴ, ㄷ, ㄹ, ㅁ</v>
      </c>
      <c r="F58" s="30">
        <f>IFERROR(VLOOKUP(C58,기출문제!D:G,4,0),"")</f>
        <v>3</v>
      </c>
      <c r="G58" s="31" t="str">
        <f t="shared" si="0"/>
        <v/>
      </c>
      <c r="J58" s="23"/>
    </row>
    <row r="59" spans="2:10" s="21" customFormat="1" ht="99.75" x14ac:dyDescent="0.3">
      <c r="B59" s="17">
        <v>52</v>
      </c>
      <c r="C59" s="27" t="s">
        <v>915</v>
      </c>
      <c r="D59" s="17"/>
      <c r="E59" s="29" t="str">
        <f>IFERROR(VLOOKUP(C59,기출문제!D:G,3,0),"")</f>
        <v>87. 산업재해보상보험법상 심사 청구 및 재심사 청구에 관한 설명으로 옳지 않은 것은?
① 재심사위원회의 재결은 근로복지공단을 기속(羈束)한다.
② 재심사위원회 위원(당연직위원은 제외한다)의 임기는 3년으로 하되 연임할 수 있고, 위원장이나 위원의 임기가 끝난 경우 그 후임자가 임명될 때까지 그 직무를 수행한다.
③ 보험급여 결정등에 대하여는 「행정심판법」에 따른 행정심판을 제기할 수 없다.
④ 재심사위원회의 위원장 및 위원은 고용노동부장관이 임명한다.
⑤ 재심사 청구의 제기는 시효의 중단에 관하여 「민법」 제168조에 따른 재판상의 청구로 본다.</v>
      </c>
      <c r="F59" s="30">
        <f>IFERROR(VLOOKUP(C59,기출문제!D:G,4,0),"")</f>
        <v>4</v>
      </c>
      <c r="G59" s="31" t="str">
        <f t="shared" si="0"/>
        <v/>
      </c>
      <c r="J59" s="23"/>
    </row>
    <row r="60" spans="2:10" s="21" customFormat="1" ht="142.5" x14ac:dyDescent="0.3">
      <c r="B60" s="17">
        <v>53</v>
      </c>
      <c r="C60" s="27" t="s">
        <v>916</v>
      </c>
      <c r="D60" s="17"/>
      <c r="E60" s="29" t="str">
        <f>IFERROR(VLOOKUP(C60,기출문제!D:G,3,0),"")</f>
        <v>88. 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
① ㄱ
② ㄴ
③ ㄱ, ㄷ
④ ㄴ, ㄷ
⑤ ㄱ, ㄴ, ㄷ</v>
      </c>
      <c r="F60" s="30">
        <f>IFERROR(VLOOKUP(C60,기출문제!D:G,4,0),"")</f>
        <v>3</v>
      </c>
      <c r="G60" s="31" t="str">
        <f t="shared" si="0"/>
        <v/>
      </c>
      <c r="J60" s="23"/>
    </row>
    <row r="61" spans="2:10" s="21" customFormat="1" ht="156.75" x14ac:dyDescent="0.3">
      <c r="B61" s="17">
        <v>54</v>
      </c>
      <c r="C61" s="27" t="s">
        <v>917</v>
      </c>
      <c r="D61" s="17"/>
      <c r="E61" s="29" t="str">
        <f>IFERROR(VLOOKUP(C61,기출문제!D:G,3,0),"")</f>
        <v>89. 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
① ㄱ, ㄴ
② ㄱ, ㄷ
③ ㄴ, ㄷ
④ ㄴ, ㄹ
⑤ ㄷ, ㄹ</v>
      </c>
      <c r="F61" s="30">
        <f>IFERROR(VLOOKUP(C61,기출문제!D:G,4,0),"")</f>
        <v>2</v>
      </c>
      <c r="G61" s="31" t="str">
        <f t="shared" si="0"/>
        <v/>
      </c>
      <c r="J61" s="23"/>
    </row>
    <row r="62" spans="2:10" s="21" customFormat="1" ht="99.75" x14ac:dyDescent="0.3">
      <c r="B62" s="17">
        <v>55</v>
      </c>
      <c r="C62" s="27" t="s">
        <v>918</v>
      </c>
      <c r="D62" s="17"/>
      <c r="E62" s="29" t="str">
        <f>IFERROR(VLOOKUP(C62,기출문제!D:G,3,0),"")</f>
        <v>90. 산업재해보상보험법령상 업무상 사고에 해당하지 않는 것은?
① 근로자가 근로계약에 따른 업무수행 행위를 하던 중 발생한 사고
② 업무를 준비하는 행위를 하던 중 발생한 사고
③ 천재지변・화재 등 사업장 내에 발생한 돌발적인 사고에 따른 긴급피난・구조행위 등 사회통념상 예견되는 행위를 하던 중에 발생한 사고
④ 사업장 밖에서 업무를 수행하던 중 사업주의 구체적인 지시를 위반한 행위로 인한 사고
⑤ 휴게시간 중 사업주의 지배관리하에 있다고 볼 수 있는 행위로 발생한 사고</v>
      </c>
      <c r="F62" s="30">
        <f>IFERROR(VLOOKUP(C62,기출문제!D:G,4,0),"")</f>
        <v>4</v>
      </c>
      <c r="G62" s="31" t="str">
        <f t="shared" si="0"/>
        <v/>
      </c>
      <c r="J62" s="23"/>
    </row>
    <row r="63" spans="2:10" s="21" customFormat="1" ht="85.5" x14ac:dyDescent="0.3">
      <c r="B63" s="17">
        <v>56</v>
      </c>
      <c r="C63" s="27" t="s">
        <v>919</v>
      </c>
      <c r="D63" s="17"/>
      <c r="E63" s="29" t="str">
        <f>IFERROR(VLOOKUP(C63,기출문제!D:G,3,0),"")</f>
        <v>91. 산업재해보상보험법령상 업무상질병판정위원회의 심의에서 제외되는 질병이 아닌 것은?
① 진폐
② 이황화탄소 중독증
③ 유해・위험요인에 지속적으로 소량 노출되어 나타나는 만성 중독 증상 또는 소견 등의 질병
④ 「한국산업안전보건공단법」에 따른 한국산업안전보건공단에 자문한 결과 업무와의 관련성이 높다고 인정된 질병
⑤ 업무와 그 질병 사이에 상당인과관계가 있는지를 명백히 알 수 있는 경우로서 근로복지공단이 정하는 질병</v>
      </c>
      <c r="F63" s="30">
        <f>IFERROR(VLOOKUP(C63,기출문제!D:G,4,0),"")</f>
        <v>3</v>
      </c>
      <c r="G63" s="31" t="str">
        <f t="shared" si="0"/>
        <v/>
      </c>
      <c r="J63" s="23"/>
    </row>
    <row r="64" spans="2:10" s="21" customFormat="1" ht="99.75" x14ac:dyDescent="0.3">
      <c r="B64" s="17">
        <v>57</v>
      </c>
      <c r="C64" s="27" t="s">
        <v>920</v>
      </c>
      <c r="D64" s="17"/>
      <c r="E64" s="29" t="str">
        <f>IFERROR(VLOOKUP(C64,기출문제!D:G,3,0),"")</f>
        <v>92. 국민연금법령상 다음 A근로자의 경우 산입될 국민연금 가입기간은?
○ 사용자가 A근로자의 임금에서 7개월간 기여금을 공제하였음에도 연금보험료를 내지 않았다.
① 3개월
② 4개월
③ 5개월
④ 6개월
⑤ 7개월</v>
      </c>
      <c r="F64" s="30">
        <f>IFERROR(VLOOKUP(C64,기출문제!D:G,4,0),"")</f>
        <v>2</v>
      </c>
      <c r="G64" s="31" t="str">
        <f t="shared" si="0"/>
        <v/>
      </c>
      <c r="J64" s="23"/>
    </row>
    <row r="65" spans="2:10" s="21" customFormat="1" ht="199.5" x14ac:dyDescent="0.3">
      <c r="B65" s="17">
        <v>58</v>
      </c>
      <c r="C65" s="27" t="s">
        <v>921</v>
      </c>
      <c r="D65" s="17"/>
      <c r="E65" s="29" t="str">
        <f>IFERROR(VLOOKUP(C65,기출문제!D:G,3,0),"")</f>
        <v>93. 국민연금법상 다음 ( )에 들어갈 숫자의 합은?
제64조(분할연금 수급권자 등)
① 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
① 6
② 8
③ 10
④ 13
⑤ 15</v>
      </c>
      <c r="F65" s="30">
        <f>IFERROR(VLOOKUP(C65,기출문제!D:G,4,0),"")</f>
        <v>3</v>
      </c>
      <c r="G65" s="31" t="str">
        <f t="shared" si="0"/>
        <v/>
      </c>
      <c r="J65" s="23"/>
    </row>
    <row r="66" spans="2:10" s="21" customFormat="1" ht="99.75" x14ac:dyDescent="0.3">
      <c r="B66" s="17">
        <v>59</v>
      </c>
      <c r="C66" s="27" t="s">
        <v>922</v>
      </c>
      <c r="D66" s="17"/>
      <c r="E66" s="29" t="str">
        <f>IFERROR(VLOOKUP(C66,기출문제!D:G,3,0),"")</f>
        <v>94. 국민건강보험법령상 피부양자에 해당하지 않는 자는? (단, 직장가입자에게 주로 생계를 의존하는 사람으로서 소득 및 재산이 보건복지부령으로 정하는 기준 이하에 해당하는 사람에 한정한다.)
① 직장가입자의 형제의 배우자
② 직장가입자의 직계비속
③ 직장가입자의 배우자의 직계비속
④ 직장가입자의 직계존속
⑤ 직장가입자의 형제・자매</v>
      </c>
      <c r="F66" s="30">
        <f>IFERROR(VLOOKUP(C66,기출문제!D:G,4,0),"")</f>
        <v>1</v>
      </c>
      <c r="G66" s="31" t="str">
        <f t="shared" si="0"/>
        <v/>
      </c>
      <c r="J66" s="23"/>
    </row>
    <row r="67" spans="2:10" s="21" customFormat="1" ht="128.25" x14ac:dyDescent="0.3">
      <c r="B67" s="17">
        <v>60</v>
      </c>
      <c r="C67" s="27" t="s">
        <v>923</v>
      </c>
      <c r="D67" s="17"/>
      <c r="E67" s="29" t="str">
        <f>IFERROR(VLOOKUP(C67,기출문제!D:G,3,0),"")</f>
        <v>95. 국민건강보험법령에 관한 설명으로 옳은 것은?
① 요양급여비용 및 요양급여의 적정성 평가 등에 관한 건강보험심사평가원의 처분에 이의가 있는 국민건강보험공단, 요양기관 또는 그 밖의 자는 건강보험정책심의위원회에 이의신청을 할 수 있다.
② 직장가입자의 보수월액보험료 상한은 보험료가 부과되는 연도의 전전년도 직장가입자 평균 보수월액보험료의 20배에 해당하는 금액을 고려하여 보건복지부장관이 정하여 고시하는 금액으로 한다.
③ 국민건강보험공단은 보험급여를 받을 수 있는 사람이 고의 또는 중대한 과실로 국민건강보험공단이나 요양기관의 요양에 관한 지시에 따르지 아니한 경우 보험급여를 하지 아니한다.
④ 건강보험심사평가원은 요양급여에 대한 의료의 질을 향상시키기 위하여 요양급여의 적정성 평가를 격년으로 실시하여야 한다.
⑤ 보수의 일부가 현물로 지급되는 경우에는 그 지역의 시가를 기준으로 근로복지공단이 정하는 가액을 그에 해당하는 보수로 본다.</v>
      </c>
      <c r="F67" s="30">
        <f>IFERROR(VLOOKUP(C67,기출문제!D:G,4,0),"")</f>
        <v>3</v>
      </c>
      <c r="G67" s="31" t="str">
        <f t="shared" si="0"/>
        <v/>
      </c>
      <c r="J67" s="23"/>
    </row>
    <row r="68" spans="2:10" s="21" customFormat="1" ht="85.5" x14ac:dyDescent="0.3">
      <c r="B68" s="17">
        <v>61</v>
      </c>
      <c r="C68" s="27" t="s">
        <v>924</v>
      </c>
      <c r="D68" s="17"/>
      <c r="E68" s="29" t="str">
        <f>IFERROR(VLOOKUP(C68,기출문제!D:G,3,0),"")</f>
        <v>96. 국민건강보험법령상 보험료에 관한 설명으로 옳은 것은?
① 가입자의 자격을 취득한 날이 속하는 달의 다음 달부터 가입자의 자격을 잃은 날이 속하는 달까지 징수한다.
② 직장가입자의 소득월액보험료는 사용자가 납부한다.
③ 보험료 납부의무가 있는 자는 가입자에 대한 그 달의 보험료를 그 달 말일까지 납부하여야 한다.
④ 직장가입자의 보험료율은 1만분의 709로 한다.
⑤ 60세 이상인 사람은 보험료 경감대상이 될 수 있다.</v>
      </c>
      <c r="F68" s="30">
        <f>IFERROR(VLOOKUP(C68,기출문제!D:G,4,0),"")</f>
        <v>4</v>
      </c>
      <c r="G68" s="31" t="str">
        <f t="shared" si="0"/>
        <v/>
      </c>
      <c r="J68" s="23"/>
    </row>
    <row r="69" spans="2:10" s="21" customFormat="1" ht="85.5" x14ac:dyDescent="0.3">
      <c r="B69" s="17">
        <v>62</v>
      </c>
      <c r="C69" s="27" t="s">
        <v>925</v>
      </c>
      <c r="D69" s="17"/>
      <c r="E69" s="29" t="str">
        <f>IFERROR(VLOOKUP(C69,기출문제!D:G,3,0),"")</f>
        <v>97. 국민건강보험법령상 건강검진에 관한 설명으로 옳지 않은 것은?
① 사무직에 종사하지 않는 직장가입자에 대해서는 1년에 1회 실시한다.
② 검진기관이 건강검진을 받은 사람에게 직접 통보한 경우에는 국민건강보험공단은 그 통보를 생략할 수 있다.
③ 직장가입자, 세대주인 지역가입자, 18세 이상인 지역가입자는 일반건강검진 대상이다.
④ 영유아건강검진 대상은 6세 미만의 가입자 및 피부양자이다.
⑤ 국민건강보험공단은 직장가입자에게 실시하는 일반건강검진의 실시에 관한 사항을 해당 사용자에게 통보해야 한다.</v>
      </c>
      <c r="F69" s="30">
        <f>IFERROR(VLOOKUP(C69,기출문제!D:G,4,0),"")</f>
        <v>3</v>
      </c>
      <c r="G69" s="31" t="str">
        <f t="shared" si="0"/>
        <v/>
      </c>
      <c r="J69" s="23"/>
    </row>
    <row r="70" spans="2:10" s="21" customFormat="1" ht="142.5" x14ac:dyDescent="0.3">
      <c r="B70" s="17">
        <v>63</v>
      </c>
      <c r="C70" s="27" t="s">
        <v>629</v>
      </c>
      <c r="D70" s="17"/>
      <c r="E70" s="29" t="str">
        <f>IFERROR(VLOOKUP(C70,기출문제!D:G,3,0),"")</f>
        <v>98. 고용보험 및 산업재해보상보험의 보험료 징수 등에 관한 법령상 고액・상습 체납자의 인적사항 공개에 관한 설명으로 옳지 않은 것은?
① 국민건강보험공단은 체납된 보험료, 이 법에 따른 그 밖의 징수금과 체납처분비와 관련하여 행정심판이 계류 중인 경우에는 공개하여서는 아니 된다.
② 체납자의 인적사항등에 대한 공개 여부를 심의하기 위하여 국민건강보험공단에 보험료정보공개심의위원회를 둔다.
③ 국민건강보험공단은 인정사항등의 공개가 결정된 자에 대하여 소명할 기회를 주어야 한다.
④ 체납자 인적사항등의 공개는 관보에 게재하거나, 고용・산재정보통신망 또는 국민건강보험공단 게시판에 게시하는 방법에 따른다.
⑤ 국민건강보험공단은 보험료정보공개심의위원회의 심의와 관련한 통지일부터 3개월이 지난 후 체납자 인적사항등의 공개 여부를 재심의하게 한 후 공개대상자를 선정한다.</v>
      </c>
      <c r="F70" s="30">
        <f>IFERROR(VLOOKUP(C70,기출문제!D:G,4,0),"")</f>
        <v>5</v>
      </c>
      <c r="G70" s="31" t="str">
        <f t="shared" si="0"/>
        <v/>
      </c>
      <c r="J70" s="23"/>
    </row>
    <row r="71" spans="2:10" s="21" customFormat="1" ht="99.75" x14ac:dyDescent="0.3">
      <c r="B71" s="17">
        <v>64</v>
      </c>
      <c r="C71" s="27" t="s">
        <v>926</v>
      </c>
      <c r="D71" s="17"/>
      <c r="E71" s="29" t="str">
        <f>IFERROR(VLOOKUP(C71,기출문제!D:G,3,0),"")</f>
        <v>99. 고용보험 및 산업재해보상보험의 보험료징수 등에 관한 법령상 예술인과 이들을 상대방으로 하여 문화예술용역 관련 계약을 체결한 사업의 사업주에 대한 고용보험료율은?
① 1천분의 8
② 1천분의 16
③ 1천분의 24
④ 1천분의 32
⑤ 1천분의 40</v>
      </c>
      <c r="F71" s="30">
        <f>IFERROR(VLOOKUP(C71,기출문제!D:G,4,0),"")</f>
        <v>2</v>
      </c>
      <c r="G71" s="31" t="str">
        <f t="shared" si="0"/>
        <v/>
      </c>
      <c r="J71" s="23"/>
    </row>
    <row r="72" spans="2:10" s="21" customFormat="1" ht="185.25" x14ac:dyDescent="0.3">
      <c r="B72" s="17">
        <v>65</v>
      </c>
      <c r="C72" s="27" t="s">
        <v>927</v>
      </c>
      <c r="D72" s="17"/>
      <c r="E72" s="29" t="str">
        <f>IFERROR(VLOOKUP(C72,기출문제!D:G,3,0),"")</f>
        <v>100. 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
① A
② B
③ C
④ D
⑤ E</v>
      </c>
      <c r="F72" s="30">
        <f>IFERROR(VLOOKUP(C72,기출문제!D:G,4,0),"")</f>
        <v>3</v>
      </c>
      <c r="G72" s="31" t="str">
        <f t="shared" si="0"/>
        <v/>
      </c>
      <c r="J72" s="23"/>
    </row>
    <row r="73" spans="2:10" s="21" customFormat="1" ht="85.5" x14ac:dyDescent="0.3">
      <c r="B73" s="17">
        <v>66</v>
      </c>
      <c r="C73" s="27" t="s">
        <v>566</v>
      </c>
      <c r="D73" s="17"/>
      <c r="E73" s="29" t="str">
        <f>IFERROR(VLOOKUP(C73,기출문제!D:G,3,0),"")</f>
        <v>76. 사회보장기본법에 관한 설명으로 옳지 않은 것은?
① 모든 국민은 자신의 능력을 최대한 발휘하여 자립・자활(自活)할 수 있도록 노력하여야 한다.
② 국가와 지방자치단체는 사회보장제도를 시행할 때에 가정과 지역공동체의 자발적인 복지활동을 촉진하여야 한다.
③ 사회보험이란 국민에게 발생하는 사회적 위험을 보험의 방식으로 대처함으로써 국민의 건강과 소득을 보장하는 제도를 말한다.
④ 국내에 거주하는 외국인에게 사회보장제도를 적용할 때에는 국민과 차별하지 아니하되 예외적으로 상호주의에 따를 수 있다.
⑤ 국가와 지방자치단체는 가정이 건전하게 유지되고 그 기능이 향상되도록 노력하여야 한다.</v>
      </c>
      <c r="F73" s="30">
        <f>IFERROR(VLOOKUP(C73,기출문제!D:G,4,0),"")</f>
        <v>4</v>
      </c>
      <c r="G73" s="31" t="str">
        <f t="shared" ref="G73:G136" si="1">IF(D73="","",IF(D73=F73,"O", "X"))</f>
        <v/>
      </c>
      <c r="J73" s="23"/>
    </row>
    <row r="74" spans="2:10" s="21" customFormat="1" ht="99.75" x14ac:dyDescent="0.3">
      <c r="B74" s="17">
        <v>67</v>
      </c>
      <c r="C74" s="27" t="s">
        <v>928</v>
      </c>
      <c r="D74" s="17"/>
      <c r="E74" s="29" t="str">
        <f>IFERROR(VLOOKUP(C74,기출문제!D:G,3,0),"")</f>
        <v>77. 사회보장기본법상 사회보장제도의 운영에 관한 설명으로 옳지 않은 것은?
① 국가와 지방자치단체가 사회보장제도를 운영할 때에는 이 제도를 필요로 하는 모든 국민에게 적용하여야 한다.
② 국가와 지방자치단체는 공공부문과 민간부문의 사회보장 전달체계가 효율적으로 연계되도록 노력하여야 한다.
③ 공공부조는 국가의 책임으로 시행하고, 사회보험과 사회서비스는 국가와 지방자치단체의 책임으로 시행하는 것을 원칙으로 한다.
④ 국가와 지방자치단체는 사회보장 관계 법령에서 정하는 바에 따라 사회보장에 관한 상담에 응하여야 한다.
⑤ 국가와 지방자치단체는 효과적인 사회보장정책의 수립・시행을 위하여 사회보장에 관한 통계를 작성・관리하여야 한다.</v>
      </c>
      <c r="F74" s="30">
        <f>IFERROR(VLOOKUP(C74,기출문제!D:G,4,0),"")</f>
        <v>3</v>
      </c>
      <c r="G74" s="31" t="str">
        <f t="shared" si="1"/>
        <v/>
      </c>
      <c r="J74" s="23"/>
    </row>
    <row r="75" spans="2:10" s="21" customFormat="1" ht="128.25" x14ac:dyDescent="0.3">
      <c r="B75" s="17">
        <v>68</v>
      </c>
      <c r="C75" s="27" t="s">
        <v>929</v>
      </c>
      <c r="D75" s="17"/>
      <c r="E75" s="29" t="str">
        <f>IFERROR(VLOOKUP(C75,기출문제!D:G,3,0),"")</f>
        <v>78. 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
① ㄱ: 1월 31일, ㄴ: 3월 31일 
② ㄱ: 1월 31일, ㄴ: 6월 30일
③ ㄱ: 3월 31일, ㄴ: 6월 30일 
④ ㄱ: 3월 31일, ㄴ: 9월 30일
⑤ ㄱ: 6월 30일, ㄴ: 9월 30일</v>
      </c>
      <c r="F75" s="30">
        <f>IFERROR(VLOOKUP(C75,기출문제!D:G,4,0),"")</f>
        <v>1</v>
      </c>
      <c r="G75" s="31" t="str">
        <f t="shared" si="1"/>
        <v/>
      </c>
      <c r="J75" s="23"/>
    </row>
    <row r="76" spans="2:10" s="21" customFormat="1" ht="85.5" x14ac:dyDescent="0.3">
      <c r="B76" s="17">
        <v>69</v>
      </c>
      <c r="C76" s="27" t="s">
        <v>930</v>
      </c>
      <c r="D76" s="17"/>
      <c r="E76" s="29" t="str">
        <f>IFERROR(VLOOKUP(C76,기출문제!D:G,3,0),"")</f>
        <v>79. 사회보장기본법에 관한 설명으로 옳지 않은 것은?
① 국가는 관계 법령에서 정하는 바에 따라 최저보장수준과 최저임금을 매년 공표하여야 한다.
② 국가와 지방자치단체는 사회보장에 관한 책임과 역할을 합리적으로 분담하여야 한다.
③ 사회보장수급권이 제한되거나 정지되는 경우에는 제한 또는 정지하는 목적에 필요한 최소한의 범위에 그쳐야 한다.
④ 사회보장수급권은 정당한 권한이 있는 기관에 구두 또는 서면으로 통지하여 포기할 수 있다.
⑤ 사회보장에 관한 다른 법률을 제정하거나 개정하는 경우에는 사회보장기본법에 부합되도록 하여야 한다.</v>
      </c>
      <c r="F76" s="30">
        <f>IFERROR(VLOOKUP(C76,기출문제!D:G,4,0),"")</f>
        <v>4</v>
      </c>
      <c r="G76" s="31" t="str">
        <f t="shared" si="1"/>
        <v/>
      </c>
      <c r="J76" s="23"/>
    </row>
    <row r="77" spans="2:10" s="21" customFormat="1" ht="99.75" x14ac:dyDescent="0.3">
      <c r="B77" s="17">
        <v>70</v>
      </c>
      <c r="C77" s="27" t="s">
        <v>931</v>
      </c>
      <c r="D77" s="17"/>
      <c r="E77" s="29" t="str">
        <f>IFERROR(VLOOKUP(C77,기출문제!D:G,3,0),"")</f>
        <v>80. 고용보험법상 피보험자격의 취득 또는 상실 등에 관한 설명으로 옳지 않은 것은?
① 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
② 근로자인 피보험자가 이직한 경우에는 이직한 날의 다음 날에 피보험자격을 상실한다.
③ 근로자인 피보험자가 사망한 경우에는 사망한 날의 다음 날에 피보험자격을 상실한다.
④ 고용산재보험료징수법에 따라 보험관계가 소멸한 경우에는 그 보험관계가 소멸한 날에 그 피보험자격을 상실한다.
⑤ 피보험자 또는 피보험자였던 사람은 언제든지 고용노동부장관에게 피보험자격의 취득 또는 상실에 관한 확인을 청구할 수 있다.</v>
      </c>
      <c r="F77" s="30">
        <f>IFERROR(VLOOKUP(C77,기출문제!D:G,4,0),"")</f>
        <v>1</v>
      </c>
      <c r="G77" s="31" t="str">
        <f t="shared" si="1"/>
        <v/>
      </c>
      <c r="J77" s="23"/>
    </row>
    <row r="78" spans="2:10" s="21" customFormat="1" ht="128.25" x14ac:dyDescent="0.3">
      <c r="B78" s="17">
        <v>71</v>
      </c>
      <c r="C78" s="27" t="s">
        <v>932</v>
      </c>
      <c r="D78" s="17"/>
      <c r="E78" s="29" t="str">
        <f>IFERROR(VLOOKUP(C78,기출문제!D:G,3,0),"")</f>
        <v>81. 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
① ㄱ 
② ㄱ, ㄴ 
③ ㄱ, ㄷ 
④ ㄴ, ㄷ 
⑤ ㄱ, ㄴ, ㄷ</v>
      </c>
      <c r="F78" s="30">
        <f>IFERROR(VLOOKUP(C78,기출문제!D:G,4,0),"")</f>
        <v>5</v>
      </c>
      <c r="G78" s="31" t="str">
        <f t="shared" si="1"/>
        <v/>
      </c>
      <c r="J78" s="23"/>
    </row>
    <row r="79" spans="2:10" s="21" customFormat="1" ht="85.5" x14ac:dyDescent="0.3">
      <c r="B79" s="17">
        <v>72</v>
      </c>
      <c r="C79" s="27" t="s">
        <v>933</v>
      </c>
      <c r="D79" s="17"/>
      <c r="E79" s="29" t="str">
        <f>IFERROR(VLOOKUP(C79,기출문제!D:G,3,0),"")</f>
        <v>82. 고용보험법상 자영업자의 구직급여에 관한 사항으로 피보험기간과 소정급여일수가 옳게 연결된 것은?
① 피보험기간 6개월 - 소정급여일수 120일
② 피보험기간 1년 - 소정급여일수 150일
③ 피보험기간 3년 - 소정급여일수 180일
④ 피보험기간 10년 - 소정급여일수 210일
⑤ 피보험기간 15년 - 소정급여일수 240일</v>
      </c>
      <c r="F79" s="30">
        <f>IFERROR(VLOOKUP(C79,기출문제!D:G,4,0),"")</f>
        <v>4</v>
      </c>
      <c r="G79" s="31" t="str">
        <f t="shared" si="1"/>
        <v/>
      </c>
      <c r="J79" s="23"/>
    </row>
    <row r="80" spans="2:10" s="21" customFormat="1" ht="85.5" x14ac:dyDescent="0.3">
      <c r="B80" s="17">
        <v>73</v>
      </c>
      <c r="C80" s="27" t="s">
        <v>934</v>
      </c>
      <c r="D80" s="17"/>
      <c r="E80" s="29" t="str">
        <f>IFERROR(VLOOKUP(C80,기출문제!D:G,3,0),"")</f>
        <v>83. 고용보험법령상 노무제공자인 피보험자에 해당하지 않는 것은?
① 한국표준직업분류표의 세세분류에 따른 대여 제품 방문점검원
② 가전제품의 판매를 위한 배송 업무를 주로 수행하고 가전제품의 설치, 시운전 등을 통해 작동상태를 확인하는 사람
③ 「초・중등교육법」에 따른 학교에서 운영하는 방과후 학교의 과정을 담당하는 강사
④ 「방문판매 등에 관한 법률」에 따른 후원방문판매원으로서 자가 소비를 위한 후원 방문판매원
⑤ 「우체국 예금・보험에 관한 법률」에 따른 우체국보험의 모집을 전업으로 하는 사람</v>
      </c>
      <c r="F80" s="30">
        <f>IFERROR(VLOOKUP(C80,기출문제!D:G,4,0),"")</f>
        <v>4</v>
      </c>
      <c r="G80" s="31" t="str">
        <f t="shared" si="1"/>
        <v/>
      </c>
      <c r="J80" s="23"/>
    </row>
    <row r="81" spans="2:10" s="21" customFormat="1" ht="99.75" x14ac:dyDescent="0.3">
      <c r="B81" s="17">
        <v>74</v>
      </c>
      <c r="C81" s="27" t="s">
        <v>935</v>
      </c>
      <c r="D81" s="17"/>
      <c r="E81" s="29" t="str">
        <f>IFERROR(VLOOKUP(C81,기출문제!D:G,3,0),"")</f>
        <v>84. 고용보험법령상 고용보험기금에 관한 설명으로 옳지 않은 것은?
① 고용노동부장관은 한국은행에 고용보험기금계정을 설치하여야 한다.
② 고용보험기금의 결산상 손실금이 생기는 경우 이를 적립금으로 보전(補塡)할 수 없다.
③ 기금수입징수관은 기금징수액보고서를 매월 말일을 기준으로 작성하여 다음 달 20일까지 고용노동부장관에게 제출하여야 한다.
④ 고용보험기금을 지출할 때 자금 부족이 발생할 것으로 예상되는 경우에는 고용보험기금의 부담으로 금융기관・다른 기금과 그 밖의 재원 등으로부터 차입을 할 수 있다.
⑤ 고용노동부장관의 고용보험기금 관리・운용 방법에는 금융기관에 예탁하는 방법이 있다.</v>
      </c>
      <c r="F81" s="30">
        <f>IFERROR(VLOOKUP(C81,기출문제!D:G,4,0),"")</f>
        <v>2</v>
      </c>
      <c r="G81" s="31" t="str">
        <f t="shared" si="1"/>
        <v/>
      </c>
      <c r="J81" s="23"/>
    </row>
    <row r="82" spans="2:10" s="21" customFormat="1" ht="114" x14ac:dyDescent="0.3">
      <c r="B82" s="17">
        <v>75</v>
      </c>
      <c r="C82" s="27" t="s">
        <v>936</v>
      </c>
      <c r="D82" s="17"/>
      <c r="E82" s="29" t="str">
        <f>IFERROR(VLOOKUP(C82,기출문제!D:G,3,0),"")</f>
        <v>85. 고용보험법상 재심사에 관한 설명으로 옳지 않은 것은?
① 재심사의 청구는 심사청구에 대한 결정이 있음을 안 날부터 90일 이내에 제기하여야 한다.
② 재심사의 청구는 시효중단에 관하여 재판상의 청구로 본다.
③ 고용보험심사위원회의 재심사청구에 대한 심리는 공개하지 않음이 원칙이지만, 당사자의 양쪽 또는 어느 한 쪽이 신청한 경우에는 공개할 수 있다.
④ 고용보험심사위원회는 재심사의 청구를 받으면 그 청구에 대한 심리 기일(審理期日) 및 장소를 정하여 심리 기일 3일 전까지 당사자 및 그 사건을 심사한 고용보험심사관에게 알려야 한다.
⑤ 당사자는 고용보험심사위원회에 문서나 구두로 그 의견을 진술할 수 있다.</v>
      </c>
      <c r="F82" s="30">
        <f>IFERROR(VLOOKUP(C82,기출문제!D:G,4,0),"")</f>
        <v>3</v>
      </c>
      <c r="G82" s="31" t="str">
        <f t="shared" si="1"/>
        <v/>
      </c>
      <c r="J82" s="23"/>
    </row>
    <row r="83" spans="2:10" s="21" customFormat="1" ht="85.5" x14ac:dyDescent="0.3">
      <c r="B83" s="17">
        <v>76</v>
      </c>
      <c r="C83" s="27" t="s">
        <v>937</v>
      </c>
      <c r="D83" s="17"/>
      <c r="E83" s="29" t="str">
        <f>IFERROR(VLOOKUP(C83,기출문제!D:G,3,0),"")</f>
        <v>86. 산업재해보상보험법령상 산업재해보상보험및예방심의위원회의 심의사항이 아닌 것은?
① 요양급여의 범위나 비용 등 요양급여의 산정 기준에 관한 사항
② 「고용보험 및 산업재해보상보험의 보험료징수 등에 관한 법률」에 따른 산재보험료율의 결정에 관한 사항
③ 「산업안전보건법」에 따른 산업재해 보상의 세부계획에 관한 사항
④ 산업재해보상보험및예방기금의 운용계획 수립에 관한 사항
⑤ 고용노동부장관이 산업재해보상보험 사업 및 산업안전・보건 업무에 관하여 심의에 부치는 사항</v>
      </c>
      <c r="F83" s="30">
        <f>IFERROR(VLOOKUP(C83,기출문제!D:G,4,0),"")</f>
        <v>3</v>
      </c>
      <c r="G83" s="31" t="str">
        <f t="shared" si="1"/>
        <v/>
      </c>
      <c r="J83" s="23"/>
    </row>
    <row r="84" spans="2:10" s="21" customFormat="1" ht="85.5" x14ac:dyDescent="0.3">
      <c r="B84" s="17">
        <v>77</v>
      </c>
      <c r="C84" s="27" t="s">
        <v>938</v>
      </c>
      <c r="D84" s="17"/>
      <c r="E84" s="29" t="str">
        <f>IFERROR(VLOOKUP(C84,기출문제!D:G,3,0),"")</f>
        <v>87. 산업재해보상보험법령상 산업재해보상보험법의 적용 제외 사업에 해당하지 않는 것은?
① 「군인 재해보상법」에 따라 재해보상이 되는 사업
② 「선원법」에 따라 재해보상이 되는 사업
③ 벌목업 중 법인이 아닌 자의 사업으로서 상시근로자 수가 5명 미만인 사업
④ 수렵업 중 법인이 아닌 자의 사업으로서 상시근로자 수가 5명 미만인 사업
⑤ 가구내 고용활동</v>
      </c>
      <c r="F84" s="30">
        <f>IFERROR(VLOOKUP(C84,기출문제!D:G,4,0),"")</f>
        <v>3</v>
      </c>
      <c r="G84" s="31" t="str">
        <f t="shared" si="1"/>
        <v/>
      </c>
      <c r="J84" s="23"/>
    </row>
    <row r="85" spans="2:10" s="21" customFormat="1" ht="128.25" x14ac:dyDescent="0.3">
      <c r="B85" s="17">
        <v>78</v>
      </c>
      <c r="C85" s="27" t="s">
        <v>939</v>
      </c>
      <c r="D85" s="17"/>
      <c r="E85" s="29" t="str">
        <f>IFERROR(VLOOKUP(C85,기출문제!D:G,3,0),"")</f>
        <v>88. 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
① ㄱ 
② ㄷ 
③ ㄱ, ㄴ 
④ ㄴ, ㄷ 
⑤ ㄱ, ㄴ, ㄷ</v>
      </c>
      <c r="F85" s="30">
        <f>IFERROR(VLOOKUP(C85,기출문제!D:G,4,0),"")</f>
        <v>1</v>
      </c>
      <c r="G85" s="31" t="str">
        <f t="shared" si="1"/>
        <v/>
      </c>
      <c r="J85" s="23"/>
    </row>
    <row r="86" spans="2:10" s="21" customFormat="1" ht="128.25" x14ac:dyDescent="0.3">
      <c r="B86" s="17">
        <v>79</v>
      </c>
      <c r="C86" s="27" t="s">
        <v>940</v>
      </c>
      <c r="D86" s="17"/>
      <c r="E86" s="29" t="str">
        <f>IFERROR(VLOOKUP(C86,기출문제!D:G,3,0),"")</f>
        <v>89. 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
① ㄱ 
② ㄴ 
③ ㄱ, ㄴ 
④ ㄴ, ㄷ 
⑤ ㄱ, ㄴ, ㄷ</v>
      </c>
      <c r="F86" s="30">
        <f>IFERROR(VLOOKUP(C86,기출문제!D:G,4,0),"")</f>
        <v>5</v>
      </c>
      <c r="G86" s="31" t="str">
        <f t="shared" si="1"/>
        <v/>
      </c>
      <c r="J86" s="23"/>
    </row>
    <row r="87" spans="2:10" s="21" customFormat="1" ht="85.5" x14ac:dyDescent="0.3">
      <c r="B87" s="17">
        <v>80</v>
      </c>
      <c r="C87" s="27" t="s">
        <v>941</v>
      </c>
      <c r="D87" s="17"/>
      <c r="E87" s="29" t="str">
        <f>IFERROR(VLOOKUP(C87,기출문제!D:G,3,0),"")</f>
        <v>90. 산업재해보상보험법령상 업무상의 재해의 인정 기준에 해당하는 사유가 아닌 것은?
① 근로자가 근로계약에 따른 업무나 그에 따르는 행위를 하던 중 발생한 사고
② 사업주의 구체적인 지시를 위반한 행위로 인한 사고
③ 사업주가 제공한 시설물 등을 이용하던 중 그 시설물 등의 결함이나 관리소홀로 발생한 사고
④ 사업주가 주관하거나 사업주의 지시에 따라 참여한 행사나 행사준비 중에 발생한 사고
⑤ 휴게시간 중 사업주의 지배관리하에 있다고 볼 수 있는 행위로 발생한 사고</v>
      </c>
      <c r="F87" s="30">
        <f>IFERROR(VLOOKUP(C87,기출문제!D:G,4,0),"")</f>
        <v>2</v>
      </c>
      <c r="G87" s="31" t="str">
        <f t="shared" si="1"/>
        <v/>
      </c>
      <c r="J87" s="23"/>
    </row>
    <row r="88" spans="2:10" s="21" customFormat="1" ht="128.25" x14ac:dyDescent="0.3">
      <c r="B88" s="17">
        <v>81</v>
      </c>
      <c r="C88" s="27" t="s">
        <v>942</v>
      </c>
      <c r="D88" s="17"/>
      <c r="E88" s="29" t="str">
        <f>IFERROR(VLOOKUP(C88,기출문제!D:G,3,0),"")</f>
        <v>91. 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
① ㄱ: 70, ㄴ: 70 
② ㄱ: 70, ㄴ: 80 
③ ㄱ: 80, ㄴ: 80
④ ㄱ: 80, ㄴ: 90 
⑤ ㄱ: 90, ㄴ: 90</v>
      </c>
      <c r="F88" s="30">
        <f>IFERROR(VLOOKUP(C88,기출문제!D:G,4,0),"")</f>
        <v>4</v>
      </c>
      <c r="G88" s="31" t="str">
        <f t="shared" si="1"/>
        <v/>
      </c>
      <c r="J88" s="23"/>
    </row>
    <row r="89" spans="2:10" s="21" customFormat="1" ht="99.75" x14ac:dyDescent="0.3">
      <c r="B89" s="17">
        <v>82</v>
      </c>
      <c r="C89" s="27" t="s">
        <v>943</v>
      </c>
      <c r="D89" s="17"/>
      <c r="E89" s="29" t="str">
        <f>IFERROR(VLOOKUP(C89,기출문제!D:G,3,0),"")</f>
        <v>92. 국민연금법상 급여에 관한 설명으로 옳은 것은?
① 급여는 노령연금과 장애연금 두 종류로 나뉜다.
② 급여수급전용계좌에 입금된 급여와 이에 관한 채권은 압류할 수 있다.
③ 급여로 지급된 금액에 대하여는「조세특례제한법」이나 그 밖의 법률 또는 지방자치단체가 조례로 정하는 바에 따라 조세, 그 밖에 국가 또는 지방자치단체의 공과금을 감면할 수 없다.
④ 국민연금공단은 장애연금 수급권자의 장애 정도를 심사하여 장애등급에 해당되지 아니하면 장애연금액을 변경한다.
⑤ 자녀인 수급권자가 다른 사람에게 입양된 때에는 그에 해당하게 된 때부터 유족연금의 지급을 정지한다.</v>
      </c>
      <c r="F89" s="30">
        <f>IFERROR(VLOOKUP(C89,기출문제!D:G,4,0),"")</f>
        <v>5</v>
      </c>
      <c r="G89" s="31" t="str">
        <f t="shared" si="1"/>
        <v/>
      </c>
      <c r="J89" s="23"/>
    </row>
    <row r="90" spans="2:10" s="21" customFormat="1" ht="85.5" x14ac:dyDescent="0.3">
      <c r="B90" s="17">
        <v>83</v>
      </c>
      <c r="C90" s="27" t="s">
        <v>944</v>
      </c>
      <c r="D90" s="17"/>
      <c r="E90" s="29" t="str">
        <f>IFERROR(VLOOKUP(C90,기출문제!D:G,3,0),"")</f>
        <v>93. 국민연금법상 국민연금가입자에 관한 설명으로 옳지 않은 것은?
① 가입자는 사업장가입자, 지역가입자, 임의가입자 및 임의계속가입자로 구분한다.
② 임의가입자는 보건복지부령으로 정하는 바에 따라 국민연금공단에 신청하여 탈퇴할 수 있다.
③ 가입자의 가입 종류가 변동되면 그 가입자의 가입기간은 각 종류별 가입기간을 합산한 기간으로 한다.
④ 가입자의 자격을 상실한 후 다시 그 자격을 취득한 자에 대하여는 전후(前後)의 가입기간을 합산한다.
⑤ 임의가입자는 가입 신청을 한 날에 자격을 취득한다.</v>
      </c>
      <c r="F90" s="30">
        <f>IFERROR(VLOOKUP(C90,기출문제!D:G,4,0),"")</f>
        <v>5</v>
      </c>
      <c r="G90" s="31" t="str">
        <f t="shared" si="1"/>
        <v/>
      </c>
      <c r="J90" s="23"/>
    </row>
    <row r="91" spans="2:10" s="21" customFormat="1" ht="114" x14ac:dyDescent="0.3">
      <c r="B91" s="17">
        <v>84</v>
      </c>
      <c r="C91" s="27" t="s">
        <v>945</v>
      </c>
      <c r="D91" s="17"/>
      <c r="E91" s="29" t="str">
        <f>IFERROR(VLOOKUP(C91,기출문제!D:G,3,0),"")</f>
        <v>94. 국민건강보험법령상 보수월액에 관한 설명으로 옳지 않은 것은?
① 직장가입자의 보수월액은 직장가입자가 지급받는 보수를 기준으로 하여 산정한다.
② 휴직으로 보수의 전부 또는 일부가 지급되지 아니하는 가입자의 보수월액보험료는 해당 사유가 생기기 전 달의 보수월액을 기준으로 산정한다.
③ 근로자가 근로를 제공하고 사용자로부터 지급받는 금품 중 퇴직금은 보수에서 제외한다.
④ 보수의 전부 또는 일부가 현물(現物)로 지급되는 경우에는 그 지역의 시가(時價)를 기준으로 국민건강보험공단이 정하는 가액(價額)을 그에 해당하는 보수로 본다.
⑤ 보수 관련 자료가 없거나 불명확한 경우에 해당하면 고용노동부장관이 정하여 고시하는 금액을 보수로 본다.</v>
      </c>
      <c r="F91" s="30">
        <f>IFERROR(VLOOKUP(C91,기출문제!D:G,4,0),"")</f>
        <v>5</v>
      </c>
      <c r="G91" s="31" t="str">
        <f t="shared" si="1"/>
        <v/>
      </c>
      <c r="J91" s="23"/>
    </row>
    <row r="92" spans="2:10" s="21" customFormat="1" ht="142.5" x14ac:dyDescent="0.3">
      <c r="B92" s="17">
        <v>85</v>
      </c>
      <c r="C92" s="27" t="s">
        <v>946</v>
      </c>
      <c r="D92" s="17"/>
      <c r="E92" s="29" t="str">
        <f>IFERROR(VLOOKUP(C92,기출문제!D:G,3,0),"")</f>
        <v>95. 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
① ㄱ, ㄴ 
② ㄴ, ㄷ 
③ ㄱ, ㄴ, ㄹ
④ ㄱ, ㄷ, ㄹ 
⑤ ㄱ, ㄴ, ㄷ, ㄹ</v>
      </c>
      <c r="F92" s="30">
        <f>IFERROR(VLOOKUP(C92,기출문제!D:G,4,0),"")</f>
        <v>5</v>
      </c>
      <c r="G92" s="31" t="str">
        <f t="shared" si="1"/>
        <v/>
      </c>
      <c r="J92" s="23"/>
    </row>
    <row r="93" spans="2:10" s="21" customFormat="1" ht="128.25" x14ac:dyDescent="0.3">
      <c r="B93" s="17">
        <v>86</v>
      </c>
      <c r="C93" s="27" t="s">
        <v>947</v>
      </c>
      <c r="D93" s="17"/>
      <c r="E93" s="29" t="str">
        <f>IFERROR(VLOOKUP(C93,기출문제!D:G,3,0),"")</f>
        <v>96. 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
① ㄱ: 근로복지공단, ㄴ: 국민건강보험공단, ㄷ: 근로복지공단
② ㄱ: 근로복지공단, ㄴ: 근로복지공단, ㄷ: 국민건강보험공단
③ ㄱ: 근로복지공단, ㄴ: 근로복지공단, ㄷ: 근로복지공단
④ ㄱ: 국민건강보험공단, ㄴ: 근로복지공단, ㄷ: 국민건강보험공단
⑤ ㄱ: 국민건강보험공단, ㄴ: 국민건강보험공단, ㄷ: 근로복지공단</v>
      </c>
      <c r="F93" s="30">
        <f>IFERROR(VLOOKUP(C93,기출문제!D:G,4,0),"")</f>
        <v>1</v>
      </c>
      <c r="G93" s="31" t="str">
        <f t="shared" si="1"/>
        <v/>
      </c>
      <c r="J93" s="23"/>
    </row>
    <row r="94" spans="2:10" s="21" customFormat="1" ht="142.5" x14ac:dyDescent="0.3">
      <c r="B94" s="17">
        <v>87</v>
      </c>
      <c r="C94" s="27" t="s">
        <v>948</v>
      </c>
      <c r="D94" s="17"/>
      <c r="E94" s="29" t="str">
        <f>IFERROR(VLOOKUP(C94,기출문제!D:G,3,0),"")</f>
        <v>97. 고용보험 및 산업재해보상보험의 보험료징수 등에 관한 법령상 보험관계의 성립 및 소멸에 관한 설명으로 옳지 않은 것은?
① 산업재해보상보험법을 적용하지 아니하는 사업의 사업주는 근로복지공단의 승인을 받아 산업재해보상보험에 가입할 수 있다.
② 일괄적용사업의 사업주는 사업의 개시일부터 14일 이내에 끝나는 사업의 경우에는 그 끝나는 날의 다음 날까지 개시 및 종료 사실을 근로복지공단에 신고하여야 한다.
③ 고용보험법을 적용하지 아니하는 사업의 사업주가 고용보험에 가입된 경우 그 보험계약을 해지할 때에는 미리 근로복지공단의 승인을 받아야 한다.
④ 고용보험에 가입한 사업주는 기간의 정함이 있는 건설사업의 경우 사업의 기간이 변경되면 그 변경된 날부터 14일 이내에 그 변경사항을 근로복지공단에 신고하여야 한다.
⑤ 고용보험법을 적용하지 아니하는 사업의 사업주가 근로자의 과반수의 동의를 받아 근로복지공단의 승인을 받으면 그 사업의 사업주와 근로자는 고용보험에 가입할 수 있다.</v>
      </c>
      <c r="F94" s="30">
        <f>IFERROR(VLOOKUP(C94,기출문제!D:G,4,0),"")</f>
        <v>2</v>
      </c>
      <c r="G94" s="31" t="str">
        <f t="shared" si="1"/>
        <v/>
      </c>
      <c r="J94" s="23"/>
    </row>
    <row r="95" spans="2:10" s="21" customFormat="1" ht="99.75" x14ac:dyDescent="0.3">
      <c r="B95" s="17">
        <v>88</v>
      </c>
      <c r="C95" s="27" t="s">
        <v>949</v>
      </c>
      <c r="D95" s="17"/>
      <c r="E95" s="29" t="str">
        <f>IFERROR(VLOOKUP(C95,기출문제!D:G,3,0),"")</f>
        <v>98. 고용보험 및 산업재해보상보험의 보험료징수 등에 관한 법령상 상시근로자수가 150명 미만인 사업주의 사업의 고용안정・직업능력개발사업의 보험료율은?
① 1만분의 15 
② 1만분의 25 
③ 1만분의 35 
④ 1만분의 45 
⑤ 1만분의 55</v>
      </c>
      <c r="F95" s="30">
        <f>IFERROR(VLOOKUP(C95,기출문제!D:G,4,0),"")</f>
        <v>2</v>
      </c>
      <c r="G95" s="31" t="str">
        <f t="shared" si="1"/>
        <v/>
      </c>
      <c r="J95" s="23"/>
    </row>
    <row r="96" spans="2:10" s="21" customFormat="1" ht="99.75" x14ac:dyDescent="0.3">
      <c r="B96" s="17">
        <v>89</v>
      </c>
      <c r="C96" s="27" t="s">
        <v>950</v>
      </c>
      <c r="D96" s="17"/>
      <c r="E96" s="29" t="str">
        <f>IFERROR(VLOOKUP(C96,기출문제!D:G,3,0),"")</f>
        <v>99. 고용보험 및 산업재해보상보험의 보험료징수 등에 관한 법령상 기준보수에 관한 설명으로 옳지 않은 것은?
① 근로시간에 따라 보수를 지급받는 근로자가 주당 소정근로시간을 확정할 수 없는 경우에는 시간단위 기준보수를 적용한다.
② 기준보수는 사업의 규모, 근로형태 및 보수수준 등을 고려하여 고용보험법에 따른 고용보험위원회의 심의를 거쳐 시간・일 또는 월 단위로 정하되, 사업의 종류별 또는 지역별로 구분하여 정할 수 있다.
③ 사업 또는 사업장의 이전 등으로 사업의 소재지를 파악하기 곤란한 경우에는 기준보수를 보수로 할 수 있다.
④ 통상근로자로서 월정액으로 보수를 지급받는 근로자에게는 월단위 기준보수를 적용한다.
⑤ 사업의 폐업으로 보수를 산정하기 곤란한 경우에는 기준보수를 보수로 할 수 있다.</v>
      </c>
      <c r="F96" s="30">
        <f>IFERROR(VLOOKUP(C96,기출문제!D:G,4,0),"")</f>
        <v>1</v>
      </c>
      <c r="G96" s="31" t="str">
        <f t="shared" si="1"/>
        <v/>
      </c>
      <c r="J96" s="23"/>
    </row>
    <row r="97" spans="2:10" s="21" customFormat="1" ht="128.25" x14ac:dyDescent="0.3">
      <c r="B97" s="17">
        <v>90</v>
      </c>
      <c r="C97" s="27" t="s">
        <v>951</v>
      </c>
      <c r="D97" s="17"/>
      <c r="E97" s="29" t="str">
        <f>IFERROR(VLOOKUP(C97,기출문제!D:G,3,0),"")</f>
        <v>100. 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
① 7 
② 14 
③ 15 
④ 20 
⑤ 30</v>
      </c>
      <c r="F97" s="30">
        <f>IFERROR(VLOOKUP(C97,기출문제!D:G,4,0),"")</f>
        <v>2</v>
      </c>
      <c r="G97" s="31" t="str">
        <f t="shared" si="1"/>
        <v/>
      </c>
      <c r="J97" s="23"/>
    </row>
    <row r="98" spans="2:10" s="21" customFormat="1" ht="99.75" x14ac:dyDescent="0.3">
      <c r="B98" s="17">
        <v>91</v>
      </c>
      <c r="C98" s="27" t="s">
        <v>44</v>
      </c>
      <c r="D98" s="17"/>
      <c r="E98" s="29" t="str">
        <f>IFERROR(VLOOKUP(C98,기출문제!D:G,3,0),"")</f>
        <v>76. 사회보장기본법령상 국가와 지방자치단체의 책임에 관한 내용으로 옳지 않은 것은?
① 국가와 지방자치단체는 국가 발전수준에 부응하고 사회환경의 변화에 선제적으로 대응하며 지속가능한 사회보장제도를 확립하고 매년 이에 필요한 재원을 조달하여야 한다.
② 국가와 지방자치단체는 사회보장 관계 법령에서 규정한 권리나 의무를 모든 국민에게 설명하여야 한다.
③ 국가와 지방자치단체는 사회보장에 관한 책임과 역할을 합리적으로 분담하여야 한다.
④ 국가는 사회보장제도의 안정적인 운영을 위하여 중장기 사회보장 재정추계를 격년으로 실시하고 이를 공표하여야 한다.
⑤ 국가와 지방자치단체는 모든 국민의 인간다운 생활을 유지・증진하는 책임을 가진다.</v>
      </c>
      <c r="F98" s="30">
        <f>IFERROR(VLOOKUP(C98,기출문제!D:G,4,0),"")</f>
        <v>2</v>
      </c>
      <c r="G98" s="31" t="str">
        <f t="shared" si="1"/>
        <v/>
      </c>
      <c r="J98" s="23"/>
    </row>
    <row r="99" spans="2:10" s="21" customFormat="1" ht="85.5" x14ac:dyDescent="0.3">
      <c r="B99" s="17">
        <v>92</v>
      </c>
      <c r="C99" s="27" t="s">
        <v>952</v>
      </c>
      <c r="D99" s="17"/>
      <c r="E99" s="29" t="str">
        <f>IFERROR(VLOOKUP(C99,기출문제!D:G,3,0),"")</f>
        <v>77. 사회보장기본법령상 사회보장위원회에 관한 내용으로 옳지 않은 것은?
① 사회보장위원회의 부위원장은 기획재정부장관, 교육부장관 및 보건복지부장관이 된다.
② 사회보장위원회의 사무를 효율적으로 처리하기 위하여 보건복지부에 사무국을 둔다.
③ 사회보장위원회에 간사 1명을 두고, 간사는 보건복지부 사회복지정책실장으로 한다.
④ 대통령은 위촉한 사회보장위원회의 위원이 직무와 관련된 비위사실이 있는 경우에는 해당 위원을 해촉할 수 있다.
⑤ 사회보장위원회에 두는 실무위원회는 공동위원장 2명을 포함하여 30명 이내의 위원으로 구성한다.</v>
      </c>
      <c r="F99" s="30">
        <f>IFERROR(VLOOKUP(C99,기출문제!D:G,4,0),"")</f>
        <v>3</v>
      </c>
      <c r="G99" s="31" t="str">
        <f t="shared" si="1"/>
        <v/>
      </c>
      <c r="J99" s="23"/>
    </row>
    <row r="100" spans="2:10" s="21" customFormat="1" ht="85.5" x14ac:dyDescent="0.3">
      <c r="B100" s="17">
        <v>93</v>
      </c>
      <c r="C100" s="27" t="s">
        <v>953</v>
      </c>
      <c r="D100" s="17"/>
      <c r="E100" s="29" t="str">
        <f>IFERROR(VLOOKUP(C100,기출문제!D:G,3,0),"")</f>
        <v>78. 사회보장기본법령상 사회보장수급권에 관한 내용으로 옳지 않은 것은?
① 사회보장수급권이 정지되는 경우에는 정지하는 목적에 필요한 최소한의 범위에 그쳐야 한다.
② 사회보장수급권은 관계 법령에서 정하는 바에 따라 타인에게 양도할 수 있다.
③ 사회보장수급권은 관계 법령에서 따로 정하고 있는 경우에는 제한될 수 있다.
④ 사회보장수급권은 관계 법령에서 정하는 바에 따라 타인에게 담보로 제공할 수 없다.
⑤ 사회보장수급권을 포기하는 것이 다른 사람에게 피해를 주는 경우에는 사회보장수급권을 포기할 수 없다.</v>
      </c>
      <c r="F100" s="30">
        <f>IFERROR(VLOOKUP(C100,기출문제!D:G,4,0),"")</f>
        <v>2</v>
      </c>
      <c r="G100" s="31" t="str">
        <f t="shared" si="1"/>
        <v/>
      </c>
      <c r="J100" s="23"/>
    </row>
    <row r="101" spans="2:10" s="21" customFormat="1" ht="128.25" x14ac:dyDescent="0.3">
      <c r="B101" s="17">
        <v>94</v>
      </c>
      <c r="C101" s="27" t="s">
        <v>954</v>
      </c>
      <c r="D101" s="17"/>
      <c r="E101" s="29" t="str">
        <f>IFERROR(VLOOKUP(C101,기출문제!D:G,3,0),"")</f>
        <v>79. 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
① ㄱ: 30, ㄴ: 30, ㄷ: 30
② ㄱ: 30, ㄴ: 30, ㄷ: 60
③ ㄱ: 30, ㄴ: 60, ㄷ: 60
④ ㄱ: 60, ㄴ: 60, ㄷ: 30
⑤ ㄱ: 60, ㄴ: 60, ㄷ: 60</v>
      </c>
      <c r="F101" s="30">
        <f>IFERROR(VLOOKUP(C101,기출문제!D:G,4,0),"")</f>
        <v>4</v>
      </c>
      <c r="G101" s="31" t="str">
        <f t="shared" si="1"/>
        <v/>
      </c>
      <c r="J101" s="23"/>
    </row>
    <row r="102" spans="2:10" s="21" customFormat="1" ht="99.75" x14ac:dyDescent="0.3">
      <c r="B102" s="17">
        <v>95</v>
      </c>
      <c r="C102" s="27" t="s">
        <v>955</v>
      </c>
      <c r="D102" s="17"/>
      <c r="E102" s="29" t="str">
        <f>IFERROR(VLOOKUP(C102,기출문제!D:G,3,0),"")</f>
        <v>80. 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
① 120일
② 180일
③ 210일
④ 240일
⑤ 270일</v>
      </c>
      <c r="F102" s="30">
        <f>IFERROR(VLOOKUP(C102,기출문제!D:G,4,0),"")</f>
        <v>5</v>
      </c>
      <c r="G102" s="31" t="str">
        <f t="shared" si="1"/>
        <v/>
      </c>
      <c r="J102" s="23"/>
    </row>
    <row r="103" spans="2:10" s="21" customFormat="1" ht="85.5" x14ac:dyDescent="0.3">
      <c r="B103" s="17">
        <v>96</v>
      </c>
      <c r="C103" s="27" t="s">
        <v>956</v>
      </c>
      <c r="D103" s="17"/>
      <c r="E103" s="29" t="str">
        <f>IFERROR(VLOOKUP(C103,기출문제!D:G,3,0),"")</f>
        <v>81. 고용보험법령상 예술인인 피보험자의 구직급여에 관한 내용으로 옳지 않은 것은?
① 이직일 이전 24개월 동안의 피보험 단위기간이 통산하여 9개월 이상일 것을 지급요건으로 한다.
② 이직일 이전 24개월 중 3개월 이상을 예술인인 피보험자로 피보험자격을 유지하였을 것을 지급요건으로 한다.
③ 실업의 신고일부터 계산하기 시작하여 30일간은 대기기간으로 보아 구직급여를 지급하지 아니한다.
④ 예술인의 구직급여일액은 기초일액에 100분의 60을 곱한 금액으로 한다.
⑤ 예술인의 구직급여일액의 상한액은 6만6천원이다.</v>
      </c>
      <c r="F103" s="30">
        <f>IFERROR(VLOOKUP(C103,기출문제!D:G,4,0),"")</f>
        <v>3</v>
      </c>
      <c r="G103" s="31" t="str">
        <f t="shared" si="1"/>
        <v/>
      </c>
      <c r="J103" s="23"/>
    </row>
    <row r="104" spans="2:10" s="21" customFormat="1" ht="114" x14ac:dyDescent="0.3">
      <c r="B104" s="17">
        <v>97</v>
      </c>
      <c r="C104" s="27" t="s">
        <v>957</v>
      </c>
      <c r="D104" s="17"/>
      <c r="E104" s="29" t="str">
        <f>IFERROR(VLOOKUP(C104,기출문제!D:G,3,0),"")</f>
        <v>82. 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
① ㄱ: 월 통상임금의 100분의 50에 해당하는 금액, ㄴ: 120만원
② ㄱ: 월 통상임금의 100분의 80에 해당하는 금액, ㄴ: 120만원
③ ㄱ: 월 통상임금의 100분의 80에 해당하는 금액, ㄴ: 150만원
④ ㄱ: 월 통상임금에 해당하는 금액, ㄴ: 150만원
⑤ ㄱ: 월 통상임금에 해당하는 금액, ㄴ: 250만원</v>
      </c>
      <c r="F104" s="30">
        <f>IFERROR(VLOOKUP(C104,기출문제!D:G,4,0),"")</f>
        <v>5</v>
      </c>
      <c r="G104" s="31" t="str">
        <f t="shared" si="1"/>
        <v/>
      </c>
      <c r="J104" s="23"/>
    </row>
    <row r="105" spans="2:10" s="21" customFormat="1" ht="128.25" x14ac:dyDescent="0.3">
      <c r="B105" s="17">
        <v>98</v>
      </c>
      <c r="C105" s="27" t="s">
        <v>958</v>
      </c>
      <c r="D105" s="17"/>
      <c r="E105" s="29" t="str">
        <f>IFERROR(VLOOKUP(C105,기출문제!D:G,3,0),"")</f>
        <v>83. 고용보험법령상 피보험자격에 관한 내용으로 옳지 않은 것은?
① 사업주는 그 사업에 고용된 근로자의 피보험자격 취득에 관한 사항을 신고하려는 경우 그 사유가 발생한 날이 속하는 달의 다음 달 말일까지 고용노동부장관에게 신고해야 한다.
② 사업주가 그 사업에 고용된 근로자의 피보험자격의 취득에 관한 사항을 신고하지 아니하면 근로자가 근로계약서 등 고용관계를 증명할 수 있는 서류를 제출하여 신고할 수 있다.
③ 자영업자인 피보험자는 피보험자격의 취득 및 상실에 관한 신고를 하지 아니한다.
④ 근로자가 보험관계가 성립되어 있는 둘 이상의 사업에 동시에 고용되어 있는 경우에는 고용노동부령으로 정하는 바에 따라 그 중 한 사업의 근로자로서의 피보험자격을 취득한다.
⑤ 피보험자는 언제든지 고용노동부장관에게 피보험자격의 취득 또는 상실에 관한 확인을 청구할 수 있다.</v>
      </c>
      <c r="F105" s="30">
        <f>IFERROR(VLOOKUP(C105,기출문제!D:G,4,0),"")</f>
        <v>1</v>
      </c>
      <c r="G105" s="31" t="str">
        <f t="shared" si="1"/>
        <v/>
      </c>
      <c r="J105" s="23"/>
    </row>
    <row r="106" spans="2:10" s="21" customFormat="1" ht="99.75" x14ac:dyDescent="0.3">
      <c r="B106" s="17">
        <v>99</v>
      </c>
      <c r="C106" s="27" t="s">
        <v>959</v>
      </c>
      <c r="D106" s="17"/>
      <c r="E106" s="29" t="str">
        <f>IFERROR(VLOOKUP(C106,기출문제!D:G,3,0),"")</f>
        <v>84. 고용보험법령상 자영업자인 피보험자에 대한 실업급여 적용의 특례에 관한 내용으로 옳은 것은?
① 자영업자인 피보험자의 실업급여의 종류에는 광역 구직활동비가 포함되지 않는다.
② 폐업일 이전 12개월간 자영업자인 피보험자로서 갖춘 피보험 단위기간이 합산하여 6개월이면 구직급여를 지급한다.
③ 자영업자인 피보험자로서 폐업한 수급자격자에 대한 구직급여일액은 그 수급자격자의 기초일액에 100분의 60을 곱한 금액으로 한다.
④ 고용노동부장관은 자영업자의 피보험기간이 3년이면서 보험료 체납 횟수가 1회인 경우 실업급여를 지급하지 아니한다.
⑤ 자영업자의 실업급여를 받을 권리는 양도하거나 담보로 제공할 수 있다.</v>
      </c>
      <c r="F106" s="30">
        <f>IFERROR(VLOOKUP(C106,기출문제!D:G,4,0),"")</f>
        <v>3</v>
      </c>
      <c r="G106" s="31" t="str">
        <f t="shared" si="1"/>
        <v/>
      </c>
      <c r="J106" s="23"/>
    </row>
    <row r="107" spans="2:10" s="21" customFormat="1" ht="114" x14ac:dyDescent="0.3">
      <c r="B107" s="17">
        <v>100</v>
      </c>
      <c r="C107" s="27" t="s">
        <v>960</v>
      </c>
      <c r="D107" s="17"/>
      <c r="E107" s="32" t="str">
        <f>IFERROR(VLOOKUP(C107,기출문제!D:G,3,0),"")</f>
        <v>85. 산업재해보상보험법령상 특수형태근로종사자의 직종에 해당하지 않는 사람은?
① 한국표준직업분류표의 세분류에 따른 택배원인 사람으로서 소화물을 집화・수송 과정을 거쳐 배송하는 택배사업에서 집화 업무를 하는 사람
② 우체국 예금・보험에 관한 법률에 따른 우체국보험의 모집을 전업으로 하는 사람
③ 한국표준직업분류표의 세세분류에 따른 대여 제품 방문점검원
④ 한국표준직업분류표의 세분류에 다른 가전제품 설치 및 수리원으로서 가전제품을 배송, 설치 및 시운전하여 작동상태를 확인하는 사람
⑤ 신용정보의 이용 및 보호에 관한 법률에 따른 위임직채권추심인</v>
      </c>
      <c r="F107" s="30">
        <f>IFERROR(VLOOKUP(C107,기출문제!D:G,4,0),"")</f>
        <v>5</v>
      </c>
      <c r="G107" s="31" t="str">
        <f t="shared" si="1"/>
        <v/>
      </c>
      <c r="J107" s="23"/>
    </row>
    <row r="108" spans="2:10" s="21" customFormat="1" ht="99.75" x14ac:dyDescent="0.3">
      <c r="B108" s="17">
        <v>101</v>
      </c>
      <c r="C108" s="27" t="s">
        <v>961</v>
      </c>
      <c r="D108" s="17"/>
      <c r="E108" s="29" t="str">
        <f>IFERROR(VLOOKUP(C108,기출문제!D:G,3,0),"")</f>
        <v>86. 산업재해보상보험법령상 업무상질병판정위원회에 관한 내용으로 옳지 않은 것은?
① 한의사는 업무상질병판정위원회의 위원이 될 수 있다.
② 업무상질병판정위원회의 위원장과 위원의 임기는 2년으로 하되, 연임할 수 있다.
③ 이황화탄소 중독증은 업무상질병판정위원회의 심의에서 제외되는 질병에 해당한다.
④ 업무상질병판정위원회는 부득이한 사유로 심의를 의뢰받은 날부터 60일 이내에 심의를 마칠 수 없으면 20일 단위로 두 차례 연장할 수 있다.
⑤ 업무상질병판정위원회의 원활한 운영을 위하여 필요하면 위원장이 지명하는 위원이 회의를 주재할 수 있다.</v>
      </c>
      <c r="F108" s="30">
        <f>IFERROR(VLOOKUP(C108,기출문제!D:G,4,0),"")</f>
        <v>4</v>
      </c>
      <c r="G108" s="31" t="str">
        <f>IF(D108="","",IF(D108=F108,"O", "X"))</f>
        <v/>
      </c>
      <c r="J108" s="23"/>
    </row>
    <row r="109" spans="2:10" s="21" customFormat="1" ht="114" x14ac:dyDescent="0.3">
      <c r="B109" s="17">
        <v>102</v>
      </c>
      <c r="C109" s="27" t="s">
        <v>962</v>
      </c>
      <c r="D109" s="17"/>
      <c r="E109" s="29" t="str">
        <f>IFERROR(VLOOKUP(C109,기출문제!D:G,3,0),"")</f>
        <v>87. 산업재해보상보험법령상 보험급여에 관한 내용으로 옳지 않은 것은?
① 장해보상연금의 수급권자가 재요양을 받는 경우에도 그 연금의 지급을 정지하지 아니한다.
② 진폐유족연금의 지급은 그 지급사유가 발생한 달의 다음 달 첫날부터 시작된다.
③ 유족보상연금 수급자격자인 손자녀가 25세가 된 때에는 그 자격을 잃는다.
④ 요양급여를 받는 근로자가 요양을 시작한 지 1년이 지난 이후에 취업하지 못하면 휴업급여 대신 상병보상연금을 그 근로자에게 지급한다.
⑤ 장해보상연금은 그 지급을 정지할 사유가 발생한 때에는 그 사유가 발생한 달의 다음 달 첫날부터 그 사유가 소멸한 달의 말일까지 지급하지 아니한다.</v>
      </c>
      <c r="F109" s="30">
        <f>IFERROR(VLOOKUP(C109,기출문제!D:G,4,0),"")</f>
        <v>4</v>
      </c>
      <c r="G109" s="31" t="str">
        <f t="shared" si="1"/>
        <v/>
      </c>
      <c r="J109" s="23"/>
    </row>
    <row r="110" spans="2:10" s="21" customFormat="1" ht="156.75" x14ac:dyDescent="0.3">
      <c r="B110" s="17">
        <v>103</v>
      </c>
      <c r="C110" s="27" t="s">
        <v>963</v>
      </c>
      <c r="D110" s="17"/>
      <c r="E110" s="29" t="str">
        <f>IFERROR(VLOOKUP(C110,기출문제!D:G,3,0),"")</f>
        <v>88. 산업재해보상보험법령상 진폐에 따른 보험급여의 종류에 해당하는 것을 모두 고른 것은?
ㄱ. 요양급여
ㄴ. 휴업급여
ㄷ. 장해급여
ㄹ. 간병급여
ㅁ. 유족급여
① ㄱ, ㄹ
② ㄱ, ㄴ, ㅁ
③ ㄴ, ㄹ, ㅁ
④ ㄴ, ㄷ, ㄹ, ㅁ
⑤ ㄱ, ㄴ, ㄷ, ㄹ, ㅁ</v>
      </c>
      <c r="F110" s="30">
        <f>IFERROR(VLOOKUP(C110,기출문제!D:G,4,0),"")</f>
        <v>1</v>
      </c>
      <c r="G110" s="31" t="str">
        <f t="shared" si="1"/>
        <v/>
      </c>
      <c r="J110" s="23"/>
    </row>
    <row r="111" spans="2:10" s="21" customFormat="1" ht="85.5" x14ac:dyDescent="0.3">
      <c r="B111" s="17">
        <v>104</v>
      </c>
      <c r="C111" s="27" t="s">
        <v>964</v>
      </c>
      <c r="D111" s="17"/>
      <c r="E111" s="29" t="str">
        <f>IFERROR(VLOOKUP(C111,기출문제!D:G,3,0),"")</f>
        <v>89. 산업재해보상보험법령상 과태료 부과 대상이 되는 자는?
① 근로복지공단의 임직원이나 그 직에 있었던 사람이 그 직무상 알게 된 비밀을 누설한 자
② 산재보험 의료기관의 종사자로서 거짓이나 그 밖의 부정한 방법으로 진료비를 지급받은 자
③ 거짓이나 그 밖의 부정한 방법으로 보험급여를 받도록 시키거나 도와준 자
④ 근로복지공단이 아닌 자가 근로복지공단과 비슷한 명칭을 사용한 자
⑤ 근로자가 보험급여를 신청한 것을 이유로 근로자를 해고한 사업주</v>
      </c>
      <c r="F111" s="30">
        <f>IFERROR(VLOOKUP(C111,기출문제!D:G,4,0),"")</f>
        <v>4</v>
      </c>
      <c r="G111" s="31" t="str">
        <f t="shared" si="1"/>
        <v/>
      </c>
      <c r="J111" s="23"/>
    </row>
    <row r="112" spans="2:10" s="21" customFormat="1" ht="128.25" x14ac:dyDescent="0.3">
      <c r="B112" s="17">
        <v>105</v>
      </c>
      <c r="C112" s="27" t="s">
        <v>965</v>
      </c>
      <c r="D112" s="17"/>
      <c r="E112" s="29" t="str">
        <f>IFERROR(VLOOKUP(C112,기출문제!D:G,3,0),"")</f>
        <v>90. 산업재해보상보험법령상 간병 및 이송에 관한 내용으로 옳지 않은 것은?
① 요양 중인 근로자가 회복실에서 요양 중인 경우 그 기간에는 별도의 간병을 제공하지 않는다.
② 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
③ 해당 근로자의 13세 이상의 자녀 또는 형제자매도 간병을 할 수 있는 사람이다.
④ 간병의 대상이 되는 근로자의 부상・질병 상태 등이 전문적인 간병을 필요로 하는 경우에는 의료법에 따른 간호사만 간병을 하도록 할 수 있다.
⑤ 해당 근로자의 부상・질병 상태로 보아 이송 시 간호인의 동행이 필요하다고 인정되는 경우에는 간호인 1명이 동행할 수 있으나, 의학적으로 특별히 필요하다고 인정되는 경우에는 2명까지 동행할 수 있다.</v>
      </c>
      <c r="F112" s="30">
        <f>IFERROR(VLOOKUP(C112,기출문제!D:G,4,0),"")</f>
        <v>4</v>
      </c>
      <c r="G112" s="31" t="str">
        <f t="shared" si="1"/>
        <v/>
      </c>
      <c r="J112" s="23"/>
    </row>
    <row r="113" spans="2:10" s="21" customFormat="1" ht="114" x14ac:dyDescent="0.3">
      <c r="B113" s="17">
        <v>106</v>
      </c>
      <c r="C113" s="27" t="s">
        <v>966</v>
      </c>
      <c r="D113" s="17"/>
      <c r="E113" s="29" t="str">
        <f>IFERROR(VLOOKUP(C113,기출문제!D:G,3,0),"")</f>
        <v>91. 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
① 55
② 60
③ 65
④ 70
⑤ 75</v>
      </c>
      <c r="F113" s="30">
        <f>IFERROR(VLOOKUP(C113,기출문제!D:G,4,0),"")</f>
        <v>3</v>
      </c>
      <c r="G113" s="31" t="str">
        <f t="shared" si="1"/>
        <v/>
      </c>
      <c r="J113" s="23"/>
    </row>
    <row r="114" spans="2:10" s="21" customFormat="1" ht="85.5" x14ac:dyDescent="0.3">
      <c r="B114" s="17">
        <v>107</v>
      </c>
      <c r="C114" s="27" t="s">
        <v>967</v>
      </c>
      <c r="D114" s="17"/>
      <c r="E114" s="29" t="str">
        <f>IFERROR(VLOOKUP(C114,기출문제!D:G,3,0),"")</f>
        <v>92. 국민연금법령에 관한 내용으로 옳지 않은 것은?
① 국민기초생활 보장법에 따른 생계급여 수급자는 지역가입자에서 제외된다.
② 지역가입자가 국적을 상실한 때에는 그에 해당하게 된 날에 그 자격을 상실한다.
③ 지역가입자가 사업장가입자의 자격을 취득한 때에는 그에 해당하게 된 날에 그 자격을 상실한다.
④ 임의가입자는 가입 신청이 수리된 날에 자격을 취득한다.
⑤ 사립학교교직원 연금법을 적용받는 사립학교 교직원은 국민연금 가입대상에서 제외된다.</v>
      </c>
      <c r="F114" s="30">
        <f>IFERROR(VLOOKUP(C114,기출문제!D:G,4,0),"")</f>
        <v>2</v>
      </c>
      <c r="G114" s="31" t="str">
        <f t="shared" si="1"/>
        <v/>
      </c>
      <c r="J114" s="23"/>
    </row>
    <row r="115" spans="2:10" s="21" customFormat="1" ht="85.5" x14ac:dyDescent="0.3">
      <c r="B115" s="17">
        <v>108</v>
      </c>
      <c r="C115" s="27" t="s">
        <v>968</v>
      </c>
      <c r="D115" s="17"/>
      <c r="E115" s="29" t="str">
        <f>IFERROR(VLOOKUP(C115,기출문제!D:G,3,0),"")</f>
        <v>93. 국민건강보험법령상 일반건강검진의 대상이 아닌 자는?
① 직장가입자
② 6세 미만의 피부양자
③ 20세 이상인 지역가입자
④ 20세 이상인 피부양자
⑤ 세대주인 지역가입자</v>
      </c>
      <c r="F115" s="30">
        <f>IFERROR(VLOOKUP(C115,기출문제!D:G,4,0),"")</f>
        <v>2</v>
      </c>
      <c r="G115" s="31" t="str">
        <f t="shared" si="1"/>
        <v/>
      </c>
      <c r="J115" s="23"/>
    </row>
    <row r="116" spans="2:10" s="21" customFormat="1" ht="142.5" x14ac:dyDescent="0.3">
      <c r="B116" s="17">
        <v>109</v>
      </c>
      <c r="C116" s="27" t="s">
        <v>969</v>
      </c>
      <c r="D116" s="17"/>
      <c r="E116" s="29" t="str">
        <f>IFERROR(VLOOKUP(C116,기출문제!D:G,3,0),"")</f>
        <v>94. 국민건강보험법령상 보험가입자의 자격 상실 시기로 옳은 것을 모두 고른 것은?
ㄱ. 사망한 날
ㄴ. 국적을 잃은 날
ㄷ. 국내에 거주하지 아니하게 된 날
ㄹ. 직장가입자의 피부양자가 된 날
① ㄹ
② ㄱ, ㄷ
③ ㄱ, ㄴ, ㄷ
④ ㄴ, ㄷ, ㄹ
⑤ ㄱ, ㄴ, ㄷ, ㄹ</v>
      </c>
      <c r="F116" s="30">
        <f>IFERROR(VLOOKUP(C116,기출문제!D:G,4,0),"")</f>
        <v>1</v>
      </c>
      <c r="G116" s="31" t="str">
        <f t="shared" si="1"/>
        <v/>
      </c>
      <c r="J116" s="23"/>
    </row>
    <row r="117" spans="2:10" s="21" customFormat="1" ht="99.75" x14ac:dyDescent="0.3">
      <c r="B117" s="17">
        <v>110</v>
      </c>
      <c r="C117" s="27" t="s">
        <v>970</v>
      </c>
      <c r="D117" s="17"/>
      <c r="E117" s="29" t="str">
        <f>IFERROR(VLOOKUP(C117,기출문제!D:G,3,0),"")</f>
        <v>95. 고용보험 및 산업재해보상보험의 보험료 징수 등에 관한 법령상 보험료의 부과 및 징수에 관한 내용으로 옳은 것은?
① 건설업 중 건설장비운영업은 보험료의 월별 부과・징수 제외대상 사업에 해당한다.
② 임업 중 벌목업은 보험료의 월별 부과・징수 대상 사업에 해당한다.
③ 근로복지공단은 사업주에게 납부기한 20일 전까지 월별보험료의 납입을 고지하여야 한다.
④ 장애인고용촉진 및 직업재활법상 장애인인 보험가입자의 보험료는 근로복지공단이 매월 부과하고, 한국장애인고용공단이 이를 징수한다.
⑤ 제조업의 보험료는 근로복지공단이 매월 부과하고, 국민건강보험공단이 이를 징수한다.</v>
      </c>
      <c r="F117" s="30">
        <f>IFERROR(VLOOKUP(C117,기출문제!D:G,4,0),"")</f>
        <v>5</v>
      </c>
      <c r="G117" s="31" t="str">
        <f t="shared" si="1"/>
        <v/>
      </c>
      <c r="J117" s="23"/>
    </row>
    <row r="118" spans="2:10" s="21" customFormat="1" ht="128.25" x14ac:dyDescent="0.3">
      <c r="B118" s="17">
        <v>111</v>
      </c>
      <c r="C118" s="27" t="s">
        <v>971</v>
      </c>
      <c r="D118" s="17"/>
      <c r="E118" s="29" t="str">
        <f>IFERROR(VLOOKUP(C118,기출문제!D:G,3,0),"")</f>
        <v>96. 고용보험 및 산업재해보상보험의 보험료 징수 등에 관한 법령상 보험료의 납부 등에 관한 내용으로 옳지 않은 것은?
① 법인이 합병한 경우에 합병 후 존속하는 법인은 합병으로 소멸된 법인이 내야 하는 보험료를 낼 의무를 진다.
② 근로복지공단은 사업주가 국세를 체납하여 체납처분을 받은 경우에는 보험료와 이 법에 따른 징수금 총액이 300만원 미만이면 납부기한 전이라도 즉시 보험료를 징수하여야 한다.
③ 국민건강보험공단은 소멸시효가 완성된 경우에는 고용노동부장관의 승인을 받아 보험료와 이 법에 따른 그 밖의 징수금을 결손처분할 수 있다.
④ 공동사업에 관계되는 보험료, 이 법에 따른 그 밖의 징수금과 체납처분비는 공동사업자가 연대하여 낼 의무를 진다.
⑤ 상속이 개시된 때에 그 상속인은 피상속인에게 부과되거나 피상속인이 내야 하는 보험료를 상속받은 재산의 한도에서 낼 의무를 진다.</v>
      </c>
      <c r="F118" s="30">
        <f>IFERROR(VLOOKUP(C118,기출문제!D:G,4,0),"")</f>
        <v>2</v>
      </c>
      <c r="G118" s="31" t="str">
        <f t="shared" si="1"/>
        <v/>
      </c>
      <c r="J118" s="23"/>
    </row>
    <row r="119" spans="2:10" s="21" customFormat="1" ht="128.25" x14ac:dyDescent="0.3">
      <c r="B119" s="17">
        <v>112</v>
      </c>
      <c r="C119" s="27" t="s">
        <v>972</v>
      </c>
      <c r="D119" s="17"/>
      <c r="E119" s="29" t="str">
        <f>IFERROR(VLOOKUP(C119,기출문제!D:G,3,0),"")</f>
        <v>97. 고용보험 및 산업재해보상보험의 보험료 징수 등에 관한 법령상 보험관계의 성립일 또는 소멸일에 관한 내용으로 옳지 않은 것은?
① 사업이 폐업되거나 끝난 날의 다음 날에 소멸한다.
② 일괄적용을 받는 사업의 경우에는 처음 하는 사업이 시작된 날에 성립한다.
③ 근로복지공단이 계속하여 보험관계를 유지할 수 없다고 인정하여 그 보험관계를 소멸시키는 경우에는 그 소멸을 결정・통지한 날의 다음 날에 소멸한다.
④ 근로복지공단의 승인을 얻어 가입한 보험계약을 해지하는 경우에는 그 해지에 관하여 근로복지공단의 승인을 받은 날의 다음 날에 소멸한다.
⑤ 보험에 가입한 하수급인의 경우에는 그 하도급공사의 착공일의 다음 날에 성립한다.</v>
      </c>
      <c r="F119" s="30">
        <f>IFERROR(VLOOKUP(C119,기출문제!D:G,4,0),"")</f>
        <v>5</v>
      </c>
      <c r="G119" s="31" t="str">
        <f t="shared" si="1"/>
        <v/>
      </c>
      <c r="J119" s="23"/>
    </row>
    <row r="120" spans="2:10" s="21" customFormat="1" ht="156.75" x14ac:dyDescent="0.3">
      <c r="B120" s="17">
        <v>113</v>
      </c>
      <c r="C120" s="27" t="s">
        <v>973</v>
      </c>
      <c r="D120" s="17"/>
      <c r="E120" s="29" t="str">
        <f>IFERROR(VLOOKUP(C120,기출문제!D:G,3,0),"")</f>
        <v>98. 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
① ㄱ, ㄴ
② ㄴ, ㄷ
③ ㄱ, ㄴ, ㄹ
④ ㄱ, ㄷ, ㄹ
⑤ ㄱ, ㄴ, ㄷ, ㄹ</v>
      </c>
      <c r="F120" s="30">
        <f>IFERROR(VLOOKUP(C120,기출문제!D:G,4,0),"")</f>
        <v>5</v>
      </c>
      <c r="G120" s="31" t="str">
        <f t="shared" si="1"/>
        <v/>
      </c>
      <c r="J120" s="23"/>
    </row>
    <row r="121" spans="2:10" s="21" customFormat="1" ht="99.75" x14ac:dyDescent="0.3">
      <c r="B121" s="17">
        <v>114</v>
      </c>
      <c r="C121" s="27" t="s">
        <v>974</v>
      </c>
      <c r="D121" s="17"/>
      <c r="E121" s="29" t="str">
        <f>IFERROR(VLOOKUP(C121,기출문제!D:G,3,0),"")</f>
        <v>99. 고용보험 및 산업재해보상보험의 보험료 징수 등에 관한 법령상 국가・지방자치단체가 직접 하는 사업의 고용안정・직업능력개발사업의 보험료율은?
① 1만분의 25
② 1만분의 45
③ 1만분의 65
④ 1만분의 85
⑤ 1천분의 16</v>
      </c>
      <c r="F121" s="30">
        <f>IFERROR(VLOOKUP(C121,기출문제!D:G,4,0),"")</f>
        <v>4</v>
      </c>
      <c r="G121" s="31" t="str">
        <f t="shared" si="1"/>
        <v/>
      </c>
      <c r="J121" s="23"/>
    </row>
    <row r="122" spans="2:10" s="21" customFormat="1" ht="85.5" x14ac:dyDescent="0.3">
      <c r="B122" s="17">
        <v>115</v>
      </c>
      <c r="C122" s="27" t="s">
        <v>975</v>
      </c>
      <c r="D122" s="17"/>
      <c r="E122" s="29" t="str">
        <f>IFERROR(VLOOKUP(C122,기출문제!D:G,3,0),"")</f>
        <v>100. 고용보험 및 산업재해보상보험의 보험료 징수 등에 관한 법령상 소멸시효에 관한 내용을 옳지 않은 것은?
① 월별보험료의 고지로 중단된 소멸시효는 월별보험료를 고지한 날부터 새로 진행한다.
② 소멸시효에 관하여는 이 법에 규정된 것을 제외하고는 민법에 따른다.
③ 징수금의 독촉에 따라 중단된 소멸시효는 독촉에 의한 납부기한이 지난 때부터 새로 진행한다.
④ 이 법에 따른 그 밖의 징수금을 징수할 수 있는 권리는 3년간 행사하지 아니하면 시효로 인하여 소멸한다.
⑤ 이 법에 따른 체납처분 절차에 따라 하는 교부청구로 중단된 소멸시효는 교부청구중의 기간이 지난 때부터 새로 진행한다.</v>
      </c>
      <c r="F122" s="30">
        <f>IFERROR(VLOOKUP(C122,기출문제!D:G,4,0),"")</f>
        <v>1</v>
      </c>
      <c r="G122" s="31" t="str">
        <f t="shared" si="1"/>
        <v/>
      </c>
      <c r="J122" s="23"/>
    </row>
    <row r="123" spans="2:10" s="21" customFormat="1" ht="85.5" x14ac:dyDescent="0.3">
      <c r="B123" s="17">
        <v>116</v>
      </c>
      <c r="C123" s="27" t="s">
        <v>85</v>
      </c>
      <c r="D123" s="17"/>
      <c r="E123" s="29" t="str">
        <f>IFERROR(VLOOKUP(C123,기출문제!D:G,3,0),"")</f>
        <v>76. 사회보장기본법에 관한 설명으로 옳은 것은?
① 사회보장수급권은 다른 사람에게 양도하거나 담보로 제공할 수 있으며, 이를 압류할 수 있다.
② 국내에 거주하는 외국인에게 사회보장제도를 적용할 때에는 상호주의에 따르되, 관계법령에서 정하는 바에 따른다.
③ 사회보장수급권의 포기는 원칙적으로 취소할 수 없다.
④ 국가는 사회보장제도의 안정적인 운영을 위하여 중장기 사회보장 재정추계를 3년마다 실시한다.
⑤ 공공부조란 국민에게 발생하는 사회적 위험을 보험의 방식으로 대처함으로써 국민의 건강과 소득을 보장하는 제도를 말한다.</v>
      </c>
      <c r="F123" s="30">
        <f>IFERROR(VLOOKUP(C123,기출문제!D:G,4,0),"")</f>
        <v>2</v>
      </c>
      <c r="G123" s="31" t="str">
        <f t="shared" si="1"/>
        <v/>
      </c>
      <c r="J123" s="23"/>
    </row>
    <row r="124" spans="2:10" s="21" customFormat="1" ht="114" x14ac:dyDescent="0.3">
      <c r="B124" s="17">
        <v>117</v>
      </c>
      <c r="C124" s="27" t="s">
        <v>976</v>
      </c>
      <c r="D124" s="17"/>
      <c r="E124" s="29" t="str">
        <f>IFERROR(VLOOKUP(C124,기출문제!D:G,3,0),"")</f>
        <v>77. 사회보장기본법상 사회보장 기본계획에 관한 설명으로 옳지 않은 것은?
① 사회보장 기본계획은 사회보장위원회와 국무회의의 심의를 거쳐 확정된다.
② 다른 법령에 따라 수립되는 사회보장에 관한 계획은 사회보장 기본계획에 우선한다.
③ 보건복지부장관은 관계 중앙행정기관의 장과 협의하여 사회보장 증진을 위하여 사회보장에 관한 기본계획을 5년마다 수립하여야 한다.
④ 사회보장 기본계획에는 사회보장 전달체계가 포함되어야 한다.
⑤ 보건복지부장관 및 관계 중앙행정기관의 장은 사회보장 기본계획에 따라 사회보장과 관련된 소관 주요 시책의 시행계획을 매년 수립・시행하여야 한다.</v>
      </c>
      <c r="F124" s="30">
        <f>IFERROR(VLOOKUP(C124,기출문제!D:G,4,0),"")</f>
        <v>2</v>
      </c>
      <c r="G124" s="31" t="str">
        <f t="shared" si="1"/>
        <v/>
      </c>
      <c r="J124" s="23"/>
    </row>
    <row r="125" spans="2:10" s="21" customFormat="1" ht="85.5" x14ac:dyDescent="0.3">
      <c r="B125" s="17">
        <v>118</v>
      </c>
      <c r="C125" s="27" t="s">
        <v>977</v>
      </c>
      <c r="D125" s="17"/>
      <c r="E125" s="29" t="str">
        <f>IFERROR(VLOOKUP(C125,기출문제!D:G,3,0),"")</f>
        <v>78. 사회보장기본법령상 사회보장위원회에 관한 설명으로 옳지 않은 것은?
① 국무총리 소속으로 둔다.
② 부위원장은 기획재정부장관, 교육부장관 및 보건복지부장관이 된다.
③ 보궐위원의 임기는 전임자 임기의 남은 기간으로 한다.
④ 사무 처리를 위한 사무국은 보건복지부에 둔다.
⑤ 심의사항을 전문적으로 검토하기 위하여 전문위원회를 두며, 전문위원회에 분야별 실무위원회를 둔다.</v>
      </c>
      <c r="F125" s="30">
        <f>IFERROR(VLOOKUP(C125,기출문제!D:G,4,0),"")</f>
        <v>5</v>
      </c>
      <c r="G125" s="31" t="str">
        <f t="shared" si="1"/>
        <v/>
      </c>
      <c r="J125" s="23"/>
    </row>
    <row r="126" spans="2:10" s="21" customFormat="1" ht="128.25" x14ac:dyDescent="0.3">
      <c r="B126" s="17">
        <v>119</v>
      </c>
      <c r="C126" s="27" t="s">
        <v>978</v>
      </c>
      <c r="D126" s="17"/>
      <c r="E126" s="29" t="str">
        <f>IFERROR(VLOOKUP(C126,기출문제!D:G,3,0),"")</f>
        <v>79. 고용보험법상 구직급여에 관한 설명으로 옳지 않은 것은?
① 피보험 단위기간을 계산할 때, 최후로 피보험자격을 취득한 날 이전에 구직급여를 받은 사실이 있는 경우에는 그 구직급여와 관련된 피보험자격 상실일 이전의 피보험 단위기간은 산입한다.
② 최종 이직 당시 건설일용근로자였던 피보험자가 구직급여를 받으려는 경우에는 건설일용근로자로서 수급자격 인정신청일 이전 14일간 연속하여 근로내역이 없어야 한다.
③ 구직급여를 지급받으려는 자는 이직 후 지체없이 직업안정기관에 출석하여 실업을 신고하여야 한다.
④ 직업안정기관의 장은 필요하다고 인정하면 수급자격자의 실업인정대상기간 중의 취업사실에 대하여 조사할 수 있다.
⑤ 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v>
      </c>
      <c r="F126" s="30">
        <f>IFERROR(VLOOKUP(C126,기출문제!D:G,4,0),"")</f>
        <v>1</v>
      </c>
      <c r="G126" s="31" t="str">
        <f t="shared" si="1"/>
        <v/>
      </c>
      <c r="J126" s="23"/>
    </row>
    <row r="127" spans="2:10" s="21" customFormat="1" ht="142.5" x14ac:dyDescent="0.3">
      <c r="B127" s="17">
        <v>120</v>
      </c>
      <c r="C127" s="27" t="s">
        <v>979</v>
      </c>
      <c r="D127" s="17"/>
      <c r="E127" s="29" t="str">
        <f>IFERROR(VLOOKUP(C127,기출문제!D:G,3,0),"")</f>
        <v>80. 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
① 30
② 40
③ 50
④ 60
⑤ 70</v>
      </c>
      <c r="F127" s="30">
        <f>IFERROR(VLOOKUP(C127,기출문제!D:G,4,0),"")</f>
        <v>3</v>
      </c>
      <c r="G127" s="31" t="str">
        <f t="shared" si="1"/>
        <v/>
      </c>
      <c r="J127" s="23"/>
    </row>
    <row r="128" spans="2:10" s="21" customFormat="1" ht="85.5" x14ac:dyDescent="0.3">
      <c r="B128" s="17">
        <v>121</v>
      </c>
      <c r="C128" s="27" t="s">
        <v>980</v>
      </c>
      <c r="D128" s="17"/>
      <c r="E128" s="29" t="str">
        <f>IFERROR(VLOOKUP(C128,기출문제!D:G,3,0),"")</f>
        <v>81. 고용보험법령상 육아휴직 급여 신청기간의 연장 사유가 아닌 것은?
① 천재지변
② 배우자의 질병・부상
③ 「병역법」에 따른 의무복무
④ 범죄혐의로 인한 구속
⑤ 배우자의 국외발령 등에 따른 동거 목적의 거소 이전</v>
      </c>
      <c r="F128" s="30">
        <f>IFERROR(VLOOKUP(C128,기출문제!D:G,4,0),"")</f>
        <v>5</v>
      </c>
      <c r="G128" s="31" t="str">
        <f t="shared" si="1"/>
        <v/>
      </c>
      <c r="J128" s="23"/>
    </row>
    <row r="129" spans="2:10" s="21" customFormat="1" ht="85.5" x14ac:dyDescent="0.3">
      <c r="B129" s="17">
        <v>122</v>
      </c>
      <c r="C129" s="27" t="s">
        <v>981</v>
      </c>
      <c r="D129" s="17"/>
      <c r="E129" s="29" t="str">
        <f>IFERROR(VLOOKUP(C129,기출문제!D:G,3,0),"")</f>
        <v>82. 고용보험법상의 취업촉진 수당에 해당하지 않는 것은?
① 이주비
② 직업능력개발 수당
③ 구직급여
④ 광역 구직활동비
⑤ 조기(早期)재취업 수당</v>
      </c>
      <c r="F129" s="30">
        <f>IFERROR(VLOOKUP(C129,기출문제!D:G,4,0),"")</f>
        <v>3</v>
      </c>
      <c r="G129" s="31" t="str">
        <f t="shared" si="1"/>
        <v/>
      </c>
      <c r="J129" s="23"/>
    </row>
    <row r="130" spans="2:10" s="21" customFormat="1" ht="85.5" x14ac:dyDescent="0.3">
      <c r="B130" s="17">
        <v>123</v>
      </c>
      <c r="C130" s="27" t="s">
        <v>982</v>
      </c>
      <c r="D130" s="17"/>
      <c r="E130" s="29" t="str">
        <f>IFERROR(VLOOKUP(C130,기출문제!D:G,3,0),"")</f>
        <v>83. 고용보험법상 고용보험위원회에 관한 설명으로 옳은 것은?
① 근로복지공단에 고용보험위원회를 둔다.
② 심의 사항을 사전에 검토・조정하기 위하여 실무위원회를 둔다.
③ 위원장 1명을 포함한 15명 이내의 위원으로 구성한다.
④ 위원장은 고용노동부장관이 된다.
⑤ 심의 사항에는 보험제도 및 보험사업의 개선에 관한 사항이 포함된다.</v>
      </c>
      <c r="F130" s="30">
        <f>IFERROR(VLOOKUP(C130,기출문제!D:G,4,0),"")</f>
        <v>5</v>
      </c>
      <c r="G130" s="31" t="str">
        <f t="shared" si="1"/>
        <v/>
      </c>
      <c r="J130" s="23"/>
    </row>
    <row r="131" spans="2:10" s="21" customFormat="1" ht="128.25" x14ac:dyDescent="0.3">
      <c r="B131" s="17">
        <v>124</v>
      </c>
      <c r="C131" s="27" t="s">
        <v>983</v>
      </c>
      <c r="D131" s="17"/>
      <c r="E131" s="29" t="str">
        <f>IFERROR(VLOOKUP(C131,기출문제!D:G,3,0),"")</f>
        <v>84. 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
① ㄱ
② ㄱ, ㄴ
③ ㄱ, ㄷ
④ ㄴ, ㄷ
⑤ ㄱ, ㄴ, ㄷ</v>
      </c>
      <c r="F131" s="30">
        <f>IFERROR(VLOOKUP(C131,기출문제!D:G,4,0),"")</f>
        <v>4</v>
      </c>
      <c r="G131" s="31" t="str">
        <f t="shared" si="1"/>
        <v/>
      </c>
      <c r="J131" s="23"/>
    </row>
    <row r="132" spans="2:10" s="21" customFormat="1" ht="114" x14ac:dyDescent="0.3">
      <c r="B132" s="17">
        <v>125</v>
      </c>
      <c r="C132" s="27" t="s">
        <v>984</v>
      </c>
      <c r="D132" s="17"/>
      <c r="E132" s="29" t="str">
        <f>IFERROR(VLOOKUP(C132,기출문제!D:G,3,0),"")</f>
        <v>85. 고용보험법령상 구직급여와 관련한 내용이다. ( )에 들어갈 내용으로 옳은 것은?
○ 훈련연장급여의 지급 기간은 (ㄱ) 년을 한도로 한다.
○ 개별연장급여는 (ㄴ)일의 범위에서 대통령령으로 정하는 기간 동안 지급한다.
① ㄱ: 1, ㄴ: 60
② ㄱ: 1, ㄴ: 90
③ ㄱ: 2, ㄴ: 60
④ ㄱ: 2, ㄴ: 90
⑤ ㄱ: 3, ㄴ: 60</v>
      </c>
      <c r="F132" s="30">
        <f>IFERROR(VLOOKUP(C132,기출문제!D:G,4,0),"")</f>
        <v>3</v>
      </c>
      <c r="G132" s="31" t="str">
        <f t="shared" si="1"/>
        <v/>
      </c>
      <c r="J132" s="23"/>
    </row>
    <row r="133" spans="2:10" s="21" customFormat="1" ht="85.5" x14ac:dyDescent="0.3">
      <c r="B133" s="17">
        <v>126</v>
      </c>
      <c r="C133" s="27" t="s">
        <v>985</v>
      </c>
      <c r="D133" s="17"/>
      <c r="E133" s="29" t="str">
        <f>IFERROR(VLOOKUP(C133,기출문제!D:G,3,0),"")</f>
        <v>86. 산업재해보상보험법상 심사청구 및 재심사청구에 관한 설명으로 옳은 것은? 
① 재심사위원회의 재결은 근로복지공단을 기속하지 아니한다.
② 재심사위원회 위원(당연직위원은 제외)의 임기는 2년으로 하되 연임할 수 없다.
③ 보험급여에 관한 결정에 대해서는 「행정심판법」에 따른 행정심판을 제기할 수 있다.
④ 재심사위원회의 위원장 및 위원은 고용노동부장관이 임명한다.
⑤ 재심사 청구의 제기는 시효의 중단에 관하여 「민법」 제168조에 따른 재판상의 청구로 본다.</v>
      </c>
      <c r="F133" s="30">
        <f>IFERROR(VLOOKUP(C133,기출문제!D:G,4,0),"")</f>
        <v>5</v>
      </c>
      <c r="G133" s="31" t="str">
        <f t="shared" si="1"/>
        <v/>
      </c>
      <c r="J133" s="23"/>
    </row>
    <row r="134" spans="2:10" s="21" customFormat="1" ht="114" x14ac:dyDescent="0.3">
      <c r="B134" s="17">
        <v>127</v>
      </c>
      <c r="C134" s="27" t="s">
        <v>986</v>
      </c>
      <c r="D134" s="17"/>
      <c r="E134" s="29" t="str">
        <f>IFERROR(VLOOKUP(C134,기출문제!D:G,3,0),"")</f>
        <v>87. 산업재해보상보험법상 진폐에 따른 보험급여의 특례에 관한 설명으로 옳지 않은 것은?
① 고용노동부에 진폐심사회의를 둔다.
② 진폐보상연금은 진폐장해등급별 진폐장해연금과 기초연금을 합산한 금액으로 한다.
③ 진폐유족연금은 사망 당시 진폐근로자에게 지급하고 있거나 지급하기로 결정된 진폐보상연금과 같은 금액으로 하되 유족보상연금을 초과할 수 없다.
④ 근로복지공단은 근로자가 진폐에 대한 요양급여를 청구하면 「진폐의 예방과 진폐근로자의 보호 등에 관한 법률」에 따른 건강진단기관에 진폐판정에 필요한 진단을 의뢰하여야 한다.
⑤ 장해보상연금을 받고 있는 사람에게는 진폐에 대한 진단을 받는 경우 진단수당을 지급하지 아니한다.</v>
      </c>
      <c r="F134" s="30">
        <f>IFERROR(VLOOKUP(C134,기출문제!D:G,4,0),"")</f>
        <v>1</v>
      </c>
      <c r="G134" s="31" t="str">
        <f t="shared" si="1"/>
        <v/>
      </c>
      <c r="J134" s="23"/>
    </row>
    <row r="135" spans="2:10" s="21" customFormat="1" ht="128.25" x14ac:dyDescent="0.3">
      <c r="B135" s="17">
        <v>128</v>
      </c>
      <c r="C135" s="27" t="s">
        <v>987</v>
      </c>
      <c r="D135" s="17"/>
      <c r="E135" s="29" t="str">
        <f>IFERROR(VLOOKUP(C135,기출문제!D:G,3,0),"")</f>
        <v>88. 산업재해보상보험법령상 휴업급여에 관한 설명으로 옳은 것은?
① 1일당 지급액은 평균임금의 100분의 70에 상당하는 금액으로 하며 취업하지 못한 기간이 5일 이내이면 지급하지 아니한다.
② 요양을 받고 있는 근로자가 그 요양기간 중 단시간 취업을 하는 경우에는 취업한 시간에 해당하는 그 근로자의 평균임금에서 취업한 시간에 대한 임금을 뺀 금액의 100분의 70에 상당하는 금액을 지급할 수 있다.
③ 휴업급여를 받는 근로자가 60세가 되면 그 이후의 휴업급여는 감액하여 지급한다.
④ 재요양을 받는 자에 대하여는 재요양 당시의 임금을 기준으로 산정한 평균임금의 100분의 90에 상당하는 금액을 1일당 휴업급여 지급액으로 한다.
⑤ 재요양을 받는 자에 대하여 산정한 1일당 휴업급여 지급액이 최저임금액보다 적으면 최저임금액을 1일당 휴업급여 지급액으로 한다.</v>
      </c>
      <c r="F135" s="30">
        <f>IFERROR(VLOOKUP(C135,기출문제!D:G,4,0),"")</f>
        <v>5</v>
      </c>
      <c r="G135" s="31" t="str">
        <f t="shared" si="1"/>
        <v/>
      </c>
      <c r="J135" s="23"/>
    </row>
    <row r="136" spans="2:10" s="21" customFormat="1" ht="142.5" x14ac:dyDescent="0.3">
      <c r="B136" s="17">
        <v>129</v>
      </c>
      <c r="C136" s="27" t="s">
        <v>988</v>
      </c>
      <c r="D136" s="17"/>
      <c r="E136" s="29" t="str">
        <f>IFERROR(VLOOKUP(C136,기출문제!D:G,3,0),"")</f>
        <v>89. 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
① ㄱ, ㄴ
② ㄴ, ㄷ
③ ㄱ, ㄴ, ㄹ
④ ㄱ, ㄷ, ㄹ
⑤ ㄴ, ㄷ, ㄹ</v>
      </c>
      <c r="F136" s="30">
        <f>IFERROR(VLOOKUP(C136,기출문제!D:G,4,0),"")</f>
        <v>3</v>
      </c>
      <c r="G136" s="31" t="str">
        <f t="shared" si="1"/>
        <v/>
      </c>
      <c r="J136" s="23"/>
    </row>
    <row r="137" spans="2:10" s="21" customFormat="1" ht="99.75" x14ac:dyDescent="0.3">
      <c r="B137" s="17">
        <v>130</v>
      </c>
      <c r="C137" s="27" t="s">
        <v>609</v>
      </c>
      <c r="D137" s="17"/>
      <c r="E137" s="29" t="str">
        <f>IFERROR(VLOOKUP(C137,기출문제!D:G,3,0),"")</f>
        <v>90. 산업재해보상보험법상 직업재활급여에 관한 설명으로 옳은 것은?
① 직업훈련비용은 직업훈련을 받은 자에게 지급한다.
② 직업훈련비용의 금액은 고용노동부장관이 훈련비용, 훈련기간 및 노동시장의 여건 등을 고려하여 고시하는 금액의 범위에서 실제 드는 비용으로 한다.
③ 직업훈련비용을 지급하는 훈련기간은 24개월 이내로 한다.
④ 직장적응훈련비 및 재활운동비의 지급기간은 6개월 이내로 한다.
⑤ 직업훈련수당의 1일당 지급액은 평균임금의 100분의 70에 상당하는 금액으로 한다.</v>
      </c>
      <c r="F137" s="30">
        <f>IFERROR(VLOOKUP(C137,기출문제!D:G,4,0),"")</f>
        <v>2</v>
      </c>
      <c r="G137" s="31" t="str">
        <f t="shared" ref="G137:G200" si="2">IF(D137="","",IF(D137=F137,"O", "X"))</f>
        <v/>
      </c>
      <c r="J137" s="23"/>
    </row>
    <row r="138" spans="2:10" s="21" customFormat="1" ht="85.5" x14ac:dyDescent="0.3">
      <c r="B138" s="17">
        <v>131</v>
      </c>
      <c r="C138" s="27" t="s">
        <v>989</v>
      </c>
      <c r="D138" s="17"/>
      <c r="E138" s="29" t="str">
        <f>IFERROR(VLOOKUP(C138,기출문제!D:G,3,0),"")</f>
        <v>91. 산업재해보상보험법상 보험급여의 일시 중지를 할 수 있는 사유가 아닌 것은?
① 질문이나 조사에 응하지 아니하는 경우
② 보고・서류제출 또는 신고를 하지 아니하는 경우
③ 거짓이나 그 밖의 부정한 방법으로 진료비나 약제비를 지급받은 경우
④ 진찰 요구에 따르지 아니하는 경우
⑤ 근로복지공단이 직권으로 실시하는 장해등급 또는 진폐장해등급 재판정 요구에 응하지 아니하는 경우</v>
      </c>
      <c r="F138" s="30">
        <f>IFERROR(VLOOKUP(C138,기출문제!D:G,4,0),"")</f>
        <v>3</v>
      </c>
      <c r="G138" s="31" t="str">
        <f t="shared" si="2"/>
        <v/>
      </c>
      <c r="J138" s="23"/>
    </row>
    <row r="139" spans="2:10" s="21" customFormat="1" ht="85.5" x14ac:dyDescent="0.3">
      <c r="B139" s="17">
        <v>132</v>
      </c>
      <c r="C139" s="27" t="s">
        <v>990</v>
      </c>
      <c r="D139" s="17"/>
      <c r="E139" s="29" t="str">
        <f>IFERROR(VLOOKUP(C139,기출문제!D:G,3,0),"")</f>
        <v>92. 국민연금법상 가입자 자격의 상실 시기가 옳지 않은 것은?
① 사업장가입자의 경우 사용관계가 끝난 날
② 지역가입자의 경우 사망한 날의 다음 날
③ 지역가입자의 경우 국민연금가입 대상 제외자에 해당하게 된 날
④ 임의가입자의 경우 사업장 가입자의 자격을 취득한 날
⑤ 임의가입자의 경우 60세가 된 날의 다음 날</v>
      </c>
      <c r="F139" s="30">
        <f>IFERROR(VLOOKUP(C139,기출문제!D:G,4,0),"")</f>
        <v>1</v>
      </c>
      <c r="G139" s="31" t="str">
        <f t="shared" si="2"/>
        <v/>
      </c>
      <c r="J139" s="23"/>
    </row>
    <row r="140" spans="2:10" s="21" customFormat="1" ht="85.5" x14ac:dyDescent="0.3">
      <c r="B140" s="17">
        <v>133</v>
      </c>
      <c r="C140" s="27" t="s">
        <v>991</v>
      </c>
      <c r="D140" s="17"/>
      <c r="E140" s="29" t="str">
        <f>IFERROR(VLOOKUP(C140,기출문제!D:G,3,0),"")</f>
        <v>93. 국민연금법상 급여에 관한 설명으로 옳지 않은 것은?
① 급여의 종류는 노령연금, 장애연금, 유족연금, 반환일시금이 있다.
② 급여는 수급권자의 청구에 따라 국민연금공단이 지급한다.
③ 연금액은 지급사유에 따라 기본연금액과 부양가족연금액을 기초로 산정한다.
④ 연금은 매월 25일에 그 달의 금액을 지급하되, 지급일이 공휴일이면 그 다음날에 지급한다.
⑤ 급여수급전용계좌에 입금된 급여와 이에 관한 채권은 압류할 수 없다.</v>
      </c>
      <c r="F140" s="30">
        <f>IFERROR(VLOOKUP(C140,기출문제!D:G,4,0),"")</f>
        <v>4</v>
      </c>
      <c r="G140" s="31" t="str">
        <f t="shared" si="2"/>
        <v/>
      </c>
      <c r="J140" s="23"/>
    </row>
    <row r="141" spans="2:10" s="21" customFormat="1" ht="128.25" x14ac:dyDescent="0.3">
      <c r="B141" s="17">
        <v>134</v>
      </c>
      <c r="C141" s="27" t="s">
        <v>992</v>
      </c>
      <c r="D141" s="17"/>
      <c r="E141" s="29" t="str">
        <f>IFERROR(VLOOKUP(C141,기출문제!D:G,3,0),"")</f>
        <v>94. 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
① ㄴ
② ㄱ, ㄴ
③ ㄱ, ㄷ
④ ㄴ, ㄷ
⑤ ㄱ, ㄴ, ㄷ</v>
      </c>
      <c r="F141" s="30">
        <f>IFERROR(VLOOKUP(C141,기출문제!D:G,4,0),"")</f>
        <v>3</v>
      </c>
      <c r="G141" s="31" t="str">
        <f t="shared" si="2"/>
        <v/>
      </c>
      <c r="J141" s="23"/>
    </row>
    <row r="142" spans="2:10" s="21" customFormat="1" ht="85.5" x14ac:dyDescent="0.3">
      <c r="B142" s="17">
        <v>135</v>
      </c>
      <c r="C142" s="27" t="s">
        <v>993</v>
      </c>
      <c r="D142" s="17"/>
      <c r="E142" s="29" t="str">
        <f>IFERROR(VLOOKUP(C142,기출문제!D:G,3,0),"")</f>
        <v>95. 국민건강보험법상의 요양급여가 아닌 것은?
① 입원
② 이송
③ 상병수당
④ 예방・재활
⑤ 약제・치료재료의 지급</v>
      </c>
      <c r="F142" s="30">
        <f>IFERROR(VLOOKUP(C142,기출문제!D:G,4,0),"")</f>
        <v>3</v>
      </c>
      <c r="G142" s="31" t="str">
        <f t="shared" si="2"/>
        <v/>
      </c>
      <c r="J142" s="23"/>
    </row>
    <row r="143" spans="2:10" s="21" customFormat="1" ht="142.5" x14ac:dyDescent="0.3">
      <c r="B143" s="17">
        <v>136</v>
      </c>
      <c r="C143" s="27" t="s">
        <v>994</v>
      </c>
      <c r="D143" s="17"/>
      <c r="E143" s="29" t="str">
        <f>IFERROR(VLOOKUP(C143,기출문제!D:G,3,0),"")</f>
        <v>96. 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
① ㄱ: 7, ㄴ: 1
② ㄱ: 7, ㄴ: 3
③ ㄱ: 10, ㄴ: 1
④ ㄱ: 10, ㄴ: 3
⑤ ㄱ: 14, ㄴ: 1</v>
      </c>
      <c r="F143" s="30">
        <f>IFERROR(VLOOKUP(C143,기출문제!D:G,4,0),"")</f>
        <v>4</v>
      </c>
      <c r="G143" s="31" t="str">
        <f t="shared" si="2"/>
        <v/>
      </c>
      <c r="J143" s="23"/>
    </row>
    <row r="144" spans="2:10" s="21" customFormat="1" ht="171" x14ac:dyDescent="0.3">
      <c r="B144" s="17">
        <v>137</v>
      </c>
      <c r="C144" s="27" t="s">
        <v>995</v>
      </c>
      <c r="D144" s="17"/>
      <c r="E144" s="29" t="str">
        <f>IFERROR(VLOOKUP(C144,기출문제!D:G,3,0),"")</f>
        <v>97. 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
① ㄱ: 2, ㄴ: 20
② ㄱ: 2, ㄴ: 30
③ ㄱ: 3, ㄴ: 15
④ ㄱ: 3, ㄴ: 20
⑤ ㄱ: 3, ㄴ: 30</v>
      </c>
      <c r="F144" s="30">
        <f>IFERROR(VLOOKUP(C144,기출문제!D:G,4,0),"")</f>
        <v>4</v>
      </c>
      <c r="G144" s="31" t="str">
        <f t="shared" si="2"/>
        <v/>
      </c>
      <c r="J144" s="23"/>
    </row>
    <row r="145" spans="2:10" s="21" customFormat="1" ht="171" x14ac:dyDescent="0.3">
      <c r="B145" s="17">
        <v>138</v>
      </c>
      <c r="C145" s="27" t="s">
        <v>996</v>
      </c>
      <c r="D145" s="17"/>
      <c r="E145" s="29" t="str">
        <f>IFERROR(VLOOKUP(C145,기출문제!D:G,3,0),"")</f>
        <v>98. 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
① ㄱ
② ㄱ, ㄴ
③ ㄱ, ㄷ
④ ㄴ, ㄷ
⑤ ㄱ, ㄴ, ㄷ</v>
      </c>
      <c r="F145" s="30">
        <f>IFERROR(VLOOKUP(C145,기출문제!D:G,4,0),"")</f>
        <v>2</v>
      </c>
      <c r="G145" s="31" t="str">
        <f t="shared" si="2"/>
        <v/>
      </c>
      <c r="J145" s="23"/>
    </row>
    <row r="146" spans="2:10" s="21" customFormat="1" ht="128.25" x14ac:dyDescent="0.3">
      <c r="B146" s="17">
        <v>139</v>
      </c>
      <c r="C146" s="27" t="s">
        <v>997</v>
      </c>
      <c r="D146" s="17"/>
      <c r="E146" s="29" t="str">
        <f>IFERROR(VLOOKUP(C146,기출문제!D:G,3,0),"")</f>
        <v>99. 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
① ㄱ: 1, ㄴ: 1천분의 1, ㄷ : 1천분의 30
② ㄱ: 1, ㄴ: 6천분의 1, ㄷ : 1천분의 50
③ ㄱ: 1, ㄴ: 1천분의 1, ㄷ : 1천분의 90
④ ㄱ: 7, ㄴ: 1천분의 1, ㄷ : 1천분의 30
⑤ ㄱ: 7, ㄴ: 6천분의 1, ㄷ : 1천분의 90</v>
      </c>
      <c r="F146" s="30">
        <f>IFERROR(VLOOKUP(C146,기출문제!D:G,4,0),"")</f>
        <v>2</v>
      </c>
      <c r="G146" s="31" t="str">
        <f t="shared" si="2"/>
        <v/>
      </c>
      <c r="J146" s="23"/>
    </row>
    <row r="147" spans="2:10" s="21" customFormat="1" ht="128.25" x14ac:dyDescent="0.3">
      <c r="B147" s="17">
        <v>140</v>
      </c>
      <c r="C147" s="27" t="s">
        <v>998</v>
      </c>
      <c r="D147" s="17"/>
      <c r="E147" s="29" t="str">
        <f>IFERROR(VLOOKUP(C147,기출문제!D:G,3,0),"")</f>
        <v>100. 고용보험 및 산업재해보상보험의 보험료징수 등에 관한 법령상 보수총액 등의 신고와 관련한 내용으로 옳지 않은 것은?
① 보수총액신고는 문서로 함을 원칙으로 한다.
② 사업주는 근로자가 다른 사업장으로 전보되는 등 대통령령으로 정하는 사유가 발생한 때에는 그 사유 발생일부터 14일 이내에 그 사실을 근로복지공단에 신고하여야 한다.
③ 사업주는 사업의 폐지 등으로 보험관계가 소멸한 때에는 그 보험관계가 소멸한 날부터 14일 이내에 근로자에게 지급한 보수총액 등을 근로복지공단에 신고하여야 한다.
④ 사업주는 전년도에 근로자에게 지급한 보수총액 등을 매년 3월 15일까지 근로복지공단에 신고하여야 한다.
⑤ 사업주는 근로자와 고용관계를 종료한 때에는 그 근로자에게 지급한 보수총액, 고용관계 종료일 등을 그 근로자의 고용관계가 종료한 날이 속하는 달의 다음 달 15일까지 근로복지공단에 신고하여야 한다.</v>
      </c>
      <c r="F147" s="30">
        <f>IFERROR(VLOOKUP(C147,기출문제!D:G,4,0),"")</f>
        <v>1</v>
      </c>
      <c r="G147" s="31" t="str">
        <f t="shared" si="2"/>
        <v/>
      </c>
      <c r="J147" s="23"/>
    </row>
    <row r="148" spans="2:10" s="21" customFormat="1" ht="128.25" x14ac:dyDescent="0.3">
      <c r="B148" s="17">
        <v>141</v>
      </c>
      <c r="C148" s="27" t="s">
        <v>121</v>
      </c>
      <c r="D148" s="17"/>
      <c r="E148" s="29" t="str">
        <f>IFERROR(VLOOKUP(C148,기출문제!D:G,3,0),"")</f>
        <v>76. 사회보장기본법령상 사회보장제도의 운영에 관한 설명으로 옳지 않은 것은?
① 사회보험은 국가와 지방자치단체의 책임으로 시행하고, 공공부조와 사회서비스는 국가의 책임으로 시행하는 것을 원칙으로 한다.
② 국가와 지방자치단체는 효과적인 사회보장정책의 수립・시행을 위하여 사회보장에 관한 통계를 작성・관리하여야 한다.
③ 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
④ 보건복지부장관은 사회서비스의 품질기준 마련, 평가 및 개선 등의 업무를 수행하기 위하여 필요한 전담기구를 설치할 수 있다.
⑤ 국가와 지방자치단체는 개인・법인 또는 단체가 사회보장에 참여하는 데에 드는 경비의 전부 또는 일부를 지원하거나 그 업무를 수행하기 위하여 필요한 지원을 할 수 있다.</v>
      </c>
      <c r="F148" s="30">
        <f>IFERROR(VLOOKUP(C148,기출문제!D:G,4,0),"")</f>
        <v>1</v>
      </c>
      <c r="G148" s="31" t="str">
        <f t="shared" si="2"/>
        <v/>
      </c>
      <c r="J148" s="23"/>
    </row>
    <row r="149" spans="2:10" s="21" customFormat="1" ht="99.75" x14ac:dyDescent="0.3">
      <c r="B149" s="17">
        <v>142</v>
      </c>
      <c r="C149" s="27" t="s">
        <v>999</v>
      </c>
      <c r="D149" s="17"/>
      <c r="E149" s="29" t="str">
        <f>IFERROR(VLOOKUP(C149,기출문제!D:G,3,0),"")</f>
        <v>77. 사회보장기본법령상 사회보장 비용의 부담에 관한 설명으로 옳지 않은 것은?
① 사회보장 비용의 부담은 각각의 사회보장제도의 목적에 따라 국가, 지방자치단체 및 민간부문 간에 합리적으로 조정되어야 한다.
② 사회보험에 드는 비용은 사용자, 피용자 및 자영업자가 부담하는 것을 원칙으로 한다.
③ 부담 능력이 있는 국민에 대한 사회서비스에 드는 비용은 그 수익자가 부담함을 원칙으로 한다.
④ 공공부조에 드는 비용은 수익자가 부담함을 원칙으로 한다.
⑤ 공공부조 및 관계 법령에서 정하는 일정 소득 수준 이하의 국민에 대한 사회서비스에 드는 비용의 전부 또는 일부는 국가와 지방자치단체가 부담한다.</v>
      </c>
      <c r="F149" s="30">
        <f>IFERROR(VLOOKUP(C149,기출문제!D:G,4,0),"")</f>
        <v>4</v>
      </c>
      <c r="G149" s="31" t="str">
        <f t="shared" si="2"/>
        <v/>
      </c>
      <c r="J149" s="23"/>
    </row>
    <row r="150" spans="2:10" s="21" customFormat="1" ht="99.75" x14ac:dyDescent="0.3">
      <c r="B150" s="17">
        <v>143</v>
      </c>
      <c r="C150" s="27" t="s">
        <v>1000</v>
      </c>
      <c r="D150" s="17"/>
      <c r="E150" s="29" t="str">
        <f>IFERROR(VLOOKUP(C150,기출문제!D:G,3,0),"")</f>
        <v>78. 사회보험 관련법령의 적용에 관한 내용으로 옳지 않은 것은?
① 사립학교교직원 연금법의 적용을 받는 자에게는 고용보험법을 적용하지 아니한다.
② 1개월 미만 동안 고용된 일용근로자는 고용보험법의 적용이 제외되는 근로자이다.
③ 국민연금에 가입된 사업장에 종사하는 18세 미만 근로자는 사업장가입자가 되는 것으로 보나, 본인이 원하지 아니하면 사업장가입자가 되지 아니할 수 있다.
④ 비상근 근로자는 국민건강보험법의 직장가입자에서 제외된다.
⑤ 1개월 동안의 소정근로시간이 60시간 미만인 단시간근로자는 국민건강보험법의 직장가입자에서 제외된다.</v>
      </c>
      <c r="F150" s="30">
        <f>IFERROR(VLOOKUP(C150,기출문제!D:G,4,0),"")</f>
        <v>2</v>
      </c>
      <c r="G150" s="31" t="str">
        <f t="shared" si="2"/>
        <v/>
      </c>
      <c r="J150" s="23"/>
    </row>
    <row r="151" spans="2:10" s="21" customFormat="1" ht="99.75" x14ac:dyDescent="0.3">
      <c r="B151" s="17">
        <v>144</v>
      </c>
      <c r="C151" s="27" t="s">
        <v>1001</v>
      </c>
      <c r="D151" s="17"/>
      <c r="E151" s="29" t="str">
        <f>IFERROR(VLOOKUP(C151,기출문제!D:G,3,0),"")</f>
        <v>79. 사회보장기본법령상 사회보장수급권에 관한 설명으로 옳지 않은 것은?
① 사회보장수급권은 관계 법령에서 정하는 바에 따라 다른 사람에게 양도하거나 담보로 제공할 수 없다.
② 사회보장수급권은 제한되거나 정지될 수 없으나, 관계 법령에서 따로 정하고 있는 경우에는 그러하지 아니하다.
③ 사회보장수급권이 정지되는 경우에는 정지하는 목적에 필요한 최소한의 범위에 그쳐야 한다.
④ 사회보장수급권은 포기할 수 있으나 포기한 후에는 이를 취소할 수 없다.
⑤ 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v>
      </c>
      <c r="F151" s="30">
        <f>IFERROR(VLOOKUP(C151,기출문제!D:G,4,0),"")</f>
        <v>4</v>
      </c>
      <c r="G151" s="31" t="str">
        <f t="shared" si="2"/>
        <v/>
      </c>
      <c r="J151" s="23"/>
    </row>
    <row r="152" spans="2:10" s="21" customFormat="1" ht="99.75" x14ac:dyDescent="0.3">
      <c r="B152" s="17">
        <v>145</v>
      </c>
      <c r="C152" s="27" t="s">
        <v>1002</v>
      </c>
      <c r="D152" s="17"/>
      <c r="E152" s="29" t="str">
        <f>IFERROR(VLOOKUP(C152,기출문제!D:G,3,0),"")</f>
        <v>80. 고용보험법령의 내용으로 옳지 않은 것은?
① 국민기초생활 보장법에 따라 자활을 위한 근로기회를 제공하기 위한 사업은 고용보험법의 적용을 받는 사업으로 본다.
② 국가는 매년 고용보험사업에 드는 비용의 일부를 일반회계에서 부담하여야 한다.
③ 피보험자가 사망한 경우에는 사망한 날에 그 피보험자격을 상실한다.
④ 고용보험법에 따른 보험관계의 성립 및 소멸에 대하여는 고용보험 및 산업재해보상보험의 보험료징수 등에 관한 법률로 정하는 바에 따른다.
⑤ 구직급여는 수급자격자가 실업한 상태에 있는 날 중에서 직업안정기관의 장으로부터 실업의 인정을 받은 날에 대하여 지급한다.</v>
      </c>
      <c r="F152" s="30">
        <f>IFERROR(VLOOKUP(C152,기출문제!D:G,4,0),"")</f>
        <v>3</v>
      </c>
      <c r="G152" s="31" t="str">
        <f t="shared" si="2"/>
        <v/>
      </c>
      <c r="J152" s="23"/>
    </row>
    <row r="153" spans="2:10" s="21" customFormat="1" ht="85.5" x14ac:dyDescent="0.3">
      <c r="B153" s="17">
        <v>146</v>
      </c>
      <c r="C153" s="27" t="s">
        <v>1003</v>
      </c>
      <c r="D153" s="17"/>
      <c r="E153" s="29" t="str">
        <f>IFERROR(VLOOKUP(C153,기출문제!D:G,3,0),"")</f>
        <v>81. 고용보험법령상 폐업한 자영업자인 피보험자의 구직급여 수급 요건으로 옳지 않은 것은?
① 법령을 위반하여 허가 취소를 받음에 따라 폐업한 경우가 아니어야 한다.
② 폐업일 이전 18개월간 자영업자인 피보험자로서 갖춘 피보험 단위기간이 통산하여 180일 이상이어야 한다.
③ 법령을 위반하여 영업 정지를 받음에 따라 폐업한 경우가 아니어야 한다.
④ 재취업을 위한 노력을 적극적으로 하여야 한다.
⑤ 근로의 의사와 능력이 있음에도 불구하고 취업을 하지 못한 상태에 있어야 한다.</v>
      </c>
      <c r="F153" s="30">
        <f>IFERROR(VLOOKUP(C153,기출문제!D:G,4,0),"")</f>
        <v>2</v>
      </c>
      <c r="G153" s="31" t="str">
        <f t="shared" si="2"/>
        <v/>
      </c>
      <c r="J153" s="23"/>
    </row>
    <row r="154" spans="2:10" s="21" customFormat="1" ht="99.75" x14ac:dyDescent="0.3">
      <c r="B154" s="17">
        <v>147</v>
      </c>
      <c r="C154" s="27" t="s">
        <v>1004</v>
      </c>
      <c r="D154" s="17"/>
      <c r="E154" s="29" t="str">
        <f>IFERROR(VLOOKUP(C154,기출문제!D:G,3,0),"")</f>
        <v>82. 고용보험법령상 심사 및 재심사에 관한 설명으로 옳지 않은 것은?
① 실업급여에 관한 처분에 이의가 있는 자는 고용보험심사관에게 심사를 청구할 수 있다.
② 심사의 청구가 법령으로 정한 방식을 위반하여 보정하지 못할 것인 경우에 고용보험심사관은 그 심사의 청구를 결정으로 각하하여야 한다.
③ 재심사청구인은 법정대리인 외에 자신의 형제자매를 대리인으로 선임할 수 없다.
④ 심사 및 재심사의 청구는 시효중단에 관하여 재판상의 청구로 본다.
⑤ 재심사청구에 대한 심리는 공개로 하나, 당사자의 양쪽 또는 어느 한 쪽이 신청한 경우에는 공개하지 아니할 수 있다.</v>
      </c>
      <c r="F154" s="30">
        <f>IFERROR(VLOOKUP(C154,기출문제!D:G,4,0),"")</f>
        <v>3</v>
      </c>
      <c r="G154" s="31" t="str">
        <f t="shared" si="2"/>
        <v/>
      </c>
      <c r="J154" s="23"/>
    </row>
    <row r="155" spans="2:10" s="21" customFormat="1" ht="156.75" x14ac:dyDescent="0.3">
      <c r="B155" s="17">
        <v>148</v>
      </c>
      <c r="C155" s="27" t="s">
        <v>1005</v>
      </c>
      <c r="D155" s="17"/>
      <c r="E155" s="29" t="str">
        <f>IFERROR(VLOOKUP(C155,기출문제!D:G,3,0),"")</f>
        <v>83. 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
① ㄱ, ㄴ, ㅁ
② ㄴ, ㄷ, ㄹ
③ ㄷ, ㄹ, ㅁ
④ ㄱ, ㄴ, ㄷ, ㄹ
⑤ ㄱ, ㄷ, ㄹ, ㅁ</v>
      </c>
      <c r="F155" s="30">
        <f>IFERROR(VLOOKUP(C155,기출문제!D:G,4,0),"")</f>
        <v>4</v>
      </c>
      <c r="G155" s="31" t="str">
        <f t="shared" si="2"/>
        <v/>
      </c>
      <c r="J155" s="23"/>
    </row>
    <row r="156" spans="2:10" s="21" customFormat="1" ht="114" x14ac:dyDescent="0.3">
      <c r="B156" s="17">
        <v>149</v>
      </c>
      <c r="C156" s="27" t="s">
        <v>1006</v>
      </c>
      <c r="D156" s="17"/>
      <c r="E156" s="29" t="str">
        <f>IFERROR(VLOOKUP(C156,기출문제!D:G,3,0),"")</f>
        <v>84. 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
① 월보수총액
② 월보험료액
③ 3개월 평균임금
④ 월 최저임금액
⑤ 실업급여수급계좌에 입금된 금액 전액</v>
      </c>
      <c r="F156" s="30">
        <f>IFERROR(VLOOKUP(C156,기출문제!D:G,4,0),"")</f>
        <v>5</v>
      </c>
      <c r="G156" s="31" t="str">
        <f t="shared" si="2"/>
        <v/>
      </c>
      <c r="J156" s="23"/>
    </row>
    <row r="157" spans="2:10" s="21" customFormat="1" ht="85.5" x14ac:dyDescent="0.3">
      <c r="B157" s="17">
        <v>150</v>
      </c>
      <c r="C157" s="27" t="s">
        <v>1007</v>
      </c>
      <c r="D157" s="17"/>
      <c r="E157" s="29" t="str">
        <f>IFERROR(VLOOKUP(C157,기출문제!D:G,3,0),"")</f>
        <v>85. 산업재해보상보험법령상 보험급여 중 시효의 완성 기간이 다른 것은?
① 요양급여를 받을 권리
② 간병급여를 받을 권리
③ 상병보상연금을 받을 권리
④ 장례비를 받을 권리
⑤ 직업재활급여를 받을 권리</v>
      </c>
      <c r="F157" s="30">
        <f>IFERROR(VLOOKUP(C157,기출문제!D:G,4,0),"")</f>
        <v>4</v>
      </c>
      <c r="G157" s="31" t="str">
        <f t="shared" si="2"/>
        <v/>
      </c>
      <c r="J157" s="23"/>
    </row>
    <row r="158" spans="2:10" s="21" customFormat="1" ht="142.5" x14ac:dyDescent="0.3">
      <c r="B158" s="17">
        <v>151</v>
      </c>
      <c r="C158" s="27" t="s">
        <v>1008</v>
      </c>
      <c r="D158" s="17"/>
      <c r="E158" s="29" t="str">
        <f>IFERROR(VLOOKUP(C158,기출문제!D:G,3,0),"")</f>
        <v>86. 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
① ㄱ, ㄴ
② ㄱ, ㄹ
③ ㄴ, ㄷ
④ ㄱ, ㄷ, ㄹ
⑤ ㄱ, ㄴ, ㄷ, ㄹ</v>
      </c>
      <c r="F158" s="30">
        <f>IFERROR(VLOOKUP(C158,기출문제!D:G,4,0),"")</f>
        <v>5</v>
      </c>
      <c r="G158" s="31" t="str">
        <f t="shared" si="2"/>
        <v/>
      </c>
      <c r="J158" s="23"/>
    </row>
    <row r="159" spans="2:10" s="21" customFormat="1" ht="85.5" x14ac:dyDescent="0.3">
      <c r="B159" s="17">
        <v>152</v>
      </c>
      <c r="C159" s="27" t="s">
        <v>1009</v>
      </c>
      <c r="D159" s="17"/>
      <c r="E159" s="32" t="str">
        <f>IFERROR(VLOOKUP(C159,기출문제!D:G,3,0),"")</f>
        <v>87. 산업재해보상보험법령상 특수형태근로종사자의 범위에 해당하지 않는 자는?
① 한국표준직업분류표의 세세분류에 따른 학습지 교사
② 택배업을 하는 사람으로서 둘 이상의 퀵서비스업자로부터 업무를 의뢰받아 직원을 채용하여 배송 업무를 하는 사람
③ 보험을 모집하는 보험업법에 따른 보험설계사
④ 체육시설의 설치・이용에 관한 법률에 따라 직장체육시설로 설치된 골프장에서 골프경기를 보조하는 골프장 캐디
⑤ 여신전문금융업법에 따른 신용카드회원 모집인</v>
      </c>
      <c r="F159" s="30">
        <f>IFERROR(VLOOKUP(C159,기출문제!D:G,4,0),"")</f>
        <v>2</v>
      </c>
      <c r="G159" s="31" t="str">
        <f t="shared" si="2"/>
        <v/>
      </c>
      <c r="J159" s="23"/>
    </row>
    <row r="160" spans="2:10" s="21" customFormat="1" ht="85.5" x14ac:dyDescent="0.3">
      <c r="B160" s="17">
        <v>153</v>
      </c>
      <c r="C160" s="27" t="s">
        <v>1010</v>
      </c>
      <c r="D160" s="17"/>
      <c r="E160" s="29" t="str">
        <f>IFERROR(VLOOKUP(C160,기출문제!D:G,3,0),"")</f>
        <v>88. 산업재해보상보험법령상 심사청구의 대상이 아닌 것은?
① 약제비에 관한 결정
② 보험급여에 관한 결정
③ 보험료 부과에 관한 결정
④ 수급권의 대위에 관한 결정
⑤ 부당이득의 징수에 관한 결정</v>
      </c>
      <c r="F160" s="30">
        <f>IFERROR(VLOOKUP(C160,기출문제!D:G,4,0),"")</f>
        <v>3</v>
      </c>
      <c r="G160" s="31" t="str">
        <f t="shared" si="2"/>
        <v/>
      </c>
      <c r="J160" s="23"/>
    </row>
    <row r="161" spans="2:10" s="21" customFormat="1" ht="85.5" x14ac:dyDescent="0.3">
      <c r="B161" s="17">
        <v>154</v>
      </c>
      <c r="C161" s="27" t="s">
        <v>1011</v>
      </c>
      <c r="D161" s="17"/>
      <c r="E161" s="29" t="str">
        <f>IFERROR(VLOOKUP(C161,기출문제!D:G,3,0),"")</f>
        <v>89. 산업재해보상보험법령상 보험급여에 관한 설명으로 옳은 것은?
① 부상 또는 질병이 7일 이내의 요양으로 치유될 수 있으면 요양급여를 지급하지 아니한다.
② 요양급여의 신청을 한 자는 근로복지공단이 요양급여에 관한 결정을 하기 전에는 국민건강보험법상 요양급여를 받을 수 있다.
③ 장해급여는 근로자가 업무상의 사유로 질병에 걸려 치유된 후 신체 등에 장해가 있는 경우에 한국장애인고용공단에서 지급한다.
④ 장해보상연금의 수급권자가 재요양을 받는 경우에는 그 연금의 지급을 정지한다.
⑤ 간병급여는 실제로 간병을 실시한 자에게 직접 지급한다.</v>
      </c>
      <c r="F161" s="30">
        <f>IFERROR(VLOOKUP(C161,기출문제!D:G,4,0),"")</f>
        <v>2</v>
      </c>
      <c r="G161" s="31" t="str">
        <f t="shared" si="2"/>
        <v/>
      </c>
      <c r="J161" s="23"/>
    </row>
    <row r="162" spans="2:10" s="21" customFormat="1" ht="171" x14ac:dyDescent="0.3">
      <c r="B162" s="17">
        <v>155</v>
      </c>
      <c r="C162" s="27" t="s">
        <v>1012</v>
      </c>
      <c r="D162" s="17"/>
      <c r="E162" s="29" t="str">
        <f>IFERROR(VLOOKUP(C162,기출문제!D:G,3,0),"")</f>
        <v>90. 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
① 1개
② 2개
③ 3개
④ 4개
⑤ 5개</v>
      </c>
      <c r="F162" s="30">
        <f>IFERROR(VLOOKUP(C162,기출문제!D:G,4,0),"")</f>
        <v>5</v>
      </c>
      <c r="G162" s="31" t="str">
        <f t="shared" si="2"/>
        <v/>
      </c>
      <c r="J162" s="23"/>
    </row>
    <row r="163" spans="2:10" s="21" customFormat="1" ht="142.5" x14ac:dyDescent="0.3">
      <c r="B163" s="17">
        <v>156</v>
      </c>
      <c r="C163" s="27" t="s">
        <v>1013</v>
      </c>
      <c r="D163" s="17"/>
      <c r="E163" s="29" t="str">
        <f>IFERROR(VLOOKUP(C163,기출문제!D:G,3,0),"")</f>
        <v>91. 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
① ㄱ: 50, ㄴ: 6, ㄷ: 12
② ㄱ: 50, ㄴ: 12, ㄷ: 18
③ ㄱ: 60, ㄴ: 6, ㄷ: 12
④ ㄱ: 60, ㄴ: 6, ㄷ: 18
⑤ ㄱ: 60, ㄴ: 12, ㄷ: 18</v>
      </c>
      <c r="F163" s="30">
        <f>IFERROR(VLOOKUP(C163,기출문제!D:G,4,0),"")</f>
        <v>2</v>
      </c>
      <c r="G163" s="31" t="str">
        <f t="shared" si="2"/>
        <v/>
      </c>
      <c r="J163" s="23"/>
    </row>
    <row r="164" spans="2:10" s="21" customFormat="1" ht="99.75" x14ac:dyDescent="0.3">
      <c r="B164" s="17">
        <v>157</v>
      </c>
      <c r="C164" s="27" t="s">
        <v>1014</v>
      </c>
      <c r="D164" s="17"/>
      <c r="E164" s="29" t="str">
        <f>IFERROR(VLOOKUP(C164,기출문제!D:G,3,0),"")</f>
        <v>92. 국민연금법령상 유족연금에 관한 설명으로 옳은 것은?
① 사실상의 혼인관계에 있는 배우자는 유족연금을 지급받을 수 있는 유족에 해당하지 않는다.
② 수급권자가 산업재해보상보험법에 의한 유족급여를 받는 경우에는 유족연금을 지급하지 않는다.
③ 유족연금을 지급받을 수 있는 유족의 범위는 배우자, 자녀, 부모, 손자녀, 조부모 및 형제자매이다.
④ 유족연금 수급권자인 자녀가 사망 시 다음 순위자인 부모에게 유족연금을 지급한다.
⑤ 부모, 손자녀 또는 조부모인 유족의 유족연금 수급권은 가입자 또는 가입자였던 사람이 사망할 당시에 그 가입자 또는 가입자였던 사람의 태아가 출생하여 수급권을 갖게 되면 소멸한다.</v>
      </c>
      <c r="F164" s="30">
        <f>IFERROR(VLOOKUP(C164,기출문제!D:G,4,0),"")</f>
        <v>5</v>
      </c>
      <c r="G164" s="31" t="str">
        <f t="shared" si="2"/>
        <v/>
      </c>
      <c r="J164" s="23"/>
    </row>
    <row r="165" spans="2:10" s="21" customFormat="1" ht="128.25" x14ac:dyDescent="0.3">
      <c r="B165" s="17">
        <v>158</v>
      </c>
      <c r="C165" s="27" t="s">
        <v>1015</v>
      </c>
      <c r="D165" s="17"/>
      <c r="E165" s="29" t="str">
        <f>IFERROR(VLOOKUP(C165,기출문제!D:G,3,0),"")</f>
        <v>93. 국민건강보험법령상 급여의 제한 및 정지에 관한 설명으로 옳지 않은 것은?
① 국민건강보험공단은 보험급여를 받을 수 있는 사람이 중대한 과실로 인한 범죄행위에 그 원인이 있는 경우 보험급여를 하지 아니한다.
② 국민건강보험공단은 보험급여를 받을 수 있는 사람이 다른 법령에 따라 국가로부터 보험급여에 상당하는 비용을 지급받게 되는 경우에는 그 한도에서 보험급여를 하지 아니한다.
③ 보험급여를 받을 수 있는 사람이 국외에 여행 중인 경우 그 기간에는 보험급여를 하지 아니한다.
④ 국민건강보험공단은 지역가입자가 1개월 이상 세대단위의 보험료를 체납한 경우 그 체납한 보험료를 완납할 때까지 그 가입자를 제외한 피부양자에 대하여 보험급여를 실시하지 아니한다.
⑤ 보험급여를 받을 수 있는 사람이 국외에서 업무에 종사하고 있는 경우 그 기간에는 보험급여를 하지 아니한다.</v>
      </c>
      <c r="F165" s="30">
        <f>IFERROR(VLOOKUP(C165,기출문제!D:G,4,0),"")</f>
        <v>4</v>
      </c>
      <c r="G165" s="31" t="str">
        <f t="shared" si="2"/>
        <v/>
      </c>
      <c r="J165" s="23"/>
    </row>
    <row r="166" spans="2:10" s="21" customFormat="1" ht="114" x14ac:dyDescent="0.3">
      <c r="B166" s="17">
        <v>159</v>
      </c>
      <c r="C166" s="27" t="s">
        <v>1016</v>
      </c>
      <c r="D166" s="17"/>
      <c r="E166" s="29" t="str">
        <f>IFERROR(VLOOKUP(C166,기출문제!D:G,3,0),"")</f>
        <v>94. 국민건강보험법령상 보험료에 관한 설명으로 옳지 않은 것은?
① 지역가입자의 월별 보험료액은 세대 단위로 산정한다.
② 직장가입자의 소득월액보험료는 직장가입자가 부담한다.
③ 지역가입자의 보험료는 그 가입자가 속한 세대의 지역가입자 전원이 연대하여 부담한다.
④ 직장가입자가 교직원으로서 사립학교에 근무하는 교원인 경우 보수월액보험료는 그 직장가입자와 사립학교를 설립・운영하는 자가 각각 보험료액의 100분의 50씩 부담한다.
⑤ 직장가입자가 공무원인 경우 보수월액보험료는 그 직장가입자와 그 공무원이 소속되어 있는 국가 또는 지방자치단체가 각각 보험료액의 100분의 50씩 부담한다.</v>
      </c>
      <c r="F166" s="30">
        <f>IFERROR(VLOOKUP(C166,기출문제!D:G,4,0),"")</f>
        <v>4</v>
      </c>
      <c r="G166" s="31" t="str">
        <f t="shared" si="2"/>
        <v/>
      </c>
      <c r="J166" s="23"/>
    </row>
    <row r="167" spans="2:10" s="21" customFormat="1" ht="85.5" x14ac:dyDescent="0.3">
      <c r="B167" s="17">
        <v>160</v>
      </c>
      <c r="C167" s="27" t="s">
        <v>1017</v>
      </c>
      <c r="D167" s="17"/>
      <c r="E167" s="29" t="str">
        <f>IFERROR(VLOOKUP(C167,기출문제!D:G,3,0),"")</f>
        <v>95. 국민건강보험법령상 보험료의 경감 대상이 될 수 있는 가입자는?
① 직장가입자로서 65세 이상인 사람
② 직장가입자로서 출산 휴가 중인 사람
③ 직장가입자 중 휴직기간이 1개월 이상인 사람
④ 직장가입자 중 장애인복지법에 따라 등록한 장애인
⑤ 직장가입자 중 국가유공자 등 예우 및 지원에 관한 법률에 따른 국가유공자</v>
      </c>
      <c r="F167" s="30">
        <f>IFERROR(VLOOKUP(C167,기출문제!D:G,4,0),"")</f>
        <v>3</v>
      </c>
      <c r="G167" s="31" t="str">
        <f t="shared" si="2"/>
        <v/>
      </c>
      <c r="J167" s="23"/>
    </row>
    <row r="168" spans="2:10" s="21" customFormat="1" ht="99.75" x14ac:dyDescent="0.3">
      <c r="B168" s="17">
        <v>161</v>
      </c>
      <c r="C168" s="27" t="s">
        <v>1018</v>
      </c>
      <c r="D168" s="17"/>
      <c r="E168" s="29" t="str">
        <f>IFERROR(VLOOKUP(C168,기출문제!D:G,3,0),"")</f>
        <v>96. 고용보험 및 산업재해보상보험의 보험료징수 등에 관한 법령의 내용으로 옳은 것은?
① 사업의 도산으로 보수 관련 자료가 없는 경우에는 고용노동부장관이 정하여 고시하는 금액을 보수로 할 수 있다.
② 원수급인으로부터 사업의 전부를 도급받아 하는 자는 하수급인에 해당하지 않는다.
③ 고용보험료를 징수하는 경우에는 근로자가 휴직기간 중에 사업주 외의 자로부터 지급받는 금품 일체는 보수로 보지 않는다.
④ 보험에 가입한 사업주는 사업의 명칭 및 소재지, 사업의 종류 등이 변경된 경우에는 다음 보험연도 첫날부터 14일 이내에 그 변경사항을 근로복지공단에 신고하여야 한다.
⑤ 산업재해보상보험법을 적용받는 사업의 사업주는 근로복지공단의 승인을 받아 산업재해보상보험에 가입할 수 있다.</v>
      </c>
      <c r="F168" s="30">
        <f>IFERROR(VLOOKUP(C168,기출문제!D:G,4,0),"")</f>
        <v>1</v>
      </c>
      <c r="G168" s="31" t="str">
        <f t="shared" si="2"/>
        <v/>
      </c>
      <c r="J168" s="23"/>
    </row>
    <row r="169" spans="2:10" s="21" customFormat="1" ht="99.75" x14ac:dyDescent="0.3">
      <c r="B169" s="17">
        <v>162</v>
      </c>
      <c r="C169" s="27" t="s">
        <v>1019</v>
      </c>
      <c r="D169" s="17"/>
      <c r="E169" s="29" t="str">
        <f>IFERROR(VLOOKUP(C169,기출문제!D:G,3,0),"")</f>
        <v>97. 고용보험 및 산업재해보상보험의 보험료징수 등에 관한 법령상 보험사무대행기관에 보험사무를 위임할 수 있는 업무의 범위가 아닌 것은?
① 확정보험료의 부과
② 개산보험료의 신고
③ 고용보험 피보험자의 자격 관리에 관한 사무
④ 보험관계의 소멸의 신고
⑤ 보험관계의 변경의 신고</v>
      </c>
      <c r="F169" s="30">
        <f>IFERROR(VLOOKUP(C169,기출문제!D:G,4,0),"")</f>
        <v>1</v>
      </c>
      <c r="G169" s="31" t="str">
        <f t="shared" si="2"/>
        <v/>
      </c>
      <c r="J169" s="23"/>
    </row>
    <row r="170" spans="2:10" s="21" customFormat="1" ht="142.5" x14ac:dyDescent="0.3">
      <c r="B170" s="17">
        <v>163</v>
      </c>
      <c r="C170" s="27" t="s">
        <v>1020</v>
      </c>
      <c r="D170" s="17"/>
      <c r="E170" s="29" t="str">
        <f>IFERROR(VLOOKUP(C170,기출문제!D:G,3,0),"")</f>
        <v>98. 고용보험 및 산업재해보상보험의 보험료징수 등에 관한 법령의 내용으로 옳지 않은 것은?
① 근로복지공단은 사업 실체가 없는 등의 사유로 계속하여 보험관계를 유지할 수 없다고 인정하는 경우에는 그 보험관계를 소멸시킬 수 있다.
② 근로자가 동일한 사업주의 하나의 사업장에서 다른 사업장으로 전근되는 경우에는 그 근로자에 대한 그 월별보험료는 해당 월의 다음 달 부터 산정한다.
③ 근로복지공단은 소멸시효가 완성된 경우에는 고용노동부장관의 승인을 받아 보험료와 이 법에 따른 그 밖의 징수금을 결손처분할 수 있다.
④ 사업종류의 변경으로 보험료 납부방법이 변경되는 경우에는 사업종류의 변경일 전일을 변경 전 사업 폐지일로, 사업종류의 변경일을 새로운 사업성립일로 본다.
⑤ 공동사업에 관계되는 보험료, 이 법에 따른 그 밖의 징수금과 체납처분비는 공동사업자가 연대하여 낼 의무를 진다.</v>
      </c>
      <c r="F170" s="30">
        <f>IFERROR(VLOOKUP(C170,기출문제!D:G,4,0),"")</f>
        <v>3</v>
      </c>
      <c r="G170" s="31" t="str">
        <f t="shared" si="2"/>
        <v/>
      </c>
      <c r="J170" s="23"/>
    </row>
    <row r="171" spans="2:10" s="21" customFormat="1" ht="142.5" x14ac:dyDescent="0.3">
      <c r="B171" s="17">
        <v>164</v>
      </c>
      <c r="C171" s="27" t="s">
        <v>1021</v>
      </c>
      <c r="D171" s="17"/>
      <c r="E171" s="29" t="str">
        <f>IFERROR(VLOOKUP(C171,기출문제!D:G,3,0),"")</f>
        <v>99. 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
① ㄱ: 100분의 20, ㄴ: 1천분의 13
② ㄱ: 100분의 20, ㄴ: 1천분의 20
③ ㄱ: 100분의 30, ㄴ: 1천분의 13
④ ㄱ: 100분의 30, ㄴ: 1천분의 20
⑤ ㄱ: 100분의 30, ㄴ: 1천분의 25</v>
      </c>
      <c r="F171" s="30">
        <f>IFERROR(VLOOKUP(C171,기출문제!D:G,4,0),"")</f>
        <v>4</v>
      </c>
      <c r="G171" s="31" t="str">
        <f t="shared" si="2"/>
        <v/>
      </c>
      <c r="J171" s="23"/>
    </row>
    <row r="172" spans="2:10" s="21" customFormat="1" ht="99.75" x14ac:dyDescent="0.3">
      <c r="B172" s="17">
        <v>165</v>
      </c>
      <c r="C172" s="27" t="s">
        <v>1022</v>
      </c>
      <c r="D172" s="17"/>
      <c r="E172" s="29" t="str">
        <f>IFERROR(VLOOKUP(C172,기출문제!D:G,3,0),"")</f>
        <v>100. 고용보험 및 산업재해보상보험의 보험료징수 등에 관한 법령상 보험료율의 인상 또는 인하 등에 따른 조치로 옳지 않은 것은?
① 보험료율이 인상된 경우 근로복지공단은 월별보험료를 증액 조정한다.
② 보험료율이 인상된 경우 국민건강보험공단은 개산보험료를 증액 조정한다.
③ 보험료율 인상으로 개산보험료가 증액된 때에는 근로복지공단이 징수한다.
④ 보험료율 인상으로 월별보험료가 증액된 때에는 국민건강보험공단이 징수한다.
⑤ 근로복지공단은 보험료를 감액 조정한 경우에는 보험료율의 인하를 결정한 날부터 20일 이내에 그 감액 조정 사실을 사업주에게 알려야 한다.</v>
      </c>
      <c r="F172" s="30">
        <f>IFERROR(VLOOKUP(C172,기출문제!D:G,4,0),"")</f>
        <v>2</v>
      </c>
      <c r="G172" s="31" t="str">
        <f t="shared" si="2"/>
        <v/>
      </c>
      <c r="J172" s="23"/>
    </row>
    <row r="173" spans="2:10" s="21" customFormat="1" ht="85.5" x14ac:dyDescent="0.3">
      <c r="B173" s="17">
        <v>166</v>
      </c>
      <c r="C173" s="27" t="s">
        <v>167</v>
      </c>
      <c r="D173" s="17"/>
      <c r="E173" s="29" t="str">
        <f>IFERROR(VLOOKUP(C173,기출문제!D:G,3,0),"")</f>
        <v>76. 사회보장기본법상 내용으로 옳은 것은?
① 국가는 중장기 사회보장 재정추계를 매년 실시하고 공표하여야 한다.
② 사회보장수급권의 포기는 취소할 수 없다.
③ 사회서비스란 사회적 위험을 보험의 방식으로 대처함으로써 국민의 건강과 소득을 보장하는 제도를 말한다.
④ 사회보장수급권은 다른 사람에게 양도할 수 있다.
⑤ 국가와 지방자치단체는 최저보장수준과 최저임금 등을 고려하여 사회보장급여의 수준을 결정하여야 한다.</v>
      </c>
      <c r="F173" s="30">
        <f>IFERROR(VLOOKUP(C173,기출문제!D:G,4,0),"")</f>
        <v>5</v>
      </c>
      <c r="G173" s="31" t="str">
        <f t="shared" si="2"/>
        <v/>
      </c>
      <c r="J173" s="23"/>
    </row>
    <row r="174" spans="2:10" s="21" customFormat="1" ht="114" x14ac:dyDescent="0.3">
      <c r="B174" s="17">
        <v>167</v>
      </c>
      <c r="C174" s="27" t="s">
        <v>1023</v>
      </c>
      <c r="D174" s="17"/>
      <c r="E174" s="29" t="str">
        <f>IFERROR(VLOOKUP(C174,기출문제!D:G,3,0),"")</f>
        <v>77. 사회보장기본법상 내용으로 옳지 않은 것은?
① 사회보장기본법은 사회보장에 관한 국민의 권리와 국가 및 지방자치단체의 책임을 정하고 있다.
② 사회보장은 사회참여・자아실현에 필요한 제도와 여건을 조성하여 사회통합과 행복한 복지사회를 실현하는 것을 기본 이념으로 한다.
③ 국가와 지방자치단체의 책임하에 생활 유지 능력이 없거나 생활이 어려운 국민의 최저생활을 보장하고 자립을 지원하는 제도를 공공부조라고 한다.
④ 사회보장위원회는 사회보장급여 관련 업무에 공통적으로 적용되는 기준을 마련하여야 한다.
⑤ 국내에 거주하는 외국인에게 사회보장제도를 적용할 때에는 상호주의의 원칙에 따르되, 관계 법령에서 정하는 바에 따른다.</v>
      </c>
      <c r="F174" s="30">
        <f>IFERROR(VLOOKUP(C174,기출문제!D:G,4,0),"")</f>
        <v>4</v>
      </c>
      <c r="G174" s="31" t="str">
        <f t="shared" si="2"/>
        <v/>
      </c>
      <c r="J174" s="23"/>
    </row>
    <row r="175" spans="2:10" s="21" customFormat="1" ht="142.5" x14ac:dyDescent="0.3">
      <c r="B175" s="17">
        <v>168</v>
      </c>
      <c r="C175" s="27" t="s">
        <v>1024</v>
      </c>
      <c r="D175" s="17"/>
      <c r="E175" s="29" t="str">
        <f>IFERROR(VLOOKUP(C175,기출문제!D:G,3,0),"")</f>
        <v>78. 사회보장기본법상 사회보장정보시스템의 구축・운영 등에 관한 설명으로 옳지 않은 것은?
① 보건복지부장관은 사회보장정보시스템의 구축・운영을 총괄한다.
② 국가와 지방자치단체는 국민편익의 증진과 사회보장업무의 효율성 향상을 위하여 사회보장업무를 전자적으로 관리하도록 노력하여야 한다.
③ 국가와 지방자치단체가 조사하거나 제공받은 개인・법인의 정보는 이 법과 관련 법률에 근거하지 아니하고 보유, 이용, 제공되어서는 아니 된다.
④ 관계 중앙행정기관 및 지방자치단체의 장은 사회보장정보와 관련하여 사회보장정보시스템의 활용이 필요한 경우 사전에 보건복지부장관과 협의하여야 한다.
⑤ 사회복지법인의 보조금 수급이력에 관한 자료는 사회보장정보시스템의 운영을 위하여 수집・보유할 수 있는 정보에 해당하지 않는다.</v>
      </c>
      <c r="F175" s="30">
        <f>IFERROR(VLOOKUP(C175,기출문제!D:G,4,0),"")</f>
        <v>5</v>
      </c>
      <c r="G175" s="31" t="str">
        <f t="shared" si="2"/>
        <v/>
      </c>
      <c r="J175" s="23"/>
    </row>
    <row r="176" spans="2:10" s="21" customFormat="1" ht="85.5" x14ac:dyDescent="0.3">
      <c r="B176" s="17">
        <v>169</v>
      </c>
      <c r="C176" s="27" t="s">
        <v>1025</v>
      </c>
      <c r="D176" s="17"/>
      <c r="E176" s="29" t="str">
        <f>IFERROR(VLOOKUP(C176,기출문제!D:G,3,0),"")</f>
        <v>79. 고용보험법령상 피보험기간이 4년인 자영업자인 경우 구직급여의 소정급여일수는?
① 90일
② 120일
③ 150일
④ 180일
⑤ 210일</v>
      </c>
      <c r="F176" s="30">
        <f>IFERROR(VLOOKUP(C176,기출문제!D:G,4,0),"")</f>
        <v>3</v>
      </c>
      <c r="G176" s="31" t="str">
        <f t="shared" si="2"/>
        <v/>
      </c>
      <c r="J176" s="23"/>
    </row>
    <row r="177" spans="2:10" s="21" customFormat="1" ht="85.5" x14ac:dyDescent="0.3">
      <c r="B177" s="17">
        <v>170</v>
      </c>
      <c r="C177" s="27" t="s">
        <v>1026</v>
      </c>
      <c r="D177" s="17"/>
      <c r="E177" s="29" t="str">
        <f>IFERROR(VLOOKUP(C177,기출문제!D:G,3,0),"")</f>
        <v>80. 고용보험법에서 사용하는 용어의 뜻으로 옳은 것은?
① 피보험자 : 근로기준법상 근로자와 사업주를 말한다.
② 이직 : 근로계약이 당사자의 합의에 의해 해지되는 것을 말하며, 정년퇴직은 포함되지 아니한다.
③ 실업 : 근로의 의사와 능력이 있음에도 불구하고 취업하지 못한 상태에 있는 것을 말한다.
④ 보수 : 사용자로부터 받는 일체의 금품을 말한다.
⑤ 일용근로자 : 3개월 미만 동안 고용된 자를 말한다.</v>
      </c>
      <c r="F177" s="30">
        <f>IFERROR(VLOOKUP(C177,기출문제!D:G,4,0),"")</f>
        <v>3</v>
      </c>
      <c r="G177" s="31" t="str">
        <f t="shared" si="2"/>
        <v/>
      </c>
      <c r="J177" s="23"/>
    </row>
    <row r="178" spans="2:10" s="21" customFormat="1" ht="114" x14ac:dyDescent="0.3">
      <c r="B178" s="17">
        <v>171</v>
      </c>
      <c r="C178" s="27" t="s">
        <v>1027</v>
      </c>
      <c r="D178" s="17"/>
      <c r="E178" s="29" t="str">
        <f>IFERROR(VLOOKUP(C178,기출문제!D:G,3,0),"")</f>
        <v>81. 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
① 15, 1
② 15, 3
③ 60, 1
④ 60, 3
⑤ 90, 1</v>
      </c>
      <c r="F178" s="30">
        <f>IFERROR(VLOOKUP(C178,기출문제!D:G,4,0),"")</f>
        <v>4</v>
      </c>
      <c r="G178" s="31" t="str">
        <f t="shared" si="2"/>
        <v/>
      </c>
      <c r="J178" s="23"/>
    </row>
    <row r="179" spans="2:10" s="21" customFormat="1" ht="85.5" x14ac:dyDescent="0.3">
      <c r="B179" s="17">
        <v>172</v>
      </c>
      <c r="C179" s="27" t="s">
        <v>1028</v>
      </c>
      <c r="D179" s="17"/>
      <c r="E179" s="29" t="str">
        <f>IFERROR(VLOOKUP(C179,기출문제!D:G,3,0),"")</f>
        <v>82. 고용보험법상 피보험자의 관리에 관한 내용으로 옳은 것은?
① 피보험자가 이직을 한 경우에는 이직한 날에 그 피보험자격을 상실한다.
② 이 법의 적용 제외 근로자였던 자가 이 법의 적용을 받게 된 경우에는 해당 사업에 고용된 날에 피보험자격을 취득한다.
③ 피보험자 또는 피보험자였던 자는 언제든지 고용노동부장관에게 피보험자격의 취득 또는 상실에 관한 확인을 청구할 수 있다.
④ 근로자가 보험관계가 성립되어 있는 두 개의 사업에 동시에 고용되어 있는 경우에는 두 개의 피보험자격을 취득한다.
⑤ 피보험자가 사망한 경우에는 사망한 날에 그 피보험자격을 상실한다.</v>
      </c>
      <c r="F179" s="30">
        <f>IFERROR(VLOOKUP(C179,기출문제!D:G,4,0),"")</f>
        <v>3</v>
      </c>
      <c r="G179" s="31" t="str">
        <f t="shared" si="2"/>
        <v/>
      </c>
      <c r="J179" s="23"/>
    </row>
    <row r="180" spans="2:10" s="21" customFormat="1" ht="99.75" x14ac:dyDescent="0.3">
      <c r="B180" s="17">
        <v>173</v>
      </c>
      <c r="C180" s="27" t="s">
        <v>1029</v>
      </c>
      <c r="D180" s="17"/>
      <c r="E180" s="29" t="str">
        <f>IFERROR(VLOOKUP(C180,기출문제!D:G,3,0),"")</f>
        <v>83. 고용보험법령상 구직급여에 관한 내용으로 옳지 않은 것은?
① 구직급여는 수급자격자가 실업한 상태에 있는 날 중에서 직업안정기관의 장으로부터 실업의 인정을 받은 날에 대하여 지급한다.
② 수급자격자가 인터넷 등을 이용하여 구인에 응모한 경우에는 적극적인 재취업 활동을 한 것으로 보지 아니한다.
③ 자영업자가 아닌 피보험자의 피보험 단위기간은 피보험기간 중 보수 지급의 기초가 된 날을 합하여 계산한다.
④ 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
⑤ 구직급여를 지급받으려는 자는 이직 후 지체없이 직업안정기관에 출석하여 실업을 신고해야 한다.</v>
      </c>
      <c r="F180" s="30">
        <f>IFERROR(VLOOKUP(C180,기출문제!D:G,4,0),"")</f>
        <v>2</v>
      </c>
      <c r="G180" s="31" t="str">
        <f t="shared" si="2"/>
        <v/>
      </c>
      <c r="J180" s="23"/>
    </row>
    <row r="181" spans="2:10" s="21" customFormat="1" ht="142.5" x14ac:dyDescent="0.3">
      <c r="B181" s="17">
        <v>174</v>
      </c>
      <c r="C181" s="27" t="s">
        <v>1030</v>
      </c>
      <c r="D181" s="17"/>
      <c r="E181" s="29" t="str">
        <f>IFERROR(VLOOKUP(C181,기출문제!D:G,3,0),"")</f>
        <v>84. 고용보험법령상 고용조정의 지원에 관한 내용으로 옳지 않은 것은?
① 고용노동부장관은 산업구조의 변화에 따른 사업의 전환으로 고용조정이 불가피하게 된 사업주가 근로자에 대한 휴직, 인력의 재배치 등을 실시하면 그 사업주에게 필요한 지원을 할 수 있다.
② 경영상 이유에 따른 사업주의 권고에 따라 퇴직이 예정된 자를 1개월 동안 이직시키지 아니한 경우에는 고용유지지원금을 지급한다.
③ 사업주가 고용유지조치 기간 동안 근로자를 새로 고용하는 경우에는 관할 직업안정기관의 장이 불가피하다고 인정하는 경우를 제외하고는 해당 달에 대한 고용유지지원금을 지급하지 아니한다.
④ 고용노동부장관은 신고한 고용유지조치계획과 다르게 고용유지조치를 이행한 사업주에게는 해당 사실이 발생한 날이 속한 달에 대한 고용유지지원금의 전부 또는 일부를 지급하지 아니할 수 있다.
⑤ 고용유지지원금을 받으려는 사업주는 그 사업의 근로자대표와 협의를 거쳐 고용유지조치계획을 수립해야 한다.</v>
      </c>
      <c r="F181" s="30">
        <f>IFERROR(VLOOKUP(C181,기출문제!D:G,4,0),"")</f>
        <v>2</v>
      </c>
      <c r="G181" s="31" t="str">
        <f t="shared" si="2"/>
        <v/>
      </c>
      <c r="J181" s="23"/>
    </row>
    <row r="182" spans="2:10" s="21" customFormat="1" ht="99.75" x14ac:dyDescent="0.3">
      <c r="B182" s="17">
        <v>175</v>
      </c>
      <c r="C182" s="27" t="s">
        <v>1031</v>
      </c>
      <c r="D182" s="17"/>
      <c r="E182" s="29" t="str">
        <f>IFERROR(VLOOKUP(C182,기출문제!D:G,3,0),"")</f>
        <v>85. 고용보험법령상 자영업자인 피보험자에 대한 실업급여 적용의 특례에 관한 내용으로 옳은 것은?
① 자영업자인 피보험자의 실업급여의 종류에는 조기재취업 수당이 포함된다.
② 자영업자인 피보험자의 실업급여에는 취업촉진 수당이 포함되지 아니한다.
③ 자영업자인 피보험자로서 폐업한 수급자격자에 대한 구직급여일액은 그 수급자격자의 기초일액에 100분의 60을 곱한 금액으로 한다.
④ 폐업사유에 관계없이 수급자격이 인정된다.
⑤ 폐업한 자영업자인 피보험자의 구직급여 수급요건에 재취업을 위한 노력을 적극적으로 하는 것은 포함되지 아니한다.</v>
      </c>
      <c r="F182" s="30">
        <f>IFERROR(VLOOKUP(C182,기출문제!D:G,4,0),"")</f>
        <v>3</v>
      </c>
      <c r="G182" s="31" t="str">
        <f t="shared" si="2"/>
        <v/>
      </c>
      <c r="J182" s="23"/>
    </row>
    <row r="183" spans="2:10" s="21" customFormat="1" ht="128.25" x14ac:dyDescent="0.3">
      <c r="B183" s="17">
        <v>176</v>
      </c>
      <c r="C183" s="27" t="s">
        <v>1032</v>
      </c>
      <c r="D183" s="17"/>
      <c r="E183" s="29" t="str">
        <f>IFERROR(VLOOKUP(C183,기출문제!D:G,3,0),"")</f>
        <v>86. 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
① ㄱ
② ㄴ
③ ㄱ, ㄴ
④ ㄴ, ㄷ
⑤ ㄱ, ㄴ, ㄷ</v>
      </c>
      <c r="F183" s="30">
        <f>IFERROR(VLOOKUP(C183,기출문제!D:G,4,0),"")</f>
        <v>3</v>
      </c>
      <c r="G183" s="31" t="str">
        <f t="shared" si="2"/>
        <v/>
      </c>
      <c r="J183" s="23"/>
    </row>
    <row r="184" spans="2:10" s="21" customFormat="1" ht="142.5" x14ac:dyDescent="0.3">
      <c r="B184" s="17">
        <v>177</v>
      </c>
      <c r="C184" s="27" t="s">
        <v>1033</v>
      </c>
      <c r="D184" s="17"/>
      <c r="E184" s="29" t="str">
        <f>IFERROR(VLOOKUP(C184,기출문제!D:G,3,0),"")</f>
        <v>87. 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
① ㄱ, ㄷ
② ㄴ, ㄹ
③ ㄱ, ㄴ, ㄹ
④ ㄴ, ㄷ, ㄹ
⑤ ㄱ, ㄴ, ㄷ, ㄹ</v>
      </c>
      <c r="F184" s="30">
        <f>IFERROR(VLOOKUP(C184,기출문제!D:G,4,0),"")</f>
        <v>5</v>
      </c>
      <c r="G184" s="31" t="str">
        <f t="shared" si="2"/>
        <v/>
      </c>
      <c r="J184" s="23"/>
    </row>
    <row r="185" spans="2:10" s="21" customFormat="1" ht="128.25" x14ac:dyDescent="0.3">
      <c r="B185" s="17">
        <v>178</v>
      </c>
      <c r="C185" s="27" t="s">
        <v>1034</v>
      </c>
      <c r="D185" s="17"/>
      <c r="E185" s="29" t="str">
        <f>IFERROR(VLOOKUP(C185,기출문제!D:G,3,0),"")</f>
        <v>88. 산업재해보상보험법령상 보험급여에 관한 설명으로 옳지 않은 것은?
① 장해급여 청구사유 발생 당시 대한민국 국민이 아닌 자로서 외국에서 거주하고 있는 근로자에게는 장해보상일시금을 지급한다.
② 2급 장해등급 근로자에게는 장해보상연금 또는 장해보상일시금을 근로자의 선택에 따라 지급한다.
③ 장례비는 장례를 지낼 유족이 없는 경우에는 평균임금의 120일분에 상당하는 금액의 범위에서 실제 드는 비용을 그 장례를 지낸 자에게 지급한다.
④ 상병보상연금을 산정할 때 평균임금이 최저임금액의 70분의 100보다 적을 때에는 최저임금액의 70분의 100에 해당하는 금액을 평균임금으로 본다.
⑤ 요양급여는 소정의 산재보험 의료기관에서 요양을 하게 하는 것이고 부득이한 경우에는 요양을 갈음하여 요양비를 지급할 수 있다.</v>
      </c>
      <c r="F185" s="30">
        <f>IFERROR(VLOOKUP(C185,기출문제!D:G,4,0),"")</f>
        <v>2</v>
      </c>
      <c r="G185" s="31" t="str">
        <f t="shared" si="2"/>
        <v/>
      </c>
      <c r="J185" s="23"/>
    </row>
    <row r="186" spans="2:10" s="21" customFormat="1" ht="99.75" x14ac:dyDescent="0.3">
      <c r="B186" s="17">
        <v>179</v>
      </c>
      <c r="C186" s="27" t="s">
        <v>1035</v>
      </c>
      <c r="D186" s="17"/>
      <c r="E186" s="29" t="str">
        <f>IFERROR(VLOOKUP(C186,기출문제!D:G,3,0),"")</f>
        <v>89. 산업재해보상보험법에 관한 설명으로 옳은 것은?
① 근로자를 진료한 산재보험 의료기관은 요양급여의 신청을 대행할 수 없다.
② 보험급여는 지급결정일로부터 30일 이내에 지급하여야 한다.
③ 근로복지공단은 제3자의 행위에 따른 재해로 보험급여를 지급한 경우에는 손해배상청구권을 대위할 수 없다.
④ 요양급여가 지급된 후 그 지급결정이 취소된 경우 국민건강보험공단은 그 건강보험 요양급여액을 근로복지공단에 청구할 수 있다.
⑤ 보험급여로서 지급된 금품에 대하여는 국가나 지방자치단체의 공과금을 부과하지 아니한다.</v>
      </c>
      <c r="F186" s="30">
        <f>IFERROR(VLOOKUP(C186,기출문제!D:G,4,0),"")</f>
        <v>5</v>
      </c>
      <c r="G186" s="31" t="str">
        <f t="shared" si="2"/>
        <v/>
      </c>
      <c r="J186" s="23"/>
    </row>
    <row r="187" spans="2:10" s="21" customFormat="1" ht="85.5" x14ac:dyDescent="0.3">
      <c r="B187" s="17">
        <v>180</v>
      </c>
      <c r="C187" s="27" t="s">
        <v>1036</v>
      </c>
      <c r="D187" s="17"/>
      <c r="E187" s="32" t="str">
        <f>IFERROR(VLOOKUP(C187,기출문제!D:G,3,0),"")</f>
        <v>90. 산업재해보상보험법령상 특수형태근로종사자의 직종에 해당하는 자는?
① 여신전문금융업법에 따른 신용카드회원 모집인
② 예술인 복지법에 따른 예술인
③ 화물자동차 운수사업법에 따른 화물자동차 운송사업자
④ 자동차관리법에 따른 자동차정비업자
⑤ 여객자동차 운수사업법에 따른 여객자동차 운송사업자</v>
      </c>
      <c r="F187" s="30">
        <f>IFERROR(VLOOKUP(C187,기출문제!D:G,4,0),"")</f>
        <v>1</v>
      </c>
      <c r="G187" s="31" t="str">
        <f t="shared" si="2"/>
        <v/>
      </c>
      <c r="J187" s="23"/>
    </row>
    <row r="188" spans="2:10" s="21" customFormat="1" ht="85.5" x14ac:dyDescent="0.3">
      <c r="B188" s="17">
        <v>181</v>
      </c>
      <c r="C188" s="27" t="s">
        <v>1037</v>
      </c>
      <c r="D188" s="17"/>
      <c r="E188" s="29" t="str">
        <f>IFERROR(VLOOKUP(C188,기출문제!D:G,3,0),"")</f>
        <v>91. 산업재해보상보험법상 과태료 부과 대상이 아닌 경우는?
① 거짓으로 보험급여를 받은 경우
② 심사 청구의 심리・결정 등을 위하여 확인이 필요하다고 인정된 사업장의 조사를 거부한 경우
③ 보험급여 결정 등을 위하여 확인이 필요하다고 인정된 사업장의 조사를 방해한 경우
④ 유사명칭의 사용 금지를 위반하여 근로복지공단 또는 이와 비슷한 명칭을 사용한 경우
⑤ 요양기간을 연장할 필요가 있는 때 제출해야할 진료계획을 정당한 사유 없이 제출하지 아니한 경우</v>
      </c>
      <c r="F188" s="30">
        <f>IFERROR(VLOOKUP(C188,기출문제!D:G,4,0),"")</f>
        <v>1</v>
      </c>
      <c r="G188" s="31" t="str">
        <f t="shared" si="2"/>
        <v/>
      </c>
      <c r="J188" s="23"/>
    </row>
    <row r="189" spans="2:10" s="21" customFormat="1" ht="142.5" x14ac:dyDescent="0.3">
      <c r="B189" s="17">
        <v>182</v>
      </c>
      <c r="C189" s="27" t="s">
        <v>1038</v>
      </c>
      <c r="D189" s="17"/>
      <c r="E189" s="29" t="str">
        <f>IFERROR(VLOOKUP(C189,기출문제!D:G,3,0),"")</f>
        <v>92. 국민연금법상 사업장가입자 자격의 상실 사유에 해당하는 것을 모두 고른 것은?
ㄱ. 사망한 때
ㄴ. 60세가 된 때
ㄷ. 사용관계가 끝난 때
ㄹ. 국적을 상실하거나 국외로 이주한 때
① ㄱ, ㄴ
② ㄱ, ㄴ, ㄷ
③ ㄱ, ㄷ, ㄹ
④ ㄴ, ㄷ, ㄹ
⑤ ㄱ, ㄴ, ㄷ, ㄹ</v>
      </c>
      <c r="F189" s="30">
        <f>IFERROR(VLOOKUP(C189,기출문제!D:G,4,0),"")</f>
        <v>5</v>
      </c>
      <c r="G189" s="31" t="str">
        <f t="shared" si="2"/>
        <v/>
      </c>
      <c r="J189" s="23"/>
    </row>
    <row r="190" spans="2:10" s="21" customFormat="1" ht="128.25" x14ac:dyDescent="0.3">
      <c r="B190" s="17">
        <v>183</v>
      </c>
      <c r="C190" s="27" t="s">
        <v>1039</v>
      </c>
      <c r="D190" s="17"/>
      <c r="E190" s="29" t="str">
        <f>IFERROR(VLOOKUP(C190,기출문제!D:G,3,0),"")</f>
        <v>93. 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
① 1, 55
② 3, 55
③ 3, 60
④ 5, 55
⑤ 5, 60</v>
      </c>
      <c r="F190" s="30">
        <f>IFERROR(VLOOKUP(C190,기출문제!D:G,4,0),"")</f>
        <v>5</v>
      </c>
      <c r="G190" s="31" t="str">
        <f t="shared" si="2"/>
        <v/>
      </c>
      <c r="J190" s="23"/>
    </row>
    <row r="191" spans="2:10" s="21" customFormat="1" ht="128.25" x14ac:dyDescent="0.3">
      <c r="B191" s="17">
        <v>184</v>
      </c>
      <c r="C191" s="27" t="s">
        <v>1040</v>
      </c>
      <c r="D191" s="17"/>
      <c r="E191" s="29" t="str">
        <f>IFERROR(VLOOKUP(C191,기출문제!D:G,3,0),"")</f>
        <v>94. 국민건강보험법령상 보험급여의 제한에 관한 내용으로 옳지 않은 것은?
① 공단은 보험급여를 제한하는 경우에는 지체없이 구두로 그 내용과 사유를 가입자에게 알려야 한다.
② 공단은 보험급여를 받을 수 있는 사람이 중대한 과실로 요양기관의 요양에 관한 지시에 따르지 아니한 경우에는 보험급여를 하지 아니한다.
③ 공단은 보험급여를 받을 수 있는 사람이 다른 법령에 따라 국가나 지방자치단체로부터 보험급여에 상당하는 급여를 받은 경우에는 그 한도에서 보험급여를 하지 아니한다.
④ 공단은 보험급여를 받을 수 있는 사람이 업무로 생긴 질병으로 다른 법령에 따른 보험급여를 받게 된 경우에는 보험급여를 하지 아니한다.
⑤ 공단은 보험급여를 받을 수 있는 사람이 고의로 사고를 일으킨 경우에는 보험급여를 하지 아니한다.</v>
      </c>
      <c r="F191" s="30">
        <f>IFERROR(VLOOKUP(C191,기출문제!D:G,4,0),"")</f>
        <v>1</v>
      </c>
      <c r="G191" s="31" t="str">
        <f t="shared" si="2"/>
        <v/>
      </c>
      <c r="J191" s="23"/>
    </row>
    <row r="192" spans="2:10" s="21" customFormat="1" ht="128.25" x14ac:dyDescent="0.3">
      <c r="B192" s="17">
        <v>185</v>
      </c>
      <c r="C192" s="27" t="s">
        <v>1041</v>
      </c>
      <c r="D192" s="17"/>
      <c r="E192" s="29" t="str">
        <f>IFERROR(VLOOKUP(C192,기출문제!D:G,3,0),"")</f>
        <v>95. 국민건강보험법상 보험료에 관한 내용으로 옳지 않은 것은?
① 보험료는 가입자의 자격을 매월 1일에 취득하는 경우에는 다음 달부터 가입자의 자격을 잃은 날의 전날이 속하는 달까지 징수한다.
② 휴직으로 보수의 전부 또는 일부가 지급되니 아니하는 가입자의 보수월액보험료는 해당 사유가 생기기 전 달의 보수월액을 기준으로 산정한다.
③ 보험료부과점수의 산정방법과 산정기준을 정할 때 법령에 따라 재산권의 행사가 제한되는 재산에 대하여는 다른 재산과 달리 정할 수 있다.
④ 직장가입자의 소득월액보험료는 직장가입자가 부담한다.
⑤ 지역가입자의 보험료는 그 가입자가 속한 세대의 지역가입자 전원이 연대하여 부담한다.</v>
      </c>
      <c r="F192" s="30">
        <f>IFERROR(VLOOKUP(C192,기출문제!D:G,4,0),"")</f>
        <v>1</v>
      </c>
      <c r="G192" s="31" t="str">
        <f t="shared" si="2"/>
        <v/>
      </c>
      <c r="J192" s="23"/>
    </row>
    <row r="193" spans="2:10" s="21" customFormat="1" ht="99.75" x14ac:dyDescent="0.3">
      <c r="B193" s="17">
        <v>186</v>
      </c>
      <c r="C193" s="27" t="s">
        <v>1042</v>
      </c>
      <c r="D193" s="17"/>
      <c r="E193" s="29" t="str">
        <f>IFERROR(VLOOKUP(C193,기출문제!D:G,3,0),"")</f>
        <v>96. 고용보험 및 산업재해보상보험의 보험료징수 등에 관한 법률상 근로복지공단의 업무가 아닌 것은?
① 고용보험료의 월별 부과
② 환수대상이 되는 고용보험료의 지원금의 징수
③ 사업주가 법이 정한 기한까지 확정보험료를 신고하지 않은 경우 부과한 보험료 가산금의 징수
④ 사업주가 법이 정한 납부기한까지 보험료를 내지 아니한 경우 보험료 연체금의 징수
⑤ 사업주가 산재보험료의 납부를 게을리한 기간 중에 발생한 재해에 대하여 산재보험급여를 지급하는 경우 사업주로부터 그 급여에 해당하는 금액의 징수</v>
      </c>
      <c r="F193" s="30">
        <f>IFERROR(VLOOKUP(C193,기출문제!D:G,4,0),"")</f>
        <v>4</v>
      </c>
      <c r="G193" s="31" t="str">
        <f t="shared" si="2"/>
        <v/>
      </c>
      <c r="J193" s="23"/>
    </row>
    <row r="194" spans="2:10" s="21" customFormat="1" ht="114" x14ac:dyDescent="0.3">
      <c r="B194" s="17">
        <v>187</v>
      </c>
      <c r="C194" s="27" t="s">
        <v>1043</v>
      </c>
      <c r="D194" s="17"/>
      <c r="E194" s="29" t="str">
        <f>IFERROR(VLOOKUP(C194,기출문제!D:G,3,0),"")</f>
        <v>97. 고용보험 및 산업재해보상보험의 보험료징수 등에 관한 법령상 보험료 등의 분할 납부에 관한 설명으로 옳은 것은?
① 사업주는 납부기한이 지난 고용보험료의 분할 납부의 승인을 근로복지공단에 신청할 수 있다.
② 건강보험공단은 분할 납부를 신청한 사업주에 대하여 납부능력을 확인하여 보험료와 이 법에 따른 그 밖의 징수금의 분할 납부를 승인할 수 있다.
③ 분할 납부의 승인과 취소에 관한 절차・방법, 분할 납부의 기간 및 납부능력 확인 등에 필요한 사항은 대통령령으로 정한다.
④ 근로복지공단은 분할 납부 승인을 받은 사업주가 분할 납부하여야 하는 보험료를 정당한 사유 없이 내지 아니한 경우에는 분할 납부의 승인을 취소할 수 있다.
⑤ 분할 납부의 총 기간은 분할 납부의 승인을 받은 날의 다음 날부터 1년 이내로 한다.</v>
      </c>
      <c r="F194" s="30">
        <f>IFERROR(VLOOKUP(C194,기출문제!D:G,4,0),"")</f>
        <v>2</v>
      </c>
      <c r="G194" s="31" t="str">
        <f t="shared" si="2"/>
        <v/>
      </c>
      <c r="J194" s="23"/>
    </row>
    <row r="195" spans="2:10" s="21" customFormat="1" ht="128.25" x14ac:dyDescent="0.3">
      <c r="B195" s="17">
        <v>188</v>
      </c>
      <c r="C195" s="27" t="s">
        <v>1044</v>
      </c>
      <c r="D195" s="17"/>
      <c r="E195" s="29" t="str">
        <f>IFERROR(VLOOKUP(C195,기출문제!D:G,3,0),"")</f>
        <v>98. 고용보험 및 산업재해보상보험의 보험료징수 등에 관한 법령상 징수 및 체납 처분 등에 관한 설명으로 옳은 것은?
① 상속이 개시된 경우 피상속인에 대한 처분의 효력은 상속인에게 미치지 않는다.
② 근로복지공단은 월별보험료의 독촉을 받은 자가 그 기한까지 내지 아니한 경우에는 국세 체납처분의 예에 따라 이를 징수할 수 있다.
③ 한국자산관리공사는 공매대행의 의뢰를 받은 날부터 2년 이내에 공매되지 않은 재산이 있으면 국민건강보험공단에 그 재산에 대한 공매대행 의뢰의 해제를 요구할 수 있다.
④ 국민건강보험공단은 독촉할 경우 그 납부기한은 독촉장 발급일부터 7일 이상의 여유가 있도록 하여야 한다.
⑤ 사업주가 국세를 체납하여 체납처분을 받은 경우 보험료의 총액이 500만원이라면 납부기한 전에 이미 납부의무가 확정된 보험료를 징수할 수 없다.</v>
      </c>
      <c r="F195" s="30">
        <f>IFERROR(VLOOKUP(C195,기출문제!D:G,4,0),"")</f>
        <v>3</v>
      </c>
      <c r="G195" s="31" t="str">
        <f t="shared" si="2"/>
        <v/>
      </c>
      <c r="J195" s="23"/>
    </row>
    <row r="196" spans="2:10" s="21" customFormat="1" ht="142.5" x14ac:dyDescent="0.3">
      <c r="B196" s="17">
        <v>189</v>
      </c>
      <c r="C196" s="27" t="s">
        <v>1045</v>
      </c>
      <c r="D196" s="17"/>
      <c r="E196" s="29" t="str">
        <f>IFERROR(VLOOKUP(C196,기출문제!D:G,3,0),"")</f>
        <v>99. 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
① ㄷ
② ㄴ, ㄷ
③ ㄴ, ㄹ
④ ㄴ, ㄷ, ㄹ
⑤ ㄱ, ㄴ, ㄷ, ㄹ</v>
      </c>
      <c r="F196" s="30">
        <f>IFERROR(VLOOKUP(C196,기출문제!D:G,4,0),"")</f>
        <v>4</v>
      </c>
      <c r="G196" s="31" t="str">
        <f t="shared" si="2"/>
        <v/>
      </c>
      <c r="J196" s="23"/>
    </row>
    <row r="197" spans="2:10" s="21" customFormat="1" ht="142.5" x14ac:dyDescent="0.3">
      <c r="B197" s="17">
        <v>190</v>
      </c>
      <c r="C197" s="27" t="s">
        <v>1046</v>
      </c>
      <c r="D197" s="17"/>
      <c r="E197" s="29" t="str">
        <f>IFERROR(VLOOKUP(C197,기출문제!D:G,3,0),"")</f>
        <v>100. 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
① 6개월, 1000분의 15
② 6개월, 1000분의 30
③ 1년, 1000분의 15
④ 1년, 1000분의 30
⑤ 3년, 1000분의 30</v>
      </c>
      <c r="F197" s="30">
        <f>IFERROR(VLOOKUP(C197,기출문제!D:G,4,0),"")</f>
        <v>4</v>
      </c>
      <c r="G197" s="31" t="str">
        <f t="shared" si="2"/>
        <v/>
      </c>
      <c r="J197" s="23"/>
    </row>
    <row r="198" spans="2:10" s="21" customFormat="1" ht="114" x14ac:dyDescent="0.3">
      <c r="B198" s="17">
        <v>191</v>
      </c>
      <c r="C198" s="27" t="s">
        <v>210</v>
      </c>
      <c r="D198" s="17"/>
      <c r="E198" s="29" t="str">
        <f>IFERROR(VLOOKUP(C198,기출문제!D:G,3,0),"")</f>
        <v>76. 사회보장기본법상 내용으로 옳은 것은?
① 사회보장위원회는 사회보장급여 관련 업무에 공통적으로 적용되는 기준을 마련하여야 한다.
② 사회보장 비용의 부담은 각각의 사회보장제도의 목적에 따라 국가, 지방자치단체가 민간부문보다 우선적으로 부담하여야 한다.
③ 국가와 지방자치단체는 관계 법령에서 정하는 바에 따라 공표된 최저보장수준과 최저임금 등을 고려하여 사회보장급여의 수준을 결정하여야 한다.
④ 사회보험에 드는 비용은 수익자가 부담함을 원칙으로 하되, 관계 법령에서 정하는 바에 따라 국가가 그 비용의 전부 또는 일부를 부담할 수 있다.
⑤ 사회보장에 관한 기본계획은 다른 법령에 따라 수립되는 사회보장에 관한 계획을 제외한 모든 계획의 기본이 된다.</v>
      </c>
      <c r="F198" s="30">
        <f>IFERROR(VLOOKUP(C198,기출문제!D:G,4,0),"")</f>
        <v>3</v>
      </c>
      <c r="G198" s="31" t="str">
        <f t="shared" si="2"/>
        <v/>
      </c>
      <c r="J198" s="23"/>
    </row>
    <row r="199" spans="2:10" s="21" customFormat="1" ht="85.5" x14ac:dyDescent="0.3">
      <c r="B199" s="17">
        <v>192</v>
      </c>
      <c r="C199" s="27" t="s">
        <v>1047</v>
      </c>
      <c r="D199" s="17"/>
      <c r="E199" s="29" t="str">
        <f>IFERROR(VLOOKUP(C199,기출문제!D:G,3,0),"")</f>
        <v>77. 사회보장기본법상 사회보장수급권에 관한 내용으로 옳지 않은 것은?
① 사회보장수급권은 관계 법령에서 정하는 바에 따라 다른 사람에게 양도하거나 담보로 제공할 수 없다.
② 사회보장수급권은 관계 법령에서 따로 정하고 있는 경우 외에는 제한되거나 정지될 수 없다.
③ 사회보장수급권이 제한되는 경우에는 제한하는 목적에 필요한 최소한의 범위에 그쳐야 한다.
④ 사회보장수급권은 정당한 권한이 있는 기관에 서면으로 통지하여 포기할 수 있다.
⑤ 사회보장수급권의 포기는 취소할 수 없다.</v>
      </c>
      <c r="F199" s="30">
        <f>IFERROR(VLOOKUP(C199,기출문제!D:G,4,0),"")</f>
        <v>5</v>
      </c>
      <c r="G199" s="31" t="str">
        <f t="shared" si="2"/>
        <v/>
      </c>
      <c r="J199" s="23"/>
    </row>
    <row r="200" spans="2:10" s="21" customFormat="1" ht="128.25" x14ac:dyDescent="0.3">
      <c r="B200" s="17">
        <v>193</v>
      </c>
      <c r="C200" s="27" t="s">
        <v>1048</v>
      </c>
      <c r="D200" s="17"/>
      <c r="E200" s="29" t="str">
        <f>IFERROR(VLOOKUP(C200,기출문제!D:G,3,0),"")</f>
        <v>78. 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
① 3년, 매년
② 3년, 격년
③ 5년, 매년
④ 5년, 격년
⑤ 10년, 격년</v>
      </c>
      <c r="F200" s="30">
        <f>IFERROR(VLOOKUP(C200,기출문제!D:G,4,0),"")</f>
        <v>4</v>
      </c>
      <c r="G200" s="31" t="str">
        <f t="shared" si="2"/>
        <v/>
      </c>
      <c r="J200" s="23"/>
    </row>
    <row r="201" spans="2:10" s="21" customFormat="1" ht="114" x14ac:dyDescent="0.3">
      <c r="B201" s="17">
        <v>194</v>
      </c>
      <c r="C201" s="27" t="s">
        <v>1049</v>
      </c>
      <c r="D201" s="17"/>
      <c r="E201" s="29" t="str">
        <f>IFERROR(VLOOKUP(C201,기출문제!D:G,3,0),"")</f>
        <v>79. 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
① 20만원
② 30만원
③ 40만원
④ 50만원
⑤ 60만원</v>
      </c>
      <c r="F201" s="30">
        <f>IFERROR(VLOOKUP(C201,기출문제!D:G,4,0),"")</f>
        <v>4</v>
      </c>
      <c r="G201" s="31" t="str">
        <f t="shared" ref="G201:G264" si="3">IF(D201="","",IF(D201=F201,"O", "X"))</f>
        <v/>
      </c>
      <c r="J201" s="23"/>
    </row>
    <row r="202" spans="2:10" s="21" customFormat="1" ht="99.75" x14ac:dyDescent="0.3">
      <c r="B202" s="17">
        <v>195</v>
      </c>
      <c r="C202" s="27" t="s">
        <v>1050</v>
      </c>
      <c r="D202" s="17"/>
      <c r="E202" s="29" t="str">
        <f>IFERROR(VLOOKUP(C202,기출문제!D:G,3,0),"")</f>
        <v>80. 고용보험법령상 고용창출에 대한 지원을 받을 수 있는 경우가 아닌 것은?
① 교대근로 개편을 통하여 실업자를 고용함으로써 근로자 수가 증가한 경우
② 시간제 직무 개발을 통하여 실업자를 근로계약기간을 정하지 않고 시간제로 근무하는 형태로 하여 새로 고용하는 경우
③ 고용보험위원회에서 심의・의결한 인력수급 불일치 업종에 해당하는 기업이 실업자를 고용하는 경우
④ 고용노동부장관이 정하는 시설을 설치・운영하여 고용환경을 개선하고 실업자를 고용하여 근로자 수가 증가한 경우
⑤ 고용보험위원회에서 심의・의결한 업종에 해당하는 대규모기업이 직업안정기관의 장이 정하는 전문적인 자격을 갖춘 자를 고용하는 경우</v>
      </c>
      <c r="F202" s="30">
        <f>IFERROR(VLOOKUP(C202,기출문제!D:G,4,0),"")</f>
        <v>5</v>
      </c>
      <c r="G202" s="31" t="str">
        <f t="shared" si="3"/>
        <v/>
      </c>
      <c r="J202" s="23"/>
    </row>
    <row r="203" spans="2:10" s="21" customFormat="1" ht="128.25" x14ac:dyDescent="0.3">
      <c r="B203" s="17">
        <v>196</v>
      </c>
      <c r="C203" s="27" t="s">
        <v>1051</v>
      </c>
      <c r="D203" s="17"/>
      <c r="E203" s="29" t="str">
        <f>IFERROR(VLOOKUP(C203,기출문제!D:G,3,0),"")</f>
        <v>81. 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
① ㄱ
② ㄱ, ㄴ
③ ㄱ, ㄷ
④ ㄴ, ㄷ
⑤ ㄱ, ㄴ, ㄷ</v>
      </c>
      <c r="F203" s="30">
        <f>IFERROR(VLOOKUP(C203,기출문제!D:G,4,0),"")</f>
        <v>1</v>
      </c>
      <c r="G203" s="31" t="str">
        <f t="shared" si="3"/>
        <v/>
      </c>
      <c r="J203" s="23"/>
    </row>
    <row r="204" spans="2:10" s="21" customFormat="1" ht="85.5" x14ac:dyDescent="0.3">
      <c r="B204" s="17">
        <v>197</v>
      </c>
      <c r="C204" s="27" t="s">
        <v>1052</v>
      </c>
      <c r="D204" s="17"/>
      <c r="E204" s="29" t="str">
        <f>IFERROR(VLOOKUP(C204,기출문제!D:G,3,0),"")</f>
        <v>82. 고용보험법상 구직급여의 소정급여일수로 옳은 것은?
① 피보험기간 4년, 이직일 현재 25세인 비장애인: 90일
② 피보험기간 2년, 이직일 현재 35세인 장애인: 120일
③ 피보험기간 4년, 이직일 현재 40세인 비장애인: 120일
④ 피보험기간 6년, 이직일 현재 30세인 장애인: 180일
⑤ 피보험기간 10년, 이직일 현재 45세인 비장애인: 240일</v>
      </c>
      <c r="F204" s="30">
        <f>IFERROR(VLOOKUP(C204,기출문제!D:G,4,0),"")</f>
        <v>5</v>
      </c>
      <c r="G204" s="31" t="str">
        <f t="shared" si="3"/>
        <v/>
      </c>
      <c r="J204" s="23"/>
    </row>
    <row r="205" spans="2:10" s="21" customFormat="1" ht="128.25" x14ac:dyDescent="0.3">
      <c r="B205" s="17">
        <v>198</v>
      </c>
      <c r="C205" s="27" t="s">
        <v>1053</v>
      </c>
      <c r="D205" s="17"/>
      <c r="E205" s="29" t="str">
        <f>IFERROR(VLOOKUP(C205,기출문제!D:G,3,0),"")</f>
        <v>83. 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
① ㄱ
② ㄱ, ㄴ
③ ㄱ, ㄷ
④ ㄴ, ㄷ
⑤ ㄱ, ㄴ, ㄷ</v>
      </c>
      <c r="F205" s="30">
        <f>IFERROR(VLOOKUP(C205,기출문제!D:G,4,0),"")</f>
        <v>1</v>
      </c>
      <c r="G205" s="31" t="str">
        <f t="shared" si="3"/>
        <v/>
      </c>
      <c r="J205" s="23"/>
    </row>
    <row r="206" spans="2:10" s="21" customFormat="1" ht="114" x14ac:dyDescent="0.3">
      <c r="B206" s="17">
        <v>199</v>
      </c>
      <c r="C206" s="27" t="s">
        <v>1054</v>
      </c>
      <c r="D206" s="17"/>
      <c r="E206" s="29" t="str">
        <f>IFERROR(VLOOKUP(C206,기출문제!D:G,3,0),"")</f>
        <v>84. 고용보험법상 고용보험기금에 관한 설명으로 옳지 않은 것은?
① 고용노동부장관은 매년 고용보험기금운용 계획을 세워 고용보험위원회 및 국무회의의 심의를 거쳐 대통령의 승인을 받아야 한다.
② 고용보험기금을 지출할 때 자금 부족이 발생한 경우에는 고용보험기금의 부담으로 금융기관・다른 기금과 그 밖의 재원 등으로부터 차입을 할 수 있다.
③ 고용노동부장관은 매년 고용보험기금의 운용 결과에 대하여 고용보험위원회의 심의를 거쳐 공표하여야 한다.
④ 고용보험기금의 관리・운용에 관한 세부 사항은 국고금관리법의 규정에 따른다.
⑤ 고용보험기금의 결산상 손실금이 생기면 적립금을 사용하여 이를 보전(補塡)할 수 있다.</v>
      </c>
      <c r="F206" s="30">
        <f>IFERROR(VLOOKUP(C206,기출문제!D:G,4,0),"")</f>
        <v>4</v>
      </c>
      <c r="G206" s="31" t="str">
        <f t="shared" si="3"/>
        <v/>
      </c>
      <c r="J206" s="23"/>
    </row>
    <row r="207" spans="2:10" s="21" customFormat="1" ht="85.5" x14ac:dyDescent="0.3">
      <c r="B207" s="17">
        <v>200</v>
      </c>
      <c r="C207" s="27" t="s">
        <v>1055</v>
      </c>
      <c r="D207" s="17"/>
      <c r="E207" s="29" t="str">
        <f>IFERROR(VLOOKUP(C207,기출문제!D:G,3,0),"")</f>
        <v>85. 산업재해보상보험법령상의 보험급여의 내용으로 옳지 않은 것은?
① 장해급여 청구사유 발생 당시 대한민국 국민이 아닌 자로서 외국에서 거주하고 있는 근로자에게는 장해보상일시금을 지급한다.
② 간병급여 수급권자가 재요양을 받는 경우 그 재요양 기간 중에는 간병급여를 지급하지 않는다.
③ 유족보상일시금은 근로자가 사망할 당시 유족보상연금을 받을 수 있는 자격이 있는 자가 없는 경우에 지급한다.
④ 유족급여는 근로자가 업무상의 사유로 사망한 경우에 유족에게 지급한다.
⑤ 장례비는 유족이 아닌 자가 장례를 지낸 경우에는 평균임금의 120일분을 그 장례를 지낸 자에게 지급한다.</v>
      </c>
      <c r="F207" s="30">
        <f>IFERROR(VLOOKUP(C207,기출문제!D:G,4,0),"")</f>
        <v>5</v>
      </c>
      <c r="G207" s="31" t="str">
        <f t="shared" si="3"/>
        <v/>
      </c>
      <c r="J207" s="23"/>
    </row>
    <row r="208" spans="2:10" s="21" customFormat="1" ht="85.5" x14ac:dyDescent="0.3">
      <c r="B208" s="17">
        <v>201</v>
      </c>
      <c r="C208" s="27" t="s">
        <v>1056</v>
      </c>
      <c r="D208" s="17"/>
      <c r="E208" s="29" t="str">
        <f>IFERROR(VLOOKUP(C208,기출문제!D:G,3,0),"")</f>
        <v>86. 산업재해보상보험법상 심사청구의 제기와 관련한 내용으로 옳지 않은 것은?
① 심사 청구는 그 보험급여 결정등을 한 근로복지공단의 소속 기관을 거쳐 근로복지공단에 제기하여야 한다.
② 심사 청구는 보험급여 결정등이 있음을 안 날부터 90일 이내에 하여야 한다.
③ 심사 청구서를 받은 근로복지공단의 소속 기관은 5일 이내에 의견서를 첨부하여 근로복지공단에 보내야 한다.
④ 보험급여 결정등에 대하여 행정심판법에 따른 행정심판을 제기할 수 있다.
⑤ 약제비에 관한 근로복지공단의 결정에 불복하는 자는 근로복지공단에 심사 청구를 할 수 있다.</v>
      </c>
      <c r="F208" s="30">
        <f>IFERROR(VLOOKUP(C208,기출문제!D:G,4,0),"")</f>
        <v>4</v>
      </c>
      <c r="G208" s="31" t="str">
        <f t="shared" si="3"/>
        <v/>
      </c>
      <c r="J208" s="23"/>
    </row>
    <row r="209" spans="2:10" s="21" customFormat="1" ht="114" x14ac:dyDescent="0.3">
      <c r="B209" s="17">
        <v>202</v>
      </c>
      <c r="C209" s="27" t="s">
        <v>1057</v>
      </c>
      <c r="D209" s="17"/>
      <c r="E209" s="29" t="str">
        <f>IFERROR(VLOOKUP(C209,기출문제!D:G,3,0),"")</f>
        <v>87. 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
① 70, 80
② 80, 80
③ 80, 90
④ 85, 90
⑤ 90, 90</v>
      </c>
      <c r="F209" s="30">
        <f>IFERROR(VLOOKUP(C209,기출문제!D:G,4,0),"")</f>
        <v>3</v>
      </c>
      <c r="G209" s="31" t="str">
        <f t="shared" si="3"/>
        <v/>
      </c>
      <c r="J209" s="23"/>
    </row>
    <row r="210" spans="2:10" s="21" customFormat="1" ht="85.5" x14ac:dyDescent="0.3">
      <c r="B210" s="17">
        <v>203</v>
      </c>
      <c r="C210" s="27" t="s">
        <v>1058</v>
      </c>
      <c r="D210" s="17"/>
      <c r="E210" s="32" t="str">
        <f>IFERROR(VLOOKUP(C210,기출문제!D:G,3,0),"")</f>
        <v>88. 산업재해보상보험법령상 특수형태근로종사자가 아닌 것은?
① 한국표준직업분류표의 세분류에 따른 택배원인 사람으로서 택배사업에서 배송업무를 하는 사람
② 농업협동조합법에 따른 공제를 모집하는 사람
③ 대부업 등의 등록 및 금융이용자 보호에 관한 법률 제3조제1항 단서에 따른 대출모집인
④ 여신전문금융업법 제14조의2제1항제2호에 따른 신용카드회원 모집인
⑤ 고용노동부장관이 정하는 기준에 따라 주로 하나의 대리운전업자로부터 업무를 의뢰받아 대리운전업무를 하는 사람</v>
      </c>
      <c r="F210" s="30">
        <f>IFERROR(VLOOKUP(C210,기출문제!D:G,4,0),"")</f>
        <v>2</v>
      </c>
      <c r="G210" s="31" t="str">
        <f t="shared" si="3"/>
        <v/>
      </c>
      <c r="J210" s="23"/>
    </row>
    <row r="211" spans="2:10" s="21" customFormat="1" ht="128.25" x14ac:dyDescent="0.3">
      <c r="B211" s="17">
        <v>204</v>
      </c>
      <c r="C211" s="27" t="s">
        <v>1059</v>
      </c>
      <c r="D211" s="17"/>
      <c r="E211" s="29" t="str">
        <f>IFERROR(VLOOKUP(C211,기출문제!D:G,3,0),"")</f>
        <v>89. 산업재해보상보험법상 다음 내용으로 옳은 것은?
① 보험급여는 지급 결정일부터 30일 이내에 지급하여야 한다.
② 수급권자 및 보험가입자는 제3자의 행위로 재해가 발생하면 30일 이내에 근로복지공단에 신고하여야 한다.
③ 진폐의 진단결과에 대하여 진폐병형 및 합병증 등을 심사하기 위하여 안전보건공단에 관계 전문가 등으로 구성된 진폐심사회의를 둔다.
④ 근로복지공단은 산재보험 의료기관이 요양급여의 산정 기준을 위반하여 부당하게 진료비를 지급받은 경우에는 그 진료비의 2배에 해당하는 금액을 징수하여야 한다.
⑤ 근로복지공단은 보험급여를 받은 자가 거짓이나 그 밖의 부정한 방법으로 보험급여를 받은 경우에는 그 급여액의 2배에 해당하는 금액을 징수하여야 한다.</v>
      </c>
      <c r="F211" s="30">
        <f>IFERROR(VLOOKUP(C211,기출문제!D:G,4,0),"")</f>
        <v>5</v>
      </c>
      <c r="G211" s="31" t="str">
        <f t="shared" si="3"/>
        <v/>
      </c>
      <c r="J211" s="23"/>
    </row>
    <row r="212" spans="2:10" s="21" customFormat="1" ht="85.5" x14ac:dyDescent="0.3">
      <c r="B212" s="17">
        <v>205</v>
      </c>
      <c r="C212" s="27" t="s">
        <v>1060</v>
      </c>
      <c r="D212" s="17"/>
      <c r="E212" s="29" t="str">
        <f>IFERROR(VLOOKUP(C212,기출문제!D:G,3,0),"")</f>
        <v>90. 산업재해보상보험법령상 산업재해보상보험및예방심의위원회의 위원의 임기 등과 관련한 내용으로 옳지 않은 것은?
① 위원의 임기는 3년으로 하며, 연임할 수 없다.
② 보궐위원의 임기는 전임자의 남은 임기로 한다.
③ 고용노동부장관은 심신장애로 인하여 직무를 수행할 수 없게 된 경우 해당 위원을 해촉(解囑)할 수 있다.
④ 고용노동부장관은 직무와 관련된 비위사실이 있는 경우 해당 위원을 해촉(解囑)할 수 있다.
⑤ 고용노동부장관은 위원 스스로 직무를 수행하는 것이 곤란하다고 의사를 밝히는 경우 해당 위원을 해촉(解囑)할 수 있다.</v>
      </c>
      <c r="F212" s="30">
        <f>IFERROR(VLOOKUP(C212,기출문제!D:G,4,0),"")</f>
        <v>1</v>
      </c>
      <c r="G212" s="31" t="str">
        <f t="shared" si="3"/>
        <v/>
      </c>
      <c r="J212" s="23"/>
    </row>
    <row r="213" spans="2:10" s="21" customFormat="1" ht="114" x14ac:dyDescent="0.3">
      <c r="B213" s="17">
        <v>206</v>
      </c>
      <c r="C213" s="27" t="s">
        <v>1061</v>
      </c>
      <c r="D213" s="17"/>
      <c r="E213" s="29" t="str">
        <f>IFERROR(VLOOKUP(C213,기출문제!D:G,3,0),"")</f>
        <v>91. 산업재해보상보험법에 관한 설명으로 옳은 것은?
① "장해"란 부상 또는 질병이 완치되거나 치료의 효과를 더 이상 기대할 수 없고 그 증상이 고정된 상태에 이르게 된 것을 말한다.
② 근로복지공단의 이사장은 산업재해 예방 사업에 필요한 재원을 확보하고, 보험급여에 충당하기 위하여 산업재해보상보험및예방기금을 설치・운용한다.
③ 산업재해보상보험심사위원회는 근로복지공단에 두며, 산업재해보상보험재심사위원회는 고용노동부에 둔다.
④ "업무상의 사고"란 업무상의 사유에 따른 근로자의 부상, 질병, 장해 또는 사망을 말한다.
⑤ 근로복지공단은 심사청구서를 받은 날부터 90일 이내에 산업재해보상보험심사위원회의 심의를 거쳐 심사 청구에 대한 결정을 하여야 한다.</v>
      </c>
      <c r="F213" s="30">
        <f>IFERROR(VLOOKUP(C213,기출문제!D:G,4,0),"")</f>
        <v>3</v>
      </c>
      <c r="G213" s="31" t="str">
        <f t="shared" si="3"/>
        <v/>
      </c>
      <c r="J213" s="23"/>
    </row>
    <row r="214" spans="2:10" s="21" customFormat="1" ht="114" x14ac:dyDescent="0.3">
      <c r="B214" s="17">
        <v>207</v>
      </c>
      <c r="C214" s="27" t="s">
        <v>1062</v>
      </c>
      <c r="D214" s="17"/>
      <c r="E214" s="29" t="str">
        <f>IFERROR(VLOOKUP(C214,기출문제!D:G,3,0),"")</f>
        <v>92. 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
① 10, 60, 55
② 10, 60, 60
③ 10, 65, 60
④ 20, 60, 55
⑤ 20, 65, 60</v>
      </c>
      <c r="F214" s="30">
        <f>IFERROR(VLOOKUP(C214,기출문제!D:G,4,0),"")</f>
        <v>1</v>
      </c>
      <c r="G214" s="31" t="str">
        <f t="shared" si="3"/>
        <v/>
      </c>
      <c r="J214" s="23"/>
    </row>
    <row r="215" spans="2:10" s="21" customFormat="1" ht="99.75" x14ac:dyDescent="0.3">
      <c r="B215" s="17">
        <v>208</v>
      </c>
      <c r="C215" s="27" t="s">
        <v>1063</v>
      </c>
      <c r="D215" s="17"/>
      <c r="E215" s="29" t="str">
        <f>IFERROR(VLOOKUP(C215,기출문제!D:G,3,0),"")</f>
        <v>93. 국민연금법상 시효에 관한 설명으로 옳지 않은 것은?
① 연금보험료를 징수할 권리는 3년간 행사하지 아니하면 소멸시효가 완성된다.
② 환수금을 환수할 권리는 3년간 행사하지 아니하면 소멸시효가 완성된다.
③ 급여를 받거나 과오납금을 반환받을 수급권자 또는 가입자 등의 권리는 3년간 행사하지 아니하면 소멸시효가 완성된다.
④ 급여를 지급받을 권리는 그 급여 전액에 대하여 지급이 정지되어 있는 동안은 시효가 진행되지 아니한다.
⑤ 급여의 지급이나 과오납금 등의 반환청구에 관한 기간을 계산할 때 그 서류의 송달에 들어간 일수는 그 기간에 산입하지 아니한다.</v>
      </c>
      <c r="F215" s="30">
        <f>IFERROR(VLOOKUP(C215,기출문제!D:G,4,0),"")</f>
        <v>3</v>
      </c>
      <c r="G215" s="31" t="str">
        <f t="shared" si="3"/>
        <v/>
      </c>
      <c r="J215" s="23"/>
    </row>
    <row r="216" spans="2:10" s="21" customFormat="1" ht="85.5" x14ac:dyDescent="0.3">
      <c r="B216" s="17">
        <v>209</v>
      </c>
      <c r="C216" s="27" t="s">
        <v>1064</v>
      </c>
      <c r="D216" s="17"/>
      <c r="E216" s="29" t="str">
        <f>IFERROR(VLOOKUP(C216,기출문제!D:G,3,0),"")</f>
        <v>94. 국민건강보험법상 가입자의 자격변동 시기에 해당하지 않는 것은?
① 지역가입자가 적용대상사업장의 사용자로 된 날
② 직장가입자가 다른 적용대상사업장의 근로자로 사용된 날
③ 직장가입자인 근로자등이 그 사용관계가 끝난 날
④ 지역가입자가 적용대상사업장의 근로자로 사용된 날
⑤ 지역가입자가 다른 세대로 전입한 날</v>
      </c>
      <c r="F216" s="30">
        <f>IFERROR(VLOOKUP(C216,기출문제!D:G,4,0),"")</f>
        <v>3</v>
      </c>
      <c r="G216" s="31" t="str">
        <f t="shared" si="3"/>
        <v/>
      </c>
      <c r="J216" s="23"/>
    </row>
    <row r="217" spans="2:10" s="21" customFormat="1" ht="99.75" x14ac:dyDescent="0.3">
      <c r="B217" s="17">
        <v>210</v>
      </c>
      <c r="C217" s="27" t="s">
        <v>1065</v>
      </c>
      <c r="D217" s="17"/>
      <c r="E217" s="29" t="str">
        <f>IFERROR(VLOOKUP(C217,기출문제!D:G,3,0),"")</f>
        <v>95. 국민건강보험법상 다음 설명으로 옳지 않은 것은?
① 직장가입자의 보수월액보험료는 사용자가 납부한다.
② 직장가입자의 보수월액보험료는 보수월액에 보험료율을 곱하여 얻은 금액으로 한다.
③ 직장가입자의 보수월액은 직장가입자가 지급받는 보수를 기준으로 하여 산정하되, 상한과 하한을 정할 수 있다.
④ 국민건강보험공단 또는 건강보험심사평가원의 이의신청에 대한 결정에 불복하는 자는 보건복지부에 둔 건강보험분쟁조정위원회에 심판청구를 할 수 있다.
⑤ 이의신청은 처분이 있음을 안 날부터 60일 이내, 처분이 있은 날부터 180일 이내에 하여야 한다.</v>
      </c>
      <c r="F217" s="30">
        <f>IFERROR(VLOOKUP(C217,기출문제!D:G,4,0),"")</f>
        <v>5</v>
      </c>
      <c r="G217" s="31" t="str">
        <f t="shared" si="3"/>
        <v/>
      </c>
      <c r="J217" s="23"/>
    </row>
    <row r="218" spans="2:10" s="21" customFormat="1" ht="99.75" x14ac:dyDescent="0.3">
      <c r="B218" s="17">
        <v>211</v>
      </c>
      <c r="C218" s="27" t="s">
        <v>1066</v>
      </c>
      <c r="D218" s="17"/>
      <c r="E218" s="29" t="str">
        <f>IFERROR(VLOOKUP(C218,기출문제!D:G,3,0),"")</f>
        <v>96. 고용보험 및 산업재해보상보험의 보험료 징수 등에 관한 법률상 소멸시효 등 보칙에 관한 설명으로 옳은 것은?
① 보험료를 반환받을 수 있는 권리는 1년간 행사하지 아니하면 시효로 인하여 소멸한다.
② 월별보험료 납입을 전자문서로 고지한 경우에는 소멸시효가 중단되지 않는다.
③ 사업종류의 변경으로 보험료 납부방법이 변경되는 경우에는 사업종류의 변경일을 변경 전 사업 폐지일로, 사업종류의 변경일 다음 날을 새로운 사업성립일로 본다.
④ 보험료 과납액의 반환을 청구하는 경우에는 소멸시효가 중단되지 않는다.
⑤ 이 법에 따른 체납처분 절차에 따라 하는 교부청구로 중단된 소멸시효는 교부청구 중의 기간이 지난 때부터 새로 진행한다.</v>
      </c>
      <c r="F218" s="30">
        <f>IFERROR(VLOOKUP(C218,기출문제!D:G,4,0),"")</f>
        <v>5</v>
      </c>
      <c r="G218" s="31" t="str">
        <f t="shared" si="3"/>
        <v/>
      </c>
      <c r="J218" s="23"/>
    </row>
    <row r="219" spans="2:10" s="21" customFormat="1" ht="114" x14ac:dyDescent="0.3">
      <c r="B219" s="17">
        <v>212</v>
      </c>
      <c r="C219" s="27" t="s">
        <v>1067</v>
      </c>
      <c r="D219" s="17"/>
      <c r="E219" s="29" t="str">
        <f>IFERROR(VLOOKUP(C219,기출문제!D:G,3,0),"")</f>
        <v>97. 고용보험 및 산업재해보상보험의 보험료 징수 등에 관한 법령상 고용노동부장관이 정하여 고시하는 금액(기준보수)에 관한 설명으로 옳지 않은 것은?
① 사업의 도산으로 보수를 확인하기 곤란한 경우 기준보수를 보수로 할 수 있다.
② 사업장의 이전으로 사업의 소재지를 파악하기 곤란한 경우 기준보수를 보수로 할 수 있다.
③ 근로일에 따라 일당 형식의 보수를 지급받는 근로자에게는 주당 소정근로시간을 실제 근로한 시간으로 보아 일단위 기준보수를 적용한다.
④ 통상근로자로서 월정액으로 보수를 지급받는 근로자에게는 월단위 기준보수를 적용한다.
⑤ 시간급근로자 또는 일급근로자임이 명확하지 아니한 경우에는 월단위 기준보수를 적용한다.</v>
      </c>
      <c r="F219" s="30">
        <f>IFERROR(VLOOKUP(C219,기출문제!D:G,4,0),"")</f>
        <v>3</v>
      </c>
      <c r="G219" s="31" t="str">
        <f t="shared" si="3"/>
        <v/>
      </c>
      <c r="J219" s="23"/>
    </row>
    <row r="220" spans="2:10" s="21" customFormat="1" ht="114" x14ac:dyDescent="0.3">
      <c r="B220" s="17">
        <v>213</v>
      </c>
      <c r="C220" s="27" t="s">
        <v>1068</v>
      </c>
      <c r="D220" s="17"/>
      <c r="E220" s="29" t="str">
        <f>IFERROR(VLOOKUP(C220,기출문제!D:G,3,0),"")</f>
        <v>98. 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
① 10, 2, 15
② 10, 3, 15
③ 15, 2, 15
④ 15, 3, 15
⑤ 20, 2, 15</v>
      </c>
      <c r="F220" s="30">
        <f>IFERROR(VLOOKUP(C220,기출문제!D:G,4,0),"")</f>
        <v>2</v>
      </c>
      <c r="G220" s="31" t="str">
        <f t="shared" si="3"/>
        <v/>
      </c>
      <c r="J220" s="23"/>
    </row>
    <row r="221" spans="2:10" s="21" customFormat="1" ht="142.5" x14ac:dyDescent="0.3">
      <c r="B221" s="17">
        <v>214</v>
      </c>
      <c r="C221" s="27" t="s">
        <v>1069</v>
      </c>
      <c r="D221" s="17"/>
      <c r="E221" s="29" t="str">
        <f>IFERROR(VLOOKUP(C221,기출문제!D:G,3,0),"")</f>
        <v>99. 고용보험 및 산업재해보상보험의 보험료 징수 등에 관한 법령의 내용으로 옳은 것은?
① 고용보험료를 징수하는 경우, 근로자가 휴직기간 중에 사업주 외의 자로부터 지급받는 금품 일체는 보수에서 제외된다.
② "하수급인"이란 원수급인으로부터 그 사업의 전부 또는 일부를 도급받아 하는 자를 말하고, 그 자로부터 그 사업의 전부 또는 일부를 도급받아 하는 자는 제외한다.
③ 보험에 가입한 사업주는 그 이름, 사업의 소재지 등 대통령령으로 정하는 사항이 변경된 경우에는 그 날부터 7일 이내에 그 변경사항을 근로복지공단에 신고하여야 한다.
④ 근로기준법에 따른 출산전후휴가의 기간이 월의 중간에 종료된 경우에 그 근로자의 월별보험료는 해당 월의 다음 달부터 산정한다.
⑤ 보험사업에 드는 비용에 충당하기 위하여 보험가입자로부터 고용안정・직업능력개발사업 및 실업급여의 보험료, 육아휴직 급여 및 출산전후휴가 급여의 보험료, 산재보험의 보험료를 징수한다.</v>
      </c>
      <c r="F221" s="30">
        <f>IFERROR(VLOOKUP(C221,기출문제!D:G,4,0),"")</f>
        <v>4</v>
      </c>
      <c r="G221" s="31" t="str">
        <f t="shared" si="3"/>
        <v/>
      </c>
      <c r="J221" s="23"/>
    </row>
    <row r="222" spans="2:10" s="21" customFormat="1" ht="128.25" x14ac:dyDescent="0.3">
      <c r="B222" s="17">
        <v>215</v>
      </c>
      <c r="C222" s="27" t="s">
        <v>1070</v>
      </c>
      <c r="D222" s="17"/>
      <c r="E222" s="29" t="str">
        <f>IFERROR(VLOOKUP(C222,기출문제!D:G,3,0),"")</f>
        <v>100. 고용보험 및 산업재해보상보험의 보험료 징수 등에 관한 법률상 보험관계의 성립일 또는 소멸일에 관한 설명으로 옳은 것은?
① 보험에 가입한 하수급인의 경우에는 그 하도급공사의 착공일의 다음 날이 성립일이다.
② 가입사업주가 그 사업의 운영 중에 근로자를 고용하지 아니하게 된 때에 근로자를 사용하지 아니한 첫 날부터 1년이 되는 날이 소멸일이다.
③ 근로복지공단이 계속하여 보험관계를 유지할 수 없다고 인정하여 그 보험관계를 소멸시키는 경우에는 그 소멸을 결정・통지한 날의 다음 날이 소멸일이다.
④ 근로복지공단의 승인을 얻어 가입한 보험계약을 해지하는 경우에는 그 해지에 관하여 근로복지공단의 승인을 받은 날이 소멸일이다.
⑤ 일괄적용을 받는 사업의 경우에는 처음하는 사업이 시작된 날의 다음 날이 성립일이다.</v>
      </c>
      <c r="F222" s="30">
        <f>IFERROR(VLOOKUP(C222,기출문제!D:G,4,0),"")</f>
        <v>3</v>
      </c>
      <c r="G222" s="31" t="str">
        <f t="shared" si="3"/>
        <v/>
      </c>
      <c r="J222" s="23"/>
    </row>
    <row r="223" spans="2:10" s="21" customFormat="1" ht="114" x14ac:dyDescent="0.3">
      <c r="B223" s="17">
        <v>216</v>
      </c>
      <c r="C223" s="27" t="s">
        <v>253</v>
      </c>
      <c r="D223" s="17"/>
      <c r="E223" s="29" t="str">
        <f>IFERROR(VLOOKUP(C223,기출문제!D:G,3,0),"")</f>
        <v>76. 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
① 사회보험, 공공부조, 사회안전망
② 공공부조, 사회서비스, 사회안전망
③ 사회보험, 공공부조, 사회서비스
④ 사회서비스, 사회안전망, 사회보험
⑤ 보편적 복지, 공공부조, 사회서비스</v>
      </c>
      <c r="F223" s="30">
        <f>IFERROR(VLOOKUP(C223,기출문제!D:G,4,0),"")</f>
        <v>3</v>
      </c>
      <c r="G223" s="31" t="str">
        <f t="shared" si="3"/>
        <v/>
      </c>
      <c r="J223" s="23"/>
    </row>
    <row r="224" spans="2:10" s="21" customFormat="1" ht="85.5" x14ac:dyDescent="0.3">
      <c r="B224" s="17">
        <v>217</v>
      </c>
      <c r="C224" s="27" t="s">
        <v>842</v>
      </c>
      <c r="D224" s="17"/>
      <c r="E224" s="29" t="str">
        <f>IFERROR(VLOOKUP(C224,기출문제!D:G,3,0),"")</f>
        <v>77. 사회보장기본법령상 사회보장위원회의 구성에 관한 설명으로 옳은 것은?
① 농림축산식품부장관, 환경부장관은 위원회의 위원이다.
② 대통령이 위촉한 근로자를 대표하는 위원은 어떤 경우에도 해촉될 수 없다.
③ 보궐위원의 임기는 2년으로 한다.
④ 위원회의 위원장은 행정자치부장관이 된다.
⑤ 위원회의 사무를 효율적으로 처리하기 위하여 행정자치부에 사무국을 둔다.</v>
      </c>
      <c r="F224" s="30">
        <f>IFERROR(VLOOKUP(C224,기출문제!D:G,4,0),"")</f>
        <v>1</v>
      </c>
      <c r="G224" s="31" t="str">
        <f t="shared" si="3"/>
        <v/>
      </c>
      <c r="J224" s="23"/>
    </row>
    <row r="225" spans="2:10" s="21" customFormat="1" ht="99.75" x14ac:dyDescent="0.3">
      <c r="B225" s="17">
        <v>218</v>
      </c>
      <c r="C225" s="27" t="s">
        <v>843</v>
      </c>
      <c r="D225" s="17"/>
      <c r="E225" s="29" t="str">
        <f>IFERROR(VLOOKUP(C225,기출문제!D:G,3,0),"")</f>
        <v>78. 사회보장기본법상 내용으로 옳지 않은 것은?
① 국가와 지방자치단체는 모든 국민의 인간다운 생활을 유지・증진하는 책임을 가진다.
② 국가와 지방자치단체는 사회보장에 관한 책임과 역할을 합리적으로 분담하여야 한다.
③ 국가와 지방자치단체는 국가 발전수준에 부응하고 사회환경의 변화에 선제적으로 대응하며 지속가능한 사회보장제도를 확립하고 매년 이에 필요한 재원을 조달하여야 한다.
④ 국가와 지방자치단체는 가정이 건전하게 유지되고 그 기능이 향상되도록 노력하여야 한다.
⑤ 국가와 지방자치단체는 중장기 사회보장 재정추계를 격년으로 실시하고 이를 공표하여야 한다.</v>
      </c>
      <c r="F225" s="30">
        <f>IFERROR(VLOOKUP(C225,기출문제!D:G,4,0),"")</f>
        <v>5</v>
      </c>
      <c r="G225" s="31" t="str">
        <f t="shared" si="3"/>
        <v/>
      </c>
      <c r="J225" s="23"/>
    </row>
    <row r="226" spans="2:10" s="21" customFormat="1" ht="128.25" x14ac:dyDescent="0.3">
      <c r="B226" s="17">
        <v>219</v>
      </c>
      <c r="C226" s="27" t="s">
        <v>844</v>
      </c>
      <c r="D226" s="17"/>
      <c r="E226" s="29" t="str">
        <f>IFERROR(VLOOKUP(C226,기출문제!D:G,3,0),"")</f>
        <v>79. 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
① 10일
② 15일
③ 30일
④ 2개월
⑤ 3개월</v>
      </c>
      <c r="F226" s="30">
        <f>IFERROR(VLOOKUP(C226,기출문제!D:G,4,0),"")</f>
        <v>3</v>
      </c>
      <c r="G226" s="31" t="str">
        <f t="shared" si="3"/>
        <v/>
      </c>
      <c r="J226" s="23"/>
    </row>
    <row r="227" spans="2:10" s="21" customFormat="1" ht="114" x14ac:dyDescent="0.3">
      <c r="B227" s="17">
        <v>220</v>
      </c>
      <c r="C227" s="27" t="s">
        <v>845</v>
      </c>
      <c r="D227" s="17"/>
      <c r="E227" s="29" t="str">
        <f>IFERROR(VLOOKUP(C227,기출문제!D:G,3,0),"")</f>
        <v>80. 고용보험법령상 구직급여에 관한 설명으로 옳지 않은 것은?
① 구직급여를 받으려는 자는 이직 후 지체없이 직업안정기관에 출석하여 실업을 신고하여야 한다.
② 구직급여를 지급받기 위해 실업을 신고하려는 자가 사업주로부터 이직확인서를 발급받는 경우에는 이를 소재지 관할 직업안정기관의 장에게 제출하여야 한다.
③ 직업안정기관의 장은 수급자격 인정신청서를 제출한 자가 구직급여의 수급자격이 인정되지 아니하는 경우에는 그 신청인과 사업주에게 해당 사실을 알려야 한다.
④ 수급자격자가 주민등록번호를 변경하거나 정정한 경우에는 신청지 관할 직업안정기관의 장에게 신고하여야 한다.
⑤ 구직급여는 수급자격자가 실업한 상태에 있는 날 중에서 직업안정기관의 장으로 부터 인정을 받은 날에 대하여 지급한다.</v>
      </c>
      <c r="F227" s="30">
        <f>IFERROR(VLOOKUP(C227,기출문제!D:G,4,0),"")</f>
        <v>3</v>
      </c>
      <c r="G227" s="31" t="str">
        <f t="shared" si="3"/>
        <v/>
      </c>
      <c r="J227" s="23"/>
    </row>
    <row r="228" spans="2:10" s="21" customFormat="1" ht="114" x14ac:dyDescent="0.3">
      <c r="B228" s="17">
        <v>221</v>
      </c>
      <c r="C228" s="27" t="s">
        <v>846</v>
      </c>
      <c r="D228" s="17"/>
      <c r="E228" s="29" t="str">
        <f>IFERROR(VLOOKUP(C228,기출문제!D:G,3,0),"")</f>
        <v>81. 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
① 50만원
② 100만원
③ 실업급여수급계좌에 입금된 금액 전액
④ 실업급여수급계좌에 입금된 금액 반액
⑤ 실업급여수급계좌에 입금된 금액 일부</v>
      </c>
      <c r="F228" s="30">
        <f>IFERROR(VLOOKUP(C228,기출문제!D:G,4,0),"")</f>
        <v>3</v>
      </c>
      <c r="G228" s="31" t="str">
        <f t="shared" si="3"/>
        <v/>
      </c>
      <c r="J228" s="23"/>
    </row>
    <row r="229" spans="2:10" s="21" customFormat="1" ht="142.5" x14ac:dyDescent="0.3">
      <c r="B229" s="17">
        <v>222</v>
      </c>
      <c r="C229" s="27" t="s">
        <v>847</v>
      </c>
      <c r="D229" s="17"/>
      <c r="E229" s="29" t="str">
        <f>IFERROR(VLOOKUP(C229,기출문제!D:G,3,0),"")</f>
        <v>82. 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
① ㄱ
② ㄱ, ㄴ
③ ㄱ, ㄷ
④ ㄴ, ㄷ
⑤ ㄱ, ㄴ, ㄷ</v>
      </c>
      <c r="F229" s="30">
        <f>IFERROR(VLOOKUP(C229,기출문제!D:G,4,0),"")</f>
        <v>5</v>
      </c>
      <c r="G229" s="31" t="str">
        <f t="shared" si="3"/>
        <v/>
      </c>
      <c r="J229" s="23"/>
    </row>
    <row r="230" spans="2:10" s="21" customFormat="1" ht="85.5" x14ac:dyDescent="0.3">
      <c r="B230" s="17">
        <v>223</v>
      </c>
      <c r="C230" s="27" t="s">
        <v>848</v>
      </c>
      <c r="D230" s="17"/>
      <c r="E230" s="29" t="str">
        <f>IFERROR(VLOOKUP(C230,기출문제!D:G,3,0),"")</f>
        <v>83. 고용보험법령상 과태료 부과 대상이 아닌 것은?
① 사업주가 이직확인서를 거짓으로 작성하여 제출하는 경우
② 고용노동부장관이 부정수급 조사를 위하여 관계인의 출석을 요구함에도 출석을 거부하는 경우
③ 심사의 청구를 받아 하는 고용보험심사관의 질문에 거짓으로 진술한 경우
④ 사업주가 피보험자격 취득에 관한 확인청구를 한 것을 이유로 그 근로자에게 불이익한 처우를 한 경우
⑤ 사업주가 그 사업에 고용된 근로자의 피보험자격 취득에 관한 사항을 고용노동부장관에게 신고하지 아니한 경우</v>
      </c>
      <c r="F230" s="30">
        <f>IFERROR(VLOOKUP(C230,기출문제!D:G,4,0),"")</f>
        <v>4</v>
      </c>
      <c r="G230" s="31" t="str">
        <f t="shared" si="3"/>
        <v/>
      </c>
      <c r="J230" s="23"/>
    </row>
    <row r="231" spans="2:10" s="21" customFormat="1" ht="85.5" x14ac:dyDescent="0.3">
      <c r="B231" s="17">
        <v>224</v>
      </c>
      <c r="C231" s="27" t="s">
        <v>849</v>
      </c>
      <c r="D231" s="17"/>
      <c r="E231" s="29" t="str">
        <f>IFERROR(VLOOKUP(C231,기출문제!D:G,3,0),"")</f>
        <v>84. 고용보험법상 피보험기간이 2년일 경우 이직일 현재 연령에 따른 구직급여의 소정급여일수가 옳은 것은?
① 25세 장애인 : 180일
② 28세 비장애인 : 120일
③ 35세 비장애인 : 120일
④ 40세 비장애인 : 180일
⑤ 55세 장애인 : 210일</v>
      </c>
      <c r="F231" s="30">
        <f>IFERROR(VLOOKUP(C231,기출문제!D:G,4,0),"")</f>
        <v>1</v>
      </c>
      <c r="G231" s="31" t="str">
        <f t="shared" si="3"/>
        <v/>
      </c>
      <c r="J231" s="23"/>
    </row>
    <row r="232" spans="2:10" s="21" customFormat="1" ht="99.75" x14ac:dyDescent="0.3">
      <c r="B232" s="17">
        <v>225</v>
      </c>
      <c r="C232" s="27" t="s">
        <v>850</v>
      </c>
      <c r="D232" s="17"/>
      <c r="E232" s="29" t="str">
        <f>IFERROR(VLOOKUP(C232,기출문제!D:G,3,0),"")</f>
        <v>85. 산업재해보상보험법상 재요양을 받는 자에 대한 1일당 휴업급여 지급액을 산정한 결과가 최저임금액보다 적은 경우, 1일당 휴업급여 지급액은 얼마인가?
① 최저임금액의 100분의 70에 상당하는 금액
② 최저임금액
③ 최저임금액의 100분의 120에 상당하는 금액
④ 통상임금액의 100분의 60에 상당하는 금액
⑤ 통상임금액의 100분의 70에 상당하는 금액</v>
      </c>
      <c r="F232" s="30">
        <f>IFERROR(VLOOKUP(C232,기출문제!D:G,4,0),"")</f>
        <v>2</v>
      </c>
      <c r="G232" s="31" t="str">
        <f t="shared" si="3"/>
        <v/>
      </c>
      <c r="J232" s="23"/>
    </row>
    <row r="233" spans="2:10" s="21" customFormat="1" ht="85.5" x14ac:dyDescent="0.3">
      <c r="B233" s="17">
        <v>226</v>
      </c>
      <c r="C233" s="27" t="s">
        <v>851</v>
      </c>
      <c r="D233" s="17"/>
      <c r="E233" s="29" t="str">
        <f>IFERROR(VLOOKUP(C233,기출문제!D:G,3,0),"")</f>
        <v>86. 산업재해보상보험법상 직업재활급여에 관한 설명으로 옳지 않은 것은?
① 훈련대상자에 대한 직업훈련은 근로복지공단과 계약을 체결한 직업훈련기관에서 실시하게 한다.
② 상병보상연금을 받는 훈련대상자에게는 직업훈련수당을 지급하지 아니한다.
③ 직장적응훈련비의 지급기간은 3개월 이내로 한다.
④ 재활운동비는 장해급여자에게 직접 지급한다.
⑤ 직장복귀지원금의 지급기간은 12개월 이내로 한다.</v>
      </c>
      <c r="F233" s="30">
        <f>IFERROR(VLOOKUP(C233,기출문제!D:G,4,0),"")</f>
        <v>4</v>
      </c>
      <c r="G233" s="31" t="str">
        <f t="shared" si="3"/>
        <v/>
      </c>
      <c r="J233" s="23"/>
    </row>
    <row r="234" spans="2:10" s="21" customFormat="1" ht="85.5" x14ac:dyDescent="0.3">
      <c r="B234" s="17">
        <v>227</v>
      </c>
      <c r="C234" s="27" t="s">
        <v>852</v>
      </c>
      <c r="D234" s="17"/>
      <c r="E234" s="29" t="str">
        <f>IFERROR(VLOOKUP(C234,기출문제!D:G,3,0),"")</f>
        <v>87. 산업재해보상보험법령상 업무상 질병에 관한 설명으로 옳지 않은 것은?
① 신체부담업무의 수행 과정에서 발생한 일시적인 급격한 힘의 작용으로 근골격계 질병이 발병하면 업무상 질병으로 본다.
② 업무수행 과정에서 석면에 노출되어 발생한 석면폐증은 업무상 질병으로 본다.
③ 업무수행 과정에서 카드뮴 또는 그 화합물에 2년 이상 노출되어 발생한 후각신경마비는 업무상 질병으로 본다.
④ 업무수행 과정에서 고객의 폭언 등과 직접 관련된 스트레스로 생긴 우울병 에피소드는 업무상 질병으로 보지 않는다.
⑤ 업무와 관련하여 정신적 충격을 유발할 수 있는 사건에 의해 발생한 외상후스트레스장애는 업무상 질병으로 본다.</v>
      </c>
      <c r="F234" s="30">
        <f>IFERROR(VLOOKUP(C234,기출문제!D:G,4,0),"")</f>
        <v>4</v>
      </c>
      <c r="G234" s="31" t="str">
        <f t="shared" si="3"/>
        <v/>
      </c>
      <c r="J234" s="23"/>
    </row>
    <row r="235" spans="2:10" s="21" customFormat="1" ht="99.75" x14ac:dyDescent="0.3">
      <c r="B235" s="17">
        <v>228</v>
      </c>
      <c r="C235" s="27" t="s">
        <v>853</v>
      </c>
      <c r="D235" s="17"/>
      <c r="E235" s="29" t="str">
        <f>IFERROR(VLOOKUP(C235,기출문제!D:G,3,0),"")</f>
        <v>88. 산업재해보상보험법상 근로자가 업무상의 사유로 사망한 경우 그 장례를 지낸 유족에게 장례비를 지급한다. 이 때 장례비는 평균임금의 며칠분에 상당하는 금액을 지급하는가?
① 60일
② 90일
③ 120일
④ 150일
⑤ 180일</v>
      </c>
      <c r="F235" s="30">
        <f>IFERROR(VLOOKUP(C235,기출문제!D:G,4,0),"")</f>
        <v>3</v>
      </c>
      <c r="G235" s="31" t="str">
        <f t="shared" si="3"/>
        <v/>
      </c>
      <c r="J235" s="23"/>
    </row>
    <row r="236" spans="2:10" s="21" customFormat="1" ht="99.75" x14ac:dyDescent="0.3">
      <c r="B236" s="17">
        <v>229</v>
      </c>
      <c r="C236" s="27" t="s">
        <v>854</v>
      </c>
      <c r="D236" s="17"/>
      <c r="E236" s="29" t="str">
        <f>IFERROR(VLOOKUP(C236,기출문제!D:G,3,0),"")</f>
        <v>89. 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
① ㄱ: 1, ㄴ: 1
② ㄱ: 1, ㄴ: 2
③ ㄱ: 2, ㄴ: 1
④ ㄱ: 2, ㄴ: 2
⑤ ㄱ: 3, ㄴ: 2</v>
      </c>
      <c r="F236" s="30">
        <f>IFERROR(VLOOKUP(C236,기출문제!D:G,4,0),"")</f>
        <v>3</v>
      </c>
      <c r="G236" s="31" t="str">
        <f t="shared" si="3"/>
        <v/>
      </c>
      <c r="J236" s="23"/>
    </row>
    <row r="237" spans="2:10" s="21" customFormat="1" ht="85.5" x14ac:dyDescent="0.3">
      <c r="B237" s="17">
        <v>230</v>
      </c>
      <c r="C237" s="27" t="s">
        <v>855</v>
      </c>
      <c r="D237" s="17"/>
      <c r="E237" s="29" t="str">
        <f>IFERROR(VLOOKUP(C237,기출문제!D:G,3,0),"")</f>
        <v>90. 산업재해보상보험법령상 업무상 사고가 아닌 것은?
① 근로계약에 따른 업무수행 행위를 하던 중 발생한 사고
② 업무수행 과정에서 하는 용변 등 생리적 필요 행위를 하던 중 발생한 사고
③ 업무를 준비하거나 마무리하는 행위를 하던 중 발생한 사고
④ 업무에 따르는 필요적 부수행위를 하던 중 발생한 사고
⑤ 출장 중에 사적 행위 또는 정상적인 출장 경로를 벗어났을 때 발생한 사고</v>
      </c>
      <c r="F237" s="30">
        <f>IFERROR(VLOOKUP(C237,기출문제!D:G,4,0),"")</f>
        <v>5</v>
      </c>
      <c r="G237" s="31" t="str">
        <f t="shared" si="3"/>
        <v/>
      </c>
      <c r="J237" s="23"/>
    </row>
    <row r="238" spans="2:10" s="21" customFormat="1" ht="128.25" x14ac:dyDescent="0.3">
      <c r="B238" s="17">
        <v>231</v>
      </c>
      <c r="C238" s="27" t="s">
        <v>856</v>
      </c>
      <c r="D238" s="17"/>
      <c r="E238" s="29" t="str">
        <f>IFERROR(VLOOKUP(C238,기출문제!D:G,3,0),"")</f>
        <v>91. 국민연금법상 유족연금 수급권자의 유족연금 수급권이 소멸되는 사유를 모두 고른 것은?
ㄱ. 장애등급 2등급인 자녀가 19세가 된 때
ㄴ. 손자녀인 수급권자가 파양된 때
ㄷ. 배우자인 수급권자가 재혼한 때
① ㄱ
② ㄱ, ㄴ
③ ㄱ, ㄷ
④ ㄴ, ㄷ
⑤ ㄱ, ㄴ, ㄷ</v>
      </c>
      <c r="F238" s="30">
        <f>IFERROR(VLOOKUP(C238,기출문제!D:G,4,0),"")</f>
        <v>4</v>
      </c>
      <c r="G238" s="31" t="str">
        <f t="shared" si="3"/>
        <v/>
      </c>
      <c r="J238" s="23"/>
    </row>
    <row r="239" spans="2:10" s="21" customFormat="1" ht="128.25" x14ac:dyDescent="0.3">
      <c r="B239" s="17">
        <v>232</v>
      </c>
      <c r="C239" s="27" t="s">
        <v>857</v>
      </c>
      <c r="D239" s="17"/>
      <c r="E239" s="29" t="str">
        <f>IFERROR(VLOOKUP(C239,기출문제!D:G,3,0),"")</f>
        <v>92. 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① ㄱ: 10, ㄴ: 2
② ㄱ: 10, ㄴ: 3
③ ㄱ: 20, ㄴ: 2
④ ㄱ: 20, ㄴ: 3
⑤ ㄱ: 30, ㄴ: 2</v>
      </c>
      <c r="F239" s="30">
        <f>IFERROR(VLOOKUP(C239,기출문제!D:G,4,0),"")</f>
        <v>2</v>
      </c>
      <c r="G239" s="31" t="str">
        <f t="shared" si="3"/>
        <v/>
      </c>
      <c r="J239" s="23"/>
    </row>
    <row r="240" spans="2:10" s="21" customFormat="1" ht="85.5" x14ac:dyDescent="0.3">
      <c r="B240" s="17">
        <v>233</v>
      </c>
      <c r="C240" s="27" t="s">
        <v>858</v>
      </c>
      <c r="D240" s="17"/>
      <c r="E240" s="29" t="str">
        <f>IFERROR(VLOOKUP(C240,기출문제!D:G,3,0),"")</f>
        <v>93. 국민건강보험법상 보험료 부담 및 납부의무에 관한 설명으로 옳지 않은 것은?
① 직장가입자의 보수월액보험료는 직장가입자가 보험료액의 100분의 50을 부담한다.
② 직장가입자의 소득월액보험료는 직장가입자가 부담한다.
③ 지역가입자의 보험료는 그 가입자가 속한 세대의 지역가입자 전원이 연대하여 부담한다.
④ 직장가입자의 보수월액보험료는 사용자가 납부한다.
⑤ 공무원인 직장가입자의 보수월액보험료는 그 공무원이 소속되어 있는 국가 또는 지방자치단체가 보험료액의 전액을 부담한다.</v>
      </c>
      <c r="F240" s="30">
        <f>IFERROR(VLOOKUP(C240,기출문제!D:G,4,0),"")</f>
        <v>5</v>
      </c>
      <c r="G240" s="31" t="str">
        <f t="shared" si="3"/>
        <v/>
      </c>
      <c r="J240" s="23"/>
    </row>
    <row r="241" spans="2:10" s="21" customFormat="1" ht="85.5" x14ac:dyDescent="0.3">
      <c r="B241" s="17">
        <v>234</v>
      </c>
      <c r="C241" s="27" t="s">
        <v>859</v>
      </c>
      <c r="D241" s="17"/>
      <c r="E241" s="29" t="str">
        <f>IFERROR(VLOOKUP(C241,기출문제!D:G,3,0),"")</f>
        <v>94. 국민건강보험법상 보험급여의 정지 사유에 해당하는 것은?
① 고의로 인한 범죄행위에 그 원인이 있는 경우
② 국외에 체류하는 경우
③ 고의로 국민건강보험공단의 지시를 따르지 않은 경우
④ 중대한 과실로 국민건강보험공단에서 요구하는 문서나 물건을 제출하지 않은 경우
⑤ 업무로 생긴 질병으로 인해 다른 법령에 따라 보상을 받게 된 경우</v>
      </c>
      <c r="F241" s="30">
        <f>IFERROR(VLOOKUP(C241,기출문제!D:G,4,0),"")</f>
        <v>2</v>
      </c>
      <c r="G241" s="31" t="str">
        <f t="shared" si="3"/>
        <v/>
      </c>
      <c r="J241" s="23"/>
    </row>
    <row r="242" spans="2:10" s="21" customFormat="1" ht="142.5" x14ac:dyDescent="0.3">
      <c r="B242" s="17">
        <v>235</v>
      </c>
      <c r="C242" s="27" t="s">
        <v>860</v>
      </c>
      <c r="D242" s="17"/>
      <c r="E242" s="29" t="str">
        <f>IFERROR(VLOOKUP(C242,기출문제!D:G,3,0),"")</f>
        <v>95. 고용보험 및 산업재해보상보험의 보험료징수 등에 관한 법률상 보수총액 등의 신고에 관한 설명으로 옳은 것은?
① 사업주는 근로자를 새로 고용한 경우 그 근로자의 성명 등을 그 근로자를 고용한 날이 속하는 달의 말일까지 근로복지공단에 신고하여야 한다.
② 사업주는 사업의 폐지・종료 등으로 보험관계가 소멸한 때에는 그 보험관계가 소멸한 날이 속하는 달의 다음 달 15일까지 근로자에게 지급한 보수총액 등을 근로복지공단에 신고하여야 한다.
③ 사업주는 전년도에 근로자에게 지급한 보수총액 등을 매년 1월 말일까지 근로복지공단에 신고하여야 한다.
④ 사업주는 근로자가 휴직하는 경우에는 그 사유 발생일이 속하는 달의 다음 달 15일까지 그 사실을 근로복지공단에 신고하여야 한다.
⑤ 사업주는 근로자와 고용관계를 종료한 때에는 그 근로자에게 지급한 보수총액, 고용관계 종료일 등을 그 근로자의 고용관계가 종료한 날이 속하는 달의 다음 달 15일까지 근로복지공단에 신고하여야 한다.</v>
      </c>
      <c r="F242" s="30">
        <f>IFERROR(VLOOKUP(C242,기출문제!D:G,4,0),"")</f>
        <v>5</v>
      </c>
      <c r="G242" s="31" t="str">
        <f t="shared" si="3"/>
        <v/>
      </c>
      <c r="J242" s="23"/>
    </row>
    <row r="243" spans="2:10" s="21" customFormat="1" ht="128.25" x14ac:dyDescent="0.3">
      <c r="B243" s="17">
        <v>236</v>
      </c>
      <c r="C243" s="27" t="s">
        <v>861</v>
      </c>
      <c r="D243" s="17"/>
      <c r="E243" s="29" t="str">
        <f>IFERROR(VLOOKUP(C243,기출문제!D:G,3,0),"")</f>
        <v>96. 고용보험 및 산업재해보상보험의 보험료징수 등에 관한 법령에 관한 설명으로 옳은 것은?
① 해외파견자에 대한 산재보험의 가입을 승인하려면 직업안정법에 따른 국외근로자 공급사업이 아니어야 한다.
② 해외파견자에 대한 산재보험 가입의 승인을 받은 경우 파견예정자의 보험관계 성립일은 출국한 날의 다음 날이다.
③ 자영업자에 대한 특례에 따라 고용보험에 가입한 자영업자가 50명 이상의 근로자를 사용하게 된 경우에는 본인은 피보험자격을 유지할 수 없다.
④ 자영업자에게 적용하는 고용보험료율은 보험수지의 동향과 경제상황 등을 고려하여 정하는 데, 현재 고용안정・직업능력개발사업의 보험료율은 1천분의 25이다.
⑤ 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v>
      </c>
      <c r="F243" s="30">
        <f>IFERROR(VLOOKUP(C243,기출문제!D:G,4,0),"")</f>
        <v>1</v>
      </c>
      <c r="G243" s="31" t="str">
        <f t="shared" si="3"/>
        <v/>
      </c>
      <c r="J243" s="23"/>
    </row>
    <row r="244" spans="2:10" s="21" customFormat="1" ht="114" x14ac:dyDescent="0.3">
      <c r="B244" s="17">
        <v>237</v>
      </c>
      <c r="C244" s="27" t="s">
        <v>862</v>
      </c>
      <c r="D244" s="17"/>
      <c r="E244" s="29" t="str">
        <f>IFERROR(VLOOKUP(C244,기출문제!D:G,3,0),"")</f>
        <v>97. 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
① ㄱ: 55, ㄴ: 18
② ㄱ: 60, ㄴ: 18
③ ㄱ: 60, ㄴ: 25
④ ㄱ: 65, ㄴ: 18
⑤ ㄱ: 65, ㄴ: 25</v>
      </c>
      <c r="F244" s="30">
        <f>IFERROR(VLOOKUP(C244,기출문제!D:G,4,0),"")</f>
        <v>4</v>
      </c>
      <c r="G244" s="31" t="str">
        <f t="shared" si="3"/>
        <v/>
      </c>
      <c r="J244" s="23"/>
    </row>
    <row r="245" spans="2:10" s="21" customFormat="1" ht="114" x14ac:dyDescent="0.3">
      <c r="B245" s="17">
        <v>238</v>
      </c>
      <c r="C245" s="27" t="s">
        <v>863</v>
      </c>
      <c r="D245" s="17"/>
      <c r="E245" s="29" t="str">
        <f>IFERROR(VLOOKUP(C245,기출문제!D:G,3,0),"")</f>
        <v>98. 고용보험 및 산업재해보상보험의 보험료징수 등에 관한 법령상 보험가입자에 관한 설명으로 옳지 않은 것은?
① 고용보험을 적용받는 사업의 사업주와 근로자는 당연히 고용보험법에 따른 고용보험의 보험가입자가 된다.
② 산업재해보상보험법을 적용받는 사업의 사업주는 당연히 산업재해보상보험법에 따른 산업재해보상보험의 보험가입자가 된다.
③ 고용보험법에 따라 같은 법을 적용하지 아니하는 사업장의 근로자는 개별적으로 고용보험에 가입할 수 있다.
④ 산업재해보상보험법에 따라 같은 법을 적용하지 아니하는 사업의 사업주는 근로복지공단의 승인을 받아 산재보험에 가입할 수 있다.
⑤ 근로복지공단은 사업 실체가 없는 등의 사유로 계속하여 보험관계를 유지할 수 없다고 인정하는 경우에는 그 보험관계를 소멸시킬 수 있다.</v>
      </c>
      <c r="F245" s="30">
        <f>IFERROR(VLOOKUP(C245,기출문제!D:G,4,0),"")</f>
        <v>3</v>
      </c>
      <c r="G245" s="31" t="str">
        <f t="shared" si="3"/>
        <v/>
      </c>
      <c r="J245" s="23"/>
    </row>
    <row r="246" spans="2:10" s="21" customFormat="1" ht="156.75" x14ac:dyDescent="0.3">
      <c r="B246" s="17">
        <v>239</v>
      </c>
      <c r="C246" s="27" t="s">
        <v>864</v>
      </c>
      <c r="D246" s="17"/>
      <c r="E246" s="29" t="str">
        <f>IFERROR(VLOOKUP(C246,기출문제!D:G,3,0),"")</f>
        <v>99. 고용보험 및 산업재해보상보험의 보험료징수 등에 관한 법률상 고액・상습 체납자의 인적사항 공개에 관한 설명으로 옳지 않은 것은?
① 국민건강보험공단은 이 법에 따른 납부기한의 다음 날부터 1년이 지난 보험료의 총액이 1억원 이상인 체납자에 대하여는 그 인적사항등을 공개하여야 한다.
② 국민건강보험공단은 체납된 보험료, 이 법에 따른 그 밖의 징수금과 체납처분비와 관련하여 행정소송이 계류 중인 경우에는 체납자의 인적사항등을 공개할 수 없다.
③ 체납자의 인정사항등에 대한 공개 여부를 심의하기 위하여 국민건강보험공단에 보험료정보공개심의위원회를 둔다.
④ 국민건강보험공단은 보험료정보공개심의위원회의 심의를 거쳐 인정사항등의 공개가 결정된 자에 대하여 공개대상자임을 알림으로써 소명할 기회를 주어야 한다.
⑤ 체납자 인적사항등의 공개는 관보에 게재하거나, 고용・산재정보통신망 또는 국민건강보험공단 게시판에 게시하는 방법에 따른다.</v>
      </c>
      <c r="F246" s="30">
        <f>IFERROR(VLOOKUP(C246,기출문제!D:G,4,0),"")</f>
        <v>1</v>
      </c>
      <c r="G246" s="31" t="str">
        <f t="shared" si="3"/>
        <v/>
      </c>
      <c r="J246" s="23"/>
    </row>
    <row r="247" spans="2:10" s="21" customFormat="1" ht="114" x14ac:dyDescent="0.3">
      <c r="B247" s="17">
        <v>240</v>
      </c>
      <c r="C247" s="27" t="s">
        <v>865</v>
      </c>
      <c r="D247" s="17"/>
      <c r="E247" s="29" t="str">
        <f>IFERROR(VLOOKUP(C247,기출문제!D:G,3,0),"")</f>
        <v>100. 고용보험 및 산업재해보상보험의 보험료징수 등에 관한 법령상 산재보험료율의 구성은 다음과 같다. ( ) 안에 들어갈 내용으로 옳은 것은?
○ 산재보험료율(100%) = [산재보험급여지급률 + 추가지출률](ㄱ)% + 부가보험료율(ㄴ)%
① ㄱ: 70, ㄴ: 30
② ㄱ: 75, ㄴ: 25
③ ㄱ: 80, ㄴ: 20
④ ㄱ: 85, ㄴ: 15
⑤ ㄱ: 90, ㄴ: 10</v>
      </c>
      <c r="F247" s="30">
        <f>IFERROR(VLOOKUP(C247,기출문제!D:G,4,0),"")</f>
        <v>4</v>
      </c>
      <c r="G247" s="31" t="str">
        <f t="shared" si="3"/>
        <v/>
      </c>
      <c r="J247" s="23"/>
    </row>
    <row r="248" spans="2:10" s="21" customFormat="1" ht="114" x14ac:dyDescent="0.3">
      <c r="B248" s="17">
        <v>241</v>
      </c>
      <c r="C248" s="27" t="s">
        <v>288</v>
      </c>
      <c r="D248" s="17"/>
      <c r="E248" s="29" t="str">
        <f>IFERROR(VLOOKUP(C248,기출문제!D:G,3,0),"")</f>
        <v>76. 사회보장기본법상 사회보장정책의 기본방향에 관한 설명으로 옳지 않은 것은?
① 국가와 지방자치단체는 평생사회안전망을 구축・운영함에 있어 사회적 취약계층을 위한 공공부조를 마련하여 최저생활을 보장하여야 한다.
② 국가와 지방자치단체는 공공부문과 민간부문의 소득보장제도가 각각 독자적으로 구축될 수 있는 시책을 강구하여야 한다.
③ 국가와 지방자치단체는 모든 국민이 생애 동안 삶의 질을 유지・증진할 수 있도록 평생사회안전망을 구축하여야 한다.
④ 국가와 지방자치단체는 사회서비스 보장과 소득보장이 효과적이고 균형적으로 연계되도록 하여야 한다.
⑤ 국가와 지방자치단체는 모든 국민의 인간다운 생활과 자립, 사회참여, 자아실현 등을 지원하여 삶의 질이 향상될 수 있도록 사회서비스에 관한 시책을 마련하여야 한다.</v>
      </c>
      <c r="F248" s="30">
        <f>IFERROR(VLOOKUP(C248,기출문제!D:G,4,0),"")</f>
        <v>2</v>
      </c>
      <c r="G248" s="31" t="str">
        <f t="shared" si="3"/>
        <v/>
      </c>
      <c r="J248" s="23"/>
    </row>
    <row r="249" spans="2:10" s="21" customFormat="1" ht="128.25" x14ac:dyDescent="0.3">
      <c r="B249" s="17">
        <v>242</v>
      </c>
      <c r="C249" s="27" t="s">
        <v>816</v>
      </c>
      <c r="D249" s="17"/>
      <c r="E249" s="29" t="str">
        <f>IFERROR(VLOOKUP(C249,기출문제!D:G,3,0),"")</f>
        <v>77. 사회보장기본법상 사회보장위원회에 관한 설명으로 옳지 않은 것은?
① 사회보장에 관한 주요 시책을 심의・조정하기 위하여 국무총리 소속으로 사회보장위원회를 둔다.
② 관계 중앙행정기관의 장과 지방자치단체의 장은 사회보장위원회의 심의・조정사항을 반영하여 사회보장제도를 운영 또는 개선하여야 한다.
③ 사회보장위원회는 위원장 1명, 부위원장 3명과 행정자치부장관, 고용노동부장관, 여성가족부장관, 국토교통부장관을 포함한 20명 이내의 위원으로 구성한다.
④ 사회보장위원회의 위원장은 국무총리가 되고 부위원장은 기획재정부장관, 교육부장관 및 보건복지부장관이 된다.
⑤ 사회보장위원회를 효율적으로 운영하고 위원회의 심의사항을 전문적으로 검토하기 위하여 위원회에 실무위원회를 두며, 실무위원회에 분야별 전문위원회를 둘 수 있다.</v>
      </c>
      <c r="F249" s="30">
        <f>IFERROR(VLOOKUP(C249,기출문제!D:G,4,0),"")</f>
        <v>3</v>
      </c>
      <c r="G249" s="31" t="str">
        <f t="shared" si="3"/>
        <v/>
      </c>
      <c r="J249" s="23"/>
    </row>
    <row r="250" spans="2:10" s="21" customFormat="1" ht="114" x14ac:dyDescent="0.3">
      <c r="B250" s="17">
        <v>243</v>
      </c>
      <c r="C250" s="27" t="s">
        <v>817</v>
      </c>
      <c r="D250" s="17"/>
      <c r="E250" s="29" t="str">
        <f>IFERROR(VLOOKUP(C250,기출문제!D:G,3,0),"")</f>
        <v>78. 사회보장기본법상 사회보장급여와 사회보장수급권에 관한 설명으로 옳은 것은?
① 사회보장수급권은 구두로 포기할 수 있다.
② 사회보장급여는 관계 법령에 따라 국가나 지방자치단체에 신청하여야 한다. 다만, 관계 법령이 따로 정하는 경우는 국가나 지방자치단체가 직권으로 결정할 수 있다.
③ 사회보장수급권은 관계 법령에서 따로 정하고 있는 경우에 압류할 수 있다.
④ 국가와 지방자치단체는 관계 법령이 정하는 바에 따라 최저생계비와 최저임금을 매년 공표하여야 한다.
⑤ 사회보장급여를 다른 기관에 신청한 경우에는 그 기관은 지체 없이 이를 정당한 권한이 있는 기관에 이송하여야 한다. 이 경우 정당한 권한이 있는 기관에 이송된 날을 사회보장급여의 신청일로 본다.</v>
      </c>
      <c r="F250" s="30">
        <f>IFERROR(VLOOKUP(C250,기출문제!D:G,4,0),"")</f>
        <v>5</v>
      </c>
      <c r="G250" s="31" t="str">
        <f t="shared" si="3"/>
        <v/>
      </c>
      <c r="J250" s="23"/>
    </row>
    <row r="251" spans="2:10" s="21" customFormat="1" ht="171" x14ac:dyDescent="0.3">
      <c r="B251" s="17">
        <v>244</v>
      </c>
      <c r="C251" s="27" t="s">
        <v>818</v>
      </c>
      <c r="D251" s="17"/>
      <c r="E251" s="29" t="str">
        <f>IFERROR(VLOOKUP(C251,기출문제!D:G,3,0),"")</f>
        <v>79. 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
① ㄱ, ㄷ
② ㄴ, ㄹ
③ ㄱ, ㄴ, ㄷ
④ ㄱ, ㄷ, ㄹ
⑤ ㄴ, ㄷ, ㄹ</v>
      </c>
      <c r="F251" s="30">
        <f>IFERROR(VLOOKUP(C251,기출문제!D:G,4,0),"")</f>
        <v>3</v>
      </c>
      <c r="G251" s="31" t="str">
        <f t="shared" si="3"/>
        <v/>
      </c>
      <c r="J251" s="23"/>
    </row>
    <row r="252" spans="2:10" s="21" customFormat="1" ht="85.5" x14ac:dyDescent="0.3">
      <c r="B252" s="17">
        <v>245</v>
      </c>
      <c r="C252" s="27" t="s">
        <v>819</v>
      </c>
      <c r="D252" s="17"/>
      <c r="E252" s="29" t="str">
        <f>IFERROR(VLOOKUP(C252,기출문제!D:G,3,0),"")</f>
        <v>80. 고용보험법령상 고용안정・직업능력개발 사업의 내용으로 옳지 않은 것은?
① 고용창출의 지원
② 조기재취업 수당 지원
③ 고용유지지원금의 지급
④ 지역 고용의 촉진
⑤ 임금피크제 지원금의 지급</v>
      </c>
      <c r="F252" s="30">
        <f>IFERROR(VLOOKUP(C252,기출문제!D:G,4,0),"")</f>
        <v>2</v>
      </c>
      <c r="G252" s="31" t="str">
        <f t="shared" si="3"/>
        <v/>
      </c>
      <c r="J252" s="23"/>
    </row>
    <row r="253" spans="2:10" s="21" customFormat="1" ht="114" x14ac:dyDescent="0.3">
      <c r="B253" s="17">
        <v>246</v>
      </c>
      <c r="C253" s="27" t="s">
        <v>820</v>
      </c>
      <c r="D253" s="17"/>
      <c r="E253" s="29" t="str">
        <f>IFERROR(VLOOKUP(C253,기출문제!D:G,3,0),"")</f>
        <v>81. 고용보험법령상 급여에 관한 설명으로 옳은 것은?
① 이주비의 금액은 수급자격자 및 그 수급자격자에 의존하여 생계를 유지하는 동거친족의 이주에 일반적으로 드는 비용으로 하되, 그 금액의 산정은 고용노동부령으로 정하는 바에 따라 따른다.
② 근로자를 전혀 사용하지 아니하는 자영업자는 자신을 피보험자로 하여 조기재취업수당을 지급받을 수 있다.
③ 구직급여의 산정 기초가 되는 임금일액(기초일액)의 상한액은 9만 6천원이다.
④ 고용노동부장관은 고용조정이 불가피하게 된 사업주가 근로자에 대한 휴업을 실시한 경우, 근로자의 임금이 평균임금의 100분의 70 미만으로 감소할 때는 그 근로자에게도 필요한 지원을 할 수 있다.
⑤ 피보험자가 육아휴직 급여 기간 중에 그 사업에서 이직한 경우에도 육아휴직 급여를 지급한다.</v>
      </c>
      <c r="F253" s="30">
        <f>IFERROR(VLOOKUP(C253,기출문제!D:G,4,0),"")</f>
        <v>1</v>
      </c>
      <c r="G253" s="31" t="str">
        <f t="shared" si="3"/>
        <v/>
      </c>
      <c r="J253" s="23"/>
    </row>
    <row r="254" spans="2:10" s="21" customFormat="1" ht="128.25" x14ac:dyDescent="0.3">
      <c r="B254" s="17">
        <v>247</v>
      </c>
      <c r="C254" s="27" t="s">
        <v>821</v>
      </c>
      <c r="D254" s="17"/>
      <c r="E254" s="29" t="str">
        <f>IFERROR(VLOOKUP(C254,기출문제!D:G,3,0),"")</f>
        <v>82. 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
① ㄱ
② ㄱ, ㄴ
③ ㄱ, ㄷ
④ ㄴ, ㄷ
⑤ ㄱ, ㄴ, ㄷ</v>
      </c>
      <c r="F254" s="30">
        <f>IFERROR(VLOOKUP(C254,기출문제!D:G,4,0),"")</f>
        <v>3</v>
      </c>
      <c r="G254" s="31" t="str">
        <f t="shared" si="3"/>
        <v/>
      </c>
      <c r="J254" s="23"/>
    </row>
    <row r="255" spans="2:10" s="21" customFormat="1" ht="99.75" x14ac:dyDescent="0.3">
      <c r="B255" s="17">
        <v>248</v>
      </c>
      <c r="C255" s="27" t="s">
        <v>822</v>
      </c>
      <c r="D255" s="17"/>
      <c r="E255" s="29" t="str">
        <f>IFERROR(VLOOKUP(C255,기출문제!D:G,3,0),"")</f>
        <v>83. 고용보험법상 피보험자격의 취득일 및 상실일에 관한 설명으로 옳은 것은?
① 피보험자는 고용보험법이 적용되는 사업에 고용된 날의 다음 날에 피보험자격을 취득한다.
② 적용 제외 근로자였던 자가 고용보험법의 적용을 받게 된 경우에는 그 적용을 받게 된 날의 다음 날에 피보험자격을 취득한 것으로 본다.
③ 피보험자가 적용 제외 근로자에 해당하게 된 경우에는 그 적용 제외 대상자가 된 날의 다음 날에 피보험자격을 상실한다.
④ 보험관계가 소멸한 경우에는 그 보험관계가 소멸한 날의 다음 날에 피보험자격을 상실한다.
⑤ 피보험자가 이직한 경우에는 이직한 날의 다음 날에 피보험자격을 상실한다.</v>
      </c>
      <c r="F255" s="30">
        <f>IFERROR(VLOOKUP(C255,기출문제!D:G,4,0),"")</f>
        <v>5</v>
      </c>
      <c r="G255" s="31" t="str">
        <f t="shared" si="3"/>
        <v/>
      </c>
      <c r="J255" s="23"/>
    </row>
    <row r="256" spans="2:10" s="21" customFormat="1" ht="85.5" x14ac:dyDescent="0.3">
      <c r="B256" s="17">
        <v>249</v>
      </c>
      <c r="C256" s="27" t="s">
        <v>823</v>
      </c>
      <c r="D256" s="17"/>
      <c r="E256" s="29" t="str">
        <f>IFERROR(VLOOKUP(C256,기출문제!D:G,3,0),"")</f>
        <v>84. 고용보험법상 고용보험심사위원회의 재심사 청구에서 재심사 청구인의 대리인이 될 수 없는 자는?
① 청구인인 법인의 직원
② 청구인의 배우자
③ 청구인이 가입한 노동조합의 위원장
④ 변호사
⑤ 고용보험심사위원회의 허가를 받은 자</v>
      </c>
      <c r="F256" s="30">
        <f>IFERROR(VLOOKUP(C256,기출문제!D:G,4,0),"")</f>
        <v>3</v>
      </c>
      <c r="G256" s="31" t="str">
        <f t="shared" si="3"/>
        <v/>
      </c>
      <c r="J256" s="23"/>
    </row>
    <row r="257" spans="2:10" s="21" customFormat="1" ht="85.5" x14ac:dyDescent="0.3">
      <c r="B257" s="17">
        <v>250</v>
      </c>
      <c r="C257" s="27" t="s">
        <v>824</v>
      </c>
      <c r="D257" s="17"/>
      <c r="E257" s="29" t="str">
        <f>IFERROR(VLOOKUP(C257,기출문제!D:G,3,0),"")</f>
        <v>85. 고용보험법상 구직급여(상병급여)의 수급자격 제한 또는 지급 제한이 되지 않는 경우는?
① 중대한 귀책사유로 해고된 피보험자로서 정당한 사유 없이 근로계약 또는 취업규칙 등을 위반하여 장기간 무단 결근한 경우
② 자기 사정으로 이직한 피보험자로서 전직 또는 자영업을 하기 위하여 이직한 경우
③ 중대한 귀책사유가 있는 자가 해고되지 아니하고 사업주의 권고로 이직한 경우
④ 퇴직한 근로자로서 국민연금법에 의한 노령연금을 지급받는 경우
⑤ 실업신고 이후 산업재해보상보험법에 따른 휴업급여를 지급받을 수 있는 경우</v>
      </c>
      <c r="F257" s="30">
        <f>IFERROR(VLOOKUP(C257,기출문제!D:G,4,0),"")</f>
        <v>4</v>
      </c>
      <c r="G257" s="31" t="str">
        <f t="shared" si="3"/>
        <v/>
      </c>
      <c r="J257" s="23"/>
    </row>
    <row r="258" spans="2:10" s="21" customFormat="1" ht="114" x14ac:dyDescent="0.3">
      <c r="B258" s="17">
        <v>251</v>
      </c>
      <c r="C258" s="27" t="s">
        <v>825</v>
      </c>
      <c r="D258" s="17"/>
      <c r="E258" s="29" t="str">
        <f>IFERROR(VLOOKUP(C258,기출문제!D:G,3,0),"")</f>
        <v>86. 산업재해보상보험법상 심사 청구 및 재심사 청구에 관한 설명으로 옳은 것은?
① 근로복지공단은 심사 청구서를 받은 날부터 60일 이내에 결정을 하여야 하지만, 부득이한 사유로 그 기간 이내에 결정을 할 수 없으면 1차에 한하여 20일을 넘지 아니하는 범위에서 그 기간을 연장할 수 있다.
② 심사 청구 및 재심사 청구에 관하여 산업재해보상보험법에서 정하고 있지 아니한 사항에 대하여는 행정소송법에 따른다.
③ 업무상질병판정위원회의 심의를 거친 보험급여에 관한 결정에 불복하는 자는 근로복지공단에 심사 청구를 하지 아니하고는 산업재해보상보험재심사위원회에 재심사 청구를 할 수 없다.
④ 심사 청구는 보험급여 결정 등이 있음을 안 날로부터 180일 이내에 하여야 한다.
⑤ 재심사위원회의 위원장은 재심사위원회의 제청으로 고용노동부장관이 임명한다.</v>
      </c>
      <c r="F258" s="30">
        <f>IFERROR(VLOOKUP(C258,기출문제!D:G,4,0),"")</f>
        <v>1</v>
      </c>
      <c r="G258" s="31" t="str">
        <f t="shared" si="3"/>
        <v/>
      </c>
      <c r="J258" s="23"/>
    </row>
    <row r="259" spans="2:10" s="21" customFormat="1" ht="114" x14ac:dyDescent="0.3">
      <c r="B259" s="17">
        <v>252</v>
      </c>
      <c r="C259" s="27" t="s">
        <v>826</v>
      </c>
      <c r="D259" s="17"/>
      <c r="E259" s="29" t="str">
        <f>IFERROR(VLOOKUP(C259,기출문제!D:G,3,0),"")</f>
        <v>87. 산업재해보상보험법령상 재요양의 요건 및 절차에 해당하지 않는 것은?
① 치유된 업무상 부상 또는 질병과 재요양의 대상이 되는 부상 또는 질병 사이에 상당인과관계가 있을 것
② 재요양의 대상이 되는 부상 또는 질병의 상태가 치유 당시보다 악화된 경우로서 나이나 그 밖에 업무 외의 사유로 악화된 경우가 아닐 것
③ 재요양의 대상이 되는 부상 또는 질병의 상태가 재요양을 통해 호전되는 등 치료효과를 기대할 수 있을 것
④ 재요양을 받으려는 사람은 고용노동부령으로 정하는 바에 따라 공단에 재요양을 신청하여야 한다.
⑤ 업무상의 사유로 발생한 부상 또는 질병으로 인하여 요양 중으로서 그 부상 또는 질병의 상태가 치유 후에도 장해등급에 해당할 것이라는 내용의 의학적 소견이 있을 것</v>
      </c>
      <c r="F259" s="30">
        <f>IFERROR(VLOOKUP(C259,기출문제!D:G,4,0),"")</f>
        <v>5</v>
      </c>
      <c r="G259" s="31" t="str">
        <f t="shared" si="3"/>
        <v/>
      </c>
      <c r="J259" s="23"/>
    </row>
    <row r="260" spans="2:10" s="21" customFormat="1" ht="85.5" x14ac:dyDescent="0.3">
      <c r="B260" s="17">
        <v>253</v>
      </c>
      <c r="C260" s="27" t="s">
        <v>827</v>
      </c>
      <c r="D260" s="17"/>
      <c r="E260" s="29" t="str">
        <f>IFERROR(VLOOKUP(C260,기출문제!D:G,3,0),"")</f>
        <v>88. 산업재해보상보험법상 보험급여에 관한 설명으로 옳지 않은 것은?
① 진폐에 따른 보험급여의 종류는 요양급여, 간병급여, 장례비, 직업재활급여, 진폐보상연금 및 진폐유족연금으로 한다.
② 요양급여는 근로자가 업무상의 사유로 부상을 당하거나 질병에 걸린 경우에 그 보험가입자에게 지급한다.
③ 요양으로 취업하지 못한 기간이 3일 이내이면 휴업급여를 지급하지 아니한다.
④ 대한민국 국민이 아닌 장해보상연금의 수급권자가 외국에서 거주하기 위하여 출국하는 경우 그 수급권이 소멸한다.
⑤ 산업재해로 사망한 근로자의 배우자가 재혼한 때 유족보상연금 수급자격을 잃는다.</v>
      </c>
      <c r="F260" s="30">
        <f>IFERROR(VLOOKUP(C260,기출문제!D:G,4,0),"")</f>
        <v>2</v>
      </c>
      <c r="G260" s="31" t="str">
        <f t="shared" si="3"/>
        <v/>
      </c>
      <c r="J260" s="23"/>
    </row>
    <row r="261" spans="2:10" s="21" customFormat="1" ht="99.75" x14ac:dyDescent="0.3">
      <c r="B261" s="17">
        <v>254</v>
      </c>
      <c r="C261" s="27" t="s">
        <v>828</v>
      </c>
      <c r="D261" s="17"/>
      <c r="E261" s="29" t="str">
        <f>IFERROR(VLOOKUP(C261,기출문제!D:G,3,0),"")</f>
        <v>89. 산업재해보상보험법상 내용으로 옳은 것은?
① 근로복지공단은 대통령령이 정하는 바에 따라 회계연도마다 사업 운영계획과 예산에 관하여 고용노동부장관의 승인을 받아야 한다.
② 업무상 질병의 인정 여부를 심의하기 위하여 고용노동부에 업무상질병판정위원회를 둔다.
③ 산업재해보상보험심사위원회는 근로복지공단의 결정에 대한 심사 청구를 심의하기 위하여 고용노동부에 두는 기구이다.
④ 산업재해보상보험및예방기금은 근로복지공단 기금운영위원회가 관리・운용한다.
⑤ 국가는 회계연도마다 예산범위 안에서 보험사업에 드는 비용을 지원하여야 한다.</v>
      </c>
      <c r="F261" s="30">
        <f>IFERROR(VLOOKUP(C261,기출문제!D:G,4,0),"")</f>
        <v>1</v>
      </c>
      <c r="G261" s="31" t="str">
        <f t="shared" si="3"/>
        <v/>
      </c>
      <c r="J261" s="23"/>
    </row>
    <row r="262" spans="2:10" s="21" customFormat="1" ht="114" x14ac:dyDescent="0.3">
      <c r="B262" s="17">
        <v>255</v>
      </c>
      <c r="C262" s="27" t="s">
        <v>829</v>
      </c>
      <c r="D262" s="17"/>
      <c r="E262" s="29" t="str">
        <f>IFERROR(VLOOKUP(C262,기출문제!D:G,3,0),"")</f>
        <v>90. 산업재해보상보험법상 연금의 지급기간 및 지급시기에 관한 설명으로 옳은 것은?
① 장해보상연금의 지급은 그 지급사유가 발생한 달의 초일부터 시작된다.
② 유족보상연금의 지급은 그 지급받을 권리가 소멸한 달의 다음 달 말일에 끝난다.
③ 진폐유족연금은 그 지급을 정지할 사유가 발생한 때에는 그 사유가 발생한 달의 다음 달 초일부터 그 사유가 소멸한 달의 말일까지 지급하지 아니한다.
④ 진폐보상연금은 매년 이를 12등분하여 매달 25일에 그 달 치의 금액을 지급하되, 지급일이 토요일이거나 공휴일이면 그 다음날에 지급한다.
⑤ 유족보상연금의 지급은 그 지급사유가 발생한 달의 초일부터 시작된다.</v>
      </c>
      <c r="F262" s="30">
        <f>IFERROR(VLOOKUP(C262,기출문제!D:G,4,0),"")</f>
        <v>3</v>
      </c>
      <c r="G262" s="31" t="str">
        <f t="shared" si="3"/>
        <v/>
      </c>
      <c r="J262" s="23"/>
    </row>
    <row r="263" spans="2:10" s="21" customFormat="1" ht="142.5" x14ac:dyDescent="0.3">
      <c r="B263" s="17">
        <v>256</v>
      </c>
      <c r="C263" s="27" t="s">
        <v>830</v>
      </c>
      <c r="D263" s="17"/>
      <c r="E263" s="29" t="str">
        <f>IFERROR(VLOOKUP(C263,기출문제!D:G,3,0),"")</f>
        <v>91. 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
① ㄱ, ㄷ
② ㄴ, ㄹ
③ ㄱ, ㄴ, ㄷ
④ ㄱ, ㄴ, ㄹ
⑤ ㄴ, ㄷ, ㄹ</v>
      </c>
      <c r="F263" s="30">
        <f>IFERROR(VLOOKUP(C263,기출문제!D:G,4,0),"")</f>
        <v>3</v>
      </c>
      <c r="G263" s="31" t="str">
        <f t="shared" si="3"/>
        <v/>
      </c>
      <c r="J263" s="23"/>
    </row>
    <row r="264" spans="2:10" s="21" customFormat="1" ht="185.25" x14ac:dyDescent="0.3">
      <c r="B264" s="17">
        <v>257</v>
      </c>
      <c r="C264" s="27" t="s">
        <v>607</v>
      </c>
      <c r="D264" s="17"/>
      <c r="E264" s="29" t="str">
        <f>IFERROR(VLOOKUP(C264,기출문제!D:G,3,0),"")</f>
        <v>92. 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
① 20
② 21
③ 22
④ 23
⑤ 24</v>
      </c>
      <c r="F264" s="30">
        <f>IFERROR(VLOOKUP(C264,기출문제!D:G,4,0),"")</f>
        <v>4</v>
      </c>
      <c r="G264" s="31" t="str">
        <f t="shared" si="3"/>
        <v/>
      </c>
      <c r="J264" s="23"/>
    </row>
    <row r="265" spans="2:10" s="21" customFormat="1" ht="85.5" x14ac:dyDescent="0.3">
      <c r="B265" s="17">
        <v>258</v>
      </c>
      <c r="C265" s="27" t="s">
        <v>831</v>
      </c>
      <c r="D265" s="17"/>
      <c r="E265" s="29" t="str">
        <f>IFERROR(VLOOKUP(C265,기출문제!D:G,3,0),"")</f>
        <v>93. 국민연금법상 장애등급 3급에 해당하는 자에 대하여 지급하는 장애연금액은?
① 기본연금액의 100%
② 기본연금액의 90%에 부양가족연금액을 더한 금액
③ 기본연금액의 80%에 부양가족연금액을 더한 금액
④ 기본연금액의 70%에 부양가족연금액을 더한 금액
⑤ 기본연금액의 60%에 부양가족연금액을 더한 금액</v>
      </c>
      <c r="F265" s="30">
        <f>IFERROR(VLOOKUP(C265,기출문제!D:G,4,0),"")</f>
        <v>5</v>
      </c>
      <c r="G265" s="31" t="str">
        <f t="shared" ref="G265:G328" si="4">IF(D265="","",IF(D265=F265,"O", "X"))</f>
        <v/>
      </c>
      <c r="J265" s="23"/>
    </row>
    <row r="266" spans="2:10" s="21" customFormat="1" ht="114" x14ac:dyDescent="0.3">
      <c r="B266" s="17">
        <v>259</v>
      </c>
      <c r="C266" s="27" t="s">
        <v>832</v>
      </c>
      <c r="D266" s="17"/>
      <c r="E266" s="29" t="str">
        <f>IFERROR(VLOOKUP(C266,기출문제!D:G,3,0),"")</f>
        <v>94. 국민건강보험법령상 보험료에 관한 설명으로 옳지 않은 것은?
① 직장가입자의 보수월액보험료는 직장가입자가 납부한다.
② 보수가 지급되지 아니하는 사용자의 보수월액은 객관적인 자료를 통하여 확인된 금액으로 하고, 객관적인 자료가 없는 경우에는 사용자의 신고금액으로 한다.
③ 직장가입자의 소득월액보험료 및 지역가입자의 보험료는 분기별로 납부할 수 있다.
④ 직장가입자의 월별 보험료액은 보수월액에 보험료율을 곱하여 얻은 금액과 보수 외 소득월액에 보험료율을 곱하여 얻은 금액으로 한다.
⑤ 직장가입자의 소득월액보험료는 직장가입자가 전액 부담한다.</v>
      </c>
      <c r="F266" s="30">
        <f>IFERROR(VLOOKUP(C266,기출문제!D:G,4,0),"")</f>
        <v>1</v>
      </c>
      <c r="G266" s="31" t="str">
        <f t="shared" si="4"/>
        <v/>
      </c>
      <c r="J266" s="23"/>
    </row>
    <row r="267" spans="2:10" s="21" customFormat="1" ht="85.5" x14ac:dyDescent="0.3">
      <c r="B267" s="17">
        <v>260</v>
      </c>
      <c r="C267" s="27" t="s">
        <v>833</v>
      </c>
      <c r="D267" s="17"/>
      <c r="E267" s="29" t="str">
        <f>IFERROR(VLOOKUP(C267,기출문제!D:G,3,0),"")</f>
        <v>95. 국민건강보험법상 건강보험심사평가원의 관장 업무가 아닌 것은?
① 요양급여비용의 심사
② 요양급여의 적정성 평가
③ 심사기준 및 평가기준의 개발
④ 직장가입자의 보험료율에 대한 심사
⑤ 건강보험과 관련하여 보건복지부장관이 필요하다고 인정한 업무</v>
      </c>
      <c r="F267" s="30">
        <f>IFERROR(VLOOKUP(C267,기출문제!D:G,4,0),"")</f>
        <v>4</v>
      </c>
      <c r="G267" s="31" t="str">
        <f t="shared" si="4"/>
        <v/>
      </c>
      <c r="J267" s="23"/>
    </row>
    <row r="268" spans="2:10" s="21" customFormat="1" ht="99.75" x14ac:dyDescent="0.3">
      <c r="B268" s="17">
        <v>261</v>
      </c>
      <c r="C268" s="27" t="s">
        <v>834</v>
      </c>
      <c r="D268" s="17"/>
      <c r="E268" s="29" t="str">
        <f>IFERROR(VLOOKUP(C268,기출문제!D:G,3,0),"")</f>
        <v>96. 고용보험 및 산업재해보상보험의 보험료 징수 등에 관한 법률상 보험관계의 성립일 또는 소멸일에 해당하지 않는 것은?
① 보험에 가입한 하수급인의 경우에는 그 하도급공사의 착공일
② 사업이 폐업된 날의 다음 날
③ 사업 실체가 없는 등의 사유로 계속하여 보험관계를 유지할 수 없다고 인정하여 근로복지공단이 보험관계를 소멸시키는 경우에는 그 소멸을 결정・통지한 날의 다음 날
④ 근로복지공단의 승인을 얻어 가입한 보험계약을 해지하는 경우에는 그 해지에 관하여 공단의 승인을 받은 날
⑤ 사업이 끝난 날의 다음 날</v>
      </c>
      <c r="F268" s="30">
        <f>IFERROR(VLOOKUP(C268,기출문제!D:G,4,0),"")</f>
        <v>4</v>
      </c>
      <c r="G268" s="31" t="str">
        <f t="shared" si="4"/>
        <v/>
      </c>
      <c r="J268" s="23"/>
    </row>
    <row r="269" spans="2:10" s="21" customFormat="1" ht="128.25" x14ac:dyDescent="0.3">
      <c r="B269" s="17">
        <v>262</v>
      </c>
      <c r="C269" s="27" t="s">
        <v>835</v>
      </c>
      <c r="D269" s="17"/>
      <c r="E269" s="29" t="str">
        <f>IFERROR(VLOOKUP(C269,기출문제!D:G,3,0),"")</f>
        <v>97. 고용보험 및 산업재해보상보험의 보험료 징수 등에 관한 법률상 보험료율에 관한 설명으로 옳은 것은?
① 개별실적요율의 적용을 받는 사업의 산재보험료율은 100분의 75의 범위에서 대통령령으로 정하는 바에 따라 인상하거나 인하할 수 있다.
② 고용보험료율을 결정하거나 변경하려면 고용보험법에 따른 고용보험위원회의 심의를 거쳐야 한다.
③ 산재보험료율은 매년 6월 30일 현재 과거 2년 동안의 보수총액에 대한 산재보험급여총액의 비율을 기초로 하여 정한다.
④ 고용노동부장관은 특정 사업 종류의 산재보험료율이 전체 사업의 평균 산재보험료율의 10배를 초과하지 아니하도록 하여야 한다.
⑤ 특정 사업 종류의 산재보험료율이 인상되거나 인하되는 경우에는 직전 보험연도 산재보험료율의 100분의 20의 범위에서 조정하여야 한다.</v>
      </c>
      <c r="F269" s="30">
        <f>IFERROR(VLOOKUP(C269,기출문제!D:G,4,0),"")</f>
        <v>2</v>
      </c>
      <c r="G269" s="31" t="str">
        <f t="shared" si="4"/>
        <v/>
      </c>
      <c r="J269" s="23"/>
    </row>
    <row r="270" spans="2:10" s="21" customFormat="1" ht="99.75" x14ac:dyDescent="0.3">
      <c r="B270" s="17">
        <v>263</v>
      </c>
      <c r="C270" s="27" t="s">
        <v>836</v>
      </c>
      <c r="D270" s="17"/>
      <c r="E270" s="29" t="str">
        <f>IFERROR(VLOOKUP(C270,기출문제!D:G,3,0),"")</f>
        <v>98. 고용보험 및 산업재해보상보험의 보험료 징수 등에 관한 법률상 납부의무가 확정된 보험료의 총액이 600만원인 경우, 당해 보험료를 납부기한 전에 징수할 수 있는 사유로 옳지 않은 것은?
① 경매가 개시된 경우
② 국세를 체납한 경우
③ 강제집행을 받은 경우
④ 공과금을 체납하여 체납처분을 받은 경우
⑤ 어음법 및 수표법에 따른 어음교환소에서 거래정지처분을 받은 경우</v>
      </c>
      <c r="F270" s="30">
        <f>IFERROR(VLOOKUP(C270,기출문제!D:G,4,0),"")</f>
        <v>2</v>
      </c>
      <c r="G270" s="31" t="str">
        <f t="shared" si="4"/>
        <v/>
      </c>
      <c r="J270" s="23"/>
    </row>
    <row r="271" spans="2:10" s="21" customFormat="1" ht="114" x14ac:dyDescent="0.3">
      <c r="B271" s="17">
        <v>264</v>
      </c>
      <c r="C271" s="27" t="s">
        <v>837</v>
      </c>
      <c r="D271" s="17"/>
      <c r="E271" s="29" t="str">
        <f>IFERROR(VLOOKUP(C271,기출문제!D:G,3,0),"")</f>
        <v>99. 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
① 10
② 20
③ 30
④ 40
⑤ 50</v>
      </c>
      <c r="F271" s="30">
        <f>IFERROR(VLOOKUP(C271,기출문제!D:G,4,0),"")</f>
        <v>3</v>
      </c>
      <c r="G271" s="31" t="str">
        <f t="shared" si="4"/>
        <v/>
      </c>
      <c r="J271" s="23"/>
    </row>
    <row r="272" spans="2:10" s="21" customFormat="1" ht="99.75" x14ac:dyDescent="0.3">
      <c r="B272" s="17">
        <v>265</v>
      </c>
      <c r="C272" s="27" t="s">
        <v>838</v>
      </c>
      <c r="D272" s="17"/>
      <c r="E272" s="29" t="str">
        <f>IFERROR(VLOOKUP(C272,기출문제!D:G,3,0),"")</f>
        <v>100. 고용보험 및 산업재해보상보험의 보험료 징수 등에 관한 법률상 보험료에 관한 설명으로 옳은 것은?
① 고용보험료는 근로복지공단이 부과하고 이를 징수한다.
② 근로자가 월의 중간에 동일한 사업주의 하나의 사업장에서 다른 사업장으로 전근되는 경우 그 근로자에 대한 그 월별보험료는 해당 월의 다음 달부터 산정한다.
③ 사업주는 그 달의 월별보험료를 다음 달 15일까지 납부하여야 한다.
④ 근로복지공단은 사업주에게 문서로써 납부기한 10일 전까지 월별보험료의 납입을 고지하여야 한다.
⑤ 사업주는 전년도에 근로자에게 지급한 보수총액 등을 매년 1월 31일까지 근로복지공단에 신고하여야 한다.</v>
      </c>
      <c r="F272" s="30">
        <f>IFERROR(VLOOKUP(C272,기출문제!D:G,4,0),"")</f>
        <v>2</v>
      </c>
      <c r="G272" s="31" t="str">
        <f t="shared" si="4"/>
        <v/>
      </c>
      <c r="J272" s="23"/>
    </row>
    <row r="273" spans="2:10" s="21" customFormat="1" x14ac:dyDescent="0.3">
      <c r="B273" s="17">
        <v>266</v>
      </c>
      <c r="C273" s="27" t="s">
        <v>723</v>
      </c>
      <c r="D273" s="17"/>
      <c r="E273" s="29" t="str">
        <f>IFERROR(VLOOKUP(C273,기출문제!D:G,3,0),"")</f>
        <v/>
      </c>
      <c r="F273" s="30" t="str">
        <f>IFERROR(VLOOKUP(C273,기출문제!D:G,4,0),"")</f>
        <v/>
      </c>
      <c r="G273" s="31" t="str">
        <f t="shared" si="4"/>
        <v/>
      </c>
      <c r="J273" s="23"/>
    </row>
    <row r="274" spans="2:10" s="21" customFormat="1" x14ac:dyDescent="0.3">
      <c r="B274" s="17">
        <v>267</v>
      </c>
      <c r="C274" s="27" t="s">
        <v>723</v>
      </c>
      <c r="D274" s="17"/>
      <c r="E274" s="29" t="str">
        <f>IFERROR(VLOOKUP(C274,기출문제!D:G,3,0),"")</f>
        <v/>
      </c>
      <c r="F274" s="30" t="str">
        <f>IFERROR(VLOOKUP(C274,기출문제!D:G,4,0),"")</f>
        <v/>
      </c>
      <c r="G274" s="31" t="str">
        <f t="shared" si="4"/>
        <v/>
      </c>
      <c r="J274" s="23"/>
    </row>
    <row r="275" spans="2:10" s="21" customFormat="1" x14ac:dyDescent="0.3">
      <c r="B275" s="17">
        <v>268</v>
      </c>
      <c r="C275" s="27" t="s">
        <v>723</v>
      </c>
      <c r="D275" s="17"/>
      <c r="E275" s="29" t="str">
        <f>IFERROR(VLOOKUP(C275,기출문제!D:G,3,0),"")</f>
        <v/>
      </c>
      <c r="F275" s="30" t="str">
        <f>IFERROR(VLOOKUP(C275,기출문제!D:G,4,0),"")</f>
        <v/>
      </c>
      <c r="G275" s="31" t="str">
        <f t="shared" si="4"/>
        <v/>
      </c>
      <c r="J275" s="23"/>
    </row>
    <row r="276" spans="2:10" s="21" customFormat="1" x14ac:dyDescent="0.3">
      <c r="B276" s="17">
        <v>269</v>
      </c>
      <c r="C276" s="27" t="s">
        <v>723</v>
      </c>
      <c r="D276" s="17"/>
      <c r="E276" s="29" t="str">
        <f>IFERROR(VLOOKUP(C276,기출문제!D:G,3,0),"")</f>
        <v/>
      </c>
      <c r="F276" s="30" t="str">
        <f>IFERROR(VLOOKUP(C276,기출문제!D:G,4,0),"")</f>
        <v/>
      </c>
      <c r="G276" s="31" t="str">
        <f t="shared" si="4"/>
        <v/>
      </c>
      <c r="J276" s="23"/>
    </row>
    <row r="277" spans="2:10" s="21" customFormat="1" x14ac:dyDescent="0.3">
      <c r="B277" s="17">
        <v>270</v>
      </c>
      <c r="C277" s="27" t="s">
        <v>723</v>
      </c>
      <c r="D277" s="17"/>
      <c r="E277" s="29" t="str">
        <f>IFERROR(VLOOKUP(C277,기출문제!D:G,3,0),"")</f>
        <v/>
      </c>
      <c r="F277" s="30" t="str">
        <f>IFERROR(VLOOKUP(C277,기출문제!D:G,4,0),"")</f>
        <v/>
      </c>
      <c r="G277" s="31" t="str">
        <f t="shared" si="4"/>
        <v/>
      </c>
      <c r="J277" s="23"/>
    </row>
    <row r="278" spans="2:10" s="21" customFormat="1" x14ac:dyDescent="0.3">
      <c r="B278" s="17">
        <v>271</v>
      </c>
      <c r="C278" s="27" t="s">
        <v>723</v>
      </c>
      <c r="D278" s="17"/>
      <c r="E278" s="29" t="str">
        <f>IFERROR(VLOOKUP(C278,기출문제!D:G,3,0),"")</f>
        <v/>
      </c>
      <c r="F278" s="30" t="str">
        <f>IFERROR(VLOOKUP(C278,기출문제!D:G,4,0),"")</f>
        <v/>
      </c>
      <c r="G278" s="31" t="str">
        <f t="shared" si="4"/>
        <v/>
      </c>
      <c r="J278" s="23"/>
    </row>
    <row r="279" spans="2:10" s="21" customFormat="1" x14ac:dyDescent="0.3">
      <c r="B279" s="17">
        <v>272</v>
      </c>
      <c r="C279" s="27" t="s">
        <v>723</v>
      </c>
      <c r="D279" s="17"/>
      <c r="E279" s="29" t="str">
        <f>IFERROR(VLOOKUP(C279,기출문제!D:G,3,0),"")</f>
        <v/>
      </c>
      <c r="F279" s="30" t="str">
        <f>IFERROR(VLOOKUP(C279,기출문제!D:G,4,0),"")</f>
        <v/>
      </c>
      <c r="G279" s="31" t="str">
        <f t="shared" si="4"/>
        <v/>
      </c>
      <c r="J279" s="23"/>
    </row>
    <row r="280" spans="2:10" s="21" customFormat="1" x14ac:dyDescent="0.3">
      <c r="B280" s="17">
        <v>273</v>
      </c>
      <c r="C280" s="27" t="s">
        <v>723</v>
      </c>
      <c r="D280" s="17"/>
      <c r="E280" s="29" t="str">
        <f>IFERROR(VLOOKUP(C280,기출문제!D:G,3,0),"")</f>
        <v/>
      </c>
      <c r="F280" s="30" t="str">
        <f>IFERROR(VLOOKUP(C280,기출문제!D:G,4,0),"")</f>
        <v/>
      </c>
      <c r="G280" s="31" t="str">
        <f t="shared" si="4"/>
        <v/>
      </c>
      <c r="J280" s="23"/>
    </row>
    <row r="281" spans="2:10" s="21" customFormat="1" x14ac:dyDescent="0.3">
      <c r="B281" s="17">
        <v>274</v>
      </c>
      <c r="C281" s="27" t="s">
        <v>723</v>
      </c>
      <c r="D281" s="17"/>
      <c r="E281" s="29" t="str">
        <f>IFERROR(VLOOKUP(C281,기출문제!D:G,3,0),"")</f>
        <v/>
      </c>
      <c r="F281" s="30" t="str">
        <f>IFERROR(VLOOKUP(C281,기출문제!D:G,4,0),"")</f>
        <v/>
      </c>
      <c r="G281" s="31" t="str">
        <f t="shared" si="4"/>
        <v/>
      </c>
      <c r="J281" s="23"/>
    </row>
    <row r="282" spans="2:10" s="21" customFormat="1" x14ac:dyDescent="0.3">
      <c r="B282" s="17">
        <v>275</v>
      </c>
      <c r="C282" s="27" t="s">
        <v>723</v>
      </c>
      <c r="D282" s="17"/>
      <c r="E282" s="29" t="str">
        <f>IFERROR(VLOOKUP(C282,기출문제!D:G,3,0),"")</f>
        <v/>
      </c>
      <c r="F282" s="30" t="str">
        <f>IFERROR(VLOOKUP(C282,기출문제!D:G,4,0),"")</f>
        <v/>
      </c>
      <c r="G282" s="31" t="str">
        <f t="shared" si="4"/>
        <v/>
      </c>
      <c r="J282" s="23"/>
    </row>
    <row r="283" spans="2:10" s="21" customFormat="1" x14ac:dyDescent="0.3">
      <c r="B283" s="17">
        <v>276</v>
      </c>
      <c r="C283" s="27" t="s">
        <v>723</v>
      </c>
      <c r="D283" s="17"/>
      <c r="E283" s="29" t="str">
        <f>IFERROR(VLOOKUP(C283,기출문제!D:G,3,0),"")</f>
        <v/>
      </c>
      <c r="F283" s="30" t="str">
        <f>IFERROR(VLOOKUP(C283,기출문제!D:G,4,0),"")</f>
        <v/>
      </c>
      <c r="G283" s="31" t="str">
        <f t="shared" si="4"/>
        <v/>
      </c>
      <c r="J283" s="23"/>
    </row>
    <row r="284" spans="2:10" s="21" customFormat="1" x14ac:dyDescent="0.3">
      <c r="B284" s="17">
        <v>277</v>
      </c>
      <c r="C284" s="27" t="s">
        <v>723</v>
      </c>
      <c r="D284" s="17"/>
      <c r="E284" s="29" t="str">
        <f>IFERROR(VLOOKUP(C284,기출문제!D:G,3,0),"")</f>
        <v/>
      </c>
      <c r="F284" s="30" t="str">
        <f>IFERROR(VLOOKUP(C284,기출문제!D:G,4,0),"")</f>
        <v/>
      </c>
      <c r="G284" s="31" t="str">
        <f t="shared" si="4"/>
        <v/>
      </c>
      <c r="J284" s="23"/>
    </row>
    <row r="285" spans="2:10" s="21" customFormat="1" x14ac:dyDescent="0.3">
      <c r="B285" s="17">
        <v>278</v>
      </c>
      <c r="C285" s="27" t="s">
        <v>723</v>
      </c>
      <c r="D285" s="17"/>
      <c r="E285" s="29" t="str">
        <f>IFERROR(VLOOKUP(C285,기출문제!D:G,3,0),"")</f>
        <v/>
      </c>
      <c r="F285" s="30" t="str">
        <f>IFERROR(VLOOKUP(C285,기출문제!D:G,4,0),"")</f>
        <v/>
      </c>
      <c r="G285" s="31" t="str">
        <f t="shared" si="4"/>
        <v/>
      </c>
      <c r="J285" s="23"/>
    </row>
    <row r="286" spans="2:10" s="21" customFormat="1" x14ac:dyDescent="0.3">
      <c r="B286" s="17">
        <v>279</v>
      </c>
      <c r="C286" s="27" t="s">
        <v>723</v>
      </c>
      <c r="D286" s="17"/>
      <c r="E286" s="29" t="str">
        <f>IFERROR(VLOOKUP(C286,기출문제!D:G,3,0),"")</f>
        <v/>
      </c>
      <c r="F286" s="30" t="str">
        <f>IFERROR(VLOOKUP(C286,기출문제!D:G,4,0),"")</f>
        <v/>
      </c>
      <c r="G286" s="31" t="str">
        <f t="shared" si="4"/>
        <v/>
      </c>
      <c r="J286" s="23"/>
    </row>
    <row r="287" spans="2:10" s="21" customFormat="1" x14ac:dyDescent="0.3">
      <c r="B287" s="17">
        <v>280</v>
      </c>
      <c r="C287" s="27" t="s">
        <v>723</v>
      </c>
      <c r="D287" s="17"/>
      <c r="E287" s="29" t="str">
        <f>IFERROR(VLOOKUP(C287,기출문제!D:G,3,0),"")</f>
        <v/>
      </c>
      <c r="F287" s="30" t="str">
        <f>IFERROR(VLOOKUP(C287,기출문제!D:G,4,0),"")</f>
        <v/>
      </c>
      <c r="G287" s="31" t="str">
        <f t="shared" si="4"/>
        <v/>
      </c>
      <c r="J287" s="23"/>
    </row>
    <row r="288" spans="2:10" s="21" customFormat="1" x14ac:dyDescent="0.3">
      <c r="B288" s="17">
        <v>281</v>
      </c>
      <c r="C288" s="27" t="s">
        <v>723</v>
      </c>
      <c r="D288" s="17"/>
      <c r="E288" s="29" t="str">
        <f>IFERROR(VLOOKUP(C288,기출문제!D:G,3,0),"")</f>
        <v/>
      </c>
      <c r="F288" s="30" t="str">
        <f>IFERROR(VLOOKUP(C288,기출문제!D:G,4,0),"")</f>
        <v/>
      </c>
      <c r="G288" s="31" t="str">
        <f t="shared" si="4"/>
        <v/>
      </c>
      <c r="J288" s="23"/>
    </row>
    <row r="289" spans="2:10" s="21" customFormat="1" x14ac:dyDescent="0.3">
      <c r="B289" s="17">
        <v>282</v>
      </c>
      <c r="C289" s="27" t="s">
        <v>723</v>
      </c>
      <c r="D289" s="17"/>
      <c r="E289" s="29" t="str">
        <f>IFERROR(VLOOKUP(C289,기출문제!D:G,3,0),"")</f>
        <v/>
      </c>
      <c r="F289" s="30" t="str">
        <f>IFERROR(VLOOKUP(C289,기출문제!D:G,4,0),"")</f>
        <v/>
      </c>
      <c r="G289" s="31" t="str">
        <f t="shared" si="4"/>
        <v/>
      </c>
      <c r="J289" s="23"/>
    </row>
    <row r="290" spans="2:10" s="21" customFormat="1" x14ac:dyDescent="0.3">
      <c r="B290" s="17">
        <v>283</v>
      </c>
      <c r="C290" s="27" t="s">
        <v>723</v>
      </c>
      <c r="D290" s="17"/>
      <c r="E290" s="29" t="str">
        <f>IFERROR(VLOOKUP(C290,기출문제!D:G,3,0),"")</f>
        <v/>
      </c>
      <c r="F290" s="30" t="str">
        <f>IFERROR(VLOOKUP(C290,기출문제!D:G,4,0),"")</f>
        <v/>
      </c>
      <c r="G290" s="31" t="str">
        <f t="shared" si="4"/>
        <v/>
      </c>
      <c r="J290" s="23"/>
    </row>
    <row r="291" spans="2:10" s="21" customFormat="1" x14ac:dyDescent="0.3">
      <c r="B291" s="17">
        <v>284</v>
      </c>
      <c r="C291" s="27" t="s">
        <v>723</v>
      </c>
      <c r="D291" s="17"/>
      <c r="E291" s="29" t="str">
        <f>IFERROR(VLOOKUP(C291,기출문제!D:G,3,0),"")</f>
        <v/>
      </c>
      <c r="F291" s="30" t="str">
        <f>IFERROR(VLOOKUP(C291,기출문제!D:G,4,0),"")</f>
        <v/>
      </c>
      <c r="G291" s="31" t="str">
        <f t="shared" si="4"/>
        <v/>
      </c>
      <c r="J291" s="23"/>
    </row>
    <row r="292" spans="2:10" s="21" customFormat="1" x14ac:dyDescent="0.3">
      <c r="B292" s="17">
        <v>285</v>
      </c>
      <c r="C292" s="27" t="s">
        <v>723</v>
      </c>
      <c r="D292" s="17"/>
      <c r="E292" s="29" t="str">
        <f>IFERROR(VLOOKUP(C292,기출문제!D:G,3,0),"")</f>
        <v/>
      </c>
      <c r="F292" s="30" t="str">
        <f>IFERROR(VLOOKUP(C292,기출문제!D:G,4,0),"")</f>
        <v/>
      </c>
      <c r="G292" s="31" t="str">
        <f t="shared" si="4"/>
        <v/>
      </c>
      <c r="J292" s="23"/>
    </row>
    <row r="293" spans="2:10" s="21" customFormat="1" x14ac:dyDescent="0.3">
      <c r="B293" s="17">
        <v>286</v>
      </c>
      <c r="C293" s="27" t="s">
        <v>723</v>
      </c>
      <c r="D293" s="17"/>
      <c r="E293" s="29" t="str">
        <f>IFERROR(VLOOKUP(C293,기출문제!D:G,3,0),"")</f>
        <v/>
      </c>
      <c r="F293" s="30" t="str">
        <f>IFERROR(VLOOKUP(C293,기출문제!D:G,4,0),"")</f>
        <v/>
      </c>
      <c r="G293" s="31" t="str">
        <f t="shared" si="4"/>
        <v/>
      </c>
      <c r="J293" s="23"/>
    </row>
    <row r="294" spans="2:10" s="21" customFormat="1" x14ac:dyDescent="0.3">
      <c r="B294" s="17">
        <v>287</v>
      </c>
      <c r="C294" s="27" t="s">
        <v>723</v>
      </c>
      <c r="D294" s="17"/>
      <c r="E294" s="29" t="str">
        <f>IFERROR(VLOOKUP(C294,기출문제!D:G,3,0),"")</f>
        <v/>
      </c>
      <c r="F294" s="30" t="str">
        <f>IFERROR(VLOOKUP(C294,기출문제!D:G,4,0),"")</f>
        <v/>
      </c>
      <c r="G294" s="31" t="str">
        <f t="shared" si="4"/>
        <v/>
      </c>
      <c r="J294" s="23"/>
    </row>
    <row r="295" spans="2:10" s="21" customFormat="1" x14ac:dyDescent="0.3">
      <c r="B295" s="17">
        <v>288</v>
      </c>
      <c r="C295" s="27" t="s">
        <v>723</v>
      </c>
      <c r="D295" s="17"/>
      <c r="E295" s="29" t="str">
        <f>IFERROR(VLOOKUP(C295,기출문제!D:G,3,0),"")</f>
        <v/>
      </c>
      <c r="F295" s="30" t="str">
        <f>IFERROR(VLOOKUP(C295,기출문제!D:G,4,0),"")</f>
        <v/>
      </c>
      <c r="G295" s="31" t="str">
        <f t="shared" si="4"/>
        <v/>
      </c>
      <c r="J295" s="23"/>
    </row>
    <row r="296" spans="2:10" s="21" customFormat="1" x14ac:dyDescent="0.3">
      <c r="B296" s="17">
        <v>289</v>
      </c>
      <c r="C296" s="27" t="s">
        <v>723</v>
      </c>
      <c r="D296" s="17"/>
      <c r="E296" s="29" t="str">
        <f>IFERROR(VLOOKUP(C296,기출문제!D:G,3,0),"")</f>
        <v/>
      </c>
      <c r="F296" s="30" t="str">
        <f>IFERROR(VLOOKUP(C296,기출문제!D:G,4,0),"")</f>
        <v/>
      </c>
      <c r="G296" s="31" t="str">
        <f t="shared" si="4"/>
        <v/>
      </c>
      <c r="J296" s="23"/>
    </row>
    <row r="297" spans="2:10" s="21" customFormat="1" x14ac:dyDescent="0.3">
      <c r="B297" s="17">
        <v>290</v>
      </c>
      <c r="C297" s="27" t="s">
        <v>723</v>
      </c>
      <c r="D297" s="17"/>
      <c r="E297" s="29" t="str">
        <f>IFERROR(VLOOKUP(C297,기출문제!D:G,3,0),"")</f>
        <v/>
      </c>
      <c r="F297" s="30" t="str">
        <f>IFERROR(VLOOKUP(C297,기출문제!D:G,4,0),"")</f>
        <v/>
      </c>
      <c r="G297" s="31" t="str">
        <f t="shared" si="4"/>
        <v/>
      </c>
      <c r="J297" s="23"/>
    </row>
    <row r="298" spans="2:10" s="21" customFormat="1" x14ac:dyDescent="0.3">
      <c r="B298" s="17">
        <v>291</v>
      </c>
      <c r="C298" s="27" t="s">
        <v>723</v>
      </c>
      <c r="D298" s="17"/>
      <c r="E298" s="29" t="str">
        <f>IFERROR(VLOOKUP(C298,기출문제!D:G,3,0),"")</f>
        <v/>
      </c>
      <c r="F298" s="30" t="str">
        <f>IFERROR(VLOOKUP(C298,기출문제!D:G,4,0),"")</f>
        <v/>
      </c>
      <c r="G298" s="31" t="str">
        <f t="shared" si="4"/>
        <v/>
      </c>
      <c r="J298" s="23"/>
    </row>
    <row r="299" spans="2:10" s="21" customFormat="1" x14ac:dyDescent="0.3">
      <c r="B299" s="17">
        <v>292</v>
      </c>
      <c r="C299" s="27" t="s">
        <v>723</v>
      </c>
      <c r="D299" s="17"/>
      <c r="E299" s="29" t="str">
        <f>IFERROR(VLOOKUP(C299,기출문제!D:G,3,0),"")</f>
        <v/>
      </c>
      <c r="F299" s="30" t="str">
        <f>IFERROR(VLOOKUP(C299,기출문제!D:G,4,0),"")</f>
        <v/>
      </c>
      <c r="G299" s="31" t="str">
        <f t="shared" si="4"/>
        <v/>
      </c>
      <c r="J299" s="23"/>
    </row>
    <row r="300" spans="2:10" s="21" customFormat="1" x14ac:dyDescent="0.3">
      <c r="B300" s="17">
        <v>293</v>
      </c>
      <c r="C300" s="27" t="s">
        <v>723</v>
      </c>
      <c r="D300" s="17"/>
      <c r="E300" s="29" t="str">
        <f>IFERROR(VLOOKUP(C300,기출문제!D:G,3,0),"")</f>
        <v/>
      </c>
      <c r="F300" s="30" t="str">
        <f>IFERROR(VLOOKUP(C300,기출문제!D:G,4,0),"")</f>
        <v/>
      </c>
      <c r="G300" s="31" t="str">
        <f t="shared" si="4"/>
        <v/>
      </c>
      <c r="J300" s="23"/>
    </row>
    <row r="301" spans="2:10" s="21" customFormat="1" x14ac:dyDescent="0.3">
      <c r="B301" s="17">
        <v>294</v>
      </c>
      <c r="C301" s="27" t="s">
        <v>723</v>
      </c>
      <c r="D301" s="17"/>
      <c r="E301" s="29" t="str">
        <f>IFERROR(VLOOKUP(C301,기출문제!D:G,3,0),"")</f>
        <v/>
      </c>
      <c r="F301" s="30" t="str">
        <f>IFERROR(VLOOKUP(C301,기출문제!D:G,4,0),"")</f>
        <v/>
      </c>
      <c r="G301" s="31" t="str">
        <f t="shared" si="4"/>
        <v/>
      </c>
      <c r="J301" s="23"/>
    </row>
    <row r="302" spans="2:10" s="21" customFormat="1" x14ac:dyDescent="0.3">
      <c r="B302" s="17">
        <v>295</v>
      </c>
      <c r="C302" s="27" t="s">
        <v>723</v>
      </c>
      <c r="D302" s="17"/>
      <c r="E302" s="29" t="str">
        <f>IFERROR(VLOOKUP(C302,기출문제!D:G,3,0),"")</f>
        <v/>
      </c>
      <c r="F302" s="30" t="str">
        <f>IFERROR(VLOOKUP(C302,기출문제!D:G,4,0),"")</f>
        <v/>
      </c>
      <c r="G302" s="31" t="str">
        <f t="shared" si="4"/>
        <v/>
      </c>
      <c r="J302" s="23"/>
    </row>
    <row r="303" spans="2:10" s="21" customFormat="1" x14ac:dyDescent="0.3">
      <c r="B303" s="17">
        <v>296</v>
      </c>
      <c r="C303" s="27" t="s">
        <v>723</v>
      </c>
      <c r="D303" s="17"/>
      <c r="E303" s="29" t="str">
        <f>IFERROR(VLOOKUP(C303,기출문제!D:G,3,0),"")</f>
        <v/>
      </c>
      <c r="F303" s="30" t="str">
        <f>IFERROR(VLOOKUP(C303,기출문제!D:G,4,0),"")</f>
        <v/>
      </c>
      <c r="G303" s="31" t="str">
        <f t="shared" si="4"/>
        <v/>
      </c>
      <c r="J303" s="23"/>
    </row>
    <row r="304" spans="2:10" s="21" customFormat="1" x14ac:dyDescent="0.3">
      <c r="B304" s="17">
        <v>297</v>
      </c>
      <c r="C304" s="27" t="s">
        <v>723</v>
      </c>
      <c r="D304" s="17"/>
      <c r="E304" s="29" t="str">
        <f>IFERROR(VLOOKUP(C304,기출문제!D:G,3,0),"")</f>
        <v/>
      </c>
      <c r="F304" s="30" t="str">
        <f>IFERROR(VLOOKUP(C304,기출문제!D:G,4,0),"")</f>
        <v/>
      </c>
      <c r="G304" s="31" t="str">
        <f t="shared" si="4"/>
        <v/>
      </c>
      <c r="J304" s="23"/>
    </row>
    <row r="305" spans="2:10" s="21" customFormat="1" x14ac:dyDescent="0.3">
      <c r="B305" s="17">
        <v>298</v>
      </c>
      <c r="C305" s="27" t="s">
        <v>723</v>
      </c>
      <c r="D305" s="17"/>
      <c r="E305" s="29" t="str">
        <f>IFERROR(VLOOKUP(C305,기출문제!D:G,3,0),"")</f>
        <v/>
      </c>
      <c r="F305" s="30" t="str">
        <f>IFERROR(VLOOKUP(C305,기출문제!D:G,4,0),"")</f>
        <v/>
      </c>
      <c r="G305" s="31" t="str">
        <f t="shared" si="4"/>
        <v/>
      </c>
      <c r="J305" s="23"/>
    </row>
    <row r="306" spans="2:10" s="21" customFormat="1" x14ac:dyDescent="0.3">
      <c r="B306" s="17">
        <v>299</v>
      </c>
      <c r="C306" s="27" t="s">
        <v>723</v>
      </c>
      <c r="D306" s="17"/>
      <c r="E306" s="29" t="str">
        <f>IFERROR(VLOOKUP(C306,기출문제!D:G,3,0),"")</f>
        <v/>
      </c>
      <c r="F306" s="30" t="str">
        <f>IFERROR(VLOOKUP(C306,기출문제!D:G,4,0),"")</f>
        <v/>
      </c>
      <c r="G306" s="31" t="str">
        <f t="shared" si="4"/>
        <v/>
      </c>
      <c r="J306" s="23"/>
    </row>
    <row r="307" spans="2:10" s="21" customFormat="1" x14ac:dyDescent="0.3">
      <c r="B307" s="17">
        <v>300</v>
      </c>
      <c r="C307" s="27" t="s">
        <v>723</v>
      </c>
      <c r="D307" s="17"/>
      <c r="E307" s="29" t="str">
        <f>IFERROR(VLOOKUP(C307,기출문제!D:G,3,0),"")</f>
        <v/>
      </c>
      <c r="F307" s="30" t="str">
        <f>IFERROR(VLOOKUP(C307,기출문제!D:G,4,0),"")</f>
        <v/>
      </c>
      <c r="G307" s="31" t="str">
        <f t="shared" si="4"/>
        <v/>
      </c>
      <c r="J307" s="23"/>
    </row>
    <row r="308" spans="2:10" s="21" customFormat="1" x14ac:dyDescent="0.3">
      <c r="B308" s="17">
        <v>301</v>
      </c>
      <c r="C308" s="27" t="s">
        <v>723</v>
      </c>
      <c r="D308" s="17"/>
      <c r="E308" s="29" t="str">
        <f>IFERROR(VLOOKUP(C308,기출문제!D:G,3,0),"")</f>
        <v/>
      </c>
      <c r="F308" s="30" t="str">
        <f>IFERROR(VLOOKUP(C308,기출문제!D:G,4,0),"")</f>
        <v/>
      </c>
      <c r="G308" s="31" t="str">
        <f t="shared" si="4"/>
        <v/>
      </c>
      <c r="J308" s="23"/>
    </row>
    <row r="309" spans="2:10" s="21" customFormat="1" x14ac:dyDescent="0.3">
      <c r="B309" s="17">
        <v>302</v>
      </c>
      <c r="C309" s="27" t="s">
        <v>723</v>
      </c>
      <c r="D309" s="17"/>
      <c r="E309" s="29" t="str">
        <f>IFERROR(VLOOKUP(C309,기출문제!D:G,3,0),"")</f>
        <v/>
      </c>
      <c r="F309" s="30" t="str">
        <f>IFERROR(VLOOKUP(C309,기출문제!D:G,4,0),"")</f>
        <v/>
      </c>
      <c r="G309" s="31" t="str">
        <f t="shared" si="4"/>
        <v/>
      </c>
      <c r="J309" s="23"/>
    </row>
    <row r="310" spans="2:10" s="21" customFormat="1" x14ac:dyDescent="0.3">
      <c r="B310" s="17">
        <v>303</v>
      </c>
      <c r="C310" s="27" t="s">
        <v>723</v>
      </c>
      <c r="D310" s="17"/>
      <c r="E310" s="29" t="str">
        <f>IFERROR(VLOOKUP(C310,기출문제!D:G,3,0),"")</f>
        <v/>
      </c>
      <c r="F310" s="30" t="str">
        <f>IFERROR(VLOOKUP(C310,기출문제!D:G,4,0),"")</f>
        <v/>
      </c>
      <c r="G310" s="31" t="str">
        <f t="shared" si="4"/>
        <v/>
      </c>
      <c r="J310" s="23"/>
    </row>
    <row r="311" spans="2:10" s="21" customFormat="1" x14ac:dyDescent="0.3">
      <c r="B311" s="17">
        <v>304</v>
      </c>
      <c r="C311" s="27" t="s">
        <v>723</v>
      </c>
      <c r="D311" s="17"/>
      <c r="E311" s="29" t="str">
        <f>IFERROR(VLOOKUP(C311,기출문제!D:G,3,0),"")</f>
        <v/>
      </c>
      <c r="F311" s="30" t="str">
        <f>IFERROR(VLOOKUP(C311,기출문제!D:G,4,0),"")</f>
        <v/>
      </c>
      <c r="G311" s="31" t="str">
        <f t="shared" si="4"/>
        <v/>
      </c>
      <c r="J311" s="23"/>
    </row>
    <row r="312" spans="2:10" s="21" customFormat="1" x14ac:dyDescent="0.3">
      <c r="B312" s="17">
        <v>305</v>
      </c>
      <c r="C312" s="27" t="s">
        <v>723</v>
      </c>
      <c r="D312" s="17"/>
      <c r="E312" s="29" t="str">
        <f>IFERROR(VLOOKUP(C312,기출문제!D:G,3,0),"")</f>
        <v/>
      </c>
      <c r="F312" s="30" t="str">
        <f>IFERROR(VLOOKUP(C312,기출문제!D:G,4,0),"")</f>
        <v/>
      </c>
      <c r="G312" s="31" t="str">
        <f t="shared" si="4"/>
        <v/>
      </c>
      <c r="J312" s="23"/>
    </row>
    <row r="313" spans="2:10" s="21" customFormat="1" x14ac:dyDescent="0.3">
      <c r="B313" s="17">
        <v>306</v>
      </c>
      <c r="C313" s="27" t="s">
        <v>723</v>
      </c>
      <c r="D313" s="17"/>
      <c r="E313" s="29" t="str">
        <f>IFERROR(VLOOKUP(C313,기출문제!D:G,3,0),"")</f>
        <v/>
      </c>
      <c r="F313" s="30" t="str">
        <f>IFERROR(VLOOKUP(C313,기출문제!D:G,4,0),"")</f>
        <v/>
      </c>
      <c r="G313" s="31" t="str">
        <f t="shared" si="4"/>
        <v/>
      </c>
      <c r="J313" s="23"/>
    </row>
    <row r="314" spans="2:10" s="21" customFormat="1" x14ac:dyDescent="0.3">
      <c r="B314" s="17">
        <v>307</v>
      </c>
      <c r="C314" s="27" t="s">
        <v>723</v>
      </c>
      <c r="D314" s="17"/>
      <c r="E314" s="29" t="str">
        <f>IFERROR(VLOOKUP(C314,기출문제!D:G,3,0),"")</f>
        <v/>
      </c>
      <c r="F314" s="30" t="str">
        <f>IFERROR(VLOOKUP(C314,기출문제!D:G,4,0),"")</f>
        <v/>
      </c>
      <c r="G314" s="31" t="str">
        <f t="shared" si="4"/>
        <v/>
      </c>
      <c r="J314" s="23"/>
    </row>
    <row r="315" spans="2:10" s="21" customFormat="1" x14ac:dyDescent="0.3">
      <c r="B315" s="17">
        <v>308</v>
      </c>
      <c r="C315" s="27" t="s">
        <v>723</v>
      </c>
      <c r="D315" s="17"/>
      <c r="E315" s="29" t="str">
        <f>IFERROR(VLOOKUP(C315,기출문제!D:G,3,0),"")</f>
        <v/>
      </c>
      <c r="F315" s="30" t="str">
        <f>IFERROR(VLOOKUP(C315,기출문제!D:G,4,0),"")</f>
        <v/>
      </c>
      <c r="G315" s="31" t="str">
        <f t="shared" si="4"/>
        <v/>
      </c>
      <c r="J315" s="23"/>
    </row>
    <row r="316" spans="2:10" s="21" customFormat="1" x14ac:dyDescent="0.3">
      <c r="B316" s="17">
        <v>309</v>
      </c>
      <c r="C316" s="27" t="s">
        <v>723</v>
      </c>
      <c r="D316" s="17"/>
      <c r="E316" s="29" t="str">
        <f>IFERROR(VLOOKUP(C316,기출문제!D:G,3,0),"")</f>
        <v/>
      </c>
      <c r="F316" s="30" t="str">
        <f>IFERROR(VLOOKUP(C316,기출문제!D:G,4,0),"")</f>
        <v/>
      </c>
      <c r="G316" s="31" t="str">
        <f t="shared" si="4"/>
        <v/>
      </c>
      <c r="J316" s="23"/>
    </row>
    <row r="317" spans="2:10" s="21" customFormat="1" x14ac:dyDescent="0.3">
      <c r="B317" s="17">
        <v>310</v>
      </c>
      <c r="C317" s="27" t="s">
        <v>723</v>
      </c>
      <c r="D317" s="17"/>
      <c r="E317" s="29" t="str">
        <f>IFERROR(VLOOKUP(C317,기출문제!D:G,3,0),"")</f>
        <v/>
      </c>
      <c r="F317" s="30" t="str">
        <f>IFERROR(VLOOKUP(C317,기출문제!D:G,4,0),"")</f>
        <v/>
      </c>
      <c r="G317" s="31" t="str">
        <f t="shared" si="4"/>
        <v/>
      </c>
      <c r="J317" s="23"/>
    </row>
    <row r="318" spans="2:10" s="21" customFormat="1" x14ac:dyDescent="0.3">
      <c r="B318" s="17">
        <v>311</v>
      </c>
      <c r="C318" s="27" t="s">
        <v>723</v>
      </c>
      <c r="D318" s="17"/>
      <c r="E318" s="29" t="str">
        <f>IFERROR(VLOOKUP(C318,기출문제!D:G,3,0),"")</f>
        <v/>
      </c>
      <c r="F318" s="30" t="str">
        <f>IFERROR(VLOOKUP(C318,기출문제!D:G,4,0),"")</f>
        <v/>
      </c>
      <c r="G318" s="31" t="str">
        <f t="shared" si="4"/>
        <v/>
      </c>
      <c r="J318" s="23"/>
    </row>
    <row r="319" spans="2:10" s="21" customFormat="1" x14ac:dyDescent="0.3">
      <c r="B319" s="17">
        <v>312</v>
      </c>
      <c r="C319" s="27" t="s">
        <v>723</v>
      </c>
      <c r="D319" s="17"/>
      <c r="E319" s="29" t="str">
        <f>IFERROR(VLOOKUP(C319,기출문제!D:G,3,0),"")</f>
        <v/>
      </c>
      <c r="F319" s="30" t="str">
        <f>IFERROR(VLOOKUP(C319,기출문제!D:G,4,0),"")</f>
        <v/>
      </c>
      <c r="G319" s="31" t="str">
        <f t="shared" si="4"/>
        <v/>
      </c>
      <c r="J319" s="23"/>
    </row>
    <row r="320" spans="2:10" s="21" customFormat="1" x14ac:dyDescent="0.3">
      <c r="B320" s="17">
        <v>313</v>
      </c>
      <c r="C320" s="27" t="s">
        <v>723</v>
      </c>
      <c r="D320" s="17"/>
      <c r="E320" s="29" t="str">
        <f>IFERROR(VLOOKUP(C320,기출문제!D:G,3,0),"")</f>
        <v/>
      </c>
      <c r="F320" s="30" t="str">
        <f>IFERROR(VLOOKUP(C320,기출문제!D:G,4,0),"")</f>
        <v/>
      </c>
      <c r="G320" s="31" t="str">
        <f t="shared" si="4"/>
        <v/>
      </c>
      <c r="J320" s="23"/>
    </row>
    <row r="321" spans="2:10" s="21" customFormat="1" x14ac:dyDescent="0.3">
      <c r="B321" s="17">
        <v>314</v>
      </c>
      <c r="C321" s="27" t="s">
        <v>723</v>
      </c>
      <c r="D321" s="17"/>
      <c r="E321" s="29" t="str">
        <f>IFERROR(VLOOKUP(C321,기출문제!D:G,3,0),"")</f>
        <v/>
      </c>
      <c r="F321" s="30" t="str">
        <f>IFERROR(VLOOKUP(C321,기출문제!D:G,4,0),"")</f>
        <v/>
      </c>
      <c r="G321" s="31" t="str">
        <f t="shared" si="4"/>
        <v/>
      </c>
      <c r="J321" s="23"/>
    </row>
    <row r="322" spans="2:10" s="21" customFormat="1" x14ac:dyDescent="0.3">
      <c r="B322" s="17">
        <v>315</v>
      </c>
      <c r="C322" s="27" t="s">
        <v>723</v>
      </c>
      <c r="D322" s="17"/>
      <c r="E322" s="29" t="str">
        <f>IFERROR(VLOOKUP(C322,기출문제!D:G,3,0),"")</f>
        <v/>
      </c>
      <c r="F322" s="30" t="str">
        <f>IFERROR(VLOOKUP(C322,기출문제!D:G,4,0),"")</f>
        <v/>
      </c>
      <c r="G322" s="31" t="str">
        <f t="shared" si="4"/>
        <v/>
      </c>
      <c r="J322" s="23"/>
    </row>
    <row r="323" spans="2:10" s="21" customFormat="1" x14ac:dyDescent="0.3">
      <c r="B323" s="17">
        <v>316</v>
      </c>
      <c r="C323" s="27" t="s">
        <v>723</v>
      </c>
      <c r="D323" s="17"/>
      <c r="E323" s="29" t="str">
        <f>IFERROR(VLOOKUP(C323,기출문제!D:G,3,0),"")</f>
        <v/>
      </c>
      <c r="F323" s="30" t="str">
        <f>IFERROR(VLOOKUP(C323,기출문제!D:G,4,0),"")</f>
        <v/>
      </c>
      <c r="G323" s="31" t="str">
        <f t="shared" si="4"/>
        <v/>
      </c>
      <c r="J323" s="23"/>
    </row>
    <row r="324" spans="2:10" s="21" customFormat="1" x14ac:dyDescent="0.3">
      <c r="B324" s="17">
        <v>317</v>
      </c>
      <c r="C324" s="27" t="s">
        <v>723</v>
      </c>
      <c r="D324" s="17"/>
      <c r="E324" s="29" t="str">
        <f>IFERROR(VLOOKUP(C324,기출문제!D:G,3,0),"")</f>
        <v/>
      </c>
      <c r="F324" s="30" t="str">
        <f>IFERROR(VLOOKUP(C324,기출문제!D:G,4,0),"")</f>
        <v/>
      </c>
      <c r="G324" s="31" t="str">
        <f t="shared" si="4"/>
        <v/>
      </c>
      <c r="J324" s="23"/>
    </row>
    <row r="325" spans="2:10" s="21" customFormat="1" x14ac:dyDescent="0.3">
      <c r="B325" s="17">
        <v>318</v>
      </c>
      <c r="C325" s="27" t="s">
        <v>723</v>
      </c>
      <c r="D325" s="17"/>
      <c r="E325" s="29" t="str">
        <f>IFERROR(VLOOKUP(C325,기출문제!D:G,3,0),"")</f>
        <v/>
      </c>
      <c r="F325" s="30" t="str">
        <f>IFERROR(VLOOKUP(C325,기출문제!D:G,4,0),"")</f>
        <v/>
      </c>
      <c r="G325" s="31" t="str">
        <f t="shared" si="4"/>
        <v/>
      </c>
      <c r="J325" s="23"/>
    </row>
    <row r="326" spans="2:10" s="21" customFormat="1" x14ac:dyDescent="0.3">
      <c r="B326" s="17">
        <v>319</v>
      </c>
      <c r="C326" s="27" t="s">
        <v>723</v>
      </c>
      <c r="D326" s="17"/>
      <c r="E326" s="29" t="str">
        <f>IFERROR(VLOOKUP(C326,기출문제!D:G,3,0),"")</f>
        <v/>
      </c>
      <c r="F326" s="30" t="str">
        <f>IFERROR(VLOOKUP(C326,기출문제!D:G,4,0),"")</f>
        <v/>
      </c>
      <c r="G326" s="31" t="str">
        <f t="shared" si="4"/>
        <v/>
      </c>
      <c r="J326" s="23"/>
    </row>
    <row r="327" spans="2:10" s="21" customFormat="1" x14ac:dyDescent="0.3">
      <c r="B327" s="17">
        <v>320</v>
      </c>
      <c r="C327" s="27" t="s">
        <v>723</v>
      </c>
      <c r="D327" s="17"/>
      <c r="E327" s="29" t="str">
        <f>IFERROR(VLOOKUP(C327,기출문제!D:G,3,0),"")</f>
        <v/>
      </c>
      <c r="F327" s="30" t="str">
        <f>IFERROR(VLOOKUP(C327,기출문제!D:G,4,0),"")</f>
        <v/>
      </c>
      <c r="G327" s="31" t="str">
        <f t="shared" si="4"/>
        <v/>
      </c>
      <c r="J327" s="23"/>
    </row>
    <row r="328" spans="2:10" s="21" customFormat="1" x14ac:dyDescent="0.3">
      <c r="B328" s="17">
        <v>321</v>
      </c>
      <c r="C328" s="27" t="s">
        <v>723</v>
      </c>
      <c r="D328" s="17"/>
      <c r="E328" s="29" t="str">
        <f>IFERROR(VLOOKUP(C328,기출문제!D:G,3,0),"")</f>
        <v/>
      </c>
      <c r="F328" s="30" t="str">
        <f>IFERROR(VLOOKUP(C328,기출문제!D:G,4,0),"")</f>
        <v/>
      </c>
      <c r="G328" s="31" t="str">
        <f t="shared" si="4"/>
        <v/>
      </c>
      <c r="J328" s="23"/>
    </row>
    <row r="329" spans="2:10" s="21" customFormat="1" x14ac:dyDescent="0.3">
      <c r="B329" s="17">
        <v>322</v>
      </c>
      <c r="C329" s="27" t="s">
        <v>723</v>
      </c>
      <c r="D329" s="17"/>
      <c r="E329" s="29" t="str">
        <f>IFERROR(VLOOKUP(C329,기출문제!D:G,3,0),"")</f>
        <v/>
      </c>
      <c r="F329" s="30" t="str">
        <f>IFERROR(VLOOKUP(C329,기출문제!D:G,4,0),"")</f>
        <v/>
      </c>
      <c r="G329" s="31" t="str">
        <f t="shared" ref="G329:G392" si="5">IF(D329="","",IF(D329=F329,"O", "X"))</f>
        <v/>
      </c>
      <c r="J329" s="23"/>
    </row>
    <row r="330" spans="2:10" s="21" customFormat="1" x14ac:dyDescent="0.3">
      <c r="B330" s="17">
        <v>323</v>
      </c>
      <c r="C330" s="27" t="s">
        <v>723</v>
      </c>
      <c r="D330" s="17"/>
      <c r="E330" s="29" t="str">
        <f>IFERROR(VLOOKUP(C330,기출문제!D:G,3,0),"")</f>
        <v/>
      </c>
      <c r="F330" s="30" t="str">
        <f>IFERROR(VLOOKUP(C330,기출문제!D:G,4,0),"")</f>
        <v/>
      </c>
      <c r="G330" s="31" t="str">
        <f t="shared" si="5"/>
        <v/>
      </c>
      <c r="J330" s="23"/>
    </row>
    <row r="331" spans="2:10" s="21" customFormat="1" x14ac:dyDescent="0.3">
      <c r="B331" s="17">
        <v>324</v>
      </c>
      <c r="C331" s="27" t="s">
        <v>723</v>
      </c>
      <c r="D331" s="17"/>
      <c r="E331" s="29" t="str">
        <f>IFERROR(VLOOKUP(C331,기출문제!D:G,3,0),"")</f>
        <v/>
      </c>
      <c r="F331" s="30" t="str">
        <f>IFERROR(VLOOKUP(C331,기출문제!D:G,4,0),"")</f>
        <v/>
      </c>
      <c r="G331" s="31" t="str">
        <f t="shared" si="5"/>
        <v/>
      </c>
      <c r="J331" s="23"/>
    </row>
    <row r="332" spans="2:10" s="21" customFormat="1" x14ac:dyDescent="0.3">
      <c r="B332" s="17">
        <v>325</v>
      </c>
      <c r="C332" s="27" t="s">
        <v>723</v>
      </c>
      <c r="D332" s="17"/>
      <c r="E332" s="29" t="str">
        <f>IFERROR(VLOOKUP(C332,기출문제!D:G,3,0),"")</f>
        <v/>
      </c>
      <c r="F332" s="30" t="str">
        <f>IFERROR(VLOOKUP(C332,기출문제!D:G,4,0),"")</f>
        <v/>
      </c>
      <c r="G332" s="31" t="str">
        <f t="shared" si="5"/>
        <v/>
      </c>
      <c r="J332" s="23"/>
    </row>
    <row r="333" spans="2:10" s="21" customFormat="1" x14ac:dyDescent="0.3">
      <c r="B333" s="17">
        <v>326</v>
      </c>
      <c r="C333" s="27" t="s">
        <v>723</v>
      </c>
      <c r="D333" s="17"/>
      <c r="E333" s="29" t="str">
        <f>IFERROR(VLOOKUP(C333,기출문제!D:G,3,0),"")</f>
        <v/>
      </c>
      <c r="F333" s="30" t="str">
        <f>IFERROR(VLOOKUP(C333,기출문제!D:G,4,0),"")</f>
        <v/>
      </c>
      <c r="G333" s="31" t="str">
        <f t="shared" si="5"/>
        <v/>
      </c>
      <c r="J333" s="23"/>
    </row>
    <row r="334" spans="2:10" s="21" customFormat="1" x14ac:dyDescent="0.3">
      <c r="B334" s="17">
        <v>327</v>
      </c>
      <c r="C334" s="27" t="s">
        <v>723</v>
      </c>
      <c r="D334" s="17"/>
      <c r="E334" s="29" t="str">
        <f>IFERROR(VLOOKUP(C334,기출문제!D:G,3,0),"")</f>
        <v/>
      </c>
      <c r="F334" s="30" t="str">
        <f>IFERROR(VLOOKUP(C334,기출문제!D:G,4,0),"")</f>
        <v/>
      </c>
      <c r="G334" s="31" t="str">
        <f t="shared" si="5"/>
        <v/>
      </c>
      <c r="J334" s="23"/>
    </row>
    <row r="335" spans="2:10" s="21" customFormat="1" x14ac:dyDescent="0.3">
      <c r="B335" s="17">
        <v>328</v>
      </c>
      <c r="C335" s="27" t="s">
        <v>723</v>
      </c>
      <c r="D335" s="17"/>
      <c r="E335" s="29" t="str">
        <f>IFERROR(VLOOKUP(C335,기출문제!D:G,3,0),"")</f>
        <v/>
      </c>
      <c r="F335" s="30" t="str">
        <f>IFERROR(VLOOKUP(C335,기출문제!D:G,4,0),"")</f>
        <v/>
      </c>
      <c r="G335" s="31" t="str">
        <f t="shared" si="5"/>
        <v/>
      </c>
      <c r="J335" s="23"/>
    </row>
    <row r="336" spans="2:10" s="21" customFormat="1" x14ac:dyDescent="0.3">
      <c r="B336" s="17">
        <v>329</v>
      </c>
      <c r="C336" s="27" t="s">
        <v>723</v>
      </c>
      <c r="D336" s="17"/>
      <c r="E336" s="29" t="str">
        <f>IFERROR(VLOOKUP(C336,기출문제!D:G,3,0),"")</f>
        <v/>
      </c>
      <c r="F336" s="30" t="str">
        <f>IFERROR(VLOOKUP(C336,기출문제!D:G,4,0),"")</f>
        <v/>
      </c>
      <c r="G336" s="31" t="str">
        <f t="shared" si="5"/>
        <v/>
      </c>
      <c r="J336" s="23"/>
    </row>
    <row r="337" spans="2:10" s="21" customFormat="1" x14ac:dyDescent="0.3">
      <c r="B337" s="17">
        <v>330</v>
      </c>
      <c r="C337" s="27" t="s">
        <v>723</v>
      </c>
      <c r="D337" s="17"/>
      <c r="E337" s="29" t="str">
        <f>IFERROR(VLOOKUP(C337,기출문제!D:G,3,0),"")</f>
        <v/>
      </c>
      <c r="F337" s="30" t="str">
        <f>IFERROR(VLOOKUP(C337,기출문제!D:G,4,0),"")</f>
        <v/>
      </c>
      <c r="G337" s="31" t="str">
        <f t="shared" si="5"/>
        <v/>
      </c>
      <c r="J337" s="23"/>
    </row>
    <row r="338" spans="2:10" s="21" customFormat="1" x14ac:dyDescent="0.3">
      <c r="B338" s="17">
        <v>331</v>
      </c>
      <c r="C338" s="27" t="s">
        <v>723</v>
      </c>
      <c r="D338" s="17"/>
      <c r="E338" s="29" t="str">
        <f>IFERROR(VLOOKUP(C338,기출문제!D:G,3,0),"")</f>
        <v/>
      </c>
      <c r="F338" s="30" t="str">
        <f>IFERROR(VLOOKUP(C338,기출문제!D:G,4,0),"")</f>
        <v/>
      </c>
      <c r="G338" s="31" t="str">
        <f t="shared" si="5"/>
        <v/>
      </c>
      <c r="J338" s="23"/>
    </row>
    <row r="339" spans="2:10" s="21" customFormat="1" x14ac:dyDescent="0.3">
      <c r="B339" s="17">
        <v>332</v>
      </c>
      <c r="C339" s="27" t="s">
        <v>723</v>
      </c>
      <c r="D339" s="17"/>
      <c r="E339" s="29" t="str">
        <f>IFERROR(VLOOKUP(C339,기출문제!D:G,3,0),"")</f>
        <v/>
      </c>
      <c r="F339" s="30" t="str">
        <f>IFERROR(VLOOKUP(C339,기출문제!D:G,4,0),"")</f>
        <v/>
      </c>
      <c r="G339" s="31" t="str">
        <f t="shared" si="5"/>
        <v/>
      </c>
      <c r="J339" s="23"/>
    </row>
    <row r="340" spans="2:10" s="21" customFormat="1" x14ac:dyDescent="0.3">
      <c r="B340" s="17">
        <v>333</v>
      </c>
      <c r="C340" s="27" t="s">
        <v>723</v>
      </c>
      <c r="D340" s="17"/>
      <c r="E340" s="29" t="str">
        <f>IFERROR(VLOOKUP(C340,기출문제!D:G,3,0),"")</f>
        <v/>
      </c>
      <c r="F340" s="30" t="str">
        <f>IFERROR(VLOOKUP(C340,기출문제!D:G,4,0),"")</f>
        <v/>
      </c>
      <c r="G340" s="31" t="str">
        <f t="shared" si="5"/>
        <v/>
      </c>
      <c r="J340" s="23"/>
    </row>
    <row r="341" spans="2:10" s="21" customFormat="1" x14ac:dyDescent="0.3">
      <c r="B341" s="17">
        <v>334</v>
      </c>
      <c r="C341" s="27" t="s">
        <v>723</v>
      </c>
      <c r="D341" s="17"/>
      <c r="E341" s="29" t="str">
        <f>IFERROR(VLOOKUP(C341,기출문제!D:G,3,0),"")</f>
        <v/>
      </c>
      <c r="F341" s="30" t="str">
        <f>IFERROR(VLOOKUP(C341,기출문제!D:G,4,0),"")</f>
        <v/>
      </c>
      <c r="G341" s="31" t="str">
        <f t="shared" si="5"/>
        <v/>
      </c>
      <c r="J341" s="23"/>
    </row>
    <row r="342" spans="2:10" s="21" customFormat="1" x14ac:dyDescent="0.3">
      <c r="B342" s="17">
        <v>335</v>
      </c>
      <c r="C342" s="27" t="s">
        <v>723</v>
      </c>
      <c r="D342" s="17"/>
      <c r="E342" s="29" t="str">
        <f>IFERROR(VLOOKUP(C342,기출문제!D:G,3,0),"")</f>
        <v/>
      </c>
      <c r="F342" s="30" t="str">
        <f>IFERROR(VLOOKUP(C342,기출문제!D:G,4,0),"")</f>
        <v/>
      </c>
      <c r="G342" s="31" t="str">
        <f t="shared" si="5"/>
        <v/>
      </c>
      <c r="J342" s="23"/>
    </row>
    <row r="343" spans="2:10" s="21" customFormat="1" x14ac:dyDescent="0.3">
      <c r="B343" s="17">
        <v>336</v>
      </c>
      <c r="C343" s="27" t="s">
        <v>723</v>
      </c>
      <c r="D343" s="17"/>
      <c r="E343" s="29" t="str">
        <f>IFERROR(VLOOKUP(C343,기출문제!D:G,3,0),"")</f>
        <v/>
      </c>
      <c r="F343" s="30" t="str">
        <f>IFERROR(VLOOKUP(C343,기출문제!D:G,4,0),"")</f>
        <v/>
      </c>
      <c r="G343" s="31" t="str">
        <f t="shared" si="5"/>
        <v/>
      </c>
      <c r="J343" s="23"/>
    </row>
    <row r="344" spans="2:10" s="21" customFormat="1" x14ac:dyDescent="0.3">
      <c r="B344" s="17">
        <v>337</v>
      </c>
      <c r="C344" s="27" t="s">
        <v>723</v>
      </c>
      <c r="D344" s="17"/>
      <c r="E344" s="29" t="str">
        <f>IFERROR(VLOOKUP(C344,기출문제!D:G,3,0),"")</f>
        <v/>
      </c>
      <c r="F344" s="30" t="str">
        <f>IFERROR(VLOOKUP(C344,기출문제!D:G,4,0),"")</f>
        <v/>
      </c>
      <c r="G344" s="31" t="str">
        <f t="shared" si="5"/>
        <v/>
      </c>
      <c r="J344" s="23"/>
    </row>
    <row r="345" spans="2:10" s="21" customFormat="1" x14ac:dyDescent="0.3">
      <c r="B345" s="17">
        <v>338</v>
      </c>
      <c r="C345" s="27" t="s">
        <v>723</v>
      </c>
      <c r="D345" s="17"/>
      <c r="E345" s="29" t="str">
        <f>IFERROR(VLOOKUP(C345,기출문제!D:G,3,0),"")</f>
        <v/>
      </c>
      <c r="F345" s="30" t="str">
        <f>IFERROR(VLOOKUP(C345,기출문제!D:G,4,0),"")</f>
        <v/>
      </c>
      <c r="G345" s="31" t="str">
        <f t="shared" si="5"/>
        <v/>
      </c>
      <c r="J345" s="23"/>
    </row>
    <row r="346" spans="2:10" s="21" customFormat="1" x14ac:dyDescent="0.3">
      <c r="B346" s="17">
        <v>339</v>
      </c>
      <c r="C346" s="27" t="s">
        <v>723</v>
      </c>
      <c r="D346" s="17"/>
      <c r="E346" s="29" t="str">
        <f>IFERROR(VLOOKUP(C346,기출문제!D:G,3,0),"")</f>
        <v/>
      </c>
      <c r="F346" s="30" t="str">
        <f>IFERROR(VLOOKUP(C346,기출문제!D:G,4,0),"")</f>
        <v/>
      </c>
      <c r="G346" s="31" t="str">
        <f t="shared" si="5"/>
        <v/>
      </c>
      <c r="J346" s="23"/>
    </row>
    <row r="347" spans="2:10" s="21" customFormat="1" x14ac:dyDescent="0.3">
      <c r="B347" s="17">
        <v>340</v>
      </c>
      <c r="C347" s="27" t="s">
        <v>723</v>
      </c>
      <c r="D347" s="17"/>
      <c r="E347" s="29" t="str">
        <f>IFERROR(VLOOKUP(C347,기출문제!D:G,3,0),"")</f>
        <v/>
      </c>
      <c r="F347" s="30" t="str">
        <f>IFERROR(VLOOKUP(C347,기출문제!D:G,4,0),"")</f>
        <v/>
      </c>
      <c r="G347" s="31" t="str">
        <f t="shared" si="5"/>
        <v/>
      </c>
      <c r="J347" s="23"/>
    </row>
    <row r="348" spans="2:10" s="21" customFormat="1" x14ac:dyDescent="0.3">
      <c r="B348" s="17">
        <v>341</v>
      </c>
      <c r="C348" s="27" t="s">
        <v>723</v>
      </c>
      <c r="D348" s="17"/>
      <c r="E348" s="29" t="str">
        <f>IFERROR(VLOOKUP(C348,기출문제!D:G,3,0),"")</f>
        <v/>
      </c>
      <c r="F348" s="30" t="str">
        <f>IFERROR(VLOOKUP(C348,기출문제!D:G,4,0),"")</f>
        <v/>
      </c>
      <c r="G348" s="31" t="str">
        <f t="shared" si="5"/>
        <v/>
      </c>
      <c r="J348" s="23"/>
    </row>
    <row r="349" spans="2:10" s="21" customFormat="1" x14ac:dyDescent="0.3">
      <c r="B349" s="17">
        <v>342</v>
      </c>
      <c r="C349" s="27" t="s">
        <v>723</v>
      </c>
      <c r="D349" s="17"/>
      <c r="E349" s="29" t="str">
        <f>IFERROR(VLOOKUP(C349,기출문제!D:G,3,0),"")</f>
        <v/>
      </c>
      <c r="F349" s="30" t="str">
        <f>IFERROR(VLOOKUP(C349,기출문제!D:G,4,0),"")</f>
        <v/>
      </c>
      <c r="G349" s="31" t="str">
        <f t="shared" si="5"/>
        <v/>
      </c>
      <c r="J349" s="23"/>
    </row>
    <row r="350" spans="2:10" s="21" customFormat="1" x14ac:dyDescent="0.3">
      <c r="B350" s="17">
        <v>343</v>
      </c>
      <c r="C350" s="27" t="s">
        <v>723</v>
      </c>
      <c r="D350" s="17"/>
      <c r="E350" s="29" t="str">
        <f>IFERROR(VLOOKUP(C350,기출문제!D:G,3,0),"")</f>
        <v/>
      </c>
      <c r="F350" s="30" t="str">
        <f>IFERROR(VLOOKUP(C350,기출문제!D:G,4,0),"")</f>
        <v/>
      </c>
      <c r="G350" s="31" t="str">
        <f t="shared" si="5"/>
        <v/>
      </c>
      <c r="J350" s="23"/>
    </row>
    <row r="351" spans="2:10" s="21" customFormat="1" x14ac:dyDescent="0.3">
      <c r="B351" s="17">
        <v>344</v>
      </c>
      <c r="C351" s="27" t="s">
        <v>723</v>
      </c>
      <c r="D351" s="17"/>
      <c r="E351" s="29" t="str">
        <f>IFERROR(VLOOKUP(C351,기출문제!D:G,3,0),"")</f>
        <v/>
      </c>
      <c r="F351" s="30" t="str">
        <f>IFERROR(VLOOKUP(C351,기출문제!D:G,4,0),"")</f>
        <v/>
      </c>
      <c r="G351" s="31" t="str">
        <f t="shared" si="5"/>
        <v/>
      </c>
      <c r="J351" s="23"/>
    </row>
    <row r="352" spans="2:10" s="21" customFormat="1" x14ac:dyDescent="0.3">
      <c r="B352" s="17">
        <v>345</v>
      </c>
      <c r="C352" s="27" t="s">
        <v>723</v>
      </c>
      <c r="D352" s="17"/>
      <c r="E352" s="29" t="str">
        <f>IFERROR(VLOOKUP(C352,기출문제!D:G,3,0),"")</f>
        <v/>
      </c>
      <c r="F352" s="30" t="str">
        <f>IFERROR(VLOOKUP(C352,기출문제!D:G,4,0),"")</f>
        <v/>
      </c>
      <c r="G352" s="31" t="str">
        <f t="shared" si="5"/>
        <v/>
      </c>
      <c r="J352" s="23"/>
    </row>
    <row r="353" spans="2:10" s="21" customFormat="1" x14ac:dyDescent="0.3">
      <c r="B353" s="17">
        <v>346</v>
      </c>
      <c r="C353" s="27" t="s">
        <v>723</v>
      </c>
      <c r="D353" s="17"/>
      <c r="E353" s="29" t="str">
        <f>IFERROR(VLOOKUP(C353,기출문제!D:G,3,0),"")</f>
        <v/>
      </c>
      <c r="F353" s="30" t="str">
        <f>IFERROR(VLOOKUP(C353,기출문제!D:G,4,0),"")</f>
        <v/>
      </c>
      <c r="G353" s="31" t="str">
        <f t="shared" si="5"/>
        <v/>
      </c>
      <c r="J353" s="23"/>
    </row>
    <row r="354" spans="2:10" s="21" customFormat="1" x14ac:dyDescent="0.3">
      <c r="B354" s="17">
        <v>347</v>
      </c>
      <c r="C354" s="27" t="s">
        <v>723</v>
      </c>
      <c r="D354" s="17"/>
      <c r="E354" s="29" t="str">
        <f>IFERROR(VLOOKUP(C354,기출문제!D:G,3,0),"")</f>
        <v/>
      </c>
      <c r="F354" s="30" t="str">
        <f>IFERROR(VLOOKUP(C354,기출문제!D:G,4,0),"")</f>
        <v/>
      </c>
      <c r="G354" s="31" t="str">
        <f t="shared" si="5"/>
        <v/>
      </c>
      <c r="J354" s="23"/>
    </row>
    <row r="355" spans="2:10" s="21" customFormat="1" x14ac:dyDescent="0.3">
      <c r="B355" s="17">
        <v>348</v>
      </c>
      <c r="C355" s="27" t="s">
        <v>723</v>
      </c>
      <c r="D355" s="17"/>
      <c r="E355" s="29" t="str">
        <f>IFERROR(VLOOKUP(C355,기출문제!D:G,3,0),"")</f>
        <v/>
      </c>
      <c r="F355" s="30" t="str">
        <f>IFERROR(VLOOKUP(C355,기출문제!D:G,4,0),"")</f>
        <v/>
      </c>
      <c r="G355" s="31" t="str">
        <f t="shared" si="5"/>
        <v/>
      </c>
      <c r="J355" s="23"/>
    </row>
    <row r="356" spans="2:10" s="21" customFormat="1" x14ac:dyDescent="0.3">
      <c r="B356" s="17">
        <v>349</v>
      </c>
      <c r="C356" s="27" t="s">
        <v>723</v>
      </c>
      <c r="D356" s="17"/>
      <c r="E356" s="29" t="str">
        <f>IFERROR(VLOOKUP(C356,기출문제!D:G,3,0),"")</f>
        <v/>
      </c>
      <c r="F356" s="30" t="str">
        <f>IFERROR(VLOOKUP(C356,기출문제!D:G,4,0),"")</f>
        <v/>
      </c>
      <c r="G356" s="31" t="str">
        <f t="shared" si="5"/>
        <v/>
      </c>
      <c r="J356" s="23"/>
    </row>
    <row r="357" spans="2:10" s="21" customFormat="1" x14ac:dyDescent="0.3">
      <c r="B357" s="17">
        <v>350</v>
      </c>
      <c r="C357" s="27" t="s">
        <v>723</v>
      </c>
      <c r="D357" s="17"/>
      <c r="E357" s="29" t="str">
        <f>IFERROR(VLOOKUP(C357,기출문제!D:G,3,0),"")</f>
        <v/>
      </c>
      <c r="F357" s="30" t="str">
        <f>IFERROR(VLOOKUP(C357,기출문제!D:G,4,0),"")</f>
        <v/>
      </c>
      <c r="G357" s="31" t="str">
        <f t="shared" si="5"/>
        <v/>
      </c>
      <c r="J357" s="23"/>
    </row>
    <row r="358" spans="2:10" s="21" customFormat="1" x14ac:dyDescent="0.3">
      <c r="B358" s="17">
        <v>351</v>
      </c>
      <c r="C358" s="27" t="s">
        <v>723</v>
      </c>
      <c r="D358" s="17"/>
      <c r="E358" s="29" t="str">
        <f>IFERROR(VLOOKUP(C358,기출문제!D:G,3,0),"")</f>
        <v/>
      </c>
      <c r="F358" s="30" t="str">
        <f>IFERROR(VLOOKUP(C358,기출문제!D:G,4,0),"")</f>
        <v/>
      </c>
      <c r="G358" s="31" t="str">
        <f t="shared" si="5"/>
        <v/>
      </c>
      <c r="J358" s="23"/>
    </row>
    <row r="359" spans="2:10" s="21" customFormat="1" x14ac:dyDescent="0.3">
      <c r="B359" s="17">
        <v>352</v>
      </c>
      <c r="C359" s="27" t="s">
        <v>723</v>
      </c>
      <c r="D359" s="17"/>
      <c r="E359" s="29" t="str">
        <f>IFERROR(VLOOKUP(C359,기출문제!D:G,3,0),"")</f>
        <v/>
      </c>
      <c r="F359" s="30" t="str">
        <f>IFERROR(VLOOKUP(C359,기출문제!D:G,4,0),"")</f>
        <v/>
      </c>
      <c r="G359" s="31" t="str">
        <f t="shared" si="5"/>
        <v/>
      </c>
      <c r="J359" s="23"/>
    </row>
    <row r="360" spans="2:10" s="21" customFormat="1" x14ac:dyDescent="0.3">
      <c r="B360" s="17">
        <v>353</v>
      </c>
      <c r="C360" s="27" t="s">
        <v>723</v>
      </c>
      <c r="D360" s="17"/>
      <c r="E360" s="29" t="str">
        <f>IFERROR(VLOOKUP(C360,기출문제!D:G,3,0),"")</f>
        <v/>
      </c>
      <c r="F360" s="30" t="str">
        <f>IFERROR(VLOOKUP(C360,기출문제!D:G,4,0),"")</f>
        <v/>
      </c>
      <c r="G360" s="31" t="str">
        <f t="shared" si="5"/>
        <v/>
      </c>
      <c r="J360" s="23"/>
    </row>
    <row r="361" spans="2:10" s="21" customFormat="1" x14ac:dyDescent="0.3">
      <c r="B361" s="17">
        <v>354</v>
      </c>
      <c r="C361" s="27" t="s">
        <v>723</v>
      </c>
      <c r="D361" s="17"/>
      <c r="E361" s="29" t="str">
        <f>IFERROR(VLOOKUP(C361,기출문제!D:G,3,0),"")</f>
        <v/>
      </c>
      <c r="F361" s="30" t="str">
        <f>IFERROR(VLOOKUP(C361,기출문제!D:G,4,0),"")</f>
        <v/>
      </c>
      <c r="G361" s="31" t="str">
        <f t="shared" si="5"/>
        <v/>
      </c>
      <c r="J361" s="23"/>
    </row>
    <row r="362" spans="2:10" s="21" customFormat="1" x14ac:dyDescent="0.3">
      <c r="B362" s="17">
        <v>355</v>
      </c>
      <c r="C362" s="27" t="s">
        <v>723</v>
      </c>
      <c r="D362" s="17"/>
      <c r="E362" s="29" t="str">
        <f>IFERROR(VLOOKUP(C362,기출문제!D:G,3,0),"")</f>
        <v/>
      </c>
      <c r="F362" s="30" t="str">
        <f>IFERROR(VLOOKUP(C362,기출문제!D:G,4,0),"")</f>
        <v/>
      </c>
      <c r="G362" s="31" t="str">
        <f t="shared" si="5"/>
        <v/>
      </c>
      <c r="J362" s="23"/>
    </row>
    <row r="363" spans="2:10" s="21" customFormat="1" x14ac:dyDescent="0.3">
      <c r="B363" s="17">
        <v>356</v>
      </c>
      <c r="C363" s="27" t="s">
        <v>723</v>
      </c>
      <c r="D363" s="17"/>
      <c r="E363" s="29" t="str">
        <f>IFERROR(VLOOKUP(C363,기출문제!D:G,3,0),"")</f>
        <v/>
      </c>
      <c r="F363" s="30" t="str">
        <f>IFERROR(VLOOKUP(C363,기출문제!D:G,4,0),"")</f>
        <v/>
      </c>
      <c r="G363" s="31" t="str">
        <f t="shared" si="5"/>
        <v/>
      </c>
      <c r="J363" s="23"/>
    </row>
    <row r="364" spans="2:10" s="21" customFormat="1" x14ac:dyDescent="0.3">
      <c r="B364" s="17">
        <v>357</v>
      </c>
      <c r="C364" s="27" t="s">
        <v>723</v>
      </c>
      <c r="D364" s="17"/>
      <c r="E364" s="29" t="str">
        <f>IFERROR(VLOOKUP(C364,기출문제!D:G,3,0),"")</f>
        <v/>
      </c>
      <c r="F364" s="30" t="str">
        <f>IFERROR(VLOOKUP(C364,기출문제!D:G,4,0),"")</f>
        <v/>
      </c>
      <c r="G364" s="31" t="str">
        <f t="shared" si="5"/>
        <v/>
      </c>
      <c r="J364" s="23"/>
    </row>
    <row r="365" spans="2:10" s="21" customFormat="1" x14ac:dyDescent="0.3">
      <c r="B365" s="17">
        <v>358</v>
      </c>
      <c r="C365" s="27" t="s">
        <v>723</v>
      </c>
      <c r="D365" s="17"/>
      <c r="E365" s="29" t="str">
        <f>IFERROR(VLOOKUP(C365,기출문제!D:G,3,0),"")</f>
        <v/>
      </c>
      <c r="F365" s="30" t="str">
        <f>IFERROR(VLOOKUP(C365,기출문제!D:G,4,0),"")</f>
        <v/>
      </c>
      <c r="G365" s="31" t="str">
        <f t="shared" si="5"/>
        <v/>
      </c>
      <c r="J365" s="23"/>
    </row>
    <row r="366" spans="2:10" s="21" customFormat="1" x14ac:dyDescent="0.3">
      <c r="B366" s="17">
        <v>359</v>
      </c>
      <c r="C366" s="27" t="s">
        <v>723</v>
      </c>
      <c r="D366" s="17"/>
      <c r="E366" s="29" t="str">
        <f>IFERROR(VLOOKUP(C366,기출문제!D:G,3,0),"")</f>
        <v/>
      </c>
      <c r="F366" s="30" t="str">
        <f>IFERROR(VLOOKUP(C366,기출문제!D:G,4,0),"")</f>
        <v/>
      </c>
      <c r="G366" s="31" t="str">
        <f t="shared" si="5"/>
        <v/>
      </c>
      <c r="J366" s="23"/>
    </row>
    <row r="367" spans="2:10" s="21" customFormat="1" x14ac:dyDescent="0.3">
      <c r="B367" s="17">
        <v>360</v>
      </c>
      <c r="C367" s="27" t="s">
        <v>723</v>
      </c>
      <c r="D367" s="17"/>
      <c r="E367" s="29" t="str">
        <f>IFERROR(VLOOKUP(C367,기출문제!D:G,3,0),"")</f>
        <v/>
      </c>
      <c r="F367" s="30" t="str">
        <f>IFERROR(VLOOKUP(C367,기출문제!D:G,4,0),"")</f>
        <v/>
      </c>
      <c r="G367" s="31" t="str">
        <f t="shared" si="5"/>
        <v/>
      </c>
      <c r="J367" s="23"/>
    </row>
    <row r="368" spans="2:10" s="21" customFormat="1" x14ac:dyDescent="0.3">
      <c r="B368" s="17">
        <v>361</v>
      </c>
      <c r="C368" s="27" t="s">
        <v>723</v>
      </c>
      <c r="D368" s="17"/>
      <c r="E368" s="29" t="str">
        <f>IFERROR(VLOOKUP(C368,기출문제!D:G,3,0),"")</f>
        <v/>
      </c>
      <c r="F368" s="30" t="str">
        <f>IFERROR(VLOOKUP(C368,기출문제!D:G,4,0),"")</f>
        <v/>
      </c>
      <c r="G368" s="31" t="str">
        <f t="shared" si="5"/>
        <v/>
      </c>
      <c r="J368" s="23"/>
    </row>
    <row r="369" spans="2:10" s="21" customFormat="1" x14ac:dyDescent="0.3">
      <c r="B369" s="17">
        <v>362</v>
      </c>
      <c r="C369" s="27" t="s">
        <v>723</v>
      </c>
      <c r="D369" s="17"/>
      <c r="E369" s="29" t="str">
        <f>IFERROR(VLOOKUP(C369,기출문제!D:G,3,0),"")</f>
        <v/>
      </c>
      <c r="F369" s="30" t="str">
        <f>IFERROR(VLOOKUP(C369,기출문제!D:G,4,0),"")</f>
        <v/>
      </c>
      <c r="G369" s="31" t="str">
        <f t="shared" si="5"/>
        <v/>
      </c>
      <c r="J369" s="23"/>
    </row>
    <row r="370" spans="2:10" s="21" customFormat="1" x14ac:dyDescent="0.3">
      <c r="B370" s="17">
        <v>363</v>
      </c>
      <c r="C370" s="27" t="s">
        <v>723</v>
      </c>
      <c r="D370" s="17"/>
      <c r="E370" s="29" t="str">
        <f>IFERROR(VLOOKUP(C370,기출문제!D:G,3,0),"")</f>
        <v/>
      </c>
      <c r="F370" s="30" t="str">
        <f>IFERROR(VLOOKUP(C370,기출문제!D:G,4,0),"")</f>
        <v/>
      </c>
      <c r="G370" s="31" t="str">
        <f t="shared" si="5"/>
        <v/>
      </c>
      <c r="J370" s="23"/>
    </row>
    <row r="371" spans="2:10" s="21" customFormat="1" x14ac:dyDescent="0.3">
      <c r="B371" s="17">
        <v>364</v>
      </c>
      <c r="C371" s="27" t="s">
        <v>723</v>
      </c>
      <c r="D371" s="17"/>
      <c r="E371" s="29" t="str">
        <f>IFERROR(VLOOKUP(C371,기출문제!D:G,3,0),"")</f>
        <v/>
      </c>
      <c r="F371" s="30" t="str">
        <f>IFERROR(VLOOKUP(C371,기출문제!D:G,4,0),"")</f>
        <v/>
      </c>
      <c r="G371" s="31" t="str">
        <f t="shared" si="5"/>
        <v/>
      </c>
      <c r="J371" s="23"/>
    </row>
    <row r="372" spans="2:10" s="21" customFormat="1" x14ac:dyDescent="0.3">
      <c r="B372" s="17">
        <v>365</v>
      </c>
      <c r="C372" s="27" t="s">
        <v>723</v>
      </c>
      <c r="D372" s="17"/>
      <c r="E372" s="29" t="str">
        <f>IFERROR(VLOOKUP(C372,기출문제!D:G,3,0),"")</f>
        <v/>
      </c>
      <c r="F372" s="30" t="str">
        <f>IFERROR(VLOOKUP(C372,기출문제!D:G,4,0),"")</f>
        <v/>
      </c>
      <c r="G372" s="31" t="str">
        <f t="shared" si="5"/>
        <v/>
      </c>
      <c r="J372" s="23"/>
    </row>
    <row r="373" spans="2:10" s="21" customFormat="1" x14ac:dyDescent="0.3">
      <c r="B373" s="17">
        <v>366</v>
      </c>
      <c r="C373" s="27" t="s">
        <v>723</v>
      </c>
      <c r="D373" s="17"/>
      <c r="E373" s="29" t="str">
        <f>IFERROR(VLOOKUP(C373,기출문제!D:G,3,0),"")</f>
        <v/>
      </c>
      <c r="F373" s="30" t="str">
        <f>IFERROR(VLOOKUP(C373,기출문제!D:G,4,0),"")</f>
        <v/>
      </c>
      <c r="G373" s="31" t="str">
        <f t="shared" si="5"/>
        <v/>
      </c>
      <c r="J373" s="23"/>
    </row>
    <row r="374" spans="2:10" s="21" customFormat="1" x14ac:dyDescent="0.3">
      <c r="B374" s="17">
        <v>367</v>
      </c>
      <c r="C374" s="27" t="s">
        <v>723</v>
      </c>
      <c r="D374" s="17"/>
      <c r="E374" s="29" t="str">
        <f>IFERROR(VLOOKUP(C374,기출문제!D:G,3,0),"")</f>
        <v/>
      </c>
      <c r="F374" s="30" t="str">
        <f>IFERROR(VLOOKUP(C374,기출문제!D:G,4,0),"")</f>
        <v/>
      </c>
      <c r="G374" s="31" t="str">
        <f t="shared" si="5"/>
        <v/>
      </c>
      <c r="J374" s="23"/>
    </row>
    <row r="375" spans="2:10" s="21" customFormat="1" x14ac:dyDescent="0.3">
      <c r="B375" s="17">
        <v>368</v>
      </c>
      <c r="C375" s="27" t="s">
        <v>723</v>
      </c>
      <c r="D375" s="17"/>
      <c r="E375" s="29" t="str">
        <f>IFERROR(VLOOKUP(C375,기출문제!D:G,3,0),"")</f>
        <v/>
      </c>
      <c r="F375" s="30" t="str">
        <f>IFERROR(VLOOKUP(C375,기출문제!D:G,4,0),"")</f>
        <v/>
      </c>
      <c r="G375" s="31" t="str">
        <f t="shared" si="5"/>
        <v/>
      </c>
      <c r="J375" s="23"/>
    </row>
    <row r="376" spans="2:10" s="21" customFormat="1" x14ac:dyDescent="0.3">
      <c r="B376" s="17">
        <v>369</v>
      </c>
      <c r="C376" s="27" t="s">
        <v>723</v>
      </c>
      <c r="D376" s="17"/>
      <c r="E376" s="29" t="str">
        <f>IFERROR(VLOOKUP(C376,기출문제!D:G,3,0),"")</f>
        <v/>
      </c>
      <c r="F376" s="30" t="str">
        <f>IFERROR(VLOOKUP(C376,기출문제!D:G,4,0),"")</f>
        <v/>
      </c>
      <c r="G376" s="31" t="str">
        <f t="shared" si="5"/>
        <v/>
      </c>
      <c r="J376" s="23"/>
    </row>
    <row r="377" spans="2:10" s="21" customFormat="1" x14ac:dyDescent="0.3">
      <c r="B377" s="17">
        <v>370</v>
      </c>
      <c r="C377" s="27" t="s">
        <v>723</v>
      </c>
      <c r="D377" s="17"/>
      <c r="E377" s="29" t="str">
        <f>IFERROR(VLOOKUP(C377,기출문제!D:G,3,0),"")</f>
        <v/>
      </c>
      <c r="F377" s="30" t="str">
        <f>IFERROR(VLOOKUP(C377,기출문제!D:G,4,0),"")</f>
        <v/>
      </c>
      <c r="G377" s="31" t="str">
        <f t="shared" si="5"/>
        <v/>
      </c>
      <c r="J377" s="23"/>
    </row>
    <row r="378" spans="2:10" s="21" customFormat="1" x14ac:dyDescent="0.3">
      <c r="B378" s="17">
        <v>371</v>
      </c>
      <c r="C378" s="27" t="s">
        <v>723</v>
      </c>
      <c r="D378" s="17"/>
      <c r="E378" s="29" t="str">
        <f>IFERROR(VLOOKUP(C378,기출문제!D:G,3,0),"")</f>
        <v/>
      </c>
      <c r="F378" s="30" t="str">
        <f>IFERROR(VLOOKUP(C378,기출문제!D:G,4,0),"")</f>
        <v/>
      </c>
      <c r="G378" s="31" t="str">
        <f t="shared" si="5"/>
        <v/>
      </c>
      <c r="J378" s="23"/>
    </row>
    <row r="379" spans="2:10" s="21" customFormat="1" x14ac:dyDescent="0.3">
      <c r="B379" s="17">
        <v>372</v>
      </c>
      <c r="C379" s="27" t="s">
        <v>723</v>
      </c>
      <c r="D379" s="17"/>
      <c r="E379" s="29" t="str">
        <f>IFERROR(VLOOKUP(C379,기출문제!D:G,3,0),"")</f>
        <v/>
      </c>
      <c r="F379" s="30" t="str">
        <f>IFERROR(VLOOKUP(C379,기출문제!D:G,4,0),"")</f>
        <v/>
      </c>
      <c r="G379" s="31" t="str">
        <f t="shared" si="5"/>
        <v/>
      </c>
      <c r="J379" s="23"/>
    </row>
    <row r="380" spans="2:10" s="21" customFormat="1" x14ac:dyDescent="0.3">
      <c r="B380" s="17">
        <v>373</v>
      </c>
      <c r="C380" s="27" t="s">
        <v>723</v>
      </c>
      <c r="D380" s="17"/>
      <c r="E380" s="29" t="str">
        <f>IFERROR(VLOOKUP(C380,기출문제!D:G,3,0),"")</f>
        <v/>
      </c>
      <c r="F380" s="30" t="str">
        <f>IFERROR(VLOOKUP(C380,기출문제!D:G,4,0),"")</f>
        <v/>
      </c>
      <c r="G380" s="31" t="str">
        <f t="shared" si="5"/>
        <v/>
      </c>
      <c r="J380" s="23"/>
    </row>
    <row r="381" spans="2:10" s="21" customFormat="1" x14ac:dyDescent="0.3">
      <c r="B381" s="17">
        <v>374</v>
      </c>
      <c r="C381" s="27" t="s">
        <v>723</v>
      </c>
      <c r="D381" s="17"/>
      <c r="E381" s="29" t="str">
        <f>IFERROR(VLOOKUP(C381,기출문제!D:G,3,0),"")</f>
        <v/>
      </c>
      <c r="F381" s="30" t="str">
        <f>IFERROR(VLOOKUP(C381,기출문제!D:G,4,0),"")</f>
        <v/>
      </c>
      <c r="G381" s="31" t="str">
        <f t="shared" si="5"/>
        <v/>
      </c>
      <c r="J381" s="23"/>
    </row>
    <row r="382" spans="2:10" s="21" customFormat="1" x14ac:dyDescent="0.3">
      <c r="B382" s="17">
        <v>375</v>
      </c>
      <c r="C382" s="27" t="s">
        <v>723</v>
      </c>
      <c r="D382" s="17"/>
      <c r="E382" s="29" t="str">
        <f>IFERROR(VLOOKUP(C382,기출문제!D:G,3,0),"")</f>
        <v/>
      </c>
      <c r="F382" s="30" t="str">
        <f>IFERROR(VLOOKUP(C382,기출문제!D:G,4,0),"")</f>
        <v/>
      </c>
      <c r="G382" s="31" t="str">
        <f t="shared" si="5"/>
        <v/>
      </c>
      <c r="J382" s="23"/>
    </row>
    <row r="383" spans="2:10" s="21" customFormat="1" x14ac:dyDescent="0.3">
      <c r="B383" s="17">
        <v>376</v>
      </c>
      <c r="C383" s="27" t="s">
        <v>723</v>
      </c>
      <c r="D383" s="17"/>
      <c r="E383" s="29" t="str">
        <f>IFERROR(VLOOKUP(C383,기출문제!D:G,3,0),"")</f>
        <v/>
      </c>
      <c r="F383" s="30" t="str">
        <f>IFERROR(VLOOKUP(C383,기출문제!D:G,4,0),"")</f>
        <v/>
      </c>
      <c r="G383" s="31" t="str">
        <f t="shared" si="5"/>
        <v/>
      </c>
      <c r="J383" s="23"/>
    </row>
    <row r="384" spans="2:10" s="21" customFormat="1" x14ac:dyDescent="0.3">
      <c r="B384" s="17">
        <v>377</v>
      </c>
      <c r="C384" s="27" t="s">
        <v>723</v>
      </c>
      <c r="D384" s="17"/>
      <c r="E384" s="29" t="str">
        <f>IFERROR(VLOOKUP(C384,기출문제!D:G,3,0),"")</f>
        <v/>
      </c>
      <c r="F384" s="30" t="str">
        <f>IFERROR(VLOOKUP(C384,기출문제!D:G,4,0),"")</f>
        <v/>
      </c>
      <c r="G384" s="31" t="str">
        <f t="shared" si="5"/>
        <v/>
      </c>
      <c r="J384" s="23"/>
    </row>
    <row r="385" spans="2:10" s="21" customFormat="1" x14ac:dyDescent="0.3">
      <c r="B385" s="17">
        <v>378</v>
      </c>
      <c r="C385" s="27" t="s">
        <v>723</v>
      </c>
      <c r="D385" s="17"/>
      <c r="E385" s="29" t="str">
        <f>IFERROR(VLOOKUP(C385,기출문제!D:G,3,0),"")</f>
        <v/>
      </c>
      <c r="F385" s="30" t="str">
        <f>IFERROR(VLOOKUP(C385,기출문제!D:G,4,0),"")</f>
        <v/>
      </c>
      <c r="G385" s="31" t="str">
        <f t="shared" si="5"/>
        <v/>
      </c>
      <c r="J385" s="23"/>
    </row>
    <row r="386" spans="2:10" s="21" customFormat="1" x14ac:dyDescent="0.3">
      <c r="B386" s="17">
        <v>379</v>
      </c>
      <c r="C386" s="27" t="s">
        <v>723</v>
      </c>
      <c r="D386" s="17"/>
      <c r="E386" s="29" t="str">
        <f>IFERROR(VLOOKUP(C386,기출문제!D:G,3,0),"")</f>
        <v/>
      </c>
      <c r="F386" s="30" t="str">
        <f>IFERROR(VLOOKUP(C386,기출문제!D:G,4,0),"")</f>
        <v/>
      </c>
      <c r="G386" s="31" t="str">
        <f t="shared" si="5"/>
        <v/>
      </c>
      <c r="J386" s="23"/>
    </row>
    <row r="387" spans="2:10" s="21" customFormat="1" x14ac:dyDescent="0.3">
      <c r="B387" s="17">
        <v>380</v>
      </c>
      <c r="C387" s="27" t="s">
        <v>723</v>
      </c>
      <c r="D387" s="17"/>
      <c r="E387" s="29" t="str">
        <f>IFERROR(VLOOKUP(C387,기출문제!D:G,3,0),"")</f>
        <v/>
      </c>
      <c r="F387" s="30" t="str">
        <f>IFERROR(VLOOKUP(C387,기출문제!D:G,4,0),"")</f>
        <v/>
      </c>
      <c r="G387" s="31" t="str">
        <f t="shared" si="5"/>
        <v/>
      </c>
      <c r="J387" s="23"/>
    </row>
    <row r="388" spans="2:10" s="21" customFormat="1" x14ac:dyDescent="0.3">
      <c r="B388" s="17">
        <v>381</v>
      </c>
      <c r="C388" s="27" t="s">
        <v>723</v>
      </c>
      <c r="D388" s="17"/>
      <c r="E388" s="29" t="str">
        <f>IFERROR(VLOOKUP(C388,기출문제!D:G,3,0),"")</f>
        <v/>
      </c>
      <c r="F388" s="30" t="str">
        <f>IFERROR(VLOOKUP(C388,기출문제!D:G,4,0),"")</f>
        <v/>
      </c>
      <c r="G388" s="31" t="str">
        <f t="shared" si="5"/>
        <v/>
      </c>
      <c r="J388" s="23"/>
    </row>
    <row r="389" spans="2:10" s="21" customFormat="1" x14ac:dyDescent="0.3">
      <c r="B389" s="17">
        <v>382</v>
      </c>
      <c r="C389" s="27" t="s">
        <v>723</v>
      </c>
      <c r="D389" s="17"/>
      <c r="E389" s="29" t="str">
        <f>IFERROR(VLOOKUP(C389,기출문제!D:G,3,0),"")</f>
        <v/>
      </c>
      <c r="F389" s="30" t="str">
        <f>IFERROR(VLOOKUP(C389,기출문제!D:G,4,0),"")</f>
        <v/>
      </c>
      <c r="G389" s="31" t="str">
        <f t="shared" si="5"/>
        <v/>
      </c>
      <c r="J389" s="23"/>
    </row>
    <row r="390" spans="2:10" s="21" customFormat="1" x14ac:dyDescent="0.3">
      <c r="B390" s="17">
        <v>383</v>
      </c>
      <c r="C390" s="27" t="s">
        <v>723</v>
      </c>
      <c r="D390" s="17"/>
      <c r="E390" s="29" t="str">
        <f>IFERROR(VLOOKUP(C390,기출문제!D:G,3,0),"")</f>
        <v/>
      </c>
      <c r="F390" s="30" t="str">
        <f>IFERROR(VLOOKUP(C390,기출문제!D:G,4,0),"")</f>
        <v/>
      </c>
      <c r="G390" s="31" t="str">
        <f t="shared" si="5"/>
        <v/>
      </c>
      <c r="J390" s="23"/>
    </row>
    <row r="391" spans="2:10" s="21" customFormat="1" x14ac:dyDescent="0.3">
      <c r="B391" s="17">
        <v>384</v>
      </c>
      <c r="C391" s="27" t="s">
        <v>723</v>
      </c>
      <c r="D391" s="17"/>
      <c r="E391" s="29" t="str">
        <f>IFERROR(VLOOKUP(C391,기출문제!D:G,3,0),"")</f>
        <v/>
      </c>
      <c r="F391" s="30" t="str">
        <f>IFERROR(VLOOKUP(C391,기출문제!D:G,4,0),"")</f>
        <v/>
      </c>
      <c r="G391" s="31" t="str">
        <f t="shared" si="5"/>
        <v/>
      </c>
      <c r="J391" s="23"/>
    </row>
    <row r="392" spans="2:10" s="21" customFormat="1" x14ac:dyDescent="0.3">
      <c r="B392" s="17">
        <v>385</v>
      </c>
      <c r="C392" s="27" t="s">
        <v>723</v>
      </c>
      <c r="D392" s="17"/>
      <c r="E392" s="29" t="str">
        <f>IFERROR(VLOOKUP(C392,기출문제!D:G,3,0),"")</f>
        <v/>
      </c>
      <c r="F392" s="30" t="str">
        <f>IFERROR(VLOOKUP(C392,기출문제!D:G,4,0),"")</f>
        <v/>
      </c>
      <c r="G392" s="31" t="str">
        <f t="shared" si="5"/>
        <v/>
      </c>
      <c r="J392" s="23"/>
    </row>
    <row r="393" spans="2:10" s="21" customFormat="1" x14ac:dyDescent="0.3">
      <c r="B393" s="17">
        <v>386</v>
      </c>
      <c r="C393" s="27" t="s">
        <v>723</v>
      </c>
      <c r="D393" s="17"/>
      <c r="E393" s="29" t="str">
        <f>IFERROR(VLOOKUP(C393,기출문제!D:G,3,0),"")</f>
        <v/>
      </c>
      <c r="F393" s="30" t="str">
        <f>IFERROR(VLOOKUP(C393,기출문제!D:G,4,0),"")</f>
        <v/>
      </c>
      <c r="G393" s="31" t="str">
        <f t="shared" ref="G393:G397" si="6">IF(D393="","",IF(D393=F393,"O", "X"))</f>
        <v/>
      </c>
      <c r="J393" s="23"/>
    </row>
    <row r="394" spans="2:10" s="21" customFormat="1" x14ac:dyDescent="0.3">
      <c r="B394" s="17">
        <v>387</v>
      </c>
      <c r="C394" s="27" t="s">
        <v>723</v>
      </c>
      <c r="D394" s="17"/>
      <c r="E394" s="29" t="str">
        <f>IFERROR(VLOOKUP(C394,기출문제!D:G,3,0),"")</f>
        <v/>
      </c>
      <c r="F394" s="30" t="str">
        <f>IFERROR(VLOOKUP(C394,기출문제!D:G,4,0),"")</f>
        <v/>
      </c>
      <c r="G394" s="31" t="str">
        <f t="shared" si="6"/>
        <v/>
      </c>
      <c r="J394" s="23"/>
    </row>
    <row r="395" spans="2:10" s="21" customFormat="1" x14ac:dyDescent="0.3">
      <c r="B395" s="17">
        <v>388</v>
      </c>
      <c r="C395" s="27" t="s">
        <v>723</v>
      </c>
      <c r="D395" s="17"/>
      <c r="E395" s="29" t="str">
        <f>IFERROR(VLOOKUP(C395,기출문제!D:G,3,0),"")</f>
        <v/>
      </c>
      <c r="F395" s="30" t="str">
        <f>IFERROR(VLOOKUP(C395,기출문제!D:G,4,0),"")</f>
        <v/>
      </c>
      <c r="G395" s="31" t="str">
        <f t="shared" si="6"/>
        <v/>
      </c>
      <c r="J395" s="23"/>
    </row>
    <row r="396" spans="2:10" s="21" customFormat="1" x14ac:dyDescent="0.3">
      <c r="B396" s="17">
        <v>389</v>
      </c>
      <c r="C396" s="27" t="s">
        <v>723</v>
      </c>
      <c r="D396" s="17"/>
      <c r="E396" s="29" t="str">
        <f>IFERROR(VLOOKUP(C396,기출문제!D:G,3,0),"")</f>
        <v/>
      </c>
      <c r="F396" s="30" t="str">
        <f>IFERROR(VLOOKUP(C396,기출문제!D:G,4,0),"")</f>
        <v/>
      </c>
      <c r="G396" s="31" t="str">
        <f t="shared" si="6"/>
        <v/>
      </c>
      <c r="J396" s="23"/>
    </row>
    <row r="397" spans="2:10" s="21" customFormat="1" x14ac:dyDescent="0.3">
      <c r="B397" s="17">
        <v>390</v>
      </c>
      <c r="C397" s="27" t="s">
        <v>723</v>
      </c>
      <c r="D397" s="17"/>
      <c r="E397" s="29" t="str">
        <f>IFERROR(VLOOKUP(C397,기출문제!D:G,3,0),"")</f>
        <v/>
      </c>
      <c r="F397" s="30" t="str">
        <f>IFERROR(VLOOKUP(C397,기출문제!D:G,4,0),"")</f>
        <v/>
      </c>
      <c r="G397" s="31" t="str">
        <f t="shared" si="6"/>
        <v/>
      </c>
      <c r="J397" s="23"/>
    </row>
  </sheetData>
  <phoneticPr fontId="1" type="noConversion"/>
  <conditionalFormatting sqref="F8:F397">
    <cfRule type="expression" dxfId="3" priority="1">
      <formula>$D8&lt;&gt;""</formula>
    </cfRule>
  </conditionalFormatting>
  <dataValidations count="1">
    <dataValidation type="list" allowBlank="1" showInputMessage="1" showErrorMessage="1" sqref="D3" xr:uid="{9363A47C-BB20-4FE2-B031-6071F78902B7}">
      <formula1>"A(기본),R(랜덤)"</formula1>
    </dataValidation>
  </dataValidations>
  <printOptions horizontalCentered="1"/>
  <pageMargins left="0" right="0" top="0.19685039370078741" bottom="0" header="0" footer="0"/>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현재_통합_문서.TestQuestionCreate_Click" altText="문제생성_x000a_">
                <anchor moveWithCells="1" sizeWithCells="1">
                  <from>
                    <xdr:col>2</xdr:col>
                    <xdr:colOff>9525</xdr:colOff>
                    <xdr:row>5</xdr:row>
                    <xdr:rowOff>28575</xdr:rowOff>
                  </from>
                  <to>
                    <xdr:col>3</xdr:col>
                    <xdr:colOff>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BA5AC21-9613-4B3C-86D2-7D48D3433E00}">
          <x14:formula1>
            <xm:f>기출문제!$C$4:$C$5000</xm:f>
          </x14:formula1>
          <xm:sqref>D4:D5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F9F42-99FC-4209-92E9-1E17B5B3B349}">
  <sheetPr codeName="Sheet19">
    <pageSetUpPr autoPageBreaks="0"/>
  </sheetPr>
  <dimension ref="B2:J397"/>
  <sheetViews>
    <sheetView showGridLines="0" zoomScaleNormal="100" zoomScaleSheetLayoutView="100" workbookViewId="0">
      <pane ySplit="7" topLeftCell="A198" activePane="bottomLeft" state="frozen"/>
      <selection activeCell="N35" sqref="N35"/>
      <selection pane="bottomLeft" activeCell="E198" sqref="E198"/>
    </sheetView>
  </sheetViews>
  <sheetFormatPr defaultColWidth="9" defaultRowHeight="14.25" x14ac:dyDescent="0.3"/>
  <cols>
    <col min="1" max="1" width="1.625" style="23" customWidth="1"/>
    <col min="2" max="2" width="3.625" style="15" customWidth="1"/>
    <col min="3" max="3" width="10.625" style="15" customWidth="1"/>
    <col min="4" max="4" width="5.625" style="15" customWidth="1"/>
    <col min="5" max="5" width="95.625" style="18" customWidth="1"/>
    <col min="6" max="7" width="5.625" style="26" customWidth="1"/>
    <col min="8" max="9" width="9" style="21"/>
    <col min="10" max="16384" width="9" style="23"/>
  </cols>
  <sheetData>
    <row r="2" spans="2:10" x14ac:dyDescent="0.3">
      <c r="C2" s="16" t="s">
        <v>724</v>
      </c>
      <c r="D2" s="17">
        <v>265</v>
      </c>
      <c r="F2" s="19" t="s">
        <v>763</v>
      </c>
      <c r="G2" s="20">
        <f>MAX(B8:B397)-COUNTBLANK(C8:C397)</f>
        <v>265</v>
      </c>
      <c r="J2" s="22"/>
    </row>
    <row r="3" spans="2:10" x14ac:dyDescent="0.3">
      <c r="C3" s="16" t="s">
        <v>725</v>
      </c>
      <c r="D3" s="17" t="s">
        <v>744</v>
      </c>
      <c r="F3" s="19" t="s">
        <v>773</v>
      </c>
      <c r="G3" s="24">
        <f>COUNTIF(G8:G447,"X")</f>
        <v>0</v>
      </c>
      <c r="J3" s="22"/>
    </row>
    <row r="4" spans="2:10" x14ac:dyDescent="0.3">
      <c r="C4" s="16" t="s">
        <v>729</v>
      </c>
      <c r="D4" s="17" t="s">
        <v>739</v>
      </c>
      <c r="F4" s="24" t="s">
        <v>3</v>
      </c>
      <c r="G4" s="24">
        <f>G2-G3</f>
        <v>265</v>
      </c>
      <c r="J4" s="22"/>
    </row>
    <row r="5" spans="2:10" x14ac:dyDescent="0.3">
      <c r="C5" s="16" t="s">
        <v>726</v>
      </c>
      <c r="D5" s="17" t="s">
        <v>728</v>
      </c>
      <c r="F5" s="24" t="s">
        <v>764</v>
      </c>
      <c r="G5" s="25">
        <f>100/G2*G4</f>
        <v>100.00000000000001</v>
      </c>
      <c r="J5" s="22"/>
    </row>
    <row r="6" spans="2:10" x14ac:dyDescent="0.3">
      <c r="J6" s="22"/>
    </row>
    <row r="7" spans="2:10" x14ac:dyDescent="0.3">
      <c r="B7" s="4" t="s">
        <v>0</v>
      </c>
      <c r="C7" s="4" t="s">
        <v>1</v>
      </c>
      <c r="D7" s="4" t="s">
        <v>606</v>
      </c>
      <c r="E7" s="14" t="s">
        <v>2</v>
      </c>
      <c r="F7" s="14" t="s">
        <v>3</v>
      </c>
      <c r="G7" s="14" t="s">
        <v>598</v>
      </c>
      <c r="J7" s="22"/>
    </row>
    <row r="8" spans="2:10" ht="156.75" x14ac:dyDescent="0.3">
      <c r="B8" s="17">
        <v>1</v>
      </c>
      <c r="C8" s="27" t="s">
        <v>631</v>
      </c>
      <c r="D8" s="28"/>
      <c r="E8" s="29" t="str">
        <f>IFERROR(VLOOKUP(C8,기출문제!D:G,3,0),"")</f>
        <v>41. 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
① ㄱ, ㄴ, ㄷ 
② ㄱ, ㄴ, ㄹ 
③ ㄱ, ㄷ, ㄹ
④ ㄴ, ㄷ, ㄹ 
⑤ ㄱ, ㄴ, ㄷ, ㄹ</v>
      </c>
      <c r="F8" s="30">
        <f>IFERROR(VLOOKUP(C8,기출문제!D:G,4,0),"")</f>
        <v>5</v>
      </c>
      <c r="G8" s="31" t="str">
        <f>IF(D8="","",IF(D8=F8,"O", "X"))</f>
        <v/>
      </c>
    </row>
    <row r="9" spans="2:10" ht="156.75" x14ac:dyDescent="0.3">
      <c r="B9" s="17">
        <v>2</v>
      </c>
      <c r="C9" s="27" t="s">
        <v>866</v>
      </c>
      <c r="D9" s="28"/>
      <c r="E9" s="29" t="str">
        <f>IFERROR(VLOOKUP(C9,기출문제!D:G,3,0),"")</f>
        <v>42. 사회보장기본법령에 관한 설명으로 옳지 않은 것은?
① 보건복지부장관은 사회보장 행정데이터 분석센터의 설치・운영에 관한 사무를 수행하기 위하여 불가피한 경우「개인정보 보호법」시행령 제18조제2호에 따른 범죄경력자료에 해당하는 정보를 처리할 수 있다.
② 보건복지부장관은 사회보장 분야 전문 인력 양성을 위하여 관계 중앙행정기관, 지방자치단체, 공공기관 및 법인・단체 등의 직원을 대상으로 사회보장에 관한 교육을 매년 1회 이상 실시할 수 있다.
③ 보건복지부장관은 사회보장정보시스템을 통해 다른 법령에 따라 국가 및 지방자치단체로부터 위탁받은 사회보장에 관한 업무를 수행할 수 있다.
④ 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
⑤ 보건복지부장관이 사회보장정보시스템의 운영・지원을 위하여 설치할 수 있는 전담기구는「사회보장급여의 이용・제공 및 수급권자 발굴에 관한 법률」제29조에 따른 한국사회보장정보원으로 한다.</v>
      </c>
      <c r="F9" s="30">
        <f>IFERROR(VLOOKUP(C9,기출문제!D:G,4,0),"")</f>
        <v>1</v>
      </c>
      <c r="G9" s="31" t="str">
        <f t="shared" ref="G9:G72" si="0">IF(D9="","",IF(D9=F9,"O", "X"))</f>
        <v/>
      </c>
    </row>
    <row r="10" spans="2:10" ht="114" x14ac:dyDescent="0.3">
      <c r="B10" s="17">
        <v>3</v>
      </c>
      <c r="C10" s="27" t="s">
        <v>867</v>
      </c>
      <c r="D10" s="28"/>
      <c r="E10" s="29" t="str">
        <f>IFERROR(VLOOKUP(C10,기출문제!D:G,3,0),"")</f>
        <v>43. 사회보장기본법령상 사회보장 재정추계(財政推計)에 관한 설명으로 옳지 않은 것은?
① 국가는 사회보장제도의 안정적인 운영을 위하여 중장기 사회보장 재정추계를 격년으로 실시하고 이를 공표하여야 한다.
② 보건복지부장관은 사회보장 재정추계를 위하여 재정추계를 실시하는 해의 1월 31일까지 재정추계 세부지침을 마련하여야 한다.
③ 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
④ 관계 중앙행정기관의 장은 재정추계 결과를 바탕으로 정책개선안을 마련하여 같은 해 12월 31일까지 보건복지부장관에게 제출하여야 한다.
⑤ 보건복지부장관은 정책개선안을 종합하여 이를 추계 실시 해의 다음 해 3월 31일까지 사회보장위원회에 보고하여야 한다.</v>
      </c>
      <c r="F10" s="30">
        <f>IFERROR(VLOOKUP(C10,기출문제!D:G,4,0),"")</f>
        <v>2</v>
      </c>
      <c r="G10" s="31" t="str">
        <f t="shared" si="0"/>
        <v/>
      </c>
    </row>
    <row r="11" spans="2:10" ht="85.5" x14ac:dyDescent="0.3">
      <c r="B11" s="17">
        <v>4</v>
      </c>
      <c r="C11" s="27" t="s">
        <v>868</v>
      </c>
      <c r="D11" s="28"/>
      <c r="E11" s="29" t="str">
        <f>IFERROR(VLOOKUP(C11,기출문제!D:G,3,0),"")</f>
        <v>44. 고용보험법상「장애인고용촉진 및 직업재활법」제2조제1호에 따른 장애인의 피보험 기간이 1년인 구직급여의 소정급여일수는?
① 120일 
② 180일 
③ 210일 
④ 240일 
⑤ 270일</v>
      </c>
      <c r="F11" s="30">
        <f>IFERROR(VLOOKUP(C11,기출문제!D:G,4,0),"")</f>
        <v>2</v>
      </c>
      <c r="G11" s="31" t="str">
        <f t="shared" si="0"/>
        <v/>
      </c>
    </row>
    <row r="12" spans="2:10" ht="156.75" x14ac:dyDescent="0.3">
      <c r="B12" s="17">
        <v>5</v>
      </c>
      <c r="C12" s="27" t="s">
        <v>869</v>
      </c>
      <c r="D12" s="28"/>
      <c r="E12" s="29" t="str">
        <f>IFERROR(VLOOKUP(C12,기출문제!D:G,3,0),"")</f>
        <v>45. 고용보험법상 심사 및 재심사청구에 관한 설명으로 옳은 것은?
① 직업안정기관 또는 근로복지공단은 심사청구서를 받은 날부터 7일 이내에 의견서를 첨부하여 심사청구서를 고용보험심사관에 보내야 한다.
② 고용보험심사관은 원처분등의 집행에 의하여 발생하는 중대한 위해(危害)를 피하기 위하여 긴급한 필요가 있다고 인정되더라도 직권으로는 그 집행을 정지시킬 수 없다.
③ 육아휴직 급여와 출산전후휴가 급여등에 관한 처분에 대한 심사의 청구는 근로복지공단을 거쳐 고용보험심사관에게 하여야 한다.
④ 고용보험심사관은 심사의 청구에 대한 심리(審理)를 마쳤을 때에는 원처분등의 전부 또는 일부를 취소하거나 심사청구의 전부 또는 일부를 기각한다.
⑤ 심사청구에 대한 결정은 심사청구인 및 직업안정기관의 장 또는 근로복지공단에 결정서의 정본을 보낸 다음 날부터 효력이 발생한다.</v>
      </c>
      <c r="F12" s="30">
        <f>IFERROR(VLOOKUP(C12,기출문제!D:G,4,0),"")</f>
        <v>4</v>
      </c>
      <c r="G12" s="31" t="str">
        <f t="shared" si="0"/>
        <v/>
      </c>
    </row>
    <row r="13" spans="2:10" ht="156.75" x14ac:dyDescent="0.3">
      <c r="B13" s="17">
        <v>6</v>
      </c>
      <c r="C13" s="27" t="s">
        <v>870</v>
      </c>
      <c r="D13" s="28"/>
      <c r="E13" s="29" t="str">
        <f>IFERROR(VLOOKUP(C13,기출문제!D:G,3,0),"")</f>
        <v>46. 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
① ㄱ: 100분의 70, ㄴ: 160 
② ㄱ: 100분의 70, ㄴ: 200 
③ ㄱ: 100분의 80, ㄴ: 100
④ ㄱ: 100분의 80, ㄴ: 160 
⑤ ㄱ: 100분의 80, ㄴ: 200</v>
      </c>
      <c r="F13" s="30">
        <f>IFERROR(VLOOKUP(C13,기출문제!D:G,4,0),"")</f>
        <v>4</v>
      </c>
      <c r="G13" s="31" t="str">
        <f t="shared" si="0"/>
        <v/>
      </c>
    </row>
    <row r="14" spans="2:10" ht="128.25" x14ac:dyDescent="0.3">
      <c r="B14" s="17">
        <v>7</v>
      </c>
      <c r="C14" s="27" t="s">
        <v>871</v>
      </c>
      <c r="D14" s="28"/>
      <c r="E14" s="29" t="str">
        <f>IFERROR(VLOOKUP(C14,기출문제!D:G,3,0),"")</f>
        <v>47. 고용보험법령상 보험가입 등에 관한 설명으로 옳지 않은 것은?
① 「국가공무원법」에 따른 임기제 공무원(이하 "임기제 공무원"이라 한다)의 경우는 본인의 의사에 따라 고용보험(실업급여에 한정)에 가입할 수 있다.
② 임기제 공무원이 원하는 경우에는 임용된 날부터 3개월 이내에 고용노동부장관에게 직접 고용보험 가입을 신청할 수 있다.
③ 고용보험 피보험자격을 취득한 임기제 공무원이 공무원 신분의 변동에 따라 계속하여 다른 임기제 공무원으로 임용된 때에는 별도의 가입신청을 하지 않은 경우에도 고용보험의 피보험자격을 유지한다.
④ 임기제 공무원이 가입한 고용보험에서 탈퇴한 이후에 가입대상 공무원으로 계속 재직하는 경우 본인의 신청에 의하여 고용보험에 다시 가입할 수 있다.
⑤ 고용보험에 가입한 임기제 공무원에 대한 보험료는 소속기관과 고용보험에 가입한 임기제 공무원이 각각 2분의 1씩 부담한다.</v>
      </c>
      <c r="F14" s="30">
        <f>IFERROR(VLOOKUP(C14,기출문제!D:G,4,0),"")</f>
        <v>4</v>
      </c>
      <c r="G14" s="31" t="str">
        <f t="shared" si="0"/>
        <v/>
      </c>
    </row>
    <row r="15" spans="2:10" ht="114" x14ac:dyDescent="0.3">
      <c r="B15" s="17">
        <v>8</v>
      </c>
      <c r="C15" s="27" t="s">
        <v>872</v>
      </c>
      <c r="D15" s="28"/>
      <c r="E15" s="29" t="str">
        <f>IFERROR(VLOOKUP(C15,기출문제!D:G,3,0),"")</f>
        <v>48. 고용보험법령상 실업급여에 관한 설명으로 옳지 않은 것은?
① 실업급여수급계좌의 해당 금융기관은 「고용보험법」에 따른 실업급여만이 실업급여수급계좌에 입금되도록 관리하여야 한다.
② 직업안정기관의 장은 수급자격 인정신청을 한 사람에게 신청인이 원하는 경우에는 해당 실업급여를 실업급여수급계좌로 받을 수 있다는 사실을 안내하여야 한다.
③ 실업급여수급계좌에 입금된 실업급여 금액 전액 이하의 금액에 관한 채권은 압류할 수 없다.
④ 실업급여로서 지급된 금품에 대하여는 「국세기본법」제2조제8호의 공과금을 부과한다.
⑤ 직업안정기관의 장은 정보통신장애로 인하여 실업급여를 실업급여수급계좌로 이체할 수 없을 때에는 해당 실업급여 금액을 수급자격자에게 직접 현금으로 지급할 수 있다.</v>
      </c>
      <c r="F15" s="30">
        <f>IFERROR(VLOOKUP(C15,기출문제!D:G,4,0),"")</f>
        <v>4</v>
      </c>
      <c r="G15" s="31" t="str">
        <f t="shared" si="0"/>
        <v/>
      </c>
    </row>
    <row r="16" spans="2:10" ht="199.5" x14ac:dyDescent="0.3">
      <c r="B16" s="17">
        <v>9</v>
      </c>
      <c r="C16" s="27" t="s">
        <v>873</v>
      </c>
      <c r="D16" s="28"/>
      <c r="E16" s="29" t="str">
        <f>IFERROR(VLOOKUP(C16,기출문제!D:G,3,0),"")</f>
        <v>49. 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
① ㄱ, ㄹ 
② ㄱ, ㄴ, ㅁ 
③ ㄴ, ㄹ, ㅁ
④ ㄴ, ㄷ, ㄹ, ㅁ 
⑤ ㄱ, ㄴ, ㄷ, ㄹ, ㅁ</v>
      </c>
      <c r="F16" s="30">
        <f>IFERROR(VLOOKUP(C16,기출문제!D:G,4,0),"")</f>
        <v>1</v>
      </c>
      <c r="G16" s="31" t="str">
        <f t="shared" si="0"/>
        <v/>
      </c>
    </row>
    <row r="17" spans="2:10" ht="99.75" x14ac:dyDescent="0.3">
      <c r="B17" s="17">
        <v>10</v>
      </c>
      <c r="C17" s="27" t="s">
        <v>874</v>
      </c>
      <c r="D17" s="28"/>
      <c r="E17" s="29" t="str">
        <f>IFERROR(VLOOKUP(C17,기출문제!D:G,3,0),"")</f>
        <v>50. 고용보험법령상 연장급여의 상호 조정 등에 관한 설명으로 옳지 않은 것은?
① 훈련연장급여의 지급 기간은 1년을 한도로 한다.
② 훈련연장급여를 지급받고 있는 수급자격자에게는 그 훈련연장급여의 지급이 끝난 후가 아니면 특별연장급여를 지급하지 아니한다.
③ 개별연장급여를 지급받고 있는 수급자격자가 훈련연장급여를 지급받게 되면 개별연장급여를 지급하지 아니한다.
④ 특별연장급여를 지급받고 있는 수급자격자에게는 특별연장급여의 지급이 끝난 후가 아니면 개별연장급여를 지급하지 아니한다.
⑤ 특별연장급여는 그 수급자격자가 지급받을 수 있는 구직급여의 지급이 끝난 후에 지급한다.</v>
      </c>
      <c r="F17" s="30">
        <f>IFERROR(VLOOKUP(C17,기출문제!D:G,4,0),"")</f>
        <v>1</v>
      </c>
      <c r="G17" s="31" t="str">
        <f t="shared" si="0"/>
        <v/>
      </c>
    </row>
    <row r="18" spans="2:10" ht="156.75" x14ac:dyDescent="0.3">
      <c r="B18" s="17">
        <v>11</v>
      </c>
      <c r="C18" s="27" t="s">
        <v>875</v>
      </c>
      <c r="D18" s="28"/>
      <c r="E18" s="29" t="str">
        <f>IFERROR(VLOOKUP(C18,기출문제!D:G,3,0),"")</f>
        <v>51. 고용보험법상 훈련연장급여에 관한 내용이다. ( )에 들어갈 숫자를 순서대로 옳게 나열한 것은?
제54조(연장급여의 수급기간 및 구직급여일액) 
① &lt;중략&gt;
② 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 
③ 80, 60 
④ 90, 70 
⑤ 100, 70</v>
      </c>
      <c r="F18" s="30">
        <f>IFERROR(VLOOKUP(C18,기출문제!D:G,4,0),"")</f>
        <v>5</v>
      </c>
      <c r="G18" s="31" t="str">
        <f t="shared" si="0"/>
        <v/>
      </c>
    </row>
    <row r="19" spans="2:10" ht="128.25" x14ac:dyDescent="0.3">
      <c r="B19" s="17">
        <v>12</v>
      </c>
      <c r="C19" s="27" t="s">
        <v>876</v>
      </c>
      <c r="D19" s="28"/>
      <c r="E19" s="29" t="str">
        <f>IFERROR(VLOOKUP(C19,기출문제!D:G,3,0),"")</f>
        <v>52. 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
① ㄱ: 1일, ㄴ: 60일 
② ㄱ: 1일, ㄴ: 90일 
③ ㄱ: 1일, ㄴ: 180일
④ ㄱ: 2일, ㄴ: 90일 
⑤ ㄱ: 2일, ㄴ: 180일</v>
      </c>
      <c r="F19" s="30">
        <f>IFERROR(VLOOKUP(C19,기출문제!D:G,4,0),"")</f>
        <v>3</v>
      </c>
      <c r="G19" s="31" t="str">
        <f t="shared" si="0"/>
        <v/>
      </c>
    </row>
    <row r="20" spans="2:10" ht="85.5" x14ac:dyDescent="0.3">
      <c r="B20" s="17">
        <v>13</v>
      </c>
      <c r="C20" s="27" t="s">
        <v>877</v>
      </c>
      <c r="D20" s="28"/>
      <c r="E20" s="29" t="str">
        <f>IFERROR(VLOOKUP(C20,기출문제!D:G,3,0),"")</f>
        <v>53. 고용보험법령상 고용보험위원회(이하 '위원회'라 한다)에 관한 설명으로 옳지 않은 것은?
① 위원회의 위원장은 고용노동부차관이 되며, 그 위원장은 위원을 임명하거나 위촉한다.
② 위원회에는 고용보험운영전문위원회와 고용보험평가전문위원회를 둔다.
③ 위원회의 위원 중 정부를 대표하는 사람은 임명의 대상이 된다.
④ 위원회의 간사는 1명을 두되, 간사는 고용노동부 소속 공무원 중에서 위원장이 임명한다.
⑤ 「고용보험 및 산업재해보상보험의 보험료징수 등에 관한 법률」에 따른 보험료율의 결정에 관한 사항은 위원회의 심의사항이다.</v>
      </c>
      <c r="F20" s="30">
        <f>IFERROR(VLOOKUP(C20,기출문제!D:G,4,0),"")</f>
        <v>1</v>
      </c>
      <c r="G20" s="31" t="str">
        <f t="shared" si="0"/>
        <v/>
      </c>
    </row>
    <row r="21" spans="2:10" ht="85.5" x14ac:dyDescent="0.3">
      <c r="B21" s="17">
        <v>14</v>
      </c>
      <c r="C21" s="27" t="s">
        <v>878</v>
      </c>
      <c r="D21" s="28"/>
      <c r="E21" s="29" t="str">
        <f>IFERROR(VLOOKUP(C21,기출문제!D:G,3,0),"")</f>
        <v>54. 산업재해보상보험법령상 산업재해보상보험및예방심의위원회(이하 '위원회'라 한다)에 관한 내용으로 옳지 않은 것은?
① 위원회는 근로자를 대표하는 사람, 사용자를 대표하는 사람 및 공익을 대표하는 사람으로 구성하되, 그 수는 각각 같은 수로 한다.
② 사용자를 대표하는 위원은 전국을 대표하는 사용자 단체가 추천하는 사람 5명으로 한다.
③ 근로자를 대표하는 위원의 임기는 3년으로 하되, 연임할 수 있다.
④ 위원회의 회의는 재적위원 과반수의 출석으로 개의하고, 출석위원 3분의 2 이상의 찬성으로 의결한다.
⑤ 보궐위원의 임기는 전임자의 남은 임기로 한다.</v>
      </c>
      <c r="F21" s="30">
        <f>IFERROR(VLOOKUP(C21,기출문제!D:G,4,0),"")</f>
        <v>4</v>
      </c>
      <c r="G21" s="31" t="str">
        <f t="shared" si="0"/>
        <v/>
      </c>
    </row>
    <row r="22" spans="2:10" s="21" customFormat="1" ht="128.25" x14ac:dyDescent="0.3">
      <c r="B22" s="17">
        <v>15</v>
      </c>
      <c r="C22" s="27" t="s">
        <v>879</v>
      </c>
      <c r="D22" s="28"/>
      <c r="E22" s="29" t="str">
        <f>IFERROR(VLOOKUP(C22,기출문제!D:G,3,0),"")</f>
        <v>55. 산업재해보상보험법령상 유족보상연금에 관한 내용으로 옳지 않은 것은?
① 유족보상연금 수급자격자인 유족이 사망한 근로자와의 친족 관계가 끝난 경우 그 자격을 잃는다.
② 대한민국 국민이 아닌 유족보상연금 수급자격자인 유족이 외국에서 거주하기 위하여 출국하는 경우 그 자격을 잃는다.
③ 근로복지공단은 근로자의 사망 당시 태아였던 자녀가 출생한 경우 유족보상연금 수급권자의 청구에 의하거나 직권으로 그 사유가 발생한 달 분부터 유족보상연금의 금액을 조정한다.
④ 근로자가 사망할 당시 대한민국 국민이었던 유족보상연금 수급자격자인 유족이 국적을 상실하고 외국에서 거주하고 있거나 외국에서 거주하기 위하여 출국하는 경우 그 자격을 잃는다.
⑤ 유족보상연금을 받을 권리가 있는 유족보상연금 수급자격자가 그 자격을 잃은 경우에 유족보상연금을 받을 권리는 같은 순위자가 있으면 같은 순위자에게, 같은 순위자가 없으면 다음 순위자에게 이전된다.</v>
      </c>
      <c r="F22" s="30">
        <f>IFERROR(VLOOKUP(C22,기출문제!D:G,4,0),"")</f>
        <v>3</v>
      </c>
      <c r="G22" s="31" t="str">
        <f t="shared" si="0"/>
        <v/>
      </c>
      <c r="J22" s="23"/>
    </row>
    <row r="23" spans="2:10" s="21" customFormat="1" ht="142.5" x14ac:dyDescent="0.3">
      <c r="B23" s="17">
        <v>16</v>
      </c>
      <c r="C23" s="27" t="s">
        <v>880</v>
      </c>
      <c r="D23" s="28"/>
      <c r="E23" s="29" t="str">
        <f>IFERROR(VLOOKUP(C23,기출문제!D:G,3,0),"")</f>
        <v>56. 산업재해보상보험법령상 노무제공자에 대한 특례의 내용으로 옳지 않은 것은?
① "플랫폼 종사자"란 온라인 플랫폼을 통해 노무를 제공하는 노무제공자를 말한다.
② "평균보수"란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
③ 보험을 모집하는 사람으로서「새마을금고법」및「신용협동조합법」에 따른 공제의 모집을 전업으로 하는 사람은 노무제공자의 범위에 포함된다.
④ 보험을 모집하는 사람으로서「우체국예금・보험에 관한 법률」에 따른 우체국보험의 모집을 전업으로 하는 사람은 노무제공자의 범위에 포함된다.
⑤ "플랫폼 운영자"란 온라인 플랫폼을 이용하여 플랫폼 종사자의 노무제공을 중개 또는 알선하는 것을 업으로 하는 자를 말한다.</v>
      </c>
      <c r="F23" s="30">
        <f>IFERROR(VLOOKUP(C23,기출문제!D:G,4,0),"")</f>
        <v>2</v>
      </c>
      <c r="G23" s="31" t="str">
        <f t="shared" si="0"/>
        <v/>
      </c>
      <c r="J23" s="23"/>
    </row>
    <row r="24" spans="2:10" s="21" customFormat="1" ht="156.75" x14ac:dyDescent="0.3">
      <c r="B24" s="17">
        <v>17</v>
      </c>
      <c r="C24" s="27" t="s">
        <v>881</v>
      </c>
      <c r="D24" s="28"/>
      <c r="E24" s="29" t="str">
        <f>IFERROR(VLOOKUP(C24,기출문제!D:G,3,0),"")</f>
        <v>57. 산업재해보상보험법상 요양급여의 범위에 해당하는 것은 모두 몇 개인가?
○ 재활치료
○ 간호
○ 이송
○ 간병
○ 약제 또는 진료재료와 의지(義肢)나 그 밖의 보조기의 지급
① 1개 
② 2개 
③ 3개 
④ 4개 
⑤ 5개</v>
      </c>
      <c r="F24" s="30">
        <f>IFERROR(VLOOKUP(C24,기출문제!D:G,4,0),"")</f>
        <v>5</v>
      </c>
      <c r="G24" s="31" t="str">
        <f t="shared" si="0"/>
        <v/>
      </c>
      <c r="J24" s="23"/>
    </row>
    <row r="25" spans="2:10" s="21" customFormat="1" ht="99.75" x14ac:dyDescent="0.3">
      <c r="B25" s="17">
        <v>18</v>
      </c>
      <c r="C25" s="27" t="s">
        <v>882</v>
      </c>
      <c r="D25" s="28"/>
      <c r="E25" s="29" t="str">
        <f>IFERROR(VLOOKUP(C25,기출문제!D:G,3,0),"")</f>
        <v>58. 산업재해보상보험법령상 장례비에 관한 설명으로 옳지 않은 것은?
① 장례비 최고금액 및 최저금액의 적용기간은 당해 연도 1월 1일부터 12월 31일까지로 한다.
② 장례비 최고금액은 전년도 장례비 수급권자에게 지급된 1명당 평균 장례비 90일분 + 최고 보상기준 금액의 30일분으로 산정한다.
③ 장례비 최저금액은 전년도 장례비 수급권자에게 지급된 1명당 평균 장례비 90일분 + 최저 보상기준 금액의 30일분으로 산정한다.
④ 장례비 최고금액 및 최저금액을 산정할 때 10원 미만은 버린다.
⑤ 장례비는 장례를 지낼 유족이 없거나 그 밖에 부득이한 사유로 유족이 아닌 사람이 장례를 지낸 경우에는 평균임금의 120일분에 상당하는 금액의 범위에서 실제 드는 비용을 그 장례를 지낸 사람에게 지급한다.</v>
      </c>
      <c r="F25" s="30">
        <f>IFERROR(VLOOKUP(C25,기출문제!D:G,4,0),"")</f>
        <v>1</v>
      </c>
      <c r="G25" s="31" t="str">
        <f t="shared" si="0"/>
        <v/>
      </c>
      <c r="J25" s="23"/>
    </row>
    <row r="26" spans="2:10" s="21" customFormat="1" ht="99.75" x14ac:dyDescent="0.3">
      <c r="B26" s="17">
        <v>19</v>
      </c>
      <c r="C26" s="27" t="s">
        <v>883</v>
      </c>
      <c r="D26" s="28"/>
      <c r="E26" s="29" t="str">
        <f>IFERROR(VLOOKUP(C26,기출문제!D:G,3,0),"")</f>
        <v>59. 산업재해보상보험법령상 업무상질병판정위원회의 구성에 관한 내용으로 옳은 것은?
① 「고등교육법」제2조에 따른 학교에서 조교수 이상으로 재직하고 있는 사람은 위원이 될 수 없다.
② 「국가기술자격법」에 따른 산업위생관리 기사 이상의 자격을 취득하고 관련 업무에 3년 이상 종사한 치과의사는 위원이 될 수 없다.
③ 산업재해보상보험 관련 업무에 5년 이상 종사한 사람은 위원이 될 수 있다.
④ 「국가기술자격법」에 따른 인간공학 분야 기사 이상의 자격을 취득하고 관련 업무에 3년 이상 종사한 한의사는 위원이 될 수 없다.
⑤ 위원장과 위원의 임기는 3년으로 하되, 연임할 수 있다.</v>
      </c>
      <c r="F26" s="30">
        <f>IFERROR(VLOOKUP(C26,기출문제!D:G,4,0),"")</f>
        <v>3</v>
      </c>
      <c r="G26" s="31" t="str">
        <f t="shared" si="0"/>
        <v/>
      </c>
      <c r="J26" s="23"/>
    </row>
    <row r="27" spans="2:10" s="21" customFormat="1" ht="114" x14ac:dyDescent="0.3">
      <c r="B27" s="17">
        <v>20</v>
      </c>
      <c r="C27" s="27" t="s">
        <v>884</v>
      </c>
      <c r="D27" s="28"/>
      <c r="E27" s="29" t="str">
        <f>IFERROR(VLOOKUP(C27,기출문제!D:G,3,0),"")</f>
        <v>60. 산업재해보상보험법에서 사용하는 용어의 정의로 옳지 않은 것은?
① "유족"이란 사망한 사람의 배우자(사실상 혼인 관계에 있는 사람을 포함한다)・자녀・부모・손자녀・조부모 또는 형제자매를 말한다.
② "장해"란 업무상의 부상 또는 질병에 따른 정신적 또는 육체적 훼손으로 노동능력이 상실되거나 감소된 상태로서 그 부상 또는 질병이 치유되지 아니한 상태를 말한다.
③ "치유"란 부상 또는 질병이 완치되거나 치료의 효과를 더 이상 기대할 수 없고 그 증상이 고정된 상태에 이르게 된 것을 말한다.
④ "출퇴근"이란 취업과 관련하여 주거와 취업장소 사이의 이동 또는 한 취업장소에서 다른 취업장소로의 이동을 말한다.
⑤ "진폐"(塵肺)란 분진을 흡입하여 폐에 생기는 섬유증식성(纖維增殖性) 변화를 주된 증상으로 하는 질병을 말한다.</v>
      </c>
      <c r="F27" s="30">
        <f>IFERROR(VLOOKUP(C27,기출문제!D:G,4,0),"")</f>
        <v>2</v>
      </c>
      <c r="G27" s="31" t="str">
        <f t="shared" si="0"/>
        <v/>
      </c>
      <c r="J27" s="23"/>
    </row>
    <row r="28" spans="2:10" s="21" customFormat="1" ht="128.25" x14ac:dyDescent="0.3">
      <c r="B28" s="17">
        <v>21</v>
      </c>
      <c r="C28" s="27" t="s">
        <v>885</v>
      </c>
      <c r="D28" s="28"/>
      <c r="E28" s="29" t="str">
        <f>IFERROR(VLOOKUP(C28,기출문제!D:G,3,0),"")</f>
        <v>61. 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
① 11 
② 12 
③ 13 
④ 15 
⑤ 18</v>
      </c>
      <c r="F28" s="30">
        <f>IFERROR(VLOOKUP(C28,기출문제!D:G,4,0),"")</f>
        <v>3</v>
      </c>
      <c r="G28" s="31" t="str">
        <f t="shared" si="0"/>
        <v/>
      </c>
      <c r="J28" s="23"/>
    </row>
    <row r="29" spans="2:10" s="21" customFormat="1" ht="128.25" x14ac:dyDescent="0.3">
      <c r="B29" s="17">
        <v>22</v>
      </c>
      <c r="C29" s="27" t="s">
        <v>886</v>
      </c>
      <c r="D29" s="28"/>
      <c r="E29" s="29" t="str">
        <f>IFERROR(VLOOKUP(C29,기출문제!D:G,3,0),"")</f>
        <v>62. 산업재해보상보험법령상 상병보상연금에 관한 설명으로 옳은 것은?
① 중증요양상태등급이 제3급인 경우 평균임금의 257일분을 지급한다.
② 상병보상연금을 받는 근로자가 60세가 되면 그 이후의 상병보상연금은 고령자의 1일당 상병보상연금 지급기준에 따라 감액된 금액을 지급한다.
③ 상병보상연금을 지급받는 경우 요양급여와 휴업급여는 지급되지 아니한다.
④ 재요양을 시작한 지 1년이 지난 후에 부상・질병 상태가 상병보상연금의 지급요건 모두에 해당하는 사람에게는 상병보상연금을 지급한다.
⑤ 상병보상연금을 산정할 때 근로자의 평균임금이 최저임금액에 90분의 100을 곱한 금액보다 적을 때에는 최저임금액의 90분의 100에 해당하는 금액을 그 근로자의 평균임금으로 보아 산정한다.</v>
      </c>
      <c r="F29" s="30">
        <f>IFERROR(VLOOKUP(C29,기출문제!D:G,4,0),"")</f>
        <v>1</v>
      </c>
      <c r="G29" s="31" t="str">
        <f t="shared" si="0"/>
        <v/>
      </c>
      <c r="J29" s="23"/>
    </row>
    <row r="30" spans="2:10" s="21" customFormat="1" ht="171" x14ac:dyDescent="0.3">
      <c r="B30" s="17">
        <v>23</v>
      </c>
      <c r="C30" s="27" t="s">
        <v>887</v>
      </c>
      <c r="D30" s="28"/>
      <c r="E30" s="29" t="str">
        <f>IFERROR(VLOOKUP(C30,기출문제!D:G,3,0),"")</f>
        <v>63. 산업재해보상보험법상 직장복귀지원금 등에 관한 것이다. ( )에 들어갈 숫자로 옳은 것은?
제75조(직장복귀지원금 등) 
① &lt;중략&gt;
② 제1항에 따른 직장복귀지원금은 고용노동부장관이 임금수준 및 노동시장의 여건 등을 고려하여 고시하는 금액의 범위에서 사업주가 장해급여자에게 지급한 임금액으로 하되, 그 지급기간은 (ㄱ)개월 이내로 한다.
③ 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
④ ㄱ: 6, ㄴ: 12 
⑤ ㄱ: 12, ㄴ: 3</v>
      </c>
      <c r="F30" s="30">
        <f>IFERROR(VLOOKUP(C30,기출문제!D:G,4,0),"")</f>
        <v>5</v>
      </c>
      <c r="G30" s="31" t="str">
        <f t="shared" si="0"/>
        <v/>
      </c>
      <c r="J30" s="23"/>
    </row>
    <row r="31" spans="2:10" s="21" customFormat="1" ht="128.25" x14ac:dyDescent="0.3">
      <c r="B31" s="17">
        <v>24</v>
      </c>
      <c r="C31" s="27" t="s">
        <v>888</v>
      </c>
      <c r="D31" s="28"/>
      <c r="E31" s="29" t="str">
        <f>IFERROR(VLOOKUP(C31,기출문제!D:G,3,0),"")</f>
        <v>64. 국민연금법에 관한 내용으로 옳지 않은 것은?
① 급여수급전용계좌에 입금된 급여와 이에 관한 채권은 압류할 수 없다.
② 장애연금액은 장애등급 2급에 해당하는 자에 대하여는 기본연금액의 1천분의 600에 해당하는 금액에 부양가족연금액을 더한 금액으로 한다.
③ 장애등급이 2급 이상인 장애연금 수급권자가 사망하면 그 유족에게 유족연금을 지급한다.
④ 가입자 또는 가입자였던 자가 가입기간이 10년 미만이고 60세가 된 때에는 본인이나 그 유족의 청구에 의하여 반환일시금을 지급받을 수 있다.
⑤ 장애연금 수급권자가 고의나 중대한 과실로 요양 지시에 따르지 아니하거나 정당한 사유 없이 요양 지시에 따르지 아니하여 회복을 방해한 때에는 급여의 전부 또는 일부의 지급을 정지할 수 있다.</v>
      </c>
      <c r="F31" s="30">
        <f>IFERROR(VLOOKUP(C31,기출문제!D:G,4,0),"")</f>
        <v>2</v>
      </c>
      <c r="G31" s="31" t="str">
        <f t="shared" si="0"/>
        <v/>
      </c>
      <c r="J31" s="23"/>
    </row>
    <row r="32" spans="2:10" s="21" customFormat="1" ht="128.25" x14ac:dyDescent="0.3">
      <c r="B32" s="17">
        <v>25</v>
      </c>
      <c r="C32" s="27" t="s">
        <v>889</v>
      </c>
      <c r="D32" s="28"/>
      <c r="E32" s="29" t="str">
        <f>IFERROR(VLOOKUP(C32,기출문제!D:G,3,0),"")</f>
        <v>65. 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
① 4 
② 6 
③ 8 
④ 13 
⑤ 15</v>
      </c>
      <c r="F32" s="30">
        <f>IFERROR(VLOOKUP(C32,기출문제!D:G,4,0),"")</f>
        <v>3</v>
      </c>
      <c r="G32" s="31" t="str">
        <f t="shared" si="0"/>
        <v/>
      </c>
      <c r="J32" s="23"/>
    </row>
    <row r="33" spans="2:10" s="21" customFormat="1" ht="128.25" x14ac:dyDescent="0.3">
      <c r="B33" s="17">
        <v>26</v>
      </c>
      <c r="C33" s="27" t="s">
        <v>890</v>
      </c>
      <c r="D33" s="28"/>
      <c r="E33" s="29" t="str">
        <f>IFERROR(VLOOKUP(C33,기출문제!D:G,3,0),"")</f>
        <v>66. 국민연금법령상 심사청구 및 재심사청구에 관한 내용으로 옳지 않은 것은?
① 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
② 국민연금심사위원회 위원의 임기는 2년으로 하며, 1차례만 연임할 수 있으며, 국민연금공단의 임직원인 위원의 임기는 그 직위의 재임기간으로 한다.
③ 청구인은 결정이 있기 전까지는 언제든지 심사청구를 문서로 취하할 수 있다.
④ 심사청구에 대한 결정에 불복하는 자는 그 결정통지를 받은 날부터 90일 이내에 국민연금재심사위원회에 재심사를 청구할 수 있다.
⑤ 국민연금재심사위원회의 재심사와 재결에 관한 절차에 관하여는 「행정심판법」을 준용한다.</v>
      </c>
      <c r="F33" s="30">
        <f>IFERROR(VLOOKUP(C33,기출문제!D:G,4,0),"")</f>
        <v>2</v>
      </c>
      <c r="G33" s="31" t="str">
        <f t="shared" si="0"/>
        <v/>
      </c>
      <c r="J33" s="23"/>
    </row>
    <row r="34" spans="2:10" s="21" customFormat="1" ht="185.25" x14ac:dyDescent="0.3">
      <c r="B34" s="17">
        <v>27</v>
      </c>
      <c r="C34" s="27" t="s">
        <v>891</v>
      </c>
      <c r="D34" s="28"/>
      <c r="E34" s="29" t="str">
        <f>IFERROR(VLOOKUP(C34,기출문제!D:G,3,0),"")</f>
        <v>67. 국민연금법령상 연금보험료 등의 독촉에 관한 내용이다. ( )에 들어갈 내용은?
제64조(연금보험료 등의 독촉) 
① 국민건강보험공단은 법 제95조제1항에 따라 사업장가입자의 연금보험료와 그에 따른 징수금의 납부를 독촉할 때에는 납부기한이 지난 후 (ㄱ) 이내에 해당 사업장가입자의 사용자에게 독촉장을 발부하여야 한다.
② 국민건강보험공단은 법 제95조제1항에 따라 지역가입자의 연금보험료와 그에 따른 징수금의 납부를 독촉할 때에는 납부 기한이 지난 후 (ㄴ) 이내에 해당 가입자에게 독촉장을 발부하여야 한다.
③ 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 
④ ㄱ: 30일, ㄴ: 3개월, ㄷ: 20일
⑤ ㄱ: 30일, ㄴ: 3개월, ㄷ: 30일</v>
      </c>
      <c r="F34" s="30">
        <f>IFERROR(VLOOKUP(C34,기출문제!D:G,4,0),"")</f>
        <v>3</v>
      </c>
      <c r="G34" s="31" t="str">
        <f t="shared" si="0"/>
        <v/>
      </c>
      <c r="J34" s="23"/>
    </row>
    <row r="35" spans="2:10" s="21" customFormat="1" ht="142.5" x14ac:dyDescent="0.3">
      <c r="B35" s="17">
        <v>28</v>
      </c>
      <c r="C35" s="27" t="s">
        <v>892</v>
      </c>
      <c r="D35" s="28"/>
      <c r="E35" s="29" t="str">
        <f>IFERROR(VLOOKUP(C35,기출문제!D:G,3,0),"")</f>
        <v>68. 국민연금법령상 국민연금기금에 관한 설명으로 옳지 않은 것은?
① 국민연금기금은 연금보험료, 국민연금기금 운용 수익금, 적립금, 국민연금공단의 수입지출 결산상의 잉여금을 재원으로 조성한다.
② 국민연금기금운용위원회는 국민연금기금을 관리기금에 위탁할 경우 예탁 이자율의 협의에 관한 사항을 심의・의결할 수 있다.
③ 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
④ 보건복지부장관은 매년 국민연금기금 운용계획을 세워서 국민연금기금운용위원회 및 국무회의의 심의를 거쳐 대통령의 승인을 받아야 한다.
⑤ 보건복지부장관은 국민연금기금의 운용 내용과 관리기금에 예탁된 국민연금기금의 사용 내용을 다음 연도 6월 말까지 국민연금기금운용위원회에 제출하여야 한다.</v>
      </c>
      <c r="F35" s="30">
        <f>IFERROR(VLOOKUP(C35,기출문제!D:G,4,0),"")</f>
        <v>5</v>
      </c>
      <c r="G35" s="31" t="str">
        <f t="shared" si="0"/>
        <v/>
      </c>
      <c r="J35" s="23"/>
    </row>
    <row r="36" spans="2:10" s="21" customFormat="1" ht="171" x14ac:dyDescent="0.3">
      <c r="B36" s="17">
        <v>29</v>
      </c>
      <c r="C36" s="27" t="s">
        <v>893</v>
      </c>
      <c r="D36" s="28"/>
      <c r="E36" s="29" t="str">
        <f>IFERROR(VLOOKUP(C36,기출문제!D:G,3,0),"")</f>
        <v>69. 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
① ㄱ, ㄴ 
② ㄴ, ㄷ 
③ ㄱ, ㄴ, ㄹ
④ ㄱ, ㄷ, ㄹ 
⑤ ㄱ, ㄴ, ㄷ, ㄹ</v>
      </c>
      <c r="F36" s="30">
        <f>IFERROR(VLOOKUP(C36,기출문제!D:G,4,0),"")</f>
        <v>5</v>
      </c>
      <c r="G36" s="31" t="str">
        <f t="shared" si="0"/>
        <v/>
      </c>
      <c r="J36" s="23"/>
    </row>
    <row r="37" spans="2:10" s="21" customFormat="1" ht="156.75" x14ac:dyDescent="0.3">
      <c r="B37" s="17">
        <v>30</v>
      </c>
      <c r="C37" s="27" t="s">
        <v>894</v>
      </c>
      <c r="D37" s="28"/>
      <c r="E37" s="29" t="str">
        <f>IFERROR(VLOOKUP(C37,기출문제!D:G,3,0),"")</f>
        <v>70. 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
① ㄱ 
② ㄱ, ㄴ 
③ ㄴ, ㄷ
④ ㄴ, ㄷ, ㄹ 
⑤ ㄱ, ㄴ, ㄷ, ㄹ</v>
      </c>
      <c r="F37" s="30">
        <f>IFERROR(VLOOKUP(C37,기출문제!D:G,4,0),"")</f>
        <v>4</v>
      </c>
      <c r="G37" s="31" t="str">
        <f t="shared" si="0"/>
        <v/>
      </c>
      <c r="J37" s="23"/>
    </row>
    <row r="38" spans="2:10" s="21" customFormat="1" ht="85.5" x14ac:dyDescent="0.3">
      <c r="B38" s="17">
        <v>31</v>
      </c>
      <c r="C38" s="27" t="s">
        <v>895</v>
      </c>
      <c r="D38" s="28"/>
      <c r="E38" s="29" t="str">
        <f>IFERROR(VLOOKUP(C38,기출문제!D:G,3,0),"")</f>
        <v>71. 국민건강보험법상 국민건강보험공단(이하 '공단'이라 한다)에 관한 설명으로 옳지 않은 것은?
① 공단은 법인으로 한다.
② 공단의 해산에 관하여는 정관으로 정한다.
③ 공단은 주된 사무소의 소재지에서 설립등기를 함으로써 성립한다.
④ 공단의 설립등기에는 목적, 명칭, 주된 사무소 및 분사무소의 소재지, 이사장의 성명・주소 및 주민등록번호를 포함하여야 한다.
⑤ 공단의 주된 사무소의 소재지는 정관으로 정한다.</v>
      </c>
      <c r="F38" s="30">
        <f>IFERROR(VLOOKUP(C38,기출문제!D:G,4,0),"")</f>
        <v>2</v>
      </c>
      <c r="G38" s="31" t="str">
        <f t="shared" si="0"/>
        <v/>
      </c>
      <c r="J38" s="23"/>
    </row>
    <row r="39" spans="2:10" s="21" customFormat="1" ht="114" x14ac:dyDescent="0.3">
      <c r="B39" s="17">
        <v>32</v>
      </c>
      <c r="C39" s="27" t="s">
        <v>896</v>
      </c>
      <c r="D39" s="28"/>
      <c r="E39" s="29" t="str">
        <f>IFERROR(VLOOKUP(C39,기출문제!D:G,3,0),"")</f>
        <v>72. 국민건강보험법상 이의신청 및 심판청구 등에 관한 설명으로 옳지 않은 것은?
① 보험급여 비용에 관한 국민건강보험공단의 처분에 이의가 있는 자는 국민건강보험공단에 이의신청을 할 수 있다.
② 요양급여의 적정성 평가 등에 관한 건강보험심사평가원의 처분에 이의가 있는 자는 건강보험심사평가원에 이의신청을 할 수 있다.
③ 이의신청에 대한 결정에 불복하는 자는 건강보험분쟁조정위원회에 심판청구를 할 수 있다.
④ 정당한 사유로 이의신청을 할 수 없었음을 소명한 경우가 아니면 이의신청은 처분이 있은 날부터 90일을 지나면 제기하지 못한다.
⑤ 이의신청에 대한 결정에 불복하는 자는「행정소송법」이 정하는 바에 따라 행정소송을 제기할 수 있다.</v>
      </c>
      <c r="F39" s="30">
        <f>IFERROR(VLOOKUP(C39,기출문제!D:G,4,0),"")</f>
        <v>4</v>
      </c>
      <c r="G39" s="31" t="str">
        <f t="shared" si="0"/>
        <v/>
      </c>
      <c r="J39" s="23"/>
    </row>
    <row r="40" spans="2:10" s="21" customFormat="1" ht="142.5" x14ac:dyDescent="0.3">
      <c r="B40" s="17">
        <v>33</v>
      </c>
      <c r="C40" s="27" t="s">
        <v>897</v>
      </c>
      <c r="D40" s="28"/>
      <c r="E40" s="29" t="str">
        <f>IFERROR(VLOOKUP(C40,기출문제!D:G,3,0),"")</f>
        <v>73. 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
① ㄱ 
② ㄹ 
③ ㄱ, ㄴ 
④ ㄴ, ㄷ 
⑤ ㄷ, ㄹ</v>
      </c>
      <c r="F40" s="30">
        <f>IFERROR(VLOOKUP(C40,기출문제!D:G,4,0),"")</f>
        <v>4</v>
      </c>
      <c r="G40" s="31" t="str">
        <f t="shared" si="0"/>
        <v/>
      </c>
      <c r="J40" s="23"/>
    </row>
    <row r="41" spans="2:10" s="21" customFormat="1" ht="156.75" x14ac:dyDescent="0.3">
      <c r="B41" s="17">
        <v>34</v>
      </c>
      <c r="C41" s="27" t="s">
        <v>898</v>
      </c>
      <c r="D41" s="28"/>
      <c r="E41" s="29" t="str">
        <f>IFERROR(VLOOKUP(C41,기출문제!D:G,3,0),"")</f>
        <v>74. 국민건강보험법령상 보수월액에 관한 설명으로 옳지 않은 것은?
① 보수의 전부 또는 일부가 현물(現物)로 지급되는 경우에는 그 지역의 시가(時價)를 기준으로 국민건강보험공단이 정하는 가액(價額)을 그에 해당하는 보수로 본다.
② 직장가입자의 보수월액은 직장가입자가 지급받는 보수를 기준으로 하여 산정한다.
③ 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
④ 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
⑤ 휴직이나 그 밖의 사유로 보수의 전부 또는 일부가 지급되지 아니하는 가입자의 보수월액보험료는 해당 사유가 생긴 달의 보수월액을 기준으로 산정한다.</v>
      </c>
      <c r="F41" s="30">
        <f>IFERROR(VLOOKUP(C41,기출문제!D:G,4,0),"")</f>
        <v>5</v>
      </c>
      <c r="G41" s="31" t="str">
        <f t="shared" si="0"/>
        <v/>
      </c>
      <c r="J41" s="23"/>
    </row>
    <row r="42" spans="2:10" s="21" customFormat="1" ht="128.25" x14ac:dyDescent="0.3">
      <c r="B42" s="17">
        <v>35</v>
      </c>
      <c r="C42" s="27" t="s">
        <v>899</v>
      </c>
      <c r="D42" s="28"/>
      <c r="E42" s="29" t="str">
        <f>IFERROR(VLOOKUP(C42,기출문제!D:G,3,0),"")</f>
        <v>75. 고용보험 및 산업재해보상보험의 보험료징수 등에 관한 법률 제49조의2(자영업자에 대한 특례)에 관한 설명으로 옳은 것은?
① 자영업자에 대한 고용보험료 산정의 기초가 되는 보수액은 자영업자의 소득, 보수수준 등을 고려하여 기획재정부장관이 정하여 고시한다.
② 고용보험에 가입한 자영업자는 매월 부과된 보험료를 다음 달 14일까지 납부하여야 한다.
③ 자영업자의 고용보험료는 근로복지공단이 매월 부과하고 징수한다.
④ 고용보험에 가입한 자영업자가 자신에게 부과된 월(月)의 고용보험료를 계속하여 3개월간 납부하지 아니한 경우에는 마지막으로 납부한 고용보험료에 해당되는 피보험기간의 다음 날에 보험관계가 소멸된다.
⑤ 근로복지공단의 승인을 통해 고용보험에 가입한 자영업자가 50명 이상의 근로자를 사용하게 된 경우에도 본인이 피보험자격을 유지하려는 경우에는 계속하여 보험에 가입된 것으로 본다.</v>
      </c>
      <c r="F42" s="30">
        <f>IFERROR(VLOOKUP(C42,기출문제!D:G,4,0),"")</f>
        <v>5</v>
      </c>
      <c r="G42" s="31" t="str">
        <f t="shared" si="0"/>
        <v/>
      </c>
      <c r="J42" s="23"/>
    </row>
    <row r="43" spans="2:10" s="21" customFormat="1" ht="171" x14ac:dyDescent="0.3">
      <c r="B43" s="17">
        <v>36</v>
      </c>
      <c r="C43" s="27" t="s">
        <v>900</v>
      </c>
      <c r="D43" s="28"/>
      <c r="E43" s="29" t="str">
        <f>IFERROR(VLOOKUP(C43,기출문제!D:G,3,0),"")</f>
        <v>76. 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
① ㄱ, ㄴ, ㄷ 
② ㄱ, ㄴ, ㄹ 
③ ㄱ, ㄷ, ㄹ
④ ㄴ, ㄷ, ㄹ 
⑤ ㄱ, ㄴ, ㄷ, ㄹ</v>
      </c>
      <c r="F43" s="30">
        <f>IFERROR(VLOOKUP(C43,기출문제!D:G,4,0),"")</f>
        <v>5</v>
      </c>
      <c r="G43" s="31" t="str">
        <f t="shared" si="0"/>
        <v/>
      </c>
      <c r="J43" s="23"/>
    </row>
    <row r="44" spans="2:10" s="21" customFormat="1" ht="99.75" x14ac:dyDescent="0.3">
      <c r="B44" s="17">
        <v>37</v>
      </c>
      <c r="C44" s="27" t="s">
        <v>901</v>
      </c>
      <c r="D44" s="28"/>
      <c r="E44" s="29" t="str">
        <f>IFERROR(VLOOKUP(C44,기출문제!D:G,3,0),"")</f>
        <v>77. 고용보험 및 산업재해보상보험의 보험료징수 등에 관한 법률상 납부의무가 확정된 보험료가 600만원인 경우, 이를 납부기한 전이라도 징수할 수 있는 사유에 해당하지 않는 것은?
① 법인이 합병한 경우
② 공과금을 체납하여 체납처분을 받은 경우
③ 강제집행을 받은 경우
④ 법인이 해산한 경우
⑤ 「어음법」 및 「수표법」에 따른 어음교환소에서 거래정지처분을 받은 경우</v>
      </c>
      <c r="F44" s="30">
        <f>IFERROR(VLOOKUP(C44,기출문제!D:G,4,0),"")</f>
        <v>1</v>
      </c>
      <c r="G44" s="31" t="str">
        <f t="shared" si="0"/>
        <v/>
      </c>
      <c r="J44" s="23"/>
    </row>
    <row r="45" spans="2:10" s="21" customFormat="1" ht="142.5" x14ac:dyDescent="0.3">
      <c r="B45" s="17">
        <v>38</v>
      </c>
      <c r="C45" s="27" t="s">
        <v>902</v>
      </c>
      <c r="D45" s="28"/>
      <c r="E45" s="29" t="str">
        <f>IFERROR(VLOOKUP(C45,기출문제!D:G,3,0),"")</f>
        <v>78. 고용보험 및 산업재해보상보험의 보험료징수 등에 관한 법령상 보험료율의 인상 또는 인하 등에 따른 조치에 관한 설명으로 옳지 않은 것은?
① 근로복지공단은 보험료율 인하로 보험료를 감액 조정한 경우에는 보험료율의 인하를 결정한 날부터 20일 이내에 그 감액 조정 사실을 사업주에게 알려야 한다.
② 보험료율 인상으로 월별보험료가 증액된 때에는 국민건강보험공단이 징수한다.
③ 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
④ 근로복지공단은 사업주가 보험연도 중에 사업의 규모를 축소하여 실제의 개산보험료 총액이 이미 신고한 개산보험료 총액보다 100분의 20 이상으로 감소하게 된 경우에는 그 초과액을 감액해야 한다.
⑤ 보험료율 인상으로 개산보험료가 증액된 때에는 근로복지공단이 징수한다.</v>
      </c>
      <c r="F45" s="30">
        <f>IFERROR(VLOOKUP(C45,기출문제!D:G,4,0),"")</f>
        <v>4</v>
      </c>
      <c r="G45" s="31" t="str">
        <f t="shared" si="0"/>
        <v/>
      </c>
      <c r="J45" s="23"/>
    </row>
    <row r="46" spans="2:10" s="21" customFormat="1" ht="99.75" x14ac:dyDescent="0.3">
      <c r="B46" s="17">
        <v>39</v>
      </c>
      <c r="C46" s="27" t="s">
        <v>903</v>
      </c>
      <c r="D46" s="28"/>
      <c r="E46" s="29" t="str">
        <f>IFERROR(VLOOKUP(C46,기출문제!D:G,3,0),"")</f>
        <v>79. 고용보험 및 산업재해보상보험의 보험료징수 등에 관한 법령상 거짓으로 보험사무대행기관 인가를 받아 근로복지공단으로부터 인가가 취소된 경우 보험사무대행기관 인가의 제한 기간은?
① 3개월 
② 6개월 
③ 1년 
④ 3년 
⑤ 5년</v>
      </c>
      <c r="F46" s="30">
        <f>IFERROR(VLOOKUP(C46,기출문제!D:G,4,0),"")</f>
        <v>3</v>
      </c>
      <c r="G46" s="31" t="str">
        <f t="shared" si="0"/>
        <v/>
      </c>
      <c r="J46" s="23"/>
    </row>
    <row r="47" spans="2:10" s="21" customFormat="1" ht="213.75" x14ac:dyDescent="0.3">
      <c r="B47" s="17">
        <v>40</v>
      </c>
      <c r="C47" s="27" t="s">
        <v>904</v>
      </c>
      <c r="D47" s="28"/>
      <c r="E47" s="29" t="str">
        <f>IFERROR(VLOOKUP(C47,기출문제!D:G,3,0),"")</f>
        <v>80. 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
① ㄱ - a, ㄴ - c 
② ㄱ - b, ㄷ - d 
③ ㄱ - c, ㄴ - e
④ ㄴ - d, ㄷ - a 
⑤ ㄴ - e, ㄷ - b</v>
      </c>
      <c r="F47" s="30">
        <f>IFERROR(VLOOKUP(C47,기출문제!D:G,4,0),"")</f>
        <v>2</v>
      </c>
      <c r="G47" s="31" t="str">
        <f t="shared" si="0"/>
        <v/>
      </c>
      <c r="J47" s="23"/>
    </row>
    <row r="48" spans="2:10" s="21" customFormat="1" ht="128.25" x14ac:dyDescent="0.3">
      <c r="B48" s="17">
        <v>41</v>
      </c>
      <c r="C48" s="27" t="s">
        <v>5</v>
      </c>
      <c r="D48" s="28"/>
      <c r="E48" s="29" t="str">
        <f>IFERROR(VLOOKUP(C48,기출문제!D:G,3,0),"")</f>
        <v>76. 사회보장기본법령에 관한 설명으로 옳은 것은?
① 국가와 지방자치단체는 모든 국민의 인간다운 생활과 자립, 사회참여, 자아실현 등을 지원하여 삶의 질이 향상될 수 있도록 사회서비스에 관한 시책을 마련하여야 한다.
② 보건복지부장관은 제공받은 사회보장 행정데이터의 원활한 분석, 활용 등을 위하여 사회보장 행정데이터 분석센터를 설치・운영하여야 한다.
③ 부담 능력이 있는 국민에 대한 사회서비스에 드는 비용은 국가가 부담함을 원칙으로 한다.
④ 사회보장수급권을 포기하는 것이 다른 사람에게 피해를 주는 경우에는 사회보장수급권을 포기할 수 있다.
⑤ 보건복지부장관은 재정추계의 결과를 사회보장위원회의 심의를 거쳐 같은 해 9월 30일까지 관계 중앙행정기관의 장에게 통보하여야 한다.</v>
      </c>
      <c r="F48" s="30">
        <f>IFERROR(VLOOKUP(C48,기출문제!D:G,4,0),"")</f>
        <v>1</v>
      </c>
      <c r="G48" s="31" t="str">
        <f t="shared" si="0"/>
        <v/>
      </c>
      <c r="J48" s="23"/>
    </row>
    <row r="49" spans="2:10" s="21" customFormat="1" ht="156.75" x14ac:dyDescent="0.3">
      <c r="B49" s="17">
        <v>42</v>
      </c>
      <c r="C49" s="27" t="s">
        <v>905</v>
      </c>
      <c r="D49" s="28"/>
      <c r="E49" s="29" t="str">
        <f>IFERROR(VLOOKUP(C49,기출문제!D:G,3,0),"")</f>
        <v>77. 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
① 1개
② 2개
③ 3개
④ 4개
⑤ 5개</v>
      </c>
      <c r="F49" s="30">
        <f>IFERROR(VLOOKUP(C49,기출문제!D:G,4,0),"")</f>
        <v>5</v>
      </c>
      <c r="G49" s="31" t="str">
        <f t="shared" si="0"/>
        <v/>
      </c>
      <c r="J49" s="23"/>
    </row>
    <row r="50" spans="2:10" s="21" customFormat="1" ht="99.75" x14ac:dyDescent="0.3">
      <c r="B50" s="17">
        <v>43</v>
      </c>
      <c r="C50" s="27" t="s">
        <v>906</v>
      </c>
      <c r="D50" s="28"/>
      <c r="E50" s="29" t="str">
        <f>IFERROR(VLOOKUP(C50,기출문제!D:G,3,0),"")</f>
        <v>78. 사회보장기본법에 관한 설명으로 옳은 것은?
① 사회보장수급권은 정당한 권한이 있는 기관에 서면이나 구두로 포기할 수 있다.
② 고용노동부장관은 관계 중앙행정기관의 장과 협의하여 사회보장에 관한 기본계획을 5년마다 수립하여야 한다.
③ 국가와 지방자치단체는 효과적인 사회보장정책의 수립・시행을 위하여 사회보장에 관한 통계를 작성・관리할 수 있다.
④ 국가는 사회보장제도의 안정적인 운영을 위하여 중장기 사회보장 재정추계를 매년 실시하고 이를 공표하여야 한다.
⑤ 국가와 지방자치단체는 평생사회안전망을 구축・운영함에 있어 사회적 취약계층을 위한 공공부조를 마련하여 최저생활을 보장하여야 한다.</v>
      </c>
      <c r="F50" s="30">
        <f>IFERROR(VLOOKUP(C50,기출문제!D:G,4,0),"")</f>
        <v>5</v>
      </c>
      <c r="G50" s="31" t="str">
        <f t="shared" si="0"/>
        <v/>
      </c>
      <c r="J50" s="23"/>
    </row>
    <row r="51" spans="2:10" s="21" customFormat="1" ht="142.5" x14ac:dyDescent="0.3">
      <c r="B51" s="17">
        <v>44</v>
      </c>
      <c r="C51" s="27" t="s">
        <v>907</v>
      </c>
      <c r="D51" s="28"/>
      <c r="E51" s="29" t="str">
        <f>IFERROR(VLOOKUP(C51,기출문제!D:G,3,0),"")</f>
        <v>79. 고용보험법령상 구직급여에 관한 설명으로 옳지 않은 것은?
① 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
② 구직급여는 수급자격자가 실업한 상태에 있는 날 중에서 직업안정기관의 장으로부터 실업의 인정을 받은 날에 대하여 지급한다.
③ 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
④ 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
⑤ 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v>
      </c>
      <c r="F51" s="30">
        <f>IFERROR(VLOOKUP(C51,기출문제!D:G,4,0),"")</f>
        <v>4</v>
      </c>
      <c r="G51" s="31" t="str">
        <f t="shared" si="0"/>
        <v/>
      </c>
      <c r="J51" s="23"/>
    </row>
    <row r="52" spans="2:10" s="21" customFormat="1" ht="128.25" x14ac:dyDescent="0.3">
      <c r="B52" s="17">
        <v>45</v>
      </c>
      <c r="C52" s="27" t="s">
        <v>908</v>
      </c>
      <c r="D52" s="28"/>
      <c r="E52" s="29" t="str">
        <f>IFERROR(VLOOKUP(C52,기출문제!D:G,3,0),"")</f>
        <v>80. 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
① ㄱ: 1, ㄴ: 3분의 2 이상 10분의 7 이하
② ㄱ: 1, ㄴ: 4분의 3 이상 10분의 9 이하
③ ㄱ: 2, ㄴ: 3분의 2 이상 10분의 7 이하
④ ㄱ: 2, ㄴ: 4분의 3 이상 10분의 9 이하
⑤ ㄱ: 3, ㄴ: 3분의 2 이상 10분의 9 이하</v>
      </c>
      <c r="F52" s="30">
        <f>IFERROR(VLOOKUP(C52,기출문제!D:G,4,0),"")</f>
        <v>2</v>
      </c>
      <c r="G52" s="31" t="str">
        <f t="shared" si="0"/>
        <v/>
      </c>
      <c r="J52" s="23"/>
    </row>
    <row r="53" spans="2:10" s="21" customFormat="1" ht="85.5" x14ac:dyDescent="0.3">
      <c r="B53" s="17">
        <v>46</v>
      </c>
      <c r="C53" s="27" t="s">
        <v>909</v>
      </c>
      <c r="D53" s="28"/>
      <c r="E53" s="29" t="str">
        <f>IFERROR(VLOOKUP(C53,기출문제!D:G,3,0),"")</f>
        <v>81. 고용보험법령상 예술인인 피보험자가 임신 13주차에 유산을 한 경우 출산전후급여등의 지급기간은?
① 5일
② 10일
③ 15일
④ 20일
⑤ 30일</v>
      </c>
      <c r="F53" s="30">
        <f>IFERROR(VLOOKUP(C53,기출문제!D:G,4,0),"")</f>
        <v>2</v>
      </c>
      <c r="G53" s="31" t="str">
        <f t="shared" si="0"/>
        <v/>
      </c>
      <c r="J53" s="23"/>
    </row>
    <row r="54" spans="2:10" s="21" customFormat="1" ht="85.5" x14ac:dyDescent="0.3">
      <c r="B54" s="17">
        <v>47</v>
      </c>
      <c r="C54" s="27" t="s">
        <v>910</v>
      </c>
      <c r="D54" s="28"/>
      <c r="E54" s="29" t="str">
        <f>IFERROR(VLOOKUP(C54,기출문제!D:G,3,0),"")</f>
        <v>82. 고용보험법령상 고용보험위원회(이하 '위원회'라 한다)에 관한 설명으로 옳지 않은 것은?
① 위촉위원 중 정부를 대표하는 사람의 임기는 2년으로 한다.
② 위촉위원 중 보궐위원의 임기는 전임자 임기의 남은 기간으로 한다.
③ 위원회의 위원장이 부득이한 사유로 직무를 수행할 수 없을 때에는 위원장이 미리 지명하는 위원이 그 직무를 대행한다.
④ 위원회의 회의는 재적위원 과반수의 출석으로 개의(開議)하고 출석의원 과반수의 찬성으로 의결한다.
⑤ 위원회에 고용보험운영전문위원회와 고용보험평가전문위원회를 둔다.</v>
      </c>
      <c r="F54" s="30">
        <f>IFERROR(VLOOKUP(C54,기출문제!D:G,4,0),"")</f>
        <v>1</v>
      </c>
      <c r="G54" s="31" t="str">
        <f t="shared" si="0"/>
        <v/>
      </c>
      <c r="J54" s="23"/>
    </row>
    <row r="55" spans="2:10" s="21" customFormat="1" ht="142.5" x14ac:dyDescent="0.3">
      <c r="B55" s="17">
        <v>48</v>
      </c>
      <c r="C55" s="27" t="s">
        <v>911</v>
      </c>
      <c r="D55" s="28"/>
      <c r="E55" s="29" t="str">
        <f>IFERROR(VLOOKUP(C55,기출문제!D:G,3,0),"")</f>
        <v>83. 고용보험법상 고용보험심사관(이하 '심사관'이라 한다)에 관한 설명으로 옳지 않은 것은?
① 실업급여에 관한 처분에 이의가 있는 자는 심사관에게 심사를 청구할 수 있다.
② 심사관은 심사청구를 받으면 30일 이내에 그 심사청구에 대한 결정을 하여야 한다. 다만, 부득이한 사정으로 그 기간에 결정할 수 없을 때에는 한 차례만 10일을 넘지 아니하는 범위에서 그 기간을 연장할 수 있다.
③ 심사관은 심사의 청구에 대한 심리를 위하여 필요하다고 인정하면 심사청구인의 신청 또는 직권으로 심사청구인 또는 관계인을 지정 장소에 출석하게 하여 질문하거나 의견을 진술하게 할 수 있다.
④ 당사자는 심사관에게 심리・결정의 공정을 기대하기 어려운 사정이 있으면 그 심사관에 대한 기피신청을 고용노동부장관에게 할 수 있다.
⑤ 직업안정기관 또는 근로복지공단은 심사청구서를 받은 날부터 14일 이내에 의견서를 첨부하여 심사청구서를 심사관에게 보내야 한다.</v>
      </c>
      <c r="F55" s="30">
        <f>IFERROR(VLOOKUP(C55,기출문제!D:G,4,0),"")</f>
        <v>5</v>
      </c>
      <c r="G55" s="31" t="str">
        <f t="shared" si="0"/>
        <v/>
      </c>
      <c r="J55" s="23"/>
    </row>
    <row r="56" spans="2:10" s="21" customFormat="1" ht="142.5" x14ac:dyDescent="0.3">
      <c r="B56" s="17">
        <v>49</v>
      </c>
      <c r="C56" s="27" t="s">
        <v>912</v>
      </c>
      <c r="D56" s="28"/>
      <c r="E56" s="29" t="str">
        <f>IFERROR(VLOOKUP(C56,기출문제!D:G,3,0),"")</f>
        <v>84. 고용보험법령상 폐업한 자영업자인 피보험자에 관한 설명으로 옳지 않은 것은?
① 법령을 위반하여 영업 정지를 받아 폐업한 경우라도 직업안정기관의 장이 인정하는 경우에는 수급자격이 있는 것으로 본다. 
② 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
③ 자영업자인 피보험자로서 폐업한 수급자격자에 대한 소정급여일수는 대기기간이 끝난 다음 날부터 계산하기 시작하여 피보험기간이 5년 이상 10년 미만이면 180일까지로 한다.
④ 자영업자인 피보험자의 피보험기간은 그 수급자격과 관련된 폐업 당시의 적용 사업에의 보험가입기간 중에서 실제로 납부한 고용보험료에 해당하는 기간으로 한다.
⑤ 자영업자인 피보험자로서 폐업한 수급자격자에 대한 구직급여일액은 그 수급자격자의 기초일액에 100분의 60을 곱한 금액으로 한다.</v>
      </c>
      <c r="F56" s="30">
        <f>IFERROR(VLOOKUP(C56,기출문제!D:G,4,0),"")</f>
        <v>1</v>
      </c>
      <c r="G56" s="31" t="str">
        <f t="shared" si="0"/>
        <v/>
      </c>
      <c r="J56" s="23"/>
    </row>
    <row r="57" spans="2:10" s="21" customFormat="1" ht="142.5" x14ac:dyDescent="0.3">
      <c r="B57" s="17">
        <v>50</v>
      </c>
      <c r="C57" s="27" t="s">
        <v>913</v>
      </c>
      <c r="D57" s="28"/>
      <c r="E57" s="29" t="str">
        <f>IFERROR(VLOOKUP(C57,기출문제!D:G,3,0),"")</f>
        <v>85. 고용보험법령상 고용노동부장관이 고용환경 개선, 근무형태 변경 등으로 고용의 기회를 확대한 사업주에게 임금의 일부를 지원할 수 있는 경우가 아닌 것은?
① 직무의 분할 등을 통하여 실업자를 근로계약기간을 정하지 않고 시간제로 근무하는 형태로 하여 새로 고용하는 경우
② 고용보험위원회에서 심의・의결한 국내복귀기업  또는 지역특화산업 등 고용지원이 필요한 업종에 해당하는 기업이 실업자를 고용하는 경우
③ 고용보험위원회에서 심의・의결한 업종에 해당하는 우선지원대상기업이 고용노동부장관이 정하는 전문적인 자격을 갖춘 자를 고용하는 경우
④ 임금을 감액하는 제도 또는 그 밖의 임금체계 개편 등을 통하여 18세 이상 35세 이하의 청년 실업자를 고용하는 경우
⑤ 고용노동부장관이 「고용상 연령차별 금지 및 고령자고용촉진에 관한 법률」에 따른 고령자가 근무하기에 적합한 것으로 인정하는 직무에 고령자를 새로 고용하는 경우</v>
      </c>
      <c r="F57" s="30">
        <f>IFERROR(VLOOKUP(C57,기출문제!D:G,4,0),"")</f>
        <v>4</v>
      </c>
      <c r="G57" s="31" t="str">
        <f t="shared" si="0"/>
        <v/>
      </c>
      <c r="J57" s="23"/>
    </row>
    <row r="58" spans="2:10" s="21" customFormat="1" ht="156.75" x14ac:dyDescent="0.3">
      <c r="B58" s="17">
        <v>51</v>
      </c>
      <c r="C58" s="27" t="s">
        <v>914</v>
      </c>
      <c r="D58" s="17"/>
      <c r="E58" s="29" t="str">
        <f>IFERROR(VLOOKUP(C58,기출문제!D:G,3,0),"")</f>
        <v>86. 산업재해보상보험법상 진폐에 따른 보험급여 종류를 모두 고른 것은?
ㄱ. 장례비
ㄴ. 휴업급여
ㄷ. 직업재활급여
ㄹ. 간병급여
ㅁ. 유족급여
① ㄱ, ㄹ
② ㄱ, ㄴ, ㅁ
③ ㄱ, ㄷ, ㄹ
④ ㄴ, ㄷ, ㄹ, ㅁ
⑤ ㄱ, ㄴ, ㄷ, ㄹ, ㅁ</v>
      </c>
      <c r="F58" s="30">
        <f>IFERROR(VLOOKUP(C58,기출문제!D:G,4,0),"")</f>
        <v>3</v>
      </c>
      <c r="G58" s="31" t="str">
        <f t="shared" si="0"/>
        <v/>
      </c>
      <c r="J58" s="23"/>
    </row>
    <row r="59" spans="2:10" s="21" customFormat="1" ht="99.75" x14ac:dyDescent="0.3">
      <c r="B59" s="17">
        <v>52</v>
      </c>
      <c r="C59" s="27" t="s">
        <v>915</v>
      </c>
      <c r="D59" s="17"/>
      <c r="E59" s="29" t="str">
        <f>IFERROR(VLOOKUP(C59,기출문제!D:G,3,0),"")</f>
        <v>87. 산업재해보상보험법상 심사 청구 및 재심사 청구에 관한 설명으로 옳지 않은 것은?
① 재심사위원회의 재결은 근로복지공단을 기속(羈束)한다.
② 재심사위원회 위원(당연직위원은 제외한다)의 임기는 3년으로 하되 연임할 수 있고, 위원장이나 위원의 임기가 끝난 경우 그 후임자가 임명될 때까지 그 직무를 수행한다.
③ 보험급여 결정등에 대하여는 「행정심판법」에 따른 행정심판을 제기할 수 없다.
④ 재심사위원회의 위원장 및 위원은 고용노동부장관이 임명한다.
⑤ 재심사 청구의 제기는 시효의 중단에 관하여 「민법」 제168조에 따른 재판상의 청구로 본다.</v>
      </c>
      <c r="F59" s="30">
        <f>IFERROR(VLOOKUP(C59,기출문제!D:G,4,0),"")</f>
        <v>4</v>
      </c>
      <c r="G59" s="31" t="str">
        <f t="shared" si="0"/>
        <v/>
      </c>
      <c r="J59" s="23"/>
    </row>
    <row r="60" spans="2:10" s="21" customFormat="1" ht="142.5" x14ac:dyDescent="0.3">
      <c r="B60" s="17">
        <v>53</v>
      </c>
      <c r="C60" s="27" t="s">
        <v>916</v>
      </c>
      <c r="D60" s="17"/>
      <c r="E60" s="29" t="str">
        <f>IFERROR(VLOOKUP(C60,기출문제!D:G,3,0),"")</f>
        <v>88. 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
① ㄱ
② ㄴ
③ ㄱ, ㄷ
④ ㄴ, ㄷ
⑤ ㄱ, ㄴ, ㄷ</v>
      </c>
      <c r="F60" s="30">
        <f>IFERROR(VLOOKUP(C60,기출문제!D:G,4,0),"")</f>
        <v>3</v>
      </c>
      <c r="G60" s="31" t="str">
        <f t="shared" si="0"/>
        <v/>
      </c>
      <c r="J60" s="23"/>
    </row>
    <row r="61" spans="2:10" s="21" customFormat="1" ht="156.75" x14ac:dyDescent="0.3">
      <c r="B61" s="17">
        <v>54</v>
      </c>
      <c r="C61" s="27" t="s">
        <v>917</v>
      </c>
      <c r="D61" s="17"/>
      <c r="E61" s="29" t="str">
        <f>IFERROR(VLOOKUP(C61,기출문제!D:G,3,0),"")</f>
        <v>89. 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
① ㄱ, ㄴ
② ㄱ, ㄷ
③ ㄴ, ㄷ
④ ㄴ, ㄹ
⑤ ㄷ, ㄹ</v>
      </c>
      <c r="F61" s="30">
        <f>IFERROR(VLOOKUP(C61,기출문제!D:G,4,0),"")</f>
        <v>2</v>
      </c>
      <c r="G61" s="31" t="str">
        <f t="shared" si="0"/>
        <v/>
      </c>
      <c r="J61" s="23"/>
    </row>
    <row r="62" spans="2:10" s="21" customFormat="1" ht="99.75" x14ac:dyDescent="0.3">
      <c r="B62" s="17">
        <v>55</v>
      </c>
      <c r="C62" s="27" t="s">
        <v>918</v>
      </c>
      <c r="D62" s="17"/>
      <c r="E62" s="29" t="str">
        <f>IFERROR(VLOOKUP(C62,기출문제!D:G,3,0),"")</f>
        <v>90. 산업재해보상보험법령상 업무상 사고에 해당하지 않는 것은?
① 근로자가 근로계약에 따른 업무수행 행위를 하던 중 발생한 사고
② 업무를 준비하는 행위를 하던 중 발생한 사고
③ 천재지변・화재 등 사업장 내에 발생한 돌발적인 사고에 따른 긴급피난・구조행위 등 사회통념상 예견되는 행위를 하던 중에 발생한 사고
④ 사업장 밖에서 업무를 수행하던 중 사업주의 구체적인 지시를 위반한 행위로 인한 사고
⑤ 휴게시간 중 사업주의 지배관리하에 있다고 볼 수 있는 행위로 발생한 사고</v>
      </c>
      <c r="F62" s="30">
        <f>IFERROR(VLOOKUP(C62,기출문제!D:G,4,0),"")</f>
        <v>4</v>
      </c>
      <c r="G62" s="31" t="str">
        <f t="shared" si="0"/>
        <v/>
      </c>
      <c r="J62" s="23"/>
    </row>
    <row r="63" spans="2:10" s="21" customFormat="1" ht="85.5" x14ac:dyDescent="0.3">
      <c r="B63" s="17">
        <v>56</v>
      </c>
      <c r="C63" s="27" t="s">
        <v>919</v>
      </c>
      <c r="D63" s="17"/>
      <c r="E63" s="29" t="str">
        <f>IFERROR(VLOOKUP(C63,기출문제!D:G,3,0),"")</f>
        <v>91. 산업재해보상보험법령상 업무상질병판정위원회의 심의에서 제외되는 질병이 아닌 것은?
① 진폐
② 이황화탄소 중독증
③ 유해・위험요인에 지속적으로 소량 노출되어 나타나는 만성 중독 증상 또는 소견 등의 질병
④ 「한국산업안전보건공단법」에 따른 한국산업안전보건공단에 자문한 결과 업무와의 관련성이 높다고 인정된 질병
⑤ 업무와 그 질병 사이에 상당인과관계가 있는지를 명백히 알 수 있는 경우로서 근로복지공단이 정하는 질병</v>
      </c>
      <c r="F63" s="30">
        <f>IFERROR(VLOOKUP(C63,기출문제!D:G,4,0),"")</f>
        <v>3</v>
      </c>
      <c r="G63" s="31" t="str">
        <f t="shared" si="0"/>
        <v/>
      </c>
      <c r="J63" s="23"/>
    </row>
    <row r="64" spans="2:10" s="21" customFormat="1" ht="99.75" x14ac:dyDescent="0.3">
      <c r="B64" s="17">
        <v>57</v>
      </c>
      <c r="C64" s="27" t="s">
        <v>920</v>
      </c>
      <c r="D64" s="17"/>
      <c r="E64" s="29" t="str">
        <f>IFERROR(VLOOKUP(C64,기출문제!D:G,3,0),"")</f>
        <v>92. 국민연금법령상 다음 A근로자의 경우 산입될 국민연금 가입기간은?
○ 사용자가 A근로자의 임금에서 7개월간 기여금을 공제하였음에도 연금보험료를 내지 않았다.
① 3개월
② 4개월
③ 5개월
④ 6개월
⑤ 7개월</v>
      </c>
      <c r="F64" s="30">
        <f>IFERROR(VLOOKUP(C64,기출문제!D:G,4,0),"")</f>
        <v>2</v>
      </c>
      <c r="G64" s="31" t="str">
        <f t="shared" si="0"/>
        <v/>
      </c>
      <c r="J64" s="23"/>
    </row>
    <row r="65" spans="2:10" s="21" customFormat="1" ht="199.5" x14ac:dyDescent="0.3">
      <c r="B65" s="17">
        <v>58</v>
      </c>
      <c r="C65" s="27" t="s">
        <v>921</v>
      </c>
      <c r="D65" s="17"/>
      <c r="E65" s="29" t="str">
        <f>IFERROR(VLOOKUP(C65,기출문제!D:G,3,0),"")</f>
        <v>93. 국민연금법상 다음 ( )에 들어갈 숫자의 합은?
제64조(분할연금 수급권자 등)
① 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
① 6
② 8
③ 10
④ 13
⑤ 15</v>
      </c>
      <c r="F65" s="30">
        <f>IFERROR(VLOOKUP(C65,기출문제!D:G,4,0),"")</f>
        <v>3</v>
      </c>
      <c r="G65" s="31" t="str">
        <f t="shared" si="0"/>
        <v/>
      </c>
      <c r="J65" s="23"/>
    </row>
    <row r="66" spans="2:10" s="21" customFormat="1" ht="99.75" x14ac:dyDescent="0.3">
      <c r="B66" s="17">
        <v>59</v>
      </c>
      <c r="C66" s="27" t="s">
        <v>922</v>
      </c>
      <c r="D66" s="17"/>
      <c r="E66" s="29" t="str">
        <f>IFERROR(VLOOKUP(C66,기출문제!D:G,3,0),"")</f>
        <v>94. 국민건강보험법령상 피부양자에 해당하지 않는 자는? (단, 직장가입자에게 주로 생계를 의존하는 사람으로서 소득 및 재산이 보건복지부령으로 정하는 기준 이하에 해당하는 사람에 한정한다.)
① 직장가입자의 형제의 배우자
② 직장가입자의 직계비속
③ 직장가입자의 배우자의 직계비속
④ 직장가입자의 직계존속
⑤ 직장가입자의 형제・자매</v>
      </c>
      <c r="F66" s="30">
        <f>IFERROR(VLOOKUP(C66,기출문제!D:G,4,0),"")</f>
        <v>1</v>
      </c>
      <c r="G66" s="31" t="str">
        <f t="shared" si="0"/>
        <v/>
      </c>
      <c r="J66" s="23"/>
    </row>
    <row r="67" spans="2:10" s="21" customFormat="1" ht="128.25" x14ac:dyDescent="0.3">
      <c r="B67" s="17">
        <v>60</v>
      </c>
      <c r="C67" s="27" t="s">
        <v>923</v>
      </c>
      <c r="D67" s="17"/>
      <c r="E67" s="29" t="str">
        <f>IFERROR(VLOOKUP(C67,기출문제!D:G,3,0),"")</f>
        <v>95. 국민건강보험법령에 관한 설명으로 옳은 것은?
① 요양급여비용 및 요양급여의 적정성 평가 등에 관한 건강보험심사평가원의 처분에 이의가 있는 국민건강보험공단, 요양기관 또는 그 밖의 자는 건강보험정책심의위원회에 이의신청을 할 수 있다.
② 직장가입자의 보수월액보험료 상한은 보험료가 부과되는 연도의 전전년도 직장가입자 평균 보수월액보험료의 20배에 해당하는 금액을 고려하여 보건복지부장관이 정하여 고시하는 금액으로 한다.
③ 국민건강보험공단은 보험급여를 받을 수 있는 사람이 고의 또는 중대한 과실로 국민건강보험공단이나 요양기관의 요양에 관한 지시에 따르지 아니한 경우 보험급여를 하지 아니한다.
④ 건강보험심사평가원은 요양급여에 대한 의료의 질을 향상시키기 위하여 요양급여의 적정성 평가를 격년으로 실시하여야 한다.
⑤ 보수의 일부가 현물로 지급되는 경우에는 그 지역의 시가를 기준으로 근로복지공단이 정하는 가액을 그에 해당하는 보수로 본다.</v>
      </c>
      <c r="F67" s="30">
        <f>IFERROR(VLOOKUP(C67,기출문제!D:G,4,0),"")</f>
        <v>3</v>
      </c>
      <c r="G67" s="31" t="str">
        <f t="shared" si="0"/>
        <v/>
      </c>
      <c r="J67" s="23"/>
    </row>
    <row r="68" spans="2:10" s="21" customFormat="1" ht="85.5" x14ac:dyDescent="0.3">
      <c r="B68" s="17">
        <v>61</v>
      </c>
      <c r="C68" s="27" t="s">
        <v>924</v>
      </c>
      <c r="D68" s="17"/>
      <c r="E68" s="29" t="str">
        <f>IFERROR(VLOOKUP(C68,기출문제!D:G,3,0),"")</f>
        <v>96. 국민건강보험법령상 보험료에 관한 설명으로 옳은 것은?
① 가입자의 자격을 취득한 날이 속하는 달의 다음 달부터 가입자의 자격을 잃은 날이 속하는 달까지 징수한다.
② 직장가입자의 소득월액보험료는 사용자가 납부한다.
③ 보험료 납부의무가 있는 자는 가입자에 대한 그 달의 보험료를 그 달 말일까지 납부하여야 한다.
④ 직장가입자의 보험료율은 1만분의 709로 한다.
⑤ 60세 이상인 사람은 보험료 경감대상이 될 수 있다.</v>
      </c>
      <c r="F68" s="30">
        <f>IFERROR(VLOOKUP(C68,기출문제!D:G,4,0),"")</f>
        <v>4</v>
      </c>
      <c r="G68" s="31" t="str">
        <f t="shared" si="0"/>
        <v/>
      </c>
      <c r="J68" s="23"/>
    </row>
    <row r="69" spans="2:10" s="21" customFormat="1" ht="85.5" x14ac:dyDescent="0.3">
      <c r="B69" s="17">
        <v>62</v>
      </c>
      <c r="C69" s="27" t="s">
        <v>925</v>
      </c>
      <c r="D69" s="17"/>
      <c r="E69" s="29" t="str">
        <f>IFERROR(VLOOKUP(C69,기출문제!D:G,3,0),"")</f>
        <v>97. 국민건강보험법령상 건강검진에 관한 설명으로 옳지 않은 것은?
① 사무직에 종사하지 않는 직장가입자에 대해서는 1년에 1회 실시한다.
② 검진기관이 건강검진을 받은 사람에게 직접 통보한 경우에는 국민건강보험공단은 그 통보를 생략할 수 있다.
③ 직장가입자, 세대주인 지역가입자, 18세 이상인 지역가입자는 일반건강검진 대상이다.
④ 영유아건강검진 대상은 6세 미만의 가입자 및 피부양자이다.
⑤ 국민건강보험공단은 직장가입자에게 실시하는 일반건강검진의 실시에 관한 사항을 해당 사용자에게 통보해야 한다.</v>
      </c>
      <c r="F69" s="30">
        <f>IFERROR(VLOOKUP(C69,기출문제!D:G,4,0),"")</f>
        <v>3</v>
      </c>
      <c r="G69" s="31" t="str">
        <f t="shared" si="0"/>
        <v/>
      </c>
      <c r="J69" s="23"/>
    </row>
    <row r="70" spans="2:10" s="21" customFormat="1" ht="142.5" x14ac:dyDescent="0.3">
      <c r="B70" s="17">
        <v>63</v>
      </c>
      <c r="C70" s="27" t="s">
        <v>629</v>
      </c>
      <c r="D70" s="17"/>
      <c r="E70" s="29" t="str">
        <f>IFERROR(VLOOKUP(C70,기출문제!D:G,3,0),"")</f>
        <v>98. 고용보험 및 산업재해보상보험의 보험료 징수 등에 관한 법령상 고액・상습 체납자의 인적사항 공개에 관한 설명으로 옳지 않은 것은?
① 국민건강보험공단은 체납된 보험료, 이 법에 따른 그 밖의 징수금과 체납처분비와 관련하여 행정심판이 계류 중인 경우에는 공개하여서는 아니 된다.
② 체납자의 인적사항등에 대한 공개 여부를 심의하기 위하여 국민건강보험공단에 보험료정보공개심의위원회를 둔다.
③ 국민건강보험공단은 인정사항등의 공개가 결정된 자에 대하여 소명할 기회를 주어야 한다.
④ 체납자 인적사항등의 공개는 관보에 게재하거나, 고용・산재정보통신망 또는 국민건강보험공단 게시판에 게시하는 방법에 따른다.
⑤ 국민건강보험공단은 보험료정보공개심의위원회의 심의와 관련한 통지일부터 3개월이 지난 후 체납자 인적사항등의 공개 여부를 재심의하게 한 후 공개대상자를 선정한다.</v>
      </c>
      <c r="F70" s="30">
        <f>IFERROR(VLOOKUP(C70,기출문제!D:G,4,0),"")</f>
        <v>5</v>
      </c>
      <c r="G70" s="31" t="str">
        <f t="shared" si="0"/>
        <v/>
      </c>
      <c r="J70" s="23"/>
    </row>
    <row r="71" spans="2:10" s="21" customFormat="1" ht="99.75" x14ac:dyDescent="0.3">
      <c r="B71" s="17">
        <v>64</v>
      </c>
      <c r="C71" s="27" t="s">
        <v>926</v>
      </c>
      <c r="D71" s="17"/>
      <c r="E71" s="29" t="str">
        <f>IFERROR(VLOOKUP(C71,기출문제!D:G,3,0),"")</f>
        <v>99. 고용보험 및 산업재해보상보험의 보험료징수 등에 관한 법령상 예술인과 이들을 상대방으로 하여 문화예술용역 관련 계약을 체결한 사업의 사업주에 대한 고용보험료율은?
① 1천분의 8
② 1천분의 16
③ 1천분의 24
④ 1천분의 32
⑤ 1천분의 40</v>
      </c>
      <c r="F71" s="30">
        <f>IFERROR(VLOOKUP(C71,기출문제!D:G,4,0),"")</f>
        <v>2</v>
      </c>
      <c r="G71" s="31" t="str">
        <f t="shared" si="0"/>
        <v/>
      </c>
      <c r="J71" s="23"/>
    </row>
    <row r="72" spans="2:10" s="21" customFormat="1" ht="185.25" x14ac:dyDescent="0.3">
      <c r="B72" s="17">
        <v>65</v>
      </c>
      <c r="C72" s="27" t="s">
        <v>927</v>
      </c>
      <c r="D72" s="17"/>
      <c r="E72" s="29" t="str">
        <f>IFERROR(VLOOKUP(C72,기출문제!D:G,3,0),"")</f>
        <v>100. 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
① A
② B
③ C
④ D
⑤ E</v>
      </c>
      <c r="F72" s="30">
        <f>IFERROR(VLOOKUP(C72,기출문제!D:G,4,0),"")</f>
        <v>3</v>
      </c>
      <c r="G72" s="31" t="str">
        <f t="shared" si="0"/>
        <v/>
      </c>
      <c r="J72" s="23"/>
    </row>
    <row r="73" spans="2:10" s="21" customFormat="1" ht="85.5" x14ac:dyDescent="0.3">
      <c r="B73" s="17">
        <v>66</v>
      </c>
      <c r="C73" s="27" t="s">
        <v>566</v>
      </c>
      <c r="D73" s="17"/>
      <c r="E73" s="29" t="str">
        <f>IFERROR(VLOOKUP(C73,기출문제!D:G,3,0),"")</f>
        <v>76. 사회보장기본법에 관한 설명으로 옳지 않은 것은?
① 모든 국민은 자신의 능력을 최대한 발휘하여 자립・자활(自活)할 수 있도록 노력하여야 한다.
② 국가와 지방자치단체는 사회보장제도를 시행할 때에 가정과 지역공동체의 자발적인 복지활동을 촉진하여야 한다.
③ 사회보험이란 국민에게 발생하는 사회적 위험을 보험의 방식으로 대처함으로써 국민의 건강과 소득을 보장하는 제도를 말한다.
④ 국내에 거주하는 외국인에게 사회보장제도를 적용할 때에는 국민과 차별하지 아니하되 예외적으로 상호주의에 따를 수 있다.
⑤ 국가와 지방자치단체는 가정이 건전하게 유지되고 그 기능이 향상되도록 노력하여야 한다.</v>
      </c>
      <c r="F73" s="30">
        <f>IFERROR(VLOOKUP(C73,기출문제!D:G,4,0),"")</f>
        <v>4</v>
      </c>
      <c r="G73" s="31" t="str">
        <f t="shared" ref="G73:G136" si="1">IF(D73="","",IF(D73=F73,"O", "X"))</f>
        <v/>
      </c>
      <c r="J73" s="23"/>
    </row>
    <row r="74" spans="2:10" s="21" customFormat="1" ht="99.75" x14ac:dyDescent="0.3">
      <c r="B74" s="17">
        <v>67</v>
      </c>
      <c r="C74" s="27" t="s">
        <v>928</v>
      </c>
      <c r="D74" s="17"/>
      <c r="E74" s="29" t="str">
        <f>IFERROR(VLOOKUP(C74,기출문제!D:G,3,0),"")</f>
        <v>77. 사회보장기본법상 사회보장제도의 운영에 관한 설명으로 옳지 않은 것은?
① 국가와 지방자치단체가 사회보장제도를 운영할 때에는 이 제도를 필요로 하는 모든 국민에게 적용하여야 한다.
② 국가와 지방자치단체는 공공부문과 민간부문의 사회보장 전달체계가 효율적으로 연계되도록 노력하여야 한다.
③ 공공부조는 국가의 책임으로 시행하고, 사회보험과 사회서비스는 국가와 지방자치단체의 책임으로 시행하는 것을 원칙으로 한다.
④ 국가와 지방자치단체는 사회보장 관계 법령에서 정하는 바에 따라 사회보장에 관한 상담에 응하여야 한다.
⑤ 국가와 지방자치단체는 효과적인 사회보장정책의 수립・시행을 위하여 사회보장에 관한 통계를 작성・관리하여야 한다.</v>
      </c>
      <c r="F74" s="30">
        <f>IFERROR(VLOOKUP(C74,기출문제!D:G,4,0),"")</f>
        <v>3</v>
      </c>
      <c r="G74" s="31" t="str">
        <f t="shared" si="1"/>
        <v/>
      </c>
      <c r="J74" s="23"/>
    </row>
    <row r="75" spans="2:10" s="21" customFormat="1" ht="128.25" x14ac:dyDescent="0.3">
      <c r="B75" s="17">
        <v>68</v>
      </c>
      <c r="C75" s="27" t="s">
        <v>929</v>
      </c>
      <c r="D75" s="17"/>
      <c r="E75" s="29" t="str">
        <f>IFERROR(VLOOKUP(C75,기출문제!D:G,3,0),"")</f>
        <v>78. 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
① ㄱ: 1월 31일, ㄴ: 3월 31일 
② ㄱ: 1월 31일, ㄴ: 6월 30일
③ ㄱ: 3월 31일, ㄴ: 6월 30일 
④ ㄱ: 3월 31일, ㄴ: 9월 30일
⑤ ㄱ: 6월 30일, ㄴ: 9월 30일</v>
      </c>
      <c r="F75" s="30">
        <f>IFERROR(VLOOKUP(C75,기출문제!D:G,4,0),"")</f>
        <v>1</v>
      </c>
      <c r="G75" s="31" t="str">
        <f t="shared" si="1"/>
        <v/>
      </c>
      <c r="J75" s="23"/>
    </row>
    <row r="76" spans="2:10" s="21" customFormat="1" ht="85.5" x14ac:dyDescent="0.3">
      <c r="B76" s="17">
        <v>69</v>
      </c>
      <c r="C76" s="27" t="s">
        <v>930</v>
      </c>
      <c r="D76" s="17"/>
      <c r="E76" s="29" t="str">
        <f>IFERROR(VLOOKUP(C76,기출문제!D:G,3,0),"")</f>
        <v>79. 사회보장기본법에 관한 설명으로 옳지 않은 것은?
① 국가는 관계 법령에서 정하는 바에 따라 최저보장수준과 최저임금을 매년 공표하여야 한다.
② 국가와 지방자치단체는 사회보장에 관한 책임과 역할을 합리적으로 분담하여야 한다.
③ 사회보장수급권이 제한되거나 정지되는 경우에는 제한 또는 정지하는 목적에 필요한 최소한의 범위에 그쳐야 한다.
④ 사회보장수급권은 정당한 권한이 있는 기관에 구두 또는 서면으로 통지하여 포기할 수 있다.
⑤ 사회보장에 관한 다른 법률을 제정하거나 개정하는 경우에는 사회보장기본법에 부합되도록 하여야 한다.</v>
      </c>
      <c r="F76" s="30">
        <f>IFERROR(VLOOKUP(C76,기출문제!D:G,4,0),"")</f>
        <v>4</v>
      </c>
      <c r="G76" s="31" t="str">
        <f t="shared" si="1"/>
        <v/>
      </c>
      <c r="J76" s="23"/>
    </row>
    <row r="77" spans="2:10" s="21" customFormat="1" ht="99.75" x14ac:dyDescent="0.3">
      <c r="B77" s="17">
        <v>70</v>
      </c>
      <c r="C77" s="27" t="s">
        <v>931</v>
      </c>
      <c r="D77" s="17"/>
      <c r="E77" s="29" t="str">
        <f>IFERROR(VLOOKUP(C77,기출문제!D:G,3,0),"")</f>
        <v>80. 고용보험법상 피보험자격의 취득 또는 상실 등에 관한 설명으로 옳지 않은 것은?
① 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
② 근로자인 피보험자가 이직한 경우에는 이직한 날의 다음 날에 피보험자격을 상실한다.
③ 근로자인 피보험자가 사망한 경우에는 사망한 날의 다음 날에 피보험자격을 상실한다.
④ 고용산재보험료징수법에 따라 보험관계가 소멸한 경우에는 그 보험관계가 소멸한 날에 그 피보험자격을 상실한다.
⑤ 피보험자 또는 피보험자였던 사람은 언제든지 고용노동부장관에게 피보험자격의 취득 또는 상실에 관한 확인을 청구할 수 있다.</v>
      </c>
      <c r="F77" s="30">
        <f>IFERROR(VLOOKUP(C77,기출문제!D:G,4,0),"")</f>
        <v>1</v>
      </c>
      <c r="G77" s="31" t="str">
        <f t="shared" si="1"/>
        <v/>
      </c>
      <c r="J77" s="23"/>
    </row>
    <row r="78" spans="2:10" s="21" customFormat="1" ht="128.25" x14ac:dyDescent="0.3">
      <c r="B78" s="17">
        <v>71</v>
      </c>
      <c r="C78" s="27" t="s">
        <v>932</v>
      </c>
      <c r="D78" s="17"/>
      <c r="E78" s="29" t="str">
        <f>IFERROR(VLOOKUP(C78,기출문제!D:G,3,0),"")</f>
        <v>81. 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
① ㄱ 
② ㄱ, ㄴ 
③ ㄱ, ㄷ 
④ ㄴ, ㄷ 
⑤ ㄱ, ㄴ, ㄷ</v>
      </c>
      <c r="F78" s="30">
        <f>IFERROR(VLOOKUP(C78,기출문제!D:G,4,0),"")</f>
        <v>5</v>
      </c>
      <c r="G78" s="31" t="str">
        <f t="shared" si="1"/>
        <v/>
      </c>
      <c r="J78" s="23"/>
    </row>
    <row r="79" spans="2:10" s="21" customFormat="1" ht="85.5" x14ac:dyDescent="0.3">
      <c r="B79" s="17">
        <v>72</v>
      </c>
      <c r="C79" s="27" t="s">
        <v>933</v>
      </c>
      <c r="D79" s="17"/>
      <c r="E79" s="29" t="str">
        <f>IFERROR(VLOOKUP(C79,기출문제!D:G,3,0),"")</f>
        <v>82. 고용보험법상 자영업자의 구직급여에 관한 사항으로 피보험기간과 소정급여일수가 옳게 연결된 것은?
① 피보험기간 6개월 - 소정급여일수 120일
② 피보험기간 1년 - 소정급여일수 150일
③ 피보험기간 3년 - 소정급여일수 180일
④ 피보험기간 10년 - 소정급여일수 210일
⑤ 피보험기간 15년 - 소정급여일수 240일</v>
      </c>
      <c r="F79" s="30">
        <f>IFERROR(VLOOKUP(C79,기출문제!D:G,4,0),"")</f>
        <v>4</v>
      </c>
      <c r="G79" s="31" t="str">
        <f t="shared" si="1"/>
        <v/>
      </c>
      <c r="J79" s="23"/>
    </row>
    <row r="80" spans="2:10" s="21" customFormat="1" ht="85.5" x14ac:dyDescent="0.3">
      <c r="B80" s="17">
        <v>73</v>
      </c>
      <c r="C80" s="27" t="s">
        <v>934</v>
      </c>
      <c r="D80" s="17"/>
      <c r="E80" s="29" t="str">
        <f>IFERROR(VLOOKUP(C80,기출문제!D:G,3,0),"")</f>
        <v>83. 고용보험법령상 노무제공자인 피보험자에 해당하지 않는 것은?
① 한국표준직업분류표의 세세분류에 따른 대여 제품 방문점검원
② 가전제품의 판매를 위한 배송 업무를 주로 수행하고 가전제품의 설치, 시운전 등을 통해 작동상태를 확인하는 사람
③ 「초・중등교육법」에 따른 학교에서 운영하는 방과후 학교의 과정을 담당하는 강사
④ 「방문판매 등에 관한 법률」에 따른 후원방문판매원으로서 자가 소비를 위한 후원 방문판매원
⑤ 「우체국 예금・보험에 관한 법률」에 따른 우체국보험의 모집을 전업으로 하는 사람</v>
      </c>
      <c r="F80" s="30">
        <f>IFERROR(VLOOKUP(C80,기출문제!D:G,4,0),"")</f>
        <v>4</v>
      </c>
      <c r="G80" s="31" t="str">
        <f t="shared" si="1"/>
        <v/>
      </c>
      <c r="J80" s="23"/>
    </row>
    <row r="81" spans="2:10" s="21" customFormat="1" ht="99.75" x14ac:dyDescent="0.3">
      <c r="B81" s="17">
        <v>74</v>
      </c>
      <c r="C81" s="27" t="s">
        <v>935</v>
      </c>
      <c r="D81" s="17"/>
      <c r="E81" s="29" t="str">
        <f>IFERROR(VLOOKUP(C81,기출문제!D:G,3,0),"")</f>
        <v>84. 고용보험법령상 고용보험기금에 관한 설명으로 옳지 않은 것은?
① 고용노동부장관은 한국은행에 고용보험기금계정을 설치하여야 한다.
② 고용보험기금의 결산상 손실금이 생기는 경우 이를 적립금으로 보전(補塡)할 수 없다.
③ 기금수입징수관은 기금징수액보고서를 매월 말일을 기준으로 작성하여 다음 달 20일까지 고용노동부장관에게 제출하여야 한다.
④ 고용보험기금을 지출할 때 자금 부족이 발생할 것으로 예상되는 경우에는 고용보험기금의 부담으로 금융기관・다른 기금과 그 밖의 재원 등으로부터 차입을 할 수 있다.
⑤ 고용노동부장관의 고용보험기금 관리・운용 방법에는 금융기관에 예탁하는 방법이 있다.</v>
      </c>
      <c r="F81" s="30">
        <f>IFERROR(VLOOKUP(C81,기출문제!D:G,4,0),"")</f>
        <v>2</v>
      </c>
      <c r="G81" s="31" t="str">
        <f t="shared" si="1"/>
        <v/>
      </c>
      <c r="J81" s="23"/>
    </row>
    <row r="82" spans="2:10" s="21" customFormat="1" ht="114" x14ac:dyDescent="0.3">
      <c r="B82" s="17">
        <v>75</v>
      </c>
      <c r="C82" s="27" t="s">
        <v>936</v>
      </c>
      <c r="D82" s="17"/>
      <c r="E82" s="29" t="str">
        <f>IFERROR(VLOOKUP(C82,기출문제!D:G,3,0),"")</f>
        <v>85. 고용보험법상 재심사에 관한 설명으로 옳지 않은 것은?
① 재심사의 청구는 심사청구에 대한 결정이 있음을 안 날부터 90일 이내에 제기하여야 한다.
② 재심사의 청구는 시효중단에 관하여 재판상의 청구로 본다.
③ 고용보험심사위원회의 재심사청구에 대한 심리는 공개하지 않음이 원칙이지만, 당사자의 양쪽 또는 어느 한 쪽이 신청한 경우에는 공개할 수 있다.
④ 고용보험심사위원회는 재심사의 청구를 받으면 그 청구에 대한 심리 기일(審理期日) 및 장소를 정하여 심리 기일 3일 전까지 당사자 및 그 사건을 심사한 고용보험심사관에게 알려야 한다.
⑤ 당사자는 고용보험심사위원회에 문서나 구두로 그 의견을 진술할 수 있다.</v>
      </c>
      <c r="F82" s="30">
        <f>IFERROR(VLOOKUP(C82,기출문제!D:G,4,0),"")</f>
        <v>3</v>
      </c>
      <c r="G82" s="31" t="str">
        <f t="shared" si="1"/>
        <v/>
      </c>
      <c r="J82" s="23"/>
    </row>
    <row r="83" spans="2:10" s="21" customFormat="1" ht="85.5" x14ac:dyDescent="0.3">
      <c r="B83" s="17">
        <v>76</v>
      </c>
      <c r="C83" s="27" t="s">
        <v>937</v>
      </c>
      <c r="D83" s="17"/>
      <c r="E83" s="29" t="str">
        <f>IFERROR(VLOOKUP(C83,기출문제!D:G,3,0),"")</f>
        <v>86. 산업재해보상보험법령상 산업재해보상보험및예방심의위원회의 심의사항이 아닌 것은?
① 요양급여의 범위나 비용 등 요양급여의 산정 기준에 관한 사항
② 「고용보험 및 산업재해보상보험의 보험료징수 등에 관한 법률」에 따른 산재보험료율의 결정에 관한 사항
③ 「산업안전보건법」에 따른 산업재해 보상의 세부계획에 관한 사항
④ 산업재해보상보험및예방기금의 운용계획 수립에 관한 사항
⑤ 고용노동부장관이 산업재해보상보험 사업 및 산업안전・보건 업무에 관하여 심의에 부치는 사항</v>
      </c>
      <c r="F83" s="30">
        <f>IFERROR(VLOOKUP(C83,기출문제!D:G,4,0),"")</f>
        <v>3</v>
      </c>
      <c r="G83" s="31" t="str">
        <f t="shared" si="1"/>
        <v/>
      </c>
      <c r="J83" s="23"/>
    </row>
    <row r="84" spans="2:10" s="21" customFormat="1" ht="85.5" x14ac:dyDescent="0.3">
      <c r="B84" s="17">
        <v>77</v>
      </c>
      <c r="C84" s="27" t="s">
        <v>938</v>
      </c>
      <c r="D84" s="17"/>
      <c r="E84" s="29" t="str">
        <f>IFERROR(VLOOKUP(C84,기출문제!D:G,3,0),"")</f>
        <v>87. 산업재해보상보험법령상 산업재해보상보험법의 적용 제외 사업에 해당하지 않는 것은?
① 「군인 재해보상법」에 따라 재해보상이 되는 사업
② 「선원법」에 따라 재해보상이 되는 사업
③ 벌목업 중 법인이 아닌 자의 사업으로서 상시근로자 수가 5명 미만인 사업
④ 수렵업 중 법인이 아닌 자의 사업으로서 상시근로자 수가 5명 미만인 사업
⑤ 가구내 고용활동</v>
      </c>
      <c r="F84" s="30">
        <f>IFERROR(VLOOKUP(C84,기출문제!D:G,4,0),"")</f>
        <v>3</v>
      </c>
      <c r="G84" s="31" t="str">
        <f t="shared" si="1"/>
        <v/>
      </c>
      <c r="J84" s="23"/>
    </row>
    <row r="85" spans="2:10" s="21" customFormat="1" ht="128.25" x14ac:dyDescent="0.3">
      <c r="B85" s="17">
        <v>78</v>
      </c>
      <c r="C85" s="27" t="s">
        <v>939</v>
      </c>
      <c r="D85" s="17"/>
      <c r="E85" s="29" t="str">
        <f>IFERROR(VLOOKUP(C85,기출문제!D:G,3,0),"")</f>
        <v>88. 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
① ㄱ 
② ㄷ 
③ ㄱ, ㄴ 
④ ㄴ, ㄷ 
⑤ ㄱ, ㄴ, ㄷ</v>
      </c>
      <c r="F85" s="30">
        <f>IFERROR(VLOOKUP(C85,기출문제!D:G,4,0),"")</f>
        <v>1</v>
      </c>
      <c r="G85" s="31" t="str">
        <f t="shared" si="1"/>
        <v/>
      </c>
      <c r="J85" s="23"/>
    </row>
    <row r="86" spans="2:10" s="21" customFormat="1" ht="128.25" x14ac:dyDescent="0.3">
      <c r="B86" s="17">
        <v>79</v>
      </c>
      <c r="C86" s="27" t="s">
        <v>940</v>
      </c>
      <c r="D86" s="17"/>
      <c r="E86" s="29" t="str">
        <f>IFERROR(VLOOKUP(C86,기출문제!D:G,3,0),"")</f>
        <v>89. 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
① ㄱ 
② ㄴ 
③ ㄱ, ㄴ 
④ ㄴ, ㄷ 
⑤ ㄱ, ㄴ, ㄷ</v>
      </c>
      <c r="F86" s="30">
        <f>IFERROR(VLOOKUP(C86,기출문제!D:G,4,0),"")</f>
        <v>5</v>
      </c>
      <c r="G86" s="31" t="str">
        <f t="shared" si="1"/>
        <v/>
      </c>
      <c r="J86" s="23"/>
    </row>
    <row r="87" spans="2:10" s="21" customFormat="1" ht="85.5" x14ac:dyDescent="0.3">
      <c r="B87" s="17">
        <v>80</v>
      </c>
      <c r="C87" s="27" t="s">
        <v>941</v>
      </c>
      <c r="D87" s="17"/>
      <c r="E87" s="29" t="str">
        <f>IFERROR(VLOOKUP(C87,기출문제!D:G,3,0),"")</f>
        <v>90. 산업재해보상보험법령상 업무상의 재해의 인정 기준에 해당하는 사유가 아닌 것은?
① 근로자가 근로계약에 따른 업무나 그에 따르는 행위를 하던 중 발생한 사고
② 사업주의 구체적인 지시를 위반한 행위로 인한 사고
③ 사업주가 제공한 시설물 등을 이용하던 중 그 시설물 등의 결함이나 관리소홀로 발생한 사고
④ 사업주가 주관하거나 사업주의 지시에 따라 참여한 행사나 행사준비 중에 발생한 사고
⑤ 휴게시간 중 사업주의 지배관리하에 있다고 볼 수 있는 행위로 발생한 사고</v>
      </c>
      <c r="F87" s="30">
        <f>IFERROR(VLOOKUP(C87,기출문제!D:G,4,0),"")</f>
        <v>2</v>
      </c>
      <c r="G87" s="31" t="str">
        <f t="shared" si="1"/>
        <v/>
      </c>
      <c r="J87" s="23"/>
    </row>
    <row r="88" spans="2:10" s="21" customFormat="1" ht="128.25" x14ac:dyDescent="0.3">
      <c r="B88" s="17">
        <v>81</v>
      </c>
      <c r="C88" s="27" t="s">
        <v>942</v>
      </c>
      <c r="D88" s="17"/>
      <c r="E88" s="29" t="str">
        <f>IFERROR(VLOOKUP(C88,기출문제!D:G,3,0),"")</f>
        <v>91. 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
① ㄱ: 70, ㄴ: 70 
② ㄱ: 70, ㄴ: 80 
③ ㄱ: 80, ㄴ: 80
④ ㄱ: 80, ㄴ: 90 
⑤ ㄱ: 90, ㄴ: 90</v>
      </c>
      <c r="F88" s="30">
        <f>IFERROR(VLOOKUP(C88,기출문제!D:G,4,0),"")</f>
        <v>4</v>
      </c>
      <c r="G88" s="31" t="str">
        <f t="shared" si="1"/>
        <v/>
      </c>
      <c r="J88" s="23"/>
    </row>
    <row r="89" spans="2:10" s="21" customFormat="1" ht="99.75" x14ac:dyDescent="0.3">
      <c r="B89" s="17">
        <v>82</v>
      </c>
      <c r="C89" s="27" t="s">
        <v>943</v>
      </c>
      <c r="D89" s="17"/>
      <c r="E89" s="29" t="str">
        <f>IFERROR(VLOOKUP(C89,기출문제!D:G,3,0),"")</f>
        <v>92. 국민연금법상 급여에 관한 설명으로 옳은 것은?
① 급여는 노령연금과 장애연금 두 종류로 나뉜다.
② 급여수급전용계좌에 입금된 급여와 이에 관한 채권은 압류할 수 있다.
③ 급여로 지급된 금액에 대하여는「조세특례제한법」이나 그 밖의 법률 또는 지방자치단체가 조례로 정하는 바에 따라 조세, 그 밖에 국가 또는 지방자치단체의 공과금을 감면할 수 없다.
④ 국민연금공단은 장애연금 수급권자의 장애 정도를 심사하여 장애등급에 해당되지 아니하면 장애연금액을 변경한다.
⑤ 자녀인 수급권자가 다른 사람에게 입양된 때에는 그에 해당하게 된 때부터 유족연금의 지급을 정지한다.</v>
      </c>
      <c r="F89" s="30">
        <f>IFERROR(VLOOKUP(C89,기출문제!D:G,4,0),"")</f>
        <v>5</v>
      </c>
      <c r="G89" s="31" t="str">
        <f t="shared" si="1"/>
        <v/>
      </c>
      <c r="J89" s="23"/>
    </row>
    <row r="90" spans="2:10" s="21" customFormat="1" ht="85.5" x14ac:dyDescent="0.3">
      <c r="B90" s="17">
        <v>83</v>
      </c>
      <c r="C90" s="27" t="s">
        <v>944</v>
      </c>
      <c r="D90" s="17"/>
      <c r="E90" s="29" t="str">
        <f>IFERROR(VLOOKUP(C90,기출문제!D:G,3,0),"")</f>
        <v>93. 국민연금법상 국민연금가입자에 관한 설명으로 옳지 않은 것은?
① 가입자는 사업장가입자, 지역가입자, 임의가입자 및 임의계속가입자로 구분한다.
② 임의가입자는 보건복지부령으로 정하는 바에 따라 국민연금공단에 신청하여 탈퇴할 수 있다.
③ 가입자의 가입 종류가 변동되면 그 가입자의 가입기간은 각 종류별 가입기간을 합산한 기간으로 한다.
④ 가입자의 자격을 상실한 후 다시 그 자격을 취득한 자에 대하여는 전후(前後)의 가입기간을 합산한다.
⑤ 임의가입자는 가입 신청을 한 날에 자격을 취득한다.</v>
      </c>
      <c r="F90" s="30">
        <f>IFERROR(VLOOKUP(C90,기출문제!D:G,4,0),"")</f>
        <v>5</v>
      </c>
      <c r="G90" s="31" t="str">
        <f t="shared" si="1"/>
        <v/>
      </c>
      <c r="J90" s="23"/>
    </row>
    <row r="91" spans="2:10" s="21" customFormat="1" ht="114" x14ac:dyDescent="0.3">
      <c r="B91" s="17">
        <v>84</v>
      </c>
      <c r="C91" s="27" t="s">
        <v>945</v>
      </c>
      <c r="D91" s="17"/>
      <c r="E91" s="29" t="str">
        <f>IFERROR(VLOOKUP(C91,기출문제!D:G,3,0),"")</f>
        <v>94. 국민건강보험법령상 보수월액에 관한 설명으로 옳지 않은 것은?
① 직장가입자의 보수월액은 직장가입자가 지급받는 보수를 기준으로 하여 산정한다.
② 휴직으로 보수의 전부 또는 일부가 지급되지 아니하는 가입자의 보수월액보험료는 해당 사유가 생기기 전 달의 보수월액을 기준으로 산정한다.
③ 근로자가 근로를 제공하고 사용자로부터 지급받는 금품 중 퇴직금은 보수에서 제외한다.
④ 보수의 전부 또는 일부가 현물(現物)로 지급되는 경우에는 그 지역의 시가(時價)를 기준으로 국민건강보험공단이 정하는 가액(價額)을 그에 해당하는 보수로 본다.
⑤ 보수 관련 자료가 없거나 불명확한 경우에 해당하면 고용노동부장관이 정하여 고시하는 금액을 보수로 본다.</v>
      </c>
      <c r="F91" s="30">
        <f>IFERROR(VLOOKUP(C91,기출문제!D:G,4,0),"")</f>
        <v>5</v>
      </c>
      <c r="G91" s="31" t="str">
        <f t="shared" si="1"/>
        <v/>
      </c>
      <c r="J91" s="23"/>
    </row>
    <row r="92" spans="2:10" s="21" customFormat="1" ht="142.5" x14ac:dyDescent="0.3">
      <c r="B92" s="17">
        <v>85</v>
      </c>
      <c r="C92" s="27" t="s">
        <v>946</v>
      </c>
      <c r="D92" s="17"/>
      <c r="E92" s="29" t="str">
        <f>IFERROR(VLOOKUP(C92,기출문제!D:G,3,0),"")</f>
        <v>95. 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
① ㄱ, ㄴ 
② ㄴ, ㄷ 
③ ㄱ, ㄴ, ㄹ
④ ㄱ, ㄷ, ㄹ 
⑤ ㄱ, ㄴ, ㄷ, ㄹ</v>
      </c>
      <c r="F92" s="30">
        <f>IFERROR(VLOOKUP(C92,기출문제!D:G,4,0),"")</f>
        <v>5</v>
      </c>
      <c r="G92" s="31" t="str">
        <f t="shared" si="1"/>
        <v/>
      </c>
      <c r="J92" s="23"/>
    </row>
    <row r="93" spans="2:10" s="21" customFormat="1" ht="128.25" x14ac:dyDescent="0.3">
      <c r="B93" s="17">
        <v>86</v>
      </c>
      <c r="C93" s="27" t="s">
        <v>947</v>
      </c>
      <c r="D93" s="17"/>
      <c r="E93" s="29" t="str">
        <f>IFERROR(VLOOKUP(C93,기출문제!D:G,3,0),"")</f>
        <v>96. 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
① ㄱ: 근로복지공단, ㄴ: 국민건강보험공단, ㄷ: 근로복지공단
② ㄱ: 근로복지공단, ㄴ: 근로복지공단, ㄷ: 국민건강보험공단
③ ㄱ: 근로복지공단, ㄴ: 근로복지공단, ㄷ: 근로복지공단
④ ㄱ: 국민건강보험공단, ㄴ: 근로복지공단, ㄷ: 국민건강보험공단
⑤ ㄱ: 국민건강보험공단, ㄴ: 국민건강보험공단, ㄷ: 근로복지공단</v>
      </c>
      <c r="F93" s="30">
        <f>IFERROR(VLOOKUP(C93,기출문제!D:G,4,0),"")</f>
        <v>1</v>
      </c>
      <c r="G93" s="31" t="str">
        <f t="shared" si="1"/>
        <v/>
      </c>
      <c r="J93" s="23"/>
    </row>
    <row r="94" spans="2:10" s="21" customFormat="1" ht="142.5" x14ac:dyDescent="0.3">
      <c r="B94" s="17">
        <v>87</v>
      </c>
      <c r="C94" s="27" t="s">
        <v>948</v>
      </c>
      <c r="D94" s="17"/>
      <c r="E94" s="29" t="str">
        <f>IFERROR(VLOOKUP(C94,기출문제!D:G,3,0),"")</f>
        <v>97. 고용보험 및 산업재해보상보험의 보험료징수 등에 관한 법령상 보험관계의 성립 및 소멸에 관한 설명으로 옳지 않은 것은?
① 산업재해보상보험법을 적용하지 아니하는 사업의 사업주는 근로복지공단의 승인을 받아 산업재해보상보험에 가입할 수 있다.
② 일괄적용사업의 사업주는 사업의 개시일부터 14일 이내에 끝나는 사업의 경우에는 그 끝나는 날의 다음 날까지 개시 및 종료 사실을 근로복지공단에 신고하여야 한다.
③ 고용보험법을 적용하지 아니하는 사업의 사업주가 고용보험에 가입된 경우 그 보험계약을 해지할 때에는 미리 근로복지공단의 승인을 받아야 한다.
④ 고용보험에 가입한 사업주는 기간의 정함이 있는 건설사업의 경우 사업의 기간이 변경되면 그 변경된 날부터 14일 이내에 그 변경사항을 근로복지공단에 신고하여야 한다.
⑤ 고용보험법을 적용하지 아니하는 사업의 사업주가 근로자의 과반수의 동의를 받아 근로복지공단의 승인을 받으면 그 사업의 사업주와 근로자는 고용보험에 가입할 수 있다.</v>
      </c>
      <c r="F94" s="30">
        <f>IFERROR(VLOOKUP(C94,기출문제!D:G,4,0),"")</f>
        <v>2</v>
      </c>
      <c r="G94" s="31" t="str">
        <f t="shared" si="1"/>
        <v/>
      </c>
      <c r="J94" s="23"/>
    </row>
    <row r="95" spans="2:10" s="21" customFormat="1" ht="99.75" x14ac:dyDescent="0.3">
      <c r="B95" s="17">
        <v>88</v>
      </c>
      <c r="C95" s="27" t="s">
        <v>949</v>
      </c>
      <c r="D95" s="17"/>
      <c r="E95" s="29" t="str">
        <f>IFERROR(VLOOKUP(C95,기출문제!D:G,3,0),"")</f>
        <v>98. 고용보험 및 산업재해보상보험의 보험료징수 등에 관한 법령상 상시근로자수가 150명 미만인 사업주의 사업의 고용안정・직업능력개발사업의 보험료율은?
① 1만분의 15 
② 1만분의 25 
③ 1만분의 35 
④ 1만분의 45 
⑤ 1만분의 55</v>
      </c>
      <c r="F95" s="30">
        <f>IFERROR(VLOOKUP(C95,기출문제!D:G,4,0),"")</f>
        <v>2</v>
      </c>
      <c r="G95" s="31" t="str">
        <f t="shared" si="1"/>
        <v/>
      </c>
      <c r="J95" s="23"/>
    </row>
    <row r="96" spans="2:10" s="21" customFormat="1" ht="99.75" x14ac:dyDescent="0.3">
      <c r="B96" s="17">
        <v>89</v>
      </c>
      <c r="C96" s="27" t="s">
        <v>950</v>
      </c>
      <c r="D96" s="17"/>
      <c r="E96" s="29" t="str">
        <f>IFERROR(VLOOKUP(C96,기출문제!D:G,3,0),"")</f>
        <v>99. 고용보험 및 산업재해보상보험의 보험료징수 등에 관한 법령상 기준보수에 관한 설명으로 옳지 않은 것은?
① 근로시간에 따라 보수를 지급받는 근로자가 주당 소정근로시간을 확정할 수 없는 경우에는 시간단위 기준보수를 적용한다.
② 기준보수는 사업의 규모, 근로형태 및 보수수준 등을 고려하여 고용보험법에 따른 고용보험위원회의 심의를 거쳐 시간・일 또는 월 단위로 정하되, 사업의 종류별 또는 지역별로 구분하여 정할 수 있다.
③ 사업 또는 사업장의 이전 등으로 사업의 소재지를 파악하기 곤란한 경우에는 기준보수를 보수로 할 수 있다.
④ 통상근로자로서 월정액으로 보수를 지급받는 근로자에게는 월단위 기준보수를 적용한다.
⑤ 사업의 폐업으로 보수를 산정하기 곤란한 경우에는 기준보수를 보수로 할 수 있다.</v>
      </c>
      <c r="F96" s="30">
        <f>IFERROR(VLOOKUP(C96,기출문제!D:G,4,0),"")</f>
        <v>1</v>
      </c>
      <c r="G96" s="31" t="str">
        <f t="shared" si="1"/>
        <v/>
      </c>
      <c r="J96" s="23"/>
    </row>
    <row r="97" spans="2:10" s="21" customFormat="1" ht="128.25" x14ac:dyDescent="0.3">
      <c r="B97" s="17">
        <v>90</v>
      </c>
      <c r="C97" s="27" t="s">
        <v>951</v>
      </c>
      <c r="D97" s="17"/>
      <c r="E97" s="29" t="str">
        <f>IFERROR(VLOOKUP(C97,기출문제!D:G,3,0),"")</f>
        <v>100. 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
① 7 
② 14 
③ 15 
④ 20 
⑤ 30</v>
      </c>
      <c r="F97" s="30">
        <f>IFERROR(VLOOKUP(C97,기출문제!D:G,4,0),"")</f>
        <v>2</v>
      </c>
      <c r="G97" s="31" t="str">
        <f t="shared" si="1"/>
        <v/>
      </c>
      <c r="J97" s="23"/>
    </row>
    <row r="98" spans="2:10" s="21" customFormat="1" ht="99.75" x14ac:dyDescent="0.3">
      <c r="B98" s="17">
        <v>91</v>
      </c>
      <c r="C98" s="27" t="s">
        <v>44</v>
      </c>
      <c r="D98" s="17"/>
      <c r="E98" s="29" t="str">
        <f>IFERROR(VLOOKUP(C98,기출문제!D:G,3,0),"")</f>
        <v>76. 사회보장기본법령상 국가와 지방자치단체의 책임에 관한 내용으로 옳지 않은 것은?
① 국가와 지방자치단체는 국가 발전수준에 부응하고 사회환경의 변화에 선제적으로 대응하며 지속가능한 사회보장제도를 확립하고 매년 이에 필요한 재원을 조달하여야 한다.
② 국가와 지방자치단체는 사회보장 관계 법령에서 규정한 권리나 의무를 모든 국민에게 설명하여야 한다.
③ 국가와 지방자치단체는 사회보장에 관한 책임과 역할을 합리적으로 분담하여야 한다.
④ 국가는 사회보장제도의 안정적인 운영을 위하여 중장기 사회보장 재정추계를 격년으로 실시하고 이를 공표하여야 한다.
⑤ 국가와 지방자치단체는 모든 국민의 인간다운 생활을 유지・증진하는 책임을 가진다.</v>
      </c>
      <c r="F98" s="30">
        <f>IFERROR(VLOOKUP(C98,기출문제!D:G,4,0),"")</f>
        <v>2</v>
      </c>
      <c r="G98" s="31" t="str">
        <f t="shared" si="1"/>
        <v/>
      </c>
      <c r="J98" s="23"/>
    </row>
    <row r="99" spans="2:10" s="21" customFormat="1" ht="85.5" x14ac:dyDescent="0.3">
      <c r="B99" s="17">
        <v>92</v>
      </c>
      <c r="C99" s="27" t="s">
        <v>952</v>
      </c>
      <c r="D99" s="17"/>
      <c r="E99" s="29" t="str">
        <f>IFERROR(VLOOKUP(C99,기출문제!D:G,3,0),"")</f>
        <v>77. 사회보장기본법령상 사회보장위원회에 관한 내용으로 옳지 않은 것은?
① 사회보장위원회의 부위원장은 기획재정부장관, 교육부장관 및 보건복지부장관이 된다.
② 사회보장위원회의 사무를 효율적으로 처리하기 위하여 보건복지부에 사무국을 둔다.
③ 사회보장위원회에 간사 1명을 두고, 간사는 보건복지부 사회복지정책실장으로 한다.
④ 대통령은 위촉한 사회보장위원회의 위원이 직무와 관련된 비위사실이 있는 경우에는 해당 위원을 해촉할 수 있다.
⑤ 사회보장위원회에 두는 실무위원회는 공동위원장 2명을 포함하여 30명 이내의 위원으로 구성한다.</v>
      </c>
      <c r="F99" s="30">
        <f>IFERROR(VLOOKUP(C99,기출문제!D:G,4,0),"")</f>
        <v>3</v>
      </c>
      <c r="G99" s="31" t="str">
        <f t="shared" si="1"/>
        <v/>
      </c>
      <c r="J99" s="23"/>
    </row>
    <row r="100" spans="2:10" s="21" customFormat="1" ht="85.5" x14ac:dyDescent="0.3">
      <c r="B100" s="17">
        <v>93</v>
      </c>
      <c r="C100" s="27" t="s">
        <v>953</v>
      </c>
      <c r="D100" s="17"/>
      <c r="E100" s="29" t="str">
        <f>IFERROR(VLOOKUP(C100,기출문제!D:G,3,0),"")</f>
        <v>78. 사회보장기본법령상 사회보장수급권에 관한 내용으로 옳지 않은 것은?
① 사회보장수급권이 정지되는 경우에는 정지하는 목적에 필요한 최소한의 범위에 그쳐야 한다.
② 사회보장수급권은 관계 법령에서 정하는 바에 따라 타인에게 양도할 수 있다.
③ 사회보장수급권은 관계 법령에서 따로 정하고 있는 경우에는 제한될 수 있다.
④ 사회보장수급권은 관계 법령에서 정하는 바에 따라 타인에게 담보로 제공할 수 없다.
⑤ 사회보장수급권을 포기하는 것이 다른 사람에게 피해를 주는 경우에는 사회보장수급권을 포기할 수 없다.</v>
      </c>
      <c r="F100" s="30">
        <f>IFERROR(VLOOKUP(C100,기출문제!D:G,4,0),"")</f>
        <v>2</v>
      </c>
      <c r="G100" s="31" t="str">
        <f t="shared" si="1"/>
        <v/>
      </c>
      <c r="J100" s="23"/>
    </row>
    <row r="101" spans="2:10" s="21" customFormat="1" ht="128.25" x14ac:dyDescent="0.3">
      <c r="B101" s="17">
        <v>94</v>
      </c>
      <c r="C101" s="27" t="s">
        <v>954</v>
      </c>
      <c r="D101" s="17"/>
      <c r="E101" s="29" t="str">
        <f>IFERROR(VLOOKUP(C101,기출문제!D:G,3,0),"")</f>
        <v>79. 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
① ㄱ: 30, ㄴ: 30, ㄷ: 30
② ㄱ: 30, ㄴ: 30, ㄷ: 60
③ ㄱ: 30, ㄴ: 60, ㄷ: 60
④ ㄱ: 60, ㄴ: 60, ㄷ: 30
⑤ ㄱ: 60, ㄴ: 60, ㄷ: 60</v>
      </c>
      <c r="F101" s="30">
        <f>IFERROR(VLOOKUP(C101,기출문제!D:G,4,0),"")</f>
        <v>4</v>
      </c>
      <c r="G101" s="31" t="str">
        <f t="shared" si="1"/>
        <v/>
      </c>
      <c r="J101" s="23"/>
    </row>
    <row r="102" spans="2:10" s="21" customFormat="1" ht="99.75" x14ac:dyDescent="0.3">
      <c r="B102" s="17">
        <v>95</v>
      </c>
      <c r="C102" s="27" t="s">
        <v>955</v>
      </c>
      <c r="D102" s="17"/>
      <c r="E102" s="29" t="str">
        <f>IFERROR(VLOOKUP(C102,기출문제!D:G,3,0),"")</f>
        <v>80. 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
① 120일
② 180일
③ 210일
④ 240일
⑤ 270일</v>
      </c>
      <c r="F102" s="30">
        <f>IFERROR(VLOOKUP(C102,기출문제!D:G,4,0),"")</f>
        <v>5</v>
      </c>
      <c r="G102" s="31" t="str">
        <f t="shared" si="1"/>
        <v/>
      </c>
      <c r="J102" s="23"/>
    </row>
    <row r="103" spans="2:10" s="21" customFormat="1" ht="85.5" x14ac:dyDescent="0.3">
      <c r="B103" s="17">
        <v>96</v>
      </c>
      <c r="C103" s="27" t="s">
        <v>956</v>
      </c>
      <c r="D103" s="17"/>
      <c r="E103" s="29" t="str">
        <f>IFERROR(VLOOKUP(C103,기출문제!D:G,3,0),"")</f>
        <v>81. 고용보험법령상 예술인인 피보험자의 구직급여에 관한 내용으로 옳지 않은 것은?
① 이직일 이전 24개월 동안의 피보험 단위기간이 통산하여 9개월 이상일 것을 지급요건으로 한다.
② 이직일 이전 24개월 중 3개월 이상을 예술인인 피보험자로 피보험자격을 유지하였을 것을 지급요건으로 한다.
③ 실업의 신고일부터 계산하기 시작하여 30일간은 대기기간으로 보아 구직급여를 지급하지 아니한다.
④ 예술인의 구직급여일액은 기초일액에 100분의 60을 곱한 금액으로 한다.
⑤ 예술인의 구직급여일액의 상한액은 6만6천원이다.</v>
      </c>
      <c r="F103" s="30">
        <f>IFERROR(VLOOKUP(C103,기출문제!D:G,4,0),"")</f>
        <v>3</v>
      </c>
      <c r="G103" s="31" t="str">
        <f t="shared" si="1"/>
        <v/>
      </c>
      <c r="J103" s="23"/>
    </row>
    <row r="104" spans="2:10" s="21" customFormat="1" ht="114" x14ac:dyDescent="0.3">
      <c r="B104" s="17">
        <v>97</v>
      </c>
      <c r="C104" s="27" t="s">
        <v>957</v>
      </c>
      <c r="D104" s="17"/>
      <c r="E104" s="29" t="str">
        <f>IFERROR(VLOOKUP(C104,기출문제!D:G,3,0),"")</f>
        <v>82. 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
① ㄱ: 월 통상임금의 100분의 50에 해당하는 금액, ㄴ: 120만원
② ㄱ: 월 통상임금의 100분의 80에 해당하는 금액, ㄴ: 120만원
③ ㄱ: 월 통상임금의 100분의 80에 해당하는 금액, ㄴ: 150만원
④ ㄱ: 월 통상임금에 해당하는 금액, ㄴ: 150만원
⑤ ㄱ: 월 통상임금에 해당하는 금액, ㄴ: 250만원</v>
      </c>
      <c r="F104" s="30">
        <f>IFERROR(VLOOKUP(C104,기출문제!D:G,4,0),"")</f>
        <v>5</v>
      </c>
      <c r="G104" s="31" t="str">
        <f t="shared" si="1"/>
        <v/>
      </c>
      <c r="J104" s="23"/>
    </row>
    <row r="105" spans="2:10" s="21" customFormat="1" ht="128.25" x14ac:dyDescent="0.3">
      <c r="B105" s="17">
        <v>98</v>
      </c>
      <c r="C105" s="27" t="s">
        <v>958</v>
      </c>
      <c r="D105" s="17"/>
      <c r="E105" s="29" t="str">
        <f>IFERROR(VLOOKUP(C105,기출문제!D:G,3,0),"")</f>
        <v>83. 고용보험법령상 피보험자격에 관한 내용으로 옳지 않은 것은?
① 사업주는 그 사업에 고용된 근로자의 피보험자격 취득에 관한 사항을 신고하려는 경우 그 사유가 발생한 날이 속하는 달의 다음 달 말일까지 고용노동부장관에게 신고해야 한다.
② 사업주가 그 사업에 고용된 근로자의 피보험자격의 취득에 관한 사항을 신고하지 아니하면 근로자가 근로계약서 등 고용관계를 증명할 수 있는 서류를 제출하여 신고할 수 있다.
③ 자영업자인 피보험자는 피보험자격의 취득 및 상실에 관한 신고를 하지 아니한다.
④ 근로자가 보험관계가 성립되어 있는 둘 이상의 사업에 동시에 고용되어 있는 경우에는 고용노동부령으로 정하는 바에 따라 그 중 한 사업의 근로자로서의 피보험자격을 취득한다.
⑤ 피보험자는 언제든지 고용노동부장관에게 피보험자격의 취득 또는 상실에 관한 확인을 청구할 수 있다.</v>
      </c>
      <c r="F105" s="30">
        <f>IFERROR(VLOOKUP(C105,기출문제!D:G,4,0),"")</f>
        <v>1</v>
      </c>
      <c r="G105" s="31" t="str">
        <f t="shared" si="1"/>
        <v/>
      </c>
      <c r="J105" s="23"/>
    </row>
    <row r="106" spans="2:10" s="21" customFormat="1" ht="99.75" x14ac:dyDescent="0.3">
      <c r="B106" s="17">
        <v>99</v>
      </c>
      <c r="C106" s="27" t="s">
        <v>959</v>
      </c>
      <c r="D106" s="17"/>
      <c r="E106" s="29" t="str">
        <f>IFERROR(VLOOKUP(C106,기출문제!D:G,3,0),"")</f>
        <v>84. 고용보험법령상 자영업자인 피보험자에 대한 실업급여 적용의 특례에 관한 내용으로 옳은 것은?
① 자영업자인 피보험자의 실업급여의 종류에는 광역 구직활동비가 포함되지 않는다.
② 폐업일 이전 12개월간 자영업자인 피보험자로서 갖춘 피보험 단위기간이 합산하여 6개월이면 구직급여를 지급한다.
③ 자영업자인 피보험자로서 폐업한 수급자격자에 대한 구직급여일액은 그 수급자격자의 기초일액에 100분의 60을 곱한 금액으로 한다.
④ 고용노동부장관은 자영업자의 피보험기간이 3년이면서 보험료 체납 횟수가 1회인 경우 실업급여를 지급하지 아니한다.
⑤ 자영업자의 실업급여를 받을 권리는 양도하거나 담보로 제공할 수 있다.</v>
      </c>
      <c r="F106" s="30">
        <f>IFERROR(VLOOKUP(C106,기출문제!D:G,4,0),"")</f>
        <v>3</v>
      </c>
      <c r="G106" s="31" t="str">
        <f t="shared" si="1"/>
        <v/>
      </c>
      <c r="J106" s="23"/>
    </row>
    <row r="107" spans="2:10" s="21" customFormat="1" ht="114" x14ac:dyDescent="0.3">
      <c r="B107" s="17">
        <v>100</v>
      </c>
      <c r="C107" s="27" t="s">
        <v>960</v>
      </c>
      <c r="D107" s="17"/>
      <c r="E107" s="32" t="str">
        <f>IFERROR(VLOOKUP(C107,기출문제!D:G,3,0),"")</f>
        <v>85. 산업재해보상보험법령상 특수형태근로종사자의 직종에 해당하지 않는 사람은?
① 한국표준직업분류표의 세분류에 따른 택배원인 사람으로서 소화물을 집화・수송 과정을 거쳐 배송하는 택배사업에서 집화 업무를 하는 사람
② 우체국 예금・보험에 관한 법률에 따른 우체국보험의 모집을 전업으로 하는 사람
③ 한국표준직업분류표의 세세분류에 따른 대여 제품 방문점검원
④ 한국표준직업분류표의 세분류에 다른 가전제품 설치 및 수리원으로서 가전제품을 배송, 설치 및 시운전하여 작동상태를 확인하는 사람
⑤ 신용정보의 이용 및 보호에 관한 법률에 따른 위임직채권추심인</v>
      </c>
      <c r="F107" s="30">
        <f>IFERROR(VLOOKUP(C107,기출문제!D:G,4,0),"")</f>
        <v>5</v>
      </c>
      <c r="G107" s="31" t="str">
        <f t="shared" si="1"/>
        <v/>
      </c>
      <c r="J107" s="23"/>
    </row>
    <row r="108" spans="2:10" s="21" customFormat="1" ht="99.75" x14ac:dyDescent="0.3">
      <c r="B108" s="17">
        <v>101</v>
      </c>
      <c r="C108" s="27" t="s">
        <v>961</v>
      </c>
      <c r="D108" s="17"/>
      <c r="E108" s="29" t="str">
        <f>IFERROR(VLOOKUP(C108,기출문제!D:G,3,0),"")</f>
        <v>86. 산업재해보상보험법령상 업무상질병판정위원회에 관한 내용으로 옳지 않은 것은?
① 한의사는 업무상질병판정위원회의 위원이 될 수 있다.
② 업무상질병판정위원회의 위원장과 위원의 임기는 2년으로 하되, 연임할 수 있다.
③ 이황화탄소 중독증은 업무상질병판정위원회의 심의에서 제외되는 질병에 해당한다.
④ 업무상질병판정위원회는 부득이한 사유로 심의를 의뢰받은 날부터 60일 이내에 심의를 마칠 수 없으면 20일 단위로 두 차례 연장할 수 있다.
⑤ 업무상질병판정위원회의 원활한 운영을 위하여 필요하면 위원장이 지명하는 위원이 회의를 주재할 수 있다.</v>
      </c>
      <c r="F108" s="30">
        <f>IFERROR(VLOOKUP(C108,기출문제!D:G,4,0),"")</f>
        <v>4</v>
      </c>
      <c r="G108" s="31" t="str">
        <f>IF(D108="","",IF(D108=F108,"O", "X"))</f>
        <v/>
      </c>
      <c r="J108" s="23"/>
    </row>
    <row r="109" spans="2:10" s="21" customFormat="1" ht="114" x14ac:dyDescent="0.3">
      <c r="B109" s="17">
        <v>102</v>
      </c>
      <c r="C109" s="27" t="s">
        <v>962</v>
      </c>
      <c r="D109" s="17"/>
      <c r="E109" s="29" t="str">
        <f>IFERROR(VLOOKUP(C109,기출문제!D:G,3,0),"")</f>
        <v>87. 산업재해보상보험법령상 보험급여에 관한 내용으로 옳지 않은 것은?
① 장해보상연금의 수급권자가 재요양을 받는 경우에도 그 연금의 지급을 정지하지 아니한다.
② 진폐유족연금의 지급은 그 지급사유가 발생한 달의 다음 달 첫날부터 시작된다.
③ 유족보상연금 수급자격자인 손자녀가 25세가 된 때에는 그 자격을 잃는다.
④ 요양급여를 받는 근로자가 요양을 시작한 지 1년이 지난 이후에 취업하지 못하면 휴업급여 대신 상병보상연금을 그 근로자에게 지급한다.
⑤ 장해보상연금은 그 지급을 정지할 사유가 발생한 때에는 그 사유가 발생한 달의 다음 달 첫날부터 그 사유가 소멸한 달의 말일까지 지급하지 아니한다.</v>
      </c>
      <c r="F109" s="30">
        <f>IFERROR(VLOOKUP(C109,기출문제!D:G,4,0),"")</f>
        <v>4</v>
      </c>
      <c r="G109" s="31" t="str">
        <f t="shared" si="1"/>
        <v/>
      </c>
      <c r="J109" s="23"/>
    </row>
    <row r="110" spans="2:10" s="21" customFormat="1" ht="156.75" x14ac:dyDescent="0.3">
      <c r="B110" s="17">
        <v>103</v>
      </c>
      <c r="C110" s="27" t="s">
        <v>963</v>
      </c>
      <c r="D110" s="17"/>
      <c r="E110" s="29" t="str">
        <f>IFERROR(VLOOKUP(C110,기출문제!D:G,3,0),"")</f>
        <v>88. 산업재해보상보험법령상 진폐에 따른 보험급여의 종류에 해당하는 것을 모두 고른 것은?
ㄱ. 요양급여
ㄴ. 휴업급여
ㄷ. 장해급여
ㄹ. 간병급여
ㅁ. 유족급여
① ㄱ, ㄹ
② ㄱ, ㄴ, ㅁ
③ ㄴ, ㄹ, ㅁ
④ ㄴ, ㄷ, ㄹ, ㅁ
⑤ ㄱ, ㄴ, ㄷ, ㄹ, ㅁ</v>
      </c>
      <c r="F110" s="30">
        <f>IFERROR(VLOOKUP(C110,기출문제!D:G,4,0),"")</f>
        <v>1</v>
      </c>
      <c r="G110" s="31" t="str">
        <f t="shared" si="1"/>
        <v/>
      </c>
      <c r="J110" s="23"/>
    </row>
    <row r="111" spans="2:10" s="21" customFormat="1" ht="85.5" x14ac:dyDescent="0.3">
      <c r="B111" s="17">
        <v>104</v>
      </c>
      <c r="C111" s="27" t="s">
        <v>964</v>
      </c>
      <c r="D111" s="17"/>
      <c r="E111" s="29" t="str">
        <f>IFERROR(VLOOKUP(C111,기출문제!D:G,3,0),"")</f>
        <v>89. 산업재해보상보험법령상 과태료 부과 대상이 되는 자는?
① 근로복지공단의 임직원이나 그 직에 있었던 사람이 그 직무상 알게 된 비밀을 누설한 자
② 산재보험 의료기관의 종사자로서 거짓이나 그 밖의 부정한 방법으로 진료비를 지급받은 자
③ 거짓이나 그 밖의 부정한 방법으로 보험급여를 받도록 시키거나 도와준 자
④ 근로복지공단이 아닌 자가 근로복지공단과 비슷한 명칭을 사용한 자
⑤ 근로자가 보험급여를 신청한 것을 이유로 근로자를 해고한 사업주</v>
      </c>
      <c r="F111" s="30">
        <f>IFERROR(VLOOKUP(C111,기출문제!D:G,4,0),"")</f>
        <v>4</v>
      </c>
      <c r="G111" s="31" t="str">
        <f t="shared" si="1"/>
        <v/>
      </c>
      <c r="J111" s="23"/>
    </row>
    <row r="112" spans="2:10" s="21" customFormat="1" ht="128.25" x14ac:dyDescent="0.3">
      <c r="B112" s="17">
        <v>105</v>
      </c>
      <c r="C112" s="27" t="s">
        <v>965</v>
      </c>
      <c r="D112" s="17"/>
      <c r="E112" s="29" t="str">
        <f>IFERROR(VLOOKUP(C112,기출문제!D:G,3,0),"")</f>
        <v>90. 산업재해보상보험법령상 간병 및 이송에 관한 내용으로 옳지 않은 것은?
① 요양 중인 근로자가 회복실에서 요양 중인 경우 그 기간에는 별도의 간병을 제공하지 않는다.
② 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
③ 해당 근로자의 13세 이상의 자녀 또는 형제자매도 간병을 할 수 있는 사람이다.
④ 간병의 대상이 되는 근로자의 부상・질병 상태 등이 전문적인 간병을 필요로 하는 경우에는 의료법에 따른 간호사만 간병을 하도록 할 수 있다.
⑤ 해당 근로자의 부상・질병 상태로 보아 이송 시 간호인의 동행이 필요하다고 인정되는 경우에는 간호인 1명이 동행할 수 있으나, 의학적으로 특별히 필요하다고 인정되는 경우에는 2명까지 동행할 수 있다.</v>
      </c>
      <c r="F112" s="30">
        <f>IFERROR(VLOOKUP(C112,기출문제!D:G,4,0),"")</f>
        <v>4</v>
      </c>
      <c r="G112" s="31" t="str">
        <f t="shared" si="1"/>
        <v/>
      </c>
      <c r="J112" s="23"/>
    </row>
    <row r="113" spans="2:10" s="21" customFormat="1" ht="114" x14ac:dyDescent="0.3">
      <c r="B113" s="17">
        <v>106</v>
      </c>
      <c r="C113" s="27" t="s">
        <v>966</v>
      </c>
      <c r="D113" s="17"/>
      <c r="E113" s="29" t="str">
        <f>IFERROR(VLOOKUP(C113,기출문제!D:G,3,0),"")</f>
        <v>91. 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
① 55
② 60
③ 65
④ 70
⑤ 75</v>
      </c>
      <c r="F113" s="30">
        <f>IFERROR(VLOOKUP(C113,기출문제!D:G,4,0),"")</f>
        <v>3</v>
      </c>
      <c r="G113" s="31" t="str">
        <f t="shared" si="1"/>
        <v/>
      </c>
      <c r="J113" s="23"/>
    </row>
    <row r="114" spans="2:10" s="21" customFormat="1" ht="85.5" x14ac:dyDescent="0.3">
      <c r="B114" s="17">
        <v>107</v>
      </c>
      <c r="C114" s="27" t="s">
        <v>967</v>
      </c>
      <c r="D114" s="17"/>
      <c r="E114" s="29" t="str">
        <f>IFERROR(VLOOKUP(C114,기출문제!D:G,3,0),"")</f>
        <v>92. 국민연금법령에 관한 내용으로 옳지 않은 것은?
① 국민기초생활 보장법에 따른 생계급여 수급자는 지역가입자에서 제외된다.
② 지역가입자가 국적을 상실한 때에는 그에 해당하게 된 날에 그 자격을 상실한다.
③ 지역가입자가 사업장가입자의 자격을 취득한 때에는 그에 해당하게 된 날에 그 자격을 상실한다.
④ 임의가입자는 가입 신청이 수리된 날에 자격을 취득한다.
⑤ 사립학교교직원 연금법을 적용받는 사립학교 교직원은 국민연금 가입대상에서 제외된다.</v>
      </c>
      <c r="F114" s="30">
        <f>IFERROR(VLOOKUP(C114,기출문제!D:G,4,0),"")</f>
        <v>2</v>
      </c>
      <c r="G114" s="31" t="str">
        <f t="shared" si="1"/>
        <v/>
      </c>
      <c r="J114" s="23"/>
    </row>
    <row r="115" spans="2:10" s="21" customFormat="1" ht="85.5" x14ac:dyDescent="0.3">
      <c r="B115" s="17">
        <v>108</v>
      </c>
      <c r="C115" s="27" t="s">
        <v>968</v>
      </c>
      <c r="D115" s="17"/>
      <c r="E115" s="29" t="str">
        <f>IFERROR(VLOOKUP(C115,기출문제!D:G,3,0),"")</f>
        <v>93. 국민건강보험법령상 일반건강검진의 대상이 아닌 자는?
① 직장가입자
② 6세 미만의 피부양자
③ 20세 이상인 지역가입자
④ 20세 이상인 피부양자
⑤ 세대주인 지역가입자</v>
      </c>
      <c r="F115" s="30">
        <f>IFERROR(VLOOKUP(C115,기출문제!D:G,4,0),"")</f>
        <v>2</v>
      </c>
      <c r="G115" s="31" t="str">
        <f t="shared" si="1"/>
        <v/>
      </c>
      <c r="J115" s="23"/>
    </row>
    <row r="116" spans="2:10" s="21" customFormat="1" ht="142.5" x14ac:dyDescent="0.3">
      <c r="B116" s="17">
        <v>109</v>
      </c>
      <c r="C116" s="27" t="s">
        <v>969</v>
      </c>
      <c r="D116" s="17"/>
      <c r="E116" s="29" t="str">
        <f>IFERROR(VLOOKUP(C116,기출문제!D:G,3,0),"")</f>
        <v>94. 국민건강보험법령상 보험가입자의 자격 상실 시기로 옳은 것을 모두 고른 것은?
ㄱ. 사망한 날
ㄴ. 국적을 잃은 날
ㄷ. 국내에 거주하지 아니하게 된 날
ㄹ. 직장가입자의 피부양자가 된 날
① ㄹ
② ㄱ, ㄷ
③ ㄱ, ㄴ, ㄷ
④ ㄴ, ㄷ, ㄹ
⑤ ㄱ, ㄴ, ㄷ, ㄹ</v>
      </c>
      <c r="F116" s="30">
        <f>IFERROR(VLOOKUP(C116,기출문제!D:G,4,0),"")</f>
        <v>1</v>
      </c>
      <c r="G116" s="31" t="str">
        <f t="shared" si="1"/>
        <v/>
      </c>
      <c r="J116" s="23"/>
    </row>
    <row r="117" spans="2:10" s="21" customFormat="1" ht="99.75" x14ac:dyDescent="0.3">
      <c r="B117" s="17">
        <v>110</v>
      </c>
      <c r="C117" s="27" t="s">
        <v>970</v>
      </c>
      <c r="D117" s="17"/>
      <c r="E117" s="29" t="str">
        <f>IFERROR(VLOOKUP(C117,기출문제!D:G,3,0),"")</f>
        <v>95. 고용보험 및 산업재해보상보험의 보험료 징수 등에 관한 법령상 보험료의 부과 및 징수에 관한 내용으로 옳은 것은?
① 건설업 중 건설장비운영업은 보험료의 월별 부과・징수 제외대상 사업에 해당한다.
② 임업 중 벌목업은 보험료의 월별 부과・징수 대상 사업에 해당한다.
③ 근로복지공단은 사업주에게 납부기한 20일 전까지 월별보험료의 납입을 고지하여야 한다.
④ 장애인고용촉진 및 직업재활법상 장애인인 보험가입자의 보험료는 근로복지공단이 매월 부과하고, 한국장애인고용공단이 이를 징수한다.
⑤ 제조업의 보험료는 근로복지공단이 매월 부과하고, 국민건강보험공단이 이를 징수한다.</v>
      </c>
      <c r="F117" s="30">
        <f>IFERROR(VLOOKUP(C117,기출문제!D:G,4,0),"")</f>
        <v>5</v>
      </c>
      <c r="G117" s="31" t="str">
        <f t="shared" si="1"/>
        <v/>
      </c>
      <c r="J117" s="23"/>
    </row>
    <row r="118" spans="2:10" s="21" customFormat="1" ht="128.25" x14ac:dyDescent="0.3">
      <c r="B118" s="17">
        <v>111</v>
      </c>
      <c r="C118" s="27" t="s">
        <v>971</v>
      </c>
      <c r="D118" s="17"/>
      <c r="E118" s="29" t="str">
        <f>IFERROR(VLOOKUP(C118,기출문제!D:G,3,0),"")</f>
        <v>96. 고용보험 및 산업재해보상보험의 보험료 징수 등에 관한 법령상 보험료의 납부 등에 관한 내용으로 옳지 않은 것은?
① 법인이 합병한 경우에 합병 후 존속하는 법인은 합병으로 소멸된 법인이 내야 하는 보험료를 낼 의무를 진다.
② 근로복지공단은 사업주가 국세를 체납하여 체납처분을 받은 경우에는 보험료와 이 법에 따른 징수금 총액이 300만원 미만이면 납부기한 전이라도 즉시 보험료를 징수하여야 한다.
③ 국민건강보험공단은 소멸시효가 완성된 경우에는 고용노동부장관의 승인을 받아 보험료와 이 법에 따른 그 밖의 징수금을 결손처분할 수 있다.
④ 공동사업에 관계되는 보험료, 이 법에 따른 그 밖의 징수금과 체납처분비는 공동사업자가 연대하여 낼 의무를 진다.
⑤ 상속이 개시된 때에 그 상속인은 피상속인에게 부과되거나 피상속인이 내야 하는 보험료를 상속받은 재산의 한도에서 낼 의무를 진다.</v>
      </c>
      <c r="F118" s="30">
        <f>IFERROR(VLOOKUP(C118,기출문제!D:G,4,0),"")</f>
        <v>2</v>
      </c>
      <c r="G118" s="31" t="str">
        <f t="shared" si="1"/>
        <v/>
      </c>
      <c r="J118" s="23"/>
    </row>
    <row r="119" spans="2:10" s="21" customFormat="1" ht="128.25" x14ac:dyDescent="0.3">
      <c r="B119" s="17">
        <v>112</v>
      </c>
      <c r="C119" s="27" t="s">
        <v>972</v>
      </c>
      <c r="D119" s="17"/>
      <c r="E119" s="29" t="str">
        <f>IFERROR(VLOOKUP(C119,기출문제!D:G,3,0),"")</f>
        <v>97. 고용보험 및 산업재해보상보험의 보험료 징수 등에 관한 법령상 보험관계의 성립일 또는 소멸일에 관한 내용으로 옳지 않은 것은?
① 사업이 폐업되거나 끝난 날의 다음 날에 소멸한다.
② 일괄적용을 받는 사업의 경우에는 처음 하는 사업이 시작된 날에 성립한다.
③ 근로복지공단이 계속하여 보험관계를 유지할 수 없다고 인정하여 그 보험관계를 소멸시키는 경우에는 그 소멸을 결정・통지한 날의 다음 날에 소멸한다.
④ 근로복지공단의 승인을 얻어 가입한 보험계약을 해지하는 경우에는 그 해지에 관하여 근로복지공단의 승인을 받은 날의 다음 날에 소멸한다.
⑤ 보험에 가입한 하수급인의 경우에는 그 하도급공사의 착공일의 다음 날에 성립한다.</v>
      </c>
      <c r="F119" s="30">
        <f>IFERROR(VLOOKUP(C119,기출문제!D:G,4,0),"")</f>
        <v>5</v>
      </c>
      <c r="G119" s="31" t="str">
        <f t="shared" si="1"/>
        <v/>
      </c>
      <c r="J119" s="23"/>
    </row>
    <row r="120" spans="2:10" s="21" customFormat="1" ht="156.75" x14ac:dyDescent="0.3">
      <c r="B120" s="17">
        <v>113</v>
      </c>
      <c r="C120" s="27" t="s">
        <v>973</v>
      </c>
      <c r="D120" s="17"/>
      <c r="E120" s="29" t="str">
        <f>IFERROR(VLOOKUP(C120,기출문제!D:G,3,0),"")</f>
        <v>98. 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
① ㄱ, ㄴ
② ㄴ, ㄷ
③ ㄱ, ㄴ, ㄹ
④ ㄱ, ㄷ, ㄹ
⑤ ㄱ, ㄴ, ㄷ, ㄹ</v>
      </c>
      <c r="F120" s="30">
        <f>IFERROR(VLOOKUP(C120,기출문제!D:G,4,0),"")</f>
        <v>5</v>
      </c>
      <c r="G120" s="31" t="str">
        <f t="shared" si="1"/>
        <v/>
      </c>
      <c r="J120" s="23"/>
    </row>
    <row r="121" spans="2:10" s="21" customFormat="1" ht="99.75" x14ac:dyDescent="0.3">
      <c r="B121" s="17">
        <v>114</v>
      </c>
      <c r="C121" s="27" t="s">
        <v>974</v>
      </c>
      <c r="D121" s="17"/>
      <c r="E121" s="29" t="str">
        <f>IFERROR(VLOOKUP(C121,기출문제!D:G,3,0),"")</f>
        <v>99. 고용보험 및 산업재해보상보험의 보험료 징수 등에 관한 법령상 국가・지방자치단체가 직접 하는 사업의 고용안정・직업능력개발사업의 보험료율은?
① 1만분의 25
② 1만분의 45
③ 1만분의 65
④ 1만분의 85
⑤ 1천분의 16</v>
      </c>
      <c r="F121" s="30">
        <f>IFERROR(VLOOKUP(C121,기출문제!D:G,4,0),"")</f>
        <v>4</v>
      </c>
      <c r="G121" s="31" t="str">
        <f t="shared" si="1"/>
        <v/>
      </c>
      <c r="J121" s="23"/>
    </row>
    <row r="122" spans="2:10" s="21" customFormat="1" ht="85.5" x14ac:dyDescent="0.3">
      <c r="B122" s="17">
        <v>115</v>
      </c>
      <c r="C122" s="27" t="s">
        <v>975</v>
      </c>
      <c r="D122" s="17"/>
      <c r="E122" s="29" t="str">
        <f>IFERROR(VLOOKUP(C122,기출문제!D:G,3,0),"")</f>
        <v>100. 고용보험 및 산업재해보상보험의 보험료 징수 등에 관한 법령상 소멸시효에 관한 내용을 옳지 않은 것은?
① 월별보험료의 고지로 중단된 소멸시효는 월별보험료를 고지한 날부터 새로 진행한다.
② 소멸시효에 관하여는 이 법에 규정된 것을 제외하고는 민법에 따른다.
③ 징수금의 독촉에 따라 중단된 소멸시효는 독촉에 의한 납부기한이 지난 때부터 새로 진행한다.
④ 이 법에 따른 그 밖의 징수금을 징수할 수 있는 권리는 3년간 행사하지 아니하면 시효로 인하여 소멸한다.
⑤ 이 법에 따른 체납처분 절차에 따라 하는 교부청구로 중단된 소멸시효는 교부청구중의 기간이 지난 때부터 새로 진행한다.</v>
      </c>
      <c r="F122" s="30">
        <f>IFERROR(VLOOKUP(C122,기출문제!D:G,4,0),"")</f>
        <v>1</v>
      </c>
      <c r="G122" s="31" t="str">
        <f t="shared" si="1"/>
        <v/>
      </c>
      <c r="J122" s="23"/>
    </row>
    <row r="123" spans="2:10" s="21" customFormat="1" ht="85.5" x14ac:dyDescent="0.3">
      <c r="B123" s="17">
        <v>116</v>
      </c>
      <c r="C123" s="27" t="s">
        <v>85</v>
      </c>
      <c r="D123" s="17"/>
      <c r="E123" s="29" t="str">
        <f>IFERROR(VLOOKUP(C123,기출문제!D:G,3,0),"")</f>
        <v>76. 사회보장기본법에 관한 설명으로 옳은 것은?
① 사회보장수급권은 다른 사람에게 양도하거나 담보로 제공할 수 있으며, 이를 압류할 수 있다.
② 국내에 거주하는 외국인에게 사회보장제도를 적용할 때에는 상호주의에 따르되, 관계법령에서 정하는 바에 따른다.
③ 사회보장수급권의 포기는 원칙적으로 취소할 수 없다.
④ 국가는 사회보장제도의 안정적인 운영을 위하여 중장기 사회보장 재정추계를 3년마다 실시한다.
⑤ 공공부조란 국민에게 발생하는 사회적 위험을 보험의 방식으로 대처함으로써 국민의 건강과 소득을 보장하는 제도를 말한다.</v>
      </c>
      <c r="F123" s="30">
        <f>IFERROR(VLOOKUP(C123,기출문제!D:G,4,0),"")</f>
        <v>2</v>
      </c>
      <c r="G123" s="31" t="str">
        <f t="shared" si="1"/>
        <v/>
      </c>
      <c r="J123" s="23"/>
    </row>
    <row r="124" spans="2:10" s="21" customFormat="1" ht="114" x14ac:dyDescent="0.3">
      <c r="B124" s="17">
        <v>117</v>
      </c>
      <c r="C124" s="27" t="s">
        <v>976</v>
      </c>
      <c r="D124" s="17"/>
      <c r="E124" s="29" t="str">
        <f>IFERROR(VLOOKUP(C124,기출문제!D:G,3,0),"")</f>
        <v>77. 사회보장기본법상 사회보장 기본계획에 관한 설명으로 옳지 않은 것은?
① 사회보장 기본계획은 사회보장위원회와 국무회의의 심의를 거쳐 확정된다.
② 다른 법령에 따라 수립되는 사회보장에 관한 계획은 사회보장 기본계획에 우선한다.
③ 보건복지부장관은 관계 중앙행정기관의 장과 협의하여 사회보장 증진을 위하여 사회보장에 관한 기본계획을 5년마다 수립하여야 한다.
④ 사회보장 기본계획에는 사회보장 전달체계가 포함되어야 한다.
⑤ 보건복지부장관 및 관계 중앙행정기관의 장은 사회보장 기본계획에 따라 사회보장과 관련된 소관 주요 시책의 시행계획을 매년 수립・시행하여야 한다.</v>
      </c>
      <c r="F124" s="30">
        <f>IFERROR(VLOOKUP(C124,기출문제!D:G,4,0),"")</f>
        <v>2</v>
      </c>
      <c r="G124" s="31" t="str">
        <f t="shared" si="1"/>
        <v/>
      </c>
      <c r="J124" s="23"/>
    </row>
    <row r="125" spans="2:10" s="21" customFormat="1" ht="85.5" x14ac:dyDescent="0.3">
      <c r="B125" s="17">
        <v>118</v>
      </c>
      <c r="C125" s="27" t="s">
        <v>977</v>
      </c>
      <c r="D125" s="17"/>
      <c r="E125" s="29" t="str">
        <f>IFERROR(VLOOKUP(C125,기출문제!D:G,3,0),"")</f>
        <v>78. 사회보장기본법령상 사회보장위원회에 관한 설명으로 옳지 않은 것은?
① 국무총리 소속으로 둔다.
② 부위원장은 기획재정부장관, 교육부장관 및 보건복지부장관이 된다.
③ 보궐위원의 임기는 전임자 임기의 남은 기간으로 한다.
④ 사무 처리를 위한 사무국은 보건복지부에 둔다.
⑤ 심의사항을 전문적으로 검토하기 위하여 전문위원회를 두며, 전문위원회에 분야별 실무위원회를 둔다.</v>
      </c>
      <c r="F125" s="30">
        <f>IFERROR(VLOOKUP(C125,기출문제!D:G,4,0),"")</f>
        <v>5</v>
      </c>
      <c r="G125" s="31" t="str">
        <f t="shared" si="1"/>
        <v/>
      </c>
      <c r="J125" s="23"/>
    </row>
    <row r="126" spans="2:10" s="21" customFormat="1" ht="128.25" x14ac:dyDescent="0.3">
      <c r="B126" s="17">
        <v>119</v>
      </c>
      <c r="C126" s="27" t="s">
        <v>978</v>
      </c>
      <c r="D126" s="17"/>
      <c r="E126" s="29" t="str">
        <f>IFERROR(VLOOKUP(C126,기출문제!D:G,3,0),"")</f>
        <v>79. 고용보험법상 구직급여에 관한 설명으로 옳지 않은 것은?
① 피보험 단위기간을 계산할 때, 최후로 피보험자격을 취득한 날 이전에 구직급여를 받은 사실이 있는 경우에는 그 구직급여와 관련된 피보험자격 상실일 이전의 피보험 단위기간은 산입한다.
② 최종 이직 당시 건설일용근로자였던 피보험자가 구직급여를 받으려는 경우에는 건설일용근로자로서 수급자격 인정신청일 이전 14일간 연속하여 근로내역이 없어야 한다.
③ 구직급여를 지급받으려는 자는 이직 후 지체없이 직업안정기관에 출석하여 실업을 신고하여야 한다.
④ 직업안정기관의 장은 필요하다고 인정하면 수급자격자의 실업인정대상기간 중의 취업사실에 대하여 조사할 수 있다.
⑤ 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v>
      </c>
      <c r="F126" s="30">
        <f>IFERROR(VLOOKUP(C126,기출문제!D:G,4,0),"")</f>
        <v>1</v>
      </c>
      <c r="G126" s="31" t="str">
        <f t="shared" si="1"/>
        <v/>
      </c>
      <c r="J126" s="23"/>
    </row>
    <row r="127" spans="2:10" s="21" customFormat="1" ht="142.5" x14ac:dyDescent="0.3">
      <c r="B127" s="17">
        <v>120</v>
      </c>
      <c r="C127" s="27" t="s">
        <v>979</v>
      </c>
      <c r="D127" s="17"/>
      <c r="E127" s="29" t="str">
        <f>IFERROR(VLOOKUP(C127,기출문제!D:G,3,0),"")</f>
        <v>80. 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
① 30
② 40
③ 50
④ 60
⑤ 70</v>
      </c>
      <c r="F127" s="30">
        <f>IFERROR(VLOOKUP(C127,기출문제!D:G,4,0),"")</f>
        <v>3</v>
      </c>
      <c r="G127" s="31" t="str">
        <f t="shared" si="1"/>
        <v/>
      </c>
      <c r="J127" s="23"/>
    </row>
    <row r="128" spans="2:10" s="21" customFormat="1" ht="85.5" x14ac:dyDescent="0.3">
      <c r="B128" s="17">
        <v>121</v>
      </c>
      <c r="C128" s="27" t="s">
        <v>980</v>
      </c>
      <c r="D128" s="17"/>
      <c r="E128" s="29" t="str">
        <f>IFERROR(VLOOKUP(C128,기출문제!D:G,3,0),"")</f>
        <v>81. 고용보험법령상 육아휴직 급여 신청기간의 연장 사유가 아닌 것은?
① 천재지변
② 배우자의 질병・부상
③ 「병역법」에 따른 의무복무
④ 범죄혐의로 인한 구속
⑤ 배우자의 국외발령 등에 따른 동거 목적의 거소 이전</v>
      </c>
      <c r="F128" s="30">
        <f>IFERROR(VLOOKUP(C128,기출문제!D:G,4,0),"")</f>
        <v>5</v>
      </c>
      <c r="G128" s="31" t="str">
        <f t="shared" si="1"/>
        <v/>
      </c>
      <c r="J128" s="23"/>
    </row>
    <row r="129" spans="2:10" s="21" customFormat="1" ht="85.5" x14ac:dyDescent="0.3">
      <c r="B129" s="17">
        <v>122</v>
      </c>
      <c r="C129" s="27" t="s">
        <v>981</v>
      </c>
      <c r="D129" s="17"/>
      <c r="E129" s="29" t="str">
        <f>IFERROR(VLOOKUP(C129,기출문제!D:G,3,0),"")</f>
        <v>82. 고용보험법상의 취업촉진 수당에 해당하지 않는 것은?
① 이주비
② 직업능력개발 수당
③ 구직급여
④ 광역 구직활동비
⑤ 조기(早期)재취업 수당</v>
      </c>
      <c r="F129" s="30">
        <f>IFERROR(VLOOKUP(C129,기출문제!D:G,4,0),"")</f>
        <v>3</v>
      </c>
      <c r="G129" s="31" t="str">
        <f t="shared" si="1"/>
        <v/>
      </c>
      <c r="J129" s="23"/>
    </row>
    <row r="130" spans="2:10" s="21" customFormat="1" ht="85.5" x14ac:dyDescent="0.3">
      <c r="B130" s="17">
        <v>123</v>
      </c>
      <c r="C130" s="27" t="s">
        <v>982</v>
      </c>
      <c r="D130" s="17"/>
      <c r="E130" s="29" t="str">
        <f>IFERROR(VLOOKUP(C130,기출문제!D:G,3,0),"")</f>
        <v>83. 고용보험법상 고용보험위원회에 관한 설명으로 옳은 것은?
① 근로복지공단에 고용보험위원회를 둔다.
② 심의 사항을 사전에 검토・조정하기 위하여 실무위원회를 둔다.
③ 위원장 1명을 포함한 15명 이내의 위원으로 구성한다.
④ 위원장은 고용노동부장관이 된다.
⑤ 심의 사항에는 보험제도 및 보험사업의 개선에 관한 사항이 포함된다.</v>
      </c>
      <c r="F130" s="30">
        <f>IFERROR(VLOOKUP(C130,기출문제!D:G,4,0),"")</f>
        <v>5</v>
      </c>
      <c r="G130" s="31" t="str">
        <f t="shared" si="1"/>
        <v/>
      </c>
      <c r="J130" s="23"/>
    </row>
    <row r="131" spans="2:10" s="21" customFormat="1" ht="128.25" x14ac:dyDescent="0.3">
      <c r="B131" s="17">
        <v>124</v>
      </c>
      <c r="C131" s="27" t="s">
        <v>983</v>
      </c>
      <c r="D131" s="17"/>
      <c r="E131" s="29" t="str">
        <f>IFERROR(VLOOKUP(C131,기출문제!D:G,3,0),"")</f>
        <v>84. 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
① ㄱ
② ㄱ, ㄴ
③ ㄱ, ㄷ
④ ㄴ, ㄷ
⑤ ㄱ, ㄴ, ㄷ</v>
      </c>
      <c r="F131" s="30">
        <f>IFERROR(VLOOKUP(C131,기출문제!D:G,4,0),"")</f>
        <v>4</v>
      </c>
      <c r="G131" s="31" t="str">
        <f t="shared" si="1"/>
        <v/>
      </c>
      <c r="J131" s="23"/>
    </row>
    <row r="132" spans="2:10" s="21" customFormat="1" ht="114" x14ac:dyDescent="0.3">
      <c r="B132" s="17">
        <v>125</v>
      </c>
      <c r="C132" s="27" t="s">
        <v>984</v>
      </c>
      <c r="D132" s="17"/>
      <c r="E132" s="29" t="str">
        <f>IFERROR(VLOOKUP(C132,기출문제!D:G,3,0),"")</f>
        <v>85. 고용보험법령상 구직급여와 관련한 내용이다. ( )에 들어갈 내용으로 옳은 것은?
○ 훈련연장급여의 지급 기간은 (ㄱ) 년을 한도로 한다.
○ 개별연장급여는 (ㄴ)일의 범위에서 대통령령으로 정하는 기간 동안 지급한다.
① ㄱ: 1, ㄴ: 60
② ㄱ: 1, ㄴ: 90
③ ㄱ: 2, ㄴ: 60
④ ㄱ: 2, ㄴ: 90
⑤ ㄱ: 3, ㄴ: 60</v>
      </c>
      <c r="F132" s="30">
        <f>IFERROR(VLOOKUP(C132,기출문제!D:G,4,0),"")</f>
        <v>3</v>
      </c>
      <c r="G132" s="31" t="str">
        <f t="shared" si="1"/>
        <v/>
      </c>
      <c r="J132" s="23"/>
    </row>
    <row r="133" spans="2:10" s="21" customFormat="1" ht="85.5" x14ac:dyDescent="0.3">
      <c r="B133" s="17">
        <v>126</v>
      </c>
      <c r="C133" s="27" t="s">
        <v>985</v>
      </c>
      <c r="D133" s="17"/>
      <c r="E133" s="29" t="str">
        <f>IFERROR(VLOOKUP(C133,기출문제!D:G,3,0),"")</f>
        <v>86. 산업재해보상보험법상 심사청구 및 재심사청구에 관한 설명으로 옳은 것은? 
① 재심사위원회의 재결은 근로복지공단을 기속하지 아니한다.
② 재심사위원회 위원(당연직위원은 제외)의 임기는 2년으로 하되 연임할 수 없다.
③ 보험급여에 관한 결정에 대해서는 「행정심판법」에 따른 행정심판을 제기할 수 있다.
④ 재심사위원회의 위원장 및 위원은 고용노동부장관이 임명한다.
⑤ 재심사 청구의 제기는 시효의 중단에 관하여 「민법」 제168조에 따른 재판상의 청구로 본다.</v>
      </c>
      <c r="F133" s="30">
        <f>IFERROR(VLOOKUP(C133,기출문제!D:G,4,0),"")</f>
        <v>5</v>
      </c>
      <c r="G133" s="31" t="str">
        <f t="shared" si="1"/>
        <v/>
      </c>
      <c r="J133" s="23"/>
    </row>
    <row r="134" spans="2:10" s="21" customFormat="1" ht="114" x14ac:dyDescent="0.3">
      <c r="B134" s="17">
        <v>127</v>
      </c>
      <c r="C134" s="27" t="s">
        <v>986</v>
      </c>
      <c r="D134" s="17"/>
      <c r="E134" s="29" t="str">
        <f>IFERROR(VLOOKUP(C134,기출문제!D:G,3,0),"")</f>
        <v>87. 산업재해보상보험법상 진폐에 따른 보험급여의 특례에 관한 설명으로 옳지 않은 것은?
① 고용노동부에 진폐심사회의를 둔다.
② 진폐보상연금은 진폐장해등급별 진폐장해연금과 기초연금을 합산한 금액으로 한다.
③ 진폐유족연금은 사망 당시 진폐근로자에게 지급하고 있거나 지급하기로 결정된 진폐보상연금과 같은 금액으로 하되 유족보상연금을 초과할 수 없다.
④ 근로복지공단은 근로자가 진폐에 대한 요양급여를 청구하면 「진폐의 예방과 진폐근로자의 보호 등에 관한 법률」에 따른 건강진단기관에 진폐판정에 필요한 진단을 의뢰하여야 한다.
⑤ 장해보상연금을 받고 있는 사람에게는 진폐에 대한 진단을 받는 경우 진단수당을 지급하지 아니한다.</v>
      </c>
      <c r="F134" s="30">
        <f>IFERROR(VLOOKUP(C134,기출문제!D:G,4,0),"")</f>
        <v>1</v>
      </c>
      <c r="G134" s="31" t="str">
        <f t="shared" si="1"/>
        <v/>
      </c>
      <c r="J134" s="23"/>
    </row>
    <row r="135" spans="2:10" s="21" customFormat="1" ht="128.25" x14ac:dyDescent="0.3">
      <c r="B135" s="17">
        <v>128</v>
      </c>
      <c r="C135" s="27" t="s">
        <v>987</v>
      </c>
      <c r="D135" s="17"/>
      <c r="E135" s="29" t="str">
        <f>IFERROR(VLOOKUP(C135,기출문제!D:G,3,0),"")</f>
        <v>88. 산업재해보상보험법령상 휴업급여에 관한 설명으로 옳은 것은?
① 1일당 지급액은 평균임금의 100분의 70에 상당하는 금액으로 하며 취업하지 못한 기간이 5일 이내이면 지급하지 아니한다.
② 요양을 받고 있는 근로자가 그 요양기간 중 단시간 취업을 하는 경우에는 취업한 시간에 해당하는 그 근로자의 평균임금에서 취업한 시간에 대한 임금을 뺀 금액의 100분의 70에 상당하는 금액을 지급할 수 있다.
③ 휴업급여를 받는 근로자가 60세가 되면 그 이후의 휴업급여는 감액하여 지급한다.
④ 재요양을 받는 자에 대하여는 재요양 당시의 임금을 기준으로 산정한 평균임금의 100분의 90에 상당하는 금액을 1일당 휴업급여 지급액으로 한다.
⑤ 재요양을 받는 자에 대하여 산정한 1일당 휴업급여 지급액이 최저임금액보다 적으면 최저임금액을 1일당 휴업급여 지급액으로 한다.</v>
      </c>
      <c r="F135" s="30">
        <f>IFERROR(VLOOKUP(C135,기출문제!D:G,4,0),"")</f>
        <v>5</v>
      </c>
      <c r="G135" s="31" t="str">
        <f t="shared" si="1"/>
        <v/>
      </c>
      <c r="J135" s="23"/>
    </row>
    <row r="136" spans="2:10" s="21" customFormat="1" ht="142.5" x14ac:dyDescent="0.3">
      <c r="B136" s="17">
        <v>129</v>
      </c>
      <c r="C136" s="27" t="s">
        <v>988</v>
      </c>
      <c r="D136" s="17"/>
      <c r="E136" s="29" t="str">
        <f>IFERROR(VLOOKUP(C136,기출문제!D:G,3,0),"")</f>
        <v>89. 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
① ㄱ, ㄴ
② ㄴ, ㄷ
③ ㄱ, ㄴ, ㄹ
④ ㄱ, ㄷ, ㄹ
⑤ ㄴ, ㄷ, ㄹ</v>
      </c>
      <c r="F136" s="30">
        <f>IFERROR(VLOOKUP(C136,기출문제!D:G,4,0),"")</f>
        <v>3</v>
      </c>
      <c r="G136" s="31" t="str">
        <f t="shared" si="1"/>
        <v/>
      </c>
      <c r="J136" s="23"/>
    </row>
    <row r="137" spans="2:10" s="21" customFormat="1" ht="99.75" x14ac:dyDescent="0.3">
      <c r="B137" s="17">
        <v>130</v>
      </c>
      <c r="C137" s="27" t="s">
        <v>609</v>
      </c>
      <c r="D137" s="17"/>
      <c r="E137" s="29" t="str">
        <f>IFERROR(VLOOKUP(C137,기출문제!D:G,3,0),"")</f>
        <v>90. 산업재해보상보험법상 직업재활급여에 관한 설명으로 옳은 것은?
① 직업훈련비용은 직업훈련을 받은 자에게 지급한다.
② 직업훈련비용의 금액은 고용노동부장관이 훈련비용, 훈련기간 및 노동시장의 여건 등을 고려하여 고시하는 금액의 범위에서 실제 드는 비용으로 한다.
③ 직업훈련비용을 지급하는 훈련기간은 24개월 이내로 한다.
④ 직장적응훈련비 및 재활운동비의 지급기간은 6개월 이내로 한다.
⑤ 직업훈련수당의 1일당 지급액은 평균임금의 100분의 70에 상당하는 금액으로 한다.</v>
      </c>
      <c r="F137" s="30">
        <f>IFERROR(VLOOKUP(C137,기출문제!D:G,4,0),"")</f>
        <v>2</v>
      </c>
      <c r="G137" s="31" t="str">
        <f t="shared" ref="G137:G200" si="2">IF(D137="","",IF(D137=F137,"O", "X"))</f>
        <v/>
      </c>
      <c r="J137" s="23"/>
    </row>
    <row r="138" spans="2:10" s="21" customFormat="1" ht="85.5" x14ac:dyDescent="0.3">
      <c r="B138" s="17">
        <v>131</v>
      </c>
      <c r="C138" s="27" t="s">
        <v>989</v>
      </c>
      <c r="D138" s="17"/>
      <c r="E138" s="29" t="str">
        <f>IFERROR(VLOOKUP(C138,기출문제!D:G,3,0),"")</f>
        <v>91. 산업재해보상보험법상 보험급여의 일시 중지를 할 수 있는 사유가 아닌 것은?
① 질문이나 조사에 응하지 아니하는 경우
② 보고・서류제출 또는 신고를 하지 아니하는 경우
③ 거짓이나 그 밖의 부정한 방법으로 진료비나 약제비를 지급받은 경우
④ 진찰 요구에 따르지 아니하는 경우
⑤ 근로복지공단이 직권으로 실시하는 장해등급 또는 진폐장해등급 재판정 요구에 응하지 아니하는 경우</v>
      </c>
      <c r="F138" s="30">
        <f>IFERROR(VLOOKUP(C138,기출문제!D:G,4,0),"")</f>
        <v>3</v>
      </c>
      <c r="G138" s="31" t="str">
        <f t="shared" si="2"/>
        <v/>
      </c>
      <c r="J138" s="23"/>
    </row>
    <row r="139" spans="2:10" s="21" customFormat="1" ht="85.5" x14ac:dyDescent="0.3">
      <c r="B139" s="17">
        <v>132</v>
      </c>
      <c r="C139" s="27" t="s">
        <v>990</v>
      </c>
      <c r="D139" s="17"/>
      <c r="E139" s="29" t="str">
        <f>IFERROR(VLOOKUP(C139,기출문제!D:G,3,0),"")</f>
        <v>92. 국민연금법상 가입자 자격의 상실 시기가 옳지 않은 것은?
① 사업장가입자의 경우 사용관계가 끝난 날
② 지역가입자의 경우 사망한 날의 다음 날
③ 지역가입자의 경우 국민연금가입 대상 제외자에 해당하게 된 날
④ 임의가입자의 경우 사업장 가입자의 자격을 취득한 날
⑤ 임의가입자의 경우 60세가 된 날의 다음 날</v>
      </c>
      <c r="F139" s="30">
        <f>IFERROR(VLOOKUP(C139,기출문제!D:G,4,0),"")</f>
        <v>1</v>
      </c>
      <c r="G139" s="31" t="str">
        <f t="shared" si="2"/>
        <v/>
      </c>
      <c r="J139" s="23"/>
    </row>
    <row r="140" spans="2:10" s="21" customFormat="1" ht="85.5" x14ac:dyDescent="0.3">
      <c r="B140" s="17">
        <v>133</v>
      </c>
      <c r="C140" s="27" t="s">
        <v>991</v>
      </c>
      <c r="D140" s="17"/>
      <c r="E140" s="29" t="str">
        <f>IFERROR(VLOOKUP(C140,기출문제!D:G,3,0),"")</f>
        <v>93. 국민연금법상 급여에 관한 설명으로 옳지 않은 것은?
① 급여의 종류는 노령연금, 장애연금, 유족연금, 반환일시금이 있다.
② 급여는 수급권자의 청구에 따라 국민연금공단이 지급한다.
③ 연금액은 지급사유에 따라 기본연금액과 부양가족연금액을 기초로 산정한다.
④ 연금은 매월 25일에 그 달의 금액을 지급하되, 지급일이 공휴일이면 그 다음날에 지급한다.
⑤ 급여수급전용계좌에 입금된 급여와 이에 관한 채권은 압류할 수 없다.</v>
      </c>
      <c r="F140" s="30">
        <f>IFERROR(VLOOKUP(C140,기출문제!D:G,4,0),"")</f>
        <v>4</v>
      </c>
      <c r="G140" s="31" t="str">
        <f t="shared" si="2"/>
        <v/>
      </c>
      <c r="J140" s="23"/>
    </row>
    <row r="141" spans="2:10" s="21" customFormat="1" ht="128.25" x14ac:dyDescent="0.3">
      <c r="B141" s="17">
        <v>134</v>
      </c>
      <c r="C141" s="27" t="s">
        <v>992</v>
      </c>
      <c r="D141" s="17"/>
      <c r="E141" s="29" t="str">
        <f>IFERROR(VLOOKUP(C141,기출문제!D:G,3,0),"")</f>
        <v>94. 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
① ㄴ
② ㄱ, ㄴ
③ ㄱ, ㄷ
④ ㄴ, ㄷ
⑤ ㄱ, ㄴ, ㄷ</v>
      </c>
      <c r="F141" s="30">
        <f>IFERROR(VLOOKUP(C141,기출문제!D:G,4,0),"")</f>
        <v>3</v>
      </c>
      <c r="G141" s="31" t="str">
        <f t="shared" si="2"/>
        <v/>
      </c>
      <c r="J141" s="23"/>
    </row>
    <row r="142" spans="2:10" s="21" customFormat="1" ht="85.5" x14ac:dyDescent="0.3">
      <c r="B142" s="17">
        <v>135</v>
      </c>
      <c r="C142" s="27" t="s">
        <v>993</v>
      </c>
      <c r="D142" s="17"/>
      <c r="E142" s="29" t="str">
        <f>IFERROR(VLOOKUP(C142,기출문제!D:G,3,0),"")</f>
        <v>95. 국민건강보험법상의 요양급여가 아닌 것은?
① 입원
② 이송
③ 상병수당
④ 예방・재활
⑤ 약제・치료재료의 지급</v>
      </c>
      <c r="F142" s="30">
        <f>IFERROR(VLOOKUP(C142,기출문제!D:G,4,0),"")</f>
        <v>3</v>
      </c>
      <c r="G142" s="31" t="str">
        <f t="shared" si="2"/>
        <v/>
      </c>
      <c r="J142" s="23"/>
    </row>
    <row r="143" spans="2:10" s="21" customFormat="1" ht="142.5" x14ac:dyDescent="0.3">
      <c r="B143" s="17">
        <v>136</v>
      </c>
      <c r="C143" s="27" t="s">
        <v>994</v>
      </c>
      <c r="D143" s="17"/>
      <c r="E143" s="29" t="str">
        <f>IFERROR(VLOOKUP(C143,기출문제!D:G,3,0),"")</f>
        <v>96. 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
① ㄱ: 7, ㄴ: 1
② ㄱ: 7, ㄴ: 3
③ ㄱ: 10, ㄴ: 1
④ ㄱ: 10, ㄴ: 3
⑤ ㄱ: 14, ㄴ: 1</v>
      </c>
      <c r="F143" s="30">
        <f>IFERROR(VLOOKUP(C143,기출문제!D:G,4,0),"")</f>
        <v>4</v>
      </c>
      <c r="G143" s="31" t="str">
        <f t="shared" si="2"/>
        <v/>
      </c>
      <c r="J143" s="23"/>
    </row>
    <row r="144" spans="2:10" s="21" customFormat="1" ht="171" x14ac:dyDescent="0.3">
      <c r="B144" s="17">
        <v>137</v>
      </c>
      <c r="C144" s="27" t="s">
        <v>995</v>
      </c>
      <c r="D144" s="17"/>
      <c r="E144" s="29" t="str">
        <f>IFERROR(VLOOKUP(C144,기출문제!D:G,3,0),"")</f>
        <v>97. 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
① ㄱ: 2, ㄴ: 20
② ㄱ: 2, ㄴ: 30
③ ㄱ: 3, ㄴ: 15
④ ㄱ: 3, ㄴ: 20
⑤ ㄱ: 3, ㄴ: 30</v>
      </c>
      <c r="F144" s="30">
        <f>IFERROR(VLOOKUP(C144,기출문제!D:G,4,0),"")</f>
        <v>4</v>
      </c>
      <c r="G144" s="31" t="str">
        <f t="shared" si="2"/>
        <v/>
      </c>
      <c r="J144" s="23"/>
    </row>
    <row r="145" spans="2:10" s="21" customFormat="1" ht="171" x14ac:dyDescent="0.3">
      <c r="B145" s="17">
        <v>138</v>
      </c>
      <c r="C145" s="27" t="s">
        <v>996</v>
      </c>
      <c r="D145" s="17"/>
      <c r="E145" s="29" t="str">
        <f>IFERROR(VLOOKUP(C145,기출문제!D:G,3,0),"")</f>
        <v>98. 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
① ㄱ
② ㄱ, ㄴ
③ ㄱ, ㄷ
④ ㄴ, ㄷ
⑤ ㄱ, ㄴ, ㄷ</v>
      </c>
      <c r="F145" s="30">
        <f>IFERROR(VLOOKUP(C145,기출문제!D:G,4,0),"")</f>
        <v>2</v>
      </c>
      <c r="G145" s="31" t="str">
        <f t="shared" si="2"/>
        <v/>
      </c>
      <c r="J145" s="23"/>
    </row>
    <row r="146" spans="2:10" s="21" customFormat="1" ht="128.25" x14ac:dyDescent="0.3">
      <c r="B146" s="17">
        <v>139</v>
      </c>
      <c r="C146" s="27" t="s">
        <v>997</v>
      </c>
      <c r="D146" s="17"/>
      <c r="E146" s="29" t="str">
        <f>IFERROR(VLOOKUP(C146,기출문제!D:G,3,0),"")</f>
        <v>99. 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
① ㄱ: 1, ㄴ: 1천분의 1, ㄷ : 1천분의 30
② ㄱ: 1, ㄴ: 6천분의 1, ㄷ : 1천분의 50
③ ㄱ: 1, ㄴ: 1천분의 1, ㄷ : 1천분의 90
④ ㄱ: 7, ㄴ: 1천분의 1, ㄷ : 1천분의 30
⑤ ㄱ: 7, ㄴ: 6천분의 1, ㄷ : 1천분의 90</v>
      </c>
      <c r="F146" s="30">
        <f>IFERROR(VLOOKUP(C146,기출문제!D:G,4,0),"")</f>
        <v>2</v>
      </c>
      <c r="G146" s="31" t="str">
        <f t="shared" si="2"/>
        <v/>
      </c>
      <c r="J146" s="23"/>
    </row>
    <row r="147" spans="2:10" s="21" customFormat="1" ht="128.25" x14ac:dyDescent="0.3">
      <c r="B147" s="17">
        <v>140</v>
      </c>
      <c r="C147" s="27" t="s">
        <v>998</v>
      </c>
      <c r="D147" s="17"/>
      <c r="E147" s="29" t="str">
        <f>IFERROR(VLOOKUP(C147,기출문제!D:G,3,0),"")</f>
        <v>100. 고용보험 및 산업재해보상보험의 보험료징수 등에 관한 법령상 보수총액 등의 신고와 관련한 내용으로 옳지 않은 것은?
① 보수총액신고는 문서로 함을 원칙으로 한다.
② 사업주는 근로자가 다른 사업장으로 전보되는 등 대통령령으로 정하는 사유가 발생한 때에는 그 사유 발생일부터 14일 이내에 그 사실을 근로복지공단에 신고하여야 한다.
③ 사업주는 사업의 폐지 등으로 보험관계가 소멸한 때에는 그 보험관계가 소멸한 날부터 14일 이내에 근로자에게 지급한 보수총액 등을 근로복지공단에 신고하여야 한다.
④ 사업주는 전년도에 근로자에게 지급한 보수총액 등을 매년 3월 15일까지 근로복지공단에 신고하여야 한다.
⑤ 사업주는 근로자와 고용관계를 종료한 때에는 그 근로자에게 지급한 보수총액, 고용관계 종료일 등을 그 근로자의 고용관계가 종료한 날이 속하는 달의 다음 달 15일까지 근로복지공단에 신고하여야 한다.</v>
      </c>
      <c r="F147" s="30">
        <f>IFERROR(VLOOKUP(C147,기출문제!D:G,4,0),"")</f>
        <v>1</v>
      </c>
      <c r="G147" s="31" t="str">
        <f t="shared" si="2"/>
        <v/>
      </c>
      <c r="J147" s="23"/>
    </row>
    <row r="148" spans="2:10" s="21" customFormat="1" ht="128.25" x14ac:dyDescent="0.3">
      <c r="B148" s="17">
        <v>141</v>
      </c>
      <c r="C148" s="27" t="s">
        <v>121</v>
      </c>
      <c r="D148" s="17"/>
      <c r="E148" s="29" t="str">
        <f>IFERROR(VLOOKUP(C148,기출문제!D:G,3,0),"")</f>
        <v>76. 사회보장기본법령상 사회보장제도의 운영에 관한 설명으로 옳지 않은 것은?
① 사회보험은 국가와 지방자치단체의 책임으로 시행하고, 공공부조와 사회서비스는 국가의 책임으로 시행하는 것을 원칙으로 한다.
② 국가와 지방자치단체는 효과적인 사회보장정책의 수립・시행을 위하여 사회보장에 관한 통계를 작성・관리하여야 한다.
③ 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
④ 보건복지부장관은 사회서비스의 품질기준 마련, 평가 및 개선 등의 업무를 수행하기 위하여 필요한 전담기구를 설치할 수 있다.
⑤ 국가와 지방자치단체는 개인・법인 또는 단체가 사회보장에 참여하는 데에 드는 경비의 전부 또는 일부를 지원하거나 그 업무를 수행하기 위하여 필요한 지원을 할 수 있다.</v>
      </c>
      <c r="F148" s="30">
        <f>IFERROR(VLOOKUP(C148,기출문제!D:G,4,0),"")</f>
        <v>1</v>
      </c>
      <c r="G148" s="31" t="str">
        <f t="shared" si="2"/>
        <v/>
      </c>
      <c r="J148" s="23"/>
    </row>
    <row r="149" spans="2:10" s="21" customFormat="1" ht="99.75" x14ac:dyDescent="0.3">
      <c r="B149" s="17">
        <v>142</v>
      </c>
      <c r="C149" s="27" t="s">
        <v>999</v>
      </c>
      <c r="D149" s="17"/>
      <c r="E149" s="29" t="str">
        <f>IFERROR(VLOOKUP(C149,기출문제!D:G,3,0),"")</f>
        <v>77. 사회보장기본법령상 사회보장 비용의 부담에 관한 설명으로 옳지 않은 것은?
① 사회보장 비용의 부담은 각각의 사회보장제도의 목적에 따라 국가, 지방자치단체 및 민간부문 간에 합리적으로 조정되어야 한다.
② 사회보험에 드는 비용은 사용자, 피용자 및 자영업자가 부담하는 것을 원칙으로 한다.
③ 부담 능력이 있는 국민에 대한 사회서비스에 드는 비용은 그 수익자가 부담함을 원칙으로 한다.
④ 공공부조에 드는 비용은 수익자가 부담함을 원칙으로 한다.
⑤ 공공부조 및 관계 법령에서 정하는 일정 소득 수준 이하의 국민에 대한 사회서비스에 드는 비용의 전부 또는 일부는 국가와 지방자치단체가 부담한다.</v>
      </c>
      <c r="F149" s="30">
        <f>IFERROR(VLOOKUP(C149,기출문제!D:G,4,0),"")</f>
        <v>4</v>
      </c>
      <c r="G149" s="31" t="str">
        <f t="shared" si="2"/>
        <v/>
      </c>
      <c r="J149" s="23"/>
    </row>
    <row r="150" spans="2:10" s="21" customFormat="1" ht="99.75" x14ac:dyDescent="0.3">
      <c r="B150" s="17">
        <v>143</v>
      </c>
      <c r="C150" s="27" t="s">
        <v>1000</v>
      </c>
      <c r="D150" s="17"/>
      <c r="E150" s="29" t="str">
        <f>IFERROR(VLOOKUP(C150,기출문제!D:G,3,0),"")</f>
        <v>78. 사회보험 관련법령의 적용에 관한 내용으로 옳지 않은 것은?
① 사립학교교직원 연금법의 적용을 받는 자에게는 고용보험법을 적용하지 아니한다.
② 1개월 미만 동안 고용된 일용근로자는 고용보험법의 적용이 제외되는 근로자이다.
③ 국민연금에 가입된 사업장에 종사하는 18세 미만 근로자는 사업장가입자가 되는 것으로 보나, 본인이 원하지 아니하면 사업장가입자가 되지 아니할 수 있다.
④ 비상근 근로자는 국민건강보험법의 직장가입자에서 제외된다.
⑤ 1개월 동안의 소정근로시간이 60시간 미만인 단시간근로자는 국민건강보험법의 직장가입자에서 제외된다.</v>
      </c>
      <c r="F150" s="30">
        <f>IFERROR(VLOOKUP(C150,기출문제!D:G,4,0),"")</f>
        <v>2</v>
      </c>
      <c r="G150" s="31" t="str">
        <f t="shared" si="2"/>
        <v/>
      </c>
      <c r="J150" s="23"/>
    </row>
    <row r="151" spans="2:10" s="21" customFormat="1" ht="99.75" x14ac:dyDescent="0.3">
      <c r="B151" s="17">
        <v>144</v>
      </c>
      <c r="C151" s="27" t="s">
        <v>1001</v>
      </c>
      <c r="D151" s="17"/>
      <c r="E151" s="29" t="str">
        <f>IFERROR(VLOOKUP(C151,기출문제!D:G,3,0),"")</f>
        <v>79. 사회보장기본법령상 사회보장수급권에 관한 설명으로 옳지 않은 것은?
① 사회보장수급권은 관계 법령에서 정하는 바에 따라 다른 사람에게 양도하거나 담보로 제공할 수 없다.
② 사회보장수급권은 제한되거나 정지될 수 없으나, 관계 법령에서 따로 정하고 있는 경우에는 그러하지 아니하다.
③ 사회보장수급권이 정지되는 경우에는 정지하는 목적에 필요한 최소한의 범위에 그쳐야 한다.
④ 사회보장수급권은 포기할 수 있으나 포기한 후에는 이를 취소할 수 없다.
⑤ 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v>
      </c>
      <c r="F151" s="30">
        <f>IFERROR(VLOOKUP(C151,기출문제!D:G,4,0),"")</f>
        <v>4</v>
      </c>
      <c r="G151" s="31" t="str">
        <f t="shared" si="2"/>
        <v/>
      </c>
      <c r="J151" s="23"/>
    </row>
    <row r="152" spans="2:10" s="21" customFormat="1" ht="99.75" x14ac:dyDescent="0.3">
      <c r="B152" s="17">
        <v>145</v>
      </c>
      <c r="C152" s="27" t="s">
        <v>1002</v>
      </c>
      <c r="D152" s="17"/>
      <c r="E152" s="29" t="str">
        <f>IFERROR(VLOOKUP(C152,기출문제!D:G,3,0),"")</f>
        <v>80. 고용보험법령의 내용으로 옳지 않은 것은?
① 국민기초생활 보장법에 따라 자활을 위한 근로기회를 제공하기 위한 사업은 고용보험법의 적용을 받는 사업으로 본다.
② 국가는 매년 고용보험사업에 드는 비용의 일부를 일반회계에서 부담하여야 한다.
③ 피보험자가 사망한 경우에는 사망한 날에 그 피보험자격을 상실한다.
④ 고용보험법에 따른 보험관계의 성립 및 소멸에 대하여는 고용보험 및 산업재해보상보험의 보험료징수 등에 관한 법률로 정하는 바에 따른다.
⑤ 구직급여는 수급자격자가 실업한 상태에 있는 날 중에서 직업안정기관의 장으로부터 실업의 인정을 받은 날에 대하여 지급한다.</v>
      </c>
      <c r="F152" s="30">
        <f>IFERROR(VLOOKUP(C152,기출문제!D:G,4,0),"")</f>
        <v>3</v>
      </c>
      <c r="G152" s="31" t="str">
        <f t="shared" si="2"/>
        <v/>
      </c>
      <c r="J152" s="23"/>
    </row>
    <row r="153" spans="2:10" s="21" customFormat="1" ht="85.5" x14ac:dyDescent="0.3">
      <c r="B153" s="17">
        <v>146</v>
      </c>
      <c r="C153" s="27" t="s">
        <v>1003</v>
      </c>
      <c r="D153" s="17"/>
      <c r="E153" s="29" t="str">
        <f>IFERROR(VLOOKUP(C153,기출문제!D:G,3,0),"")</f>
        <v>81. 고용보험법령상 폐업한 자영업자인 피보험자의 구직급여 수급 요건으로 옳지 않은 것은?
① 법령을 위반하여 허가 취소를 받음에 따라 폐업한 경우가 아니어야 한다.
② 폐업일 이전 18개월간 자영업자인 피보험자로서 갖춘 피보험 단위기간이 통산하여 180일 이상이어야 한다.
③ 법령을 위반하여 영업 정지를 받음에 따라 폐업한 경우가 아니어야 한다.
④ 재취업을 위한 노력을 적극적으로 하여야 한다.
⑤ 근로의 의사와 능력이 있음에도 불구하고 취업을 하지 못한 상태에 있어야 한다.</v>
      </c>
      <c r="F153" s="30">
        <f>IFERROR(VLOOKUP(C153,기출문제!D:G,4,0),"")</f>
        <v>2</v>
      </c>
      <c r="G153" s="31" t="str">
        <f t="shared" si="2"/>
        <v/>
      </c>
      <c r="J153" s="23"/>
    </row>
    <row r="154" spans="2:10" s="21" customFormat="1" ht="99.75" x14ac:dyDescent="0.3">
      <c r="B154" s="17">
        <v>147</v>
      </c>
      <c r="C154" s="27" t="s">
        <v>1004</v>
      </c>
      <c r="D154" s="17"/>
      <c r="E154" s="29" t="str">
        <f>IFERROR(VLOOKUP(C154,기출문제!D:G,3,0),"")</f>
        <v>82. 고용보험법령상 심사 및 재심사에 관한 설명으로 옳지 않은 것은?
① 실업급여에 관한 처분에 이의가 있는 자는 고용보험심사관에게 심사를 청구할 수 있다.
② 심사의 청구가 법령으로 정한 방식을 위반하여 보정하지 못할 것인 경우에 고용보험심사관은 그 심사의 청구를 결정으로 각하하여야 한다.
③ 재심사청구인은 법정대리인 외에 자신의 형제자매를 대리인으로 선임할 수 없다.
④ 심사 및 재심사의 청구는 시효중단에 관하여 재판상의 청구로 본다.
⑤ 재심사청구에 대한 심리는 공개로 하나, 당사자의 양쪽 또는 어느 한 쪽이 신청한 경우에는 공개하지 아니할 수 있다.</v>
      </c>
      <c r="F154" s="30">
        <f>IFERROR(VLOOKUP(C154,기출문제!D:G,4,0),"")</f>
        <v>3</v>
      </c>
      <c r="G154" s="31" t="str">
        <f t="shared" si="2"/>
        <v/>
      </c>
      <c r="J154" s="23"/>
    </row>
    <row r="155" spans="2:10" s="21" customFormat="1" ht="156.75" x14ac:dyDescent="0.3">
      <c r="B155" s="17">
        <v>148</v>
      </c>
      <c r="C155" s="27" t="s">
        <v>1005</v>
      </c>
      <c r="D155" s="17"/>
      <c r="E155" s="29" t="str">
        <f>IFERROR(VLOOKUP(C155,기출문제!D:G,3,0),"")</f>
        <v>83. 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
① ㄱ, ㄴ, ㅁ
② ㄴ, ㄷ, ㄹ
③ ㄷ, ㄹ, ㅁ
④ ㄱ, ㄴ, ㄷ, ㄹ
⑤ ㄱ, ㄷ, ㄹ, ㅁ</v>
      </c>
      <c r="F155" s="30">
        <f>IFERROR(VLOOKUP(C155,기출문제!D:G,4,0),"")</f>
        <v>4</v>
      </c>
      <c r="G155" s="31" t="str">
        <f t="shared" si="2"/>
        <v/>
      </c>
      <c r="J155" s="23"/>
    </row>
    <row r="156" spans="2:10" s="21" customFormat="1" ht="114" x14ac:dyDescent="0.3">
      <c r="B156" s="17">
        <v>149</v>
      </c>
      <c r="C156" s="27" t="s">
        <v>1006</v>
      </c>
      <c r="D156" s="17"/>
      <c r="E156" s="29" t="str">
        <f>IFERROR(VLOOKUP(C156,기출문제!D:G,3,0),"")</f>
        <v>84. 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
① 월보수총액
② 월보험료액
③ 3개월 평균임금
④ 월 최저임금액
⑤ 실업급여수급계좌에 입금된 금액 전액</v>
      </c>
      <c r="F156" s="30">
        <f>IFERROR(VLOOKUP(C156,기출문제!D:G,4,0),"")</f>
        <v>5</v>
      </c>
      <c r="G156" s="31" t="str">
        <f t="shared" si="2"/>
        <v/>
      </c>
      <c r="J156" s="23"/>
    </row>
    <row r="157" spans="2:10" s="21" customFormat="1" ht="85.5" x14ac:dyDescent="0.3">
      <c r="B157" s="17">
        <v>150</v>
      </c>
      <c r="C157" s="27" t="s">
        <v>1007</v>
      </c>
      <c r="D157" s="17"/>
      <c r="E157" s="29" t="str">
        <f>IFERROR(VLOOKUP(C157,기출문제!D:G,3,0),"")</f>
        <v>85. 산업재해보상보험법령상 보험급여 중 시효의 완성 기간이 다른 것은?
① 요양급여를 받을 권리
② 간병급여를 받을 권리
③ 상병보상연금을 받을 권리
④ 장례비를 받을 권리
⑤ 직업재활급여를 받을 권리</v>
      </c>
      <c r="F157" s="30">
        <f>IFERROR(VLOOKUP(C157,기출문제!D:G,4,0),"")</f>
        <v>4</v>
      </c>
      <c r="G157" s="31" t="str">
        <f t="shared" si="2"/>
        <v/>
      </c>
      <c r="J157" s="23"/>
    </row>
    <row r="158" spans="2:10" s="21" customFormat="1" ht="142.5" x14ac:dyDescent="0.3">
      <c r="B158" s="17">
        <v>151</v>
      </c>
      <c r="C158" s="27" t="s">
        <v>1008</v>
      </c>
      <c r="D158" s="17"/>
      <c r="E158" s="29" t="str">
        <f>IFERROR(VLOOKUP(C158,기출문제!D:G,3,0),"")</f>
        <v>86. 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
① ㄱ, ㄴ
② ㄱ, ㄹ
③ ㄴ, ㄷ
④ ㄱ, ㄷ, ㄹ
⑤ ㄱ, ㄴ, ㄷ, ㄹ</v>
      </c>
      <c r="F158" s="30">
        <f>IFERROR(VLOOKUP(C158,기출문제!D:G,4,0),"")</f>
        <v>5</v>
      </c>
      <c r="G158" s="31" t="str">
        <f t="shared" si="2"/>
        <v/>
      </c>
      <c r="J158" s="23"/>
    </row>
    <row r="159" spans="2:10" s="21" customFormat="1" ht="85.5" x14ac:dyDescent="0.3">
      <c r="B159" s="17">
        <v>152</v>
      </c>
      <c r="C159" s="27" t="s">
        <v>1009</v>
      </c>
      <c r="D159" s="17"/>
      <c r="E159" s="32" t="str">
        <f>IFERROR(VLOOKUP(C159,기출문제!D:G,3,0),"")</f>
        <v>87. 산업재해보상보험법령상 특수형태근로종사자의 범위에 해당하지 않는 자는?
① 한국표준직업분류표의 세세분류에 따른 학습지 교사
② 택배업을 하는 사람으로서 둘 이상의 퀵서비스업자로부터 업무를 의뢰받아 직원을 채용하여 배송 업무를 하는 사람
③ 보험을 모집하는 보험업법에 따른 보험설계사
④ 체육시설의 설치・이용에 관한 법률에 따라 직장체육시설로 설치된 골프장에서 골프경기를 보조하는 골프장 캐디
⑤ 여신전문금융업법에 따른 신용카드회원 모집인</v>
      </c>
      <c r="F159" s="30">
        <f>IFERROR(VLOOKUP(C159,기출문제!D:G,4,0),"")</f>
        <v>2</v>
      </c>
      <c r="G159" s="31" t="str">
        <f t="shared" si="2"/>
        <v/>
      </c>
      <c r="J159" s="23"/>
    </row>
    <row r="160" spans="2:10" s="21" customFormat="1" ht="85.5" x14ac:dyDescent="0.3">
      <c r="B160" s="17">
        <v>153</v>
      </c>
      <c r="C160" s="27" t="s">
        <v>1010</v>
      </c>
      <c r="D160" s="17"/>
      <c r="E160" s="29" t="str">
        <f>IFERROR(VLOOKUP(C160,기출문제!D:G,3,0),"")</f>
        <v>88. 산업재해보상보험법령상 심사청구의 대상이 아닌 것은?
① 약제비에 관한 결정
② 보험급여에 관한 결정
③ 보험료 부과에 관한 결정
④ 수급권의 대위에 관한 결정
⑤ 부당이득의 징수에 관한 결정</v>
      </c>
      <c r="F160" s="30">
        <f>IFERROR(VLOOKUP(C160,기출문제!D:G,4,0),"")</f>
        <v>3</v>
      </c>
      <c r="G160" s="31" t="str">
        <f t="shared" si="2"/>
        <v/>
      </c>
      <c r="J160" s="23"/>
    </row>
    <row r="161" spans="2:10" s="21" customFormat="1" ht="85.5" x14ac:dyDescent="0.3">
      <c r="B161" s="17">
        <v>154</v>
      </c>
      <c r="C161" s="27" t="s">
        <v>1011</v>
      </c>
      <c r="D161" s="17"/>
      <c r="E161" s="29" t="str">
        <f>IFERROR(VLOOKUP(C161,기출문제!D:G,3,0),"")</f>
        <v>89. 산업재해보상보험법령상 보험급여에 관한 설명으로 옳은 것은?
① 부상 또는 질병이 7일 이내의 요양으로 치유될 수 있으면 요양급여를 지급하지 아니한다.
② 요양급여의 신청을 한 자는 근로복지공단이 요양급여에 관한 결정을 하기 전에는 국민건강보험법상 요양급여를 받을 수 있다.
③ 장해급여는 근로자가 업무상의 사유로 질병에 걸려 치유된 후 신체 등에 장해가 있는 경우에 한국장애인고용공단에서 지급한다.
④ 장해보상연금의 수급권자가 재요양을 받는 경우에는 그 연금의 지급을 정지한다.
⑤ 간병급여는 실제로 간병을 실시한 자에게 직접 지급한다.</v>
      </c>
      <c r="F161" s="30">
        <f>IFERROR(VLOOKUP(C161,기출문제!D:G,4,0),"")</f>
        <v>2</v>
      </c>
      <c r="G161" s="31" t="str">
        <f t="shared" si="2"/>
        <v/>
      </c>
      <c r="J161" s="23"/>
    </row>
    <row r="162" spans="2:10" s="21" customFormat="1" ht="171" x14ac:dyDescent="0.3">
      <c r="B162" s="17">
        <v>155</v>
      </c>
      <c r="C162" s="27" t="s">
        <v>1012</v>
      </c>
      <c r="D162" s="17"/>
      <c r="E162" s="29" t="str">
        <f>IFERROR(VLOOKUP(C162,기출문제!D:G,3,0),"")</f>
        <v>90. 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
① 1개
② 2개
③ 3개
④ 4개
⑤ 5개</v>
      </c>
      <c r="F162" s="30">
        <f>IFERROR(VLOOKUP(C162,기출문제!D:G,4,0),"")</f>
        <v>5</v>
      </c>
      <c r="G162" s="31" t="str">
        <f t="shared" si="2"/>
        <v/>
      </c>
      <c r="J162" s="23"/>
    </row>
    <row r="163" spans="2:10" s="21" customFormat="1" ht="142.5" x14ac:dyDescent="0.3">
      <c r="B163" s="17">
        <v>156</v>
      </c>
      <c r="C163" s="27" t="s">
        <v>1013</v>
      </c>
      <c r="D163" s="17"/>
      <c r="E163" s="29" t="str">
        <f>IFERROR(VLOOKUP(C163,기출문제!D:G,3,0),"")</f>
        <v>91. 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
① ㄱ: 50, ㄴ: 6, ㄷ: 12
② ㄱ: 50, ㄴ: 12, ㄷ: 18
③ ㄱ: 60, ㄴ: 6, ㄷ: 12
④ ㄱ: 60, ㄴ: 6, ㄷ: 18
⑤ ㄱ: 60, ㄴ: 12, ㄷ: 18</v>
      </c>
      <c r="F163" s="30">
        <f>IFERROR(VLOOKUP(C163,기출문제!D:G,4,0),"")</f>
        <v>2</v>
      </c>
      <c r="G163" s="31" t="str">
        <f t="shared" si="2"/>
        <v/>
      </c>
      <c r="J163" s="23"/>
    </row>
    <row r="164" spans="2:10" s="21" customFormat="1" ht="99.75" x14ac:dyDescent="0.3">
      <c r="B164" s="17">
        <v>157</v>
      </c>
      <c r="C164" s="27" t="s">
        <v>1014</v>
      </c>
      <c r="D164" s="17"/>
      <c r="E164" s="29" t="str">
        <f>IFERROR(VLOOKUP(C164,기출문제!D:G,3,0),"")</f>
        <v>92. 국민연금법령상 유족연금에 관한 설명으로 옳은 것은?
① 사실상의 혼인관계에 있는 배우자는 유족연금을 지급받을 수 있는 유족에 해당하지 않는다.
② 수급권자가 산업재해보상보험법에 의한 유족급여를 받는 경우에는 유족연금을 지급하지 않는다.
③ 유족연금을 지급받을 수 있는 유족의 범위는 배우자, 자녀, 부모, 손자녀, 조부모 및 형제자매이다.
④ 유족연금 수급권자인 자녀가 사망 시 다음 순위자인 부모에게 유족연금을 지급한다.
⑤ 부모, 손자녀 또는 조부모인 유족의 유족연금 수급권은 가입자 또는 가입자였던 사람이 사망할 당시에 그 가입자 또는 가입자였던 사람의 태아가 출생하여 수급권을 갖게 되면 소멸한다.</v>
      </c>
      <c r="F164" s="30">
        <f>IFERROR(VLOOKUP(C164,기출문제!D:G,4,0),"")</f>
        <v>5</v>
      </c>
      <c r="G164" s="31" t="str">
        <f t="shared" si="2"/>
        <v/>
      </c>
      <c r="J164" s="23"/>
    </row>
    <row r="165" spans="2:10" s="21" customFormat="1" ht="128.25" x14ac:dyDescent="0.3">
      <c r="B165" s="17">
        <v>158</v>
      </c>
      <c r="C165" s="27" t="s">
        <v>1015</v>
      </c>
      <c r="D165" s="17"/>
      <c r="E165" s="29" t="str">
        <f>IFERROR(VLOOKUP(C165,기출문제!D:G,3,0),"")</f>
        <v>93. 국민건강보험법령상 급여의 제한 및 정지에 관한 설명으로 옳지 않은 것은?
① 국민건강보험공단은 보험급여를 받을 수 있는 사람이 중대한 과실로 인한 범죄행위에 그 원인이 있는 경우 보험급여를 하지 아니한다.
② 국민건강보험공단은 보험급여를 받을 수 있는 사람이 다른 법령에 따라 국가로부터 보험급여에 상당하는 비용을 지급받게 되는 경우에는 그 한도에서 보험급여를 하지 아니한다.
③ 보험급여를 받을 수 있는 사람이 국외에 여행 중인 경우 그 기간에는 보험급여를 하지 아니한다.
④ 국민건강보험공단은 지역가입자가 1개월 이상 세대단위의 보험료를 체납한 경우 그 체납한 보험료를 완납할 때까지 그 가입자를 제외한 피부양자에 대하여 보험급여를 실시하지 아니한다.
⑤ 보험급여를 받을 수 있는 사람이 국외에서 업무에 종사하고 있는 경우 그 기간에는 보험급여를 하지 아니한다.</v>
      </c>
      <c r="F165" s="30">
        <f>IFERROR(VLOOKUP(C165,기출문제!D:G,4,0),"")</f>
        <v>4</v>
      </c>
      <c r="G165" s="31" t="str">
        <f t="shared" si="2"/>
        <v/>
      </c>
      <c r="J165" s="23"/>
    </row>
    <row r="166" spans="2:10" s="21" customFormat="1" ht="114" x14ac:dyDescent="0.3">
      <c r="B166" s="17">
        <v>159</v>
      </c>
      <c r="C166" s="27" t="s">
        <v>1016</v>
      </c>
      <c r="D166" s="17"/>
      <c r="E166" s="29" t="str">
        <f>IFERROR(VLOOKUP(C166,기출문제!D:G,3,0),"")</f>
        <v>94. 국민건강보험법령상 보험료에 관한 설명으로 옳지 않은 것은?
① 지역가입자의 월별 보험료액은 세대 단위로 산정한다.
② 직장가입자의 소득월액보험료는 직장가입자가 부담한다.
③ 지역가입자의 보험료는 그 가입자가 속한 세대의 지역가입자 전원이 연대하여 부담한다.
④ 직장가입자가 교직원으로서 사립학교에 근무하는 교원인 경우 보수월액보험료는 그 직장가입자와 사립학교를 설립・운영하는 자가 각각 보험료액의 100분의 50씩 부담한다.
⑤ 직장가입자가 공무원인 경우 보수월액보험료는 그 직장가입자와 그 공무원이 소속되어 있는 국가 또는 지방자치단체가 각각 보험료액의 100분의 50씩 부담한다.</v>
      </c>
      <c r="F166" s="30">
        <f>IFERROR(VLOOKUP(C166,기출문제!D:G,4,0),"")</f>
        <v>4</v>
      </c>
      <c r="G166" s="31" t="str">
        <f t="shared" si="2"/>
        <v/>
      </c>
      <c r="J166" s="23"/>
    </row>
    <row r="167" spans="2:10" s="21" customFormat="1" ht="85.5" x14ac:dyDescent="0.3">
      <c r="B167" s="17">
        <v>160</v>
      </c>
      <c r="C167" s="27" t="s">
        <v>1017</v>
      </c>
      <c r="D167" s="17"/>
      <c r="E167" s="29" t="str">
        <f>IFERROR(VLOOKUP(C167,기출문제!D:G,3,0),"")</f>
        <v>95. 국민건강보험법령상 보험료의 경감 대상이 될 수 있는 가입자는?
① 직장가입자로서 65세 이상인 사람
② 직장가입자로서 출산 휴가 중인 사람
③ 직장가입자 중 휴직기간이 1개월 이상인 사람
④ 직장가입자 중 장애인복지법에 따라 등록한 장애인
⑤ 직장가입자 중 국가유공자 등 예우 및 지원에 관한 법률에 따른 국가유공자</v>
      </c>
      <c r="F167" s="30">
        <f>IFERROR(VLOOKUP(C167,기출문제!D:G,4,0),"")</f>
        <v>3</v>
      </c>
      <c r="G167" s="31" t="str">
        <f t="shared" si="2"/>
        <v/>
      </c>
      <c r="J167" s="23"/>
    </row>
    <row r="168" spans="2:10" s="21" customFormat="1" ht="99.75" x14ac:dyDescent="0.3">
      <c r="B168" s="17">
        <v>161</v>
      </c>
      <c r="C168" s="27" t="s">
        <v>1018</v>
      </c>
      <c r="D168" s="17"/>
      <c r="E168" s="29" t="str">
        <f>IFERROR(VLOOKUP(C168,기출문제!D:G,3,0),"")</f>
        <v>96. 고용보험 및 산업재해보상보험의 보험료징수 등에 관한 법령의 내용으로 옳은 것은?
① 사업의 도산으로 보수 관련 자료가 없는 경우에는 고용노동부장관이 정하여 고시하는 금액을 보수로 할 수 있다.
② 원수급인으로부터 사업의 전부를 도급받아 하는 자는 하수급인에 해당하지 않는다.
③ 고용보험료를 징수하는 경우에는 근로자가 휴직기간 중에 사업주 외의 자로부터 지급받는 금품 일체는 보수로 보지 않는다.
④ 보험에 가입한 사업주는 사업의 명칭 및 소재지, 사업의 종류 등이 변경된 경우에는 다음 보험연도 첫날부터 14일 이내에 그 변경사항을 근로복지공단에 신고하여야 한다.
⑤ 산업재해보상보험법을 적용받는 사업의 사업주는 근로복지공단의 승인을 받아 산업재해보상보험에 가입할 수 있다.</v>
      </c>
      <c r="F168" s="30">
        <f>IFERROR(VLOOKUP(C168,기출문제!D:G,4,0),"")</f>
        <v>1</v>
      </c>
      <c r="G168" s="31" t="str">
        <f t="shared" si="2"/>
        <v/>
      </c>
      <c r="J168" s="23"/>
    </row>
    <row r="169" spans="2:10" s="21" customFormat="1" ht="99.75" x14ac:dyDescent="0.3">
      <c r="B169" s="17">
        <v>162</v>
      </c>
      <c r="C169" s="27" t="s">
        <v>1019</v>
      </c>
      <c r="D169" s="17"/>
      <c r="E169" s="29" t="str">
        <f>IFERROR(VLOOKUP(C169,기출문제!D:G,3,0),"")</f>
        <v>97. 고용보험 및 산업재해보상보험의 보험료징수 등에 관한 법령상 보험사무대행기관에 보험사무를 위임할 수 있는 업무의 범위가 아닌 것은?
① 확정보험료의 부과
② 개산보험료의 신고
③ 고용보험 피보험자의 자격 관리에 관한 사무
④ 보험관계의 소멸의 신고
⑤ 보험관계의 변경의 신고</v>
      </c>
      <c r="F169" s="30">
        <f>IFERROR(VLOOKUP(C169,기출문제!D:G,4,0),"")</f>
        <v>1</v>
      </c>
      <c r="G169" s="31" t="str">
        <f t="shared" si="2"/>
        <v/>
      </c>
      <c r="J169" s="23"/>
    </row>
    <row r="170" spans="2:10" s="21" customFormat="1" ht="142.5" x14ac:dyDescent="0.3">
      <c r="B170" s="17">
        <v>163</v>
      </c>
      <c r="C170" s="27" t="s">
        <v>1020</v>
      </c>
      <c r="D170" s="17"/>
      <c r="E170" s="29" t="str">
        <f>IFERROR(VLOOKUP(C170,기출문제!D:G,3,0),"")</f>
        <v>98. 고용보험 및 산업재해보상보험의 보험료징수 등에 관한 법령의 내용으로 옳지 않은 것은?
① 근로복지공단은 사업 실체가 없는 등의 사유로 계속하여 보험관계를 유지할 수 없다고 인정하는 경우에는 그 보험관계를 소멸시킬 수 있다.
② 근로자가 동일한 사업주의 하나의 사업장에서 다른 사업장으로 전근되는 경우에는 그 근로자에 대한 그 월별보험료는 해당 월의 다음 달 부터 산정한다.
③ 근로복지공단은 소멸시효가 완성된 경우에는 고용노동부장관의 승인을 받아 보험료와 이 법에 따른 그 밖의 징수금을 결손처분할 수 있다.
④ 사업종류의 변경으로 보험료 납부방법이 변경되는 경우에는 사업종류의 변경일 전일을 변경 전 사업 폐지일로, 사업종류의 변경일을 새로운 사업성립일로 본다.
⑤ 공동사업에 관계되는 보험료, 이 법에 따른 그 밖의 징수금과 체납처분비는 공동사업자가 연대하여 낼 의무를 진다.</v>
      </c>
      <c r="F170" s="30">
        <f>IFERROR(VLOOKUP(C170,기출문제!D:G,4,0),"")</f>
        <v>3</v>
      </c>
      <c r="G170" s="31" t="str">
        <f t="shared" si="2"/>
        <v/>
      </c>
      <c r="J170" s="23"/>
    </row>
    <row r="171" spans="2:10" s="21" customFormat="1" ht="142.5" x14ac:dyDescent="0.3">
      <c r="B171" s="17">
        <v>164</v>
      </c>
      <c r="C171" s="27" t="s">
        <v>1021</v>
      </c>
      <c r="D171" s="17"/>
      <c r="E171" s="29" t="str">
        <f>IFERROR(VLOOKUP(C171,기출문제!D:G,3,0),"")</f>
        <v>99. 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
① ㄱ: 100분의 20, ㄴ: 1천분의 13
② ㄱ: 100분의 20, ㄴ: 1천분의 20
③ ㄱ: 100분의 30, ㄴ: 1천분의 13
④ ㄱ: 100분의 30, ㄴ: 1천분의 20
⑤ ㄱ: 100분의 30, ㄴ: 1천분의 25</v>
      </c>
      <c r="F171" s="30">
        <f>IFERROR(VLOOKUP(C171,기출문제!D:G,4,0),"")</f>
        <v>4</v>
      </c>
      <c r="G171" s="31" t="str">
        <f t="shared" si="2"/>
        <v/>
      </c>
      <c r="J171" s="23"/>
    </row>
    <row r="172" spans="2:10" s="21" customFormat="1" ht="99.75" x14ac:dyDescent="0.3">
      <c r="B172" s="17">
        <v>165</v>
      </c>
      <c r="C172" s="27" t="s">
        <v>1022</v>
      </c>
      <c r="D172" s="17"/>
      <c r="E172" s="29" t="str">
        <f>IFERROR(VLOOKUP(C172,기출문제!D:G,3,0),"")</f>
        <v>100. 고용보험 및 산업재해보상보험의 보험료징수 등에 관한 법령상 보험료율의 인상 또는 인하 등에 따른 조치로 옳지 않은 것은?
① 보험료율이 인상된 경우 근로복지공단은 월별보험료를 증액 조정한다.
② 보험료율이 인상된 경우 국민건강보험공단은 개산보험료를 증액 조정한다.
③ 보험료율 인상으로 개산보험료가 증액된 때에는 근로복지공단이 징수한다.
④ 보험료율 인상으로 월별보험료가 증액된 때에는 국민건강보험공단이 징수한다.
⑤ 근로복지공단은 보험료를 감액 조정한 경우에는 보험료율의 인하를 결정한 날부터 20일 이내에 그 감액 조정 사실을 사업주에게 알려야 한다.</v>
      </c>
      <c r="F172" s="30">
        <f>IFERROR(VLOOKUP(C172,기출문제!D:G,4,0),"")</f>
        <v>2</v>
      </c>
      <c r="G172" s="31" t="str">
        <f t="shared" si="2"/>
        <v/>
      </c>
      <c r="J172" s="23"/>
    </row>
    <row r="173" spans="2:10" s="21" customFormat="1" ht="85.5" x14ac:dyDescent="0.3">
      <c r="B173" s="17">
        <v>166</v>
      </c>
      <c r="C173" s="27" t="s">
        <v>167</v>
      </c>
      <c r="D173" s="17"/>
      <c r="E173" s="29" t="str">
        <f>IFERROR(VLOOKUP(C173,기출문제!D:G,3,0),"")</f>
        <v>76. 사회보장기본법상 내용으로 옳은 것은?
① 국가는 중장기 사회보장 재정추계를 매년 실시하고 공표하여야 한다.
② 사회보장수급권의 포기는 취소할 수 없다.
③ 사회서비스란 사회적 위험을 보험의 방식으로 대처함으로써 국민의 건강과 소득을 보장하는 제도를 말한다.
④ 사회보장수급권은 다른 사람에게 양도할 수 있다.
⑤ 국가와 지방자치단체는 최저보장수준과 최저임금 등을 고려하여 사회보장급여의 수준을 결정하여야 한다.</v>
      </c>
      <c r="F173" s="30">
        <f>IFERROR(VLOOKUP(C173,기출문제!D:G,4,0),"")</f>
        <v>5</v>
      </c>
      <c r="G173" s="31" t="str">
        <f t="shared" si="2"/>
        <v/>
      </c>
      <c r="J173" s="23"/>
    </row>
    <row r="174" spans="2:10" s="21" customFormat="1" ht="114" x14ac:dyDescent="0.3">
      <c r="B174" s="17">
        <v>167</v>
      </c>
      <c r="C174" s="27" t="s">
        <v>1023</v>
      </c>
      <c r="D174" s="17"/>
      <c r="E174" s="29" t="str">
        <f>IFERROR(VLOOKUP(C174,기출문제!D:G,3,0),"")</f>
        <v>77. 사회보장기본법상 내용으로 옳지 않은 것은?
① 사회보장기본법은 사회보장에 관한 국민의 권리와 국가 및 지방자치단체의 책임을 정하고 있다.
② 사회보장은 사회참여・자아실현에 필요한 제도와 여건을 조성하여 사회통합과 행복한 복지사회를 실현하는 것을 기본 이념으로 한다.
③ 국가와 지방자치단체의 책임하에 생활 유지 능력이 없거나 생활이 어려운 국민의 최저생활을 보장하고 자립을 지원하는 제도를 공공부조라고 한다.
④ 사회보장위원회는 사회보장급여 관련 업무에 공통적으로 적용되는 기준을 마련하여야 한다.
⑤ 국내에 거주하는 외국인에게 사회보장제도를 적용할 때에는 상호주의의 원칙에 따르되, 관계 법령에서 정하는 바에 따른다.</v>
      </c>
      <c r="F174" s="30">
        <f>IFERROR(VLOOKUP(C174,기출문제!D:G,4,0),"")</f>
        <v>4</v>
      </c>
      <c r="G174" s="31" t="str">
        <f t="shared" si="2"/>
        <v/>
      </c>
      <c r="J174" s="23"/>
    </row>
    <row r="175" spans="2:10" s="21" customFormat="1" ht="142.5" x14ac:dyDescent="0.3">
      <c r="B175" s="17">
        <v>168</v>
      </c>
      <c r="C175" s="27" t="s">
        <v>1024</v>
      </c>
      <c r="D175" s="17"/>
      <c r="E175" s="29" t="str">
        <f>IFERROR(VLOOKUP(C175,기출문제!D:G,3,0),"")</f>
        <v>78. 사회보장기본법상 사회보장정보시스템의 구축・운영 등에 관한 설명으로 옳지 않은 것은?
① 보건복지부장관은 사회보장정보시스템의 구축・운영을 총괄한다.
② 국가와 지방자치단체는 국민편익의 증진과 사회보장업무의 효율성 향상을 위하여 사회보장업무를 전자적으로 관리하도록 노력하여야 한다.
③ 국가와 지방자치단체가 조사하거나 제공받은 개인・법인의 정보는 이 법과 관련 법률에 근거하지 아니하고 보유, 이용, 제공되어서는 아니 된다.
④ 관계 중앙행정기관 및 지방자치단체의 장은 사회보장정보와 관련하여 사회보장정보시스템의 활용이 필요한 경우 사전에 보건복지부장관과 협의하여야 한다.
⑤ 사회복지법인의 보조금 수급이력에 관한 자료는 사회보장정보시스템의 운영을 위하여 수집・보유할 수 있는 정보에 해당하지 않는다.</v>
      </c>
      <c r="F175" s="30">
        <f>IFERROR(VLOOKUP(C175,기출문제!D:G,4,0),"")</f>
        <v>5</v>
      </c>
      <c r="G175" s="31" t="str">
        <f t="shared" si="2"/>
        <v/>
      </c>
      <c r="J175" s="23"/>
    </row>
    <row r="176" spans="2:10" s="21" customFormat="1" ht="85.5" x14ac:dyDescent="0.3">
      <c r="B176" s="17">
        <v>169</v>
      </c>
      <c r="C176" s="27" t="s">
        <v>1025</v>
      </c>
      <c r="D176" s="17"/>
      <c r="E176" s="29" t="str">
        <f>IFERROR(VLOOKUP(C176,기출문제!D:G,3,0),"")</f>
        <v>79. 고용보험법령상 피보험기간이 4년인 자영업자인 경우 구직급여의 소정급여일수는?
① 90일
② 120일
③ 150일
④ 180일
⑤ 210일</v>
      </c>
      <c r="F176" s="30">
        <f>IFERROR(VLOOKUP(C176,기출문제!D:G,4,0),"")</f>
        <v>3</v>
      </c>
      <c r="G176" s="31" t="str">
        <f t="shared" si="2"/>
        <v/>
      </c>
      <c r="J176" s="23"/>
    </row>
    <row r="177" spans="2:10" s="21" customFormat="1" ht="85.5" x14ac:dyDescent="0.3">
      <c r="B177" s="17">
        <v>170</v>
      </c>
      <c r="C177" s="27" t="s">
        <v>1026</v>
      </c>
      <c r="D177" s="17"/>
      <c r="E177" s="29" t="str">
        <f>IFERROR(VLOOKUP(C177,기출문제!D:G,3,0),"")</f>
        <v>80. 고용보험법에서 사용하는 용어의 뜻으로 옳은 것은?
① 피보험자 : 근로기준법상 근로자와 사업주를 말한다.
② 이직 : 근로계약이 당사자의 합의에 의해 해지되는 것을 말하며, 정년퇴직은 포함되지 아니한다.
③ 실업 : 근로의 의사와 능력이 있음에도 불구하고 취업하지 못한 상태에 있는 것을 말한다.
④ 보수 : 사용자로부터 받는 일체의 금품을 말한다.
⑤ 일용근로자 : 3개월 미만 동안 고용된 자를 말한다.</v>
      </c>
      <c r="F177" s="30">
        <f>IFERROR(VLOOKUP(C177,기출문제!D:G,4,0),"")</f>
        <v>3</v>
      </c>
      <c r="G177" s="31" t="str">
        <f t="shared" si="2"/>
        <v/>
      </c>
      <c r="J177" s="23"/>
    </row>
    <row r="178" spans="2:10" s="21" customFormat="1" ht="114" x14ac:dyDescent="0.3">
      <c r="B178" s="17">
        <v>171</v>
      </c>
      <c r="C178" s="27" t="s">
        <v>1027</v>
      </c>
      <c r="D178" s="17"/>
      <c r="E178" s="29" t="str">
        <f>IFERROR(VLOOKUP(C178,기출문제!D:G,3,0),"")</f>
        <v>81. 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
① 15, 1
② 15, 3
③ 60, 1
④ 60, 3
⑤ 90, 1</v>
      </c>
      <c r="F178" s="30">
        <f>IFERROR(VLOOKUP(C178,기출문제!D:G,4,0),"")</f>
        <v>4</v>
      </c>
      <c r="G178" s="31" t="str">
        <f t="shared" si="2"/>
        <v/>
      </c>
      <c r="J178" s="23"/>
    </row>
    <row r="179" spans="2:10" s="21" customFormat="1" ht="85.5" x14ac:dyDescent="0.3">
      <c r="B179" s="17">
        <v>172</v>
      </c>
      <c r="C179" s="27" t="s">
        <v>1028</v>
      </c>
      <c r="D179" s="17"/>
      <c r="E179" s="29" t="str">
        <f>IFERROR(VLOOKUP(C179,기출문제!D:G,3,0),"")</f>
        <v>82. 고용보험법상 피보험자의 관리에 관한 내용으로 옳은 것은?
① 피보험자가 이직을 한 경우에는 이직한 날에 그 피보험자격을 상실한다.
② 이 법의 적용 제외 근로자였던 자가 이 법의 적용을 받게 된 경우에는 해당 사업에 고용된 날에 피보험자격을 취득한다.
③ 피보험자 또는 피보험자였던 자는 언제든지 고용노동부장관에게 피보험자격의 취득 또는 상실에 관한 확인을 청구할 수 있다.
④ 근로자가 보험관계가 성립되어 있는 두 개의 사업에 동시에 고용되어 있는 경우에는 두 개의 피보험자격을 취득한다.
⑤ 피보험자가 사망한 경우에는 사망한 날에 그 피보험자격을 상실한다.</v>
      </c>
      <c r="F179" s="30">
        <f>IFERROR(VLOOKUP(C179,기출문제!D:G,4,0),"")</f>
        <v>3</v>
      </c>
      <c r="G179" s="31" t="str">
        <f t="shared" si="2"/>
        <v/>
      </c>
      <c r="J179" s="23"/>
    </row>
    <row r="180" spans="2:10" s="21" customFormat="1" ht="99.75" x14ac:dyDescent="0.3">
      <c r="B180" s="17">
        <v>173</v>
      </c>
      <c r="C180" s="27" t="s">
        <v>1029</v>
      </c>
      <c r="D180" s="17"/>
      <c r="E180" s="29" t="str">
        <f>IFERROR(VLOOKUP(C180,기출문제!D:G,3,0),"")</f>
        <v>83. 고용보험법령상 구직급여에 관한 내용으로 옳지 않은 것은?
① 구직급여는 수급자격자가 실업한 상태에 있는 날 중에서 직업안정기관의 장으로부터 실업의 인정을 받은 날에 대하여 지급한다.
② 수급자격자가 인터넷 등을 이용하여 구인에 응모한 경우에는 적극적인 재취업 활동을 한 것으로 보지 아니한다.
③ 자영업자가 아닌 피보험자의 피보험 단위기간은 피보험기간 중 보수 지급의 기초가 된 날을 합하여 계산한다.
④ 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
⑤ 구직급여를 지급받으려는 자는 이직 후 지체없이 직업안정기관에 출석하여 실업을 신고해야 한다.</v>
      </c>
      <c r="F180" s="30">
        <f>IFERROR(VLOOKUP(C180,기출문제!D:G,4,0),"")</f>
        <v>2</v>
      </c>
      <c r="G180" s="31" t="str">
        <f t="shared" si="2"/>
        <v/>
      </c>
      <c r="J180" s="23"/>
    </row>
    <row r="181" spans="2:10" s="21" customFormat="1" ht="142.5" x14ac:dyDescent="0.3">
      <c r="B181" s="17">
        <v>174</v>
      </c>
      <c r="C181" s="27" t="s">
        <v>1030</v>
      </c>
      <c r="D181" s="17"/>
      <c r="E181" s="29" t="str">
        <f>IFERROR(VLOOKUP(C181,기출문제!D:G,3,0),"")</f>
        <v>84. 고용보험법령상 고용조정의 지원에 관한 내용으로 옳지 않은 것은?
① 고용노동부장관은 산업구조의 변화에 따른 사업의 전환으로 고용조정이 불가피하게 된 사업주가 근로자에 대한 휴직, 인력의 재배치 등을 실시하면 그 사업주에게 필요한 지원을 할 수 있다.
② 경영상 이유에 따른 사업주의 권고에 따라 퇴직이 예정된 자를 1개월 동안 이직시키지 아니한 경우에는 고용유지지원금을 지급한다.
③ 사업주가 고용유지조치 기간 동안 근로자를 새로 고용하는 경우에는 관할 직업안정기관의 장이 불가피하다고 인정하는 경우를 제외하고는 해당 달에 대한 고용유지지원금을 지급하지 아니한다.
④ 고용노동부장관은 신고한 고용유지조치계획과 다르게 고용유지조치를 이행한 사업주에게는 해당 사실이 발생한 날이 속한 달에 대한 고용유지지원금의 전부 또는 일부를 지급하지 아니할 수 있다.
⑤ 고용유지지원금을 받으려는 사업주는 그 사업의 근로자대표와 협의를 거쳐 고용유지조치계획을 수립해야 한다.</v>
      </c>
      <c r="F181" s="30">
        <f>IFERROR(VLOOKUP(C181,기출문제!D:G,4,0),"")</f>
        <v>2</v>
      </c>
      <c r="G181" s="31" t="str">
        <f t="shared" si="2"/>
        <v/>
      </c>
      <c r="J181" s="23"/>
    </row>
    <row r="182" spans="2:10" s="21" customFormat="1" ht="99.75" x14ac:dyDescent="0.3">
      <c r="B182" s="17">
        <v>175</v>
      </c>
      <c r="C182" s="27" t="s">
        <v>1031</v>
      </c>
      <c r="D182" s="17"/>
      <c r="E182" s="29" t="str">
        <f>IFERROR(VLOOKUP(C182,기출문제!D:G,3,0),"")</f>
        <v>85. 고용보험법령상 자영업자인 피보험자에 대한 실업급여 적용의 특례에 관한 내용으로 옳은 것은?
① 자영업자인 피보험자의 실업급여의 종류에는 조기재취업 수당이 포함된다.
② 자영업자인 피보험자의 실업급여에는 취업촉진 수당이 포함되지 아니한다.
③ 자영업자인 피보험자로서 폐업한 수급자격자에 대한 구직급여일액은 그 수급자격자의 기초일액에 100분의 60을 곱한 금액으로 한다.
④ 폐업사유에 관계없이 수급자격이 인정된다.
⑤ 폐업한 자영업자인 피보험자의 구직급여 수급요건에 재취업을 위한 노력을 적극적으로 하는 것은 포함되지 아니한다.</v>
      </c>
      <c r="F182" s="30">
        <f>IFERROR(VLOOKUP(C182,기출문제!D:G,4,0),"")</f>
        <v>3</v>
      </c>
      <c r="G182" s="31" t="str">
        <f t="shared" si="2"/>
        <v/>
      </c>
      <c r="J182" s="23"/>
    </row>
    <row r="183" spans="2:10" s="21" customFormat="1" ht="128.25" x14ac:dyDescent="0.3">
      <c r="B183" s="17">
        <v>176</v>
      </c>
      <c r="C183" s="27" t="s">
        <v>1032</v>
      </c>
      <c r="D183" s="17"/>
      <c r="E183" s="29" t="str">
        <f>IFERROR(VLOOKUP(C183,기출문제!D:G,3,0),"")</f>
        <v>86. 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
① ㄱ
② ㄴ
③ ㄱ, ㄴ
④ ㄴ, ㄷ
⑤ ㄱ, ㄴ, ㄷ</v>
      </c>
      <c r="F183" s="30">
        <f>IFERROR(VLOOKUP(C183,기출문제!D:G,4,0),"")</f>
        <v>3</v>
      </c>
      <c r="G183" s="31" t="str">
        <f t="shared" si="2"/>
        <v/>
      </c>
      <c r="J183" s="23"/>
    </row>
    <row r="184" spans="2:10" s="21" customFormat="1" ht="142.5" x14ac:dyDescent="0.3">
      <c r="B184" s="17">
        <v>177</v>
      </c>
      <c r="C184" s="27" t="s">
        <v>1033</v>
      </c>
      <c r="D184" s="17"/>
      <c r="E184" s="29" t="str">
        <f>IFERROR(VLOOKUP(C184,기출문제!D:G,3,0),"")</f>
        <v>87. 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
① ㄱ, ㄷ
② ㄴ, ㄹ
③ ㄱ, ㄴ, ㄹ
④ ㄴ, ㄷ, ㄹ
⑤ ㄱ, ㄴ, ㄷ, ㄹ</v>
      </c>
      <c r="F184" s="30">
        <f>IFERROR(VLOOKUP(C184,기출문제!D:G,4,0),"")</f>
        <v>5</v>
      </c>
      <c r="G184" s="31" t="str">
        <f t="shared" si="2"/>
        <v/>
      </c>
      <c r="J184" s="23"/>
    </row>
    <row r="185" spans="2:10" s="21" customFormat="1" ht="128.25" x14ac:dyDescent="0.3">
      <c r="B185" s="17">
        <v>178</v>
      </c>
      <c r="C185" s="27" t="s">
        <v>1034</v>
      </c>
      <c r="D185" s="17"/>
      <c r="E185" s="29" t="str">
        <f>IFERROR(VLOOKUP(C185,기출문제!D:G,3,0),"")</f>
        <v>88. 산업재해보상보험법령상 보험급여에 관한 설명으로 옳지 않은 것은?
① 장해급여 청구사유 발생 당시 대한민국 국민이 아닌 자로서 외국에서 거주하고 있는 근로자에게는 장해보상일시금을 지급한다.
② 2급 장해등급 근로자에게는 장해보상연금 또는 장해보상일시금을 근로자의 선택에 따라 지급한다.
③ 장례비는 장례를 지낼 유족이 없는 경우에는 평균임금의 120일분에 상당하는 금액의 범위에서 실제 드는 비용을 그 장례를 지낸 자에게 지급한다.
④ 상병보상연금을 산정할 때 평균임금이 최저임금액의 70분의 100보다 적을 때에는 최저임금액의 70분의 100에 해당하는 금액을 평균임금으로 본다.
⑤ 요양급여는 소정의 산재보험 의료기관에서 요양을 하게 하는 것이고 부득이한 경우에는 요양을 갈음하여 요양비를 지급할 수 있다.</v>
      </c>
      <c r="F185" s="30">
        <f>IFERROR(VLOOKUP(C185,기출문제!D:G,4,0),"")</f>
        <v>2</v>
      </c>
      <c r="G185" s="31" t="str">
        <f t="shared" si="2"/>
        <v/>
      </c>
      <c r="J185" s="23"/>
    </row>
    <row r="186" spans="2:10" s="21" customFormat="1" ht="99.75" x14ac:dyDescent="0.3">
      <c r="B186" s="17">
        <v>179</v>
      </c>
      <c r="C186" s="27" t="s">
        <v>1035</v>
      </c>
      <c r="D186" s="17"/>
      <c r="E186" s="29" t="str">
        <f>IFERROR(VLOOKUP(C186,기출문제!D:G,3,0),"")</f>
        <v>89. 산업재해보상보험법에 관한 설명으로 옳은 것은?
① 근로자를 진료한 산재보험 의료기관은 요양급여의 신청을 대행할 수 없다.
② 보험급여는 지급결정일로부터 30일 이내에 지급하여야 한다.
③ 근로복지공단은 제3자의 행위에 따른 재해로 보험급여를 지급한 경우에는 손해배상청구권을 대위할 수 없다.
④ 요양급여가 지급된 후 그 지급결정이 취소된 경우 국민건강보험공단은 그 건강보험 요양급여액을 근로복지공단에 청구할 수 있다.
⑤ 보험급여로서 지급된 금품에 대하여는 국가나 지방자치단체의 공과금을 부과하지 아니한다.</v>
      </c>
      <c r="F186" s="30">
        <f>IFERROR(VLOOKUP(C186,기출문제!D:G,4,0),"")</f>
        <v>5</v>
      </c>
      <c r="G186" s="31" t="str">
        <f t="shared" si="2"/>
        <v/>
      </c>
      <c r="J186" s="23"/>
    </row>
    <row r="187" spans="2:10" s="21" customFormat="1" ht="85.5" x14ac:dyDescent="0.3">
      <c r="B187" s="17">
        <v>180</v>
      </c>
      <c r="C187" s="27" t="s">
        <v>1036</v>
      </c>
      <c r="D187" s="17"/>
      <c r="E187" s="32" t="str">
        <f>IFERROR(VLOOKUP(C187,기출문제!D:G,3,0),"")</f>
        <v>90. 산업재해보상보험법령상 특수형태근로종사자의 직종에 해당하는 자는?
① 여신전문금융업법에 따른 신용카드회원 모집인
② 예술인 복지법에 따른 예술인
③ 화물자동차 운수사업법에 따른 화물자동차 운송사업자
④ 자동차관리법에 따른 자동차정비업자
⑤ 여객자동차 운수사업법에 따른 여객자동차 운송사업자</v>
      </c>
      <c r="F187" s="30">
        <f>IFERROR(VLOOKUP(C187,기출문제!D:G,4,0),"")</f>
        <v>1</v>
      </c>
      <c r="G187" s="31" t="str">
        <f t="shared" si="2"/>
        <v/>
      </c>
      <c r="J187" s="23"/>
    </row>
    <row r="188" spans="2:10" s="21" customFormat="1" ht="85.5" x14ac:dyDescent="0.3">
      <c r="B188" s="17">
        <v>181</v>
      </c>
      <c r="C188" s="27" t="s">
        <v>1037</v>
      </c>
      <c r="D188" s="17"/>
      <c r="E188" s="29" t="str">
        <f>IFERROR(VLOOKUP(C188,기출문제!D:G,3,0),"")</f>
        <v>91. 산업재해보상보험법상 과태료 부과 대상이 아닌 경우는?
① 거짓으로 보험급여를 받은 경우
② 심사 청구의 심리・결정 등을 위하여 확인이 필요하다고 인정된 사업장의 조사를 거부한 경우
③ 보험급여 결정 등을 위하여 확인이 필요하다고 인정된 사업장의 조사를 방해한 경우
④ 유사명칭의 사용 금지를 위반하여 근로복지공단 또는 이와 비슷한 명칭을 사용한 경우
⑤ 요양기간을 연장할 필요가 있는 때 제출해야할 진료계획을 정당한 사유 없이 제출하지 아니한 경우</v>
      </c>
      <c r="F188" s="30">
        <f>IFERROR(VLOOKUP(C188,기출문제!D:G,4,0),"")</f>
        <v>1</v>
      </c>
      <c r="G188" s="31" t="str">
        <f t="shared" si="2"/>
        <v/>
      </c>
      <c r="J188" s="23"/>
    </row>
    <row r="189" spans="2:10" s="21" customFormat="1" ht="142.5" x14ac:dyDescent="0.3">
      <c r="B189" s="17">
        <v>182</v>
      </c>
      <c r="C189" s="27" t="s">
        <v>1038</v>
      </c>
      <c r="D189" s="17"/>
      <c r="E189" s="29" t="str">
        <f>IFERROR(VLOOKUP(C189,기출문제!D:G,3,0),"")</f>
        <v>92. 국민연금법상 사업장가입자 자격의 상실 사유에 해당하는 것을 모두 고른 것은?
ㄱ. 사망한 때
ㄴ. 60세가 된 때
ㄷ. 사용관계가 끝난 때
ㄹ. 국적을 상실하거나 국외로 이주한 때
① ㄱ, ㄴ
② ㄱ, ㄴ, ㄷ
③ ㄱ, ㄷ, ㄹ
④ ㄴ, ㄷ, ㄹ
⑤ ㄱ, ㄴ, ㄷ, ㄹ</v>
      </c>
      <c r="F189" s="30">
        <f>IFERROR(VLOOKUP(C189,기출문제!D:G,4,0),"")</f>
        <v>5</v>
      </c>
      <c r="G189" s="31" t="str">
        <f t="shared" si="2"/>
        <v/>
      </c>
      <c r="J189" s="23"/>
    </row>
    <row r="190" spans="2:10" s="21" customFormat="1" ht="128.25" x14ac:dyDescent="0.3">
      <c r="B190" s="17">
        <v>183</v>
      </c>
      <c r="C190" s="27" t="s">
        <v>1039</v>
      </c>
      <c r="D190" s="17"/>
      <c r="E190" s="29" t="str">
        <f>IFERROR(VLOOKUP(C190,기출문제!D:G,3,0),"")</f>
        <v>93. 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
① 1, 55
② 3, 55
③ 3, 60
④ 5, 55
⑤ 5, 60</v>
      </c>
      <c r="F190" s="30">
        <f>IFERROR(VLOOKUP(C190,기출문제!D:G,4,0),"")</f>
        <v>5</v>
      </c>
      <c r="G190" s="31" t="str">
        <f t="shared" si="2"/>
        <v/>
      </c>
      <c r="J190" s="23"/>
    </row>
    <row r="191" spans="2:10" s="21" customFormat="1" ht="128.25" x14ac:dyDescent="0.3">
      <c r="B191" s="17">
        <v>184</v>
      </c>
      <c r="C191" s="27" t="s">
        <v>1040</v>
      </c>
      <c r="D191" s="17"/>
      <c r="E191" s="29" t="str">
        <f>IFERROR(VLOOKUP(C191,기출문제!D:G,3,0),"")</f>
        <v>94. 국민건강보험법령상 보험급여의 제한에 관한 내용으로 옳지 않은 것은?
① 공단은 보험급여를 제한하는 경우에는 지체없이 구두로 그 내용과 사유를 가입자에게 알려야 한다.
② 공단은 보험급여를 받을 수 있는 사람이 중대한 과실로 요양기관의 요양에 관한 지시에 따르지 아니한 경우에는 보험급여를 하지 아니한다.
③ 공단은 보험급여를 받을 수 있는 사람이 다른 법령에 따라 국가나 지방자치단체로부터 보험급여에 상당하는 급여를 받은 경우에는 그 한도에서 보험급여를 하지 아니한다.
④ 공단은 보험급여를 받을 수 있는 사람이 업무로 생긴 질병으로 다른 법령에 따른 보험급여를 받게 된 경우에는 보험급여를 하지 아니한다.
⑤ 공단은 보험급여를 받을 수 있는 사람이 고의로 사고를 일으킨 경우에는 보험급여를 하지 아니한다.</v>
      </c>
      <c r="F191" s="30">
        <f>IFERROR(VLOOKUP(C191,기출문제!D:G,4,0),"")</f>
        <v>1</v>
      </c>
      <c r="G191" s="31" t="str">
        <f t="shared" si="2"/>
        <v/>
      </c>
      <c r="J191" s="23"/>
    </row>
    <row r="192" spans="2:10" s="21" customFormat="1" ht="128.25" x14ac:dyDescent="0.3">
      <c r="B192" s="17">
        <v>185</v>
      </c>
      <c r="C192" s="27" t="s">
        <v>1041</v>
      </c>
      <c r="D192" s="17"/>
      <c r="E192" s="29" t="str">
        <f>IFERROR(VLOOKUP(C192,기출문제!D:G,3,0),"")</f>
        <v>95. 국민건강보험법상 보험료에 관한 내용으로 옳지 않은 것은?
① 보험료는 가입자의 자격을 매월 1일에 취득하는 경우에는 다음 달부터 가입자의 자격을 잃은 날의 전날이 속하는 달까지 징수한다.
② 휴직으로 보수의 전부 또는 일부가 지급되니 아니하는 가입자의 보수월액보험료는 해당 사유가 생기기 전 달의 보수월액을 기준으로 산정한다.
③ 보험료부과점수의 산정방법과 산정기준을 정할 때 법령에 따라 재산권의 행사가 제한되는 재산에 대하여는 다른 재산과 달리 정할 수 있다.
④ 직장가입자의 소득월액보험료는 직장가입자가 부담한다.
⑤ 지역가입자의 보험료는 그 가입자가 속한 세대의 지역가입자 전원이 연대하여 부담한다.</v>
      </c>
      <c r="F192" s="30">
        <f>IFERROR(VLOOKUP(C192,기출문제!D:G,4,0),"")</f>
        <v>1</v>
      </c>
      <c r="G192" s="31" t="str">
        <f t="shared" si="2"/>
        <v/>
      </c>
      <c r="J192" s="23"/>
    </row>
    <row r="193" spans="2:10" s="21" customFormat="1" ht="99.75" x14ac:dyDescent="0.3">
      <c r="B193" s="17">
        <v>186</v>
      </c>
      <c r="C193" s="27" t="s">
        <v>1042</v>
      </c>
      <c r="D193" s="17"/>
      <c r="E193" s="29" t="str">
        <f>IFERROR(VLOOKUP(C193,기출문제!D:G,3,0),"")</f>
        <v>96. 고용보험 및 산업재해보상보험의 보험료징수 등에 관한 법률상 근로복지공단의 업무가 아닌 것은?
① 고용보험료의 월별 부과
② 환수대상이 되는 고용보험료의 지원금의 징수
③ 사업주가 법이 정한 기한까지 확정보험료를 신고하지 않은 경우 부과한 보험료 가산금의 징수
④ 사업주가 법이 정한 납부기한까지 보험료를 내지 아니한 경우 보험료 연체금의 징수
⑤ 사업주가 산재보험료의 납부를 게을리한 기간 중에 발생한 재해에 대하여 산재보험급여를 지급하는 경우 사업주로부터 그 급여에 해당하는 금액의 징수</v>
      </c>
      <c r="F193" s="30">
        <f>IFERROR(VLOOKUP(C193,기출문제!D:G,4,0),"")</f>
        <v>4</v>
      </c>
      <c r="G193" s="31" t="str">
        <f t="shared" si="2"/>
        <v/>
      </c>
      <c r="J193" s="23"/>
    </row>
    <row r="194" spans="2:10" s="21" customFormat="1" ht="114" x14ac:dyDescent="0.3">
      <c r="B194" s="17">
        <v>187</v>
      </c>
      <c r="C194" s="27" t="s">
        <v>1043</v>
      </c>
      <c r="D194" s="17"/>
      <c r="E194" s="29" t="str">
        <f>IFERROR(VLOOKUP(C194,기출문제!D:G,3,0),"")</f>
        <v>97. 고용보험 및 산업재해보상보험의 보험료징수 등에 관한 법령상 보험료 등의 분할 납부에 관한 설명으로 옳은 것은?
① 사업주는 납부기한이 지난 고용보험료의 분할 납부의 승인을 근로복지공단에 신청할 수 있다.
② 건강보험공단은 분할 납부를 신청한 사업주에 대하여 납부능력을 확인하여 보험료와 이 법에 따른 그 밖의 징수금의 분할 납부를 승인할 수 있다.
③ 분할 납부의 승인과 취소에 관한 절차・방법, 분할 납부의 기간 및 납부능력 확인 등에 필요한 사항은 대통령령으로 정한다.
④ 근로복지공단은 분할 납부 승인을 받은 사업주가 분할 납부하여야 하는 보험료를 정당한 사유 없이 내지 아니한 경우에는 분할 납부의 승인을 취소할 수 있다.
⑤ 분할 납부의 총 기간은 분할 납부의 승인을 받은 날의 다음 날부터 1년 이내로 한다.</v>
      </c>
      <c r="F194" s="30">
        <f>IFERROR(VLOOKUP(C194,기출문제!D:G,4,0),"")</f>
        <v>2</v>
      </c>
      <c r="G194" s="31" t="str">
        <f t="shared" si="2"/>
        <v/>
      </c>
      <c r="J194" s="23"/>
    </row>
    <row r="195" spans="2:10" s="21" customFormat="1" ht="128.25" x14ac:dyDescent="0.3">
      <c r="B195" s="17">
        <v>188</v>
      </c>
      <c r="C195" s="27" t="s">
        <v>1044</v>
      </c>
      <c r="D195" s="17"/>
      <c r="E195" s="29" t="str">
        <f>IFERROR(VLOOKUP(C195,기출문제!D:G,3,0),"")</f>
        <v>98. 고용보험 및 산업재해보상보험의 보험료징수 등에 관한 법령상 징수 및 체납 처분 등에 관한 설명으로 옳은 것은?
① 상속이 개시된 경우 피상속인에 대한 처분의 효력은 상속인에게 미치지 않는다.
② 근로복지공단은 월별보험료의 독촉을 받은 자가 그 기한까지 내지 아니한 경우에는 국세 체납처분의 예에 따라 이를 징수할 수 있다.
③ 한국자산관리공사는 공매대행의 의뢰를 받은 날부터 2년 이내에 공매되지 않은 재산이 있으면 국민건강보험공단에 그 재산에 대한 공매대행 의뢰의 해제를 요구할 수 있다.
④ 국민건강보험공단은 독촉할 경우 그 납부기한은 독촉장 발급일부터 7일 이상의 여유가 있도록 하여야 한다.
⑤ 사업주가 국세를 체납하여 체납처분을 받은 경우 보험료의 총액이 500만원이라면 납부기한 전에 이미 납부의무가 확정된 보험료를 징수할 수 없다.</v>
      </c>
      <c r="F195" s="30">
        <f>IFERROR(VLOOKUP(C195,기출문제!D:G,4,0),"")</f>
        <v>3</v>
      </c>
      <c r="G195" s="31" t="str">
        <f t="shared" si="2"/>
        <v/>
      </c>
      <c r="J195" s="23"/>
    </row>
    <row r="196" spans="2:10" s="21" customFormat="1" ht="142.5" x14ac:dyDescent="0.3">
      <c r="B196" s="17">
        <v>189</v>
      </c>
      <c r="C196" s="27" t="s">
        <v>1045</v>
      </c>
      <c r="D196" s="17"/>
      <c r="E196" s="29" t="str">
        <f>IFERROR(VLOOKUP(C196,기출문제!D:G,3,0),"")</f>
        <v>99. 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
① ㄷ
② ㄴ, ㄷ
③ ㄴ, ㄹ
④ ㄴ, ㄷ, ㄹ
⑤ ㄱ, ㄴ, ㄷ, ㄹ</v>
      </c>
      <c r="F196" s="30">
        <f>IFERROR(VLOOKUP(C196,기출문제!D:G,4,0),"")</f>
        <v>4</v>
      </c>
      <c r="G196" s="31" t="str">
        <f t="shared" si="2"/>
        <v/>
      </c>
      <c r="J196" s="23"/>
    </row>
    <row r="197" spans="2:10" s="21" customFormat="1" ht="142.5" x14ac:dyDescent="0.3">
      <c r="B197" s="17">
        <v>190</v>
      </c>
      <c r="C197" s="27" t="s">
        <v>1046</v>
      </c>
      <c r="D197" s="17"/>
      <c r="E197" s="29" t="str">
        <f>IFERROR(VLOOKUP(C197,기출문제!D:G,3,0),"")</f>
        <v>100. 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
① 6개월, 1000분의 15
② 6개월, 1000분의 30
③ 1년, 1000분의 15
④ 1년, 1000분의 30
⑤ 3년, 1000분의 30</v>
      </c>
      <c r="F197" s="30">
        <f>IFERROR(VLOOKUP(C197,기출문제!D:G,4,0),"")</f>
        <v>4</v>
      </c>
      <c r="G197" s="31" t="str">
        <f t="shared" si="2"/>
        <v/>
      </c>
      <c r="J197" s="23"/>
    </row>
    <row r="198" spans="2:10" s="21" customFormat="1" ht="114" x14ac:dyDescent="0.3">
      <c r="B198" s="17">
        <v>191</v>
      </c>
      <c r="C198" s="27" t="s">
        <v>210</v>
      </c>
      <c r="D198" s="17"/>
      <c r="E198" s="29" t="str">
        <f>IFERROR(VLOOKUP(C198,기출문제!D:G,3,0),"")</f>
        <v>76. 사회보장기본법상 내용으로 옳은 것은?
① 사회보장위원회는 사회보장급여 관련 업무에 공통적으로 적용되는 기준을 마련하여야 한다.
② 사회보장 비용의 부담은 각각의 사회보장제도의 목적에 따라 국가, 지방자치단체가 민간부문보다 우선적으로 부담하여야 한다.
③ 국가와 지방자치단체는 관계 법령에서 정하는 바에 따라 공표된 최저보장수준과 최저임금 등을 고려하여 사회보장급여의 수준을 결정하여야 한다.
④ 사회보험에 드는 비용은 수익자가 부담함을 원칙으로 하되, 관계 법령에서 정하는 바에 따라 국가가 그 비용의 전부 또는 일부를 부담할 수 있다.
⑤ 사회보장에 관한 기본계획은 다른 법령에 따라 수립되는 사회보장에 관한 계획을 제외한 모든 계획의 기본이 된다.</v>
      </c>
      <c r="F198" s="30">
        <f>IFERROR(VLOOKUP(C198,기출문제!D:G,4,0),"")</f>
        <v>3</v>
      </c>
      <c r="G198" s="31" t="str">
        <f t="shared" si="2"/>
        <v/>
      </c>
      <c r="J198" s="23"/>
    </row>
    <row r="199" spans="2:10" s="21" customFormat="1" ht="85.5" x14ac:dyDescent="0.3">
      <c r="B199" s="17">
        <v>192</v>
      </c>
      <c r="C199" s="27" t="s">
        <v>1047</v>
      </c>
      <c r="D199" s="17"/>
      <c r="E199" s="29" t="str">
        <f>IFERROR(VLOOKUP(C199,기출문제!D:G,3,0),"")</f>
        <v>77. 사회보장기본법상 사회보장수급권에 관한 내용으로 옳지 않은 것은?
① 사회보장수급권은 관계 법령에서 정하는 바에 따라 다른 사람에게 양도하거나 담보로 제공할 수 없다.
② 사회보장수급권은 관계 법령에서 따로 정하고 있는 경우 외에는 제한되거나 정지될 수 없다.
③ 사회보장수급권이 제한되는 경우에는 제한하는 목적에 필요한 최소한의 범위에 그쳐야 한다.
④ 사회보장수급권은 정당한 권한이 있는 기관에 서면으로 통지하여 포기할 수 있다.
⑤ 사회보장수급권의 포기는 취소할 수 없다.</v>
      </c>
      <c r="F199" s="30">
        <f>IFERROR(VLOOKUP(C199,기출문제!D:G,4,0),"")</f>
        <v>5</v>
      </c>
      <c r="G199" s="31" t="str">
        <f t="shared" si="2"/>
        <v/>
      </c>
      <c r="J199" s="23"/>
    </row>
    <row r="200" spans="2:10" s="21" customFormat="1" ht="128.25" x14ac:dyDescent="0.3">
      <c r="B200" s="17">
        <v>193</v>
      </c>
      <c r="C200" s="27" t="s">
        <v>1048</v>
      </c>
      <c r="D200" s="17"/>
      <c r="E200" s="29" t="str">
        <f>IFERROR(VLOOKUP(C200,기출문제!D:G,3,0),"")</f>
        <v>78. 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
① 3년, 매년
② 3년, 격년
③ 5년, 매년
④ 5년, 격년
⑤ 10년, 격년</v>
      </c>
      <c r="F200" s="30">
        <f>IFERROR(VLOOKUP(C200,기출문제!D:G,4,0),"")</f>
        <v>4</v>
      </c>
      <c r="G200" s="31" t="str">
        <f t="shared" si="2"/>
        <v/>
      </c>
      <c r="J200" s="23"/>
    </row>
    <row r="201" spans="2:10" s="21" customFormat="1" ht="114" x14ac:dyDescent="0.3">
      <c r="B201" s="17">
        <v>194</v>
      </c>
      <c r="C201" s="27" t="s">
        <v>1049</v>
      </c>
      <c r="D201" s="17"/>
      <c r="E201" s="29" t="str">
        <f>IFERROR(VLOOKUP(C201,기출문제!D:G,3,0),"")</f>
        <v>79. 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
① 20만원
② 30만원
③ 40만원
④ 50만원
⑤ 60만원</v>
      </c>
      <c r="F201" s="30">
        <f>IFERROR(VLOOKUP(C201,기출문제!D:G,4,0),"")</f>
        <v>4</v>
      </c>
      <c r="G201" s="31" t="str">
        <f t="shared" ref="G201:G264" si="3">IF(D201="","",IF(D201=F201,"O", "X"))</f>
        <v/>
      </c>
      <c r="J201" s="23"/>
    </row>
    <row r="202" spans="2:10" s="21" customFormat="1" ht="99.75" x14ac:dyDescent="0.3">
      <c r="B202" s="17">
        <v>195</v>
      </c>
      <c r="C202" s="27" t="s">
        <v>1050</v>
      </c>
      <c r="D202" s="17"/>
      <c r="E202" s="29" t="str">
        <f>IFERROR(VLOOKUP(C202,기출문제!D:G,3,0),"")</f>
        <v>80. 고용보험법령상 고용창출에 대한 지원을 받을 수 있는 경우가 아닌 것은?
① 교대근로 개편을 통하여 실업자를 고용함으로써 근로자 수가 증가한 경우
② 시간제 직무 개발을 통하여 실업자를 근로계약기간을 정하지 않고 시간제로 근무하는 형태로 하여 새로 고용하는 경우
③ 고용보험위원회에서 심의・의결한 인력수급 불일치 업종에 해당하는 기업이 실업자를 고용하는 경우
④ 고용노동부장관이 정하는 시설을 설치・운영하여 고용환경을 개선하고 실업자를 고용하여 근로자 수가 증가한 경우
⑤ 고용보험위원회에서 심의・의결한 업종에 해당하는 대규모기업이 직업안정기관의 장이 정하는 전문적인 자격을 갖춘 자를 고용하는 경우</v>
      </c>
      <c r="F202" s="30">
        <f>IFERROR(VLOOKUP(C202,기출문제!D:G,4,0),"")</f>
        <v>5</v>
      </c>
      <c r="G202" s="31" t="str">
        <f t="shared" si="3"/>
        <v/>
      </c>
      <c r="J202" s="23"/>
    </row>
    <row r="203" spans="2:10" s="21" customFormat="1" ht="128.25" x14ac:dyDescent="0.3">
      <c r="B203" s="17">
        <v>196</v>
      </c>
      <c r="C203" s="27" t="s">
        <v>1051</v>
      </c>
      <c r="D203" s="17"/>
      <c r="E203" s="29" t="str">
        <f>IFERROR(VLOOKUP(C203,기출문제!D:G,3,0),"")</f>
        <v>81. 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
① ㄱ
② ㄱ, ㄴ
③ ㄱ, ㄷ
④ ㄴ, ㄷ
⑤ ㄱ, ㄴ, ㄷ</v>
      </c>
      <c r="F203" s="30">
        <f>IFERROR(VLOOKUP(C203,기출문제!D:G,4,0),"")</f>
        <v>1</v>
      </c>
      <c r="G203" s="31" t="str">
        <f t="shared" si="3"/>
        <v/>
      </c>
      <c r="J203" s="23"/>
    </row>
    <row r="204" spans="2:10" s="21" customFormat="1" ht="85.5" x14ac:dyDescent="0.3">
      <c r="B204" s="17">
        <v>197</v>
      </c>
      <c r="C204" s="27" t="s">
        <v>1052</v>
      </c>
      <c r="D204" s="17"/>
      <c r="E204" s="29" t="str">
        <f>IFERROR(VLOOKUP(C204,기출문제!D:G,3,0),"")</f>
        <v>82. 고용보험법상 구직급여의 소정급여일수로 옳은 것은?
① 피보험기간 4년, 이직일 현재 25세인 비장애인: 90일
② 피보험기간 2년, 이직일 현재 35세인 장애인: 120일
③ 피보험기간 4년, 이직일 현재 40세인 비장애인: 120일
④ 피보험기간 6년, 이직일 현재 30세인 장애인: 180일
⑤ 피보험기간 10년, 이직일 현재 45세인 비장애인: 240일</v>
      </c>
      <c r="F204" s="30">
        <f>IFERROR(VLOOKUP(C204,기출문제!D:G,4,0),"")</f>
        <v>5</v>
      </c>
      <c r="G204" s="31" t="str">
        <f t="shared" si="3"/>
        <v/>
      </c>
      <c r="J204" s="23"/>
    </row>
    <row r="205" spans="2:10" s="21" customFormat="1" ht="128.25" x14ac:dyDescent="0.3">
      <c r="B205" s="17">
        <v>198</v>
      </c>
      <c r="C205" s="27" t="s">
        <v>1053</v>
      </c>
      <c r="D205" s="17"/>
      <c r="E205" s="29" t="str">
        <f>IFERROR(VLOOKUP(C205,기출문제!D:G,3,0),"")</f>
        <v>83. 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
① ㄱ
② ㄱ, ㄴ
③ ㄱ, ㄷ
④ ㄴ, ㄷ
⑤ ㄱ, ㄴ, ㄷ</v>
      </c>
      <c r="F205" s="30">
        <f>IFERROR(VLOOKUP(C205,기출문제!D:G,4,0),"")</f>
        <v>1</v>
      </c>
      <c r="G205" s="31" t="str">
        <f t="shared" si="3"/>
        <v/>
      </c>
      <c r="J205" s="23"/>
    </row>
    <row r="206" spans="2:10" s="21" customFormat="1" ht="114" x14ac:dyDescent="0.3">
      <c r="B206" s="17">
        <v>199</v>
      </c>
      <c r="C206" s="27" t="s">
        <v>1054</v>
      </c>
      <c r="D206" s="17"/>
      <c r="E206" s="29" t="str">
        <f>IFERROR(VLOOKUP(C206,기출문제!D:G,3,0),"")</f>
        <v>84. 고용보험법상 고용보험기금에 관한 설명으로 옳지 않은 것은?
① 고용노동부장관은 매년 고용보험기금운용 계획을 세워 고용보험위원회 및 국무회의의 심의를 거쳐 대통령의 승인을 받아야 한다.
② 고용보험기금을 지출할 때 자금 부족이 발생한 경우에는 고용보험기금의 부담으로 금융기관・다른 기금과 그 밖의 재원 등으로부터 차입을 할 수 있다.
③ 고용노동부장관은 매년 고용보험기금의 운용 결과에 대하여 고용보험위원회의 심의를 거쳐 공표하여야 한다.
④ 고용보험기금의 관리・운용에 관한 세부 사항은 국고금관리법의 규정에 따른다.
⑤ 고용보험기금의 결산상 손실금이 생기면 적립금을 사용하여 이를 보전(補塡)할 수 있다.</v>
      </c>
      <c r="F206" s="30">
        <f>IFERROR(VLOOKUP(C206,기출문제!D:G,4,0),"")</f>
        <v>4</v>
      </c>
      <c r="G206" s="31" t="str">
        <f t="shared" si="3"/>
        <v/>
      </c>
      <c r="J206" s="23"/>
    </row>
    <row r="207" spans="2:10" s="21" customFormat="1" ht="85.5" x14ac:dyDescent="0.3">
      <c r="B207" s="17">
        <v>200</v>
      </c>
      <c r="C207" s="27" t="s">
        <v>1055</v>
      </c>
      <c r="D207" s="17"/>
      <c r="E207" s="29" t="str">
        <f>IFERROR(VLOOKUP(C207,기출문제!D:G,3,0),"")</f>
        <v>85. 산업재해보상보험법령상의 보험급여의 내용으로 옳지 않은 것은?
① 장해급여 청구사유 발생 당시 대한민국 국민이 아닌 자로서 외국에서 거주하고 있는 근로자에게는 장해보상일시금을 지급한다.
② 간병급여 수급권자가 재요양을 받는 경우 그 재요양 기간 중에는 간병급여를 지급하지 않는다.
③ 유족보상일시금은 근로자가 사망할 당시 유족보상연금을 받을 수 있는 자격이 있는 자가 없는 경우에 지급한다.
④ 유족급여는 근로자가 업무상의 사유로 사망한 경우에 유족에게 지급한다.
⑤ 장례비는 유족이 아닌 자가 장례를 지낸 경우에는 평균임금의 120일분을 그 장례를 지낸 자에게 지급한다.</v>
      </c>
      <c r="F207" s="30">
        <f>IFERROR(VLOOKUP(C207,기출문제!D:G,4,0),"")</f>
        <v>5</v>
      </c>
      <c r="G207" s="31" t="str">
        <f t="shared" si="3"/>
        <v/>
      </c>
      <c r="J207" s="23"/>
    </row>
    <row r="208" spans="2:10" s="21" customFormat="1" ht="85.5" x14ac:dyDescent="0.3">
      <c r="B208" s="17">
        <v>201</v>
      </c>
      <c r="C208" s="27" t="s">
        <v>1056</v>
      </c>
      <c r="D208" s="17"/>
      <c r="E208" s="29" t="str">
        <f>IFERROR(VLOOKUP(C208,기출문제!D:G,3,0),"")</f>
        <v>86. 산업재해보상보험법상 심사청구의 제기와 관련한 내용으로 옳지 않은 것은?
① 심사 청구는 그 보험급여 결정등을 한 근로복지공단의 소속 기관을 거쳐 근로복지공단에 제기하여야 한다.
② 심사 청구는 보험급여 결정등이 있음을 안 날부터 90일 이내에 하여야 한다.
③ 심사 청구서를 받은 근로복지공단의 소속 기관은 5일 이내에 의견서를 첨부하여 근로복지공단에 보내야 한다.
④ 보험급여 결정등에 대하여 행정심판법에 따른 행정심판을 제기할 수 있다.
⑤ 약제비에 관한 근로복지공단의 결정에 불복하는 자는 근로복지공단에 심사 청구를 할 수 있다.</v>
      </c>
      <c r="F208" s="30">
        <f>IFERROR(VLOOKUP(C208,기출문제!D:G,4,0),"")</f>
        <v>4</v>
      </c>
      <c r="G208" s="31" t="str">
        <f t="shared" si="3"/>
        <v/>
      </c>
      <c r="J208" s="23"/>
    </row>
    <row r="209" spans="2:10" s="21" customFormat="1" ht="114" x14ac:dyDescent="0.3">
      <c r="B209" s="17">
        <v>202</v>
      </c>
      <c r="C209" s="27" t="s">
        <v>1057</v>
      </c>
      <c r="D209" s="17"/>
      <c r="E209" s="29" t="str">
        <f>IFERROR(VLOOKUP(C209,기출문제!D:G,3,0),"")</f>
        <v>87. 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
① 70, 80
② 80, 80
③ 80, 90
④ 85, 90
⑤ 90, 90</v>
      </c>
      <c r="F209" s="30">
        <f>IFERROR(VLOOKUP(C209,기출문제!D:G,4,0),"")</f>
        <v>3</v>
      </c>
      <c r="G209" s="31" t="str">
        <f t="shared" si="3"/>
        <v/>
      </c>
      <c r="J209" s="23"/>
    </row>
    <row r="210" spans="2:10" s="21" customFormat="1" ht="85.5" x14ac:dyDescent="0.3">
      <c r="B210" s="17">
        <v>203</v>
      </c>
      <c r="C210" s="27" t="s">
        <v>1058</v>
      </c>
      <c r="D210" s="17"/>
      <c r="E210" s="32" t="str">
        <f>IFERROR(VLOOKUP(C210,기출문제!D:G,3,0),"")</f>
        <v>88. 산업재해보상보험법령상 특수형태근로종사자가 아닌 것은?
① 한국표준직업분류표의 세분류에 따른 택배원인 사람으로서 택배사업에서 배송업무를 하는 사람
② 농업협동조합법에 따른 공제를 모집하는 사람
③ 대부업 등의 등록 및 금융이용자 보호에 관한 법률 제3조제1항 단서에 따른 대출모집인
④ 여신전문금융업법 제14조의2제1항제2호에 따른 신용카드회원 모집인
⑤ 고용노동부장관이 정하는 기준에 따라 주로 하나의 대리운전업자로부터 업무를 의뢰받아 대리운전업무를 하는 사람</v>
      </c>
      <c r="F210" s="30">
        <f>IFERROR(VLOOKUP(C210,기출문제!D:G,4,0),"")</f>
        <v>2</v>
      </c>
      <c r="G210" s="31" t="str">
        <f t="shared" si="3"/>
        <v/>
      </c>
      <c r="J210" s="23"/>
    </row>
    <row r="211" spans="2:10" s="21" customFormat="1" ht="128.25" x14ac:dyDescent="0.3">
      <c r="B211" s="17">
        <v>204</v>
      </c>
      <c r="C211" s="27" t="s">
        <v>1059</v>
      </c>
      <c r="D211" s="17"/>
      <c r="E211" s="29" t="str">
        <f>IFERROR(VLOOKUP(C211,기출문제!D:G,3,0),"")</f>
        <v>89. 산업재해보상보험법상 다음 내용으로 옳은 것은?
① 보험급여는 지급 결정일부터 30일 이내에 지급하여야 한다.
② 수급권자 및 보험가입자는 제3자의 행위로 재해가 발생하면 30일 이내에 근로복지공단에 신고하여야 한다.
③ 진폐의 진단결과에 대하여 진폐병형 및 합병증 등을 심사하기 위하여 안전보건공단에 관계 전문가 등으로 구성된 진폐심사회의를 둔다.
④ 근로복지공단은 산재보험 의료기관이 요양급여의 산정 기준을 위반하여 부당하게 진료비를 지급받은 경우에는 그 진료비의 2배에 해당하는 금액을 징수하여야 한다.
⑤ 근로복지공단은 보험급여를 받은 자가 거짓이나 그 밖의 부정한 방법으로 보험급여를 받은 경우에는 그 급여액의 2배에 해당하는 금액을 징수하여야 한다.</v>
      </c>
      <c r="F211" s="30">
        <f>IFERROR(VLOOKUP(C211,기출문제!D:G,4,0),"")</f>
        <v>5</v>
      </c>
      <c r="G211" s="31" t="str">
        <f t="shared" si="3"/>
        <v/>
      </c>
      <c r="J211" s="23"/>
    </row>
    <row r="212" spans="2:10" s="21" customFormat="1" ht="85.5" x14ac:dyDescent="0.3">
      <c r="B212" s="17">
        <v>205</v>
      </c>
      <c r="C212" s="27" t="s">
        <v>1060</v>
      </c>
      <c r="D212" s="17"/>
      <c r="E212" s="29" t="str">
        <f>IFERROR(VLOOKUP(C212,기출문제!D:G,3,0),"")</f>
        <v>90. 산업재해보상보험법령상 산업재해보상보험및예방심의위원회의 위원의 임기 등과 관련한 내용으로 옳지 않은 것은?
① 위원의 임기는 3년으로 하며, 연임할 수 없다.
② 보궐위원의 임기는 전임자의 남은 임기로 한다.
③ 고용노동부장관은 심신장애로 인하여 직무를 수행할 수 없게 된 경우 해당 위원을 해촉(解囑)할 수 있다.
④ 고용노동부장관은 직무와 관련된 비위사실이 있는 경우 해당 위원을 해촉(解囑)할 수 있다.
⑤ 고용노동부장관은 위원 스스로 직무를 수행하는 것이 곤란하다고 의사를 밝히는 경우 해당 위원을 해촉(解囑)할 수 있다.</v>
      </c>
      <c r="F212" s="30">
        <f>IFERROR(VLOOKUP(C212,기출문제!D:G,4,0),"")</f>
        <v>1</v>
      </c>
      <c r="G212" s="31" t="str">
        <f t="shared" si="3"/>
        <v/>
      </c>
      <c r="J212" s="23"/>
    </row>
    <row r="213" spans="2:10" s="21" customFormat="1" ht="114" x14ac:dyDescent="0.3">
      <c r="B213" s="17">
        <v>206</v>
      </c>
      <c r="C213" s="27" t="s">
        <v>1061</v>
      </c>
      <c r="D213" s="17"/>
      <c r="E213" s="29" t="str">
        <f>IFERROR(VLOOKUP(C213,기출문제!D:G,3,0),"")</f>
        <v>91. 산업재해보상보험법에 관한 설명으로 옳은 것은?
① "장해"란 부상 또는 질병이 완치되거나 치료의 효과를 더 이상 기대할 수 없고 그 증상이 고정된 상태에 이르게 된 것을 말한다.
② 근로복지공단의 이사장은 산업재해 예방 사업에 필요한 재원을 확보하고, 보험급여에 충당하기 위하여 산업재해보상보험및예방기금을 설치・운용한다.
③ 산업재해보상보험심사위원회는 근로복지공단에 두며, 산업재해보상보험재심사위원회는 고용노동부에 둔다.
④ "업무상의 사고"란 업무상의 사유에 따른 근로자의 부상, 질병, 장해 또는 사망을 말한다.
⑤ 근로복지공단은 심사청구서를 받은 날부터 90일 이내에 산업재해보상보험심사위원회의 심의를 거쳐 심사 청구에 대한 결정을 하여야 한다.</v>
      </c>
      <c r="F213" s="30">
        <f>IFERROR(VLOOKUP(C213,기출문제!D:G,4,0),"")</f>
        <v>3</v>
      </c>
      <c r="G213" s="31" t="str">
        <f t="shared" si="3"/>
        <v/>
      </c>
      <c r="J213" s="23"/>
    </row>
    <row r="214" spans="2:10" s="21" customFormat="1" ht="114" x14ac:dyDescent="0.3">
      <c r="B214" s="17">
        <v>207</v>
      </c>
      <c r="C214" s="27" t="s">
        <v>1062</v>
      </c>
      <c r="D214" s="17"/>
      <c r="E214" s="29" t="str">
        <f>IFERROR(VLOOKUP(C214,기출문제!D:G,3,0),"")</f>
        <v>92. 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
① 10, 60, 55
② 10, 60, 60
③ 10, 65, 60
④ 20, 60, 55
⑤ 20, 65, 60</v>
      </c>
      <c r="F214" s="30">
        <f>IFERROR(VLOOKUP(C214,기출문제!D:G,4,0),"")</f>
        <v>1</v>
      </c>
      <c r="G214" s="31" t="str">
        <f t="shared" si="3"/>
        <v/>
      </c>
      <c r="J214" s="23"/>
    </row>
    <row r="215" spans="2:10" s="21" customFormat="1" ht="99.75" x14ac:dyDescent="0.3">
      <c r="B215" s="17">
        <v>208</v>
      </c>
      <c r="C215" s="27" t="s">
        <v>1063</v>
      </c>
      <c r="D215" s="17"/>
      <c r="E215" s="29" t="str">
        <f>IFERROR(VLOOKUP(C215,기출문제!D:G,3,0),"")</f>
        <v>93. 국민연금법상 시효에 관한 설명으로 옳지 않은 것은?
① 연금보험료를 징수할 권리는 3년간 행사하지 아니하면 소멸시효가 완성된다.
② 환수금을 환수할 권리는 3년간 행사하지 아니하면 소멸시효가 완성된다.
③ 급여를 받거나 과오납금을 반환받을 수급권자 또는 가입자 등의 권리는 3년간 행사하지 아니하면 소멸시효가 완성된다.
④ 급여를 지급받을 권리는 그 급여 전액에 대하여 지급이 정지되어 있는 동안은 시효가 진행되지 아니한다.
⑤ 급여의 지급이나 과오납금 등의 반환청구에 관한 기간을 계산할 때 그 서류의 송달에 들어간 일수는 그 기간에 산입하지 아니한다.</v>
      </c>
      <c r="F215" s="30">
        <f>IFERROR(VLOOKUP(C215,기출문제!D:G,4,0),"")</f>
        <v>3</v>
      </c>
      <c r="G215" s="31" t="str">
        <f t="shared" si="3"/>
        <v/>
      </c>
      <c r="J215" s="23"/>
    </row>
    <row r="216" spans="2:10" s="21" customFormat="1" ht="85.5" x14ac:dyDescent="0.3">
      <c r="B216" s="17">
        <v>209</v>
      </c>
      <c r="C216" s="27" t="s">
        <v>1064</v>
      </c>
      <c r="D216" s="17"/>
      <c r="E216" s="29" t="str">
        <f>IFERROR(VLOOKUP(C216,기출문제!D:G,3,0),"")</f>
        <v>94. 국민건강보험법상 가입자의 자격변동 시기에 해당하지 않는 것은?
① 지역가입자가 적용대상사업장의 사용자로 된 날
② 직장가입자가 다른 적용대상사업장의 근로자로 사용된 날
③ 직장가입자인 근로자등이 그 사용관계가 끝난 날
④ 지역가입자가 적용대상사업장의 근로자로 사용된 날
⑤ 지역가입자가 다른 세대로 전입한 날</v>
      </c>
      <c r="F216" s="30">
        <f>IFERROR(VLOOKUP(C216,기출문제!D:G,4,0),"")</f>
        <v>3</v>
      </c>
      <c r="G216" s="31" t="str">
        <f t="shared" si="3"/>
        <v/>
      </c>
      <c r="J216" s="23"/>
    </row>
    <row r="217" spans="2:10" s="21" customFormat="1" ht="99.75" x14ac:dyDescent="0.3">
      <c r="B217" s="17">
        <v>210</v>
      </c>
      <c r="C217" s="27" t="s">
        <v>1065</v>
      </c>
      <c r="D217" s="17"/>
      <c r="E217" s="29" t="str">
        <f>IFERROR(VLOOKUP(C217,기출문제!D:G,3,0),"")</f>
        <v>95. 국민건강보험법상 다음 설명으로 옳지 않은 것은?
① 직장가입자의 보수월액보험료는 사용자가 납부한다.
② 직장가입자의 보수월액보험료는 보수월액에 보험료율을 곱하여 얻은 금액으로 한다.
③ 직장가입자의 보수월액은 직장가입자가 지급받는 보수를 기준으로 하여 산정하되, 상한과 하한을 정할 수 있다.
④ 국민건강보험공단 또는 건강보험심사평가원의 이의신청에 대한 결정에 불복하는 자는 보건복지부에 둔 건강보험분쟁조정위원회에 심판청구를 할 수 있다.
⑤ 이의신청은 처분이 있음을 안 날부터 60일 이내, 처분이 있은 날부터 180일 이내에 하여야 한다.</v>
      </c>
      <c r="F217" s="30">
        <f>IFERROR(VLOOKUP(C217,기출문제!D:G,4,0),"")</f>
        <v>5</v>
      </c>
      <c r="G217" s="31" t="str">
        <f t="shared" si="3"/>
        <v/>
      </c>
      <c r="J217" s="23"/>
    </row>
    <row r="218" spans="2:10" s="21" customFormat="1" ht="99.75" x14ac:dyDescent="0.3">
      <c r="B218" s="17">
        <v>211</v>
      </c>
      <c r="C218" s="27" t="s">
        <v>1066</v>
      </c>
      <c r="D218" s="17"/>
      <c r="E218" s="29" t="str">
        <f>IFERROR(VLOOKUP(C218,기출문제!D:G,3,0),"")</f>
        <v>96. 고용보험 및 산업재해보상보험의 보험료 징수 등에 관한 법률상 소멸시효 등 보칙에 관한 설명으로 옳은 것은?
① 보험료를 반환받을 수 있는 권리는 1년간 행사하지 아니하면 시효로 인하여 소멸한다.
② 월별보험료 납입을 전자문서로 고지한 경우에는 소멸시효가 중단되지 않는다.
③ 사업종류의 변경으로 보험료 납부방법이 변경되는 경우에는 사업종류의 변경일을 변경 전 사업 폐지일로, 사업종류의 변경일 다음 날을 새로운 사업성립일로 본다.
④ 보험료 과납액의 반환을 청구하는 경우에는 소멸시효가 중단되지 않는다.
⑤ 이 법에 따른 체납처분 절차에 따라 하는 교부청구로 중단된 소멸시효는 교부청구 중의 기간이 지난 때부터 새로 진행한다.</v>
      </c>
      <c r="F218" s="30">
        <f>IFERROR(VLOOKUP(C218,기출문제!D:G,4,0),"")</f>
        <v>5</v>
      </c>
      <c r="G218" s="31" t="str">
        <f t="shared" si="3"/>
        <v/>
      </c>
      <c r="J218" s="23"/>
    </row>
    <row r="219" spans="2:10" s="21" customFormat="1" ht="114" x14ac:dyDescent="0.3">
      <c r="B219" s="17">
        <v>212</v>
      </c>
      <c r="C219" s="27" t="s">
        <v>1067</v>
      </c>
      <c r="D219" s="17"/>
      <c r="E219" s="29" t="str">
        <f>IFERROR(VLOOKUP(C219,기출문제!D:G,3,0),"")</f>
        <v>97. 고용보험 및 산업재해보상보험의 보험료 징수 등에 관한 법령상 고용노동부장관이 정하여 고시하는 금액(기준보수)에 관한 설명으로 옳지 않은 것은?
① 사업의 도산으로 보수를 확인하기 곤란한 경우 기준보수를 보수로 할 수 있다.
② 사업장의 이전으로 사업의 소재지를 파악하기 곤란한 경우 기준보수를 보수로 할 수 있다.
③ 근로일에 따라 일당 형식의 보수를 지급받는 근로자에게는 주당 소정근로시간을 실제 근로한 시간으로 보아 일단위 기준보수를 적용한다.
④ 통상근로자로서 월정액으로 보수를 지급받는 근로자에게는 월단위 기준보수를 적용한다.
⑤ 시간급근로자 또는 일급근로자임이 명확하지 아니한 경우에는 월단위 기준보수를 적용한다.</v>
      </c>
      <c r="F219" s="30">
        <f>IFERROR(VLOOKUP(C219,기출문제!D:G,4,0),"")</f>
        <v>3</v>
      </c>
      <c r="G219" s="31" t="str">
        <f t="shared" si="3"/>
        <v/>
      </c>
      <c r="J219" s="23"/>
    </row>
    <row r="220" spans="2:10" s="21" customFormat="1" ht="114" x14ac:dyDescent="0.3">
      <c r="B220" s="17">
        <v>213</v>
      </c>
      <c r="C220" s="27" t="s">
        <v>1068</v>
      </c>
      <c r="D220" s="17"/>
      <c r="E220" s="29" t="str">
        <f>IFERROR(VLOOKUP(C220,기출문제!D:G,3,0),"")</f>
        <v>98. 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
① 10, 2, 15
② 10, 3, 15
③ 15, 2, 15
④ 15, 3, 15
⑤ 20, 2, 15</v>
      </c>
      <c r="F220" s="30">
        <f>IFERROR(VLOOKUP(C220,기출문제!D:G,4,0),"")</f>
        <v>2</v>
      </c>
      <c r="G220" s="31" t="str">
        <f t="shared" si="3"/>
        <v/>
      </c>
      <c r="J220" s="23"/>
    </row>
    <row r="221" spans="2:10" s="21" customFormat="1" ht="142.5" x14ac:dyDescent="0.3">
      <c r="B221" s="17">
        <v>214</v>
      </c>
      <c r="C221" s="27" t="s">
        <v>1069</v>
      </c>
      <c r="D221" s="17"/>
      <c r="E221" s="29" t="str">
        <f>IFERROR(VLOOKUP(C221,기출문제!D:G,3,0),"")</f>
        <v>99. 고용보험 및 산업재해보상보험의 보험료 징수 등에 관한 법령의 내용으로 옳은 것은?
① 고용보험료를 징수하는 경우, 근로자가 휴직기간 중에 사업주 외의 자로부터 지급받는 금품 일체는 보수에서 제외된다.
② "하수급인"이란 원수급인으로부터 그 사업의 전부 또는 일부를 도급받아 하는 자를 말하고, 그 자로부터 그 사업의 전부 또는 일부를 도급받아 하는 자는 제외한다.
③ 보험에 가입한 사업주는 그 이름, 사업의 소재지 등 대통령령으로 정하는 사항이 변경된 경우에는 그 날부터 7일 이내에 그 변경사항을 근로복지공단에 신고하여야 한다.
④ 근로기준법에 따른 출산전후휴가의 기간이 월의 중간에 종료된 경우에 그 근로자의 월별보험료는 해당 월의 다음 달부터 산정한다.
⑤ 보험사업에 드는 비용에 충당하기 위하여 보험가입자로부터 고용안정・직업능력개발사업 및 실업급여의 보험료, 육아휴직 급여 및 출산전후휴가 급여의 보험료, 산재보험의 보험료를 징수한다.</v>
      </c>
      <c r="F221" s="30">
        <f>IFERROR(VLOOKUP(C221,기출문제!D:G,4,0),"")</f>
        <v>4</v>
      </c>
      <c r="G221" s="31" t="str">
        <f t="shared" si="3"/>
        <v/>
      </c>
      <c r="J221" s="23"/>
    </row>
    <row r="222" spans="2:10" s="21" customFormat="1" ht="128.25" x14ac:dyDescent="0.3">
      <c r="B222" s="17">
        <v>215</v>
      </c>
      <c r="C222" s="27" t="s">
        <v>1070</v>
      </c>
      <c r="D222" s="17"/>
      <c r="E222" s="29" t="str">
        <f>IFERROR(VLOOKUP(C222,기출문제!D:G,3,0),"")</f>
        <v>100. 고용보험 및 산업재해보상보험의 보험료 징수 등에 관한 법률상 보험관계의 성립일 또는 소멸일에 관한 설명으로 옳은 것은?
① 보험에 가입한 하수급인의 경우에는 그 하도급공사의 착공일의 다음 날이 성립일이다.
② 가입사업주가 그 사업의 운영 중에 근로자를 고용하지 아니하게 된 때에 근로자를 사용하지 아니한 첫 날부터 1년이 되는 날이 소멸일이다.
③ 근로복지공단이 계속하여 보험관계를 유지할 수 없다고 인정하여 그 보험관계를 소멸시키는 경우에는 그 소멸을 결정・통지한 날의 다음 날이 소멸일이다.
④ 근로복지공단의 승인을 얻어 가입한 보험계약을 해지하는 경우에는 그 해지에 관하여 근로복지공단의 승인을 받은 날이 소멸일이다.
⑤ 일괄적용을 받는 사업의 경우에는 처음하는 사업이 시작된 날의 다음 날이 성립일이다.</v>
      </c>
      <c r="F222" s="30">
        <f>IFERROR(VLOOKUP(C222,기출문제!D:G,4,0),"")</f>
        <v>3</v>
      </c>
      <c r="G222" s="31" t="str">
        <f t="shared" si="3"/>
        <v/>
      </c>
      <c r="J222" s="23"/>
    </row>
    <row r="223" spans="2:10" s="21" customFormat="1" ht="114" x14ac:dyDescent="0.3">
      <c r="B223" s="17">
        <v>216</v>
      </c>
      <c r="C223" s="27" t="s">
        <v>253</v>
      </c>
      <c r="D223" s="17"/>
      <c r="E223" s="29" t="str">
        <f>IFERROR(VLOOKUP(C223,기출문제!D:G,3,0),"")</f>
        <v>76. 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
① 사회보험, 공공부조, 사회안전망
② 공공부조, 사회서비스, 사회안전망
③ 사회보험, 공공부조, 사회서비스
④ 사회서비스, 사회안전망, 사회보험
⑤ 보편적 복지, 공공부조, 사회서비스</v>
      </c>
      <c r="F223" s="30">
        <f>IFERROR(VLOOKUP(C223,기출문제!D:G,4,0),"")</f>
        <v>3</v>
      </c>
      <c r="G223" s="31" t="str">
        <f t="shared" si="3"/>
        <v/>
      </c>
      <c r="J223" s="23"/>
    </row>
    <row r="224" spans="2:10" s="21" customFormat="1" ht="85.5" x14ac:dyDescent="0.3">
      <c r="B224" s="17">
        <v>217</v>
      </c>
      <c r="C224" s="27" t="s">
        <v>842</v>
      </c>
      <c r="D224" s="17"/>
      <c r="E224" s="29" t="str">
        <f>IFERROR(VLOOKUP(C224,기출문제!D:G,3,0),"")</f>
        <v>77. 사회보장기본법령상 사회보장위원회의 구성에 관한 설명으로 옳은 것은?
① 농림축산식품부장관, 환경부장관은 위원회의 위원이다.
② 대통령이 위촉한 근로자를 대표하는 위원은 어떤 경우에도 해촉될 수 없다.
③ 보궐위원의 임기는 2년으로 한다.
④ 위원회의 위원장은 행정자치부장관이 된다.
⑤ 위원회의 사무를 효율적으로 처리하기 위하여 행정자치부에 사무국을 둔다.</v>
      </c>
      <c r="F224" s="30">
        <f>IFERROR(VLOOKUP(C224,기출문제!D:G,4,0),"")</f>
        <v>1</v>
      </c>
      <c r="G224" s="31" t="str">
        <f t="shared" si="3"/>
        <v/>
      </c>
      <c r="J224" s="23"/>
    </row>
    <row r="225" spans="2:10" s="21" customFormat="1" ht="99.75" x14ac:dyDescent="0.3">
      <c r="B225" s="17">
        <v>218</v>
      </c>
      <c r="C225" s="27" t="s">
        <v>843</v>
      </c>
      <c r="D225" s="17"/>
      <c r="E225" s="29" t="str">
        <f>IFERROR(VLOOKUP(C225,기출문제!D:G,3,0),"")</f>
        <v>78. 사회보장기본법상 내용으로 옳지 않은 것은?
① 국가와 지방자치단체는 모든 국민의 인간다운 생활을 유지・증진하는 책임을 가진다.
② 국가와 지방자치단체는 사회보장에 관한 책임과 역할을 합리적으로 분담하여야 한다.
③ 국가와 지방자치단체는 국가 발전수준에 부응하고 사회환경의 변화에 선제적으로 대응하며 지속가능한 사회보장제도를 확립하고 매년 이에 필요한 재원을 조달하여야 한다.
④ 국가와 지방자치단체는 가정이 건전하게 유지되고 그 기능이 향상되도록 노력하여야 한다.
⑤ 국가와 지방자치단체는 중장기 사회보장 재정추계를 격년으로 실시하고 이를 공표하여야 한다.</v>
      </c>
      <c r="F225" s="30">
        <f>IFERROR(VLOOKUP(C225,기출문제!D:G,4,0),"")</f>
        <v>5</v>
      </c>
      <c r="G225" s="31" t="str">
        <f t="shared" si="3"/>
        <v/>
      </c>
      <c r="J225" s="23"/>
    </row>
    <row r="226" spans="2:10" s="21" customFormat="1" ht="128.25" x14ac:dyDescent="0.3">
      <c r="B226" s="17">
        <v>219</v>
      </c>
      <c r="C226" s="27" t="s">
        <v>844</v>
      </c>
      <c r="D226" s="17"/>
      <c r="E226" s="29" t="str">
        <f>IFERROR(VLOOKUP(C226,기출문제!D:G,3,0),"")</f>
        <v>79. 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
① 10일
② 15일
③ 30일
④ 2개월
⑤ 3개월</v>
      </c>
      <c r="F226" s="30">
        <f>IFERROR(VLOOKUP(C226,기출문제!D:G,4,0),"")</f>
        <v>3</v>
      </c>
      <c r="G226" s="31" t="str">
        <f t="shared" si="3"/>
        <v/>
      </c>
      <c r="J226" s="23"/>
    </row>
    <row r="227" spans="2:10" s="21" customFormat="1" ht="114" x14ac:dyDescent="0.3">
      <c r="B227" s="17">
        <v>220</v>
      </c>
      <c r="C227" s="27" t="s">
        <v>845</v>
      </c>
      <c r="D227" s="17"/>
      <c r="E227" s="29" t="str">
        <f>IFERROR(VLOOKUP(C227,기출문제!D:G,3,0),"")</f>
        <v>80. 고용보험법령상 구직급여에 관한 설명으로 옳지 않은 것은?
① 구직급여를 받으려는 자는 이직 후 지체없이 직업안정기관에 출석하여 실업을 신고하여야 한다.
② 구직급여를 지급받기 위해 실업을 신고하려는 자가 사업주로부터 이직확인서를 발급받는 경우에는 이를 소재지 관할 직업안정기관의 장에게 제출하여야 한다.
③ 직업안정기관의 장은 수급자격 인정신청서를 제출한 자가 구직급여의 수급자격이 인정되지 아니하는 경우에는 그 신청인과 사업주에게 해당 사실을 알려야 한다.
④ 수급자격자가 주민등록번호를 변경하거나 정정한 경우에는 신청지 관할 직업안정기관의 장에게 신고하여야 한다.
⑤ 구직급여는 수급자격자가 실업한 상태에 있는 날 중에서 직업안정기관의 장으로 부터 인정을 받은 날에 대하여 지급한다.</v>
      </c>
      <c r="F227" s="30">
        <f>IFERROR(VLOOKUP(C227,기출문제!D:G,4,0),"")</f>
        <v>3</v>
      </c>
      <c r="G227" s="31" t="str">
        <f t="shared" si="3"/>
        <v/>
      </c>
      <c r="J227" s="23"/>
    </row>
    <row r="228" spans="2:10" s="21" customFormat="1" ht="114" x14ac:dyDescent="0.3">
      <c r="B228" s="17">
        <v>221</v>
      </c>
      <c r="C228" s="27" t="s">
        <v>846</v>
      </c>
      <c r="D228" s="17"/>
      <c r="E228" s="29" t="str">
        <f>IFERROR(VLOOKUP(C228,기출문제!D:G,3,0),"")</f>
        <v>81. 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
① 50만원
② 100만원
③ 실업급여수급계좌에 입금된 금액 전액
④ 실업급여수급계좌에 입금된 금액 반액
⑤ 실업급여수급계좌에 입금된 금액 일부</v>
      </c>
      <c r="F228" s="30">
        <f>IFERROR(VLOOKUP(C228,기출문제!D:G,4,0),"")</f>
        <v>3</v>
      </c>
      <c r="G228" s="31" t="str">
        <f t="shared" si="3"/>
        <v/>
      </c>
      <c r="J228" s="23"/>
    </row>
    <row r="229" spans="2:10" s="21" customFormat="1" ht="142.5" x14ac:dyDescent="0.3">
      <c r="B229" s="17">
        <v>222</v>
      </c>
      <c r="C229" s="27" t="s">
        <v>847</v>
      </c>
      <c r="D229" s="17"/>
      <c r="E229" s="29" t="str">
        <f>IFERROR(VLOOKUP(C229,기출문제!D:G,3,0),"")</f>
        <v>82. 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
① ㄱ
② ㄱ, ㄴ
③ ㄱ, ㄷ
④ ㄴ, ㄷ
⑤ ㄱ, ㄴ, ㄷ</v>
      </c>
      <c r="F229" s="30">
        <f>IFERROR(VLOOKUP(C229,기출문제!D:G,4,0),"")</f>
        <v>5</v>
      </c>
      <c r="G229" s="31" t="str">
        <f t="shared" si="3"/>
        <v/>
      </c>
      <c r="J229" s="23"/>
    </row>
    <row r="230" spans="2:10" s="21" customFormat="1" ht="85.5" x14ac:dyDescent="0.3">
      <c r="B230" s="17">
        <v>223</v>
      </c>
      <c r="C230" s="27" t="s">
        <v>848</v>
      </c>
      <c r="D230" s="17"/>
      <c r="E230" s="29" t="str">
        <f>IFERROR(VLOOKUP(C230,기출문제!D:G,3,0),"")</f>
        <v>83. 고용보험법령상 과태료 부과 대상이 아닌 것은?
① 사업주가 이직확인서를 거짓으로 작성하여 제출하는 경우
② 고용노동부장관이 부정수급 조사를 위하여 관계인의 출석을 요구함에도 출석을 거부하는 경우
③ 심사의 청구를 받아 하는 고용보험심사관의 질문에 거짓으로 진술한 경우
④ 사업주가 피보험자격 취득에 관한 확인청구를 한 것을 이유로 그 근로자에게 불이익한 처우를 한 경우
⑤ 사업주가 그 사업에 고용된 근로자의 피보험자격 취득에 관한 사항을 고용노동부장관에게 신고하지 아니한 경우</v>
      </c>
      <c r="F230" s="30">
        <f>IFERROR(VLOOKUP(C230,기출문제!D:G,4,0),"")</f>
        <v>4</v>
      </c>
      <c r="G230" s="31" t="str">
        <f t="shared" si="3"/>
        <v/>
      </c>
      <c r="J230" s="23"/>
    </row>
    <row r="231" spans="2:10" s="21" customFormat="1" ht="85.5" x14ac:dyDescent="0.3">
      <c r="B231" s="17">
        <v>224</v>
      </c>
      <c r="C231" s="27" t="s">
        <v>849</v>
      </c>
      <c r="D231" s="17"/>
      <c r="E231" s="29" t="str">
        <f>IFERROR(VLOOKUP(C231,기출문제!D:G,3,0),"")</f>
        <v>84. 고용보험법상 피보험기간이 2년일 경우 이직일 현재 연령에 따른 구직급여의 소정급여일수가 옳은 것은?
① 25세 장애인 : 180일
② 28세 비장애인 : 120일
③ 35세 비장애인 : 120일
④ 40세 비장애인 : 180일
⑤ 55세 장애인 : 210일</v>
      </c>
      <c r="F231" s="30">
        <f>IFERROR(VLOOKUP(C231,기출문제!D:G,4,0),"")</f>
        <v>1</v>
      </c>
      <c r="G231" s="31" t="str">
        <f t="shared" si="3"/>
        <v/>
      </c>
      <c r="J231" s="23"/>
    </row>
    <row r="232" spans="2:10" s="21" customFormat="1" ht="99.75" x14ac:dyDescent="0.3">
      <c r="B232" s="17">
        <v>225</v>
      </c>
      <c r="C232" s="27" t="s">
        <v>850</v>
      </c>
      <c r="D232" s="17"/>
      <c r="E232" s="29" t="str">
        <f>IFERROR(VLOOKUP(C232,기출문제!D:G,3,0),"")</f>
        <v>85. 산업재해보상보험법상 재요양을 받는 자에 대한 1일당 휴업급여 지급액을 산정한 결과가 최저임금액보다 적은 경우, 1일당 휴업급여 지급액은 얼마인가?
① 최저임금액의 100분의 70에 상당하는 금액
② 최저임금액
③ 최저임금액의 100분의 120에 상당하는 금액
④ 통상임금액의 100분의 60에 상당하는 금액
⑤ 통상임금액의 100분의 70에 상당하는 금액</v>
      </c>
      <c r="F232" s="30">
        <f>IFERROR(VLOOKUP(C232,기출문제!D:G,4,0),"")</f>
        <v>2</v>
      </c>
      <c r="G232" s="31" t="str">
        <f t="shared" si="3"/>
        <v/>
      </c>
      <c r="J232" s="23"/>
    </row>
    <row r="233" spans="2:10" s="21" customFormat="1" ht="85.5" x14ac:dyDescent="0.3">
      <c r="B233" s="17">
        <v>226</v>
      </c>
      <c r="C233" s="27" t="s">
        <v>851</v>
      </c>
      <c r="D233" s="17"/>
      <c r="E233" s="29" t="str">
        <f>IFERROR(VLOOKUP(C233,기출문제!D:G,3,0),"")</f>
        <v>86. 산업재해보상보험법상 직업재활급여에 관한 설명으로 옳지 않은 것은?
① 훈련대상자에 대한 직업훈련은 근로복지공단과 계약을 체결한 직업훈련기관에서 실시하게 한다.
② 상병보상연금을 받는 훈련대상자에게는 직업훈련수당을 지급하지 아니한다.
③ 직장적응훈련비의 지급기간은 3개월 이내로 한다.
④ 재활운동비는 장해급여자에게 직접 지급한다.
⑤ 직장복귀지원금의 지급기간은 12개월 이내로 한다.</v>
      </c>
      <c r="F233" s="30">
        <f>IFERROR(VLOOKUP(C233,기출문제!D:G,4,0),"")</f>
        <v>4</v>
      </c>
      <c r="G233" s="31" t="str">
        <f t="shared" si="3"/>
        <v/>
      </c>
      <c r="J233" s="23"/>
    </row>
    <row r="234" spans="2:10" s="21" customFormat="1" ht="85.5" x14ac:dyDescent="0.3">
      <c r="B234" s="17">
        <v>227</v>
      </c>
      <c r="C234" s="27" t="s">
        <v>852</v>
      </c>
      <c r="D234" s="17"/>
      <c r="E234" s="29" t="str">
        <f>IFERROR(VLOOKUP(C234,기출문제!D:G,3,0),"")</f>
        <v>87. 산업재해보상보험법령상 업무상 질병에 관한 설명으로 옳지 않은 것은?
① 신체부담업무의 수행 과정에서 발생한 일시적인 급격한 힘의 작용으로 근골격계 질병이 발병하면 업무상 질병으로 본다.
② 업무수행 과정에서 석면에 노출되어 발생한 석면폐증은 업무상 질병으로 본다.
③ 업무수행 과정에서 카드뮴 또는 그 화합물에 2년 이상 노출되어 발생한 후각신경마비는 업무상 질병으로 본다.
④ 업무수행 과정에서 고객의 폭언 등과 직접 관련된 스트레스로 생긴 우울병 에피소드는 업무상 질병으로 보지 않는다.
⑤ 업무와 관련하여 정신적 충격을 유발할 수 있는 사건에 의해 발생한 외상후스트레스장애는 업무상 질병으로 본다.</v>
      </c>
      <c r="F234" s="30">
        <f>IFERROR(VLOOKUP(C234,기출문제!D:G,4,0),"")</f>
        <v>4</v>
      </c>
      <c r="G234" s="31" t="str">
        <f t="shared" si="3"/>
        <v/>
      </c>
      <c r="J234" s="23"/>
    </row>
    <row r="235" spans="2:10" s="21" customFormat="1" ht="99.75" x14ac:dyDescent="0.3">
      <c r="B235" s="17">
        <v>228</v>
      </c>
      <c r="C235" s="27" t="s">
        <v>853</v>
      </c>
      <c r="D235" s="17"/>
      <c r="E235" s="29" t="str">
        <f>IFERROR(VLOOKUP(C235,기출문제!D:G,3,0),"")</f>
        <v>88. 산업재해보상보험법상 근로자가 업무상의 사유로 사망한 경우 그 장례를 지낸 유족에게 장례비를 지급한다. 이 때 장례비는 평균임금의 며칠분에 상당하는 금액을 지급하는가?
① 60일
② 90일
③ 120일
④ 150일
⑤ 180일</v>
      </c>
      <c r="F235" s="30">
        <f>IFERROR(VLOOKUP(C235,기출문제!D:G,4,0),"")</f>
        <v>3</v>
      </c>
      <c r="G235" s="31" t="str">
        <f t="shared" si="3"/>
        <v/>
      </c>
      <c r="J235" s="23"/>
    </row>
    <row r="236" spans="2:10" s="21" customFormat="1" ht="99.75" x14ac:dyDescent="0.3">
      <c r="B236" s="17">
        <v>229</v>
      </c>
      <c r="C236" s="27" t="s">
        <v>854</v>
      </c>
      <c r="D236" s="17"/>
      <c r="E236" s="29" t="str">
        <f>IFERROR(VLOOKUP(C236,기출문제!D:G,3,0),"")</f>
        <v>89. 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
① ㄱ: 1, ㄴ: 1
② ㄱ: 1, ㄴ: 2
③ ㄱ: 2, ㄴ: 1
④ ㄱ: 2, ㄴ: 2
⑤ ㄱ: 3, ㄴ: 2</v>
      </c>
      <c r="F236" s="30">
        <f>IFERROR(VLOOKUP(C236,기출문제!D:G,4,0),"")</f>
        <v>3</v>
      </c>
      <c r="G236" s="31" t="str">
        <f t="shared" si="3"/>
        <v/>
      </c>
      <c r="J236" s="23"/>
    </row>
    <row r="237" spans="2:10" s="21" customFormat="1" ht="85.5" x14ac:dyDescent="0.3">
      <c r="B237" s="17">
        <v>230</v>
      </c>
      <c r="C237" s="27" t="s">
        <v>855</v>
      </c>
      <c r="D237" s="17"/>
      <c r="E237" s="29" t="str">
        <f>IFERROR(VLOOKUP(C237,기출문제!D:G,3,0),"")</f>
        <v>90. 산업재해보상보험법령상 업무상 사고가 아닌 것은?
① 근로계약에 따른 업무수행 행위를 하던 중 발생한 사고
② 업무수행 과정에서 하는 용변 등 생리적 필요 행위를 하던 중 발생한 사고
③ 업무를 준비하거나 마무리하는 행위를 하던 중 발생한 사고
④ 업무에 따르는 필요적 부수행위를 하던 중 발생한 사고
⑤ 출장 중에 사적 행위 또는 정상적인 출장 경로를 벗어났을 때 발생한 사고</v>
      </c>
      <c r="F237" s="30">
        <f>IFERROR(VLOOKUP(C237,기출문제!D:G,4,0),"")</f>
        <v>5</v>
      </c>
      <c r="G237" s="31" t="str">
        <f t="shared" si="3"/>
        <v/>
      </c>
      <c r="J237" s="23"/>
    </row>
    <row r="238" spans="2:10" s="21" customFormat="1" ht="128.25" x14ac:dyDescent="0.3">
      <c r="B238" s="17">
        <v>231</v>
      </c>
      <c r="C238" s="27" t="s">
        <v>856</v>
      </c>
      <c r="D238" s="17"/>
      <c r="E238" s="29" t="str">
        <f>IFERROR(VLOOKUP(C238,기출문제!D:G,3,0),"")</f>
        <v>91. 국민연금법상 유족연금 수급권자의 유족연금 수급권이 소멸되는 사유를 모두 고른 것은?
ㄱ. 장애등급 2등급인 자녀가 19세가 된 때
ㄴ. 손자녀인 수급권자가 파양된 때
ㄷ. 배우자인 수급권자가 재혼한 때
① ㄱ
② ㄱ, ㄴ
③ ㄱ, ㄷ
④ ㄴ, ㄷ
⑤ ㄱ, ㄴ, ㄷ</v>
      </c>
      <c r="F238" s="30">
        <f>IFERROR(VLOOKUP(C238,기출문제!D:G,4,0),"")</f>
        <v>4</v>
      </c>
      <c r="G238" s="31" t="str">
        <f t="shared" si="3"/>
        <v/>
      </c>
      <c r="J238" s="23"/>
    </row>
    <row r="239" spans="2:10" s="21" customFormat="1" ht="128.25" x14ac:dyDescent="0.3">
      <c r="B239" s="17">
        <v>232</v>
      </c>
      <c r="C239" s="27" t="s">
        <v>857</v>
      </c>
      <c r="D239" s="17"/>
      <c r="E239" s="29" t="str">
        <f>IFERROR(VLOOKUP(C239,기출문제!D:G,3,0),"")</f>
        <v>92. 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① ㄱ: 10, ㄴ: 2
② ㄱ: 10, ㄴ: 3
③ ㄱ: 20, ㄴ: 2
④ ㄱ: 20, ㄴ: 3
⑤ ㄱ: 30, ㄴ: 2</v>
      </c>
      <c r="F239" s="30">
        <f>IFERROR(VLOOKUP(C239,기출문제!D:G,4,0),"")</f>
        <v>2</v>
      </c>
      <c r="G239" s="31" t="str">
        <f t="shared" si="3"/>
        <v/>
      </c>
      <c r="J239" s="23"/>
    </row>
    <row r="240" spans="2:10" s="21" customFormat="1" ht="85.5" x14ac:dyDescent="0.3">
      <c r="B240" s="17">
        <v>233</v>
      </c>
      <c r="C240" s="27" t="s">
        <v>858</v>
      </c>
      <c r="D240" s="17"/>
      <c r="E240" s="29" t="str">
        <f>IFERROR(VLOOKUP(C240,기출문제!D:G,3,0),"")</f>
        <v>93. 국민건강보험법상 보험료 부담 및 납부의무에 관한 설명으로 옳지 않은 것은?
① 직장가입자의 보수월액보험료는 직장가입자가 보험료액의 100분의 50을 부담한다.
② 직장가입자의 소득월액보험료는 직장가입자가 부담한다.
③ 지역가입자의 보험료는 그 가입자가 속한 세대의 지역가입자 전원이 연대하여 부담한다.
④ 직장가입자의 보수월액보험료는 사용자가 납부한다.
⑤ 공무원인 직장가입자의 보수월액보험료는 그 공무원이 소속되어 있는 국가 또는 지방자치단체가 보험료액의 전액을 부담한다.</v>
      </c>
      <c r="F240" s="30">
        <f>IFERROR(VLOOKUP(C240,기출문제!D:G,4,0),"")</f>
        <v>5</v>
      </c>
      <c r="G240" s="31" t="str">
        <f t="shared" si="3"/>
        <v/>
      </c>
      <c r="J240" s="23"/>
    </row>
    <row r="241" spans="2:10" s="21" customFormat="1" ht="85.5" x14ac:dyDescent="0.3">
      <c r="B241" s="17">
        <v>234</v>
      </c>
      <c r="C241" s="27" t="s">
        <v>859</v>
      </c>
      <c r="D241" s="17"/>
      <c r="E241" s="29" t="str">
        <f>IFERROR(VLOOKUP(C241,기출문제!D:G,3,0),"")</f>
        <v>94. 국민건강보험법상 보험급여의 정지 사유에 해당하는 것은?
① 고의로 인한 범죄행위에 그 원인이 있는 경우
② 국외에 체류하는 경우
③ 고의로 국민건강보험공단의 지시를 따르지 않은 경우
④ 중대한 과실로 국민건강보험공단에서 요구하는 문서나 물건을 제출하지 않은 경우
⑤ 업무로 생긴 질병으로 인해 다른 법령에 따라 보상을 받게 된 경우</v>
      </c>
      <c r="F241" s="30">
        <f>IFERROR(VLOOKUP(C241,기출문제!D:G,4,0),"")</f>
        <v>2</v>
      </c>
      <c r="G241" s="31" t="str">
        <f t="shared" si="3"/>
        <v/>
      </c>
      <c r="J241" s="23"/>
    </row>
    <row r="242" spans="2:10" s="21" customFormat="1" ht="142.5" x14ac:dyDescent="0.3">
      <c r="B242" s="17">
        <v>235</v>
      </c>
      <c r="C242" s="27" t="s">
        <v>860</v>
      </c>
      <c r="D242" s="17"/>
      <c r="E242" s="29" t="str">
        <f>IFERROR(VLOOKUP(C242,기출문제!D:G,3,0),"")</f>
        <v>95. 고용보험 및 산업재해보상보험의 보험료징수 등에 관한 법률상 보수총액 등의 신고에 관한 설명으로 옳은 것은?
① 사업주는 근로자를 새로 고용한 경우 그 근로자의 성명 등을 그 근로자를 고용한 날이 속하는 달의 말일까지 근로복지공단에 신고하여야 한다.
② 사업주는 사업의 폐지・종료 등으로 보험관계가 소멸한 때에는 그 보험관계가 소멸한 날이 속하는 달의 다음 달 15일까지 근로자에게 지급한 보수총액 등을 근로복지공단에 신고하여야 한다.
③ 사업주는 전년도에 근로자에게 지급한 보수총액 등을 매년 1월 말일까지 근로복지공단에 신고하여야 한다.
④ 사업주는 근로자가 휴직하는 경우에는 그 사유 발생일이 속하는 달의 다음 달 15일까지 그 사실을 근로복지공단에 신고하여야 한다.
⑤ 사업주는 근로자와 고용관계를 종료한 때에는 그 근로자에게 지급한 보수총액, 고용관계 종료일 등을 그 근로자의 고용관계가 종료한 날이 속하는 달의 다음 달 15일까지 근로복지공단에 신고하여야 한다.</v>
      </c>
      <c r="F242" s="30">
        <f>IFERROR(VLOOKUP(C242,기출문제!D:G,4,0),"")</f>
        <v>5</v>
      </c>
      <c r="G242" s="31" t="str">
        <f t="shared" si="3"/>
        <v/>
      </c>
      <c r="J242" s="23"/>
    </row>
    <row r="243" spans="2:10" s="21" customFormat="1" ht="128.25" x14ac:dyDescent="0.3">
      <c r="B243" s="17">
        <v>236</v>
      </c>
      <c r="C243" s="27" t="s">
        <v>861</v>
      </c>
      <c r="D243" s="17"/>
      <c r="E243" s="29" t="str">
        <f>IFERROR(VLOOKUP(C243,기출문제!D:G,3,0),"")</f>
        <v>96. 고용보험 및 산업재해보상보험의 보험료징수 등에 관한 법령에 관한 설명으로 옳은 것은?
① 해외파견자에 대한 산재보험의 가입을 승인하려면 직업안정법에 따른 국외근로자 공급사업이 아니어야 한다.
② 해외파견자에 대한 산재보험 가입의 승인을 받은 경우 파견예정자의 보험관계 성립일은 출국한 날의 다음 날이다.
③ 자영업자에 대한 특례에 따라 고용보험에 가입한 자영업자가 50명 이상의 근로자를 사용하게 된 경우에는 본인은 피보험자격을 유지할 수 없다.
④ 자영업자에게 적용하는 고용보험료율은 보험수지의 동향과 경제상황 등을 고려하여 정하는 데, 현재 고용안정・직업능력개발사업의 보험료율은 1천분의 25이다.
⑤ 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v>
      </c>
      <c r="F243" s="30">
        <f>IFERROR(VLOOKUP(C243,기출문제!D:G,4,0),"")</f>
        <v>1</v>
      </c>
      <c r="G243" s="31" t="str">
        <f t="shared" si="3"/>
        <v/>
      </c>
      <c r="J243" s="23"/>
    </row>
    <row r="244" spans="2:10" s="21" customFormat="1" ht="114" x14ac:dyDescent="0.3">
      <c r="B244" s="17">
        <v>237</v>
      </c>
      <c r="C244" s="27" t="s">
        <v>862</v>
      </c>
      <c r="D244" s="17"/>
      <c r="E244" s="29" t="str">
        <f>IFERROR(VLOOKUP(C244,기출문제!D:G,3,0),"")</f>
        <v>97. 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
① ㄱ: 55, ㄴ: 18
② ㄱ: 60, ㄴ: 18
③ ㄱ: 60, ㄴ: 25
④ ㄱ: 65, ㄴ: 18
⑤ ㄱ: 65, ㄴ: 25</v>
      </c>
      <c r="F244" s="30">
        <f>IFERROR(VLOOKUP(C244,기출문제!D:G,4,0),"")</f>
        <v>4</v>
      </c>
      <c r="G244" s="31" t="str">
        <f t="shared" si="3"/>
        <v/>
      </c>
      <c r="J244" s="23"/>
    </row>
    <row r="245" spans="2:10" s="21" customFormat="1" ht="114" x14ac:dyDescent="0.3">
      <c r="B245" s="17">
        <v>238</v>
      </c>
      <c r="C245" s="27" t="s">
        <v>863</v>
      </c>
      <c r="D245" s="17"/>
      <c r="E245" s="29" t="str">
        <f>IFERROR(VLOOKUP(C245,기출문제!D:G,3,0),"")</f>
        <v>98. 고용보험 및 산업재해보상보험의 보험료징수 등에 관한 법령상 보험가입자에 관한 설명으로 옳지 않은 것은?
① 고용보험을 적용받는 사업의 사업주와 근로자는 당연히 고용보험법에 따른 고용보험의 보험가입자가 된다.
② 산업재해보상보험법을 적용받는 사업의 사업주는 당연히 산업재해보상보험법에 따른 산업재해보상보험의 보험가입자가 된다.
③ 고용보험법에 따라 같은 법을 적용하지 아니하는 사업장의 근로자는 개별적으로 고용보험에 가입할 수 있다.
④ 산업재해보상보험법에 따라 같은 법을 적용하지 아니하는 사업의 사업주는 근로복지공단의 승인을 받아 산재보험에 가입할 수 있다.
⑤ 근로복지공단은 사업 실체가 없는 등의 사유로 계속하여 보험관계를 유지할 수 없다고 인정하는 경우에는 그 보험관계를 소멸시킬 수 있다.</v>
      </c>
      <c r="F245" s="30">
        <f>IFERROR(VLOOKUP(C245,기출문제!D:G,4,0),"")</f>
        <v>3</v>
      </c>
      <c r="G245" s="31" t="str">
        <f t="shared" si="3"/>
        <v/>
      </c>
      <c r="J245" s="23"/>
    </row>
    <row r="246" spans="2:10" s="21" customFormat="1" ht="156.75" x14ac:dyDescent="0.3">
      <c r="B246" s="17">
        <v>239</v>
      </c>
      <c r="C246" s="27" t="s">
        <v>864</v>
      </c>
      <c r="D246" s="17"/>
      <c r="E246" s="29" t="str">
        <f>IFERROR(VLOOKUP(C246,기출문제!D:G,3,0),"")</f>
        <v>99. 고용보험 및 산업재해보상보험의 보험료징수 등에 관한 법률상 고액・상습 체납자의 인적사항 공개에 관한 설명으로 옳지 않은 것은?
① 국민건강보험공단은 이 법에 따른 납부기한의 다음 날부터 1년이 지난 보험료의 총액이 1억원 이상인 체납자에 대하여는 그 인적사항등을 공개하여야 한다.
② 국민건강보험공단은 체납된 보험료, 이 법에 따른 그 밖의 징수금과 체납처분비와 관련하여 행정소송이 계류 중인 경우에는 체납자의 인적사항등을 공개할 수 없다.
③ 체납자의 인정사항등에 대한 공개 여부를 심의하기 위하여 국민건강보험공단에 보험료정보공개심의위원회를 둔다.
④ 국민건강보험공단은 보험료정보공개심의위원회의 심의를 거쳐 인정사항등의 공개가 결정된 자에 대하여 공개대상자임을 알림으로써 소명할 기회를 주어야 한다.
⑤ 체납자 인적사항등의 공개는 관보에 게재하거나, 고용・산재정보통신망 또는 국민건강보험공단 게시판에 게시하는 방법에 따른다.</v>
      </c>
      <c r="F246" s="30">
        <f>IFERROR(VLOOKUP(C246,기출문제!D:G,4,0),"")</f>
        <v>1</v>
      </c>
      <c r="G246" s="31" t="str">
        <f t="shared" si="3"/>
        <v/>
      </c>
      <c r="J246" s="23"/>
    </row>
    <row r="247" spans="2:10" s="21" customFormat="1" ht="114" x14ac:dyDescent="0.3">
      <c r="B247" s="17">
        <v>240</v>
      </c>
      <c r="C247" s="27" t="s">
        <v>865</v>
      </c>
      <c r="D247" s="17"/>
      <c r="E247" s="29" t="str">
        <f>IFERROR(VLOOKUP(C247,기출문제!D:G,3,0),"")</f>
        <v>100. 고용보험 및 산업재해보상보험의 보험료징수 등에 관한 법령상 산재보험료율의 구성은 다음과 같다. ( ) 안에 들어갈 내용으로 옳은 것은?
○ 산재보험료율(100%) = [산재보험급여지급률 + 추가지출률](ㄱ)% + 부가보험료율(ㄴ)%
① ㄱ: 70, ㄴ: 30
② ㄱ: 75, ㄴ: 25
③ ㄱ: 80, ㄴ: 20
④ ㄱ: 85, ㄴ: 15
⑤ ㄱ: 90, ㄴ: 10</v>
      </c>
      <c r="F247" s="30">
        <f>IFERROR(VLOOKUP(C247,기출문제!D:G,4,0),"")</f>
        <v>4</v>
      </c>
      <c r="G247" s="31" t="str">
        <f t="shared" si="3"/>
        <v/>
      </c>
      <c r="J247" s="23"/>
    </row>
    <row r="248" spans="2:10" s="21" customFormat="1" ht="114" x14ac:dyDescent="0.3">
      <c r="B248" s="17">
        <v>241</v>
      </c>
      <c r="C248" s="27" t="s">
        <v>288</v>
      </c>
      <c r="D248" s="17"/>
      <c r="E248" s="29" t="str">
        <f>IFERROR(VLOOKUP(C248,기출문제!D:G,3,0),"")</f>
        <v>76. 사회보장기본법상 사회보장정책의 기본방향에 관한 설명으로 옳지 않은 것은?
① 국가와 지방자치단체는 평생사회안전망을 구축・운영함에 있어 사회적 취약계층을 위한 공공부조를 마련하여 최저생활을 보장하여야 한다.
② 국가와 지방자치단체는 공공부문과 민간부문의 소득보장제도가 각각 독자적으로 구축될 수 있는 시책을 강구하여야 한다.
③ 국가와 지방자치단체는 모든 국민이 생애 동안 삶의 질을 유지・증진할 수 있도록 평생사회안전망을 구축하여야 한다.
④ 국가와 지방자치단체는 사회서비스 보장과 소득보장이 효과적이고 균형적으로 연계되도록 하여야 한다.
⑤ 국가와 지방자치단체는 모든 국민의 인간다운 생활과 자립, 사회참여, 자아실현 등을 지원하여 삶의 질이 향상될 수 있도록 사회서비스에 관한 시책을 마련하여야 한다.</v>
      </c>
      <c r="F248" s="30">
        <f>IFERROR(VLOOKUP(C248,기출문제!D:G,4,0),"")</f>
        <v>2</v>
      </c>
      <c r="G248" s="31" t="str">
        <f t="shared" si="3"/>
        <v/>
      </c>
      <c r="J248" s="23"/>
    </row>
    <row r="249" spans="2:10" s="21" customFormat="1" ht="128.25" x14ac:dyDescent="0.3">
      <c r="B249" s="17">
        <v>242</v>
      </c>
      <c r="C249" s="27" t="s">
        <v>816</v>
      </c>
      <c r="D249" s="17"/>
      <c r="E249" s="29" t="str">
        <f>IFERROR(VLOOKUP(C249,기출문제!D:G,3,0),"")</f>
        <v>77. 사회보장기본법상 사회보장위원회에 관한 설명으로 옳지 않은 것은?
① 사회보장에 관한 주요 시책을 심의・조정하기 위하여 국무총리 소속으로 사회보장위원회를 둔다.
② 관계 중앙행정기관의 장과 지방자치단체의 장은 사회보장위원회의 심의・조정사항을 반영하여 사회보장제도를 운영 또는 개선하여야 한다.
③ 사회보장위원회는 위원장 1명, 부위원장 3명과 행정자치부장관, 고용노동부장관, 여성가족부장관, 국토교통부장관을 포함한 20명 이내의 위원으로 구성한다.
④ 사회보장위원회의 위원장은 국무총리가 되고 부위원장은 기획재정부장관, 교육부장관 및 보건복지부장관이 된다.
⑤ 사회보장위원회를 효율적으로 운영하고 위원회의 심의사항을 전문적으로 검토하기 위하여 위원회에 실무위원회를 두며, 실무위원회에 분야별 전문위원회를 둘 수 있다.</v>
      </c>
      <c r="F249" s="30">
        <f>IFERROR(VLOOKUP(C249,기출문제!D:G,4,0),"")</f>
        <v>3</v>
      </c>
      <c r="G249" s="31" t="str">
        <f t="shared" si="3"/>
        <v/>
      </c>
      <c r="J249" s="23"/>
    </row>
    <row r="250" spans="2:10" s="21" customFormat="1" ht="114" x14ac:dyDescent="0.3">
      <c r="B250" s="17">
        <v>243</v>
      </c>
      <c r="C250" s="27" t="s">
        <v>817</v>
      </c>
      <c r="D250" s="17"/>
      <c r="E250" s="29" t="str">
        <f>IFERROR(VLOOKUP(C250,기출문제!D:G,3,0),"")</f>
        <v>78. 사회보장기본법상 사회보장급여와 사회보장수급권에 관한 설명으로 옳은 것은?
① 사회보장수급권은 구두로 포기할 수 있다.
② 사회보장급여는 관계 법령에 따라 국가나 지방자치단체에 신청하여야 한다. 다만, 관계 법령이 따로 정하는 경우는 국가나 지방자치단체가 직권으로 결정할 수 있다.
③ 사회보장수급권은 관계 법령에서 따로 정하고 있는 경우에 압류할 수 있다.
④ 국가와 지방자치단체는 관계 법령이 정하는 바에 따라 최저생계비와 최저임금을 매년 공표하여야 한다.
⑤ 사회보장급여를 다른 기관에 신청한 경우에는 그 기관은 지체 없이 이를 정당한 권한이 있는 기관에 이송하여야 한다. 이 경우 정당한 권한이 있는 기관에 이송된 날을 사회보장급여의 신청일로 본다.</v>
      </c>
      <c r="F250" s="30">
        <f>IFERROR(VLOOKUP(C250,기출문제!D:G,4,0),"")</f>
        <v>5</v>
      </c>
      <c r="G250" s="31" t="str">
        <f t="shared" si="3"/>
        <v/>
      </c>
      <c r="J250" s="23"/>
    </row>
    <row r="251" spans="2:10" s="21" customFormat="1" ht="171" x14ac:dyDescent="0.3">
      <c r="B251" s="17">
        <v>244</v>
      </c>
      <c r="C251" s="27" t="s">
        <v>818</v>
      </c>
      <c r="D251" s="17"/>
      <c r="E251" s="29" t="str">
        <f>IFERROR(VLOOKUP(C251,기출문제!D:G,3,0),"")</f>
        <v>79. 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
① ㄱ, ㄷ
② ㄴ, ㄹ
③ ㄱ, ㄴ, ㄷ
④ ㄱ, ㄷ, ㄹ
⑤ ㄴ, ㄷ, ㄹ</v>
      </c>
      <c r="F251" s="30">
        <f>IFERROR(VLOOKUP(C251,기출문제!D:G,4,0),"")</f>
        <v>3</v>
      </c>
      <c r="G251" s="31" t="str">
        <f t="shared" si="3"/>
        <v/>
      </c>
      <c r="J251" s="23"/>
    </row>
    <row r="252" spans="2:10" s="21" customFormat="1" ht="85.5" x14ac:dyDescent="0.3">
      <c r="B252" s="17">
        <v>245</v>
      </c>
      <c r="C252" s="27" t="s">
        <v>819</v>
      </c>
      <c r="D252" s="17"/>
      <c r="E252" s="29" t="str">
        <f>IFERROR(VLOOKUP(C252,기출문제!D:G,3,0),"")</f>
        <v>80. 고용보험법령상 고용안정・직업능력개발 사업의 내용으로 옳지 않은 것은?
① 고용창출의 지원
② 조기재취업 수당 지원
③ 고용유지지원금의 지급
④ 지역 고용의 촉진
⑤ 임금피크제 지원금의 지급</v>
      </c>
      <c r="F252" s="30">
        <f>IFERROR(VLOOKUP(C252,기출문제!D:G,4,0),"")</f>
        <v>2</v>
      </c>
      <c r="G252" s="31" t="str">
        <f t="shared" si="3"/>
        <v/>
      </c>
      <c r="J252" s="23"/>
    </row>
    <row r="253" spans="2:10" s="21" customFormat="1" ht="114" x14ac:dyDescent="0.3">
      <c r="B253" s="17">
        <v>246</v>
      </c>
      <c r="C253" s="27" t="s">
        <v>820</v>
      </c>
      <c r="D253" s="17"/>
      <c r="E253" s="29" t="str">
        <f>IFERROR(VLOOKUP(C253,기출문제!D:G,3,0),"")</f>
        <v>81. 고용보험법령상 급여에 관한 설명으로 옳은 것은?
① 이주비의 금액은 수급자격자 및 그 수급자격자에 의존하여 생계를 유지하는 동거친족의 이주에 일반적으로 드는 비용으로 하되, 그 금액의 산정은 고용노동부령으로 정하는 바에 따라 따른다.
② 근로자를 전혀 사용하지 아니하는 자영업자는 자신을 피보험자로 하여 조기재취업수당을 지급받을 수 있다.
③ 구직급여의 산정 기초가 되는 임금일액(기초일액)의 상한액은 9만 6천원이다.
④ 고용노동부장관은 고용조정이 불가피하게 된 사업주가 근로자에 대한 휴업을 실시한 경우, 근로자의 임금이 평균임금의 100분의 70 미만으로 감소할 때는 그 근로자에게도 필요한 지원을 할 수 있다.
⑤ 피보험자가 육아휴직 급여 기간 중에 그 사업에서 이직한 경우에도 육아휴직 급여를 지급한다.</v>
      </c>
      <c r="F253" s="30">
        <f>IFERROR(VLOOKUP(C253,기출문제!D:G,4,0),"")</f>
        <v>1</v>
      </c>
      <c r="G253" s="31" t="str">
        <f t="shared" si="3"/>
        <v/>
      </c>
      <c r="J253" s="23"/>
    </row>
    <row r="254" spans="2:10" s="21" customFormat="1" ht="128.25" x14ac:dyDescent="0.3">
      <c r="B254" s="17">
        <v>247</v>
      </c>
      <c r="C254" s="27" t="s">
        <v>821</v>
      </c>
      <c r="D254" s="17"/>
      <c r="E254" s="29" t="str">
        <f>IFERROR(VLOOKUP(C254,기출문제!D:G,3,0),"")</f>
        <v>82. 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
① ㄱ
② ㄱ, ㄴ
③ ㄱ, ㄷ
④ ㄴ, ㄷ
⑤ ㄱ, ㄴ, ㄷ</v>
      </c>
      <c r="F254" s="30">
        <f>IFERROR(VLOOKUP(C254,기출문제!D:G,4,0),"")</f>
        <v>3</v>
      </c>
      <c r="G254" s="31" t="str">
        <f t="shared" si="3"/>
        <v/>
      </c>
      <c r="J254" s="23"/>
    </row>
    <row r="255" spans="2:10" s="21" customFormat="1" ht="99.75" x14ac:dyDescent="0.3">
      <c r="B255" s="17">
        <v>248</v>
      </c>
      <c r="C255" s="27" t="s">
        <v>822</v>
      </c>
      <c r="D255" s="17"/>
      <c r="E255" s="29" t="str">
        <f>IFERROR(VLOOKUP(C255,기출문제!D:G,3,0),"")</f>
        <v>83. 고용보험법상 피보험자격의 취득일 및 상실일에 관한 설명으로 옳은 것은?
① 피보험자는 고용보험법이 적용되는 사업에 고용된 날의 다음 날에 피보험자격을 취득한다.
② 적용 제외 근로자였던 자가 고용보험법의 적용을 받게 된 경우에는 그 적용을 받게 된 날의 다음 날에 피보험자격을 취득한 것으로 본다.
③ 피보험자가 적용 제외 근로자에 해당하게 된 경우에는 그 적용 제외 대상자가 된 날의 다음 날에 피보험자격을 상실한다.
④ 보험관계가 소멸한 경우에는 그 보험관계가 소멸한 날의 다음 날에 피보험자격을 상실한다.
⑤ 피보험자가 이직한 경우에는 이직한 날의 다음 날에 피보험자격을 상실한다.</v>
      </c>
      <c r="F255" s="30">
        <f>IFERROR(VLOOKUP(C255,기출문제!D:G,4,0),"")</f>
        <v>5</v>
      </c>
      <c r="G255" s="31" t="str">
        <f t="shared" si="3"/>
        <v/>
      </c>
      <c r="J255" s="23"/>
    </row>
    <row r="256" spans="2:10" s="21" customFormat="1" ht="85.5" x14ac:dyDescent="0.3">
      <c r="B256" s="17">
        <v>249</v>
      </c>
      <c r="C256" s="27" t="s">
        <v>823</v>
      </c>
      <c r="D256" s="17"/>
      <c r="E256" s="29" t="str">
        <f>IFERROR(VLOOKUP(C256,기출문제!D:G,3,0),"")</f>
        <v>84. 고용보험법상 고용보험심사위원회의 재심사 청구에서 재심사 청구인의 대리인이 될 수 없는 자는?
① 청구인인 법인의 직원
② 청구인의 배우자
③ 청구인이 가입한 노동조합의 위원장
④ 변호사
⑤ 고용보험심사위원회의 허가를 받은 자</v>
      </c>
      <c r="F256" s="30">
        <f>IFERROR(VLOOKUP(C256,기출문제!D:G,4,0),"")</f>
        <v>3</v>
      </c>
      <c r="G256" s="31" t="str">
        <f t="shared" si="3"/>
        <v/>
      </c>
      <c r="J256" s="23"/>
    </row>
    <row r="257" spans="2:10" s="21" customFormat="1" ht="85.5" x14ac:dyDescent="0.3">
      <c r="B257" s="17">
        <v>250</v>
      </c>
      <c r="C257" s="27" t="s">
        <v>824</v>
      </c>
      <c r="D257" s="17"/>
      <c r="E257" s="29" t="str">
        <f>IFERROR(VLOOKUP(C257,기출문제!D:G,3,0),"")</f>
        <v>85. 고용보험법상 구직급여(상병급여)의 수급자격 제한 또는 지급 제한이 되지 않는 경우는?
① 중대한 귀책사유로 해고된 피보험자로서 정당한 사유 없이 근로계약 또는 취업규칙 등을 위반하여 장기간 무단 결근한 경우
② 자기 사정으로 이직한 피보험자로서 전직 또는 자영업을 하기 위하여 이직한 경우
③ 중대한 귀책사유가 있는 자가 해고되지 아니하고 사업주의 권고로 이직한 경우
④ 퇴직한 근로자로서 국민연금법에 의한 노령연금을 지급받는 경우
⑤ 실업신고 이후 산업재해보상보험법에 따른 휴업급여를 지급받을 수 있는 경우</v>
      </c>
      <c r="F257" s="30">
        <f>IFERROR(VLOOKUP(C257,기출문제!D:G,4,0),"")</f>
        <v>4</v>
      </c>
      <c r="G257" s="31" t="str">
        <f t="shared" si="3"/>
        <v/>
      </c>
      <c r="J257" s="23"/>
    </row>
    <row r="258" spans="2:10" s="21" customFormat="1" ht="114" x14ac:dyDescent="0.3">
      <c r="B258" s="17">
        <v>251</v>
      </c>
      <c r="C258" s="27" t="s">
        <v>825</v>
      </c>
      <c r="D258" s="17"/>
      <c r="E258" s="29" t="str">
        <f>IFERROR(VLOOKUP(C258,기출문제!D:G,3,0),"")</f>
        <v>86. 산업재해보상보험법상 심사 청구 및 재심사 청구에 관한 설명으로 옳은 것은?
① 근로복지공단은 심사 청구서를 받은 날부터 60일 이내에 결정을 하여야 하지만, 부득이한 사유로 그 기간 이내에 결정을 할 수 없으면 1차에 한하여 20일을 넘지 아니하는 범위에서 그 기간을 연장할 수 있다.
② 심사 청구 및 재심사 청구에 관하여 산업재해보상보험법에서 정하고 있지 아니한 사항에 대하여는 행정소송법에 따른다.
③ 업무상질병판정위원회의 심의를 거친 보험급여에 관한 결정에 불복하는 자는 근로복지공단에 심사 청구를 하지 아니하고는 산업재해보상보험재심사위원회에 재심사 청구를 할 수 없다.
④ 심사 청구는 보험급여 결정 등이 있음을 안 날로부터 180일 이내에 하여야 한다.
⑤ 재심사위원회의 위원장은 재심사위원회의 제청으로 고용노동부장관이 임명한다.</v>
      </c>
      <c r="F258" s="30">
        <f>IFERROR(VLOOKUP(C258,기출문제!D:G,4,0),"")</f>
        <v>1</v>
      </c>
      <c r="G258" s="31" t="str">
        <f t="shared" si="3"/>
        <v/>
      </c>
      <c r="J258" s="23"/>
    </row>
    <row r="259" spans="2:10" s="21" customFormat="1" ht="114" x14ac:dyDescent="0.3">
      <c r="B259" s="17">
        <v>252</v>
      </c>
      <c r="C259" s="27" t="s">
        <v>826</v>
      </c>
      <c r="D259" s="17"/>
      <c r="E259" s="29" t="str">
        <f>IFERROR(VLOOKUP(C259,기출문제!D:G,3,0),"")</f>
        <v>87. 산업재해보상보험법령상 재요양의 요건 및 절차에 해당하지 않는 것은?
① 치유된 업무상 부상 또는 질병과 재요양의 대상이 되는 부상 또는 질병 사이에 상당인과관계가 있을 것
② 재요양의 대상이 되는 부상 또는 질병의 상태가 치유 당시보다 악화된 경우로서 나이나 그 밖에 업무 외의 사유로 악화된 경우가 아닐 것
③ 재요양의 대상이 되는 부상 또는 질병의 상태가 재요양을 통해 호전되는 등 치료효과를 기대할 수 있을 것
④ 재요양을 받으려는 사람은 고용노동부령으로 정하는 바에 따라 공단에 재요양을 신청하여야 한다.
⑤ 업무상의 사유로 발생한 부상 또는 질병으로 인하여 요양 중으로서 그 부상 또는 질병의 상태가 치유 후에도 장해등급에 해당할 것이라는 내용의 의학적 소견이 있을 것</v>
      </c>
      <c r="F259" s="30">
        <f>IFERROR(VLOOKUP(C259,기출문제!D:G,4,0),"")</f>
        <v>5</v>
      </c>
      <c r="G259" s="31" t="str">
        <f t="shared" si="3"/>
        <v/>
      </c>
      <c r="J259" s="23"/>
    </row>
    <row r="260" spans="2:10" s="21" customFormat="1" ht="85.5" x14ac:dyDescent="0.3">
      <c r="B260" s="17">
        <v>253</v>
      </c>
      <c r="C260" s="27" t="s">
        <v>827</v>
      </c>
      <c r="D260" s="17"/>
      <c r="E260" s="29" t="str">
        <f>IFERROR(VLOOKUP(C260,기출문제!D:G,3,0),"")</f>
        <v>88. 산업재해보상보험법상 보험급여에 관한 설명으로 옳지 않은 것은?
① 진폐에 따른 보험급여의 종류는 요양급여, 간병급여, 장례비, 직업재활급여, 진폐보상연금 및 진폐유족연금으로 한다.
② 요양급여는 근로자가 업무상의 사유로 부상을 당하거나 질병에 걸린 경우에 그 보험가입자에게 지급한다.
③ 요양으로 취업하지 못한 기간이 3일 이내이면 휴업급여를 지급하지 아니한다.
④ 대한민국 국민이 아닌 장해보상연금의 수급권자가 외국에서 거주하기 위하여 출국하는 경우 그 수급권이 소멸한다.
⑤ 산업재해로 사망한 근로자의 배우자가 재혼한 때 유족보상연금 수급자격을 잃는다.</v>
      </c>
      <c r="F260" s="30">
        <f>IFERROR(VLOOKUP(C260,기출문제!D:G,4,0),"")</f>
        <v>2</v>
      </c>
      <c r="G260" s="31" t="str">
        <f t="shared" si="3"/>
        <v/>
      </c>
      <c r="J260" s="23"/>
    </row>
    <row r="261" spans="2:10" s="21" customFormat="1" ht="99.75" x14ac:dyDescent="0.3">
      <c r="B261" s="17">
        <v>254</v>
      </c>
      <c r="C261" s="27" t="s">
        <v>828</v>
      </c>
      <c r="D261" s="17"/>
      <c r="E261" s="29" t="str">
        <f>IFERROR(VLOOKUP(C261,기출문제!D:G,3,0),"")</f>
        <v>89. 산업재해보상보험법상 내용으로 옳은 것은?
① 근로복지공단은 대통령령이 정하는 바에 따라 회계연도마다 사업 운영계획과 예산에 관하여 고용노동부장관의 승인을 받아야 한다.
② 업무상 질병의 인정 여부를 심의하기 위하여 고용노동부에 업무상질병판정위원회를 둔다.
③ 산업재해보상보험심사위원회는 근로복지공단의 결정에 대한 심사 청구를 심의하기 위하여 고용노동부에 두는 기구이다.
④ 산업재해보상보험및예방기금은 근로복지공단 기금운영위원회가 관리・운용한다.
⑤ 국가는 회계연도마다 예산범위 안에서 보험사업에 드는 비용을 지원하여야 한다.</v>
      </c>
      <c r="F261" s="30">
        <f>IFERROR(VLOOKUP(C261,기출문제!D:G,4,0),"")</f>
        <v>1</v>
      </c>
      <c r="G261" s="31" t="str">
        <f t="shared" si="3"/>
        <v/>
      </c>
      <c r="J261" s="23"/>
    </row>
    <row r="262" spans="2:10" s="21" customFormat="1" ht="114" x14ac:dyDescent="0.3">
      <c r="B262" s="17">
        <v>255</v>
      </c>
      <c r="C262" s="27" t="s">
        <v>829</v>
      </c>
      <c r="D262" s="17"/>
      <c r="E262" s="29" t="str">
        <f>IFERROR(VLOOKUP(C262,기출문제!D:G,3,0),"")</f>
        <v>90. 산업재해보상보험법상 연금의 지급기간 및 지급시기에 관한 설명으로 옳은 것은?
① 장해보상연금의 지급은 그 지급사유가 발생한 달의 초일부터 시작된다.
② 유족보상연금의 지급은 그 지급받을 권리가 소멸한 달의 다음 달 말일에 끝난다.
③ 진폐유족연금은 그 지급을 정지할 사유가 발생한 때에는 그 사유가 발생한 달의 다음 달 초일부터 그 사유가 소멸한 달의 말일까지 지급하지 아니한다.
④ 진폐보상연금은 매년 이를 12등분하여 매달 25일에 그 달 치의 금액을 지급하되, 지급일이 토요일이거나 공휴일이면 그 다음날에 지급한다.
⑤ 유족보상연금의 지급은 그 지급사유가 발생한 달의 초일부터 시작된다.</v>
      </c>
      <c r="F262" s="30">
        <f>IFERROR(VLOOKUP(C262,기출문제!D:G,4,0),"")</f>
        <v>3</v>
      </c>
      <c r="G262" s="31" t="str">
        <f t="shared" si="3"/>
        <v/>
      </c>
      <c r="J262" s="23"/>
    </row>
    <row r="263" spans="2:10" s="21" customFormat="1" ht="142.5" x14ac:dyDescent="0.3">
      <c r="B263" s="17">
        <v>256</v>
      </c>
      <c r="C263" s="27" t="s">
        <v>830</v>
      </c>
      <c r="D263" s="17"/>
      <c r="E263" s="29" t="str">
        <f>IFERROR(VLOOKUP(C263,기출문제!D:G,3,0),"")</f>
        <v>91. 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
① ㄱ, ㄷ
② ㄴ, ㄹ
③ ㄱ, ㄴ, ㄷ
④ ㄱ, ㄴ, ㄹ
⑤ ㄴ, ㄷ, ㄹ</v>
      </c>
      <c r="F263" s="30">
        <f>IFERROR(VLOOKUP(C263,기출문제!D:G,4,0),"")</f>
        <v>3</v>
      </c>
      <c r="G263" s="31" t="str">
        <f t="shared" si="3"/>
        <v/>
      </c>
      <c r="J263" s="23"/>
    </row>
    <row r="264" spans="2:10" s="21" customFormat="1" ht="185.25" x14ac:dyDescent="0.3">
      <c r="B264" s="17">
        <v>257</v>
      </c>
      <c r="C264" s="27" t="s">
        <v>607</v>
      </c>
      <c r="D264" s="17"/>
      <c r="E264" s="29" t="str">
        <f>IFERROR(VLOOKUP(C264,기출문제!D:G,3,0),"")</f>
        <v>92. 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
① 20
② 21
③ 22
④ 23
⑤ 24</v>
      </c>
      <c r="F264" s="30">
        <f>IFERROR(VLOOKUP(C264,기출문제!D:G,4,0),"")</f>
        <v>4</v>
      </c>
      <c r="G264" s="31" t="str">
        <f t="shared" si="3"/>
        <v/>
      </c>
      <c r="J264" s="23"/>
    </row>
    <row r="265" spans="2:10" s="21" customFormat="1" ht="85.5" x14ac:dyDescent="0.3">
      <c r="B265" s="17">
        <v>258</v>
      </c>
      <c r="C265" s="27" t="s">
        <v>831</v>
      </c>
      <c r="D265" s="17"/>
      <c r="E265" s="29" t="str">
        <f>IFERROR(VLOOKUP(C265,기출문제!D:G,3,0),"")</f>
        <v>93. 국민연금법상 장애등급 3급에 해당하는 자에 대하여 지급하는 장애연금액은?
① 기본연금액의 100%
② 기본연금액의 90%에 부양가족연금액을 더한 금액
③ 기본연금액의 80%에 부양가족연금액을 더한 금액
④ 기본연금액의 70%에 부양가족연금액을 더한 금액
⑤ 기본연금액의 60%에 부양가족연금액을 더한 금액</v>
      </c>
      <c r="F265" s="30">
        <f>IFERROR(VLOOKUP(C265,기출문제!D:G,4,0),"")</f>
        <v>5</v>
      </c>
      <c r="G265" s="31" t="str">
        <f t="shared" ref="G265:G328" si="4">IF(D265="","",IF(D265=F265,"O", "X"))</f>
        <v/>
      </c>
      <c r="J265" s="23"/>
    </row>
    <row r="266" spans="2:10" s="21" customFormat="1" ht="114" x14ac:dyDescent="0.3">
      <c r="B266" s="17">
        <v>259</v>
      </c>
      <c r="C266" s="27" t="s">
        <v>832</v>
      </c>
      <c r="D266" s="17"/>
      <c r="E266" s="29" t="str">
        <f>IFERROR(VLOOKUP(C266,기출문제!D:G,3,0),"")</f>
        <v>94. 국민건강보험법령상 보험료에 관한 설명으로 옳지 않은 것은?
① 직장가입자의 보수월액보험료는 직장가입자가 납부한다.
② 보수가 지급되지 아니하는 사용자의 보수월액은 객관적인 자료를 통하여 확인된 금액으로 하고, 객관적인 자료가 없는 경우에는 사용자의 신고금액으로 한다.
③ 직장가입자의 소득월액보험료 및 지역가입자의 보험료는 분기별로 납부할 수 있다.
④ 직장가입자의 월별 보험료액은 보수월액에 보험료율을 곱하여 얻은 금액과 보수 외 소득월액에 보험료율을 곱하여 얻은 금액으로 한다.
⑤ 직장가입자의 소득월액보험료는 직장가입자가 전액 부담한다.</v>
      </c>
      <c r="F266" s="30">
        <f>IFERROR(VLOOKUP(C266,기출문제!D:G,4,0),"")</f>
        <v>1</v>
      </c>
      <c r="G266" s="31" t="str">
        <f t="shared" si="4"/>
        <v/>
      </c>
      <c r="J266" s="23"/>
    </row>
    <row r="267" spans="2:10" s="21" customFormat="1" ht="85.5" x14ac:dyDescent="0.3">
      <c r="B267" s="17">
        <v>260</v>
      </c>
      <c r="C267" s="27" t="s">
        <v>833</v>
      </c>
      <c r="D267" s="17"/>
      <c r="E267" s="29" t="str">
        <f>IFERROR(VLOOKUP(C267,기출문제!D:G,3,0),"")</f>
        <v>95. 국민건강보험법상 건강보험심사평가원의 관장 업무가 아닌 것은?
① 요양급여비용의 심사
② 요양급여의 적정성 평가
③ 심사기준 및 평가기준의 개발
④ 직장가입자의 보험료율에 대한 심사
⑤ 건강보험과 관련하여 보건복지부장관이 필요하다고 인정한 업무</v>
      </c>
      <c r="F267" s="30">
        <f>IFERROR(VLOOKUP(C267,기출문제!D:G,4,0),"")</f>
        <v>4</v>
      </c>
      <c r="G267" s="31" t="str">
        <f t="shared" si="4"/>
        <v/>
      </c>
      <c r="J267" s="23"/>
    </row>
    <row r="268" spans="2:10" s="21" customFormat="1" ht="99.75" x14ac:dyDescent="0.3">
      <c r="B268" s="17">
        <v>261</v>
      </c>
      <c r="C268" s="27" t="s">
        <v>834</v>
      </c>
      <c r="D268" s="17"/>
      <c r="E268" s="29" t="str">
        <f>IFERROR(VLOOKUP(C268,기출문제!D:G,3,0),"")</f>
        <v>96. 고용보험 및 산업재해보상보험의 보험료 징수 등에 관한 법률상 보험관계의 성립일 또는 소멸일에 해당하지 않는 것은?
① 보험에 가입한 하수급인의 경우에는 그 하도급공사의 착공일
② 사업이 폐업된 날의 다음 날
③ 사업 실체가 없는 등의 사유로 계속하여 보험관계를 유지할 수 없다고 인정하여 근로복지공단이 보험관계를 소멸시키는 경우에는 그 소멸을 결정・통지한 날의 다음 날
④ 근로복지공단의 승인을 얻어 가입한 보험계약을 해지하는 경우에는 그 해지에 관하여 공단의 승인을 받은 날
⑤ 사업이 끝난 날의 다음 날</v>
      </c>
      <c r="F268" s="30">
        <f>IFERROR(VLOOKUP(C268,기출문제!D:G,4,0),"")</f>
        <v>4</v>
      </c>
      <c r="G268" s="31" t="str">
        <f t="shared" si="4"/>
        <v/>
      </c>
      <c r="J268" s="23"/>
    </row>
    <row r="269" spans="2:10" s="21" customFormat="1" ht="128.25" x14ac:dyDescent="0.3">
      <c r="B269" s="17">
        <v>262</v>
      </c>
      <c r="C269" s="27" t="s">
        <v>835</v>
      </c>
      <c r="D269" s="17"/>
      <c r="E269" s="29" t="str">
        <f>IFERROR(VLOOKUP(C269,기출문제!D:G,3,0),"")</f>
        <v>97. 고용보험 및 산업재해보상보험의 보험료 징수 등에 관한 법률상 보험료율에 관한 설명으로 옳은 것은?
① 개별실적요율의 적용을 받는 사업의 산재보험료율은 100분의 75의 범위에서 대통령령으로 정하는 바에 따라 인상하거나 인하할 수 있다.
② 고용보험료율을 결정하거나 변경하려면 고용보험법에 따른 고용보험위원회의 심의를 거쳐야 한다.
③ 산재보험료율은 매년 6월 30일 현재 과거 2년 동안의 보수총액에 대한 산재보험급여총액의 비율을 기초로 하여 정한다.
④ 고용노동부장관은 특정 사업 종류의 산재보험료율이 전체 사업의 평균 산재보험료율의 10배를 초과하지 아니하도록 하여야 한다.
⑤ 특정 사업 종류의 산재보험료율이 인상되거나 인하되는 경우에는 직전 보험연도 산재보험료율의 100분의 20의 범위에서 조정하여야 한다.</v>
      </c>
      <c r="F269" s="30">
        <f>IFERROR(VLOOKUP(C269,기출문제!D:G,4,0),"")</f>
        <v>2</v>
      </c>
      <c r="G269" s="31" t="str">
        <f t="shared" si="4"/>
        <v/>
      </c>
      <c r="J269" s="23"/>
    </row>
    <row r="270" spans="2:10" s="21" customFormat="1" ht="99.75" x14ac:dyDescent="0.3">
      <c r="B270" s="17">
        <v>263</v>
      </c>
      <c r="C270" s="27" t="s">
        <v>836</v>
      </c>
      <c r="D270" s="17"/>
      <c r="E270" s="29" t="str">
        <f>IFERROR(VLOOKUP(C270,기출문제!D:G,3,0),"")</f>
        <v>98. 고용보험 및 산업재해보상보험의 보험료 징수 등에 관한 법률상 납부의무가 확정된 보험료의 총액이 600만원인 경우, 당해 보험료를 납부기한 전에 징수할 수 있는 사유로 옳지 않은 것은?
① 경매가 개시된 경우
② 국세를 체납한 경우
③ 강제집행을 받은 경우
④ 공과금을 체납하여 체납처분을 받은 경우
⑤ 어음법 및 수표법에 따른 어음교환소에서 거래정지처분을 받은 경우</v>
      </c>
      <c r="F270" s="30">
        <f>IFERROR(VLOOKUP(C270,기출문제!D:G,4,0),"")</f>
        <v>2</v>
      </c>
      <c r="G270" s="31" t="str">
        <f t="shared" si="4"/>
        <v/>
      </c>
      <c r="J270" s="23"/>
    </row>
    <row r="271" spans="2:10" s="21" customFormat="1" ht="114" x14ac:dyDescent="0.3">
      <c r="B271" s="17">
        <v>264</v>
      </c>
      <c r="C271" s="27" t="s">
        <v>837</v>
      </c>
      <c r="D271" s="17"/>
      <c r="E271" s="29" t="str">
        <f>IFERROR(VLOOKUP(C271,기출문제!D:G,3,0),"")</f>
        <v>99. 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
① 10
② 20
③ 30
④ 40
⑤ 50</v>
      </c>
      <c r="F271" s="30">
        <f>IFERROR(VLOOKUP(C271,기출문제!D:G,4,0),"")</f>
        <v>3</v>
      </c>
      <c r="G271" s="31" t="str">
        <f t="shared" si="4"/>
        <v/>
      </c>
      <c r="J271" s="23"/>
    </row>
    <row r="272" spans="2:10" s="21" customFormat="1" ht="99.75" x14ac:dyDescent="0.3">
      <c r="B272" s="17">
        <v>265</v>
      </c>
      <c r="C272" s="27" t="s">
        <v>838</v>
      </c>
      <c r="D272" s="17"/>
      <c r="E272" s="29" t="str">
        <f>IFERROR(VLOOKUP(C272,기출문제!D:G,3,0),"")</f>
        <v>100. 고용보험 및 산업재해보상보험의 보험료 징수 등에 관한 법률상 보험료에 관한 설명으로 옳은 것은?
① 고용보험료는 근로복지공단이 부과하고 이를 징수한다.
② 근로자가 월의 중간에 동일한 사업주의 하나의 사업장에서 다른 사업장으로 전근되는 경우 그 근로자에 대한 그 월별보험료는 해당 월의 다음 달부터 산정한다.
③ 사업주는 그 달의 월별보험료를 다음 달 15일까지 납부하여야 한다.
④ 근로복지공단은 사업주에게 문서로써 납부기한 10일 전까지 월별보험료의 납입을 고지하여야 한다.
⑤ 사업주는 전년도에 근로자에게 지급한 보수총액 등을 매년 1월 31일까지 근로복지공단에 신고하여야 한다.</v>
      </c>
      <c r="F272" s="30">
        <f>IFERROR(VLOOKUP(C272,기출문제!D:G,4,0),"")</f>
        <v>2</v>
      </c>
      <c r="G272" s="31" t="str">
        <f t="shared" si="4"/>
        <v/>
      </c>
      <c r="J272" s="23"/>
    </row>
    <row r="273" spans="2:10" s="21" customFormat="1" x14ac:dyDescent="0.3">
      <c r="B273" s="17">
        <v>266</v>
      </c>
      <c r="C273" s="27" t="s">
        <v>723</v>
      </c>
      <c r="D273" s="17"/>
      <c r="E273" s="29" t="str">
        <f>IFERROR(VLOOKUP(C273,기출문제!D:G,3,0),"")</f>
        <v/>
      </c>
      <c r="F273" s="30" t="str">
        <f>IFERROR(VLOOKUP(C273,기출문제!D:G,4,0),"")</f>
        <v/>
      </c>
      <c r="G273" s="31" t="str">
        <f t="shared" si="4"/>
        <v/>
      </c>
      <c r="J273" s="23"/>
    </row>
    <row r="274" spans="2:10" s="21" customFormat="1" x14ac:dyDescent="0.3">
      <c r="B274" s="17">
        <v>267</v>
      </c>
      <c r="C274" s="27" t="s">
        <v>723</v>
      </c>
      <c r="D274" s="17"/>
      <c r="E274" s="29" t="str">
        <f>IFERROR(VLOOKUP(C274,기출문제!D:G,3,0),"")</f>
        <v/>
      </c>
      <c r="F274" s="30" t="str">
        <f>IFERROR(VLOOKUP(C274,기출문제!D:G,4,0),"")</f>
        <v/>
      </c>
      <c r="G274" s="31" t="str">
        <f t="shared" si="4"/>
        <v/>
      </c>
      <c r="J274" s="23"/>
    </row>
    <row r="275" spans="2:10" s="21" customFormat="1" x14ac:dyDescent="0.3">
      <c r="B275" s="17">
        <v>268</v>
      </c>
      <c r="C275" s="27" t="s">
        <v>723</v>
      </c>
      <c r="D275" s="17"/>
      <c r="E275" s="29" t="str">
        <f>IFERROR(VLOOKUP(C275,기출문제!D:G,3,0),"")</f>
        <v/>
      </c>
      <c r="F275" s="30" t="str">
        <f>IFERROR(VLOOKUP(C275,기출문제!D:G,4,0),"")</f>
        <v/>
      </c>
      <c r="G275" s="31" t="str">
        <f t="shared" si="4"/>
        <v/>
      </c>
      <c r="J275" s="23"/>
    </row>
    <row r="276" spans="2:10" s="21" customFormat="1" x14ac:dyDescent="0.3">
      <c r="B276" s="17">
        <v>269</v>
      </c>
      <c r="C276" s="27" t="s">
        <v>723</v>
      </c>
      <c r="D276" s="17"/>
      <c r="E276" s="29" t="str">
        <f>IFERROR(VLOOKUP(C276,기출문제!D:G,3,0),"")</f>
        <v/>
      </c>
      <c r="F276" s="30" t="str">
        <f>IFERROR(VLOOKUP(C276,기출문제!D:G,4,0),"")</f>
        <v/>
      </c>
      <c r="G276" s="31" t="str">
        <f t="shared" si="4"/>
        <v/>
      </c>
      <c r="J276" s="23"/>
    </row>
    <row r="277" spans="2:10" s="21" customFormat="1" x14ac:dyDescent="0.3">
      <c r="B277" s="17">
        <v>270</v>
      </c>
      <c r="C277" s="27" t="s">
        <v>723</v>
      </c>
      <c r="D277" s="17"/>
      <c r="E277" s="29" t="str">
        <f>IFERROR(VLOOKUP(C277,기출문제!D:G,3,0),"")</f>
        <v/>
      </c>
      <c r="F277" s="30" t="str">
        <f>IFERROR(VLOOKUP(C277,기출문제!D:G,4,0),"")</f>
        <v/>
      </c>
      <c r="G277" s="31" t="str">
        <f t="shared" si="4"/>
        <v/>
      </c>
      <c r="J277" s="23"/>
    </row>
    <row r="278" spans="2:10" s="21" customFormat="1" x14ac:dyDescent="0.3">
      <c r="B278" s="17">
        <v>271</v>
      </c>
      <c r="C278" s="27" t="s">
        <v>723</v>
      </c>
      <c r="D278" s="17"/>
      <c r="E278" s="29" t="str">
        <f>IFERROR(VLOOKUP(C278,기출문제!D:G,3,0),"")</f>
        <v/>
      </c>
      <c r="F278" s="30" t="str">
        <f>IFERROR(VLOOKUP(C278,기출문제!D:G,4,0),"")</f>
        <v/>
      </c>
      <c r="G278" s="31" t="str">
        <f t="shared" si="4"/>
        <v/>
      </c>
      <c r="J278" s="23"/>
    </row>
    <row r="279" spans="2:10" s="21" customFormat="1" x14ac:dyDescent="0.3">
      <c r="B279" s="17">
        <v>272</v>
      </c>
      <c r="C279" s="27" t="s">
        <v>723</v>
      </c>
      <c r="D279" s="17"/>
      <c r="E279" s="29" t="str">
        <f>IFERROR(VLOOKUP(C279,기출문제!D:G,3,0),"")</f>
        <v/>
      </c>
      <c r="F279" s="30" t="str">
        <f>IFERROR(VLOOKUP(C279,기출문제!D:G,4,0),"")</f>
        <v/>
      </c>
      <c r="G279" s="31" t="str">
        <f t="shared" si="4"/>
        <v/>
      </c>
      <c r="J279" s="23"/>
    </row>
    <row r="280" spans="2:10" s="21" customFormat="1" x14ac:dyDescent="0.3">
      <c r="B280" s="17">
        <v>273</v>
      </c>
      <c r="C280" s="27" t="s">
        <v>723</v>
      </c>
      <c r="D280" s="17"/>
      <c r="E280" s="29" t="str">
        <f>IFERROR(VLOOKUP(C280,기출문제!D:G,3,0),"")</f>
        <v/>
      </c>
      <c r="F280" s="30" t="str">
        <f>IFERROR(VLOOKUP(C280,기출문제!D:G,4,0),"")</f>
        <v/>
      </c>
      <c r="G280" s="31" t="str">
        <f t="shared" si="4"/>
        <v/>
      </c>
      <c r="J280" s="23"/>
    </row>
    <row r="281" spans="2:10" s="21" customFormat="1" x14ac:dyDescent="0.3">
      <c r="B281" s="17">
        <v>274</v>
      </c>
      <c r="C281" s="27" t="s">
        <v>723</v>
      </c>
      <c r="D281" s="17"/>
      <c r="E281" s="29" t="str">
        <f>IFERROR(VLOOKUP(C281,기출문제!D:G,3,0),"")</f>
        <v/>
      </c>
      <c r="F281" s="30" t="str">
        <f>IFERROR(VLOOKUP(C281,기출문제!D:G,4,0),"")</f>
        <v/>
      </c>
      <c r="G281" s="31" t="str">
        <f t="shared" si="4"/>
        <v/>
      </c>
      <c r="J281" s="23"/>
    </row>
    <row r="282" spans="2:10" s="21" customFormat="1" x14ac:dyDescent="0.3">
      <c r="B282" s="17">
        <v>275</v>
      </c>
      <c r="C282" s="27" t="s">
        <v>723</v>
      </c>
      <c r="D282" s="17"/>
      <c r="E282" s="29" t="str">
        <f>IFERROR(VLOOKUP(C282,기출문제!D:G,3,0),"")</f>
        <v/>
      </c>
      <c r="F282" s="30" t="str">
        <f>IFERROR(VLOOKUP(C282,기출문제!D:G,4,0),"")</f>
        <v/>
      </c>
      <c r="G282" s="31" t="str">
        <f t="shared" si="4"/>
        <v/>
      </c>
      <c r="J282" s="23"/>
    </row>
    <row r="283" spans="2:10" s="21" customFormat="1" x14ac:dyDescent="0.3">
      <c r="B283" s="17">
        <v>276</v>
      </c>
      <c r="C283" s="27" t="s">
        <v>723</v>
      </c>
      <c r="D283" s="17"/>
      <c r="E283" s="29" t="str">
        <f>IFERROR(VLOOKUP(C283,기출문제!D:G,3,0),"")</f>
        <v/>
      </c>
      <c r="F283" s="30" t="str">
        <f>IFERROR(VLOOKUP(C283,기출문제!D:G,4,0),"")</f>
        <v/>
      </c>
      <c r="G283" s="31" t="str">
        <f t="shared" si="4"/>
        <v/>
      </c>
      <c r="J283" s="23"/>
    </row>
    <row r="284" spans="2:10" s="21" customFormat="1" x14ac:dyDescent="0.3">
      <c r="B284" s="17">
        <v>277</v>
      </c>
      <c r="C284" s="27" t="s">
        <v>723</v>
      </c>
      <c r="D284" s="17"/>
      <c r="E284" s="29" t="str">
        <f>IFERROR(VLOOKUP(C284,기출문제!D:G,3,0),"")</f>
        <v/>
      </c>
      <c r="F284" s="30" t="str">
        <f>IFERROR(VLOOKUP(C284,기출문제!D:G,4,0),"")</f>
        <v/>
      </c>
      <c r="G284" s="31" t="str">
        <f t="shared" si="4"/>
        <v/>
      </c>
      <c r="J284" s="23"/>
    </row>
    <row r="285" spans="2:10" s="21" customFormat="1" x14ac:dyDescent="0.3">
      <c r="B285" s="17">
        <v>278</v>
      </c>
      <c r="C285" s="27" t="s">
        <v>723</v>
      </c>
      <c r="D285" s="17"/>
      <c r="E285" s="29" t="str">
        <f>IFERROR(VLOOKUP(C285,기출문제!D:G,3,0),"")</f>
        <v/>
      </c>
      <c r="F285" s="30" t="str">
        <f>IFERROR(VLOOKUP(C285,기출문제!D:G,4,0),"")</f>
        <v/>
      </c>
      <c r="G285" s="31" t="str">
        <f t="shared" si="4"/>
        <v/>
      </c>
      <c r="J285" s="23"/>
    </row>
    <row r="286" spans="2:10" s="21" customFormat="1" x14ac:dyDescent="0.3">
      <c r="B286" s="17">
        <v>279</v>
      </c>
      <c r="C286" s="27" t="s">
        <v>723</v>
      </c>
      <c r="D286" s="17"/>
      <c r="E286" s="29" t="str">
        <f>IFERROR(VLOOKUP(C286,기출문제!D:G,3,0),"")</f>
        <v/>
      </c>
      <c r="F286" s="30" t="str">
        <f>IFERROR(VLOOKUP(C286,기출문제!D:G,4,0),"")</f>
        <v/>
      </c>
      <c r="G286" s="31" t="str">
        <f t="shared" si="4"/>
        <v/>
      </c>
      <c r="J286" s="23"/>
    </row>
    <row r="287" spans="2:10" s="21" customFormat="1" x14ac:dyDescent="0.3">
      <c r="B287" s="17">
        <v>280</v>
      </c>
      <c r="C287" s="27" t="s">
        <v>723</v>
      </c>
      <c r="D287" s="17"/>
      <c r="E287" s="29" t="str">
        <f>IFERROR(VLOOKUP(C287,기출문제!D:G,3,0),"")</f>
        <v/>
      </c>
      <c r="F287" s="30" t="str">
        <f>IFERROR(VLOOKUP(C287,기출문제!D:G,4,0),"")</f>
        <v/>
      </c>
      <c r="G287" s="31" t="str">
        <f t="shared" si="4"/>
        <v/>
      </c>
      <c r="J287" s="23"/>
    </row>
    <row r="288" spans="2:10" s="21" customFormat="1" x14ac:dyDescent="0.3">
      <c r="B288" s="17">
        <v>281</v>
      </c>
      <c r="C288" s="27" t="s">
        <v>723</v>
      </c>
      <c r="D288" s="17"/>
      <c r="E288" s="29" t="str">
        <f>IFERROR(VLOOKUP(C288,기출문제!D:G,3,0),"")</f>
        <v/>
      </c>
      <c r="F288" s="30" t="str">
        <f>IFERROR(VLOOKUP(C288,기출문제!D:G,4,0),"")</f>
        <v/>
      </c>
      <c r="G288" s="31" t="str">
        <f t="shared" si="4"/>
        <v/>
      </c>
      <c r="J288" s="23"/>
    </row>
    <row r="289" spans="2:10" s="21" customFormat="1" x14ac:dyDescent="0.3">
      <c r="B289" s="17">
        <v>282</v>
      </c>
      <c r="C289" s="27" t="s">
        <v>723</v>
      </c>
      <c r="D289" s="17"/>
      <c r="E289" s="29" t="str">
        <f>IFERROR(VLOOKUP(C289,기출문제!D:G,3,0),"")</f>
        <v/>
      </c>
      <c r="F289" s="30" t="str">
        <f>IFERROR(VLOOKUP(C289,기출문제!D:G,4,0),"")</f>
        <v/>
      </c>
      <c r="G289" s="31" t="str">
        <f t="shared" si="4"/>
        <v/>
      </c>
      <c r="J289" s="23"/>
    </row>
    <row r="290" spans="2:10" s="21" customFormat="1" x14ac:dyDescent="0.3">
      <c r="B290" s="17">
        <v>283</v>
      </c>
      <c r="C290" s="27" t="s">
        <v>723</v>
      </c>
      <c r="D290" s="17"/>
      <c r="E290" s="29" t="str">
        <f>IFERROR(VLOOKUP(C290,기출문제!D:G,3,0),"")</f>
        <v/>
      </c>
      <c r="F290" s="30" t="str">
        <f>IFERROR(VLOOKUP(C290,기출문제!D:G,4,0),"")</f>
        <v/>
      </c>
      <c r="G290" s="31" t="str">
        <f t="shared" si="4"/>
        <v/>
      </c>
      <c r="J290" s="23"/>
    </row>
    <row r="291" spans="2:10" s="21" customFormat="1" x14ac:dyDescent="0.3">
      <c r="B291" s="17">
        <v>284</v>
      </c>
      <c r="C291" s="27" t="s">
        <v>723</v>
      </c>
      <c r="D291" s="17"/>
      <c r="E291" s="29" t="str">
        <f>IFERROR(VLOOKUP(C291,기출문제!D:G,3,0),"")</f>
        <v/>
      </c>
      <c r="F291" s="30" t="str">
        <f>IFERROR(VLOOKUP(C291,기출문제!D:G,4,0),"")</f>
        <v/>
      </c>
      <c r="G291" s="31" t="str">
        <f t="shared" si="4"/>
        <v/>
      </c>
      <c r="J291" s="23"/>
    </row>
    <row r="292" spans="2:10" s="21" customFormat="1" x14ac:dyDescent="0.3">
      <c r="B292" s="17">
        <v>285</v>
      </c>
      <c r="C292" s="27" t="s">
        <v>723</v>
      </c>
      <c r="D292" s="17"/>
      <c r="E292" s="29" t="str">
        <f>IFERROR(VLOOKUP(C292,기출문제!D:G,3,0),"")</f>
        <v/>
      </c>
      <c r="F292" s="30" t="str">
        <f>IFERROR(VLOOKUP(C292,기출문제!D:G,4,0),"")</f>
        <v/>
      </c>
      <c r="G292" s="31" t="str">
        <f t="shared" si="4"/>
        <v/>
      </c>
      <c r="J292" s="23"/>
    </row>
    <row r="293" spans="2:10" s="21" customFormat="1" x14ac:dyDescent="0.3">
      <c r="B293" s="17">
        <v>286</v>
      </c>
      <c r="C293" s="27" t="s">
        <v>723</v>
      </c>
      <c r="D293" s="17"/>
      <c r="E293" s="29" t="str">
        <f>IFERROR(VLOOKUP(C293,기출문제!D:G,3,0),"")</f>
        <v/>
      </c>
      <c r="F293" s="30" t="str">
        <f>IFERROR(VLOOKUP(C293,기출문제!D:G,4,0),"")</f>
        <v/>
      </c>
      <c r="G293" s="31" t="str">
        <f t="shared" si="4"/>
        <v/>
      </c>
      <c r="J293" s="23"/>
    </row>
    <row r="294" spans="2:10" s="21" customFormat="1" x14ac:dyDescent="0.3">
      <c r="B294" s="17">
        <v>287</v>
      </c>
      <c r="C294" s="27" t="s">
        <v>723</v>
      </c>
      <c r="D294" s="17"/>
      <c r="E294" s="29" t="str">
        <f>IFERROR(VLOOKUP(C294,기출문제!D:G,3,0),"")</f>
        <v/>
      </c>
      <c r="F294" s="30" t="str">
        <f>IFERROR(VLOOKUP(C294,기출문제!D:G,4,0),"")</f>
        <v/>
      </c>
      <c r="G294" s="31" t="str">
        <f t="shared" si="4"/>
        <v/>
      </c>
      <c r="J294" s="23"/>
    </row>
    <row r="295" spans="2:10" s="21" customFormat="1" x14ac:dyDescent="0.3">
      <c r="B295" s="17">
        <v>288</v>
      </c>
      <c r="C295" s="27" t="s">
        <v>723</v>
      </c>
      <c r="D295" s="17"/>
      <c r="E295" s="29" t="str">
        <f>IFERROR(VLOOKUP(C295,기출문제!D:G,3,0),"")</f>
        <v/>
      </c>
      <c r="F295" s="30" t="str">
        <f>IFERROR(VLOOKUP(C295,기출문제!D:G,4,0),"")</f>
        <v/>
      </c>
      <c r="G295" s="31" t="str">
        <f t="shared" si="4"/>
        <v/>
      </c>
      <c r="J295" s="23"/>
    </row>
    <row r="296" spans="2:10" s="21" customFormat="1" x14ac:dyDescent="0.3">
      <c r="B296" s="17">
        <v>289</v>
      </c>
      <c r="C296" s="27" t="s">
        <v>723</v>
      </c>
      <c r="D296" s="17"/>
      <c r="E296" s="29" t="str">
        <f>IFERROR(VLOOKUP(C296,기출문제!D:G,3,0),"")</f>
        <v/>
      </c>
      <c r="F296" s="30" t="str">
        <f>IFERROR(VLOOKUP(C296,기출문제!D:G,4,0),"")</f>
        <v/>
      </c>
      <c r="G296" s="31" t="str">
        <f t="shared" si="4"/>
        <v/>
      </c>
      <c r="J296" s="23"/>
    </row>
    <row r="297" spans="2:10" s="21" customFormat="1" x14ac:dyDescent="0.3">
      <c r="B297" s="17">
        <v>290</v>
      </c>
      <c r="C297" s="27" t="s">
        <v>723</v>
      </c>
      <c r="D297" s="17"/>
      <c r="E297" s="29" t="str">
        <f>IFERROR(VLOOKUP(C297,기출문제!D:G,3,0),"")</f>
        <v/>
      </c>
      <c r="F297" s="30" t="str">
        <f>IFERROR(VLOOKUP(C297,기출문제!D:G,4,0),"")</f>
        <v/>
      </c>
      <c r="G297" s="31" t="str">
        <f t="shared" si="4"/>
        <v/>
      </c>
      <c r="J297" s="23"/>
    </row>
    <row r="298" spans="2:10" s="21" customFormat="1" x14ac:dyDescent="0.3">
      <c r="B298" s="17">
        <v>291</v>
      </c>
      <c r="C298" s="27" t="s">
        <v>723</v>
      </c>
      <c r="D298" s="17"/>
      <c r="E298" s="29" t="str">
        <f>IFERROR(VLOOKUP(C298,기출문제!D:G,3,0),"")</f>
        <v/>
      </c>
      <c r="F298" s="30" t="str">
        <f>IFERROR(VLOOKUP(C298,기출문제!D:G,4,0),"")</f>
        <v/>
      </c>
      <c r="G298" s="31" t="str">
        <f t="shared" si="4"/>
        <v/>
      </c>
      <c r="J298" s="23"/>
    </row>
    <row r="299" spans="2:10" s="21" customFormat="1" x14ac:dyDescent="0.3">
      <c r="B299" s="17">
        <v>292</v>
      </c>
      <c r="C299" s="27" t="s">
        <v>723</v>
      </c>
      <c r="D299" s="17"/>
      <c r="E299" s="29" t="str">
        <f>IFERROR(VLOOKUP(C299,기출문제!D:G,3,0),"")</f>
        <v/>
      </c>
      <c r="F299" s="30" t="str">
        <f>IFERROR(VLOOKUP(C299,기출문제!D:G,4,0),"")</f>
        <v/>
      </c>
      <c r="G299" s="31" t="str">
        <f t="shared" si="4"/>
        <v/>
      </c>
      <c r="J299" s="23"/>
    </row>
    <row r="300" spans="2:10" s="21" customFormat="1" x14ac:dyDescent="0.3">
      <c r="B300" s="17">
        <v>293</v>
      </c>
      <c r="C300" s="27" t="s">
        <v>723</v>
      </c>
      <c r="D300" s="17"/>
      <c r="E300" s="29" t="str">
        <f>IFERROR(VLOOKUP(C300,기출문제!D:G,3,0),"")</f>
        <v/>
      </c>
      <c r="F300" s="30" t="str">
        <f>IFERROR(VLOOKUP(C300,기출문제!D:G,4,0),"")</f>
        <v/>
      </c>
      <c r="G300" s="31" t="str">
        <f t="shared" si="4"/>
        <v/>
      </c>
      <c r="J300" s="23"/>
    </row>
    <row r="301" spans="2:10" s="21" customFormat="1" x14ac:dyDescent="0.3">
      <c r="B301" s="17">
        <v>294</v>
      </c>
      <c r="C301" s="27" t="s">
        <v>723</v>
      </c>
      <c r="D301" s="17"/>
      <c r="E301" s="29" t="str">
        <f>IFERROR(VLOOKUP(C301,기출문제!D:G,3,0),"")</f>
        <v/>
      </c>
      <c r="F301" s="30" t="str">
        <f>IFERROR(VLOOKUP(C301,기출문제!D:G,4,0),"")</f>
        <v/>
      </c>
      <c r="G301" s="31" t="str">
        <f t="shared" si="4"/>
        <v/>
      </c>
      <c r="J301" s="23"/>
    </row>
    <row r="302" spans="2:10" s="21" customFormat="1" x14ac:dyDescent="0.3">
      <c r="B302" s="17">
        <v>295</v>
      </c>
      <c r="C302" s="27" t="s">
        <v>723</v>
      </c>
      <c r="D302" s="17"/>
      <c r="E302" s="29" t="str">
        <f>IFERROR(VLOOKUP(C302,기출문제!D:G,3,0),"")</f>
        <v/>
      </c>
      <c r="F302" s="30" t="str">
        <f>IFERROR(VLOOKUP(C302,기출문제!D:G,4,0),"")</f>
        <v/>
      </c>
      <c r="G302" s="31" t="str">
        <f t="shared" si="4"/>
        <v/>
      </c>
      <c r="J302" s="23"/>
    </row>
    <row r="303" spans="2:10" s="21" customFormat="1" x14ac:dyDescent="0.3">
      <c r="B303" s="17">
        <v>296</v>
      </c>
      <c r="C303" s="27" t="s">
        <v>723</v>
      </c>
      <c r="D303" s="17"/>
      <c r="E303" s="29" t="str">
        <f>IFERROR(VLOOKUP(C303,기출문제!D:G,3,0),"")</f>
        <v/>
      </c>
      <c r="F303" s="30" t="str">
        <f>IFERROR(VLOOKUP(C303,기출문제!D:G,4,0),"")</f>
        <v/>
      </c>
      <c r="G303" s="31" t="str">
        <f t="shared" si="4"/>
        <v/>
      </c>
      <c r="J303" s="23"/>
    </row>
    <row r="304" spans="2:10" s="21" customFormat="1" x14ac:dyDescent="0.3">
      <c r="B304" s="17">
        <v>297</v>
      </c>
      <c r="C304" s="27" t="s">
        <v>723</v>
      </c>
      <c r="D304" s="17"/>
      <c r="E304" s="29" t="str">
        <f>IFERROR(VLOOKUP(C304,기출문제!D:G,3,0),"")</f>
        <v/>
      </c>
      <c r="F304" s="30" t="str">
        <f>IFERROR(VLOOKUP(C304,기출문제!D:G,4,0),"")</f>
        <v/>
      </c>
      <c r="G304" s="31" t="str">
        <f t="shared" si="4"/>
        <v/>
      </c>
      <c r="J304" s="23"/>
    </row>
    <row r="305" spans="2:10" s="21" customFormat="1" x14ac:dyDescent="0.3">
      <c r="B305" s="17">
        <v>298</v>
      </c>
      <c r="C305" s="27" t="s">
        <v>723</v>
      </c>
      <c r="D305" s="17"/>
      <c r="E305" s="29" t="str">
        <f>IFERROR(VLOOKUP(C305,기출문제!D:G,3,0),"")</f>
        <v/>
      </c>
      <c r="F305" s="30" t="str">
        <f>IFERROR(VLOOKUP(C305,기출문제!D:G,4,0),"")</f>
        <v/>
      </c>
      <c r="G305" s="31" t="str">
        <f t="shared" si="4"/>
        <v/>
      </c>
      <c r="J305" s="23"/>
    </row>
    <row r="306" spans="2:10" s="21" customFormat="1" x14ac:dyDescent="0.3">
      <c r="B306" s="17">
        <v>299</v>
      </c>
      <c r="C306" s="27" t="s">
        <v>723</v>
      </c>
      <c r="D306" s="17"/>
      <c r="E306" s="29" t="str">
        <f>IFERROR(VLOOKUP(C306,기출문제!D:G,3,0),"")</f>
        <v/>
      </c>
      <c r="F306" s="30" t="str">
        <f>IFERROR(VLOOKUP(C306,기출문제!D:G,4,0),"")</f>
        <v/>
      </c>
      <c r="G306" s="31" t="str">
        <f t="shared" si="4"/>
        <v/>
      </c>
      <c r="J306" s="23"/>
    </row>
    <row r="307" spans="2:10" s="21" customFormat="1" x14ac:dyDescent="0.3">
      <c r="B307" s="17">
        <v>300</v>
      </c>
      <c r="C307" s="27" t="s">
        <v>723</v>
      </c>
      <c r="D307" s="17"/>
      <c r="E307" s="29" t="str">
        <f>IFERROR(VLOOKUP(C307,기출문제!D:G,3,0),"")</f>
        <v/>
      </c>
      <c r="F307" s="30" t="str">
        <f>IFERROR(VLOOKUP(C307,기출문제!D:G,4,0),"")</f>
        <v/>
      </c>
      <c r="G307" s="31" t="str">
        <f t="shared" si="4"/>
        <v/>
      </c>
      <c r="J307" s="23"/>
    </row>
    <row r="308" spans="2:10" s="21" customFormat="1" x14ac:dyDescent="0.3">
      <c r="B308" s="17">
        <v>301</v>
      </c>
      <c r="C308" s="27" t="s">
        <v>723</v>
      </c>
      <c r="D308" s="17"/>
      <c r="E308" s="29" t="str">
        <f>IFERROR(VLOOKUP(C308,기출문제!D:G,3,0),"")</f>
        <v/>
      </c>
      <c r="F308" s="30" t="str">
        <f>IFERROR(VLOOKUP(C308,기출문제!D:G,4,0),"")</f>
        <v/>
      </c>
      <c r="G308" s="31" t="str">
        <f t="shared" si="4"/>
        <v/>
      </c>
      <c r="J308" s="23"/>
    </row>
    <row r="309" spans="2:10" s="21" customFormat="1" x14ac:dyDescent="0.3">
      <c r="B309" s="17">
        <v>302</v>
      </c>
      <c r="C309" s="27" t="s">
        <v>723</v>
      </c>
      <c r="D309" s="17"/>
      <c r="E309" s="29" t="str">
        <f>IFERROR(VLOOKUP(C309,기출문제!D:G,3,0),"")</f>
        <v/>
      </c>
      <c r="F309" s="30" t="str">
        <f>IFERROR(VLOOKUP(C309,기출문제!D:G,4,0),"")</f>
        <v/>
      </c>
      <c r="G309" s="31" t="str">
        <f t="shared" si="4"/>
        <v/>
      </c>
      <c r="J309" s="23"/>
    </row>
    <row r="310" spans="2:10" s="21" customFormat="1" x14ac:dyDescent="0.3">
      <c r="B310" s="17">
        <v>303</v>
      </c>
      <c r="C310" s="27" t="s">
        <v>723</v>
      </c>
      <c r="D310" s="17"/>
      <c r="E310" s="29" t="str">
        <f>IFERROR(VLOOKUP(C310,기출문제!D:G,3,0),"")</f>
        <v/>
      </c>
      <c r="F310" s="30" t="str">
        <f>IFERROR(VLOOKUP(C310,기출문제!D:G,4,0),"")</f>
        <v/>
      </c>
      <c r="G310" s="31" t="str">
        <f t="shared" si="4"/>
        <v/>
      </c>
      <c r="J310" s="23"/>
    </row>
    <row r="311" spans="2:10" s="21" customFormat="1" x14ac:dyDescent="0.3">
      <c r="B311" s="17">
        <v>304</v>
      </c>
      <c r="C311" s="27" t="s">
        <v>723</v>
      </c>
      <c r="D311" s="17"/>
      <c r="E311" s="29" t="str">
        <f>IFERROR(VLOOKUP(C311,기출문제!D:G,3,0),"")</f>
        <v/>
      </c>
      <c r="F311" s="30" t="str">
        <f>IFERROR(VLOOKUP(C311,기출문제!D:G,4,0),"")</f>
        <v/>
      </c>
      <c r="G311" s="31" t="str">
        <f t="shared" si="4"/>
        <v/>
      </c>
      <c r="J311" s="23"/>
    </row>
    <row r="312" spans="2:10" s="21" customFormat="1" x14ac:dyDescent="0.3">
      <c r="B312" s="17">
        <v>305</v>
      </c>
      <c r="C312" s="27" t="s">
        <v>723</v>
      </c>
      <c r="D312" s="17"/>
      <c r="E312" s="29" t="str">
        <f>IFERROR(VLOOKUP(C312,기출문제!D:G,3,0),"")</f>
        <v/>
      </c>
      <c r="F312" s="30" t="str">
        <f>IFERROR(VLOOKUP(C312,기출문제!D:G,4,0),"")</f>
        <v/>
      </c>
      <c r="G312" s="31" t="str">
        <f t="shared" si="4"/>
        <v/>
      </c>
      <c r="J312" s="23"/>
    </row>
    <row r="313" spans="2:10" s="21" customFormat="1" x14ac:dyDescent="0.3">
      <c r="B313" s="17">
        <v>306</v>
      </c>
      <c r="C313" s="27" t="s">
        <v>723</v>
      </c>
      <c r="D313" s="17"/>
      <c r="E313" s="29" t="str">
        <f>IFERROR(VLOOKUP(C313,기출문제!D:G,3,0),"")</f>
        <v/>
      </c>
      <c r="F313" s="30" t="str">
        <f>IFERROR(VLOOKUP(C313,기출문제!D:G,4,0),"")</f>
        <v/>
      </c>
      <c r="G313" s="31" t="str">
        <f t="shared" si="4"/>
        <v/>
      </c>
      <c r="J313" s="23"/>
    </row>
    <row r="314" spans="2:10" s="21" customFormat="1" x14ac:dyDescent="0.3">
      <c r="B314" s="17">
        <v>307</v>
      </c>
      <c r="C314" s="27" t="s">
        <v>723</v>
      </c>
      <c r="D314" s="17"/>
      <c r="E314" s="29" t="str">
        <f>IFERROR(VLOOKUP(C314,기출문제!D:G,3,0),"")</f>
        <v/>
      </c>
      <c r="F314" s="30" t="str">
        <f>IFERROR(VLOOKUP(C314,기출문제!D:G,4,0),"")</f>
        <v/>
      </c>
      <c r="G314" s="31" t="str">
        <f t="shared" si="4"/>
        <v/>
      </c>
      <c r="J314" s="23"/>
    </row>
    <row r="315" spans="2:10" s="21" customFormat="1" x14ac:dyDescent="0.3">
      <c r="B315" s="17">
        <v>308</v>
      </c>
      <c r="C315" s="27" t="s">
        <v>723</v>
      </c>
      <c r="D315" s="17"/>
      <c r="E315" s="29" t="str">
        <f>IFERROR(VLOOKUP(C315,기출문제!D:G,3,0),"")</f>
        <v/>
      </c>
      <c r="F315" s="30" t="str">
        <f>IFERROR(VLOOKUP(C315,기출문제!D:G,4,0),"")</f>
        <v/>
      </c>
      <c r="G315" s="31" t="str">
        <f t="shared" si="4"/>
        <v/>
      </c>
      <c r="J315" s="23"/>
    </row>
    <row r="316" spans="2:10" s="21" customFormat="1" x14ac:dyDescent="0.3">
      <c r="B316" s="17">
        <v>309</v>
      </c>
      <c r="C316" s="27" t="s">
        <v>723</v>
      </c>
      <c r="D316" s="17"/>
      <c r="E316" s="29" t="str">
        <f>IFERROR(VLOOKUP(C316,기출문제!D:G,3,0),"")</f>
        <v/>
      </c>
      <c r="F316" s="30" t="str">
        <f>IFERROR(VLOOKUP(C316,기출문제!D:G,4,0),"")</f>
        <v/>
      </c>
      <c r="G316" s="31" t="str">
        <f t="shared" si="4"/>
        <v/>
      </c>
      <c r="J316" s="23"/>
    </row>
    <row r="317" spans="2:10" s="21" customFormat="1" x14ac:dyDescent="0.3">
      <c r="B317" s="17">
        <v>310</v>
      </c>
      <c r="C317" s="27" t="s">
        <v>723</v>
      </c>
      <c r="D317" s="17"/>
      <c r="E317" s="29" t="str">
        <f>IFERROR(VLOOKUP(C317,기출문제!D:G,3,0),"")</f>
        <v/>
      </c>
      <c r="F317" s="30" t="str">
        <f>IFERROR(VLOOKUP(C317,기출문제!D:G,4,0),"")</f>
        <v/>
      </c>
      <c r="G317" s="31" t="str">
        <f t="shared" si="4"/>
        <v/>
      </c>
      <c r="J317" s="23"/>
    </row>
    <row r="318" spans="2:10" s="21" customFormat="1" x14ac:dyDescent="0.3">
      <c r="B318" s="17">
        <v>311</v>
      </c>
      <c r="C318" s="27" t="s">
        <v>723</v>
      </c>
      <c r="D318" s="17"/>
      <c r="E318" s="29" t="str">
        <f>IFERROR(VLOOKUP(C318,기출문제!D:G,3,0),"")</f>
        <v/>
      </c>
      <c r="F318" s="30" t="str">
        <f>IFERROR(VLOOKUP(C318,기출문제!D:G,4,0),"")</f>
        <v/>
      </c>
      <c r="G318" s="31" t="str">
        <f t="shared" si="4"/>
        <v/>
      </c>
      <c r="J318" s="23"/>
    </row>
    <row r="319" spans="2:10" s="21" customFormat="1" x14ac:dyDescent="0.3">
      <c r="B319" s="17">
        <v>312</v>
      </c>
      <c r="C319" s="27" t="s">
        <v>723</v>
      </c>
      <c r="D319" s="17"/>
      <c r="E319" s="29" t="str">
        <f>IFERROR(VLOOKUP(C319,기출문제!D:G,3,0),"")</f>
        <v/>
      </c>
      <c r="F319" s="30" t="str">
        <f>IFERROR(VLOOKUP(C319,기출문제!D:G,4,0),"")</f>
        <v/>
      </c>
      <c r="G319" s="31" t="str">
        <f t="shared" si="4"/>
        <v/>
      </c>
      <c r="J319" s="23"/>
    </row>
    <row r="320" spans="2:10" s="21" customFormat="1" x14ac:dyDescent="0.3">
      <c r="B320" s="17">
        <v>313</v>
      </c>
      <c r="C320" s="27" t="s">
        <v>723</v>
      </c>
      <c r="D320" s="17"/>
      <c r="E320" s="29" t="str">
        <f>IFERROR(VLOOKUP(C320,기출문제!D:G,3,0),"")</f>
        <v/>
      </c>
      <c r="F320" s="30" t="str">
        <f>IFERROR(VLOOKUP(C320,기출문제!D:G,4,0),"")</f>
        <v/>
      </c>
      <c r="G320" s="31" t="str">
        <f t="shared" si="4"/>
        <v/>
      </c>
      <c r="J320" s="23"/>
    </row>
    <row r="321" spans="2:10" s="21" customFormat="1" x14ac:dyDescent="0.3">
      <c r="B321" s="17">
        <v>314</v>
      </c>
      <c r="C321" s="27" t="s">
        <v>723</v>
      </c>
      <c r="D321" s="17"/>
      <c r="E321" s="29" t="str">
        <f>IFERROR(VLOOKUP(C321,기출문제!D:G,3,0),"")</f>
        <v/>
      </c>
      <c r="F321" s="30" t="str">
        <f>IFERROR(VLOOKUP(C321,기출문제!D:G,4,0),"")</f>
        <v/>
      </c>
      <c r="G321" s="31" t="str">
        <f t="shared" si="4"/>
        <v/>
      </c>
      <c r="J321" s="23"/>
    </row>
    <row r="322" spans="2:10" s="21" customFormat="1" x14ac:dyDescent="0.3">
      <c r="B322" s="17">
        <v>315</v>
      </c>
      <c r="C322" s="27" t="s">
        <v>723</v>
      </c>
      <c r="D322" s="17"/>
      <c r="E322" s="29" t="str">
        <f>IFERROR(VLOOKUP(C322,기출문제!D:G,3,0),"")</f>
        <v/>
      </c>
      <c r="F322" s="30" t="str">
        <f>IFERROR(VLOOKUP(C322,기출문제!D:G,4,0),"")</f>
        <v/>
      </c>
      <c r="G322" s="31" t="str">
        <f t="shared" si="4"/>
        <v/>
      </c>
      <c r="J322" s="23"/>
    </row>
    <row r="323" spans="2:10" s="21" customFormat="1" x14ac:dyDescent="0.3">
      <c r="B323" s="17">
        <v>316</v>
      </c>
      <c r="C323" s="27" t="s">
        <v>723</v>
      </c>
      <c r="D323" s="17"/>
      <c r="E323" s="29" t="str">
        <f>IFERROR(VLOOKUP(C323,기출문제!D:G,3,0),"")</f>
        <v/>
      </c>
      <c r="F323" s="30" t="str">
        <f>IFERROR(VLOOKUP(C323,기출문제!D:G,4,0),"")</f>
        <v/>
      </c>
      <c r="G323" s="31" t="str">
        <f t="shared" si="4"/>
        <v/>
      </c>
      <c r="J323" s="23"/>
    </row>
    <row r="324" spans="2:10" s="21" customFormat="1" x14ac:dyDescent="0.3">
      <c r="B324" s="17">
        <v>317</v>
      </c>
      <c r="C324" s="27" t="s">
        <v>723</v>
      </c>
      <c r="D324" s="17"/>
      <c r="E324" s="29" t="str">
        <f>IFERROR(VLOOKUP(C324,기출문제!D:G,3,0),"")</f>
        <v/>
      </c>
      <c r="F324" s="30" t="str">
        <f>IFERROR(VLOOKUP(C324,기출문제!D:G,4,0),"")</f>
        <v/>
      </c>
      <c r="G324" s="31" t="str">
        <f t="shared" si="4"/>
        <v/>
      </c>
      <c r="J324" s="23"/>
    </row>
    <row r="325" spans="2:10" s="21" customFormat="1" x14ac:dyDescent="0.3">
      <c r="B325" s="17">
        <v>318</v>
      </c>
      <c r="C325" s="27" t="s">
        <v>723</v>
      </c>
      <c r="D325" s="17"/>
      <c r="E325" s="29" t="str">
        <f>IFERROR(VLOOKUP(C325,기출문제!D:G,3,0),"")</f>
        <v/>
      </c>
      <c r="F325" s="30" t="str">
        <f>IFERROR(VLOOKUP(C325,기출문제!D:G,4,0),"")</f>
        <v/>
      </c>
      <c r="G325" s="31" t="str">
        <f t="shared" si="4"/>
        <v/>
      </c>
      <c r="J325" s="23"/>
    </row>
    <row r="326" spans="2:10" s="21" customFormat="1" x14ac:dyDescent="0.3">
      <c r="B326" s="17">
        <v>319</v>
      </c>
      <c r="C326" s="27" t="s">
        <v>723</v>
      </c>
      <c r="D326" s="17"/>
      <c r="E326" s="29" t="str">
        <f>IFERROR(VLOOKUP(C326,기출문제!D:G,3,0),"")</f>
        <v/>
      </c>
      <c r="F326" s="30" t="str">
        <f>IFERROR(VLOOKUP(C326,기출문제!D:G,4,0),"")</f>
        <v/>
      </c>
      <c r="G326" s="31" t="str">
        <f t="shared" si="4"/>
        <v/>
      </c>
      <c r="J326" s="23"/>
    </row>
    <row r="327" spans="2:10" s="21" customFormat="1" x14ac:dyDescent="0.3">
      <c r="B327" s="17">
        <v>320</v>
      </c>
      <c r="C327" s="27" t="s">
        <v>723</v>
      </c>
      <c r="D327" s="17"/>
      <c r="E327" s="29" t="str">
        <f>IFERROR(VLOOKUP(C327,기출문제!D:G,3,0),"")</f>
        <v/>
      </c>
      <c r="F327" s="30" t="str">
        <f>IFERROR(VLOOKUP(C327,기출문제!D:G,4,0),"")</f>
        <v/>
      </c>
      <c r="G327" s="31" t="str">
        <f t="shared" si="4"/>
        <v/>
      </c>
      <c r="J327" s="23"/>
    </row>
    <row r="328" spans="2:10" s="21" customFormat="1" x14ac:dyDescent="0.3">
      <c r="B328" s="17">
        <v>321</v>
      </c>
      <c r="C328" s="27" t="s">
        <v>723</v>
      </c>
      <c r="D328" s="17"/>
      <c r="E328" s="29" t="str">
        <f>IFERROR(VLOOKUP(C328,기출문제!D:G,3,0),"")</f>
        <v/>
      </c>
      <c r="F328" s="30" t="str">
        <f>IFERROR(VLOOKUP(C328,기출문제!D:G,4,0),"")</f>
        <v/>
      </c>
      <c r="G328" s="31" t="str">
        <f t="shared" si="4"/>
        <v/>
      </c>
      <c r="J328" s="23"/>
    </row>
    <row r="329" spans="2:10" s="21" customFormat="1" x14ac:dyDescent="0.3">
      <c r="B329" s="17">
        <v>322</v>
      </c>
      <c r="C329" s="27" t="s">
        <v>723</v>
      </c>
      <c r="D329" s="17"/>
      <c r="E329" s="29" t="str">
        <f>IFERROR(VLOOKUP(C329,기출문제!D:G,3,0),"")</f>
        <v/>
      </c>
      <c r="F329" s="30" t="str">
        <f>IFERROR(VLOOKUP(C329,기출문제!D:G,4,0),"")</f>
        <v/>
      </c>
      <c r="G329" s="31" t="str">
        <f t="shared" ref="G329:G392" si="5">IF(D329="","",IF(D329=F329,"O", "X"))</f>
        <v/>
      </c>
      <c r="J329" s="23"/>
    </row>
    <row r="330" spans="2:10" s="21" customFormat="1" x14ac:dyDescent="0.3">
      <c r="B330" s="17">
        <v>323</v>
      </c>
      <c r="C330" s="27" t="s">
        <v>723</v>
      </c>
      <c r="D330" s="17"/>
      <c r="E330" s="29" t="str">
        <f>IFERROR(VLOOKUP(C330,기출문제!D:G,3,0),"")</f>
        <v/>
      </c>
      <c r="F330" s="30" t="str">
        <f>IFERROR(VLOOKUP(C330,기출문제!D:G,4,0),"")</f>
        <v/>
      </c>
      <c r="G330" s="31" t="str">
        <f t="shared" si="5"/>
        <v/>
      </c>
      <c r="J330" s="23"/>
    </row>
    <row r="331" spans="2:10" s="21" customFormat="1" x14ac:dyDescent="0.3">
      <c r="B331" s="17">
        <v>324</v>
      </c>
      <c r="C331" s="27" t="s">
        <v>723</v>
      </c>
      <c r="D331" s="17"/>
      <c r="E331" s="29" t="str">
        <f>IFERROR(VLOOKUP(C331,기출문제!D:G,3,0),"")</f>
        <v/>
      </c>
      <c r="F331" s="30" t="str">
        <f>IFERROR(VLOOKUP(C331,기출문제!D:G,4,0),"")</f>
        <v/>
      </c>
      <c r="G331" s="31" t="str">
        <f t="shared" si="5"/>
        <v/>
      </c>
      <c r="J331" s="23"/>
    </row>
    <row r="332" spans="2:10" s="21" customFormat="1" x14ac:dyDescent="0.3">
      <c r="B332" s="17">
        <v>325</v>
      </c>
      <c r="C332" s="27" t="s">
        <v>723</v>
      </c>
      <c r="D332" s="17"/>
      <c r="E332" s="29" t="str">
        <f>IFERROR(VLOOKUP(C332,기출문제!D:G,3,0),"")</f>
        <v/>
      </c>
      <c r="F332" s="30" t="str">
        <f>IFERROR(VLOOKUP(C332,기출문제!D:G,4,0),"")</f>
        <v/>
      </c>
      <c r="G332" s="31" t="str">
        <f t="shared" si="5"/>
        <v/>
      </c>
      <c r="J332" s="23"/>
    </row>
    <row r="333" spans="2:10" s="21" customFormat="1" x14ac:dyDescent="0.3">
      <c r="B333" s="17">
        <v>326</v>
      </c>
      <c r="C333" s="27" t="s">
        <v>723</v>
      </c>
      <c r="D333" s="17"/>
      <c r="E333" s="29" t="str">
        <f>IFERROR(VLOOKUP(C333,기출문제!D:G,3,0),"")</f>
        <v/>
      </c>
      <c r="F333" s="30" t="str">
        <f>IFERROR(VLOOKUP(C333,기출문제!D:G,4,0),"")</f>
        <v/>
      </c>
      <c r="G333" s="31" t="str">
        <f t="shared" si="5"/>
        <v/>
      </c>
      <c r="J333" s="23"/>
    </row>
    <row r="334" spans="2:10" s="21" customFormat="1" x14ac:dyDescent="0.3">
      <c r="B334" s="17">
        <v>327</v>
      </c>
      <c r="C334" s="27" t="s">
        <v>723</v>
      </c>
      <c r="D334" s="17"/>
      <c r="E334" s="29" t="str">
        <f>IFERROR(VLOOKUP(C334,기출문제!D:G,3,0),"")</f>
        <v/>
      </c>
      <c r="F334" s="30" t="str">
        <f>IFERROR(VLOOKUP(C334,기출문제!D:G,4,0),"")</f>
        <v/>
      </c>
      <c r="G334" s="31" t="str">
        <f t="shared" si="5"/>
        <v/>
      </c>
      <c r="J334" s="23"/>
    </row>
    <row r="335" spans="2:10" s="21" customFormat="1" x14ac:dyDescent="0.3">
      <c r="B335" s="17">
        <v>328</v>
      </c>
      <c r="C335" s="27" t="s">
        <v>723</v>
      </c>
      <c r="D335" s="17"/>
      <c r="E335" s="29" t="str">
        <f>IFERROR(VLOOKUP(C335,기출문제!D:G,3,0),"")</f>
        <v/>
      </c>
      <c r="F335" s="30" t="str">
        <f>IFERROR(VLOOKUP(C335,기출문제!D:G,4,0),"")</f>
        <v/>
      </c>
      <c r="G335" s="31" t="str">
        <f t="shared" si="5"/>
        <v/>
      </c>
      <c r="J335" s="23"/>
    </row>
    <row r="336" spans="2:10" s="21" customFormat="1" x14ac:dyDescent="0.3">
      <c r="B336" s="17">
        <v>329</v>
      </c>
      <c r="C336" s="27" t="s">
        <v>723</v>
      </c>
      <c r="D336" s="17"/>
      <c r="E336" s="29" t="str">
        <f>IFERROR(VLOOKUP(C336,기출문제!D:G,3,0),"")</f>
        <v/>
      </c>
      <c r="F336" s="30" t="str">
        <f>IFERROR(VLOOKUP(C336,기출문제!D:G,4,0),"")</f>
        <v/>
      </c>
      <c r="G336" s="31" t="str">
        <f t="shared" si="5"/>
        <v/>
      </c>
      <c r="J336" s="23"/>
    </row>
    <row r="337" spans="2:10" s="21" customFormat="1" x14ac:dyDescent="0.3">
      <c r="B337" s="17">
        <v>330</v>
      </c>
      <c r="C337" s="27" t="s">
        <v>723</v>
      </c>
      <c r="D337" s="17"/>
      <c r="E337" s="29" t="str">
        <f>IFERROR(VLOOKUP(C337,기출문제!D:G,3,0),"")</f>
        <v/>
      </c>
      <c r="F337" s="30" t="str">
        <f>IFERROR(VLOOKUP(C337,기출문제!D:G,4,0),"")</f>
        <v/>
      </c>
      <c r="G337" s="31" t="str">
        <f t="shared" si="5"/>
        <v/>
      </c>
      <c r="J337" s="23"/>
    </row>
    <row r="338" spans="2:10" s="21" customFormat="1" x14ac:dyDescent="0.3">
      <c r="B338" s="17">
        <v>331</v>
      </c>
      <c r="C338" s="27" t="s">
        <v>723</v>
      </c>
      <c r="D338" s="17"/>
      <c r="E338" s="29" t="str">
        <f>IFERROR(VLOOKUP(C338,기출문제!D:G,3,0),"")</f>
        <v/>
      </c>
      <c r="F338" s="30" t="str">
        <f>IFERROR(VLOOKUP(C338,기출문제!D:G,4,0),"")</f>
        <v/>
      </c>
      <c r="G338" s="31" t="str">
        <f t="shared" si="5"/>
        <v/>
      </c>
      <c r="J338" s="23"/>
    </row>
    <row r="339" spans="2:10" s="21" customFormat="1" x14ac:dyDescent="0.3">
      <c r="B339" s="17">
        <v>332</v>
      </c>
      <c r="C339" s="27" t="s">
        <v>723</v>
      </c>
      <c r="D339" s="17"/>
      <c r="E339" s="29" t="str">
        <f>IFERROR(VLOOKUP(C339,기출문제!D:G,3,0),"")</f>
        <v/>
      </c>
      <c r="F339" s="30" t="str">
        <f>IFERROR(VLOOKUP(C339,기출문제!D:G,4,0),"")</f>
        <v/>
      </c>
      <c r="G339" s="31" t="str">
        <f t="shared" si="5"/>
        <v/>
      </c>
      <c r="J339" s="23"/>
    </row>
    <row r="340" spans="2:10" s="21" customFormat="1" x14ac:dyDescent="0.3">
      <c r="B340" s="17">
        <v>333</v>
      </c>
      <c r="C340" s="27" t="s">
        <v>723</v>
      </c>
      <c r="D340" s="17"/>
      <c r="E340" s="29" t="str">
        <f>IFERROR(VLOOKUP(C340,기출문제!D:G,3,0),"")</f>
        <v/>
      </c>
      <c r="F340" s="30" t="str">
        <f>IFERROR(VLOOKUP(C340,기출문제!D:G,4,0),"")</f>
        <v/>
      </c>
      <c r="G340" s="31" t="str">
        <f t="shared" si="5"/>
        <v/>
      </c>
      <c r="J340" s="23"/>
    </row>
    <row r="341" spans="2:10" s="21" customFormat="1" x14ac:dyDescent="0.3">
      <c r="B341" s="17">
        <v>334</v>
      </c>
      <c r="C341" s="27" t="s">
        <v>723</v>
      </c>
      <c r="D341" s="17"/>
      <c r="E341" s="29" t="str">
        <f>IFERROR(VLOOKUP(C341,기출문제!D:G,3,0),"")</f>
        <v/>
      </c>
      <c r="F341" s="30" t="str">
        <f>IFERROR(VLOOKUP(C341,기출문제!D:G,4,0),"")</f>
        <v/>
      </c>
      <c r="G341" s="31" t="str">
        <f t="shared" si="5"/>
        <v/>
      </c>
      <c r="J341" s="23"/>
    </row>
    <row r="342" spans="2:10" s="21" customFormat="1" x14ac:dyDescent="0.3">
      <c r="B342" s="17">
        <v>335</v>
      </c>
      <c r="C342" s="27" t="s">
        <v>723</v>
      </c>
      <c r="D342" s="17"/>
      <c r="E342" s="29" t="str">
        <f>IFERROR(VLOOKUP(C342,기출문제!D:G,3,0),"")</f>
        <v/>
      </c>
      <c r="F342" s="30" t="str">
        <f>IFERROR(VLOOKUP(C342,기출문제!D:G,4,0),"")</f>
        <v/>
      </c>
      <c r="G342" s="31" t="str">
        <f t="shared" si="5"/>
        <v/>
      </c>
      <c r="J342" s="23"/>
    </row>
    <row r="343" spans="2:10" s="21" customFormat="1" x14ac:dyDescent="0.3">
      <c r="B343" s="17">
        <v>336</v>
      </c>
      <c r="C343" s="27" t="s">
        <v>723</v>
      </c>
      <c r="D343" s="17"/>
      <c r="E343" s="29" t="str">
        <f>IFERROR(VLOOKUP(C343,기출문제!D:G,3,0),"")</f>
        <v/>
      </c>
      <c r="F343" s="30" t="str">
        <f>IFERROR(VLOOKUP(C343,기출문제!D:G,4,0),"")</f>
        <v/>
      </c>
      <c r="G343" s="31" t="str">
        <f t="shared" si="5"/>
        <v/>
      </c>
      <c r="J343" s="23"/>
    </row>
    <row r="344" spans="2:10" s="21" customFormat="1" x14ac:dyDescent="0.3">
      <c r="B344" s="17">
        <v>337</v>
      </c>
      <c r="C344" s="27" t="s">
        <v>723</v>
      </c>
      <c r="D344" s="17"/>
      <c r="E344" s="29" t="str">
        <f>IFERROR(VLOOKUP(C344,기출문제!D:G,3,0),"")</f>
        <v/>
      </c>
      <c r="F344" s="30" t="str">
        <f>IFERROR(VLOOKUP(C344,기출문제!D:G,4,0),"")</f>
        <v/>
      </c>
      <c r="G344" s="31" t="str">
        <f t="shared" si="5"/>
        <v/>
      </c>
      <c r="J344" s="23"/>
    </row>
    <row r="345" spans="2:10" s="21" customFormat="1" x14ac:dyDescent="0.3">
      <c r="B345" s="17">
        <v>338</v>
      </c>
      <c r="C345" s="27" t="s">
        <v>723</v>
      </c>
      <c r="D345" s="17"/>
      <c r="E345" s="29" t="str">
        <f>IFERROR(VLOOKUP(C345,기출문제!D:G,3,0),"")</f>
        <v/>
      </c>
      <c r="F345" s="30" t="str">
        <f>IFERROR(VLOOKUP(C345,기출문제!D:G,4,0),"")</f>
        <v/>
      </c>
      <c r="G345" s="31" t="str">
        <f t="shared" si="5"/>
        <v/>
      </c>
      <c r="J345" s="23"/>
    </row>
    <row r="346" spans="2:10" s="21" customFormat="1" x14ac:dyDescent="0.3">
      <c r="B346" s="17">
        <v>339</v>
      </c>
      <c r="C346" s="27" t="s">
        <v>723</v>
      </c>
      <c r="D346" s="17"/>
      <c r="E346" s="29" t="str">
        <f>IFERROR(VLOOKUP(C346,기출문제!D:G,3,0),"")</f>
        <v/>
      </c>
      <c r="F346" s="30" t="str">
        <f>IFERROR(VLOOKUP(C346,기출문제!D:G,4,0),"")</f>
        <v/>
      </c>
      <c r="G346" s="31" t="str">
        <f t="shared" si="5"/>
        <v/>
      </c>
      <c r="J346" s="23"/>
    </row>
    <row r="347" spans="2:10" s="21" customFormat="1" x14ac:dyDescent="0.3">
      <c r="B347" s="17">
        <v>340</v>
      </c>
      <c r="C347" s="27" t="s">
        <v>723</v>
      </c>
      <c r="D347" s="17"/>
      <c r="E347" s="29" t="str">
        <f>IFERROR(VLOOKUP(C347,기출문제!D:G,3,0),"")</f>
        <v/>
      </c>
      <c r="F347" s="30" t="str">
        <f>IFERROR(VLOOKUP(C347,기출문제!D:G,4,0),"")</f>
        <v/>
      </c>
      <c r="G347" s="31" t="str">
        <f t="shared" si="5"/>
        <v/>
      </c>
      <c r="J347" s="23"/>
    </row>
    <row r="348" spans="2:10" s="21" customFormat="1" x14ac:dyDescent="0.3">
      <c r="B348" s="17">
        <v>341</v>
      </c>
      <c r="C348" s="27" t="s">
        <v>723</v>
      </c>
      <c r="D348" s="17"/>
      <c r="E348" s="29" t="str">
        <f>IFERROR(VLOOKUP(C348,기출문제!D:G,3,0),"")</f>
        <v/>
      </c>
      <c r="F348" s="30" t="str">
        <f>IFERROR(VLOOKUP(C348,기출문제!D:G,4,0),"")</f>
        <v/>
      </c>
      <c r="G348" s="31" t="str">
        <f t="shared" si="5"/>
        <v/>
      </c>
      <c r="J348" s="23"/>
    </row>
    <row r="349" spans="2:10" s="21" customFormat="1" x14ac:dyDescent="0.3">
      <c r="B349" s="17">
        <v>342</v>
      </c>
      <c r="C349" s="27" t="s">
        <v>723</v>
      </c>
      <c r="D349" s="17"/>
      <c r="E349" s="29" t="str">
        <f>IFERROR(VLOOKUP(C349,기출문제!D:G,3,0),"")</f>
        <v/>
      </c>
      <c r="F349" s="30" t="str">
        <f>IFERROR(VLOOKUP(C349,기출문제!D:G,4,0),"")</f>
        <v/>
      </c>
      <c r="G349" s="31" t="str">
        <f t="shared" si="5"/>
        <v/>
      </c>
      <c r="J349" s="23"/>
    </row>
    <row r="350" spans="2:10" s="21" customFormat="1" x14ac:dyDescent="0.3">
      <c r="B350" s="17">
        <v>343</v>
      </c>
      <c r="C350" s="27" t="s">
        <v>723</v>
      </c>
      <c r="D350" s="17"/>
      <c r="E350" s="29" t="str">
        <f>IFERROR(VLOOKUP(C350,기출문제!D:G,3,0),"")</f>
        <v/>
      </c>
      <c r="F350" s="30" t="str">
        <f>IFERROR(VLOOKUP(C350,기출문제!D:G,4,0),"")</f>
        <v/>
      </c>
      <c r="G350" s="31" t="str">
        <f t="shared" si="5"/>
        <v/>
      </c>
      <c r="J350" s="23"/>
    </row>
    <row r="351" spans="2:10" s="21" customFormat="1" x14ac:dyDescent="0.3">
      <c r="B351" s="17">
        <v>344</v>
      </c>
      <c r="C351" s="27" t="s">
        <v>723</v>
      </c>
      <c r="D351" s="17"/>
      <c r="E351" s="29" t="str">
        <f>IFERROR(VLOOKUP(C351,기출문제!D:G,3,0),"")</f>
        <v/>
      </c>
      <c r="F351" s="30" t="str">
        <f>IFERROR(VLOOKUP(C351,기출문제!D:G,4,0),"")</f>
        <v/>
      </c>
      <c r="G351" s="31" t="str">
        <f t="shared" si="5"/>
        <v/>
      </c>
      <c r="J351" s="23"/>
    </row>
    <row r="352" spans="2:10" s="21" customFormat="1" x14ac:dyDescent="0.3">
      <c r="B352" s="17">
        <v>345</v>
      </c>
      <c r="C352" s="27" t="s">
        <v>723</v>
      </c>
      <c r="D352" s="17"/>
      <c r="E352" s="29" t="str">
        <f>IFERROR(VLOOKUP(C352,기출문제!D:G,3,0),"")</f>
        <v/>
      </c>
      <c r="F352" s="30" t="str">
        <f>IFERROR(VLOOKUP(C352,기출문제!D:G,4,0),"")</f>
        <v/>
      </c>
      <c r="G352" s="31" t="str">
        <f t="shared" si="5"/>
        <v/>
      </c>
      <c r="J352" s="23"/>
    </row>
    <row r="353" spans="2:10" s="21" customFormat="1" x14ac:dyDescent="0.3">
      <c r="B353" s="17">
        <v>346</v>
      </c>
      <c r="C353" s="27" t="s">
        <v>723</v>
      </c>
      <c r="D353" s="17"/>
      <c r="E353" s="29" t="str">
        <f>IFERROR(VLOOKUP(C353,기출문제!D:G,3,0),"")</f>
        <v/>
      </c>
      <c r="F353" s="30" t="str">
        <f>IFERROR(VLOOKUP(C353,기출문제!D:G,4,0),"")</f>
        <v/>
      </c>
      <c r="G353" s="31" t="str">
        <f t="shared" si="5"/>
        <v/>
      </c>
      <c r="J353" s="23"/>
    </row>
    <row r="354" spans="2:10" s="21" customFormat="1" x14ac:dyDescent="0.3">
      <c r="B354" s="17">
        <v>347</v>
      </c>
      <c r="C354" s="27" t="s">
        <v>723</v>
      </c>
      <c r="D354" s="17"/>
      <c r="E354" s="29" t="str">
        <f>IFERROR(VLOOKUP(C354,기출문제!D:G,3,0),"")</f>
        <v/>
      </c>
      <c r="F354" s="30" t="str">
        <f>IFERROR(VLOOKUP(C354,기출문제!D:G,4,0),"")</f>
        <v/>
      </c>
      <c r="G354" s="31" t="str">
        <f t="shared" si="5"/>
        <v/>
      </c>
      <c r="J354" s="23"/>
    </row>
    <row r="355" spans="2:10" s="21" customFormat="1" x14ac:dyDescent="0.3">
      <c r="B355" s="17">
        <v>348</v>
      </c>
      <c r="C355" s="27" t="s">
        <v>723</v>
      </c>
      <c r="D355" s="17"/>
      <c r="E355" s="29" t="str">
        <f>IFERROR(VLOOKUP(C355,기출문제!D:G,3,0),"")</f>
        <v/>
      </c>
      <c r="F355" s="30" t="str">
        <f>IFERROR(VLOOKUP(C355,기출문제!D:G,4,0),"")</f>
        <v/>
      </c>
      <c r="G355" s="31" t="str">
        <f t="shared" si="5"/>
        <v/>
      </c>
      <c r="J355" s="23"/>
    </row>
    <row r="356" spans="2:10" s="21" customFormat="1" x14ac:dyDescent="0.3">
      <c r="B356" s="17">
        <v>349</v>
      </c>
      <c r="C356" s="27" t="s">
        <v>723</v>
      </c>
      <c r="D356" s="17"/>
      <c r="E356" s="29" t="str">
        <f>IFERROR(VLOOKUP(C356,기출문제!D:G,3,0),"")</f>
        <v/>
      </c>
      <c r="F356" s="30" t="str">
        <f>IFERROR(VLOOKUP(C356,기출문제!D:G,4,0),"")</f>
        <v/>
      </c>
      <c r="G356" s="31" t="str">
        <f t="shared" si="5"/>
        <v/>
      </c>
      <c r="J356" s="23"/>
    </row>
    <row r="357" spans="2:10" s="21" customFormat="1" x14ac:dyDescent="0.3">
      <c r="B357" s="17">
        <v>350</v>
      </c>
      <c r="C357" s="27" t="s">
        <v>723</v>
      </c>
      <c r="D357" s="17"/>
      <c r="E357" s="29" t="str">
        <f>IFERROR(VLOOKUP(C357,기출문제!D:G,3,0),"")</f>
        <v/>
      </c>
      <c r="F357" s="30" t="str">
        <f>IFERROR(VLOOKUP(C357,기출문제!D:G,4,0),"")</f>
        <v/>
      </c>
      <c r="G357" s="31" t="str">
        <f t="shared" si="5"/>
        <v/>
      </c>
      <c r="J357" s="23"/>
    </row>
    <row r="358" spans="2:10" s="21" customFormat="1" x14ac:dyDescent="0.3">
      <c r="B358" s="17">
        <v>351</v>
      </c>
      <c r="C358" s="27" t="s">
        <v>723</v>
      </c>
      <c r="D358" s="17"/>
      <c r="E358" s="29" t="str">
        <f>IFERROR(VLOOKUP(C358,기출문제!D:G,3,0),"")</f>
        <v/>
      </c>
      <c r="F358" s="30" t="str">
        <f>IFERROR(VLOOKUP(C358,기출문제!D:G,4,0),"")</f>
        <v/>
      </c>
      <c r="G358" s="31" t="str">
        <f t="shared" si="5"/>
        <v/>
      </c>
      <c r="J358" s="23"/>
    </row>
    <row r="359" spans="2:10" s="21" customFormat="1" x14ac:dyDescent="0.3">
      <c r="B359" s="17">
        <v>352</v>
      </c>
      <c r="C359" s="27" t="s">
        <v>723</v>
      </c>
      <c r="D359" s="17"/>
      <c r="E359" s="29" t="str">
        <f>IFERROR(VLOOKUP(C359,기출문제!D:G,3,0),"")</f>
        <v/>
      </c>
      <c r="F359" s="30" t="str">
        <f>IFERROR(VLOOKUP(C359,기출문제!D:G,4,0),"")</f>
        <v/>
      </c>
      <c r="G359" s="31" t="str">
        <f t="shared" si="5"/>
        <v/>
      </c>
      <c r="J359" s="23"/>
    </row>
    <row r="360" spans="2:10" s="21" customFormat="1" x14ac:dyDescent="0.3">
      <c r="B360" s="17">
        <v>353</v>
      </c>
      <c r="C360" s="27" t="s">
        <v>723</v>
      </c>
      <c r="D360" s="17"/>
      <c r="E360" s="29" t="str">
        <f>IFERROR(VLOOKUP(C360,기출문제!D:G,3,0),"")</f>
        <v/>
      </c>
      <c r="F360" s="30" t="str">
        <f>IFERROR(VLOOKUP(C360,기출문제!D:G,4,0),"")</f>
        <v/>
      </c>
      <c r="G360" s="31" t="str">
        <f t="shared" si="5"/>
        <v/>
      </c>
      <c r="J360" s="23"/>
    </row>
    <row r="361" spans="2:10" s="21" customFormat="1" x14ac:dyDescent="0.3">
      <c r="B361" s="17">
        <v>354</v>
      </c>
      <c r="C361" s="27" t="s">
        <v>723</v>
      </c>
      <c r="D361" s="17"/>
      <c r="E361" s="29" t="str">
        <f>IFERROR(VLOOKUP(C361,기출문제!D:G,3,0),"")</f>
        <v/>
      </c>
      <c r="F361" s="30" t="str">
        <f>IFERROR(VLOOKUP(C361,기출문제!D:G,4,0),"")</f>
        <v/>
      </c>
      <c r="G361" s="31" t="str">
        <f t="shared" si="5"/>
        <v/>
      </c>
      <c r="J361" s="23"/>
    </row>
    <row r="362" spans="2:10" s="21" customFormat="1" x14ac:dyDescent="0.3">
      <c r="B362" s="17">
        <v>355</v>
      </c>
      <c r="C362" s="27" t="s">
        <v>723</v>
      </c>
      <c r="D362" s="17"/>
      <c r="E362" s="29" t="str">
        <f>IFERROR(VLOOKUP(C362,기출문제!D:G,3,0),"")</f>
        <v/>
      </c>
      <c r="F362" s="30" t="str">
        <f>IFERROR(VLOOKUP(C362,기출문제!D:G,4,0),"")</f>
        <v/>
      </c>
      <c r="G362" s="31" t="str">
        <f t="shared" si="5"/>
        <v/>
      </c>
      <c r="J362" s="23"/>
    </row>
    <row r="363" spans="2:10" s="21" customFormat="1" x14ac:dyDescent="0.3">
      <c r="B363" s="17">
        <v>356</v>
      </c>
      <c r="C363" s="27" t="s">
        <v>723</v>
      </c>
      <c r="D363" s="17"/>
      <c r="E363" s="29" t="str">
        <f>IFERROR(VLOOKUP(C363,기출문제!D:G,3,0),"")</f>
        <v/>
      </c>
      <c r="F363" s="30" t="str">
        <f>IFERROR(VLOOKUP(C363,기출문제!D:G,4,0),"")</f>
        <v/>
      </c>
      <c r="G363" s="31" t="str">
        <f t="shared" si="5"/>
        <v/>
      </c>
      <c r="J363" s="23"/>
    </row>
    <row r="364" spans="2:10" s="21" customFormat="1" x14ac:dyDescent="0.3">
      <c r="B364" s="17">
        <v>357</v>
      </c>
      <c r="C364" s="27" t="s">
        <v>723</v>
      </c>
      <c r="D364" s="17"/>
      <c r="E364" s="29" t="str">
        <f>IFERROR(VLOOKUP(C364,기출문제!D:G,3,0),"")</f>
        <v/>
      </c>
      <c r="F364" s="30" t="str">
        <f>IFERROR(VLOOKUP(C364,기출문제!D:G,4,0),"")</f>
        <v/>
      </c>
      <c r="G364" s="31" t="str">
        <f t="shared" si="5"/>
        <v/>
      </c>
      <c r="J364" s="23"/>
    </row>
    <row r="365" spans="2:10" s="21" customFormat="1" x14ac:dyDescent="0.3">
      <c r="B365" s="17">
        <v>358</v>
      </c>
      <c r="C365" s="27" t="s">
        <v>723</v>
      </c>
      <c r="D365" s="17"/>
      <c r="E365" s="29" t="str">
        <f>IFERROR(VLOOKUP(C365,기출문제!D:G,3,0),"")</f>
        <v/>
      </c>
      <c r="F365" s="30" t="str">
        <f>IFERROR(VLOOKUP(C365,기출문제!D:G,4,0),"")</f>
        <v/>
      </c>
      <c r="G365" s="31" t="str">
        <f t="shared" si="5"/>
        <v/>
      </c>
      <c r="J365" s="23"/>
    </row>
    <row r="366" spans="2:10" s="21" customFormat="1" x14ac:dyDescent="0.3">
      <c r="B366" s="17">
        <v>359</v>
      </c>
      <c r="C366" s="27" t="s">
        <v>723</v>
      </c>
      <c r="D366" s="17"/>
      <c r="E366" s="29" t="str">
        <f>IFERROR(VLOOKUP(C366,기출문제!D:G,3,0),"")</f>
        <v/>
      </c>
      <c r="F366" s="30" t="str">
        <f>IFERROR(VLOOKUP(C366,기출문제!D:G,4,0),"")</f>
        <v/>
      </c>
      <c r="G366" s="31" t="str">
        <f t="shared" si="5"/>
        <v/>
      </c>
      <c r="J366" s="23"/>
    </row>
    <row r="367" spans="2:10" s="21" customFormat="1" x14ac:dyDescent="0.3">
      <c r="B367" s="17">
        <v>360</v>
      </c>
      <c r="C367" s="27" t="s">
        <v>723</v>
      </c>
      <c r="D367" s="17"/>
      <c r="E367" s="29" t="str">
        <f>IFERROR(VLOOKUP(C367,기출문제!D:G,3,0),"")</f>
        <v/>
      </c>
      <c r="F367" s="30" t="str">
        <f>IFERROR(VLOOKUP(C367,기출문제!D:G,4,0),"")</f>
        <v/>
      </c>
      <c r="G367" s="31" t="str">
        <f t="shared" si="5"/>
        <v/>
      </c>
      <c r="J367" s="23"/>
    </row>
    <row r="368" spans="2:10" s="21" customFormat="1" x14ac:dyDescent="0.3">
      <c r="B368" s="17">
        <v>361</v>
      </c>
      <c r="C368" s="27" t="s">
        <v>723</v>
      </c>
      <c r="D368" s="17"/>
      <c r="E368" s="29" t="str">
        <f>IFERROR(VLOOKUP(C368,기출문제!D:G,3,0),"")</f>
        <v/>
      </c>
      <c r="F368" s="30" t="str">
        <f>IFERROR(VLOOKUP(C368,기출문제!D:G,4,0),"")</f>
        <v/>
      </c>
      <c r="G368" s="31" t="str">
        <f t="shared" si="5"/>
        <v/>
      </c>
      <c r="J368" s="23"/>
    </row>
    <row r="369" spans="2:10" s="21" customFormat="1" x14ac:dyDescent="0.3">
      <c r="B369" s="17">
        <v>362</v>
      </c>
      <c r="C369" s="27" t="s">
        <v>723</v>
      </c>
      <c r="D369" s="17"/>
      <c r="E369" s="29" t="str">
        <f>IFERROR(VLOOKUP(C369,기출문제!D:G,3,0),"")</f>
        <v/>
      </c>
      <c r="F369" s="30" t="str">
        <f>IFERROR(VLOOKUP(C369,기출문제!D:G,4,0),"")</f>
        <v/>
      </c>
      <c r="G369" s="31" t="str">
        <f t="shared" si="5"/>
        <v/>
      </c>
      <c r="J369" s="23"/>
    </row>
    <row r="370" spans="2:10" s="21" customFormat="1" x14ac:dyDescent="0.3">
      <c r="B370" s="17">
        <v>363</v>
      </c>
      <c r="C370" s="27" t="s">
        <v>723</v>
      </c>
      <c r="D370" s="17"/>
      <c r="E370" s="29" t="str">
        <f>IFERROR(VLOOKUP(C370,기출문제!D:G,3,0),"")</f>
        <v/>
      </c>
      <c r="F370" s="30" t="str">
        <f>IFERROR(VLOOKUP(C370,기출문제!D:G,4,0),"")</f>
        <v/>
      </c>
      <c r="G370" s="31" t="str">
        <f t="shared" si="5"/>
        <v/>
      </c>
      <c r="J370" s="23"/>
    </row>
    <row r="371" spans="2:10" s="21" customFormat="1" x14ac:dyDescent="0.3">
      <c r="B371" s="17">
        <v>364</v>
      </c>
      <c r="C371" s="27" t="s">
        <v>723</v>
      </c>
      <c r="D371" s="17"/>
      <c r="E371" s="29" t="str">
        <f>IFERROR(VLOOKUP(C371,기출문제!D:G,3,0),"")</f>
        <v/>
      </c>
      <c r="F371" s="30" t="str">
        <f>IFERROR(VLOOKUP(C371,기출문제!D:G,4,0),"")</f>
        <v/>
      </c>
      <c r="G371" s="31" t="str">
        <f t="shared" si="5"/>
        <v/>
      </c>
      <c r="J371" s="23"/>
    </row>
    <row r="372" spans="2:10" s="21" customFormat="1" x14ac:dyDescent="0.3">
      <c r="B372" s="17">
        <v>365</v>
      </c>
      <c r="C372" s="27" t="s">
        <v>723</v>
      </c>
      <c r="D372" s="17"/>
      <c r="E372" s="29" t="str">
        <f>IFERROR(VLOOKUP(C372,기출문제!D:G,3,0),"")</f>
        <v/>
      </c>
      <c r="F372" s="30" t="str">
        <f>IFERROR(VLOOKUP(C372,기출문제!D:G,4,0),"")</f>
        <v/>
      </c>
      <c r="G372" s="31" t="str">
        <f t="shared" si="5"/>
        <v/>
      </c>
      <c r="J372" s="23"/>
    </row>
    <row r="373" spans="2:10" s="21" customFormat="1" x14ac:dyDescent="0.3">
      <c r="B373" s="17">
        <v>366</v>
      </c>
      <c r="C373" s="27" t="s">
        <v>723</v>
      </c>
      <c r="D373" s="17"/>
      <c r="E373" s="29" t="str">
        <f>IFERROR(VLOOKUP(C373,기출문제!D:G,3,0),"")</f>
        <v/>
      </c>
      <c r="F373" s="30" t="str">
        <f>IFERROR(VLOOKUP(C373,기출문제!D:G,4,0),"")</f>
        <v/>
      </c>
      <c r="G373" s="31" t="str">
        <f t="shared" si="5"/>
        <v/>
      </c>
      <c r="J373" s="23"/>
    </row>
    <row r="374" spans="2:10" s="21" customFormat="1" x14ac:dyDescent="0.3">
      <c r="B374" s="17">
        <v>367</v>
      </c>
      <c r="C374" s="27" t="s">
        <v>723</v>
      </c>
      <c r="D374" s="17"/>
      <c r="E374" s="29" t="str">
        <f>IFERROR(VLOOKUP(C374,기출문제!D:G,3,0),"")</f>
        <v/>
      </c>
      <c r="F374" s="30" t="str">
        <f>IFERROR(VLOOKUP(C374,기출문제!D:G,4,0),"")</f>
        <v/>
      </c>
      <c r="G374" s="31" t="str">
        <f t="shared" si="5"/>
        <v/>
      </c>
      <c r="J374" s="23"/>
    </row>
    <row r="375" spans="2:10" s="21" customFormat="1" x14ac:dyDescent="0.3">
      <c r="B375" s="17">
        <v>368</v>
      </c>
      <c r="C375" s="27" t="s">
        <v>723</v>
      </c>
      <c r="D375" s="17"/>
      <c r="E375" s="29" t="str">
        <f>IFERROR(VLOOKUP(C375,기출문제!D:G,3,0),"")</f>
        <v/>
      </c>
      <c r="F375" s="30" t="str">
        <f>IFERROR(VLOOKUP(C375,기출문제!D:G,4,0),"")</f>
        <v/>
      </c>
      <c r="G375" s="31" t="str">
        <f t="shared" si="5"/>
        <v/>
      </c>
      <c r="J375" s="23"/>
    </row>
    <row r="376" spans="2:10" s="21" customFormat="1" x14ac:dyDescent="0.3">
      <c r="B376" s="17">
        <v>369</v>
      </c>
      <c r="C376" s="27" t="s">
        <v>723</v>
      </c>
      <c r="D376" s="17"/>
      <c r="E376" s="29" t="str">
        <f>IFERROR(VLOOKUP(C376,기출문제!D:G,3,0),"")</f>
        <v/>
      </c>
      <c r="F376" s="30" t="str">
        <f>IFERROR(VLOOKUP(C376,기출문제!D:G,4,0),"")</f>
        <v/>
      </c>
      <c r="G376" s="31" t="str">
        <f t="shared" si="5"/>
        <v/>
      </c>
      <c r="J376" s="23"/>
    </row>
    <row r="377" spans="2:10" s="21" customFormat="1" x14ac:dyDescent="0.3">
      <c r="B377" s="17">
        <v>370</v>
      </c>
      <c r="C377" s="27" t="s">
        <v>723</v>
      </c>
      <c r="D377" s="17"/>
      <c r="E377" s="29" t="str">
        <f>IFERROR(VLOOKUP(C377,기출문제!D:G,3,0),"")</f>
        <v/>
      </c>
      <c r="F377" s="30" t="str">
        <f>IFERROR(VLOOKUP(C377,기출문제!D:G,4,0),"")</f>
        <v/>
      </c>
      <c r="G377" s="31" t="str">
        <f t="shared" si="5"/>
        <v/>
      </c>
      <c r="J377" s="23"/>
    </row>
    <row r="378" spans="2:10" s="21" customFormat="1" x14ac:dyDescent="0.3">
      <c r="B378" s="17">
        <v>371</v>
      </c>
      <c r="C378" s="27" t="s">
        <v>723</v>
      </c>
      <c r="D378" s="17"/>
      <c r="E378" s="29" t="str">
        <f>IFERROR(VLOOKUP(C378,기출문제!D:G,3,0),"")</f>
        <v/>
      </c>
      <c r="F378" s="30" t="str">
        <f>IFERROR(VLOOKUP(C378,기출문제!D:G,4,0),"")</f>
        <v/>
      </c>
      <c r="G378" s="31" t="str">
        <f t="shared" si="5"/>
        <v/>
      </c>
      <c r="J378" s="23"/>
    </row>
    <row r="379" spans="2:10" s="21" customFormat="1" x14ac:dyDescent="0.3">
      <c r="B379" s="17">
        <v>372</v>
      </c>
      <c r="C379" s="27" t="s">
        <v>723</v>
      </c>
      <c r="D379" s="17"/>
      <c r="E379" s="29" t="str">
        <f>IFERROR(VLOOKUP(C379,기출문제!D:G,3,0),"")</f>
        <v/>
      </c>
      <c r="F379" s="30" t="str">
        <f>IFERROR(VLOOKUP(C379,기출문제!D:G,4,0),"")</f>
        <v/>
      </c>
      <c r="G379" s="31" t="str">
        <f t="shared" si="5"/>
        <v/>
      </c>
      <c r="J379" s="23"/>
    </row>
    <row r="380" spans="2:10" s="21" customFormat="1" x14ac:dyDescent="0.3">
      <c r="B380" s="17">
        <v>373</v>
      </c>
      <c r="C380" s="27" t="s">
        <v>723</v>
      </c>
      <c r="D380" s="17"/>
      <c r="E380" s="29" t="str">
        <f>IFERROR(VLOOKUP(C380,기출문제!D:G,3,0),"")</f>
        <v/>
      </c>
      <c r="F380" s="30" t="str">
        <f>IFERROR(VLOOKUP(C380,기출문제!D:G,4,0),"")</f>
        <v/>
      </c>
      <c r="G380" s="31" t="str">
        <f t="shared" si="5"/>
        <v/>
      </c>
      <c r="J380" s="23"/>
    </row>
    <row r="381" spans="2:10" s="21" customFormat="1" x14ac:dyDescent="0.3">
      <c r="B381" s="17">
        <v>374</v>
      </c>
      <c r="C381" s="27" t="s">
        <v>723</v>
      </c>
      <c r="D381" s="17"/>
      <c r="E381" s="29" t="str">
        <f>IFERROR(VLOOKUP(C381,기출문제!D:G,3,0),"")</f>
        <v/>
      </c>
      <c r="F381" s="30" t="str">
        <f>IFERROR(VLOOKUP(C381,기출문제!D:G,4,0),"")</f>
        <v/>
      </c>
      <c r="G381" s="31" t="str">
        <f t="shared" si="5"/>
        <v/>
      </c>
      <c r="J381" s="23"/>
    </row>
    <row r="382" spans="2:10" s="21" customFormat="1" x14ac:dyDescent="0.3">
      <c r="B382" s="17">
        <v>375</v>
      </c>
      <c r="C382" s="27" t="s">
        <v>723</v>
      </c>
      <c r="D382" s="17"/>
      <c r="E382" s="29" t="str">
        <f>IFERROR(VLOOKUP(C382,기출문제!D:G,3,0),"")</f>
        <v/>
      </c>
      <c r="F382" s="30" t="str">
        <f>IFERROR(VLOOKUP(C382,기출문제!D:G,4,0),"")</f>
        <v/>
      </c>
      <c r="G382" s="31" t="str">
        <f t="shared" si="5"/>
        <v/>
      </c>
      <c r="J382" s="23"/>
    </row>
    <row r="383" spans="2:10" s="21" customFormat="1" x14ac:dyDescent="0.3">
      <c r="B383" s="17">
        <v>376</v>
      </c>
      <c r="C383" s="27" t="s">
        <v>723</v>
      </c>
      <c r="D383" s="17"/>
      <c r="E383" s="29" t="str">
        <f>IFERROR(VLOOKUP(C383,기출문제!D:G,3,0),"")</f>
        <v/>
      </c>
      <c r="F383" s="30" t="str">
        <f>IFERROR(VLOOKUP(C383,기출문제!D:G,4,0),"")</f>
        <v/>
      </c>
      <c r="G383" s="31" t="str">
        <f t="shared" si="5"/>
        <v/>
      </c>
      <c r="J383" s="23"/>
    </row>
    <row r="384" spans="2:10" s="21" customFormat="1" x14ac:dyDescent="0.3">
      <c r="B384" s="17">
        <v>377</v>
      </c>
      <c r="C384" s="27" t="s">
        <v>723</v>
      </c>
      <c r="D384" s="17"/>
      <c r="E384" s="29" t="str">
        <f>IFERROR(VLOOKUP(C384,기출문제!D:G,3,0),"")</f>
        <v/>
      </c>
      <c r="F384" s="30" t="str">
        <f>IFERROR(VLOOKUP(C384,기출문제!D:G,4,0),"")</f>
        <v/>
      </c>
      <c r="G384" s="31" t="str">
        <f t="shared" si="5"/>
        <v/>
      </c>
      <c r="J384" s="23"/>
    </row>
    <row r="385" spans="2:10" s="21" customFormat="1" x14ac:dyDescent="0.3">
      <c r="B385" s="17">
        <v>378</v>
      </c>
      <c r="C385" s="27" t="s">
        <v>723</v>
      </c>
      <c r="D385" s="17"/>
      <c r="E385" s="29" t="str">
        <f>IFERROR(VLOOKUP(C385,기출문제!D:G,3,0),"")</f>
        <v/>
      </c>
      <c r="F385" s="30" t="str">
        <f>IFERROR(VLOOKUP(C385,기출문제!D:G,4,0),"")</f>
        <v/>
      </c>
      <c r="G385" s="31" t="str">
        <f t="shared" si="5"/>
        <v/>
      </c>
      <c r="J385" s="23"/>
    </row>
    <row r="386" spans="2:10" s="21" customFormat="1" x14ac:dyDescent="0.3">
      <c r="B386" s="17">
        <v>379</v>
      </c>
      <c r="C386" s="27" t="s">
        <v>723</v>
      </c>
      <c r="D386" s="17"/>
      <c r="E386" s="29" t="str">
        <f>IFERROR(VLOOKUP(C386,기출문제!D:G,3,0),"")</f>
        <v/>
      </c>
      <c r="F386" s="30" t="str">
        <f>IFERROR(VLOOKUP(C386,기출문제!D:G,4,0),"")</f>
        <v/>
      </c>
      <c r="G386" s="31" t="str">
        <f t="shared" si="5"/>
        <v/>
      </c>
      <c r="J386" s="23"/>
    </row>
    <row r="387" spans="2:10" s="21" customFormat="1" x14ac:dyDescent="0.3">
      <c r="B387" s="17">
        <v>380</v>
      </c>
      <c r="C387" s="27" t="s">
        <v>723</v>
      </c>
      <c r="D387" s="17"/>
      <c r="E387" s="29" t="str">
        <f>IFERROR(VLOOKUP(C387,기출문제!D:G,3,0),"")</f>
        <v/>
      </c>
      <c r="F387" s="30" t="str">
        <f>IFERROR(VLOOKUP(C387,기출문제!D:G,4,0),"")</f>
        <v/>
      </c>
      <c r="G387" s="31" t="str">
        <f t="shared" si="5"/>
        <v/>
      </c>
      <c r="J387" s="23"/>
    </row>
    <row r="388" spans="2:10" s="21" customFormat="1" x14ac:dyDescent="0.3">
      <c r="B388" s="17">
        <v>381</v>
      </c>
      <c r="C388" s="27" t="s">
        <v>723</v>
      </c>
      <c r="D388" s="17"/>
      <c r="E388" s="29" t="str">
        <f>IFERROR(VLOOKUP(C388,기출문제!D:G,3,0),"")</f>
        <v/>
      </c>
      <c r="F388" s="30" t="str">
        <f>IFERROR(VLOOKUP(C388,기출문제!D:G,4,0),"")</f>
        <v/>
      </c>
      <c r="G388" s="31" t="str">
        <f t="shared" si="5"/>
        <v/>
      </c>
      <c r="J388" s="23"/>
    </row>
    <row r="389" spans="2:10" s="21" customFormat="1" x14ac:dyDescent="0.3">
      <c r="B389" s="17">
        <v>382</v>
      </c>
      <c r="C389" s="27" t="s">
        <v>723</v>
      </c>
      <c r="D389" s="17"/>
      <c r="E389" s="29" t="str">
        <f>IFERROR(VLOOKUP(C389,기출문제!D:G,3,0),"")</f>
        <v/>
      </c>
      <c r="F389" s="30" t="str">
        <f>IFERROR(VLOOKUP(C389,기출문제!D:G,4,0),"")</f>
        <v/>
      </c>
      <c r="G389" s="31" t="str">
        <f t="shared" si="5"/>
        <v/>
      </c>
      <c r="J389" s="23"/>
    </row>
    <row r="390" spans="2:10" s="21" customFormat="1" x14ac:dyDescent="0.3">
      <c r="B390" s="17">
        <v>383</v>
      </c>
      <c r="C390" s="27" t="s">
        <v>723</v>
      </c>
      <c r="D390" s="17"/>
      <c r="E390" s="29" t="str">
        <f>IFERROR(VLOOKUP(C390,기출문제!D:G,3,0),"")</f>
        <v/>
      </c>
      <c r="F390" s="30" t="str">
        <f>IFERROR(VLOOKUP(C390,기출문제!D:G,4,0),"")</f>
        <v/>
      </c>
      <c r="G390" s="31" t="str">
        <f t="shared" si="5"/>
        <v/>
      </c>
      <c r="J390" s="23"/>
    </row>
    <row r="391" spans="2:10" s="21" customFormat="1" x14ac:dyDescent="0.3">
      <c r="B391" s="17">
        <v>384</v>
      </c>
      <c r="C391" s="27" t="s">
        <v>723</v>
      </c>
      <c r="D391" s="17"/>
      <c r="E391" s="29" t="str">
        <f>IFERROR(VLOOKUP(C391,기출문제!D:G,3,0),"")</f>
        <v/>
      </c>
      <c r="F391" s="30" t="str">
        <f>IFERROR(VLOOKUP(C391,기출문제!D:G,4,0),"")</f>
        <v/>
      </c>
      <c r="G391" s="31" t="str">
        <f t="shared" si="5"/>
        <v/>
      </c>
      <c r="J391" s="23"/>
    </row>
    <row r="392" spans="2:10" s="21" customFormat="1" x14ac:dyDescent="0.3">
      <c r="B392" s="17">
        <v>385</v>
      </c>
      <c r="C392" s="27" t="s">
        <v>723</v>
      </c>
      <c r="D392" s="17"/>
      <c r="E392" s="29" t="str">
        <f>IFERROR(VLOOKUP(C392,기출문제!D:G,3,0),"")</f>
        <v/>
      </c>
      <c r="F392" s="30" t="str">
        <f>IFERROR(VLOOKUP(C392,기출문제!D:G,4,0),"")</f>
        <v/>
      </c>
      <c r="G392" s="31" t="str">
        <f t="shared" si="5"/>
        <v/>
      </c>
      <c r="J392" s="23"/>
    </row>
    <row r="393" spans="2:10" s="21" customFormat="1" x14ac:dyDescent="0.3">
      <c r="B393" s="17">
        <v>386</v>
      </c>
      <c r="C393" s="27" t="s">
        <v>723</v>
      </c>
      <c r="D393" s="17"/>
      <c r="E393" s="29" t="str">
        <f>IFERROR(VLOOKUP(C393,기출문제!D:G,3,0),"")</f>
        <v/>
      </c>
      <c r="F393" s="30" t="str">
        <f>IFERROR(VLOOKUP(C393,기출문제!D:G,4,0),"")</f>
        <v/>
      </c>
      <c r="G393" s="31" t="str">
        <f t="shared" ref="G393:G397" si="6">IF(D393="","",IF(D393=F393,"O", "X"))</f>
        <v/>
      </c>
      <c r="J393" s="23"/>
    </row>
    <row r="394" spans="2:10" s="21" customFormat="1" x14ac:dyDescent="0.3">
      <c r="B394" s="17">
        <v>387</v>
      </c>
      <c r="C394" s="27" t="s">
        <v>723</v>
      </c>
      <c r="D394" s="17"/>
      <c r="E394" s="29" t="str">
        <f>IFERROR(VLOOKUP(C394,기출문제!D:G,3,0),"")</f>
        <v/>
      </c>
      <c r="F394" s="30" t="str">
        <f>IFERROR(VLOOKUP(C394,기출문제!D:G,4,0),"")</f>
        <v/>
      </c>
      <c r="G394" s="31" t="str">
        <f t="shared" si="6"/>
        <v/>
      </c>
      <c r="J394" s="23"/>
    </row>
    <row r="395" spans="2:10" s="21" customFormat="1" x14ac:dyDescent="0.3">
      <c r="B395" s="17">
        <v>388</v>
      </c>
      <c r="C395" s="27" t="s">
        <v>723</v>
      </c>
      <c r="D395" s="17"/>
      <c r="E395" s="29" t="str">
        <f>IFERROR(VLOOKUP(C395,기출문제!D:G,3,0),"")</f>
        <v/>
      </c>
      <c r="F395" s="30" t="str">
        <f>IFERROR(VLOOKUP(C395,기출문제!D:G,4,0),"")</f>
        <v/>
      </c>
      <c r="G395" s="31" t="str">
        <f t="shared" si="6"/>
        <v/>
      </c>
      <c r="J395" s="23"/>
    </row>
    <row r="396" spans="2:10" s="21" customFormat="1" x14ac:dyDescent="0.3">
      <c r="B396" s="17">
        <v>389</v>
      </c>
      <c r="C396" s="27" t="s">
        <v>723</v>
      </c>
      <c r="D396" s="17"/>
      <c r="E396" s="29" t="str">
        <f>IFERROR(VLOOKUP(C396,기출문제!D:G,3,0),"")</f>
        <v/>
      </c>
      <c r="F396" s="30" t="str">
        <f>IFERROR(VLOOKUP(C396,기출문제!D:G,4,0),"")</f>
        <v/>
      </c>
      <c r="G396" s="31" t="str">
        <f t="shared" si="6"/>
        <v/>
      </c>
      <c r="J396" s="23"/>
    </row>
    <row r="397" spans="2:10" s="21" customFormat="1" x14ac:dyDescent="0.3">
      <c r="B397" s="17">
        <v>390</v>
      </c>
      <c r="C397" s="27" t="s">
        <v>723</v>
      </c>
      <c r="D397" s="17"/>
      <c r="E397" s="29" t="str">
        <f>IFERROR(VLOOKUP(C397,기출문제!D:G,3,0),"")</f>
        <v/>
      </c>
      <c r="F397" s="30" t="str">
        <f>IFERROR(VLOOKUP(C397,기출문제!D:G,4,0),"")</f>
        <v/>
      </c>
      <c r="G397" s="31" t="str">
        <f t="shared" si="6"/>
        <v/>
      </c>
      <c r="J397" s="23"/>
    </row>
  </sheetData>
  <phoneticPr fontId="1" type="noConversion"/>
  <conditionalFormatting sqref="F8:F397">
    <cfRule type="expression" dxfId="2" priority="1">
      <formula>$D8&lt;&gt;""</formula>
    </cfRule>
  </conditionalFormatting>
  <dataValidations count="1">
    <dataValidation type="list" allowBlank="1" showInputMessage="1" showErrorMessage="1" sqref="D3" xr:uid="{EE850B88-5388-4762-8696-B4073C2EADEE}">
      <formula1>"A(기본),R(랜덤)"</formula1>
    </dataValidation>
  </dataValidations>
  <printOptions horizontalCentered="1"/>
  <pageMargins left="0" right="0" top="0.19685039370078741" bottom="0" header="0" footer="0"/>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현재_통합_문서.TestQuestionCreate_Click" altText="문제생성_x000a_">
                <anchor moveWithCells="1" sizeWithCells="1">
                  <from>
                    <xdr:col>2</xdr:col>
                    <xdr:colOff>9525</xdr:colOff>
                    <xdr:row>5</xdr:row>
                    <xdr:rowOff>28575</xdr:rowOff>
                  </from>
                  <to>
                    <xdr:col>3</xdr:col>
                    <xdr:colOff>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A68A9A6-BEC2-45CF-A7BE-6E1425EF2B7F}">
          <x14:formula1>
            <xm:f>기출문제!$C$4:$C$5000</xm:f>
          </x14:formula1>
          <xm:sqref>D4:D5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31CC3-1D21-4359-86E2-32FB4A3D677D}">
  <sheetPr codeName="Sheet20">
    <pageSetUpPr autoPageBreaks="0"/>
  </sheetPr>
  <dimension ref="B2:J397"/>
  <sheetViews>
    <sheetView showGridLines="0" zoomScaleNormal="100" zoomScaleSheetLayoutView="100" workbookViewId="0">
      <pane ySplit="7" topLeftCell="A208" activePane="bottomLeft" state="frozen"/>
      <selection activeCell="N35" sqref="N35"/>
      <selection pane="bottomLeft" activeCell="B7" sqref="B7:G7"/>
    </sheetView>
  </sheetViews>
  <sheetFormatPr defaultColWidth="9" defaultRowHeight="14.25" x14ac:dyDescent="0.3"/>
  <cols>
    <col min="1" max="1" width="1.625" style="23" customWidth="1"/>
    <col min="2" max="2" width="3.625" style="15" customWidth="1"/>
    <col min="3" max="3" width="10.625" style="15" customWidth="1"/>
    <col min="4" max="4" width="5.625" style="15" customWidth="1"/>
    <col min="5" max="5" width="95.625" style="18" customWidth="1"/>
    <col min="6" max="7" width="5.625" style="26" customWidth="1"/>
    <col min="8" max="9" width="9" style="21"/>
    <col min="10" max="16384" width="9" style="23"/>
  </cols>
  <sheetData>
    <row r="2" spans="2:10" x14ac:dyDescent="0.3">
      <c r="C2" s="16" t="s">
        <v>724</v>
      </c>
      <c r="D2" s="17">
        <v>265</v>
      </c>
      <c r="F2" s="19" t="s">
        <v>763</v>
      </c>
      <c r="G2" s="20">
        <f>MAX(B8:B397)-COUNTBLANK(C8:C397)</f>
        <v>265</v>
      </c>
      <c r="J2" s="22"/>
    </row>
    <row r="3" spans="2:10" x14ac:dyDescent="0.3">
      <c r="C3" s="16" t="s">
        <v>725</v>
      </c>
      <c r="D3" s="17" t="s">
        <v>744</v>
      </c>
      <c r="F3" s="19" t="s">
        <v>773</v>
      </c>
      <c r="G3" s="24">
        <f>COUNTIF(G8:G447,"X")</f>
        <v>0</v>
      </c>
      <c r="J3" s="22"/>
    </row>
    <row r="4" spans="2:10" x14ac:dyDescent="0.3">
      <c r="C4" s="16" t="s">
        <v>729</v>
      </c>
      <c r="D4" s="17" t="s">
        <v>739</v>
      </c>
      <c r="F4" s="24" t="s">
        <v>3</v>
      </c>
      <c r="G4" s="24">
        <f>G2-G3</f>
        <v>265</v>
      </c>
      <c r="J4" s="22"/>
    </row>
    <row r="5" spans="2:10" x14ac:dyDescent="0.3">
      <c r="C5" s="16" t="s">
        <v>726</v>
      </c>
      <c r="D5" s="17" t="s">
        <v>728</v>
      </c>
      <c r="F5" s="24" t="s">
        <v>764</v>
      </c>
      <c r="G5" s="25">
        <f>100/G2*G4</f>
        <v>100.00000000000001</v>
      </c>
      <c r="J5" s="22"/>
    </row>
    <row r="6" spans="2:10" x14ac:dyDescent="0.3">
      <c r="J6" s="22"/>
    </row>
    <row r="7" spans="2:10" x14ac:dyDescent="0.3">
      <c r="B7" s="4" t="s">
        <v>0</v>
      </c>
      <c r="C7" s="4" t="s">
        <v>1</v>
      </c>
      <c r="D7" s="4" t="s">
        <v>606</v>
      </c>
      <c r="E7" s="14" t="s">
        <v>2</v>
      </c>
      <c r="F7" s="14" t="s">
        <v>3</v>
      </c>
      <c r="G7" s="14" t="s">
        <v>598</v>
      </c>
      <c r="J7" s="22"/>
    </row>
    <row r="8" spans="2:10" ht="156.75" x14ac:dyDescent="0.3">
      <c r="B8" s="17">
        <v>1</v>
      </c>
      <c r="C8" s="27" t="s">
        <v>631</v>
      </c>
      <c r="D8" s="28"/>
      <c r="E8" s="29" t="str">
        <f>IFERROR(VLOOKUP(C8,기출문제!D:G,3,0),"")</f>
        <v>41. 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
① ㄱ, ㄴ, ㄷ 
② ㄱ, ㄴ, ㄹ 
③ ㄱ, ㄷ, ㄹ
④ ㄴ, ㄷ, ㄹ 
⑤ ㄱ, ㄴ, ㄷ, ㄹ</v>
      </c>
      <c r="F8" s="30">
        <f>IFERROR(VLOOKUP(C8,기출문제!D:G,4,0),"")</f>
        <v>5</v>
      </c>
      <c r="G8" s="31" t="str">
        <f>IF(D8="","",IF(D8=F8,"O", "X"))</f>
        <v/>
      </c>
    </row>
    <row r="9" spans="2:10" ht="156.75" x14ac:dyDescent="0.3">
      <c r="B9" s="17">
        <v>2</v>
      </c>
      <c r="C9" s="27" t="s">
        <v>866</v>
      </c>
      <c r="D9" s="28"/>
      <c r="E9" s="29" t="str">
        <f>IFERROR(VLOOKUP(C9,기출문제!D:G,3,0),"")</f>
        <v>42. 사회보장기본법령에 관한 설명으로 옳지 않은 것은?
① 보건복지부장관은 사회보장 행정데이터 분석센터의 설치・운영에 관한 사무를 수행하기 위하여 불가피한 경우「개인정보 보호법」시행령 제18조제2호에 따른 범죄경력자료에 해당하는 정보를 처리할 수 있다.
② 보건복지부장관은 사회보장 분야 전문 인력 양성을 위하여 관계 중앙행정기관, 지방자치단체, 공공기관 및 법인・단체 등의 직원을 대상으로 사회보장에 관한 교육을 매년 1회 이상 실시할 수 있다.
③ 보건복지부장관은 사회보장정보시스템을 통해 다른 법령에 따라 국가 및 지방자치단체로부터 위탁받은 사회보장에 관한 업무를 수행할 수 있다.
④ 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
⑤ 보건복지부장관이 사회보장정보시스템의 운영・지원을 위하여 설치할 수 있는 전담기구는「사회보장급여의 이용・제공 및 수급권자 발굴에 관한 법률」제29조에 따른 한국사회보장정보원으로 한다.</v>
      </c>
      <c r="F9" s="30">
        <f>IFERROR(VLOOKUP(C9,기출문제!D:G,4,0),"")</f>
        <v>1</v>
      </c>
      <c r="G9" s="31" t="str">
        <f t="shared" ref="G9:G72" si="0">IF(D9="","",IF(D9=F9,"O", "X"))</f>
        <v/>
      </c>
    </row>
    <row r="10" spans="2:10" ht="114" x14ac:dyDescent="0.3">
      <c r="B10" s="17">
        <v>3</v>
      </c>
      <c r="C10" s="27" t="s">
        <v>867</v>
      </c>
      <c r="D10" s="28"/>
      <c r="E10" s="29" t="str">
        <f>IFERROR(VLOOKUP(C10,기출문제!D:G,3,0),"")</f>
        <v>43. 사회보장기본법령상 사회보장 재정추계(財政推計)에 관한 설명으로 옳지 않은 것은?
① 국가는 사회보장제도의 안정적인 운영을 위하여 중장기 사회보장 재정추계를 격년으로 실시하고 이를 공표하여야 한다.
② 보건복지부장관은 사회보장 재정추계를 위하여 재정추계를 실시하는 해의 1월 31일까지 재정추계 세부지침을 마련하여야 한다.
③ 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
④ 관계 중앙행정기관의 장은 재정추계 결과를 바탕으로 정책개선안을 마련하여 같은 해 12월 31일까지 보건복지부장관에게 제출하여야 한다.
⑤ 보건복지부장관은 정책개선안을 종합하여 이를 추계 실시 해의 다음 해 3월 31일까지 사회보장위원회에 보고하여야 한다.</v>
      </c>
      <c r="F10" s="30">
        <f>IFERROR(VLOOKUP(C10,기출문제!D:G,4,0),"")</f>
        <v>2</v>
      </c>
      <c r="G10" s="31" t="str">
        <f t="shared" si="0"/>
        <v/>
      </c>
    </row>
    <row r="11" spans="2:10" ht="85.5" x14ac:dyDescent="0.3">
      <c r="B11" s="17">
        <v>4</v>
      </c>
      <c r="C11" s="27" t="s">
        <v>868</v>
      </c>
      <c r="D11" s="28"/>
      <c r="E11" s="29" t="str">
        <f>IFERROR(VLOOKUP(C11,기출문제!D:G,3,0),"")</f>
        <v>44. 고용보험법상「장애인고용촉진 및 직업재활법」제2조제1호에 따른 장애인의 피보험 기간이 1년인 구직급여의 소정급여일수는?
① 120일 
② 180일 
③ 210일 
④ 240일 
⑤ 270일</v>
      </c>
      <c r="F11" s="30">
        <f>IFERROR(VLOOKUP(C11,기출문제!D:G,4,0),"")</f>
        <v>2</v>
      </c>
      <c r="G11" s="31" t="str">
        <f t="shared" si="0"/>
        <v/>
      </c>
    </row>
    <row r="12" spans="2:10" ht="156.75" x14ac:dyDescent="0.3">
      <c r="B12" s="17">
        <v>5</v>
      </c>
      <c r="C12" s="27" t="s">
        <v>869</v>
      </c>
      <c r="D12" s="28"/>
      <c r="E12" s="29" t="str">
        <f>IFERROR(VLOOKUP(C12,기출문제!D:G,3,0),"")</f>
        <v>45. 고용보험법상 심사 및 재심사청구에 관한 설명으로 옳은 것은?
① 직업안정기관 또는 근로복지공단은 심사청구서를 받은 날부터 7일 이내에 의견서를 첨부하여 심사청구서를 고용보험심사관에 보내야 한다.
② 고용보험심사관은 원처분등의 집행에 의하여 발생하는 중대한 위해(危害)를 피하기 위하여 긴급한 필요가 있다고 인정되더라도 직권으로는 그 집행을 정지시킬 수 없다.
③ 육아휴직 급여와 출산전후휴가 급여등에 관한 처분에 대한 심사의 청구는 근로복지공단을 거쳐 고용보험심사관에게 하여야 한다.
④ 고용보험심사관은 심사의 청구에 대한 심리(審理)를 마쳤을 때에는 원처분등의 전부 또는 일부를 취소하거나 심사청구의 전부 또는 일부를 기각한다.
⑤ 심사청구에 대한 결정은 심사청구인 및 직업안정기관의 장 또는 근로복지공단에 결정서의 정본을 보낸 다음 날부터 효력이 발생한다.</v>
      </c>
      <c r="F12" s="30">
        <f>IFERROR(VLOOKUP(C12,기출문제!D:G,4,0),"")</f>
        <v>4</v>
      </c>
      <c r="G12" s="31" t="str">
        <f t="shared" si="0"/>
        <v/>
      </c>
    </row>
    <row r="13" spans="2:10" ht="156.75" x14ac:dyDescent="0.3">
      <c r="B13" s="17">
        <v>6</v>
      </c>
      <c r="C13" s="27" t="s">
        <v>870</v>
      </c>
      <c r="D13" s="28"/>
      <c r="E13" s="29" t="str">
        <f>IFERROR(VLOOKUP(C13,기출문제!D:G,3,0),"")</f>
        <v>46. 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
① ㄱ: 100분의 70, ㄴ: 160 
② ㄱ: 100분의 70, ㄴ: 200 
③ ㄱ: 100분의 80, ㄴ: 100
④ ㄱ: 100분의 80, ㄴ: 160 
⑤ ㄱ: 100분의 80, ㄴ: 200</v>
      </c>
      <c r="F13" s="30">
        <f>IFERROR(VLOOKUP(C13,기출문제!D:G,4,0),"")</f>
        <v>4</v>
      </c>
      <c r="G13" s="31" t="str">
        <f t="shared" si="0"/>
        <v/>
      </c>
    </row>
    <row r="14" spans="2:10" ht="128.25" x14ac:dyDescent="0.3">
      <c r="B14" s="17">
        <v>7</v>
      </c>
      <c r="C14" s="27" t="s">
        <v>871</v>
      </c>
      <c r="D14" s="28"/>
      <c r="E14" s="29" t="str">
        <f>IFERROR(VLOOKUP(C14,기출문제!D:G,3,0),"")</f>
        <v>47. 고용보험법령상 보험가입 등에 관한 설명으로 옳지 않은 것은?
① 「국가공무원법」에 따른 임기제 공무원(이하 "임기제 공무원"이라 한다)의 경우는 본인의 의사에 따라 고용보험(실업급여에 한정)에 가입할 수 있다.
② 임기제 공무원이 원하는 경우에는 임용된 날부터 3개월 이내에 고용노동부장관에게 직접 고용보험 가입을 신청할 수 있다.
③ 고용보험 피보험자격을 취득한 임기제 공무원이 공무원 신분의 변동에 따라 계속하여 다른 임기제 공무원으로 임용된 때에는 별도의 가입신청을 하지 않은 경우에도 고용보험의 피보험자격을 유지한다.
④ 임기제 공무원이 가입한 고용보험에서 탈퇴한 이후에 가입대상 공무원으로 계속 재직하는 경우 본인의 신청에 의하여 고용보험에 다시 가입할 수 있다.
⑤ 고용보험에 가입한 임기제 공무원에 대한 보험료는 소속기관과 고용보험에 가입한 임기제 공무원이 각각 2분의 1씩 부담한다.</v>
      </c>
      <c r="F14" s="30">
        <f>IFERROR(VLOOKUP(C14,기출문제!D:G,4,0),"")</f>
        <v>4</v>
      </c>
      <c r="G14" s="31" t="str">
        <f t="shared" si="0"/>
        <v/>
      </c>
    </row>
    <row r="15" spans="2:10" ht="114" x14ac:dyDescent="0.3">
      <c r="B15" s="17">
        <v>8</v>
      </c>
      <c r="C15" s="27" t="s">
        <v>872</v>
      </c>
      <c r="D15" s="28"/>
      <c r="E15" s="29" t="str">
        <f>IFERROR(VLOOKUP(C15,기출문제!D:G,3,0),"")</f>
        <v>48. 고용보험법령상 실업급여에 관한 설명으로 옳지 않은 것은?
① 실업급여수급계좌의 해당 금융기관은 「고용보험법」에 따른 실업급여만이 실업급여수급계좌에 입금되도록 관리하여야 한다.
② 직업안정기관의 장은 수급자격 인정신청을 한 사람에게 신청인이 원하는 경우에는 해당 실업급여를 실업급여수급계좌로 받을 수 있다는 사실을 안내하여야 한다.
③ 실업급여수급계좌에 입금된 실업급여 금액 전액 이하의 금액에 관한 채권은 압류할 수 없다.
④ 실업급여로서 지급된 금품에 대하여는 「국세기본법」제2조제8호의 공과금을 부과한다.
⑤ 직업안정기관의 장은 정보통신장애로 인하여 실업급여를 실업급여수급계좌로 이체할 수 없을 때에는 해당 실업급여 금액을 수급자격자에게 직접 현금으로 지급할 수 있다.</v>
      </c>
      <c r="F15" s="30">
        <f>IFERROR(VLOOKUP(C15,기출문제!D:G,4,0),"")</f>
        <v>4</v>
      </c>
      <c r="G15" s="31" t="str">
        <f t="shared" si="0"/>
        <v/>
      </c>
    </row>
    <row r="16" spans="2:10" ht="199.5" x14ac:dyDescent="0.3">
      <c r="B16" s="17">
        <v>9</v>
      </c>
      <c r="C16" s="27" t="s">
        <v>873</v>
      </c>
      <c r="D16" s="28"/>
      <c r="E16" s="29" t="str">
        <f>IFERROR(VLOOKUP(C16,기출문제!D:G,3,0),"")</f>
        <v>49. 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
① ㄱ, ㄹ 
② ㄱ, ㄴ, ㅁ 
③ ㄴ, ㄹ, ㅁ
④ ㄴ, ㄷ, ㄹ, ㅁ 
⑤ ㄱ, ㄴ, ㄷ, ㄹ, ㅁ</v>
      </c>
      <c r="F16" s="30">
        <f>IFERROR(VLOOKUP(C16,기출문제!D:G,4,0),"")</f>
        <v>1</v>
      </c>
      <c r="G16" s="31" t="str">
        <f t="shared" si="0"/>
        <v/>
      </c>
    </row>
    <row r="17" spans="2:10" ht="99.75" x14ac:dyDescent="0.3">
      <c r="B17" s="17">
        <v>10</v>
      </c>
      <c r="C17" s="27" t="s">
        <v>874</v>
      </c>
      <c r="D17" s="28"/>
      <c r="E17" s="29" t="str">
        <f>IFERROR(VLOOKUP(C17,기출문제!D:G,3,0),"")</f>
        <v>50. 고용보험법령상 연장급여의 상호 조정 등에 관한 설명으로 옳지 않은 것은?
① 훈련연장급여의 지급 기간은 1년을 한도로 한다.
② 훈련연장급여를 지급받고 있는 수급자격자에게는 그 훈련연장급여의 지급이 끝난 후가 아니면 특별연장급여를 지급하지 아니한다.
③ 개별연장급여를 지급받고 있는 수급자격자가 훈련연장급여를 지급받게 되면 개별연장급여를 지급하지 아니한다.
④ 특별연장급여를 지급받고 있는 수급자격자에게는 특별연장급여의 지급이 끝난 후가 아니면 개별연장급여를 지급하지 아니한다.
⑤ 특별연장급여는 그 수급자격자가 지급받을 수 있는 구직급여의 지급이 끝난 후에 지급한다.</v>
      </c>
      <c r="F17" s="30">
        <f>IFERROR(VLOOKUP(C17,기출문제!D:G,4,0),"")</f>
        <v>1</v>
      </c>
      <c r="G17" s="31" t="str">
        <f t="shared" si="0"/>
        <v/>
      </c>
    </row>
    <row r="18" spans="2:10" ht="156.75" x14ac:dyDescent="0.3">
      <c r="B18" s="17">
        <v>11</v>
      </c>
      <c r="C18" s="27" t="s">
        <v>875</v>
      </c>
      <c r="D18" s="28"/>
      <c r="E18" s="29" t="str">
        <f>IFERROR(VLOOKUP(C18,기출문제!D:G,3,0),"")</f>
        <v>51. 고용보험법상 훈련연장급여에 관한 내용이다. ( )에 들어갈 숫자를 순서대로 옳게 나열한 것은?
제54조(연장급여의 수급기간 및 구직급여일액) 
① &lt;중략&gt;
② 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 
③ 80, 60 
④ 90, 70 
⑤ 100, 70</v>
      </c>
      <c r="F18" s="30">
        <f>IFERROR(VLOOKUP(C18,기출문제!D:G,4,0),"")</f>
        <v>5</v>
      </c>
      <c r="G18" s="31" t="str">
        <f t="shared" si="0"/>
        <v/>
      </c>
    </row>
    <row r="19" spans="2:10" ht="128.25" x14ac:dyDescent="0.3">
      <c r="B19" s="17">
        <v>12</v>
      </c>
      <c r="C19" s="27" t="s">
        <v>876</v>
      </c>
      <c r="D19" s="28"/>
      <c r="E19" s="29" t="str">
        <f>IFERROR(VLOOKUP(C19,기출문제!D:G,3,0),"")</f>
        <v>52. 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
① ㄱ: 1일, ㄴ: 60일 
② ㄱ: 1일, ㄴ: 90일 
③ ㄱ: 1일, ㄴ: 180일
④ ㄱ: 2일, ㄴ: 90일 
⑤ ㄱ: 2일, ㄴ: 180일</v>
      </c>
      <c r="F19" s="30">
        <f>IFERROR(VLOOKUP(C19,기출문제!D:G,4,0),"")</f>
        <v>3</v>
      </c>
      <c r="G19" s="31" t="str">
        <f t="shared" si="0"/>
        <v/>
      </c>
    </row>
    <row r="20" spans="2:10" ht="85.5" x14ac:dyDescent="0.3">
      <c r="B20" s="17">
        <v>13</v>
      </c>
      <c r="C20" s="27" t="s">
        <v>877</v>
      </c>
      <c r="D20" s="28"/>
      <c r="E20" s="29" t="str">
        <f>IFERROR(VLOOKUP(C20,기출문제!D:G,3,0),"")</f>
        <v>53. 고용보험법령상 고용보험위원회(이하 '위원회'라 한다)에 관한 설명으로 옳지 않은 것은?
① 위원회의 위원장은 고용노동부차관이 되며, 그 위원장은 위원을 임명하거나 위촉한다.
② 위원회에는 고용보험운영전문위원회와 고용보험평가전문위원회를 둔다.
③ 위원회의 위원 중 정부를 대표하는 사람은 임명의 대상이 된다.
④ 위원회의 간사는 1명을 두되, 간사는 고용노동부 소속 공무원 중에서 위원장이 임명한다.
⑤ 「고용보험 및 산업재해보상보험의 보험료징수 등에 관한 법률」에 따른 보험료율의 결정에 관한 사항은 위원회의 심의사항이다.</v>
      </c>
      <c r="F20" s="30">
        <f>IFERROR(VLOOKUP(C20,기출문제!D:G,4,0),"")</f>
        <v>1</v>
      </c>
      <c r="G20" s="31" t="str">
        <f t="shared" si="0"/>
        <v/>
      </c>
    </row>
    <row r="21" spans="2:10" ht="85.5" x14ac:dyDescent="0.3">
      <c r="B21" s="17">
        <v>14</v>
      </c>
      <c r="C21" s="27" t="s">
        <v>878</v>
      </c>
      <c r="D21" s="28"/>
      <c r="E21" s="29" t="str">
        <f>IFERROR(VLOOKUP(C21,기출문제!D:G,3,0),"")</f>
        <v>54. 산업재해보상보험법령상 산업재해보상보험및예방심의위원회(이하 '위원회'라 한다)에 관한 내용으로 옳지 않은 것은?
① 위원회는 근로자를 대표하는 사람, 사용자를 대표하는 사람 및 공익을 대표하는 사람으로 구성하되, 그 수는 각각 같은 수로 한다.
② 사용자를 대표하는 위원은 전국을 대표하는 사용자 단체가 추천하는 사람 5명으로 한다.
③ 근로자를 대표하는 위원의 임기는 3년으로 하되, 연임할 수 있다.
④ 위원회의 회의는 재적위원 과반수의 출석으로 개의하고, 출석위원 3분의 2 이상의 찬성으로 의결한다.
⑤ 보궐위원의 임기는 전임자의 남은 임기로 한다.</v>
      </c>
      <c r="F21" s="30">
        <f>IFERROR(VLOOKUP(C21,기출문제!D:G,4,0),"")</f>
        <v>4</v>
      </c>
      <c r="G21" s="31" t="str">
        <f t="shared" si="0"/>
        <v/>
      </c>
    </row>
    <row r="22" spans="2:10" s="21" customFormat="1" ht="128.25" x14ac:dyDescent="0.3">
      <c r="B22" s="17">
        <v>15</v>
      </c>
      <c r="C22" s="27" t="s">
        <v>879</v>
      </c>
      <c r="D22" s="28"/>
      <c r="E22" s="29" t="str">
        <f>IFERROR(VLOOKUP(C22,기출문제!D:G,3,0),"")</f>
        <v>55. 산업재해보상보험법령상 유족보상연금에 관한 내용으로 옳지 않은 것은?
① 유족보상연금 수급자격자인 유족이 사망한 근로자와의 친족 관계가 끝난 경우 그 자격을 잃는다.
② 대한민국 국민이 아닌 유족보상연금 수급자격자인 유족이 외국에서 거주하기 위하여 출국하는 경우 그 자격을 잃는다.
③ 근로복지공단은 근로자의 사망 당시 태아였던 자녀가 출생한 경우 유족보상연금 수급권자의 청구에 의하거나 직권으로 그 사유가 발생한 달 분부터 유족보상연금의 금액을 조정한다.
④ 근로자가 사망할 당시 대한민국 국민이었던 유족보상연금 수급자격자인 유족이 국적을 상실하고 외국에서 거주하고 있거나 외국에서 거주하기 위하여 출국하는 경우 그 자격을 잃는다.
⑤ 유족보상연금을 받을 권리가 있는 유족보상연금 수급자격자가 그 자격을 잃은 경우에 유족보상연금을 받을 권리는 같은 순위자가 있으면 같은 순위자에게, 같은 순위자가 없으면 다음 순위자에게 이전된다.</v>
      </c>
      <c r="F22" s="30">
        <f>IFERROR(VLOOKUP(C22,기출문제!D:G,4,0),"")</f>
        <v>3</v>
      </c>
      <c r="G22" s="31" t="str">
        <f t="shared" si="0"/>
        <v/>
      </c>
      <c r="J22" s="23"/>
    </row>
    <row r="23" spans="2:10" s="21" customFormat="1" ht="142.5" x14ac:dyDescent="0.3">
      <c r="B23" s="17">
        <v>16</v>
      </c>
      <c r="C23" s="27" t="s">
        <v>880</v>
      </c>
      <c r="D23" s="28"/>
      <c r="E23" s="29" t="str">
        <f>IFERROR(VLOOKUP(C23,기출문제!D:G,3,0),"")</f>
        <v>56. 산업재해보상보험법령상 노무제공자에 대한 특례의 내용으로 옳지 않은 것은?
① "플랫폼 종사자"란 온라인 플랫폼을 통해 노무를 제공하는 노무제공자를 말한다.
② "평균보수"란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
③ 보험을 모집하는 사람으로서「새마을금고법」및「신용협동조합법」에 따른 공제의 모집을 전업으로 하는 사람은 노무제공자의 범위에 포함된다.
④ 보험을 모집하는 사람으로서「우체국예금・보험에 관한 법률」에 따른 우체국보험의 모집을 전업으로 하는 사람은 노무제공자의 범위에 포함된다.
⑤ "플랫폼 운영자"란 온라인 플랫폼을 이용하여 플랫폼 종사자의 노무제공을 중개 또는 알선하는 것을 업으로 하는 자를 말한다.</v>
      </c>
      <c r="F23" s="30">
        <f>IFERROR(VLOOKUP(C23,기출문제!D:G,4,0),"")</f>
        <v>2</v>
      </c>
      <c r="G23" s="31" t="str">
        <f t="shared" si="0"/>
        <v/>
      </c>
      <c r="J23" s="23"/>
    </row>
    <row r="24" spans="2:10" s="21" customFormat="1" ht="156.75" x14ac:dyDescent="0.3">
      <c r="B24" s="17">
        <v>17</v>
      </c>
      <c r="C24" s="27" t="s">
        <v>881</v>
      </c>
      <c r="D24" s="28"/>
      <c r="E24" s="29" t="str">
        <f>IFERROR(VLOOKUP(C24,기출문제!D:G,3,0),"")</f>
        <v>57. 산업재해보상보험법상 요양급여의 범위에 해당하는 것은 모두 몇 개인가?
○ 재활치료
○ 간호
○ 이송
○ 간병
○ 약제 또는 진료재료와 의지(義肢)나 그 밖의 보조기의 지급
① 1개 
② 2개 
③ 3개 
④ 4개 
⑤ 5개</v>
      </c>
      <c r="F24" s="30">
        <f>IFERROR(VLOOKUP(C24,기출문제!D:G,4,0),"")</f>
        <v>5</v>
      </c>
      <c r="G24" s="31" t="str">
        <f t="shared" si="0"/>
        <v/>
      </c>
      <c r="J24" s="23"/>
    </row>
    <row r="25" spans="2:10" s="21" customFormat="1" ht="99.75" x14ac:dyDescent="0.3">
      <c r="B25" s="17">
        <v>18</v>
      </c>
      <c r="C25" s="27" t="s">
        <v>882</v>
      </c>
      <c r="D25" s="28"/>
      <c r="E25" s="29" t="str">
        <f>IFERROR(VLOOKUP(C25,기출문제!D:G,3,0),"")</f>
        <v>58. 산업재해보상보험법령상 장례비에 관한 설명으로 옳지 않은 것은?
① 장례비 최고금액 및 최저금액의 적용기간은 당해 연도 1월 1일부터 12월 31일까지로 한다.
② 장례비 최고금액은 전년도 장례비 수급권자에게 지급된 1명당 평균 장례비 90일분 + 최고 보상기준 금액의 30일분으로 산정한다.
③ 장례비 최저금액은 전년도 장례비 수급권자에게 지급된 1명당 평균 장례비 90일분 + 최저 보상기준 금액의 30일분으로 산정한다.
④ 장례비 최고금액 및 최저금액을 산정할 때 10원 미만은 버린다.
⑤ 장례비는 장례를 지낼 유족이 없거나 그 밖에 부득이한 사유로 유족이 아닌 사람이 장례를 지낸 경우에는 평균임금의 120일분에 상당하는 금액의 범위에서 실제 드는 비용을 그 장례를 지낸 사람에게 지급한다.</v>
      </c>
      <c r="F25" s="30">
        <f>IFERROR(VLOOKUP(C25,기출문제!D:G,4,0),"")</f>
        <v>1</v>
      </c>
      <c r="G25" s="31" t="str">
        <f t="shared" si="0"/>
        <v/>
      </c>
      <c r="J25" s="23"/>
    </row>
    <row r="26" spans="2:10" s="21" customFormat="1" ht="99.75" x14ac:dyDescent="0.3">
      <c r="B26" s="17">
        <v>19</v>
      </c>
      <c r="C26" s="27" t="s">
        <v>883</v>
      </c>
      <c r="D26" s="28"/>
      <c r="E26" s="29" t="str">
        <f>IFERROR(VLOOKUP(C26,기출문제!D:G,3,0),"")</f>
        <v>59. 산업재해보상보험법령상 업무상질병판정위원회의 구성에 관한 내용으로 옳은 것은?
① 「고등교육법」제2조에 따른 학교에서 조교수 이상으로 재직하고 있는 사람은 위원이 될 수 없다.
② 「국가기술자격법」에 따른 산업위생관리 기사 이상의 자격을 취득하고 관련 업무에 3년 이상 종사한 치과의사는 위원이 될 수 없다.
③ 산업재해보상보험 관련 업무에 5년 이상 종사한 사람은 위원이 될 수 있다.
④ 「국가기술자격법」에 따른 인간공학 분야 기사 이상의 자격을 취득하고 관련 업무에 3년 이상 종사한 한의사는 위원이 될 수 없다.
⑤ 위원장과 위원의 임기는 3년으로 하되, 연임할 수 있다.</v>
      </c>
      <c r="F26" s="30">
        <f>IFERROR(VLOOKUP(C26,기출문제!D:G,4,0),"")</f>
        <v>3</v>
      </c>
      <c r="G26" s="31" t="str">
        <f t="shared" si="0"/>
        <v/>
      </c>
      <c r="J26" s="23"/>
    </row>
    <row r="27" spans="2:10" s="21" customFormat="1" ht="114" x14ac:dyDescent="0.3">
      <c r="B27" s="17">
        <v>20</v>
      </c>
      <c r="C27" s="27" t="s">
        <v>884</v>
      </c>
      <c r="D27" s="28"/>
      <c r="E27" s="29" t="str">
        <f>IFERROR(VLOOKUP(C27,기출문제!D:G,3,0),"")</f>
        <v>60. 산업재해보상보험법에서 사용하는 용어의 정의로 옳지 않은 것은?
① "유족"이란 사망한 사람의 배우자(사실상 혼인 관계에 있는 사람을 포함한다)・자녀・부모・손자녀・조부모 또는 형제자매를 말한다.
② "장해"란 업무상의 부상 또는 질병에 따른 정신적 또는 육체적 훼손으로 노동능력이 상실되거나 감소된 상태로서 그 부상 또는 질병이 치유되지 아니한 상태를 말한다.
③ "치유"란 부상 또는 질병이 완치되거나 치료의 효과를 더 이상 기대할 수 없고 그 증상이 고정된 상태에 이르게 된 것을 말한다.
④ "출퇴근"이란 취업과 관련하여 주거와 취업장소 사이의 이동 또는 한 취업장소에서 다른 취업장소로의 이동을 말한다.
⑤ "진폐"(塵肺)란 분진을 흡입하여 폐에 생기는 섬유증식성(纖維增殖性) 변화를 주된 증상으로 하는 질병을 말한다.</v>
      </c>
      <c r="F27" s="30">
        <f>IFERROR(VLOOKUP(C27,기출문제!D:G,4,0),"")</f>
        <v>2</v>
      </c>
      <c r="G27" s="31" t="str">
        <f t="shared" si="0"/>
        <v/>
      </c>
      <c r="J27" s="23"/>
    </row>
    <row r="28" spans="2:10" s="21" customFormat="1" ht="128.25" x14ac:dyDescent="0.3">
      <c r="B28" s="17">
        <v>21</v>
      </c>
      <c r="C28" s="27" t="s">
        <v>885</v>
      </c>
      <c r="D28" s="28"/>
      <c r="E28" s="29" t="str">
        <f>IFERROR(VLOOKUP(C28,기출문제!D:G,3,0),"")</f>
        <v>61. 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
① 11 
② 12 
③ 13 
④ 15 
⑤ 18</v>
      </c>
      <c r="F28" s="30">
        <f>IFERROR(VLOOKUP(C28,기출문제!D:G,4,0),"")</f>
        <v>3</v>
      </c>
      <c r="G28" s="31" t="str">
        <f t="shared" si="0"/>
        <v/>
      </c>
      <c r="J28" s="23"/>
    </row>
    <row r="29" spans="2:10" s="21" customFormat="1" ht="128.25" x14ac:dyDescent="0.3">
      <c r="B29" s="17">
        <v>22</v>
      </c>
      <c r="C29" s="27" t="s">
        <v>886</v>
      </c>
      <c r="D29" s="28"/>
      <c r="E29" s="29" t="str">
        <f>IFERROR(VLOOKUP(C29,기출문제!D:G,3,0),"")</f>
        <v>62. 산업재해보상보험법령상 상병보상연금에 관한 설명으로 옳은 것은?
① 중증요양상태등급이 제3급인 경우 평균임금의 257일분을 지급한다.
② 상병보상연금을 받는 근로자가 60세가 되면 그 이후의 상병보상연금은 고령자의 1일당 상병보상연금 지급기준에 따라 감액된 금액을 지급한다.
③ 상병보상연금을 지급받는 경우 요양급여와 휴업급여는 지급되지 아니한다.
④ 재요양을 시작한 지 1년이 지난 후에 부상・질병 상태가 상병보상연금의 지급요건 모두에 해당하는 사람에게는 상병보상연금을 지급한다.
⑤ 상병보상연금을 산정할 때 근로자의 평균임금이 최저임금액에 90분의 100을 곱한 금액보다 적을 때에는 최저임금액의 90분의 100에 해당하는 금액을 그 근로자의 평균임금으로 보아 산정한다.</v>
      </c>
      <c r="F29" s="30">
        <f>IFERROR(VLOOKUP(C29,기출문제!D:G,4,0),"")</f>
        <v>1</v>
      </c>
      <c r="G29" s="31" t="str">
        <f t="shared" si="0"/>
        <v/>
      </c>
      <c r="J29" s="23"/>
    </row>
    <row r="30" spans="2:10" s="21" customFormat="1" ht="171" x14ac:dyDescent="0.3">
      <c r="B30" s="17">
        <v>23</v>
      </c>
      <c r="C30" s="27" t="s">
        <v>887</v>
      </c>
      <c r="D30" s="28"/>
      <c r="E30" s="29" t="str">
        <f>IFERROR(VLOOKUP(C30,기출문제!D:G,3,0),"")</f>
        <v>63. 산업재해보상보험법상 직장복귀지원금 등에 관한 것이다. ( )에 들어갈 숫자로 옳은 것은?
제75조(직장복귀지원금 등) 
① &lt;중략&gt;
② 제1항에 따른 직장복귀지원금은 고용노동부장관이 임금수준 및 노동시장의 여건 등을 고려하여 고시하는 금액의 범위에서 사업주가 장해급여자에게 지급한 임금액으로 하되, 그 지급기간은 (ㄱ)개월 이내로 한다.
③ 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
④ ㄱ: 6, ㄴ: 12 
⑤ ㄱ: 12, ㄴ: 3</v>
      </c>
      <c r="F30" s="30">
        <f>IFERROR(VLOOKUP(C30,기출문제!D:G,4,0),"")</f>
        <v>5</v>
      </c>
      <c r="G30" s="31" t="str">
        <f t="shared" si="0"/>
        <v/>
      </c>
      <c r="J30" s="23"/>
    </row>
    <row r="31" spans="2:10" s="21" customFormat="1" ht="128.25" x14ac:dyDescent="0.3">
      <c r="B31" s="17">
        <v>24</v>
      </c>
      <c r="C31" s="27" t="s">
        <v>888</v>
      </c>
      <c r="D31" s="28"/>
      <c r="E31" s="29" t="str">
        <f>IFERROR(VLOOKUP(C31,기출문제!D:G,3,0),"")</f>
        <v>64. 국민연금법에 관한 내용으로 옳지 않은 것은?
① 급여수급전용계좌에 입금된 급여와 이에 관한 채권은 압류할 수 없다.
② 장애연금액은 장애등급 2급에 해당하는 자에 대하여는 기본연금액의 1천분의 600에 해당하는 금액에 부양가족연금액을 더한 금액으로 한다.
③ 장애등급이 2급 이상인 장애연금 수급권자가 사망하면 그 유족에게 유족연금을 지급한다.
④ 가입자 또는 가입자였던 자가 가입기간이 10년 미만이고 60세가 된 때에는 본인이나 그 유족의 청구에 의하여 반환일시금을 지급받을 수 있다.
⑤ 장애연금 수급권자가 고의나 중대한 과실로 요양 지시에 따르지 아니하거나 정당한 사유 없이 요양 지시에 따르지 아니하여 회복을 방해한 때에는 급여의 전부 또는 일부의 지급을 정지할 수 있다.</v>
      </c>
      <c r="F31" s="30">
        <f>IFERROR(VLOOKUP(C31,기출문제!D:G,4,0),"")</f>
        <v>2</v>
      </c>
      <c r="G31" s="31" t="str">
        <f t="shared" si="0"/>
        <v/>
      </c>
      <c r="J31" s="23"/>
    </row>
    <row r="32" spans="2:10" s="21" customFormat="1" ht="128.25" x14ac:dyDescent="0.3">
      <c r="B32" s="17">
        <v>25</v>
      </c>
      <c r="C32" s="27" t="s">
        <v>889</v>
      </c>
      <c r="D32" s="28"/>
      <c r="E32" s="29" t="str">
        <f>IFERROR(VLOOKUP(C32,기출문제!D:G,3,0),"")</f>
        <v>65. 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
① 4 
② 6 
③ 8 
④ 13 
⑤ 15</v>
      </c>
      <c r="F32" s="30">
        <f>IFERROR(VLOOKUP(C32,기출문제!D:G,4,0),"")</f>
        <v>3</v>
      </c>
      <c r="G32" s="31" t="str">
        <f t="shared" si="0"/>
        <v/>
      </c>
      <c r="J32" s="23"/>
    </row>
    <row r="33" spans="2:10" s="21" customFormat="1" ht="128.25" x14ac:dyDescent="0.3">
      <c r="B33" s="17">
        <v>26</v>
      </c>
      <c r="C33" s="27" t="s">
        <v>890</v>
      </c>
      <c r="D33" s="28"/>
      <c r="E33" s="29" t="str">
        <f>IFERROR(VLOOKUP(C33,기출문제!D:G,3,0),"")</f>
        <v>66. 국민연금법령상 심사청구 및 재심사청구에 관한 내용으로 옳지 않은 것은?
① 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
② 국민연금심사위원회 위원의 임기는 2년으로 하며, 1차례만 연임할 수 있으며, 국민연금공단의 임직원인 위원의 임기는 그 직위의 재임기간으로 한다.
③ 청구인은 결정이 있기 전까지는 언제든지 심사청구를 문서로 취하할 수 있다.
④ 심사청구에 대한 결정에 불복하는 자는 그 결정통지를 받은 날부터 90일 이내에 국민연금재심사위원회에 재심사를 청구할 수 있다.
⑤ 국민연금재심사위원회의 재심사와 재결에 관한 절차에 관하여는 「행정심판법」을 준용한다.</v>
      </c>
      <c r="F33" s="30">
        <f>IFERROR(VLOOKUP(C33,기출문제!D:G,4,0),"")</f>
        <v>2</v>
      </c>
      <c r="G33" s="31" t="str">
        <f t="shared" si="0"/>
        <v/>
      </c>
      <c r="J33" s="23"/>
    </row>
    <row r="34" spans="2:10" s="21" customFormat="1" ht="185.25" x14ac:dyDescent="0.3">
      <c r="B34" s="17">
        <v>27</v>
      </c>
      <c r="C34" s="27" t="s">
        <v>891</v>
      </c>
      <c r="D34" s="28"/>
      <c r="E34" s="29" t="str">
        <f>IFERROR(VLOOKUP(C34,기출문제!D:G,3,0),"")</f>
        <v>67. 국민연금법령상 연금보험료 등의 독촉에 관한 내용이다. ( )에 들어갈 내용은?
제64조(연금보험료 등의 독촉) 
① 국민건강보험공단은 법 제95조제1항에 따라 사업장가입자의 연금보험료와 그에 따른 징수금의 납부를 독촉할 때에는 납부기한이 지난 후 (ㄱ) 이내에 해당 사업장가입자의 사용자에게 독촉장을 발부하여야 한다.
② 국민건강보험공단은 법 제95조제1항에 따라 지역가입자의 연금보험료와 그에 따른 징수금의 납부를 독촉할 때에는 납부 기한이 지난 후 (ㄴ) 이내에 해당 가입자에게 독촉장을 발부하여야 한다.
③ 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 
④ ㄱ: 30일, ㄴ: 3개월, ㄷ: 20일
⑤ ㄱ: 30일, ㄴ: 3개월, ㄷ: 30일</v>
      </c>
      <c r="F34" s="30">
        <f>IFERROR(VLOOKUP(C34,기출문제!D:G,4,0),"")</f>
        <v>3</v>
      </c>
      <c r="G34" s="31" t="str">
        <f t="shared" si="0"/>
        <v/>
      </c>
      <c r="J34" s="23"/>
    </row>
    <row r="35" spans="2:10" s="21" customFormat="1" ht="142.5" x14ac:dyDescent="0.3">
      <c r="B35" s="17">
        <v>28</v>
      </c>
      <c r="C35" s="27" t="s">
        <v>892</v>
      </c>
      <c r="D35" s="28"/>
      <c r="E35" s="29" t="str">
        <f>IFERROR(VLOOKUP(C35,기출문제!D:G,3,0),"")</f>
        <v>68. 국민연금법령상 국민연금기금에 관한 설명으로 옳지 않은 것은?
① 국민연금기금은 연금보험료, 국민연금기금 운용 수익금, 적립금, 국민연금공단의 수입지출 결산상의 잉여금을 재원으로 조성한다.
② 국민연금기금운용위원회는 국민연금기금을 관리기금에 위탁할 경우 예탁 이자율의 협의에 관한 사항을 심의・의결할 수 있다.
③ 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
④ 보건복지부장관은 매년 국민연금기금 운용계획을 세워서 국민연금기금운용위원회 및 국무회의의 심의를 거쳐 대통령의 승인을 받아야 한다.
⑤ 보건복지부장관은 국민연금기금의 운용 내용과 관리기금에 예탁된 국민연금기금의 사용 내용을 다음 연도 6월 말까지 국민연금기금운용위원회에 제출하여야 한다.</v>
      </c>
      <c r="F35" s="30">
        <f>IFERROR(VLOOKUP(C35,기출문제!D:G,4,0),"")</f>
        <v>5</v>
      </c>
      <c r="G35" s="31" t="str">
        <f t="shared" si="0"/>
        <v/>
      </c>
      <c r="J35" s="23"/>
    </row>
    <row r="36" spans="2:10" s="21" customFormat="1" ht="171" x14ac:dyDescent="0.3">
      <c r="B36" s="17">
        <v>29</v>
      </c>
      <c r="C36" s="27" t="s">
        <v>893</v>
      </c>
      <c r="D36" s="28"/>
      <c r="E36" s="29" t="str">
        <f>IFERROR(VLOOKUP(C36,기출문제!D:G,3,0),"")</f>
        <v>69. 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
① ㄱ, ㄴ 
② ㄴ, ㄷ 
③ ㄱ, ㄴ, ㄹ
④ ㄱ, ㄷ, ㄹ 
⑤ ㄱ, ㄴ, ㄷ, ㄹ</v>
      </c>
      <c r="F36" s="30">
        <f>IFERROR(VLOOKUP(C36,기출문제!D:G,4,0),"")</f>
        <v>5</v>
      </c>
      <c r="G36" s="31" t="str">
        <f t="shared" si="0"/>
        <v/>
      </c>
      <c r="J36" s="23"/>
    </row>
    <row r="37" spans="2:10" s="21" customFormat="1" ht="156.75" x14ac:dyDescent="0.3">
      <c r="B37" s="17">
        <v>30</v>
      </c>
      <c r="C37" s="27" t="s">
        <v>894</v>
      </c>
      <c r="D37" s="28"/>
      <c r="E37" s="29" t="str">
        <f>IFERROR(VLOOKUP(C37,기출문제!D:G,3,0),"")</f>
        <v>70. 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
① ㄱ 
② ㄱ, ㄴ 
③ ㄴ, ㄷ
④ ㄴ, ㄷ, ㄹ 
⑤ ㄱ, ㄴ, ㄷ, ㄹ</v>
      </c>
      <c r="F37" s="30">
        <f>IFERROR(VLOOKUP(C37,기출문제!D:G,4,0),"")</f>
        <v>4</v>
      </c>
      <c r="G37" s="31" t="str">
        <f t="shared" si="0"/>
        <v/>
      </c>
      <c r="J37" s="23"/>
    </row>
    <row r="38" spans="2:10" s="21" customFormat="1" ht="85.5" x14ac:dyDescent="0.3">
      <c r="B38" s="17">
        <v>31</v>
      </c>
      <c r="C38" s="27" t="s">
        <v>895</v>
      </c>
      <c r="D38" s="28"/>
      <c r="E38" s="29" t="str">
        <f>IFERROR(VLOOKUP(C38,기출문제!D:G,3,0),"")</f>
        <v>71. 국민건강보험법상 국민건강보험공단(이하 '공단'이라 한다)에 관한 설명으로 옳지 않은 것은?
① 공단은 법인으로 한다.
② 공단의 해산에 관하여는 정관으로 정한다.
③ 공단은 주된 사무소의 소재지에서 설립등기를 함으로써 성립한다.
④ 공단의 설립등기에는 목적, 명칭, 주된 사무소 및 분사무소의 소재지, 이사장의 성명・주소 및 주민등록번호를 포함하여야 한다.
⑤ 공단의 주된 사무소의 소재지는 정관으로 정한다.</v>
      </c>
      <c r="F38" s="30">
        <f>IFERROR(VLOOKUP(C38,기출문제!D:G,4,0),"")</f>
        <v>2</v>
      </c>
      <c r="G38" s="31" t="str">
        <f t="shared" si="0"/>
        <v/>
      </c>
      <c r="J38" s="23"/>
    </row>
    <row r="39" spans="2:10" s="21" customFormat="1" ht="114" x14ac:dyDescent="0.3">
      <c r="B39" s="17">
        <v>32</v>
      </c>
      <c r="C39" s="27" t="s">
        <v>896</v>
      </c>
      <c r="D39" s="28"/>
      <c r="E39" s="29" t="str">
        <f>IFERROR(VLOOKUP(C39,기출문제!D:G,3,0),"")</f>
        <v>72. 국민건강보험법상 이의신청 및 심판청구 등에 관한 설명으로 옳지 않은 것은?
① 보험급여 비용에 관한 국민건강보험공단의 처분에 이의가 있는 자는 국민건강보험공단에 이의신청을 할 수 있다.
② 요양급여의 적정성 평가 등에 관한 건강보험심사평가원의 처분에 이의가 있는 자는 건강보험심사평가원에 이의신청을 할 수 있다.
③ 이의신청에 대한 결정에 불복하는 자는 건강보험분쟁조정위원회에 심판청구를 할 수 있다.
④ 정당한 사유로 이의신청을 할 수 없었음을 소명한 경우가 아니면 이의신청은 처분이 있은 날부터 90일을 지나면 제기하지 못한다.
⑤ 이의신청에 대한 결정에 불복하는 자는「행정소송법」이 정하는 바에 따라 행정소송을 제기할 수 있다.</v>
      </c>
      <c r="F39" s="30">
        <f>IFERROR(VLOOKUP(C39,기출문제!D:G,4,0),"")</f>
        <v>4</v>
      </c>
      <c r="G39" s="31" t="str">
        <f t="shared" si="0"/>
        <v/>
      </c>
      <c r="J39" s="23"/>
    </row>
    <row r="40" spans="2:10" s="21" customFormat="1" ht="142.5" x14ac:dyDescent="0.3">
      <c r="B40" s="17">
        <v>33</v>
      </c>
      <c r="C40" s="27" t="s">
        <v>897</v>
      </c>
      <c r="D40" s="28"/>
      <c r="E40" s="29" t="str">
        <f>IFERROR(VLOOKUP(C40,기출문제!D:G,3,0),"")</f>
        <v>73. 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
① ㄱ 
② ㄹ 
③ ㄱ, ㄴ 
④ ㄴ, ㄷ 
⑤ ㄷ, ㄹ</v>
      </c>
      <c r="F40" s="30">
        <f>IFERROR(VLOOKUP(C40,기출문제!D:G,4,0),"")</f>
        <v>4</v>
      </c>
      <c r="G40" s="31" t="str">
        <f t="shared" si="0"/>
        <v/>
      </c>
      <c r="J40" s="23"/>
    </row>
    <row r="41" spans="2:10" s="21" customFormat="1" ht="156.75" x14ac:dyDescent="0.3">
      <c r="B41" s="17">
        <v>34</v>
      </c>
      <c r="C41" s="27" t="s">
        <v>898</v>
      </c>
      <c r="D41" s="28"/>
      <c r="E41" s="29" t="str">
        <f>IFERROR(VLOOKUP(C41,기출문제!D:G,3,0),"")</f>
        <v>74. 국민건강보험법령상 보수월액에 관한 설명으로 옳지 않은 것은?
① 보수의 전부 또는 일부가 현물(現物)로 지급되는 경우에는 그 지역의 시가(時價)를 기준으로 국민건강보험공단이 정하는 가액(價額)을 그에 해당하는 보수로 본다.
② 직장가입자의 보수월액은 직장가입자가 지급받는 보수를 기준으로 하여 산정한다.
③ 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
④ 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
⑤ 휴직이나 그 밖의 사유로 보수의 전부 또는 일부가 지급되지 아니하는 가입자의 보수월액보험료는 해당 사유가 생긴 달의 보수월액을 기준으로 산정한다.</v>
      </c>
      <c r="F41" s="30">
        <f>IFERROR(VLOOKUP(C41,기출문제!D:G,4,0),"")</f>
        <v>5</v>
      </c>
      <c r="G41" s="31" t="str">
        <f t="shared" si="0"/>
        <v/>
      </c>
      <c r="J41" s="23"/>
    </row>
    <row r="42" spans="2:10" s="21" customFormat="1" ht="128.25" x14ac:dyDescent="0.3">
      <c r="B42" s="17">
        <v>35</v>
      </c>
      <c r="C42" s="27" t="s">
        <v>899</v>
      </c>
      <c r="D42" s="28"/>
      <c r="E42" s="29" t="str">
        <f>IFERROR(VLOOKUP(C42,기출문제!D:G,3,0),"")</f>
        <v>75. 고용보험 및 산업재해보상보험의 보험료징수 등에 관한 법률 제49조의2(자영업자에 대한 특례)에 관한 설명으로 옳은 것은?
① 자영업자에 대한 고용보험료 산정의 기초가 되는 보수액은 자영업자의 소득, 보수수준 등을 고려하여 기획재정부장관이 정하여 고시한다.
② 고용보험에 가입한 자영업자는 매월 부과된 보험료를 다음 달 14일까지 납부하여야 한다.
③ 자영업자의 고용보험료는 근로복지공단이 매월 부과하고 징수한다.
④ 고용보험에 가입한 자영업자가 자신에게 부과된 월(月)의 고용보험료를 계속하여 3개월간 납부하지 아니한 경우에는 마지막으로 납부한 고용보험료에 해당되는 피보험기간의 다음 날에 보험관계가 소멸된다.
⑤ 근로복지공단의 승인을 통해 고용보험에 가입한 자영업자가 50명 이상의 근로자를 사용하게 된 경우에도 본인이 피보험자격을 유지하려는 경우에는 계속하여 보험에 가입된 것으로 본다.</v>
      </c>
      <c r="F42" s="30">
        <f>IFERROR(VLOOKUP(C42,기출문제!D:G,4,0),"")</f>
        <v>5</v>
      </c>
      <c r="G42" s="31" t="str">
        <f t="shared" si="0"/>
        <v/>
      </c>
      <c r="J42" s="23"/>
    </row>
    <row r="43" spans="2:10" s="21" customFormat="1" ht="171" x14ac:dyDescent="0.3">
      <c r="B43" s="17">
        <v>36</v>
      </c>
      <c r="C43" s="27" t="s">
        <v>900</v>
      </c>
      <c r="D43" s="28"/>
      <c r="E43" s="29" t="str">
        <f>IFERROR(VLOOKUP(C43,기출문제!D:G,3,0),"")</f>
        <v>76. 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
① ㄱ, ㄴ, ㄷ 
② ㄱ, ㄴ, ㄹ 
③ ㄱ, ㄷ, ㄹ
④ ㄴ, ㄷ, ㄹ 
⑤ ㄱ, ㄴ, ㄷ, ㄹ</v>
      </c>
      <c r="F43" s="30">
        <f>IFERROR(VLOOKUP(C43,기출문제!D:G,4,0),"")</f>
        <v>5</v>
      </c>
      <c r="G43" s="31" t="str">
        <f t="shared" si="0"/>
        <v/>
      </c>
      <c r="J43" s="23"/>
    </row>
    <row r="44" spans="2:10" s="21" customFormat="1" ht="99.75" x14ac:dyDescent="0.3">
      <c r="B44" s="17">
        <v>37</v>
      </c>
      <c r="C44" s="27" t="s">
        <v>901</v>
      </c>
      <c r="D44" s="28"/>
      <c r="E44" s="29" t="str">
        <f>IFERROR(VLOOKUP(C44,기출문제!D:G,3,0),"")</f>
        <v>77. 고용보험 및 산업재해보상보험의 보험료징수 등에 관한 법률상 납부의무가 확정된 보험료가 600만원인 경우, 이를 납부기한 전이라도 징수할 수 있는 사유에 해당하지 않는 것은?
① 법인이 합병한 경우
② 공과금을 체납하여 체납처분을 받은 경우
③ 강제집행을 받은 경우
④ 법인이 해산한 경우
⑤ 「어음법」 및 「수표법」에 따른 어음교환소에서 거래정지처분을 받은 경우</v>
      </c>
      <c r="F44" s="30">
        <f>IFERROR(VLOOKUP(C44,기출문제!D:G,4,0),"")</f>
        <v>1</v>
      </c>
      <c r="G44" s="31" t="str">
        <f t="shared" si="0"/>
        <v/>
      </c>
      <c r="J44" s="23"/>
    </row>
    <row r="45" spans="2:10" s="21" customFormat="1" ht="142.5" x14ac:dyDescent="0.3">
      <c r="B45" s="17">
        <v>38</v>
      </c>
      <c r="C45" s="27" t="s">
        <v>902</v>
      </c>
      <c r="D45" s="28"/>
      <c r="E45" s="29" t="str">
        <f>IFERROR(VLOOKUP(C45,기출문제!D:G,3,0),"")</f>
        <v>78. 고용보험 및 산업재해보상보험의 보험료징수 등에 관한 법령상 보험료율의 인상 또는 인하 등에 따른 조치에 관한 설명으로 옳지 않은 것은?
① 근로복지공단은 보험료율 인하로 보험료를 감액 조정한 경우에는 보험료율의 인하를 결정한 날부터 20일 이내에 그 감액 조정 사실을 사업주에게 알려야 한다.
② 보험료율 인상으로 월별보험료가 증액된 때에는 국민건강보험공단이 징수한다.
③ 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
④ 근로복지공단은 사업주가 보험연도 중에 사업의 규모를 축소하여 실제의 개산보험료 총액이 이미 신고한 개산보험료 총액보다 100분의 20 이상으로 감소하게 된 경우에는 그 초과액을 감액해야 한다.
⑤ 보험료율 인상으로 개산보험료가 증액된 때에는 근로복지공단이 징수한다.</v>
      </c>
      <c r="F45" s="30">
        <f>IFERROR(VLOOKUP(C45,기출문제!D:G,4,0),"")</f>
        <v>4</v>
      </c>
      <c r="G45" s="31" t="str">
        <f t="shared" si="0"/>
        <v/>
      </c>
      <c r="J45" s="23"/>
    </row>
    <row r="46" spans="2:10" s="21" customFormat="1" ht="99.75" x14ac:dyDescent="0.3">
      <c r="B46" s="17">
        <v>39</v>
      </c>
      <c r="C46" s="27" t="s">
        <v>903</v>
      </c>
      <c r="D46" s="28"/>
      <c r="E46" s="29" t="str">
        <f>IFERROR(VLOOKUP(C46,기출문제!D:G,3,0),"")</f>
        <v>79. 고용보험 및 산업재해보상보험의 보험료징수 등에 관한 법령상 거짓으로 보험사무대행기관 인가를 받아 근로복지공단으로부터 인가가 취소된 경우 보험사무대행기관 인가의 제한 기간은?
① 3개월 
② 6개월 
③ 1년 
④ 3년 
⑤ 5년</v>
      </c>
      <c r="F46" s="30">
        <f>IFERROR(VLOOKUP(C46,기출문제!D:G,4,0),"")</f>
        <v>3</v>
      </c>
      <c r="G46" s="31" t="str">
        <f t="shared" si="0"/>
        <v/>
      </c>
      <c r="J46" s="23"/>
    </row>
    <row r="47" spans="2:10" s="21" customFormat="1" ht="213.75" x14ac:dyDescent="0.3">
      <c r="B47" s="17">
        <v>40</v>
      </c>
      <c r="C47" s="27" t="s">
        <v>904</v>
      </c>
      <c r="D47" s="28"/>
      <c r="E47" s="29" t="str">
        <f>IFERROR(VLOOKUP(C47,기출문제!D:G,3,0),"")</f>
        <v>80. 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
① ㄱ - a, ㄴ - c 
② ㄱ - b, ㄷ - d 
③ ㄱ - c, ㄴ - e
④ ㄴ - d, ㄷ - a 
⑤ ㄴ - e, ㄷ - b</v>
      </c>
      <c r="F47" s="30">
        <f>IFERROR(VLOOKUP(C47,기출문제!D:G,4,0),"")</f>
        <v>2</v>
      </c>
      <c r="G47" s="31" t="str">
        <f t="shared" si="0"/>
        <v/>
      </c>
      <c r="J47" s="23"/>
    </row>
    <row r="48" spans="2:10" s="21" customFormat="1" ht="128.25" x14ac:dyDescent="0.3">
      <c r="B48" s="17">
        <v>41</v>
      </c>
      <c r="C48" s="27" t="s">
        <v>5</v>
      </c>
      <c r="D48" s="28"/>
      <c r="E48" s="29" t="str">
        <f>IFERROR(VLOOKUP(C48,기출문제!D:G,3,0),"")</f>
        <v>76. 사회보장기본법령에 관한 설명으로 옳은 것은?
① 국가와 지방자치단체는 모든 국민의 인간다운 생활과 자립, 사회참여, 자아실현 등을 지원하여 삶의 질이 향상될 수 있도록 사회서비스에 관한 시책을 마련하여야 한다.
② 보건복지부장관은 제공받은 사회보장 행정데이터의 원활한 분석, 활용 등을 위하여 사회보장 행정데이터 분석센터를 설치・운영하여야 한다.
③ 부담 능력이 있는 국민에 대한 사회서비스에 드는 비용은 국가가 부담함을 원칙으로 한다.
④ 사회보장수급권을 포기하는 것이 다른 사람에게 피해를 주는 경우에는 사회보장수급권을 포기할 수 있다.
⑤ 보건복지부장관은 재정추계의 결과를 사회보장위원회의 심의를 거쳐 같은 해 9월 30일까지 관계 중앙행정기관의 장에게 통보하여야 한다.</v>
      </c>
      <c r="F48" s="30">
        <f>IFERROR(VLOOKUP(C48,기출문제!D:G,4,0),"")</f>
        <v>1</v>
      </c>
      <c r="G48" s="31" t="str">
        <f t="shared" si="0"/>
        <v/>
      </c>
      <c r="J48" s="23"/>
    </row>
    <row r="49" spans="2:10" s="21" customFormat="1" ht="156.75" x14ac:dyDescent="0.3">
      <c r="B49" s="17">
        <v>42</v>
      </c>
      <c r="C49" s="27" t="s">
        <v>905</v>
      </c>
      <c r="D49" s="28"/>
      <c r="E49" s="29" t="str">
        <f>IFERROR(VLOOKUP(C49,기출문제!D:G,3,0),"")</f>
        <v>77. 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
① 1개
② 2개
③ 3개
④ 4개
⑤ 5개</v>
      </c>
      <c r="F49" s="30">
        <f>IFERROR(VLOOKUP(C49,기출문제!D:G,4,0),"")</f>
        <v>5</v>
      </c>
      <c r="G49" s="31" t="str">
        <f t="shared" si="0"/>
        <v/>
      </c>
      <c r="J49" s="23"/>
    </row>
    <row r="50" spans="2:10" s="21" customFormat="1" ht="99.75" x14ac:dyDescent="0.3">
      <c r="B50" s="17">
        <v>43</v>
      </c>
      <c r="C50" s="27" t="s">
        <v>906</v>
      </c>
      <c r="D50" s="28"/>
      <c r="E50" s="29" t="str">
        <f>IFERROR(VLOOKUP(C50,기출문제!D:G,3,0),"")</f>
        <v>78. 사회보장기본법에 관한 설명으로 옳은 것은?
① 사회보장수급권은 정당한 권한이 있는 기관에 서면이나 구두로 포기할 수 있다.
② 고용노동부장관은 관계 중앙행정기관의 장과 협의하여 사회보장에 관한 기본계획을 5년마다 수립하여야 한다.
③ 국가와 지방자치단체는 효과적인 사회보장정책의 수립・시행을 위하여 사회보장에 관한 통계를 작성・관리할 수 있다.
④ 국가는 사회보장제도의 안정적인 운영을 위하여 중장기 사회보장 재정추계를 매년 실시하고 이를 공표하여야 한다.
⑤ 국가와 지방자치단체는 평생사회안전망을 구축・운영함에 있어 사회적 취약계층을 위한 공공부조를 마련하여 최저생활을 보장하여야 한다.</v>
      </c>
      <c r="F50" s="30">
        <f>IFERROR(VLOOKUP(C50,기출문제!D:G,4,0),"")</f>
        <v>5</v>
      </c>
      <c r="G50" s="31" t="str">
        <f t="shared" si="0"/>
        <v/>
      </c>
      <c r="J50" s="23"/>
    </row>
    <row r="51" spans="2:10" s="21" customFormat="1" ht="142.5" x14ac:dyDescent="0.3">
      <c r="B51" s="17">
        <v>44</v>
      </c>
      <c r="C51" s="27" t="s">
        <v>907</v>
      </c>
      <c r="D51" s="28"/>
      <c r="E51" s="29" t="str">
        <f>IFERROR(VLOOKUP(C51,기출문제!D:G,3,0),"")</f>
        <v>79. 고용보험법령상 구직급여에 관한 설명으로 옳지 않은 것은?
① 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
② 구직급여는 수급자격자가 실업한 상태에 있는 날 중에서 직업안정기관의 장으로부터 실업의 인정을 받은 날에 대하여 지급한다.
③ 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
④ 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
⑤ 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v>
      </c>
      <c r="F51" s="30">
        <f>IFERROR(VLOOKUP(C51,기출문제!D:G,4,0),"")</f>
        <v>4</v>
      </c>
      <c r="G51" s="31" t="str">
        <f t="shared" si="0"/>
        <v/>
      </c>
      <c r="J51" s="23"/>
    </row>
    <row r="52" spans="2:10" s="21" customFormat="1" ht="128.25" x14ac:dyDescent="0.3">
      <c r="B52" s="17">
        <v>45</v>
      </c>
      <c r="C52" s="27" t="s">
        <v>908</v>
      </c>
      <c r="D52" s="28"/>
      <c r="E52" s="29" t="str">
        <f>IFERROR(VLOOKUP(C52,기출문제!D:G,3,0),"")</f>
        <v>80. 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
① ㄱ: 1, ㄴ: 3분의 2 이상 10분의 7 이하
② ㄱ: 1, ㄴ: 4분의 3 이상 10분의 9 이하
③ ㄱ: 2, ㄴ: 3분의 2 이상 10분의 7 이하
④ ㄱ: 2, ㄴ: 4분의 3 이상 10분의 9 이하
⑤ ㄱ: 3, ㄴ: 3분의 2 이상 10분의 9 이하</v>
      </c>
      <c r="F52" s="30">
        <f>IFERROR(VLOOKUP(C52,기출문제!D:G,4,0),"")</f>
        <v>2</v>
      </c>
      <c r="G52" s="31" t="str">
        <f t="shared" si="0"/>
        <v/>
      </c>
      <c r="J52" s="23"/>
    </row>
    <row r="53" spans="2:10" s="21" customFormat="1" ht="85.5" x14ac:dyDescent="0.3">
      <c r="B53" s="17">
        <v>46</v>
      </c>
      <c r="C53" s="27" t="s">
        <v>909</v>
      </c>
      <c r="D53" s="28"/>
      <c r="E53" s="29" t="str">
        <f>IFERROR(VLOOKUP(C53,기출문제!D:G,3,0),"")</f>
        <v>81. 고용보험법령상 예술인인 피보험자가 임신 13주차에 유산을 한 경우 출산전후급여등의 지급기간은?
① 5일
② 10일
③ 15일
④ 20일
⑤ 30일</v>
      </c>
      <c r="F53" s="30">
        <f>IFERROR(VLOOKUP(C53,기출문제!D:G,4,0),"")</f>
        <v>2</v>
      </c>
      <c r="G53" s="31" t="str">
        <f t="shared" si="0"/>
        <v/>
      </c>
      <c r="J53" s="23"/>
    </row>
    <row r="54" spans="2:10" s="21" customFormat="1" ht="85.5" x14ac:dyDescent="0.3">
      <c r="B54" s="17">
        <v>47</v>
      </c>
      <c r="C54" s="27" t="s">
        <v>910</v>
      </c>
      <c r="D54" s="28"/>
      <c r="E54" s="29" t="str">
        <f>IFERROR(VLOOKUP(C54,기출문제!D:G,3,0),"")</f>
        <v>82. 고용보험법령상 고용보험위원회(이하 '위원회'라 한다)에 관한 설명으로 옳지 않은 것은?
① 위촉위원 중 정부를 대표하는 사람의 임기는 2년으로 한다.
② 위촉위원 중 보궐위원의 임기는 전임자 임기의 남은 기간으로 한다.
③ 위원회의 위원장이 부득이한 사유로 직무를 수행할 수 없을 때에는 위원장이 미리 지명하는 위원이 그 직무를 대행한다.
④ 위원회의 회의는 재적위원 과반수의 출석으로 개의(開議)하고 출석의원 과반수의 찬성으로 의결한다.
⑤ 위원회에 고용보험운영전문위원회와 고용보험평가전문위원회를 둔다.</v>
      </c>
      <c r="F54" s="30">
        <f>IFERROR(VLOOKUP(C54,기출문제!D:G,4,0),"")</f>
        <v>1</v>
      </c>
      <c r="G54" s="31" t="str">
        <f t="shared" si="0"/>
        <v/>
      </c>
      <c r="J54" s="23"/>
    </row>
    <row r="55" spans="2:10" s="21" customFormat="1" ht="142.5" x14ac:dyDescent="0.3">
      <c r="B55" s="17">
        <v>48</v>
      </c>
      <c r="C55" s="27" t="s">
        <v>911</v>
      </c>
      <c r="D55" s="28"/>
      <c r="E55" s="29" t="str">
        <f>IFERROR(VLOOKUP(C55,기출문제!D:G,3,0),"")</f>
        <v>83. 고용보험법상 고용보험심사관(이하 '심사관'이라 한다)에 관한 설명으로 옳지 않은 것은?
① 실업급여에 관한 처분에 이의가 있는 자는 심사관에게 심사를 청구할 수 있다.
② 심사관은 심사청구를 받으면 30일 이내에 그 심사청구에 대한 결정을 하여야 한다. 다만, 부득이한 사정으로 그 기간에 결정할 수 없을 때에는 한 차례만 10일을 넘지 아니하는 범위에서 그 기간을 연장할 수 있다.
③ 심사관은 심사의 청구에 대한 심리를 위하여 필요하다고 인정하면 심사청구인의 신청 또는 직권으로 심사청구인 또는 관계인을 지정 장소에 출석하게 하여 질문하거나 의견을 진술하게 할 수 있다.
④ 당사자는 심사관에게 심리・결정의 공정을 기대하기 어려운 사정이 있으면 그 심사관에 대한 기피신청을 고용노동부장관에게 할 수 있다.
⑤ 직업안정기관 또는 근로복지공단은 심사청구서를 받은 날부터 14일 이내에 의견서를 첨부하여 심사청구서를 심사관에게 보내야 한다.</v>
      </c>
      <c r="F55" s="30">
        <f>IFERROR(VLOOKUP(C55,기출문제!D:G,4,0),"")</f>
        <v>5</v>
      </c>
      <c r="G55" s="31" t="str">
        <f t="shared" si="0"/>
        <v/>
      </c>
      <c r="J55" s="23"/>
    </row>
    <row r="56" spans="2:10" s="21" customFormat="1" ht="142.5" x14ac:dyDescent="0.3">
      <c r="B56" s="17">
        <v>49</v>
      </c>
      <c r="C56" s="27" t="s">
        <v>912</v>
      </c>
      <c r="D56" s="28"/>
      <c r="E56" s="29" t="str">
        <f>IFERROR(VLOOKUP(C56,기출문제!D:G,3,0),"")</f>
        <v>84. 고용보험법령상 폐업한 자영업자인 피보험자에 관한 설명으로 옳지 않은 것은?
① 법령을 위반하여 영업 정지를 받아 폐업한 경우라도 직업안정기관의 장이 인정하는 경우에는 수급자격이 있는 것으로 본다. 
② 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
③ 자영업자인 피보험자로서 폐업한 수급자격자에 대한 소정급여일수는 대기기간이 끝난 다음 날부터 계산하기 시작하여 피보험기간이 5년 이상 10년 미만이면 180일까지로 한다.
④ 자영업자인 피보험자의 피보험기간은 그 수급자격과 관련된 폐업 당시의 적용 사업에의 보험가입기간 중에서 실제로 납부한 고용보험료에 해당하는 기간으로 한다.
⑤ 자영업자인 피보험자로서 폐업한 수급자격자에 대한 구직급여일액은 그 수급자격자의 기초일액에 100분의 60을 곱한 금액으로 한다.</v>
      </c>
      <c r="F56" s="30">
        <f>IFERROR(VLOOKUP(C56,기출문제!D:G,4,0),"")</f>
        <v>1</v>
      </c>
      <c r="G56" s="31" t="str">
        <f t="shared" si="0"/>
        <v/>
      </c>
      <c r="J56" s="23"/>
    </row>
    <row r="57" spans="2:10" s="21" customFormat="1" ht="142.5" x14ac:dyDescent="0.3">
      <c r="B57" s="17">
        <v>50</v>
      </c>
      <c r="C57" s="27" t="s">
        <v>913</v>
      </c>
      <c r="D57" s="28"/>
      <c r="E57" s="29" t="str">
        <f>IFERROR(VLOOKUP(C57,기출문제!D:G,3,0),"")</f>
        <v>85. 고용보험법령상 고용노동부장관이 고용환경 개선, 근무형태 변경 등으로 고용의 기회를 확대한 사업주에게 임금의 일부를 지원할 수 있는 경우가 아닌 것은?
① 직무의 분할 등을 통하여 실업자를 근로계약기간을 정하지 않고 시간제로 근무하는 형태로 하여 새로 고용하는 경우
② 고용보험위원회에서 심의・의결한 국내복귀기업  또는 지역특화산업 등 고용지원이 필요한 업종에 해당하는 기업이 실업자를 고용하는 경우
③ 고용보험위원회에서 심의・의결한 업종에 해당하는 우선지원대상기업이 고용노동부장관이 정하는 전문적인 자격을 갖춘 자를 고용하는 경우
④ 임금을 감액하는 제도 또는 그 밖의 임금체계 개편 등을 통하여 18세 이상 35세 이하의 청년 실업자를 고용하는 경우
⑤ 고용노동부장관이 「고용상 연령차별 금지 및 고령자고용촉진에 관한 법률」에 따른 고령자가 근무하기에 적합한 것으로 인정하는 직무에 고령자를 새로 고용하는 경우</v>
      </c>
      <c r="F57" s="30">
        <f>IFERROR(VLOOKUP(C57,기출문제!D:G,4,0),"")</f>
        <v>4</v>
      </c>
      <c r="G57" s="31" t="str">
        <f t="shared" si="0"/>
        <v/>
      </c>
      <c r="J57" s="23"/>
    </row>
    <row r="58" spans="2:10" s="21" customFormat="1" ht="156.75" x14ac:dyDescent="0.3">
      <c r="B58" s="17">
        <v>51</v>
      </c>
      <c r="C58" s="27" t="s">
        <v>914</v>
      </c>
      <c r="D58" s="17"/>
      <c r="E58" s="29" t="str">
        <f>IFERROR(VLOOKUP(C58,기출문제!D:G,3,0),"")</f>
        <v>86. 산업재해보상보험법상 진폐에 따른 보험급여 종류를 모두 고른 것은?
ㄱ. 장례비
ㄴ. 휴업급여
ㄷ. 직업재활급여
ㄹ. 간병급여
ㅁ. 유족급여
① ㄱ, ㄹ
② ㄱ, ㄴ, ㅁ
③ ㄱ, ㄷ, ㄹ
④ ㄴ, ㄷ, ㄹ, ㅁ
⑤ ㄱ, ㄴ, ㄷ, ㄹ, ㅁ</v>
      </c>
      <c r="F58" s="30">
        <f>IFERROR(VLOOKUP(C58,기출문제!D:G,4,0),"")</f>
        <v>3</v>
      </c>
      <c r="G58" s="31" t="str">
        <f t="shared" si="0"/>
        <v/>
      </c>
      <c r="J58" s="23"/>
    </row>
    <row r="59" spans="2:10" s="21" customFormat="1" ht="99.75" x14ac:dyDescent="0.3">
      <c r="B59" s="17">
        <v>52</v>
      </c>
      <c r="C59" s="27" t="s">
        <v>915</v>
      </c>
      <c r="D59" s="17"/>
      <c r="E59" s="29" t="str">
        <f>IFERROR(VLOOKUP(C59,기출문제!D:G,3,0),"")</f>
        <v>87. 산업재해보상보험법상 심사 청구 및 재심사 청구에 관한 설명으로 옳지 않은 것은?
① 재심사위원회의 재결은 근로복지공단을 기속(羈束)한다.
② 재심사위원회 위원(당연직위원은 제외한다)의 임기는 3년으로 하되 연임할 수 있고, 위원장이나 위원의 임기가 끝난 경우 그 후임자가 임명될 때까지 그 직무를 수행한다.
③ 보험급여 결정등에 대하여는 「행정심판법」에 따른 행정심판을 제기할 수 없다.
④ 재심사위원회의 위원장 및 위원은 고용노동부장관이 임명한다.
⑤ 재심사 청구의 제기는 시효의 중단에 관하여 「민법」 제168조에 따른 재판상의 청구로 본다.</v>
      </c>
      <c r="F59" s="30">
        <f>IFERROR(VLOOKUP(C59,기출문제!D:G,4,0),"")</f>
        <v>4</v>
      </c>
      <c r="G59" s="31" t="str">
        <f t="shared" si="0"/>
        <v/>
      </c>
      <c r="J59" s="23"/>
    </row>
    <row r="60" spans="2:10" s="21" customFormat="1" ht="142.5" x14ac:dyDescent="0.3">
      <c r="B60" s="17">
        <v>53</v>
      </c>
      <c r="C60" s="27" t="s">
        <v>916</v>
      </c>
      <c r="D60" s="17"/>
      <c r="E60" s="29" t="str">
        <f>IFERROR(VLOOKUP(C60,기출문제!D:G,3,0),"")</f>
        <v>88. 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
① ㄱ
② ㄴ
③ ㄱ, ㄷ
④ ㄴ, ㄷ
⑤ ㄱ, ㄴ, ㄷ</v>
      </c>
      <c r="F60" s="30">
        <f>IFERROR(VLOOKUP(C60,기출문제!D:G,4,0),"")</f>
        <v>3</v>
      </c>
      <c r="G60" s="31" t="str">
        <f t="shared" si="0"/>
        <v/>
      </c>
      <c r="J60" s="23"/>
    </row>
    <row r="61" spans="2:10" s="21" customFormat="1" ht="156.75" x14ac:dyDescent="0.3">
      <c r="B61" s="17">
        <v>54</v>
      </c>
      <c r="C61" s="27" t="s">
        <v>917</v>
      </c>
      <c r="D61" s="17"/>
      <c r="E61" s="29" t="str">
        <f>IFERROR(VLOOKUP(C61,기출문제!D:G,3,0),"")</f>
        <v>89. 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
① ㄱ, ㄴ
② ㄱ, ㄷ
③ ㄴ, ㄷ
④ ㄴ, ㄹ
⑤ ㄷ, ㄹ</v>
      </c>
      <c r="F61" s="30">
        <f>IFERROR(VLOOKUP(C61,기출문제!D:G,4,0),"")</f>
        <v>2</v>
      </c>
      <c r="G61" s="31" t="str">
        <f t="shared" si="0"/>
        <v/>
      </c>
      <c r="J61" s="23"/>
    </row>
    <row r="62" spans="2:10" s="21" customFormat="1" ht="99.75" x14ac:dyDescent="0.3">
      <c r="B62" s="17">
        <v>55</v>
      </c>
      <c r="C62" s="27" t="s">
        <v>918</v>
      </c>
      <c r="D62" s="17"/>
      <c r="E62" s="29" t="str">
        <f>IFERROR(VLOOKUP(C62,기출문제!D:G,3,0),"")</f>
        <v>90. 산업재해보상보험법령상 업무상 사고에 해당하지 않는 것은?
① 근로자가 근로계약에 따른 업무수행 행위를 하던 중 발생한 사고
② 업무를 준비하는 행위를 하던 중 발생한 사고
③ 천재지변・화재 등 사업장 내에 발생한 돌발적인 사고에 따른 긴급피난・구조행위 등 사회통념상 예견되는 행위를 하던 중에 발생한 사고
④ 사업장 밖에서 업무를 수행하던 중 사업주의 구체적인 지시를 위반한 행위로 인한 사고
⑤ 휴게시간 중 사업주의 지배관리하에 있다고 볼 수 있는 행위로 발생한 사고</v>
      </c>
      <c r="F62" s="30">
        <f>IFERROR(VLOOKUP(C62,기출문제!D:G,4,0),"")</f>
        <v>4</v>
      </c>
      <c r="G62" s="31" t="str">
        <f t="shared" si="0"/>
        <v/>
      </c>
      <c r="J62" s="23"/>
    </row>
    <row r="63" spans="2:10" s="21" customFormat="1" ht="85.5" x14ac:dyDescent="0.3">
      <c r="B63" s="17">
        <v>56</v>
      </c>
      <c r="C63" s="27" t="s">
        <v>919</v>
      </c>
      <c r="D63" s="17"/>
      <c r="E63" s="29" t="str">
        <f>IFERROR(VLOOKUP(C63,기출문제!D:G,3,0),"")</f>
        <v>91. 산업재해보상보험법령상 업무상질병판정위원회의 심의에서 제외되는 질병이 아닌 것은?
① 진폐
② 이황화탄소 중독증
③ 유해・위험요인에 지속적으로 소량 노출되어 나타나는 만성 중독 증상 또는 소견 등의 질병
④ 「한국산업안전보건공단법」에 따른 한국산업안전보건공단에 자문한 결과 업무와의 관련성이 높다고 인정된 질병
⑤ 업무와 그 질병 사이에 상당인과관계가 있는지를 명백히 알 수 있는 경우로서 근로복지공단이 정하는 질병</v>
      </c>
      <c r="F63" s="30">
        <f>IFERROR(VLOOKUP(C63,기출문제!D:G,4,0),"")</f>
        <v>3</v>
      </c>
      <c r="G63" s="31" t="str">
        <f t="shared" si="0"/>
        <v/>
      </c>
      <c r="J63" s="23"/>
    </row>
    <row r="64" spans="2:10" s="21" customFormat="1" ht="99.75" x14ac:dyDescent="0.3">
      <c r="B64" s="17">
        <v>57</v>
      </c>
      <c r="C64" s="27" t="s">
        <v>920</v>
      </c>
      <c r="D64" s="17"/>
      <c r="E64" s="29" t="str">
        <f>IFERROR(VLOOKUP(C64,기출문제!D:G,3,0),"")</f>
        <v>92. 국민연금법령상 다음 A근로자의 경우 산입될 국민연금 가입기간은?
○ 사용자가 A근로자의 임금에서 7개월간 기여금을 공제하였음에도 연금보험료를 내지 않았다.
① 3개월
② 4개월
③ 5개월
④ 6개월
⑤ 7개월</v>
      </c>
      <c r="F64" s="30">
        <f>IFERROR(VLOOKUP(C64,기출문제!D:G,4,0),"")</f>
        <v>2</v>
      </c>
      <c r="G64" s="31" t="str">
        <f t="shared" si="0"/>
        <v/>
      </c>
      <c r="J64" s="23"/>
    </row>
    <row r="65" spans="2:10" s="21" customFormat="1" ht="199.5" x14ac:dyDescent="0.3">
      <c r="B65" s="17">
        <v>58</v>
      </c>
      <c r="C65" s="27" t="s">
        <v>921</v>
      </c>
      <c r="D65" s="17"/>
      <c r="E65" s="29" t="str">
        <f>IFERROR(VLOOKUP(C65,기출문제!D:G,3,0),"")</f>
        <v>93. 국민연금법상 다음 ( )에 들어갈 숫자의 합은?
제64조(분할연금 수급권자 등)
① 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
① 6
② 8
③ 10
④ 13
⑤ 15</v>
      </c>
      <c r="F65" s="30">
        <f>IFERROR(VLOOKUP(C65,기출문제!D:G,4,0),"")</f>
        <v>3</v>
      </c>
      <c r="G65" s="31" t="str">
        <f t="shared" si="0"/>
        <v/>
      </c>
      <c r="J65" s="23"/>
    </row>
    <row r="66" spans="2:10" s="21" customFormat="1" ht="99.75" x14ac:dyDescent="0.3">
      <c r="B66" s="17">
        <v>59</v>
      </c>
      <c r="C66" s="27" t="s">
        <v>922</v>
      </c>
      <c r="D66" s="17"/>
      <c r="E66" s="29" t="str">
        <f>IFERROR(VLOOKUP(C66,기출문제!D:G,3,0),"")</f>
        <v>94. 국민건강보험법령상 피부양자에 해당하지 않는 자는? (단, 직장가입자에게 주로 생계를 의존하는 사람으로서 소득 및 재산이 보건복지부령으로 정하는 기준 이하에 해당하는 사람에 한정한다.)
① 직장가입자의 형제의 배우자
② 직장가입자의 직계비속
③ 직장가입자의 배우자의 직계비속
④ 직장가입자의 직계존속
⑤ 직장가입자의 형제・자매</v>
      </c>
      <c r="F66" s="30">
        <f>IFERROR(VLOOKUP(C66,기출문제!D:G,4,0),"")</f>
        <v>1</v>
      </c>
      <c r="G66" s="31" t="str">
        <f t="shared" si="0"/>
        <v/>
      </c>
      <c r="J66" s="23"/>
    </row>
    <row r="67" spans="2:10" s="21" customFormat="1" ht="128.25" x14ac:dyDescent="0.3">
      <c r="B67" s="17">
        <v>60</v>
      </c>
      <c r="C67" s="27" t="s">
        <v>923</v>
      </c>
      <c r="D67" s="17"/>
      <c r="E67" s="29" t="str">
        <f>IFERROR(VLOOKUP(C67,기출문제!D:G,3,0),"")</f>
        <v>95. 국민건강보험법령에 관한 설명으로 옳은 것은?
① 요양급여비용 및 요양급여의 적정성 평가 등에 관한 건강보험심사평가원의 처분에 이의가 있는 국민건강보험공단, 요양기관 또는 그 밖의 자는 건강보험정책심의위원회에 이의신청을 할 수 있다.
② 직장가입자의 보수월액보험료 상한은 보험료가 부과되는 연도의 전전년도 직장가입자 평균 보수월액보험료의 20배에 해당하는 금액을 고려하여 보건복지부장관이 정하여 고시하는 금액으로 한다.
③ 국민건강보험공단은 보험급여를 받을 수 있는 사람이 고의 또는 중대한 과실로 국민건강보험공단이나 요양기관의 요양에 관한 지시에 따르지 아니한 경우 보험급여를 하지 아니한다.
④ 건강보험심사평가원은 요양급여에 대한 의료의 질을 향상시키기 위하여 요양급여의 적정성 평가를 격년으로 실시하여야 한다.
⑤ 보수의 일부가 현물로 지급되는 경우에는 그 지역의 시가를 기준으로 근로복지공단이 정하는 가액을 그에 해당하는 보수로 본다.</v>
      </c>
      <c r="F67" s="30">
        <f>IFERROR(VLOOKUP(C67,기출문제!D:G,4,0),"")</f>
        <v>3</v>
      </c>
      <c r="G67" s="31" t="str">
        <f t="shared" si="0"/>
        <v/>
      </c>
      <c r="J67" s="23"/>
    </row>
    <row r="68" spans="2:10" s="21" customFormat="1" ht="85.5" x14ac:dyDescent="0.3">
      <c r="B68" s="17">
        <v>61</v>
      </c>
      <c r="C68" s="27" t="s">
        <v>924</v>
      </c>
      <c r="D68" s="17"/>
      <c r="E68" s="29" t="str">
        <f>IFERROR(VLOOKUP(C68,기출문제!D:G,3,0),"")</f>
        <v>96. 국민건강보험법령상 보험료에 관한 설명으로 옳은 것은?
① 가입자의 자격을 취득한 날이 속하는 달의 다음 달부터 가입자의 자격을 잃은 날이 속하는 달까지 징수한다.
② 직장가입자의 소득월액보험료는 사용자가 납부한다.
③ 보험료 납부의무가 있는 자는 가입자에 대한 그 달의 보험료를 그 달 말일까지 납부하여야 한다.
④ 직장가입자의 보험료율은 1만분의 709로 한다.
⑤ 60세 이상인 사람은 보험료 경감대상이 될 수 있다.</v>
      </c>
      <c r="F68" s="30">
        <f>IFERROR(VLOOKUP(C68,기출문제!D:G,4,0),"")</f>
        <v>4</v>
      </c>
      <c r="G68" s="31" t="str">
        <f t="shared" si="0"/>
        <v/>
      </c>
      <c r="J68" s="23"/>
    </row>
    <row r="69" spans="2:10" s="21" customFormat="1" ht="85.5" x14ac:dyDescent="0.3">
      <c r="B69" s="17">
        <v>62</v>
      </c>
      <c r="C69" s="27" t="s">
        <v>925</v>
      </c>
      <c r="D69" s="17"/>
      <c r="E69" s="29" t="str">
        <f>IFERROR(VLOOKUP(C69,기출문제!D:G,3,0),"")</f>
        <v>97. 국민건강보험법령상 건강검진에 관한 설명으로 옳지 않은 것은?
① 사무직에 종사하지 않는 직장가입자에 대해서는 1년에 1회 실시한다.
② 검진기관이 건강검진을 받은 사람에게 직접 통보한 경우에는 국민건강보험공단은 그 통보를 생략할 수 있다.
③ 직장가입자, 세대주인 지역가입자, 18세 이상인 지역가입자는 일반건강검진 대상이다.
④ 영유아건강검진 대상은 6세 미만의 가입자 및 피부양자이다.
⑤ 국민건강보험공단은 직장가입자에게 실시하는 일반건강검진의 실시에 관한 사항을 해당 사용자에게 통보해야 한다.</v>
      </c>
      <c r="F69" s="30">
        <f>IFERROR(VLOOKUP(C69,기출문제!D:G,4,0),"")</f>
        <v>3</v>
      </c>
      <c r="G69" s="31" t="str">
        <f t="shared" si="0"/>
        <v/>
      </c>
      <c r="J69" s="23"/>
    </row>
    <row r="70" spans="2:10" s="21" customFormat="1" ht="142.5" x14ac:dyDescent="0.3">
      <c r="B70" s="17">
        <v>63</v>
      </c>
      <c r="C70" s="27" t="s">
        <v>629</v>
      </c>
      <c r="D70" s="17"/>
      <c r="E70" s="29" t="str">
        <f>IFERROR(VLOOKUP(C70,기출문제!D:G,3,0),"")</f>
        <v>98. 고용보험 및 산업재해보상보험의 보험료 징수 등에 관한 법령상 고액・상습 체납자의 인적사항 공개에 관한 설명으로 옳지 않은 것은?
① 국민건강보험공단은 체납된 보험료, 이 법에 따른 그 밖의 징수금과 체납처분비와 관련하여 행정심판이 계류 중인 경우에는 공개하여서는 아니 된다.
② 체납자의 인적사항등에 대한 공개 여부를 심의하기 위하여 국민건강보험공단에 보험료정보공개심의위원회를 둔다.
③ 국민건강보험공단은 인정사항등의 공개가 결정된 자에 대하여 소명할 기회를 주어야 한다.
④ 체납자 인적사항등의 공개는 관보에 게재하거나, 고용・산재정보통신망 또는 국민건강보험공단 게시판에 게시하는 방법에 따른다.
⑤ 국민건강보험공단은 보험료정보공개심의위원회의 심의와 관련한 통지일부터 3개월이 지난 후 체납자 인적사항등의 공개 여부를 재심의하게 한 후 공개대상자를 선정한다.</v>
      </c>
      <c r="F70" s="30">
        <f>IFERROR(VLOOKUP(C70,기출문제!D:G,4,0),"")</f>
        <v>5</v>
      </c>
      <c r="G70" s="31" t="str">
        <f t="shared" si="0"/>
        <v/>
      </c>
      <c r="J70" s="23"/>
    </row>
    <row r="71" spans="2:10" s="21" customFormat="1" ht="99.75" x14ac:dyDescent="0.3">
      <c r="B71" s="17">
        <v>64</v>
      </c>
      <c r="C71" s="27" t="s">
        <v>926</v>
      </c>
      <c r="D71" s="17"/>
      <c r="E71" s="29" t="str">
        <f>IFERROR(VLOOKUP(C71,기출문제!D:G,3,0),"")</f>
        <v>99. 고용보험 및 산업재해보상보험의 보험료징수 등에 관한 법령상 예술인과 이들을 상대방으로 하여 문화예술용역 관련 계약을 체결한 사업의 사업주에 대한 고용보험료율은?
① 1천분의 8
② 1천분의 16
③ 1천분의 24
④ 1천분의 32
⑤ 1천분의 40</v>
      </c>
      <c r="F71" s="30">
        <f>IFERROR(VLOOKUP(C71,기출문제!D:G,4,0),"")</f>
        <v>2</v>
      </c>
      <c r="G71" s="31" t="str">
        <f t="shared" si="0"/>
        <v/>
      </c>
      <c r="J71" s="23"/>
    </row>
    <row r="72" spans="2:10" s="21" customFormat="1" ht="185.25" x14ac:dyDescent="0.3">
      <c r="B72" s="17">
        <v>65</v>
      </c>
      <c r="C72" s="27" t="s">
        <v>927</v>
      </c>
      <c r="D72" s="17"/>
      <c r="E72" s="29" t="str">
        <f>IFERROR(VLOOKUP(C72,기출문제!D:G,3,0),"")</f>
        <v>100. 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
① A
② B
③ C
④ D
⑤ E</v>
      </c>
      <c r="F72" s="30">
        <f>IFERROR(VLOOKUP(C72,기출문제!D:G,4,0),"")</f>
        <v>3</v>
      </c>
      <c r="G72" s="31" t="str">
        <f t="shared" si="0"/>
        <v/>
      </c>
      <c r="J72" s="23"/>
    </row>
    <row r="73" spans="2:10" s="21" customFormat="1" ht="85.5" x14ac:dyDescent="0.3">
      <c r="B73" s="17">
        <v>66</v>
      </c>
      <c r="C73" s="27" t="s">
        <v>566</v>
      </c>
      <c r="D73" s="17"/>
      <c r="E73" s="29" t="str">
        <f>IFERROR(VLOOKUP(C73,기출문제!D:G,3,0),"")</f>
        <v>76. 사회보장기본법에 관한 설명으로 옳지 않은 것은?
① 모든 국민은 자신의 능력을 최대한 발휘하여 자립・자활(自活)할 수 있도록 노력하여야 한다.
② 국가와 지방자치단체는 사회보장제도를 시행할 때에 가정과 지역공동체의 자발적인 복지활동을 촉진하여야 한다.
③ 사회보험이란 국민에게 발생하는 사회적 위험을 보험의 방식으로 대처함으로써 국민의 건강과 소득을 보장하는 제도를 말한다.
④ 국내에 거주하는 외국인에게 사회보장제도를 적용할 때에는 국민과 차별하지 아니하되 예외적으로 상호주의에 따를 수 있다.
⑤ 국가와 지방자치단체는 가정이 건전하게 유지되고 그 기능이 향상되도록 노력하여야 한다.</v>
      </c>
      <c r="F73" s="30">
        <f>IFERROR(VLOOKUP(C73,기출문제!D:G,4,0),"")</f>
        <v>4</v>
      </c>
      <c r="G73" s="31" t="str">
        <f t="shared" ref="G73:G136" si="1">IF(D73="","",IF(D73=F73,"O", "X"))</f>
        <v/>
      </c>
      <c r="J73" s="23"/>
    </row>
    <row r="74" spans="2:10" s="21" customFormat="1" ht="99.75" x14ac:dyDescent="0.3">
      <c r="B74" s="17">
        <v>67</v>
      </c>
      <c r="C74" s="27" t="s">
        <v>928</v>
      </c>
      <c r="D74" s="17"/>
      <c r="E74" s="29" t="str">
        <f>IFERROR(VLOOKUP(C74,기출문제!D:G,3,0),"")</f>
        <v>77. 사회보장기본법상 사회보장제도의 운영에 관한 설명으로 옳지 않은 것은?
① 국가와 지방자치단체가 사회보장제도를 운영할 때에는 이 제도를 필요로 하는 모든 국민에게 적용하여야 한다.
② 국가와 지방자치단체는 공공부문과 민간부문의 사회보장 전달체계가 효율적으로 연계되도록 노력하여야 한다.
③ 공공부조는 국가의 책임으로 시행하고, 사회보험과 사회서비스는 국가와 지방자치단체의 책임으로 시행하는 것을 원칙으로 한다.
④ 국가와 지방자치단체는 사회보장 관계 법령에서 정하는 바에 따라 사회보장에 관한 상담에 응하여야 한다.
⑤ 국가와 지방자치단체는 효과적인 사회보장정책의 수립・시행을 위하여 사회보장에 관한 통계를 작성・관리하여야 한다.</v>
      </c>
      <c r="F74" s="30">
        <f>IFERROR(VLOOKUP(C74,기출문제!D:G,4,0),"")</f>
        <v>3</v>
      </c>
      <c r="G74" s="31" t="str">
        <f t="shared" si="1"/>
        <v/>
      </c>
      <c r="J74" s="23"/>
    </row>
    <row r="75" spans="2:10" s="21" customFormat="1" ht="128.25" x14ac:dyDescent="0.3">
      <c r="B75" s="17">
        <v>68</v>
      </c>
      <c r="C75" s="27" t="s">
        <v>929</v>
      </c>
      <c r="D75" s="17"/>
      <c r="E75" s="29" t="str">
        <f>IFERROR(VLOOKUP(C75,기출문제!D:G,3,0),"")</f>
        <v>78. 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
① ㄱ: 1월 31일, ㄴ: 3월 31일 
② ㄱ: 1월 31일, ㄴ: 6월 30일
③ ㄱ: 3월 31일, ㄴ: 6월 30일 
④ ㄱ: 3월 31일, ㄴ: 9월 30일
⑤ ㄱ: 6월 30일, ㄴ: 9월 30일</v>
      </c>
      <c r="F75" s="30">
        <f>IFERROR(VLOOKUP(C75,기출문제!D:G,4,0),"")</f>
        <v>1</v>
      </c>
      <c r="G75" s="31" t="str">
        <f t="shared" si="1"/>
        <v/>
      </c>
      <c r="J75" s="23"/>
    </row>
    <row r="76" spans="2:10" s="21" customFormat="1" ht="85.5" x14ac:dyDescent="0.3">
      <c r="B76" s="17">
        <v>69</v>
      </c>
      <c r="C76" s="27" t="s">
        <v>930</v>
      </c>
      <c r="D76" s="17"/>
      <c r="E76" s="29" t="str">
        <f>IFERROR(VLOOKUP(C76,기출문제!D:G,3,0),"")</f>
        <v>79. 사회보장기본법에 관한 설명으로 옳지 않은 것은?
① 국가는 관계 법령에서 정하는 바에 따라 최저보장수준과 최저임금을 매년 공표하여야 한다.
② 국가와 지방자치단체는 사회보장에 관한 책임과 역할을 합리적으로 분담하여야 한다.
③ 사회보장수급권이 제한되거나 정지되는 경우에는 제한 또는 정지하는 목적에 필요한 최소한의 범위에 그쳐야 한다.
④ 사회보장수급권은 정당한 권한이 있는 기관에 구두 또는 서면으로 통지하여 포기할 수 있다.
⑤ 사회보장에 관한 다른 법률을 제정하거나 개정하는 경우에는 사회보장기본법에 부합되도록 하여야 한다.</v>
      </c>
      <c r="F76" s="30">
        <f>IFERROR(VLOOKUP(C76,기출문제!D:G,4,0),"")</f>
        <v>4</v>
      </c>
      <c r="G76" s="31" t="str">
        <f t="shared" si="1"/>
        <v/>
      </c>
      <c r="J76" s="23"/>
    </row>
    <row r="77" spans="2:10" s="21" customFormat="1" ht="99.75" x14ac:dyDescent="0.3">
      <c r="B77" s="17">
        <v>70</v>
      </c>
      <c r="C77" s="27" t="s">
        <v>931</v>
      </c>
      <c r="D77" s="17"/>
      <c r="E77" s="29" t="str">
        <f>IFERROR(VLOOKUP(C77,기출문제!D:G,3,0),"")</f>
        <v>80. 고용보험법상 피보험자격의 취득 또는 상실 등에 관한 설명으로 옳지 않은 것은?
① 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
② 근로자인 피보험자가 이직한 경우에는 이직한 날의 다음 날에 피보험자격을 상실한다.
③ 근로자인 피보험자가 사망한 경우에는 사망한 날의 다음 날에 피보험자격을 상실한다.
④ 고용산재보험료징수법에 따라 보험관계가 소멸한 경우에는 그 보험관계가 소멸한 날에 그 피보험자격을 상실한다.
⑤ 피보험자 또는 피보험자였던 사람은 언제든지 고용노동부장관에게 피보험자격의 취득 또는 상실에 관한 확인을 청구할 수 있다.</v>
      </c>
      <c r="F77" s="30">
        <f>IFERROR(VLOOKUP(C77,기출문제!D:G,4,0),"")</f>
        <v>1</v>
      </c>
      <c r="G77" s="31" t="str">
        <f t="shared" si="1"/>
        <v/>
      </c>
      <c r="J77" s="23"/>
    </row>
    <row r="78" spans="2:10" s="21" customFormat="1" ht="128.25" x14ac:dyDescent="0.3">
      <c r="B78" s="17">
        <v>71</v>
      </c>
      <c r="C78" s="27" t="s">
        <v>932</v>
      </c>
      <c r="D78" s="17"/>
      <c r="E78" s="29" t="str">
        <f>IFERROR(VLOOKUP(C78,기출문제!D:G,3,0),"")</f>
        <v>81. 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
① ㄱ 
② ㄱ, ㄴ 
③ ㄱ, ㄷ 
④ ㄴ, ㄷ 
⑤ ㄱ, ㄴ, ㄷ</v>
      </c>
      <c r="F78" s="30">
        <f>IFERROR(VLOOKUP(C78,기출문제!D:G,4,0),"")</f>
        <v>5</v>
      </c>
      <c r="G78" s="31" t="str">
        <f t="shared" si="1"/>
        <v/>
      </c>
      <c r="J78" s="23"/>
    </row>
    <row r="79" spans="2:10" s="21" customFormat="1" ht="85.5" x14ac:dyDescent="0.3">
      <c r="B79" s="17">
        <v>72</v>
      </c>
      <c r="C79" s="27" t="s">
        <v>933</v>
      </c>
      <c r="D79" s="17"/>
      <c r="E79" s="29" t="str">
        <f>IFERROR(VLOOKUP(C79,기출문제!D:G,3,0),"")</f>
        <v>82. 고용보험법상 자영업자의 구직급여에 관한 사항으로 피보험기간과 소정급여일수가 옳게 연결된 것은?
① 피보험기간 6개월 - 소정급여일수 120일
② 피보험기간 1년 - 소정급여일수 150일
③ 피보험기간 3년 - 소정급여일수 180일
④ 피보험기간 10년 - 소정급여일수 210일
⑤ 피보험기간 15년 - 소정급여일수 240일</v>
      </c>
      <c r="F79" s="30">
        <f>IFERROR(VLOOKUP(C79,기출문제!D:G,4,0),"")</f>
        <v>4</v>
      </c>
      <c r="G79" s="31" t="str">
        <f t="shared" si="1"/>
        <v/>
      </c>
      <c r="J79" s="23"/>
    </row>
    <row r="80" spans="2:10" s="21" customFormat="1" ht="85.5" x14ac:dyDescent="0.3">
      <c r="B80" s="17">
        <v>73</v>
      </c>
      <c r="C80" s="27" t="s">
        <v>934</v>
      </c>
      <c r="D80" s="17"/>
      <c r="E80" s="29" t="str">
        <f>IFERROR(VLOOKUP(C80,기출문제!D:G,3,0),"")</f>
        <v>83. 고용보험법령상 노무제공자인 피보험자에 해당하지 않는 것은?
① 한국표준직업분류표의 세세분류에 따른 대여 제품 방문점검원
② 가전제품의 판매를 위한 배송 업무를 주로 수행하고 가전제품의 설치, 시운전 등을 통해 작동상태를 확인하는 사람
③ 「초・중등교육법」에 따른 학교에서 운영하는 방과후 학교의 과정을 담당하는 강사
④ 「방문판매 등에 관한 법률」에 따른 후원방문판매원으로서 자가 소비를 위한 후원 방문판매원
⑤ 「우체국 예금・보험에 관한 법률」에 따른 우체국보험의 모집을 전업으로 하는 사람</v>
      </c>
      <c r="F80" s="30">
        <f>IFERROR(VLOOKUP(C80,기출문제!D:G,4,0),"")</f>
        <v>4</v>
      </c>
      <c r="G80" s="31" t="str">
        <f t="shared" si="1"/>
        <v/>
      </c>
      <c r="J80" s="23"/>
    </row>
    <row r="81" spans="2:10" s="21" customFormat="1" ht="99.75" x14ac:dyDescent="0.3">
      <c r="B81" s="17">
        <v>74</v>
      </c>
      <c r="C81" s="27" t="s">
        <v>935</v>
      </c>
      <c r="D81" s="17"/>
      <c r="E81" s="29" t="str">
        <f>IFERROR(VLOOKUP(C81,기출문제!D:G,3,0),"")</f>
        <v>84. 고용보험법령상 고용보험기금에 관한 설명으로 옳지 않은 것은?
① 고용노동부장관은 한국은행에 고용보험기금계정을 설치하여야 한다.
② 고용보험기금의 결산상 손실금이 생기는 경우 이를 적립금으로 보전(補塡)할 수 없다.
③ 기금수입징수관은 기금징수액보고서를 매월 말일을 기준으로 작성하여 다음 달 20일까지 고용노동부장관에게 제출하여야 한다.
④ 고용보험기금을 지출할 때 자금 부족이 발생할 것으로 예상되는 경우에는 고용보험기금의 부담으로 금융기관・다른 기금과 그 밖의 재원 등으로부터 차입을 할 수 있다.
⑤ 고용노동부장관의 고용보험기금 관리・운용 방법에는 금융기관에 예탁하는 방법이 있다.</v>
      </c>
      <c r="F81" s="30">
        <f>IFERROR(VLOOKUP(C81,기출문제!D:G,4,0),"")</f>
        <v>2</v>
      </c>
      <c r="G81" s="31" t="str">
        <f t="shared" si="1"/>
        <v/>
      </c>
      <c r="J81" s="23"/>
    </row>
    <row r="82" spans="2:10" s="21" customFormat="1" ht="114" x14ac:dyDescent="0.3">
      <c r="B82" s="17">
        <v>75</v>
      </c>
      <c r="C82" s="27" t="s">
        <v>936</v>
      </c>
      <c r="D82" s="17"/>
      <c r="E82" s="29" t="str">
        <f>IFERROR(VLOOKUP(C82,기출문제!D:G,3,0),"")</f>
        <v>85. 고용보험법상 재심사에 관한 설명으로 옳지 않은 것은?
① 재심사의 청구는 심사청구에 대한 결정이 있음을 안 날부터 90일 이내에 제기하여야 한다.
② 재심사의 청구는 시효중단에 관하여 재판상의 청구로 본다.
③ 고용보험심사위원회의 재심사청구에 대한 심리는 공개하지 않음이 원칙이지만, 당사자의 양쪽 또는 어느 한 쪽이 신청한 경우에는 공개할 수 있다.
④ 고용보험심사위원회는 재심사의 청구를 받으면 그 청구에 대한 심리 기일(審理期日) 및 장소를 정하여 심리 기일 3일 전까지 당사자 및 그 사건을 심사한 고용보험심사관에게 알려야 한다.
⑤ 당사자는 고용보험심사위원회에 문서나 구두로 그 의견을 진술할 수 있다.</v>
      </c>
      <c r="F82" s="30">
        <f>IFERROR(VLOOKUP(C82,기출문제!D:G,4,0),"")</f>
        <v>3</v>
      </c>
      <c r="G82" s="31" t="str">
        <f t="shared" si="1"/>
        <v/>
      </c>
      <c r="J82" s="23"/>
    </row>
    <row r="83" spans="2:10" s="21" customFormat="1" ht="85.5" x14ac:dyDescent="0.3">
      <c r="B83" s="17">
        <v>76</v>
      </c>
      <c r="C83" s="27" t="s">
        <v>937</v>
      </c>
      <c r="D83" s="17"/>
      <c r="E83" s="29" t="str">
        <f>IFERROR(VLOOKUP(C83,기출문제!D:G,3,0),"")</f>
        <v>86. 산업재해보상보험법령상 산업재해보상보험및예방심의위원회의 심의사항이 아닌 것은?
① 요양급여의 범위나 비용 등 요양급여의 산정 기준에 관한 사항
② 「고용보험 및 산업재해보상보험의 보험료징수 등에 관한 법률」에 따른 산재보험료율의 결정에 관한 사항
③ 「산업안전보건법」에 따른 산업재해 보상의 세부계획에 관한 사항
④ 산업재해보상보험및예방기금의 운용계획 수립에 관한 사항
⑤ 고용노동부장관이 산업재해보상보험 사업 및 산업안전・보건 업무에 관하여 심의에 부치는 사항</v>
      </c>
      <c r="F83" s="30">
        <f>IFERROR(VLOOKUP(C83,기출문제!D:G,4,0),"")</f>
        <v>3</v>
      </c>
      <c r="G83" s="31" t="str">
        <f t="shared" si="1"/>
        <v/>
      </c>
      <c r="J83" s="23"/>
    </row>
    <row r="84" spans="2:10" s="21" customFormat="1" ht="85.5" x14ac:dyDescent="0.3">
      <c r="B84" s="17">
        <v>77</v>
      </c>
      <c r="C84" s="27" t="s">
        <v>938</v>
      </c>
      <c r="D84" s="17"/>
      <c r="E84" s="29" t="str">
        <f>IFERROR(VLOOKUP(C84,기출문제!D:G,3,0),"")</f>
        <v>87. 산업재해보상보험법령상 산업재해보상보험법의 적용 제외 사업에 해당하지 않는 것은?
① 「군인 재해보상법」에 따라 재해보상이 되는 사업
② 「선원법」에 따라 재해보상이 되는 사업
③ 벌목업 중 법인이 아닌 자의 사업으로서 상시근로자 수가 5명 미만인 사업
④ 수렵업 중 법인이 아닌 자의 사업으로서 상시근로자 수가 5명 미만인 사업
⑤ 가구내 고용활동</v>
      </c>
      <c r="F84" s="30">
        <f>IFERROR(VLOOKUP(C84,기출문제!D:G,4,0),"")</f>
        <v>3</v>
      </c>
      <c r="G84" s="31" t="str">
        <f t="shared" si="1"/>
        <v/>
      </c>
      <c r="J84" s="23"/>
    </row>
    <row r="85" spans="2:10" s="21" customFormat="1" ht="128.25" x14ac:dyDescent="0.3">
      <c r="B85" s="17">
        <v>78</v>
      </c>
      <c r="C85" s="27" t="s">
        <v>939</v>
      </c>
      <c r="D85" s="17"/>
      <c r="E85" s="29" t="str">
        <f>IFERROR(VLOOKUP(C85,기출문제!D:G,3,0),"")</f>
        <v>88. 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
① ㄱ 
② ㄷ 
③ ㄱ, ㄴ 
④ ㄴ, ㄷ 
⑤ ㄱ, ㄴ, ㄷ</v>
      </c>
      <c r="F85" s="30">
        <f>IFERROR(VLOOKUP(C85,기출문제!D:G,4,0),"")</f>
        <v>1</v>
      </c>
      <c r="G85" s="31" t="str">
        <f t="shared" si="1"/>
        <v/>
      </c>
      <c r="J85" s="23"/>
    </row>
    <row r="86" spans="2:10" s="21" customFormat="1" ht="128.25" x14ac:dyDescent="0.3">
      <c r="B86" s="17">
        <v>79</v>
      </c>
      <c r="C86" s="27" t="s">
        <v>940</v>
      </c>
      <c r="D86" s="17"/>
      <c r="E86" s="29" t="str">
        <f>IFERROR(VLOOKUP(C86,기출문제!D:G,3,0),"")</f>
        <v>89. 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
① ㄱ 
② ㄴ 
③ ㄱ, ㄴ 
④ ㄴ, ㄷ 
⑤ ㄱ, ㄴ, ㄷ</v>
      </c>
      <c r="F86" s="30">
        <f>IFERROR(VLOOKUP(C86,기출문제!D:G,4,0),"")</f>
        <v>5</v>
      </c>
      <c r="G86" s="31" t="str">
        <f t="shared" si="1"/>
        <v/>
      </c>
      <c r="J86" s="23"/>
    </row>
    <row r="87" spans="2:10" s="21" customFormat="1" ht="85.5" x14ac:dyDescent="0.3">
      <c r="B87" s="17">
        <v>80</v>
      </c>
      <c r="C87" s="27" t="s">
        <v>941</v>
      </c>
      <c r="D87" s="17"/>
      <c r="E87" s="29" t="str">
        <f>IFERROR(VLOOKUP(C87,기출문제!D:G,3,0),"")</f>
        <v>90. 산업재해보상보험법령상 업무상의 재해의 인정 기준에 해당하는 사유가 아닌 것은?
① 근로자가 근로계약에 따른 업무나 그에 따르는 행위를 하던 중 발생한 사고
② 사업주의 구체적인 지시를 위반한 행위로 인한 사고
③ 사업주가 제공한 시설물 등을 이용하던 중 그 시설물 등의 결함이나 관리소홀로 발생한 사고
④ 사업주가 주관하거나 사업주의 지시에 따라 참여한 행사나 행사준비 중에 발생한 사고
⑤ 휴게시간 중 사업주의 지배관리하에 있다고 볼 수 있는 행위로 발생한 사고</v>
      </c>
      <c r="F87" s="30">
        <f>IFERROR(VLOOKUP(C87,기출문제!D:G,4,0),"")</f>
        <v>2</v>
      </c>
      <c r="G87" s="31" t="str">
        <f t="shared" si="1"/>
        <v/>
      </c>
      <c r="J87" s="23"/>
    </row>
    <row r="88" spans="2:10" s="21" customFormat="1" ht="128.25" x14ac:dyDescent="0.3">
      <c r="B88" s="17">
        <v>81</v>
      </c>
      <c r="C88" s="27" t="s">
        <v>942</v>
      </c>
      <c r="D88" s="17"/>
      <c r="E88" s="29" t="str">
        <f>IFERROR(VLOOKUP(C88,기출문제!D:G,3,0),"")</f>
        <v>91. 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
① ㄱ: 70, ㄴ: 70 
② ㄱ: 70, ㄴ: 80 
③ ㄱ: 80, ㄴ: 80
④ ㄱ: 80, ㄴ: 90 
⑤ ㄱ: 90, ㄴ: 90</v>
      </c>
      <c r="F88" s="30">
        <f>IFERROR(VLOOKUP(C88,기출문제!D:G,4,0),"")</f>
        <v>4</v>
      </c>
      <c r="G88" s="31" t="str">
        <f t="shared" si="1"/>
        <v/>
      </c>
      <c r="J88" s="23"/>
    </row>
    <row r="89" spans="2:10" s="21" customFormat="1" ht="99.75" x14ac:dyDescent="0.3">
      <c r="B89" s="17">
        <v>82</v>
      </c>
      <c r="C89" s="27" t="s">
        <v>943</v>
      </c>
      <c r="D89" s="17"/>
      <c r="E89" s="29" t="str">
        <f>IFERROR(VLOOKUP(C89,기출문제!D:G,3,0),"")</f>
        <v>92. 국민연금법상 급여에 관한 설명으로 옳은 것은?
① 급여는 노령연금과 장애연금 두 종류로 나뉜다.
② 급여수급전용계좌에 입금된 급여와 이에 관한 채권은 압류할 수 있다.
③ 급여로 지급된 금액에 대하여는「조세특례제한법」이나 그 밖의 법률 또는 지방자치단체가 조례로 정하는 바에 따라 조세, 그 밖에 국가 또는 지방자치단체의 공과금을 감면할 수 없다.
④ 국민연금공단은 장애연금 수급권자의 장애 정도를 심사하여 장애등급에 해당되지 아니하면 장애연금액을 변경한다.
⑤ 자녀인 수급권자가 다른 사람에게 입양된 때에는 그에 해당하게 된 때부터 유족연금의 지급을 정지한다.</v>
      </c>
      <c r="F89" s="30">
        <f>IFERROR(VLOOKUP(C89,기출문제!D:G,4,0),"")</f>
        <v>5</v>
      </c>
      <c r="G89" s="31" t="str">
        <f t="shared" si="1"/>
        <v/>
      </c>
      <c r="J89" s="23"/>
    </row>
    <row r="90" spans="2:10" s="21" customFormat="1" ht="85.5" x14ac:dyDescent="0.3">
      <c r="B90" s="17">
        <v>83</v>
      </c>
      <c r="C90" s="27" t="s">
        <v>944</v>
      </c>
      <c r="D90" s="17"/>
      <c r="E90" s="29" t="str">
        <f>IFERROR(VLOOKUP(C90,기출문제!D:G,3,0),"")</f>
        <v>93. 국민연금법상 국민연금가입자에 관한 설명으로 옳지 않은 것은?
① 가입자는 사업장가입자, 지역가입자, 임의가입자 및 임의계속가입자로 구분한다.
② 임의가입자는 보건복지부령으로 정하는 바에 따라 국민연금공단에 신청하여 탈퇴할 수 있다.
③ 가입자의 가입 종류가 변동되면 그 가입자의 가입기간은 각 종류별 가입기간을 합산한 기간으로 한다.
④ 가입자의 자격을 상실한 후 다시 그 자격을 취득한 자에 대하여는 전후(前後)의 가입기간을 합산한다.
⑤ 임의가입자는 가입 신청을 한 날에 자격을 취득한다.</v>
      </c>
      <c r="F90" s="30">
        <f>IFERROR(VLOOKUP(C90,기출문제!D:G,4,0),"")</f>
        <v>5</v>
      </c>
      <c r="G90" s="31" t="str">
        <f t="shared" si="1"/>
        <v/>
      </c>
      <c r="J90" s="23"/>
    </row>
    <row r="91" spans="2:10" s="21" customFormat="1" ht="114" x14ac:dyDescent="0.3">
      <c r="B91" s="17">
        <v>84</v>
      </c>
      <c r="C91" s="27" t="s">
        <v>945</v>
      </c>
      <c r="D91" s="17"/>
      <c r="E91" s="29" t="str">
        <f>IFERROR(VLOOKUP(C91,기출문제!D:G,3,0),"")</f>
        <v>94. 국민건강보험법령상 보수월액에 관한 설명으로 옳지 않은 것은?
① 직장가입자의 보수월액은 직장가입자가 지급받는 보수를 기준으로 하여 산정한다.
② 휴직으로 보수의 전부 또는 일부가 지급되지 아니하는 가입자의 보수월액보험료는 해당 사유가 생기기 전 달의 보수월액을 기준으로 산정한다.
③ 근로자가 근로를 제공하고 사용자로부터 지급받는 금품 중 퇴직금은 보수에서 제외한다.
④ 보수의 전부 또는 일부가 현물(現物)로 지급되는 경우에는 그 지역의 시가(時價)를 기준으로 국민건강보험공단이 정하는 가액(價額)을 그에 해당하는 보수로 본다.
⑤ 보수 관련 자료가 없거나 불명확한 경우에 해당하면 고용노동부장관이 정하여 고시하는 금액을 보수로 본다.</v>
      </c>
      <c r="F91" s="30">
        <f>IFERROR(VLOOKUP(C91,기출문제!D:G,4,0),"")</f>
        <v>5</v>
      </c>
      <c r="G91" s="31" t="str">
        <f t="shared" si="1"/>
        <v/>
      </c>
      <c r="J91" s="23"/>
    </row>
    <row r="92" spans="2:10" s="21" customFormat="1" ht="142.5" x14ac:dyDescent="0.3">
      <c r="B92" s="17">
        <v>85</v>
      </c>
      <c r="C92" s="27" t="s">
        <v>946</v>
      </c>
      <c r="D92" s="17"/>
      <c r="E92" s="29" t="str">
        <f>IFERROR(VLOOKUP(C92,기출문제!D:G,3,0),"")</f>
        <v>95. 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
① ㄱ, ㄴ 
② ㄴ, ㄷ 
③ ㄱ, ㄴ, ㄹ
④ ㄱ, ㄷ, ㄹ 
⑤ ㄱ, ㄴ, ㄷ, ㄹ</v>
      </c>
      <c r="F92" s="30">
        <f>IFERROR(VLOOKUP(C92,기출문제!D:G,4,0),"")</f>
        <v>5</v>
      </c>
      <c r="G92" s="31" t="str">
        <f t="shared" si="1"/>
        <v/>
      </c>
      <c r="J92" s="23"/>
    </row>
    <row r="93" spans="2:10" s="21" customFormat="1" ht="128.25" x14ac:dyDescent="0.3">
      <c r="B93" s="17">
        <v>86</v>
      </c>
      <c r="C93" s="27" t="s">
        <v>947</v>
      </c>
      <c r="D93" s="17"/>
      <c r="E93" s="29" t="str">
        <f>IFERROR(VLOOKUP(C93,기출문제!D:G,3,0),"")</f>
        <v>96. 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
① ㄱ: 근로복지공단, ㄴ: 국민건강보험공단, ㄷ: 근로복지공단
② ㄱ: 근로복지공단, ㄴ: 근로복지공단, ㄷ: 국민건강보험공단
③ ㄱ: 근로복지공단, ㄴ: 근로복지공단, ㄷ: 근로복지공단
④ ㄱ: 국민건강보험공단, ㄴ: 근로복지공단, ㄷ: 국민건강보험공단
⑤ ㄱ: 국민건강보험공단, ㄴ: 국민건강보험공단, ㄷ: 근로복지공단</v>
      </c>
      <c r="F93" s="30">
        <f>IFERROR(VLOOKUP(C93,기출문제!D:G,4,0),"")</f>
        <v>1</v>
      </c>
      <c r="G93" s="31" t="str">
        <f t="shared" si="1"/>
        <v/>
      </c>
      <c r="J93" s="23"/>
    </row>
    <row r="94" spans="2:10" s="21" customFormat="1" ht="142.5" x14ac:dyDescent="0.3">
      <c r="B94" s="17">
        <v>87</v>
      </c>
      <c r="C94" s="27" t="s">
        <v>948</v>
      </c>
      <c r="D94" s="17"/>
      <c r="E94" s="29" t="str">
        <f>IFERROR(VLOOKUP(C94,기출문제!D:G,3,0),"")</f>
        <v>97. 고용보험 및 산업재해보상보험의 보험료징수 등에 관한 법령상 보험관계의 성립 및 소멸에 관한 설명으로 옳지 않은 것은?
① 산업재해보상보험법을 적용하지 아니하는 사업의 사업주는 근로복지공단의 승인을 받아 산업재해보상보험에 가입할 수 있다.
② 일괄적용사업의 사업주는 사업의 개시일부터 14일 이내에 끝나는 사업의 경우에는 그 끝나는 날의 다음 날까지 개시 및 종료 사실을 근로복지공단에 신고하여야 한다.
③ 고용보험법을 적용하지 아니하는 사업의 사업주가 고용보험에 가입된 경우 그 보험계약을 해지할 때에는 미리 근로복지공단의 승인을 받아야 한다.
④ 고용보험에 가입한 사업주는 기간의 정함이 있는 건설사업의 경우 사업의 기간이 변경되면 그 변경된 날부터 14일 이내에 그 변경사항을 근로복지공단에 신고하여야 한다.
⑤ 고용보험법을 적용하지 아니하는 사업의 사업주가 근로자의 과반수의 동의를 받아 근로복지공단의 승인을 받으면 그 사업의 사업주와 근로자는 고용보험에 가입할 수 있다.</v>
      </c>
      <c r="F94" s="30">
        <f>IFERROR(VLOOKUP(C94,기출문제!D:G,4,0),"")</f>
        <v>2</v>
      </c>
      <c r="G94" s="31" t="str">
        <f t="shared" si="1"/>
        <v/>
      </c>
      <c r="J94" s="23"/>
    </row>
    <row r="95" spans="2:10" s="21" customFormat="1" ht="99.75" x14ac:dyDescent="0.3">
      <c r="B95" s="17">
        <v>88</v>
      </c>
      <c r="C95" s="27" t="s">
        <v>949</v>
      </c>
      <c r="D95" s="17"/>
      <c r="E95" s="29" t="str">
        <f>IFERROR(VLOOKUP(C95,기출문제!D:G,3,0),"")</f>
        <v>98. 고용보험 및 산업재해보상보험의 보험료징수 등에 관한 법령상 상시근로자수가 150명 미만인 사업주의 사업의 고용안정・직업능력개발사업의 보험료율은?
① 1만분의 15 
② 1만분의 25 
③ 1만분의 35 
④ 1만분의 45 
⑤ 1만분의 55</v>
      </c>
      <c r="F95" s="30">
        <f>IFERROR(VLOOKUP(C95,기출문제!D:G,4,0),"")</f>
        <v>2</v>
      </c>
      <c r="G95" s="31" t="str">
        <f t="shared" si="1"/>
        <v/>
      </c>
      <c r="J95" s="23"/>
    </row>
    <row r="96" spans="2:10" s="21" customFormat="1" ht="99.75" x14ac:dyDescent="0.3">
      <c r="B96" s="17">
        <v>89</v>
      </c>
      <c r="C96" s="27" t="s">
        <v>950</v>
      </c>
      <c r="D96" s="17"/>
      <c r="E96" s="29" t="str">
        <f>IFERROR(VLOOKUP(C96,기출문제!D:G,3,0),"")</f>
        <v>99. 고용보험 및 산업재해보상보험의 보험료징수 등에 관한 법령상 기준보수에 관한 설명으로 옳지 않은 것은?
① 근로시간에 따라 보수를 지급받는 근로자가 주당 소정근로시간을 확정할 수 없는 경우에는 시간단위 기준보수를 적용한다.
② 기준보수는 사업의 규모, 근로형태 및 보수수준 등을 고려하여 고용보험법에 따른 고용보험위원회의 심의를 거쳐 시간・일 또는 월 단위로 정하되, 사업의 종류별 또는 지역별로 구분하여 정할 수 있다.
③ 사업 또는 사업장의 이전 등으로 사업의 소재지를 파악하기 곤란한 경우에는 기준보수를 보수로 할 수 있다.
④ 통상근로자로서 월정액으로 보수를 지급받는 근로자에게는 월단위 기준보수를 적용한다.
⑤ 사업의 폐업으로 보수를 산정하기 곤란한 경우에는 기준보수를 보수로 할 수 있다.</v>
      </c>
      <c r="F96" s="30">
        <f>IFERROR(VLOOKUP(C96,기출문제!D:G,4,0),"")</f>
        <v>1</v>
      </c>
      <c r="G96" s="31" t="str">
        <f t="shared" si="1"/>
        <v/>
      </c>
      <c r="J96" s="23"/>
    </row>
    <row r="97" spans="2:10" s="21" customFormat="1" ht="128.25" x14ac:dyDescent="0.3">
      <c r="B97" s="17">
        <v>90</v>
      </c>
      <c r="C97" s="27" t="s">
        <v>951</v>
      </c>
      <c r="D97" s="17"/>
      <c r="E97" s="29" t="str">
        <f>IFERROR(VLOOKUP(C97,기출문제!D:G,3,0),"")</f>
        <v>100. 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
① 7 
② 14 
③ 15 
④ 20 
⑤ 30</v>
      </c>
      <c r="F97" s="30">
        <f>IFERROR(VLOOKUP(C97,기출문제!D:G,4,0),"")</f>
        <v>2</v>
      </c>
      <c r="G97" s="31" t="str">
        <f t="shared" si="1"/>
        <v/>
      </c>
      <c r="J97" s="23"/>
    </row>
    <row r="98" spans="2:10" s="21" customFormat="1" ht="99.75" x14ac:dyDescent="0.3">
      <c r="B98" s="17">
        <v>91</v>
      </c>
      <c r="C98" s="27" t="s">
        <v>44</v>
      </c>
      <c r="D98" s="17"/>
      <c r="E98" s="29" t="str">
        <f>IFERROR(VLOOKUP(C98,기출문제!D:G,3,0),"")</f>
        <v>76. 사회보장기본법령상 국가와 지방자치단체의 책임에 관한 내용으로 옳지 않은 것은?
① 국가와 지방자치단체는 국가 발전수준에 부응하고 사회환경의 변화에 선제적으로 대응하며 지속가능한 사회보장제도를 확립하고 매년 이에 필요한 재원을 조달하여야 한다.
② 국가와 지방자치단체는 사회보장 관계 법령에서 규정한 권리나 의무를 모든 국민에게 설명하여야 한다.
③ 국가와 지방자치단체는 사회보장에 관한 책임과 역할을 합리적으로 분담하여야 한다.
④ 국가는 사회보장제도의 안정적인 운영을 위하여 중장기 사회보장 재정추계를 격년으로 실시하고 이를 공표하여야 한다.
⑤ 국가와 지방자치단체는 모든 국민의 인간다운 생활을 유지・증진하는 책임을 가진다.</v>
      </c>
      <c r="F98" s="30">
        <f>IFERROR(VLOOKUP(C98,기출문제!D:G,4,0),"")</f>
        <v>2</v>
      </c>
      <c r="G98" s="31" t="str">
        <f t="shared" si="1"/>
        <v/>
      </c>
      <c r="J98" s="23"/>
    </row>
    <row r="99" spans="2:10" s="21" customFormat="1" ht="85.5" x14ac:dyDescent="0.3">
      <c r="B99" s="17">
        <v>92</v>
      </c>
      <c r="C99" s="27" t="s">
        <v>952</v>
      </c>
      <c r="D99" s="17"/>
      <c r="E99" s="29" t="str">
        <f>IFERROR(VLOOKUP(C99,기출문제!D:G,3,0),"")</f>
        <v>77. 사회보장기본법령상 사회보장위원회에 관한 내용으로 옳지 않은 것은?
① 사회보장위원회의 부위원장은 기획재정부장관, 교육부장관 및 보건복지부장관이 된다.
② 사회보장위원회의 사무를 효율적으로 처리하기 위하여 보건복지부에 사무국을 둔다.
③ 사회보장위원회에 간사 1명을 두고, 간사는 보건복지부 사회복지정책실장으로 한다.
④ 대통령은 위촉한 사회보장위원회의 위원이 직무와 관련된 비위사실이 있는 경우에는 해당 위원을 해촉할 수 있다.
⑤ 사회보장위원회에 두는 실무위원회는 공동위원장 2명을 포함하여 30명 이내의 위원으로 구성한다.</v>
      </c>
      <c r="F99" s="30">
        <f>IFERROR(VLOOKUP(C99,기출문제!D:G,4,0),"")</f>
        <v>3</v>
      </c>
      <c r="G99" s="31" t="str">
        <f t="shared" si="1"/>
        <v/>
      </c>
      <c r="J99" s="23"/>
    </row>
    <row r="100" spans="2:10" s="21" customFormat="1" ht="85.5" x14ac:dyDescent="0.3">
      <c r="B100" s="17">
        <v>93</v>
      </c>
      <c r="C100" s="27" t="s">
        <v>953</v>
      </c>
      <c r="D100" s="17"/>
      <c r="E100" s="29" t="str">
        <f>IFERROR(VLOOKUP(C100,기출문제!D:G,3,0),"")</f>
        <v>78. 사회보장기본법령상 사회보장수급권에 관한 내용으로 옳지 않은 것은?
① 사회보장수급권이 정지되는 경우에는 정지하는 목적에 필요한 최소한의 범위에 그쳐야 한다.
② 사회보장수급권은 관계 법령에서 정하는 바에 따라 타인에게 양도할 수 있다.
③ 사회보장수급권은 관계 법령에서 따로 정하고 있는 경우에는 제한될 수 있다.
④ 사회보장수급권은 관계 법령에서 정하는 바에 따라 타인에게 담보로 제공할 수 없다.
⑤ 사회보장수급권을 포기하는 것이 다른 사람에게 피해를 주는 경우에는 사회보장수급권을 포기할 수 없다.</v>
      </c>
      <c r="F100" s="30">
        <f>IFERROR(VLOOKUP(C100,기출문제!D:G,4,0),"")</f>
        <v>2</v>
      </c>
      <c r="G100" s="31" t="str">
        <f t="shared" si="1"/>
        <v/>
      </c>
      <c r="J100" s="23"/>
    </row>
    <row r="101" spans="2:10" s="21" customFormat="1" ht="128.25" x14ac:dyDescent="0.3">
      <c r="B101" s="17">
        <v>94</v>
      </c>
      <c r="C101" s="27" t="s">
        <v>954</v>
      </c>
      <c r="D101" s="17"/>
      <c r="E101" s="29" t="str">
        <f>IFERROR(VLOOKUP(C101,기출문제!D:G,3,0),"")</f>
        <v>79. 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
① ㄱ: 30, ㄴ: 30, ㄷ: 30
② ㄱ: 30, ㄴ: 30, ㄷ: 60
③ ㄱ: 30, ㄴ: 60, ㄷ: 60
④ ㄱ: 60, ㄴ: 60, ㄷ: 30
⑤ ㄱ: 60, ㄴ: 60, ㄷ: 60</v>
      </c>
      <c r="F101" s="30">
        <f>IFERROR(VLOOKUP(C101,기출문제!D:G,4,0),"")</f>
        <v>4</v>
      </c>
      <c r="G101" s="31" t="str">
        <f t="shared" si="1"/>
        <v/>
      </c>
      <c r="J101" s="23"/>
    </row>
    <row r="102" spans="2:10" s="21" customFormat="1" ht="99.75" x14ac:dyDescent="0.3">
      <c r="B102" s="17">
        <v>95</v>
      </c>
      <c r="C102" s="27" t="s">
        <v>955</v>
      </c>
      <c r="D102" s="17"/>
      <c r="E102" s="29" t="str">
        <f>IFERROR(VLOOKUP(C102,기출문제!D:G,3,0),"")</f>
        <v>80. 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
① 120일
② 180일
③ 210일
④ 240일
⑤ 270일</v>
      </c>
      <c r="F102" s="30">
        <f>IFERROR(VLOOKUP(C102,기출문제!D:G,4,0),"")</f>
        <v>5</v>
      </c>
      <c r="G102" s="31" t="str">
        <f t="shared" si="1"/>
        <v/>
      </c>
      <c r="J102" s="23"/>
    </row>
    <row r="103" spans="2:10" s="21" customFormat="1" ht="85.5" x14ac:dyDescent="0.3">
      <c r="B103" s="17">
        <v>96</v>
      </c>
      <c r="C103" s="27" t="s">
        <v>956</v>
      </c>
      <c r="D103" s="17"/>
      <c r="E103" s="29" t="str">
        <f>IFERROR(VLOOKUP(C103,기출문제!D:G,3,0),"")</f>
        <v>81. 고용보험법령상 예술인인 피보험자의 구직급여에 관한 내용으로 옳지 않은 것은?
① 이직일 이전 24개월 동안의 피보험 단위기간이 통산하여 9개월 이상일 것을 지급요건으로 한다.
② 이직일 이전 24개월 중 3개월 이상을 예술인인 피보험자로 피보험자격을 유지하였을 것을 지급요건으로 한다.
③ 실업의 신고일부터 계산하기 시작하여 30일간은 대기기간으로 보아 구직급여를 지급하지 아니한다.
④ 예술인의 구직급여일액은 기초일액에 100분의 60을 곱한 금액으로 한다.
⑤ 예술인의 구직급여일액의 상한액은 6만6천원이다.</v>
      </c>
      <c r="F103" s="30">
        <f>IFERROR(VLOOKUP(C103,기출문제!D:G,4,0),"")</f>
        <v>3</v>
      </c>
      <c r="G103" s="31" t="str">
        <f t="shared" si="1"/>
        <v/>
      </c>
      <c r="J103" s="23"/>
    </row>
    <row r="104" spans="2:10" s="21" customFormat="1" ht="114" x14ac:dyDescent="0.3">
      <c r="B104" s="17">
        <v>97</v>
      </c>
      <c r="C104" s="27" t="s">
        <v>957</v>
      </c>
      <c r="D104" s="17"/>
      <c r="E104" s="29" t="str">
        <f>IFERROR(VLOOKUP(C104,기출문제!D:G,3,0),"")</f>
        <v>82. 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
① ㄱ: 월 통상임금의 100분의 50에 해당하는 금액, ㄴ: 120만원
② ㄱ: 월 통상임금의 100분의 80에 해당하는 금액, ㄴ: 120만원
③ ㄱ: 월 통상임금의 100분의 80에 해당하는 금액, ㄴ: 150만원
④ ㄱ: 월 통상임금에 해당하는 금액, ㄴ: 150만원
⑤ ㄱ: 월 통상임금에 해당하는 금액, ㄴ: 250만원</v>
      </c>
      <c r="F104" s="30">
        <f>IFERROR(VLOOKUP(C104,기출문제!D:G,4,0),"")</f>
        <v>5</v>
      </c>
      <c r="G104" s="31" t="str">
        <f t="shared" si="1"/>
        <v/>
      </c>
      <c r="J104" s="23"/>
    </row>
    <row r="105" spans="2:10" s="21" customFormat="1" ht="128.25" x14ac:dyDescent="0.3">
      <c r="B105" s="17">
        <v>98</v>
      </c>
      <c r="C105" s="27" t="s">
        <v>958</v>
      </c>
      <c r="D105" s="17"/>
      <c r="E105" s="29" t="str">
        <f>IFERROR(VLOOKUP(C105,기출문제!D:G,3,0),"")</f>
        <v>83. 고용보험법령상 피보험자격에 관한 내용으로 옳지 않은 것은?
① 사업주는 그 사업에 고용된 근로자의 피보험자격 취득에 관한 사항을 신고하려는 경우 그 사유가 발생한 날이 속하는 달의 다음 달 말일까지 고용노동부장관에게 신고해야 한다.
② 사업주가 그 사업에 고용된 근로자의 피보험자격의 취득에 관한 사항을 신고하지 아니하면 근로자가 근로계약서 등 고용관계를 증명할 수 있는 서류를 제출하여 신고할 수 있다.
③ 자영업자인 피보험자는 피보험자격의 취득 및 상실에 관한 신고를 하지 아니한다.
④ 근로자가 보험관계가 성립되어 있는 둘 이상의 사업에 동시에 고용되어 있는 경우에는 고용노동부령으로 정하는 바에 따라 그 중 한 사업의 근로자로서의 피보험자격을 취득한다.
⑤ 피보험자는 언제든지 고용노동부장관에게 피보험자격의 취득 또는 상실에 관한 확인을 청구할 수 있다.</v>
      </c>
      <c r="F105" s="30">
        <f>IFERROR(VLOOKUP(C105,기출문제!D:G,4,0),"")</f>
        <v>1</v>
      </c>
      <c r="G105" s="31" t="str">
        <f t="shared" si="1"/>
        <v/>
      </c>
      <c r="J105" s="23"/>
    </row>
    <row r="106" spans="2:10" s="21" customFormat="1" ht="99.75" x14ac:dyDescent="0.3">
      <c r="B106" s="17">
        <v>99</v>
      </c>
      <c r="C106" s="27" t="s">
        <v>959</v>
      </c>
      <c r="D106" s="17"/>
      <c r="E106" s="29" t="str">
        <f>IFERROR(VLOOKUP(C106,기출문제!D:G,3,0),"")</f>
        <v>84. 고용보험법령상 자영업자인 피보험자에 대한 실업급여 적용의 특례에 관한 내용으로 옳은 것은?
① 자영업자인 피보험자의 실업급여의 종류에는 광역 구직활동비가 포함되지 않는다.
② 폐업일 이전 12개월간 자영업자인 피보험자로서 갖춘 피보험 단위기간이 합산하여 6개월이면 구직급여를 지급한다.
③ 자영업자인 피보험자로서 폐업한 수급자격자에 대한 구직급여일액은 그 수급자격자의 기초일액에 100분의 60을 곱한 금액으로 한다.
④ 고용노동부장관은 자영업자의 피보험기간이 3년이면서 보험료 체납 횟수가 1회인 경우 실업급여를 지급하지 아니한다.
⑤ 자영업자의 실업급여를 받을 권리는 양도하거나 담보로 제공할 수 있다.</v>
      </c>
      <c r="F106" s="30">
        <f>IFERROR(VLOOKUP(C106,기출문제!D:G,4,0),"")</f>
        <v>3</v>
      </c>
      <c r="G106" s="31" t="str">
        <f t="shared" si="1"/>
        <v/>
      </c>
      <c r="J106" s="23"/>
    </row>
    <row r="107" spans="2:10" s="21" customFormat="1" ht="114" x14ac:dyDescent="0.3">
      <c r="B107" s="17">
        <v>100</v>
      </c>
      <c r="C107" s="27" t="s">
        <v>960</v>
      </c>
      <c r="D107" s="17"/>
      <c r="E107" s="32" t="str">
        <f>IFERROR(VLOOKUP(C107,기출문제!D:G,3,0),"")</f>
        <v>85. 산업재해보상보험법령상 특수형태근로종사자의 직종에 해당하지 않는 사람은?
① 한국표준직업분류표의 세분류에 따른 택배원인 사람으로서 소화물을 집화・수송 과정을 거쳐 배송하는 택배사업에서 집화 업무를 하는 사람
② 우체국 예금・보험에 관한 법률에 따른 우체국보험의 모집을 전업으로 하는 사람
③ 한국표준직업분류표의 세세분류에 따른 대여 제품 방문점검원
④ 한국표준직업분류표의 세분류에 다른 가전제품 설치 및 수리원으로서 가전제품을 배송, 설치 및 시운전하여 작동상태를 확인하는 사람
⑤ 신용정보의 이용 및 보호에 관한 법률에 따른 위임직채권추심인</v>
      </c>
      <c r="F107" s="30">
        <f>IFERROR(VLOOKUP(C107,기출문제!D:G,4,0),"")</f>
        <v>5</v>
      </c>
      <c r="G107" s="31" t="str">
        <f t="shared" si="1"/>
        <v/>
      </c>
      <c r="J107" s="23"/>
    </row>
    <row r="108" spans="2:10" s="21" customFormat="1" ht="99.75" x14ac:dyDescent="0.3">
      <c r="B108" s="17">
        <v>101</v>
      </c>
      <c r="C108" s="27" t="s">
        <v>961</v>
      </c>
      <c r="D108" s="17"/>
      <c r="E108" s="29" t="str">
        <f>IFERROR(VLOOKUP(C108,기출문제!D:G,3,0),"")</f>
        <v>86. 산업재해보상보험법령상 업무상질병판정위원회에 관한 내용으로 옳지 않은 것은?
① 한의사는 업무상질병판정위원회의 위원이 될 수 있다.
② 업무상질병판정위원회의 위원장과 위원의 임기는 2년으로 하되, 연임할 수 있다.
③ 이황화탄소 중독증은 업무상질병판정위원회의 심의에서 제외되는 질병에 해당한다.
④ 업무상질병판정위원회는 부득이한 사유로 심의를 의뢰받은 날부터 60일 이내에 심의를 마칠 수 없으면 20일 단위로 두 차례 연장할 수 있다.
⑤ 업무상질병판정위원회의 원활한 운영을 위하여 필요하면 위원장이 지명하는 위원이 회의를 주재할 수 있다.</v>
      </c>
      <c r="F108" s="30">
        <f>IFERROR(VLOOKUP(C108,기출문제!D:G,4,0),"")</f>
        <v>4</v>
      </c>
      <c r="G108" s="31" t="str">
        <f>IF(D108="","",IF(D108=F108,"O", "X"))</f>
        <v/>
      </c>
      <c r="J108" s="23"/>
    </row>
    <row r="109" spans="2:10" s="21" customFormat="1" ht="114" x14ac:dyDescent="0.3">
      <c r="B109" s="17">
        <v>102</v>
      </c>
      <c r="C109" s="27" t="s">
        <v>962</v>
      </c>
      <c r="D109" s="17"/>
      <c r="E109" s="29" t="str">
        <f>IFERROR(VLOOKUP(C109,기출문제!D:G,3,0),"")</f>
        <v>87. 산업재해보상보험법령상 보험급여에 관한 내용으로 옳지 않은 것은?
① 장해보상연금의 수급권자가 재요양을 받는 경우에도 그 연금의 지급을 정지하지 아니한다.
② 진폐유족연금의 지급은 그 지급사유가 발생한 달의 다음 달 첫날부터 시작된다.
③ 유족보상연금 수급자격자인 손자녀가 25세가 된 때에는 그 자격을 잃는다.
④ 요양급여를 받는 근로자가 요양을 시작한 지 1년이 지난 이후에 취업하지 못하면 휴업급여 대신 상병보상연금을 그 근로자에게 지급한다.
⑤ 장해보상연금은 그 지급을 정지할 사유가 발생한 때에는 그 사유가 발생한 달의 다음 달 첫날부터 그 사유가 소멸한 달의 말일까지 지급하지 아니한다.</v>
      </c>
      <c r="F109" s="30">
        <f>IFERROR(VLOOKUP(C109,기출문제!D:G,4,0),"")</f>
        <v>4</v>
      </c>
      <c r="G109" s="31" t="str">
        <f t="shared" si="1"/>
        <v/>
      </c>
      <c r="J109" s="23"/>
    </row>
    <row r="110" spans="2:10" s="21" customFormat="1" ht="156.75" x14ac:dyDescent="0.3">
      <c r="B110" s="17">
        <v>103</v>
      </c>
      <c r="C110" s="27" t="s">
        <v>963</v>
      </c>
      <c r="D110" s="17"/>
      <c r="E110" s="29" t="str">
        <f>IFERROR(VLOOKUP(C110,기출문제!D:G,3,0),"")</f>
        <v>88. 산업재해보상보험법령상 진폐에 따른 보험급여의 종류에 해당하는 것을 모두 고른 것은?
ㄱ. 요양급여
ㄴ. 휴업급여
ㄷ. 장해급여
ㄹ. 간병급여
ㅁ. 유족급여
① ㄱ, ㄹ
② ㄱ, ㄴ, ㅁ
③ ㄴ, ㄹ, ㅁ
④ ㄴ, ㄷ, ㄹ, ㅁ
⑤ ㄱ, ㄴ, ㄷ, ㄹ, ㅁ</v>
      </c>
      <c r="F110" s="30">
        <f>IFERROR(VLOOKUP(C110,기출문제!D:G,4,0),"")</f>
        <v>1</v>
      </c>
      <c r="G110" s="31" t="str">
        <f t="shared" si="1"/>
        <v/>
      </c>
      <c r="J110" s="23"/>
    </row>
    <row r="111" spans="2:10" s="21" customFormat="1" ht="85.5" x14ac:dyDescent="0.3">
      <c r="B111" s="17">
        <v>104</v>
      </c>
      <c r="C111" s="27" t="s">
        <v>964</v>
      </c>
      <c r="D111" s="17"/>
      <c r="E111" s="29" t="str">
        <f>IFERROR(VLOOKUP(C111,기출문제!D:G,3,0),"")</f>
        <v>89. 산업재해보상보험법령상 과태료 부과 대상이 되는 자는?
① 근로복지공단의 임직원이나 그 직에 있었던 사람이 그 직무상 알게 된 비밀을 누설한 자
② 산재보험 의료기관의 종사자로서 거짓이나 그 밖의 부정한 방법으로 진료비를 지급받은 자
③ 거짓이나 그 밖의 부정한 방법으로 보험급여를 받도록 시키거나 도와준 자
④ 근로복지공단이 아닌 자가 근로복지공단과 비슷한 명칭을 사용한 자
⑤ 근로자가 보험급여를 신청한 것을 이유로 근로자를 해고한 사업주</v>
      </c>
      <c r="F111" s="30">
        <f>IFERROR(VLOOKUP(C111,기출문제!D:G,4,0),"")</f>
        <v>4</v>
      </c>
      <c r="G111" s="31" t="str">
        <f t="shared" si="1"/>
        <v/>
      </c>
      <c r="J111" s="23"/>
    </row>
    <row r="112" spans="2:10" s="21" customFormat="1" ht="128.25" x14ac:dyDescent="0.3">
      <c r="B112" s="17">
        <v>105</v>
      </c>
      <c r="C112" s="27" t="s">
        <v>965</v>
      </c>
      <c r="D112" s="17"/>
      <c r="E112" s="29" t="str">
        <f>IFERROR(VLOOKUP(C112,기출문제!D:G,3,0),"")</f>
        <v>90. 산업재해보상보험법령상 간병 및 이송에 관한 내용으로 옳지 않은 것은?
① 요양 중인 근로자가 회복실에서 요양 중인 경우 그 기간에는 별도의 간병을 제공하지 않는다.
② 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
③ 해당 근로자의 13세 이상의 자녀 또는 형제자매도 간병을 할 수 있는 사람이다.
④ 간병의 대상이 되는 근로자의 부상・질병 상태 등이 전문적인 간병을 필요로 하는 경우에는 의료법에 따른 간호사만 간병을 하도록 할 수 있다.
⑤ 해당 근로자의 부상・질병 상태로 보아 이송 시 간호인의 동행이 필요하다고 인정되는 경우에는 간호인 1명이 동행할 수 있으나, 의학적으로 특별히 필요하다고 인정되는 경우에는 2명까지 동행할 수 있다.</v>
      </c>
      <c r="F112" s="30">
        <f>IFERROR(VLOOKUP(C112,기출문제!D:G,4,0),"")</f>
        <v>4</v>
      </c>
      <c r="G112" s="31" t="str">
        <f t="shared" si="1"/>
        <v/>
      </c>
      <c r="J112" s="23"/>
    </row>
    <row r="113" spans="2:10" s="21" customFormat="1" ht="114" x14ac:dyDescent="0.3">
      <c r="B113" s="17">
        <v>106</v>
      </c>
      <c r="C113" s="27" t="s">
        <v>966</v>
      </c>
      <c r="D113" s="17"/>
      <c r="E113" s="29" t="str">
        <f>IFERROR(VLOOKUP(C113,기출문제!D:G,3,0),"")</f>
        <v>91. 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
① 55
② 60
③ 65
④ 70
⑤ 75</v>
      </c>
      <c r="F113" s="30">
        <f>IFERROR(VLOOKUP(C113,기출문제!D:G,4,0),"")</f>
        <v>3</v>
      </c>
      <c r="G113" s="31" t="str">
        <f t="shared" si="1"/>
        <v/>
      </c>
      <c r="J113" s="23"/>
    </row>
    <row r="114" spans="2:10" s="21" customFormat="1" ht="85.5" x14ac:dyDescent="0.3">
      <c r="B114" s="17">
        <v>107</v>
      </c>
      <c r="C114" s="27" t="s">
        <v>967</v>
      </c>
      <c r="D114" s="17"/>
      <c r="E114" s="29" t="str">
        <f>IFERROR(VLOOKUP(C114,기출문제!D:G,3,0),"")</f>
        <v>92. 국민연금법령에 관한 내용으로 옳지 않은 것은?
① 국민기초생활 보장법에 따른 생계급여 수급자는 지역가입자에서 제외된다.
② 지역가입자가 국적을 상실한 때에는 그에 해당하게 된 날에 그 자격을 상실한다.
③ 지역가입자가 사업장가입자의 자격을 취득한 때에는 그에 해당하게 된 날에 그 자격을 상실한다.
④ 임의가입자는 가입 신청이 수리된 날에 자격을 취득한다.
⑤ 사립학교교직원 연금법을 적용받는 사립학교 교직원은 국민연금 가입대상에서 제외된다.</v>
      </c>
      <c r="F114" s="30">
        <f>IFERROR(VLOOKUP(C114,기출문제!D:G,4,0),"")</f>
        <v>2</v>
      </c>
      <c r="G114" s="31" t="str">
        <f t="shared" si="1"/>
        <v/>
      </c>
      <c r="J114" s="23"/>
    </row>
    <row r="115" spans="2:10" s="21" customFormat="1" ht="85.5" x14ac:dyDescent="0.3">
      <c r="B115" s="17">
        <v>108</v>
      </c>
      <c r="C115" s="27" t="s">
        <v>968</v>
      </c>
      <c r="D115" s="17"/>
      <c r="E115" s="29" t="str">
        <f>IFERROR(VLOOKUP(C115,기출문제!D:G,3,0),"")</f>
        <v>93. 국민건강보험법령상 일반건강검진의 대상이 아닌 자는?
① 직장가입자
② 6세 미만의 피부양자
③ 20세 이상인 지역가입자
④ 20세 이상인 피부양자
⑤ 세대주인 지역가입자</v>
      </c>
      <c r="F115" s="30">
        <f>IFERROR(VLOOKUP(C115,기출문제!D:G,4,0),"")</f>
        <v>2</v>
      </c>
      <c r="G115" s="31" t="str">
        <f t="shared" si="1"/>
        <v/>
      </c>
      <c r="J115" s="23"/>
    </row>
    <row r="116" spans="2:10" s="21" customFormat="1" ht="142.5" x14ac:dyDescent="0.3">
      <c r="B116" s="17">
        <v>109</v>
      </c>
      <c r="C116" s="27" t="s">
        <v>969</v>
      </c>
      <c r="D116" s="17"/>
      <c r="E116" s="29" t="str">
        <f>IFERROR(VLOOKUP(C116,기출문제!D:G,3,0),"")</f>
        <v>94. 국민건강보험법령상 보험가입자의 자격 상실 시기로 옳은 것을 모두 고른 것은?
ㄱ. 사망한 날
ㄴ. 국적을 잃은 날
ㄷ. 국내에 거주하지 아니하게 된 날
ㄹ. 직장가입자의 피부양자가 된 날
① ㄹ
② ㄱ, ㄷ
③ ㄱ, ㄴ, ㄷ
④ ㄴ, ㄷ, ㄹ
⑤ ㄱ, ㄴ, ㄷ, ㄹ</v>
      </c>
      <c r="F116" s="30">
        <f>IFERROR(VLOOKUP(C116,기출문제!D:G,4,0),"")</f>
        <v>1</v>
      </c>
      <c r="G116" s="31" t="str">
        <f t="shared" si="1"/>
        <v/>
      </c>
      <c r="J116" s="23"/>
    </row>
    <row r="117" spans="2:10" s="21" customFormat="1" ht="99.75" x14ac:dyDescent="0.3">
      <c r="B117" s="17">
        <v>110</v>
      </c>
      <c r="C117" s="27" t="s">
        <v>970</v>
      </c>
      <c r="D117" s="17"/>
      <c r="E117" s="29" t="str">
        <f>IFERROR(VLOOKUP(C117,기출문제!D:G,3,0),"")</f>
        <v>95. 고용보험 및 산업재해보상보험의 보험료 징수 등에 관한 법령상 보험료의 부과 및 징수에 관한 내용으로 옳은 것은?
① 건설업 중 건설장비운영업은 보험료의 월별 부과・징수 제외대상 사업에 해당한다.
② 임업 중 벌목업은 보험료의 월별 부과・징수 대상 사업에 해당한다.
③ 근로복지공단은 사업주에게 납부기한 20일 전까지 월별보험료의 납입을 고지하여야 한다.
④ 장애인고용촉진 및 직업재활법상 장애인인 보험가입자의 보험료는 근로복지공단이 매월 부과하고, 한국장애인고용공단이 이를 징수한다.
⑤ 제조업의 보험료는 근로복지공단이 매월 부과하고, 국민건강보험공단이 이를 징수한다.</v>
      </c>
      <c r="F117" s="30">
        <f>IFERROR(VLOOKUP(C117,기출문제!D:G,4,0),"")</f>
        <v>5</v>
      </c>
      <c r="G117" s="31" t="str">
        <f t="shared" si="1"/>
        <v/>
      </c>
      <c r="J117" s="23"/>
    </row>
    <row r="118" spans="2:10" s="21" customFormat="1" ht="128.25" x14ac:dyDescent="0.3">
      <c r="B118" s="17">
        <v>111</v>
      </c>
      <c r="C118" s="27" t="s">
        <v>971</v>
      </c>
      <c r="D118" s="17"/>
      <c r="E118" s="29" t="str">
        <f>IFERROR(VLOOKUP(C118,기출문제!D:G,3,0),"")</f>
        <v>96. 고용보험 및 산업재해보상보험의 보험료 징수 등에 관한 법령상 보험료의 납부 등에 관한 내용으로 옳지 않은 것은?
① 법인이 합병한 경우에 합병 후 존속하는 법인은 합병으로 소멸된 법인이 내야 하는 보험료를 낼 의무를 진다.
② 근로복지공단은 사업주가 국세를 체납하여 체납처분을 받은 경우에는 보험료와 이 법에 따른 징수금 총액이 300만원 미만이면 납부기한 전이라도 즉시 보험료를 징수하여야 한다.
③ 국민건강보험공단은 소멸시효가 완성된 경우에는 고용노동부장관의 승인을 받아 보험료와 이 법에 따른 그 밖의 징수금을 결손처분할 수 있다.
④ 공동사업에 관계되는 보험료, 이 법에 따른 그 밖의 징수금과 체납처분비는 공동사업자가 연대하여 낼 의무를 진다.
⑤ 상속이 개시된 때에 그 상속인은 피상속인에게 부과되거나 피상속인이 내야 하는 보험료를 상속받은 재산의 한도에서 낼 의무를 진다.</v>
      </c>
      <c r="F118" s="30">
        <f>IFERROR(VLOOKUP(C118,기출문제!D:G,4,0),"")</f>
        <v>2</v>
      </c>
      <c r="G118" s="31" t="str">
        <f t="shared" si="1"/>
        <v/>
      </c>
      <c r="J118" s="23"/>
    </row>
    <row r="119" spans="2:10" s="21" customFormat="1" ht="128.25" x14ac:dyDescent="0.3">
      <c r="B119" s="17">
        <v>112</v>
      </c>
      <c r="C119" s="27" t="s">
        <v>972</v>
      </c>
      <c r="D119" s="17"/>
      <c r="E119" s="29" t="str">
        <f>IFERROR(VLOOKUP(C119,기출문제!D:G,3,0),"")</f>
        <v>97. 고용보험 및 산업재해보상보험의 보험료 징수 등에 관한 법령상 보험관계의 성립일 또는 소멸일에 관한 내용으로 옳지 않은 것은?
① 사업이 폐업되거나 끝난 날의 다음 날에 소멸한다.
② 일괄적용을 받는 사업의 경우에는 처음 하는 사업이 시작된 날에 성립한다.
③ 근로복지공단이 계속하여 보험관계를 유지할 수 없다고 인정하여 그 보험관계를 소멸시키는 경우에는 그 소멸을 결정・통지한 날의 다음 날에 소멸한다.
④ 근로복지공단의 승인을 얻어 가입한 보험계약을 해지하는 경우에는 그 해지에 관하여 근로복지공단의 승인을 받은 날의 다음 날에 소멸한다.
⑤ 보험에 가입한 하수급인의 경우에는 그 하도급공사의 착공일의 다음 날에 성립한다.</v>
      </c>
      <c r="F119" s="30">
        <f>IFERROR(VLOOKUP(C119,기출문제!D:G,4,0),"")</f>
        <v>5</v>
      </c>
      <c r="G119" s="31" t="str">
        <f t="shared" si="1"/>
        <v/>
      </c>
      <c r="J119" s="23"/>
    </row>
    <row r="120" spans="2:10" s="21" customFormat="1" ht="156.75" x14ac:dyDescent="0.3">
      <c r="B120" s="17">
        <v>113</v>
      </c>
      <c r="C120" s="27" t="s">
        <v>973</v>
      </c>
      <c r="D120" s="17"/>
      <c r="E120" s="29" t="str">
        <f>IFERROR(VLOOKUP(C120,기출문제!D:G,3,0),"")</f>
        <v>98. 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
① ㄱ, ㄴ
② ㄴ, ㄷ
③ ㄱ, ㄴ, ㄹ
④ ㄱ, ㄷ, ㄹ
⑤ ㄱ, ㄴ, ㄷ, ㄹ</v>
      </c>
      <c r="F120" s="30">
        <f>IFERROR(VLOOKUP(C120,기출문제!D:G,4,0),"")</f>
        <v>5</v>
      </c>
      <c r="G120" s="31" t="str">
        <f t="shared" si="1"/>
        <v/>
      </c>
      <c r="J120" s="23"/>
    </row>
    <row r="121" spans="2:10" s="21" customFormat="1" ht="99.75" x14ac:dyDescent="0.3">
      <c r="B121" s="17">
        <v>114</v>
      </c>
      <c r="C121" s="27" t="s">
        <v>974</v>
      </c>
      <c r="D121" s="17"/>
      <c r="E121" s="29" t="str">
        <f>IFERROR(VLOOKUP(C121,기출문제!D:G,3,0),"")</f>
        <v>99. 고용보험 및 산업재해보상보험의 보험료 징수 등에 관한 법령상 국가・지방자치단체가 직접 하는 사업의 고용안정・직업능력개발사업의 보험료율은?
① 1만분의 25
② 1만분의 45
③ 1만분의 65
④ 1만분의 85
⑤ 1천분의 16</v>
      </c>
      <c r="F121" s="30">
        <f>IFERROR(VLOOKUP(C121,기출문제!D:G,4,0),"")</f>
        <v>4</v>
      </c>
      <c r="G121" s="31" t="str">
        <f t="shared" si="1"/>
        <v/>
      </c>
      <c r="J121" s="23"/>
    </row>
    <row r="122" spans="2:10" s="21" customFormat="1" ht="85.5" x14ac:dyDescent="0.3">
      <c r="B122" s="17">
        <v>115</v>
      </c>
      <c r="C122" s="27" t="s">
        <v>975</v>
      </c>
      <c r="D122" s="17"/>
      <c r="E122" s="29" t="str">
        <f>IFERROR(VLOOKUP(C122,기출문제!D:G,3,0),"")</f>
        <v>100. 고용보험 및 산업재해보상보험의 보험료 징수 등에 관한 법령상 소멸시효에 관한 내용을 옳지 않은 것은?
① 월별보험료의 고지로 중단된 소멸시효는 월별보험료를 고지한 날부터 새로 진행한다.
② 소멸시효에 관하여는 이 법에 규정된 것을 제외하고는 민법에 따른다.
③ 징수금의 독촉에 따라 중단된 소멸시효는 독촉에 의한 납부기한이 지난 때부터 새로 진행한다.
④ 이 법에 따른 그 밖의 징수금을 징수할 수 있는 권리는 3년간 행사하지 아니하면 시효로 인하여 소멸한다.
⑤ 이 법에 따른 체납처분 절차에 따라 하는 교부청구로 중단된 소멸시효는 교부청구중의 기간이 지난 때부터 새로 진행한다.</v>
      </c>
      <c r="F122" s="30">
        <f>IFERROR(VLOOKUP(C122,기출문제!D:G,4,0),"")</f>
        <v>1</v>
      </c>
      <c r="G122" s="31" t="str">
        <f t="shared" si="1"/>
        <v/>
      </c>
      <c r="J122" s="23"/>
    </row>
    <row r="123" spans="2:10" s="21" customFormat="1" ht="85.5" x14ac:dyDescent="0.3">
      <c r="B123" s="17">
        <v>116</v>
      </c>
      <c r="C123" s="27" t="s">
        <v>85</v>
      </c>
      <c r="D123" s="17"/>
      <c r="E123" s="29" t="str">
        <f>IFERROR(VLOOKUP(C123,기출문제!D:G,3,0),"")</f>
        <v>76. 사회보장기본법에 관한 설명으로 옳은 것은?
① 사회보장수급권은 다른 사람에게 양도하거나 담보로 제공할 수 있으며, 이를 압류할 수 있다.
② 국내에 거주하는 외국인에게 사회보장제도를 적용할 때에는 상호주의에 따르되, 관계법령에서 정하는 바에 따른다.
③ 사회보장수급권의 포기는 원칙적으로 취소할 수 없다.
④ 국가는 사회보장제도의 안정적인 운영을 위하여 중장기 사회보장 재정추계를 3년마다 실시한다.
⑤ 공공부조란 국민에게 발생하는 사회적 위험을 보험의 방식으로 대처함으로써 국민의 건강과 소득을 보장하는 제도를 말한다.</v>
      </c>
      <c r="F123" s="30">
        <f>IFERROR(VLOOKUP(C123,기출문제!D:G,4,0),"")</f>
        <v>2</v>
      </c>
      <c r="G123" s="31" t="str">
        <f t="shared" si="1"/>
        <v/>
      </c>
      <c r="J123" s="23"/>
    </row>
    <row r="124" spans="2:10" s="21" customFormat="1" ht="114" x14ac:dyDescent="0.3">
      <c r="B124" s="17">
        <v>117</v>
      </c>
      <c r="C124" s="27" t="s">
        <v>976</v>
      </c>
      <c r="D124" s="17"/>
      <c r="E124" s="29" t="str">
        <f>IFERROR(VLOOKUP(C124,기출문제!D:G,3,0),"")</f>
        <v>77. 사회보장기본법상 사회보장 기본계획에 관한 설명으로 옳지 않은 것은?
① 사회보장 기본계획은 사회보장위원회와 국무회의의 심의를 거쳐 확정된다.
② 다른 법령에 따라 수립되는 사회보장에 관한 계획은 사회보장 기본계획에 우선한다.
③ 보건복지부장관은 관계 중앙행정기관의 장과 협의하여 사회보장 증진을 위하여 사회보장에 관한 기본계획을 5년마다 수립하여야 한다.
④ 사회보장 기본계획에는 사회보장 전달체계가 포함되어야 한다.
⑤ 보건복지부장관 및 관계 중앙행정기관의 장은 사회보장 기본계획에 따라 사회보장과 관련된 소관 주요 시책의 시행계획을 매년 수립・시행하여야 한다.</v>
      </c>
      <c r="F124" s="30">
        <f>IFERROR(VLOOKUP(C124,기출문제!D:G,4,0),"")</f>
        <v>2</v>
      </c>
      <c r="G124" s="31" t="str">
        <f t="shared" si="1"/>
        <v/>
      </c>
      <c r="J124" s="23"/>
    </row>
    <row r="125" spans="2:10" s="21" customFormat="1" ht="85.5" x14ac:dyDescent="0.3">
      <c r="B125" s="17">
        <v>118</v>
      </c>
      <c r="C125" s="27" t="s">
        <v>977</v>
      </c>
      <c r="D125" s="17"/>
      <c r="E125" s="29" t="str">
        <f>IFERROR(VLOOKUP(C125,기출문제!D:G,3,0),"")</f>
        <v>78. 사회보장기본법령상 사회보장위원회에 관한 설명으로 옳지 않은 것은?
① 국무총리 소속으로 둔다.
② 부위원장은 기획재정부장관, 교육부장관 및 보건복지부장관이 된다.
③ 보궐위원의 임기는 전임자 임기의 남은 기간으로 한다.
④ 사무 처리를 위한 사무국은 보건복지부에 둔다.
⑤ 심의사항을 전문적으로 검토하기 위하여 전문위원회를 두며, 전문위원회에 분야별 실무위원회를 둔다.</v>
      </c>
      <c r="F125" s="30">
        <f>IFERROR(VLOOKUP(C125,기출문제!D:G,4,0),"")</f>
        <v>5</v>
      </c>
      <c r="G125" s="31" t="str">
        <f t="shared" si="1"/>
        <v/>
      </c>
      <c r="J125" s="23"/>
    </row>
    <row r="126" spans="2:10" s="21" customFormat="1" ht="128.25" x14ac:dyDescent="0.3">
      <c r="B126" s="17">
        <v>119</v>
      </c>
      <c r="C126" s="27" t="s">
        <v>978</v>
      </c>
      <c r="D126" s="17"/>
      <c r="E126" s="29" t="str">
        <f>IFERROR(VLOOKUP(C126,기출문제!D:G,3,0),"")</f>
        <v>79. 고용보험법상 구직급여에 관한 설명으로 옳지 않은 것은?
① 피보험 단위기간을 계산할 때, 최후로 피보험자격을 취득한 날 이전에 구직급여를 받은 사실이 있는 경우에는 그 구직급여와 관련된 피보험자격 상실일 이전의 피보험 단위기간은 산입한다.
② 최종 이직 당시 건설일용근로자였던 피보험자가 구직급여를 받으려는 경우에는 건설일용근로자로서 수급자격 인정신청일 이전 14일간 연속하여 근로내역이 없어야 한다.
③ 구직급여를 지급받으려는 자는 이직 후 지체없이 직업안정기관에 출석하여 실업을 신고하여야 한다.
④ 직업안정기관의 장은 필요하다고 인정하면 수급자격자의 실업인정대상기간 중의 취업사실에 대하여 조사할 수 있다.
⑤ 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v>
      </c>
      <c r="F126" s="30">
        <f>IFERROR(VLOOKUP(C126,기출문제!D:G,4,0),"")</f>
        <v>1</v>
      </c>
      <c r="G126" s="31" t="str">
        <f t="shared" si="1"/>
        <v/>
      </c>
      <c r="J126" s="23"/>
    </row>
    <row r="127" spans="2:10" s="21" customFormat="1" ht="142.5" x14ac:dyDescent="0.3">
      <c r="B127" s="17">
        <v>120</v>
      </c>
      <c r="C127" s="27" t="s">
        <v>979</v>
      </c>
      <c r="D127" s="17"/>
      <c r="E127" s="29" t="str">
        <f>IFERROR(VLOOKUP(C127,기출문제!D:G,3,0),"")</f>
        <v>80. 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
① 30
② 40
③ 50
④ 60
⑤ 70</v>
      </c>
      <c r="F127" s="30">
        <f>IFERROR(VLOOKUP(C127,기출문제!D:G,4,0),"")</f>
        <v>3</v>
      </c>
      <c r="G127" s="31" t="str">
        <f t="shared" si="1"/>
        <v/>
      </c>
      <c r="J127" s="23"/>
    </row>
    <row r="128" spans="2:10" s="21" customFormat="1" ht="85.5" x14ac:dyDescent="0.3">
      <c r="B128" s="17">
        <v>121</v>
      </c>
      <c r="C128" s="27" t="s">
        <v>980</v>
      </c>
      <c r="D128" s="17"/>
      <c r="E128" s="29" t="str">
        <f>IFERROR(VLOOKUP(C128,기출문제!D:G,3,0),"")</f>
        <v>81. 고용보험법령상 육아휴직 급여 신청기간의 연장 사유가 아닌 것은?
① 천재지변
② 배우자의 질병・부상
③ 「병역법」에 따른 의무복무
④ 범죄혐의로 인한 구속
⑤ 배우자의 국외발령 등에 따른 동거 목적의 거소 이전</v>
      </c>
      <c r="F128" s="30">
        <f>IFERROR(VLOOKUP(C128,기출문제!D:G,4,0),"")</f>
        <v>5</v>
      </c>
      <c r="G128" s="31" t="str">
        <f t="shared" si="1"/>
        <v/>
      </c>
      <c r="J128" s="23"/>
    </row>
    <row r="129" spans="2:10" s="21" customFormat="1" ht="85.5" x14ac:dyDescent="0.3">
      <c r="B129" s="17">
        <v>122</v>
      </c>
      <c r="C129" s="27" t="s">
        <v>981</v>
      </c>
      <c r="D129" s="17"/>
      <c r="E129" s="29" t="str">
        <f>IFERROR(VLOOKUP(C129,기출문제!D:G,3,0),"")</f>
        <v>82. 고용보험법상의 취업촉진 수당에 해당하지 않는 것은?
① 이주비
② 직업능력개발 수당
③ 구직급여
④ 광역 구직활동비
⑤ 조기(早期)재취업 수당</v>
      </c>
      <c r="F129" s="30">
        <f>IFERROR(VLOOKUP(C129,기출문제!D:G,4,0),"")</f>
        <v>3</v>
      </c>
      <c r="G129" s="31" t="str">
        <f t="shared" si="1"/>
        <v/>
      </c>
      <c r="J129" s="23"/>
    </row>
    <row r="130" spans="2:10" s="21" customFormat="1" ht="85.5" x14ac:dyDescent="0.3">
      <c r="B130" s="17">
        <v>123</v>
      </c>
      <c r="C130" s="27" t="s">
        <v>982</v>
      </c>
      <c r="D130" s="17"/>
      <c r="E130" s="29" t="str">
        <f>IFERROR(VLOOKUP(C130,기출문제!D:G,3,0),"")</f>
        <v>83. 고용보험법상 고용보험위원회에 관한 설명으로 옳은 것은?
① 근로복지공단에 고용보험위원회를 둔다.
② 심의 사항을 사전에 검토・조정하기 위하여 실무위원회를 둔다.
③ 위원장 1명을 포함한 15명 이내의 위원으로 구성한다.
④ 위원장은 고용노동부장관이 된다.
⑤ 심의 사항에는 보험제도 및 보험사업의 개선에 관한 사항이 포함된다.</v>
      </c>
      <c r="F130" s="30">
        <f>IFERROR(VLOOKUP(C130,기출문제!D:G,4,0),"")</f>
        <v>5</v>
      </c>
      <c r="G130" s="31" t="str">
        <f t="shared" si="1"/>
        <v/>
      </c>
      <c r="J130" s="23"/>
    </row>
    <row r="131" spans="2:10" s="21" customFormat="1" ht="128.25" x14ac:dyDescent="0.3">
      <c r="B131" s="17">
        <v>124</v>
      </c>
      <c r="C131" s="27" t="s">
        <v>983</v>
      </c>
      <c r="D131" s="17"/>
      <c r="E131" s="29" t="str">
        <f>IFERROR(VLOOKUP(C131,기출문제!D:G,3,0),"")</f>
        <v>84. 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
① ㄱ
② ㄱ, ㄴ
③ ㄱ, ㄷ
④ ㄴ, ㄷ
⑤ ㄱ, ㄴ, ㄷ</v>
      </c>
      <c r="F131" s="30">
        <f>IFERROR(VLOOKUP(C131,기출문제!D:G,4,0),"")</f>
        <v>4</v>
      </c>
      <c r="G131" s="31" t="str">
        <f t="shared" si="1"/>
        <v/>
      </c>
      <c r="J131" s="23"/>
    </row>
    <row r="132" spans="2:10" s="21" customFormat="1" ht="114" x14ac:dyDescent="0.3">
      <c r="B132" s="17">
        <v>125</v>
      </c>
      <c r="C132" s="27" t="s">
        <v>984</v>
      </c>
      <c r="D132" s="17"/>
      <c r="E132" s="29" t="str">
        <f>IFERROR(VLOOKUP(C132,기출문제!D:G,3,0),"")</f>
        <v>85. 고용보험법령상 구직급여와 관련한 내용이다. ( )에 들어갈 내용으로 옳은 것은?
○ 훈련연장급여의 지급 기간은 (ㄱ) 년을 한도로 한다.
○ 개별연장급여는 (ㄴ)일의 범위에서 대통령령으로 정하는 기간 동안 지급한다.
① ㄱ: 1, ㄴ: 60
② ㄱ: 1, ㄴ: 90
③ ㄱ: 2, ㄴ: 60
④ ㄱ: 2, ㄴ: 90
⑤ ㄱ: 3, ㄴ: 60</v>
      </c>
      <c r="F132" s="30">
        <f>IFERROR(VLOOKUP(C132,기출문제!D:G,4,0),"")</f>
        <v>3</v>
      </c>
      <c r="G132" s="31" t="str">
        <f t="shared" si="1"/>
        <v/>
      </c>
      <c r="J132" s="23"/>
    </row>
    <row r="133" spans="2:10" s="21" customFormat="1" ht="85.5" x14ac:dyDescent="0.3">
      <c r="B133" s="17">
        <v>126</v>
      </c>
      <c r="C133" s="27" t="s">
        <v>985</v>
      </c>
      <c r="D133" s="17"/>
      <c r="E133" s="29" t="str">
        <f>IFERROR(VLOOKUP(C133,기출문제!D:G,3,0),"")</f>
        <v>86. 산업재해보상보험법상 심사청구 및 재심사청구에 관한 설명으로 옳은 것은? 
① 재심사위원회의 재결은 근로복지공단을 기속하지 아니한다.
② 재심사위원회 위원(당연직위원은 제외)의 임기는 2년으로 하되 연임할 수 없다.
③ 보험급여에 관한 결정에 대해서는 「행정심판법」에 따른 행정심판을 제기할 수 있다.
④ 재심사위원회의 위원장 및 위원은 고용노동부장관이 임명한다.
⑤ 재심사 청구의 제기는 시효의 중단에 관하여 「민법」 제168조에 따른 재판상의 청구로 본다.</v>
      </c>
      <c r="F133" s="30">
        <f>IFERROR(VLOOKUP(C133,기출문제!D:G,4,0),"")</f>
        <v>5</v>
      </c>
      <c r="G133" s="31" t="str">
        <f t="shared" si="1"/>
        <v/>
      </c>
      <c r="J133" s="23"/>
    </row>
    <row r="134" spans="2:10" s="21" customFormat="1" ht="114" x14ac:dyDescent="0.3">
      <c r="B134" s="17">
        <v>127</v>
      </c>
      <c r="C134" s="27" t="s">
        <v>986</v>
      </c>
      <c r="D134" s="17"/>
      <c r="E134" s="29" t="str">
        <f>IFERROR(VLOOKUP(C134,기출문제!D:G,3,0),"")</f>
        <v>87. 산업재해보상보험법상 진폐에 따른 보험급여의 특례에 관한 설명으로 옳지 않은 것은?
① 고용노동부에 진폐심사회의를 둔다.
② 진폐보상연금은 진폐장해등급별 진폐장해연금과 기초연금을 합산한 금액으로 한다.
③ 진폐유족연금은 사망 당시 진폐근로자에게 지급하고 있거나 지급하기로 결정된 진폐보상연금과 같은 금액으로 하되 유족보상연금을 초과할 수 없다.
④ 근로복지공단은 근로자가 진폐에 대한 요양급여를 청구하면 「진폐의 예방과 진폐근로자의 보호 등에 관한 법률」에 따른 건강진단기관에 진폐판정에 필요한 진단을 의뢰하여야 한다.
⑤ 장해보상연금을 받고 있는 사람에게는 진폐에 대한 진단을 받는 경우 진단수당을 지급하지 아니한다.</v>
      </c>
      <c r="F134" s="30">
        <f>IFERROR(VLOOKUP(C134,기출문제!D:G,4,0),"")</f>
        <v>1</v>
      </c>
      <c r="G134" s="31" t="str">
        <f t="shared" si="1"/>
        <v/>
      </c>
      <c r="J134" s="23"/>
    </row>
    <row r="135" spans="2:10" s="21" customFormat="1" ht="128.25" x14ac:dyDescent="0.3">
      <c r="B135" s="17">
        <v>128</v>
      </c>
      <c r="C135" s="27" t="s">
        <v>987</v>
      </c>
      <c r="D135" s="17"/>
      <c r="E135" s="29" t="str">
        <f>IFERROR(VLOOKUP(C135,기출문제!D:G,3,0),"")</f>
        <v>88. 산업재해보상보험법령상 휴업급여에 관한 설명으로 옳은 것은?
① 1일당 지급액은 평균임금의 100분의 70에 상당하는 금액으로 하며 취업하지 못한 기간이 5일 이내이면 지급하지 아니한다.
② 요양을 받고 있는 근로자가 그 요양기간 중 단시간 취업을 하는 경우에는 취업한 시간에 해당하는 그 근로자의 평균임금에서 취업한 시간에 대한 임금을 뺀 금액의 100분의 70에 상당하는 금액을 지급할 수 있다.
③ 휴업급여를 받는 근로자가 60세가 되면 그 이후의 휴업급여는 감액하여 지급한다.
④ 재요양을 받는 자에 대하여는 재요양 당시의 임금을 기준으로 산정한 평균임금의 100분의 90에 상당하는 금액을 1일당 휴업급여 지급액으로 한다.
⑤ 재요양을 받는 자에 대하여 산정한 1일당 휴업급여 지급액이 최저임금액보다 적으면 최저임금액을 1일당 휴업급여 지급액으로 한다.</v>
      </c>
      <c r="F135" s="30">
        <f>IFERROR(VLOOKUP(C135,기출문제!D:G,4,0),"")</f>
        <v>5</v>
      </c>
      <c r="G135" s="31" t="str">
        <f t="shared" si="1"/>
        <v/>
      </c>
      <c r="J135" s="23"/>
    </row>
    <row r="136" spans="2:10" s="21" customFormat="1" ht="142.5" x14ac:dyDescent="0.3">
      <c r="B136" s="17">
        <v>129</v>
      </c>
      <c r="C136" s="27" t="s">
        <v>988</v>
      </c>
      <c r="D136" s="17"/>
      <c r="E136" s="29" t="str">
        <f>IFERROR(VLOOKUP(C136,기출문제!D:G,3,0),"")</f>
        <v>89. 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
① ㄱ, ㄴ
② ㄴ, ㄷ
③ ㄱ, ㄴ, ㄹ
④ ㄱ, ㄷ, ㄹ
⑤ ㄴ, ㄷ, ㄹ</v>
      </c>
      <c r="F136" s="30">
        <f>IFERROR(VLOOKUP(C136,기출문제!D:G,4,0),"")</f>
        <v>3</v>
      </c>
      <c r="G136" s="31" t="str">
        <f t="shared" si="1"/>
        <v/>
      </c>
      <c r="J136" s="23"/>
    </row>
    <row r="137" spans="2:10" s="21" customFormat="1" ht="99.75" x14ac:dyDescent="0.3">
      <c r="B137" s="17">
        <v>130</v>
      </c>
      <c r="C137" s="27" t="s">
        <v>609</v>
      </c>
      <c r="D137" s="17"/>
      <c r="E137" s="29" t="str">
        <f>IFERROR(VLOOKUP(C137,기출문제!D:G,3,0),"")</f>
        <v>90. 산업재해보상보험법상 직업재활급여에 관한 설명으로 옳은 것은?
① 직업훈련비용은 직업훈련을 받은 자에게 지급한다.
② 직업훈련비용의 금액은 고용노동부장관이 훈련비용, 훈련기간 및 노동시장의 여건 등을 고려하여 고시하는 금액의 범위에서 실제 드는 비용으로 한다.
③ 직업훈련비용을 지급하는 훈련기간은 24개월 이내로 한다.
④ 직장적응훈련비 및 재활운동비의 지급기간은 6개월 이내로 한다.
⑤ 직업훈련수당의 1일당 지급액은 평균임금의 100분의 70에 상당하는 금액으로 한다.</v>
      </c>
      <c r="F137" s="30">
        <f>IFERROR(VLOOKUP(C137,기출문제!D:G,4,0),"")</f>
        <v>2</v>
      </c>
      <c r="G137" s="31" t="str">
        <f t="shared" ref="G137:G200" si="2">IF(D137="","",IF(D137=F137,"O", "X"))</f>
        <v/>
      </c>
      <c r="J137" s="23"/>
    </row>
    <row r="138" spans="2:10" s="21" customFormat="1" ht="85.5" x14ac:dyDescent="0.3">
      <c r="B138" s="17">
        <v>131</v>
      </c>
      <c r="C138" s="27" t="s">
        <v>989</v>
      </c>
      <c r="D138" s="17"/>
      <c r="E138" s="29" t="str">
        <f>IFERROR(VLOOKUP(C138,기출문제!D:G,3,0),"")</f>
        <v>91. 산업재해보상보험법상 보험급여의 일시 중지를 할 수 있는 사유가 아닌 것은?
① 질문이나 조사에 응하지 아니하는 경우
② 보고・서류제출 또는 신고를 하지 아니하는 경우
③ 거짓이나 그 밖의 부정한 방법으로 진료비나 약제비를 지급받은 경우
④ 진찰 요구에 따르지 아니하는 경우
⑤ 근로복지공단이 직권으로 실시하는 장해등급 또는 진폐장해등급 재판정 요구에 응하지 아니하는 경우</v>
      </c>
      <c r="F138" s="30">
        <f>IFERROR(VLOOKUP(C138,기출문제!D:G,4,0),"")</f>
        <v>3</v>
      </c>
      <c r="G138" s="31" t="str">
        <f t="shared" si="2"/>
        <v/>
      </c>
      <c r="J138" s="23"/>
    </row>
    <row r="139" spans="2:10" s="21" customFormat="1" ht="85.5" x14ac:dyDescent="0.3">
      <c r="B139" s="17">
        <v>132</v>
      </c>
      <c r="C139" s="27" t="s">
        <v>990</v>
      </c>
      <c r="D139" s="17"/>
      <c r="E139" s="29" t="str">
        <f>IFERROR(VLOOKUP(C139,기출문제!D:G,3,0),"")</f>
        <v>92. 국민연금법상 가입자 자격의 상실 시기가 옳지 않은 것은?
① 사업장가입자의 경우 사용관계가 끝난 날
② 지역가입자의 경우 사망한 날의 다음 날
③ 지역가입자의 경우 국민연금가입 대상 제외자에 해당하게 된 날
④ 임의가입자의 경우 사업장 가입자의 자격을 취득한 날
⑤ 임의가입자의 경우 60세가 된 날의 다음 날</v>
      </c>
      <c r="F139" s="30">
        <f>IFERROR(VLOOKUP(C139,기출문제!D:G,4,0),"")</f>
        <v>1</v>
      </c>
      <c r="G139" s="31" t="str">
        <f t="shared" si="2"/>
        <v/>
      </c>
      <c r="J139" s="23"/>
    </row>
    <row r="140" spans="2:10" s="21" customFormat="1" ht="85.5" x14ac:dyDescent="0.3">
      <c r="B140" s="17">
        <v>133</v>
      </c>
      <c r="C140" s="27" t="s">
        <v>991</v>
      </c>
      <c r="D140" s="17"/>
      <c r="E140" s="29" t="str">
        <f>IFERROR(VLOOKUP(C140,기출문제!D:G,3,0),"")</f>
        <v>93. 국민연금법상 급여에 관한 설명으로 옳지 않은 것은?
① 급여의 종류는 노령연금, 장애연금, 유족연금, 반환일시금이 있다.
② 급여는 수급권자의 청구에 따라 국민연금공단이 지급한다.
③ 연금액은 지급사유에 따라 기본연금액과 부양가족연금액을 기초로 산정한다.
④ 연금은 매월 25일에 그 달의 금액을 지급하되, 지급일이 공휴일이면 그 다음날에 지급한다.
⑤ 급여수급전용계좌에 입금된 급여와 이에 관한 채권은 압류할 수 없다.</v>
      </c>
      <c r="F140" s="30">
        <f>IFERROR(VLOOKUP(C140,기출문제!D:G,4,0),"")</f>
        <v>4</v>
      </c>
      <c r="G140" s="31" t="str">
        <f t="shared" si="2"/>
        <v/>
      </c>
      <c r="J140" s="23"/>
    </row>
    <row r="141" spans="2:10" s="21" customFormat="1" ht="128.25" x14ac:dyDescent="0.3">
      <c r="B141" s="17">
        <v>134</v>
      </c>
      <c r="C141" s="27" t="s">
        <v>992</v>
      </c>
      <c r="D141" s="17"/>
      <c r="E141" s="29" t="str">
        <f>IFERROR(VLOOKUP(C141,기출문제!D:G,3,0),"")</f>
        <v>94. 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
① ㄴ
② ㄱ, ㄴ
③ ㄱ, ㄷ
④ ㄴ, ㄷ
⑤ ㄱ, ㄴ, ㄷ</v>
      </c>
      <c r="F141" s="30">
        <f>IFERROR(VLOOKUP(C141,기출문제!D:G,4,0),"")</f>
        <v>3</v>
      </c>
      <c r="G141" s="31" t="str">
        <f t="shared" si="2"/>
        <v/>
      </c>
      <c r="J141" s="23"/>
    </row>
    <row r="142" spans="2:10" s="21" customFormat="1" ht="85.5" x14ac:dyDescent="0.3">
      <c r="B142" s="17">
        <v>135</v>
      </c>
      <c r="C142" s="27" t="s">
        <v>993</v>
      </c>
      <c r="D142" s="17"/>
      <c r="E142" s="29" t="str">
        <f>IFERROR(VLOOKUP(C142,기출문제!D:G,3,0),"")</f>
        <v>95. 국민건강보험법상의 요양급여가 아닌 것은?
① 입원
② 이송
③ 상병수당
④ 예방・재활
⑤ 약제・치료재료의 지급</v>
      </c>
      <c r="F142" s="30">
        <f>IFERROR(VLOOKUP(C142,기출문제!D:G,4,0),"")</f>
        <v>3</v>
      </c>
      <c r="G142" s="31" t="str">
        <f t="shared" si="2"/>
        <v/>
      </c>
      <c r="J142" s="23"/>
    </row>
    <row r="143" spans="2:10" s="21" customFormat="1" ht="142.5" x14ac:dyDescent="0.3">
      <c r="B143" s="17">
        <v>136</v>
      </c>
      <c r="C143" s="27" t="s">
        <v>994</v>
      </c>
      <c r="D143" s="17"/>
      <c r="E143" s="29" t="str">
        <f>IFERROR(VLOOKUP(C143,기출문제!D:G,3,0),"")</f>
        <v>96. 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
① ㄱ: 7, ㄴ: 1
② ㄱ: 7, ㄴ: 3
③ ㄱ: 10, ㄴ: 1
④ ㄱ: 10, ㄴ: 3
⑤ ㄱ: 14, ㄴ: 1</v>
      </c>
      <c r="F143" s="30">
        <f>IFERROR(VLOOKUP(C143,기출문제!D:G,4,0),"")</f>
        <v>4</v>
      </c>
      <c r="G143" s="31" t="str">
        <f t="shared" si="2"/>
        <v/>
      </c>
      <c r="J143" s="23"/>
    </row>
    <row r="144" spans="2:10" s="21" customFormat="1" ht="171" x14ac:dyDescent="0.3">
      <c r="B144" s="17">
        <v>137</v>
      </c>
      <c r="C144" s="27" t="s">
        <v>995</v>
      </c>
      <c r="D144" s="17"/>
      <c r="E144" s="29" t="str">
        <f>IFERROR(VLOOKUP(C144,기출문제!D:G,3,0),"")</f>
        <v>97. 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
① ㄱ: 2, ㄴ: 20
② ㄱ: 2, ㄴ: 30
③ ㄱ: 3, ㄴ: 15
④ ㄱ: 3, ㄴ: 20
⑤ ㄱ: 3, ㄴ: 30</v>
      </c>
      <c r="F144" s="30">
        <f>IFERROR(VLOOKUP(C144,기출문제!D:G,4,0),"")</f>
        <v>4</v>
      </c>
      <c r="G144" s="31" t="str">
        <f t="shared" si="2"/>
        <v/>
      </c>
      <c r="J144" s="23"/>
    </row>
    <row r="145" spans="2:10" s="21" customFormat="1" ht="171" x14ac:dyDescent="0.3">
      <c r="B145" s="17">
        <v>138</v>
      </c>
      <c r="C145" s="27" t="s">
        <v>996</v>
      </c>
      <c r="D145" s="17"/>
      <c r="E145" s="29" t="str">
        <f>IFERROR(VLOOKUP(C145,기출문제!D:G,3,0),"")</f>
        <v>98. 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
① ㄱ
② ㄱ, ㄴ
③ ㄱ, ㄷ
④ ㄴ, ㄷ
⑤ ㄱ, ㄴ, ㄷ</v>
      </c>
      <c r="F145" s="30">
        <f>IFERROR(VLOOKUP(C145,기출문제!D:G,4,0),"")</f>
        <v>2</v>
      </c>
      <c r="G145" s="31" t="str">
        <f t="shared" si="2"/>
        <v/>
      </c>
      <c r="J145" s="23"/>
    </row>
    <row r="146" spans="2:10" s="21" customFormat="1" ht="128.25" x14ac:dyDescent="0.3">
      <c r="B146" s="17">
        <v>139</v>
      </c>
      <c r="C146" s="27" t="s">
        <v>997</v>
      </c>
      <c r="D146" s="17"/>
      <c r="E146" s="29" t="str">
        <f>IFERROR(VLOOKUP(C146,기출문제!D:G,3,0),"")</f>
        <v>99. 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
① ㄱ: 1, ㄴ: 1천분의 1, ㄷ : 1천분의 30
② ㄱ: 1, ㄴ: 6천분의 1, ㄷ : 1천분의 50
③ ㄱ: 1, ㄴ: 1천분의 1, ㄷ : 1천분의 90
④ ㄱ: 7, ㄴ: 1천분의 1, ㄷ : 1천분의 30
⑤ ㄱ: 7, ㄴ: 6천분의 1, ㄷ : 1천분의 90</v>
      </c>
      <c r="F146" s="30">
        <f>IFERROR(VLOOKUP(C146,기출문제!D:G,4,0),"")</f>
        <v>2</v>
      </c>
      <c r="G146" s="31" t="str">
        <f t="shared" si="2"/>
        <v/>
      </c>
      <c r="J146" s="23"/>
    </row>
    <row r="147" spans="2:10" s="21" customFormat="1" ht="128.25" x14ac:dyDescent="0.3">
      <c r="B147" s="17">
        <v>140</v>
      </c>
      <c r="C147" s="27" t="s">
        <v>998</v>
      </c>
      <c r="D147" s="17"/>
      <c r="E147" s="29" t="str">
        <f>IFERROR(VLOOKUP(C147,기출문제!D:G,3,0),"")</f>
        <v>100. 고용보험 및 산업재해보상보험의 보험료징수 등에 관한 법령상 보수총액 등의 신고와 관련한 내용으로 옳지 않은 것은?
① 보수총액신고는 문서로 함을 원칙으로 한다.
② 사업주는 근로자가 다른 사업장으로 전보되는 등 대통령령으로 정하는 사유가 발생한 때에는 그 사유 발생일부터 14일 이내에 그 사실을 근로복지공단에 신고하여야 한다.
③ 사업주는 사업의 폐지 등으로 보험관계가 소멸한 때에는 그 보험관계가 소멸한 날부터 14일 이내에 근로자에게 지급한 보수총액 등을 근로복지공단에 신고하여야 한다.
④ 사업주는 전년도에 근로자에게 지급한 보수총액 등을 매년 3월 15일까지 근로복지공단에 신고하여야 한다.
⑤ 사업주는 근로자와 고용관계를 종료한 때에는 그 근로자에게 지급한 보수총액, 고용관계 종료일 등을 그 근로자의 고용관계가 종료한 날이 속하는 달의 다음 달 15일까지 근로복지공단에 신고하여야 한다.</v>
      </c>
      <c r="F147" s="30">
        <f>IFERROR(VLOOKUP(C147,기출문제!D:G,4,0),"")</f>
        <v>1</v>
      </c>
      <c r="G147" s="31" t="str">
        <f t="shared" si="2"/>
        <v/>
      </c>
      <c r="J147" s="23"/>
    </row>
    <row r="148" spans="2:10" s="21" customFormat="1" ht="128.25" x14ac:dyDescent="0.3">
      <c r="B148" s="17">
        <v>141</v>
      </c>
      <c r="C148" s="27" t="s">
        <v>121</v>
      </c>
      <c r="D148" s="17"/>
      <c r="E148" s="29" t="str">
        <f>IFERROR(VLOOKUP(C148,기출문제!D:G,3,0),"")</f>
        <v>76. 사회보장기본법령상 사회보장제도의 운영에 관한 설명으로 옳지 않은 것은?
① 사회보험은 국가와 지방자치단체의 책임으로 시행하고, 공공부조와 사회서비스는 국가의 책임으로 시행하는 것을 원칙으로 한다.
② 국가와 지방자치단체는 효과적인 사회보장정책의 수립・시행을 위하여 사회보장에 관한 통계를 작성・관리하여야 한다.
③ 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
④ 보건복지부장관은 사회서비스의 품질기준 마련, 평가 및 개선 등의 업무를 수행하기 위하여 필요한 전담기구를 설치할 수 있다.
⑤ 국가와 지방자치단체는 개인・법인 또는 단체가 사회보장에 참여하는 데에 드는 경비의 전부 또는 일부를 지원하거나 그 업무를 수행하기 위하여 필요한 지원을 할 수 있다.</v>
      </c>
      <c r="F148" s="30">
        <f>IFERROR(VLOOKUP(C148,기출문제!D:G,4,0),"")</f>
        <v>1</v>
      </c>
      <c r="G148" s="31" t="str">
        <f t="shared" si="2"/>
        <v/>
      </c>
      <c r="J148" s="23"/>
    </row>
    <row r="149" spans="2:10" s="21" customFormat="1" ht="99.75" x14ac:dyDescent="0.3">
      <c r="B149" s="17">
        <v>142</v>
      </c>
      <c r="C149" s="27" t="s">
        <v>999</v>
      </c>
      <c r="D149" s="17"/>
      <c r="E149" s="29" t="str">
        <f>IFERROR(VLOOKUP(C149,기출문제!D:G,3,0),"")</f>
        <v>77. 사회보장기본법령상 사회보장 비용의 부담에 관한 설명으로 옳지 않은 것은?
① 사회보장 비용의 부담은 각각의 사회보장제도의 목적에 따라 국가, 지방자치단체 및 민간부문 간에 합리적으로 조정되어야 한다.
② 사회보험에 드는 비용은 사용자, 피용자 및 자영업자가 부담하는 것을 원칙으로 한다.
③ 부담 능력이 있는 국민에 대한 사회서비스에 드는 비용은 그 수익자가 부담함을 원칙으로 한다.
④ 공공부조에 드는 비용은 수익자가 부담함을 원칙으로 한다.
⑤ 공공부조 및 관계 법령에서 정하는 일정 소득 수준 이하의 국민에 대한 사회서비스에 드는 비용의 전부 또는 일부는 국가와 지방자치단체가 부담한다.</v>
      </c>
      <c r="F149" s="30">
        <f>IFERROR(VLOOKUP(C149,기출문제!D:G,4,0),"")</f>
        <v>4</v>
      </c>
      <c r="G149" s="31" t="str">
        <f t="shared" si="2"/>
        <v/>
      </c>
      <c r="J149" s="23"/>
    </row>
    <row r="150" spans="2:10" s="21" customFormat="1" ht="99.75" x14ac:dyDescent="0.3">
      <c r="B150" s="17">
        <v>143</v>
      </c>
      <c r="C150" s="27" t="s">
        <v>1000</v>
      </c>
      <c r="D150" s="17"/>
      <c r="E150" s="29" t="str">
        <f>IFERROR(VLOOKUP(C150,기출문제!D:G,3,0),"")</f>
        <v>78. 사회보험 관련법령의 적용에 관한 내용으로 옳지 않은 것은?
① 사립학교교직원 연금법의 적용을 받는 자에게는 고용보험법을 적용하지 아니한다.
② 1개월 미만 동안 고용된 일용근로자는 고용보험법의 적용이 제외되는 근로자이다.
③ 국민연금에 가입된 사업장에 종사하는 18세 미만 근로자는 사업장가입자가 되는 것으로 보나, 본인이 원하지 아니하면 사업장가입자가 되지 아니할 수 있다.
④ 비상근 근로자는 국민건강보험법의 직장가입자에서 제외된다.
⑤ 1개월 동안의 소정근로시간이 60시간 미만인 단시간근로자는 국민건강보험법의 직장가입자에서 제외된다.</v>
      </c>
      <c r="F150" s="30">
        <f>IFERROR(VLOOKUP(C150,기출문제!D:G,4,0),"")</f>
        <v>2</v>
      </c>
      <c r="G150" s="31" t="str">
        <f t="shared" si="2"/>
        <v/>
      </c>
      <c r="J150" s="23"/>
    </row>
    <row r="151" spans="2:10" s="21" customFormat="1" ht="99.75" x14ac:dyDescent="0.3">
      <c r="B151" s="17">
        <v>144</v>
      </c>
      <c r="C151" s="27" t="s">
        <v>1001</v>
      </c>
      <c r="D151" s="17"/>
      <c r="E151" s="29" t="str">
        <f>IFERROR(VLOOKUP(C151,기출문제!D:G,3,0),"")</f>
        <v>79. 사회보장기본법령상 사회보장수급권에 관한 설명으로 옳지 않은 것은?
① 사회보장수급권은 관계 법령에서 정하는 바에 따라 다른 사람에게 양도하거나 담보로 제공할 수 없다.
② 사회보장수급권은 제한되거나 정지될 수 없으나, 관계 법령에서 따로 정하고 있는 경우에는 그러하지 아니하다.
③ 사회보장수급권이 정지되는 경우에는 정지하는 목적에 필요한 최소한의 범위에 그쳐야 한다.
④ 사회보장수급권은 포기할 수 있으나 포기한 후에는 이를 취소할 수 없다.
⑤ 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v>
      </c>
      <c r="F151" s="30">
        <f>IFERROR(VLOOKUP(C151,기출문제!D:G,4,0),"")</f>
        <v>4</v>
      </c>
      <c r="G151" s="31" t="str">
        <f t="shared" si="2"/>
        <v/>
      </c>
      <c r="J151" s="23"/>
    </row>
    <row r="152" spans="2:10" s="21" customFormat="1" ht="99.75" x14ac:dyDescent="0.3">
      <c r="B152" s="17">
        <v>145</v>
      </c>
      <c r="C152" s="27" t="s">
        <v>1002</v>
      </c>
      <c r="D152" s="17"/>
      <c r="E152" s="29" t="str">
        <f>IFERROR(VLOOKUP(C152,기출문제!D:G,3,0),"")</f>
        <v>80. 고용보험법령의 내용으로 옳지 않은 것은?
① 국민기초생활 보장법에 따라 자활을 위한 근로기회를 제공하기 위한 사업은 고용보험법의 적용을 받는 사업으로 본다.
② 국가는 매년 고용보험사업에 드는 비용의 일부를 일반회계에서 부담하여야 한다.
③ 피보험자가 사망한 경우에는 사망한 날에 그 피보험자격을 상실한다.
④ 고용보험법에 따른 보험관계의 성립 및 소멸에 대하여는 고용보험 및 산업재해보상보험의 보험료징수 등에 관한 법률로 정하는 바에 따른다.
⑤ 구직급여는 수급자격자가 실업한 상태에 있는 날 중에서 직업안정기관의 장으로부터 실업의 인정을 받은 날에 대하여 지급한다.</v>
      </c>
      <c r="F152" s="30">
        <f>IFERROR(VLOOKUP(C152,기출문제!D:G,4,0),"")</f>
        <v>3</v>
      </c>
      <c r="G152" s="31" t="str">
        <f t="shared" si="2"/>
        <v/>
      </c>
      <c r="J152" s="23"/>
    </row>
    <row r="153" spans="2:10" s="21" customFormat="1" ht="85.5" x14ac:dyDescent="0.3">
      <c r="B153" s="17">
        <v>146</v>
      </c>
      <c r="C153" s="27" t="s">
        <v>1003</v>
      </c>
      <c r="D153" s="17"/>
      <c r="E153" s="29" t="str">
        <f>IFERROR(VLOOKUP(C153,기출문제!D:G,3,0),"")</f>
        <v>81. 고용보험법령상 폐업한 자영업자인 피보험자의 구직급여 수급 요건으로 옳지 않은 것은?
① 법령을 위반하여 허가 취소를 받음에 따라 폐업한 경우가 아니어야 한다.
② 폐업일 이전 18개월간 자영업자인 피보험자로서 갖춘 피보험 단위기간이 통산하여 180일 이상이어야 한다.
③ 법령을 위반하여 영업 정지를 받음에 따라 폐업한 경우가 아니어야 한다.
④ 재취업을 위한 노력을 적극적으로 하여야 한다.
⑤ 근로의 의사와 능력이 있음에도 불구하고 취업을 하지 못한 상태에 있어야 한다.</v>
      </c>
      <c r="F153" s="30">
        <f>IFERROR(VLOOKUP(C153,기출문제!D:G,4,0),"")</f>
        <v>2</v>
      </c>
      <c r="G153" s="31" t="str">
        <f t="shared" si="2"/>
        <v/>
      </c>
      <c r="J153" s="23"/>
    </row>
    <row r="154" spans="2:10" s="21" customFormat="1" ht="99.75" x14ac:dyDescent="0.3">
      <c r="B154" s="17">
        <v>147</v>
      </c>
      <c r="C154" s="27" t="s">
        <v>1004</v>
      </c>
      <c r="D154" s="17"/>
      <c r="E154" s="29" t="str">
        <f>IFERROR(VLOOKUP(C154,기출문제!D:G,3,0),"")</f>
        <v>82. 고용보험법령상 심사 및 재심사에 관한 설명으로 옳지 않은 것은?
① 실업급여에 관한 처분에 이의가 있는 자는 고용보험심사관에게 심사를 청구할 수 있다.
② 심사의 청구가 법령으로 정한 방식을 위반하여 보정하지 못할 것인 경우에 고용보험심사관은 그 심사의 청구를 결정으로 각하하여야 한다.
③ 재심사청구인은 법정대리인 외에 자신의 형제자매를 대리인으로 선임할 수 없다.
④ 심사 및 재심사의 청구는 시효중단에 관하여 재판상의 청구로 본다.
⑤ 재심사청구에 대한 심리는 공개로 하나, 당사자의 양쪽 또는 어느 한 쪽이 신청한 경우에는 공개하지 아니할 수 있다.</v>
      </c>
      <c r="F154" s="30">
        <f>IFERROR(VLOOKUP(C154,기출문제!D:G,4,0),"")</f>
        <v>3</v>
      </c>
      <c r="G154" s="31" t="str">
        <f t="shared" si="2"/>
        <v/>
      </c>
      <c r="J154" s="23"/>
    </row>
    <row r="155" spans="2:10" s="21" customFormat="1" ht="156.75" x14ac:dyDescent="0.3">
      <c r="B155" s="17">
        <v>148</v>
      </c>
      <c r="C155" s="27" t="s">
        <v>1005</v>
      </c>
      <c r="D155" s="17"/>
      <c r="E155" s="29" t="str">
        <f>IFERROR(VLOOKUP(C155,기출문제!D:G,3,0),"")</f>
        <v>83. 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
① ㄱ, ㄴ, ㅁ
② ㄴ, ㄷ, ㄹ
③ ㄷ, ㄹ, ㅁ
④ ㄱ, ㄴ, ㄷ, ㄹ
⑤ ㄱ, ㄷ, ㄹ, ㅁ</v>
      </c>
      <c r="F155" s="30">
        <f>IFERROR(VLOOKUP(C155,기출문제!D:G,4,0),"")</f>
        <v>4</v>
      </c>
      <c r="G155" s="31" t="str">
        <f t="shared" si="2"/>
        <v/>
      </c>
      <c r="J155" s="23"/>
    </row>
    <row r="156" spans="2:10" s="21" customFormat="1" ht="114" x14ac:dyDescent="0.3">
      <c r="B156" s="17">
        <v>149</v>
      </c>
      <c r="C156" s="27" t="s">
        <v>1006</v>
      </c>
      <c r="D156" s="17"/>
      <c r="E156" s="29" t="str">
        <f>IFERROR(VLOOKUP(C156,기출문제!D:G,3,0),"")</f>
        <v>84. 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
① 월보수총액
② 월보험료액
③ 3개월 평균임금
④ 월 최저임금액
⑤ 실업급여수급계좌에 입금된 금액 전액</v>
      </c>
      <c r="F156" s="30">
        <f>IFERROR(VLOOKUP(C156,기출문제!D:G,4,0),"")</f>
        <v>5</v>
      </c>
      <c r="G156" s="31" t="str">
        <f t="shared" si="2"/>
        <v/>
      </c>
      <c r="J156" s="23"/>
    </row>
    <row r="157" spans="2:10" s="21" customFormat="1" ht="85.5" x14ac:dyDescent="0.3">
      <c r="B157" s="17">
        <v>150</v>
      </c>
      <c r="C157" s="27" t="s">
        <v>1007</v>
      </c>
      <c r="D157" s="17"/>
      <c r="E157" s="29" t="str">
        <f>IFERROR(VLOOKUP(C157,기출문제!D:G,3,0),"")</f>
        <v>85. 산업재해보상보험법령상 보험급여 중 시효의 완성 기간이 다른 것은?
① 요양급여를 받을 권리
② 간병급여를 받을 권리
③ 상병보상연금을 받을 권리
④ 장례비를 받을 권리
⑤ 직업재활급여를 받을 권리</v>
      </c>
      <c r="F157" s="30">
        <f>IFERROR(VLOOKUP(C157,기출문제!D:G,4,0),"")</f>
        <v>4</v>
      </c>
      <c r="G157" s="31" t="str">
        <f t="shared" si="2"/>
        <v/>
      </c>
      <c r="J157" s="23"/>
    </row>
    <row r="158" spans="2:10" s="21" customFormat="1" ht="142.5" x14ac:dyDescent="0.3">
      <c r="B158" s="17">
        <v>151</v>
      </c>
      <c r="C158" s="27" t="s">
        <v>1008</v>
      </c>
      <c r="D158" s="17"/>
      <c r="E158" s="29" t="str">
        <f>IFERROR(VLOOKUP(C158,기출문제!D:G,3,0),"")</f>
        <v>86. 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
① ㄱ, ㄴ
② ㄱ, ㄹ
③ ㄴ, ㄷ
④ ㄱ, ㄷ, ㄹ
⑤ ㄱ, ㄴ, ㄷ, ㄹ</v>
      </c>
      <c r="F158" s="30">
        <f>IFERROR(VLOOKUP(C158,기출문제!D:G,4,0),"")</f>
        <v>5</v>
      </c>
      <c r="G158" s="31" t="str">
        <f t="shared" si="2"/>
        <v/>
      </c>
      <c r="J158" s="23"/>
    </row>
    <row r="159" spans="2:10" s="21" customFormat="1" ht="85.5" x14ac:dyDescent="0.3">
      <c r="B159" s="17">
        <v>152</v>
      </c>
      <c r="C159" s="27" t="s">
        <v>1009</v>
      </c>
      <c r="D159" s="17"/>
      <c r="E159" s="32" t="str">
        <f>IFERROR(VLOOKUP(C159,기출문제!D:G,3,0),"")</f>
        <v>87. 산업재해보상보험법령상 특수형태근로종사자의 범위에 해당하지 않는 자는?
① 한국표준직업분류표의 세세분류에 따른 학습지 교사
② 택배업을 하는 사람으로서 둘 이상의 퀵서비스업자로부터 업무를 의뢰받아 직원을 채용하여 배송 업무를 하는 사람
③ 보험을 모집하는 보험업법에 따른 보험설계사
④ 체육시설의 설치・이용에 관한 법률에 따라 직장체육시설로 설치된 골프장에서 골프경기를 보조하는 골프장 캐디
⑤ 여신전문금융업법에 따른 신용카드회원 모집인</v>
      </c>
      <c r="F159" s="30">
        <f>IFERROR(VLOOKUP(C159,기출문제!D:G,4,0),"")</f>
        <v>2</v>
      </c>
      <c r="G159" s="31" t="str">
        <f t="shared" si="2"/>
        <v/>
      </c>
      <c r="J159" s="23"/>
    </row>
    <row r="160" spans="2:10" s="21" customFormat="1" ht="85.5" x14ac:dyDescent="0.3">
      <c r="B160" s="17">
        <v>153</v>
      </c>
      <c r="C160" s="27" t="s">
        <v>1010</v>
      </c>
      <c r="D160" s="17"/>
      <c r="E160" s="29" t="str">
        <f>IFERROR(VLOOKUP(C160,기출문제!D:G,3,0),"")</f>
        <v>88. 산업재해보상보험법령상 심사청구의 대상이 아닌 것은?
① 약제비에 관한 결정
② 보험급여에 관한 결정
③ 보험료 부과에 관한 결정
④ 수급권의 대위에 관한 결정
⑤ 부당이득의 징수에 관한 결정</v>
      </c>
      <c r="F160" s="30">
        <f>IFERROR(VLOOKUP(C160,기출문제!D:G,4,0),"")</f>
        <v>3</v>
      </c>
      <c r="G160" s="31" t="str">
        <f t="shared" si="2"/>
        <v/>
      </c>
      <c r="J160" s="23"/>
    </row>
    <row r="161" spans="2:10" s="21" customFormat="1" ht="85.5" x14ac:dyDescent="0.3">
      <c r="B161" s="17">
        <v>154</v>
      </c>
      <c r="C161" s="27" t="s">
        <v>1011</v>
      </c>
      <c r="D161" s="17"/>
      <c r="E161" s="29" t="str">
        <f>IFERROR(VLOOKUP(C161,기출문제!D:G,3,0),"")</f>
        <v>89. 산업재해보상보험법령상 보험급여에 관한 설명으로 옳은 것은?
① 부상 또는 질병이 7일 이내의 요양으로 치유될 수 있으면 요양급여를 지급하지 아니한다.
② 요양급여의 신청을 한 자는 근로복지공단이 요양급여에 관한 결정을 하기 전에는 국민건강보험법상 요양급여를 받을 수 있다.
③ 장해급여는 근로자가 업무상의 사유로 질병에 걸려 치유된 후 신체 등에 장해가 있는 경우에 한국장애인고용공단에서 지급한다.
④ 장해보상연금의 수급권자가 재요양을 받는 경우에는 그 연금의 지급을 정지한다.
⑤ 간병급여는 실제로 간병을 실시한 자에게 직접 지급한다.</v>
      </c>
      <c r="F161" s="30">
        <f>IFERROR(VLOOKUP(C161,기출문제!D:G,4,0),"")</f>
        <v>2</v>
      </c>
      <c r="G161" s="31" t="str">
        <f t="shared" si="2"/>
        <v/>
      </c>
      <c r="J161" s="23"/>
    </row>
    <row r="162" spans="2:10" s="21" customFormat="1" ht="171" x14ac:dyDescent="0.3">
      <c r="B162" s="17">
        <v>155</v>
      </c>
      <c r="C162" s="27" t="s">
        <v>1012</v>
      </c>
      <c r="D162" s="17"/>
      <c r="E162" s="29" t="str">
        <f>IFERROR(VLOOKUP(C162,기출문제!D:G,3,0),"")</f>
        <v>90. 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
① 1개
② 2개
③ 3개
④ 4개
⑤ 5개</v>
      </c>
      <c r="F162" s="30">
        <f>IFERROR(VLOOKUP(C162,기출문제!D:G,4,0),"")</f>
        <v>5</v>
      </c>
      <c r="G162" s="31" t="str">
        <f t="shared" si="2"/>
        <v/>
      </c>
      <c r="J162" s="23"/>
    </row>
    <row r="163" spans="2:10" s="21" customFormat="1" ht="142.5" x14ac:dyDescent="0.3">
      <c r="B163" s="17">
        <v>156</v>
      </c>
      <c r="C163" s="27" t="s">
        <v>1013</v>
      </c>
      <c r="D163" s="17"/>
      <c r="E163" s="29" t="str">
        <f>IFERROR(VLOOKUP(C163,기출문제!D:G,3,0),"")</f>
        <v>91. 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
① ㄱ: 50, ㄴ: 6, ㄷ: 12
② ㄱ: 50, ㄴ: 12, ㄷ: 18
③ ㄱ: 60, ㄴ: 6, ㄷ: 12
④ ㄱ: 60, ㄴ: 6, ㄷ: 18
⑤ ㄱ: 60, ㄴ: 12, ㄷ: 18</v>
      </c>
      <c r="F163" s="30">
        <f>IFERROR(VLOOKUP(C163,기출문제!D:G,4,0),"")</f>
        <v>2</v>
      </c>
      <c r="G163" s="31" t="str">
        <f t="shared" si="2"/>
        <v/>
      </c>
      <c r="J163" s="23"/>
    </row>
    <row r="164" spans="2:10" s="21" customFormat="1" ht="99.75" x14ac:dyDescent="0.3">
      <c r="B164" s="17">
        <v>157</v>
      </c>
      <c r="C164" s="27" t="s">
        <v>1014</v>
      </c>
      <c r="D164" s="17"/>
      <c r="E164" s="29" t="str">
        <f>IFERROR(VLOOKUP(C164,기출문제!D:G,3,0),"")</f>
        <v>92. 국민연금법령상 유족연금에 관한 설명으로 옳은 것은?
① 사실상의 혼인관계에 있는 배우자는 유족연금을 지급받을 수 있는 유족에 해당하지 않는다.
② 수급권자가 산업재해보상보험법에 의한 유족급여를 받는 경우에는 유족연금을 지급하지 않는다.
③ 유족연금을 지급받을 수 있는 유족의 범위는 배우자, 자녀, 부모, 손자녀, 조부모 및 형제자매이다.
④ 유족연금 수급권자인 자녀가 사망 시 다음 순위자인 부모에게 유족연금을 지급한다.
⑤ 부모, 손자녀 또는 조부모인 유족의 유족연금 수급권은 가입자 또는 가입자였던 사람이 사망할 당시에 그 가입자 또는 가입자였던 사람의 태아가 출생하여 수급권을 갖게 되면 소멸한다.</v>
      </c>
      <c r="F164" s="30">
        <f>IFERROR(VLOOKUP(C164,기출문제!D:G,4,0),"")</f>
        <v>5</v>
      </c>
      <c r="G164" s="31" t="str">
        <f t="shared" si="2"/>
        <v/>
      </c>
      <c r="J164" s="23"/>
    </row>
    <row r="165" spans="2:10" s="21" customFormat="1" ht="128.25" x14ac:dyDescent="0.3">
      <c r="B165" s="17">
        <v>158</v>
      </c>
      <c r="C165" s="27" t="s">
        <v>1015</v>
      </c>
      <c r="D165" s="17"/>
      <c r="E165" s="29" t="str">
        <f>IFERROR(VLOOKUP(C165,기출문제!D:G,3,0),"")</f>
        <v>93. 국민건강보험법령상 급여의 제한 및 정지에 관한 설명으로 옳지 않은 것은?
① 국민건강보험공단은 보험급여를 받을 수 있는 사람이 중대한 과실로 인한 범죄행위에 그 원인이 있는 경우 보험급여를 하지 아니한다.
② 국민건강보험공단은 보험급여를 받을 수 있는 사람이 다른 법령에 따라 국가로부터 보험급여에 상당하는 비용을 지급받게 되는 경우에는 그 한도에서 보험급여를 하지 아니한다.
③ 보험급여를 받을 수 있는 사람이 국외에 여행 중인 경우 그 기간에는 보험급여를 하지 아니한다.
④ 국민건강보험공단은 지역가입자가 1개월 이상 세대단위의 보험료를 체납한 경우 그 체납한 보험료를 완납할 때까지 그 가입자를 제외한 피부양자에 대하여 보험급여를 실시하지 아니한다.
⑤ 보험급여를 받을 수 있는 사람이 국외에서 업무에 종사하고 있는 경우 그 기간에는 보험급여를 하지 아니한다.</v>
      </c>
      <c r="F165" s="30">
        <f>IFERROR(VLOOKUP(C165,기출문제!D:G,4,0),"")</f>
        <v>4</v>
      </c>
      <c r="G165" s="31" t="str">
        <f t="shared" si="2"/>
        <v/>
      </c>
      <c r="J165" s="23"/>
    </row>
    <row r="166" spans="2:10" s="21" customFormat="1" ht="114" x14ac:dyDescent="0.3">
      <c r="B166" s="17">
        <v>159</v>
      </c>
      <c r="C166" s="27" t="s">
        <v>1016</v>
      </c>
      <c r="D166" s="17"/>
      <c r="E166" s="29" t="str">
        <f>IFERROR(VLOOKUP(C166,기출문제!D:G,3,0),"")</f>
        <v>94. 국민건강보험법령상 보험료에 관한 설명으로 옳지 않은 것은?
① 지역가입자의 월별 보험료액은 세대 단위로 산정한다.
② 직장가입자의 소득월액보험료는 직장가입자가 부담한다.
③ 지역가입자의 보험료는 그 가입자가 속한 세대의 지역가입자 전원이 연대하여 부담한다.
④ 직장가입자가 교직원으로서 사립학교에 근무하는 교원인 경우 보수월액보험료는 그 직장가입자와 사립학교를 설립・운영하는 자가 각각 보험료액의 100분의 50씩 부담한다.
⑤ 직장가입자가 공무원인 경우 보수월액보험료는 그 직장가입자와 그 공무원이 소속되어 있는 국가 또는 지방자치단체가 각각 보험료액의 100분의 50씩 부담한다.</v>
      </c>
      <c r="F166" s="30">
        <f>IFERROR(VLOOKUP(C166,기출문제!D:G,4,0),"")</f>
        <v>4</v>
      </c>
      <c r="G166" s="31" t="str">
        <f t="shared" si="2"/>
        <v/>
      </c>
      <c r="J166" s="23"/>
    </row>
    <row r="167" spans="2:10" s="21" customFormat="1" ht="85.5" x14ac:dyDescent="0.3">
      <c r="B167" s="17">
        <v>160</v>
      </c>
      <c r="C167" s="27" t="s">
        <v>1017</v>
      </c>
      <c r="D167" s="17"/>
      <c r="E167" s="29" t="str">
        <f>IFERROR(VLOOKUP(C167,기출문제!D:G,3,0),"")</f>
        <v>95. 국민건강보험법령상 보험료의 경감 대상이 될 수 있는 가입자는?
① 직장가입자로서 65세 이상인 사람
② 직장가입자로서 출산 휴가 중인 사람
③ 직장가입자 중 휴직기간이 1개월 이상인 사람
④ 직장가입자 중 장애인복지법에 따라 등록한 장애인
⑤ 직장가입자 중 국가유공자 등 예우 및 지원에 관한 법률에 따른 국가유공자</v>
      </c>
      <c r="F167" s="30">
        <f>IFERROR(VLOOKUP(C167,기출문제!D:G,4,0),"")</f>
        <v>3</v>
      </c>
      <c r="G167" s="31" t="str">
        <f t="shared" si="2"/>
        <v/>
      </c>
      <c r="J167" s="23"/>
    </row>
    <row r="168" spans="2:10" s="21" customFormat="1" ht="99.75" x14ac:dyDescent="0.3">
      <c r="B168" s="17">
        <v>161</v>
      </c>
      <c r="C168" s="27" t="s">
        <v>1018</v>
      </c>
      <c r="D168" s="17"/>
      <c r="E168" s="29" t="str">
        <f>IFERROR(VLOOKUP(C168,기출문제!D:G,3,0),"")</f>
        <v>96. 고용보험 및 산업재해보상보험의 보험료징수 등에 관한 법령의 내용으로 옳은 것은?
① 사업의 도산으로 보수 관련 자료가 없는 경우에는 고용노동부장관이 정하여 고시하는 금액을 보수로 할 수 있다.
② 원수급인으로부터 사업의 전부를 도급받아 하는 자는 하수급인에 해당하지 않는다.
③ 고용보험료를 징수하는 경우에는 근로자가 휴직기간 중에 사업주 외의 자로부터 지급받는 금품 일체는 보수로 보지 않는다.
④ 보험에 가입한 사업주는 사업의 명칭 및 소재지, 사업의 종류 등이 변경된 경우에는 다음 보험연도 첫날부터 14일 이내에 그 변경사항을 근로복지공단에 신고하여야 한다.
⑤ 산업재해보상보험법을 적용받는 사업의 사업주는 근로복지공단의 승인을 받아 산업재해보상보험에 가입할 수 있다.</v>
      </c>
      <c r="F168" s="30">
        <f>IFERROR(VLOOKUP(C168,기출문제!D:G,4,0),"")</f>
        <v>1</v>
      </c>
      <c r="G168" s="31" t="str">
        <f t="shared" si="2"/>
        <v/>
      </c>
      <c r="J168" s="23"/>
    </row>
    <row r="169" spans="2:10" s="21" customFormat="1" ht="99.75" x14ac:dyDescent="0.3">
      <c r="B169" s="17">
        <v>162</v>
      </c>
      <c r="C169" s="27" t="s">
        <v>1019</v>
      </c>
      <c r="D169" s="17"/>
      <c r="E169" s="29" t="str">
        <f>IFERROR(VLOOKUP(C169,기출문제!D:G,3,0),"")</f>
        <v>97. 고용보험 및 산업재해보상보험의 보험료징수 등에 관한 법령상 보험사무대행기관에 보험사무를 위임할 수 있는 업무의 범위가 아닌 것은?
① 확정보험료의 부과
② 개산보험료의 신고
③ 고용보험 피보험자의 자격 관리에 관한 사무
④ 보험관계의 소멸의 신고
⑤ 보험관계의 변경의 신고</v>
      </c>
      <c r="F169" s="30">
        <f>IFERROR(VLOOKUP(C169,기출문제!D:G,4,0),"")</f>
        <v>1</v>
      </c>
      <c r="G169" s="31" t="str">
        <f t="shared" si="2"/>
        <v/>
      </c>
      <c r="J169" s="23"/>
    </row>
    <row r="170" spans="2:10" s="21" customFormat="1" ht="142.5" x14ac:dyDescent="0.3">
      <c r="B170" s="17">
        <v>163</v>
      </c>
      <c r="C170" s="27" t="s">
        <v>1020</v>
      </c>
      <c r="D170" s="17"/>
      <c r="E170" s="29" t="str">
        <f>IFERROR(VLOOKUP(C170,기출문제!D:G,3,0),"")</f>
        <v>98. 고용보험 및 산업재해보상보험의 보험료징수 등에 관한 법령의 내용으로 옳지 않은 것은?
① 근로복지공단은 사업 실체가 없는 등의 사유로 계속하여 보험관계를 유지할 수 없다고 인정하는 경우에는 그 보험관계를 소멸시킬 수 있다.
② 근로자가 동일한 사업주의 하나의 사업장에서 다른 사업장으로 전근되는 경우에는 그 근로자에 대한 그 월별보험료는 해당 월의 다음 달 부터 산정한다.
③ 근로복지공단은 소멸시효가 완성된 경우에는 고용노동부장관의 승인을 받아 보험료와 이 법에 따른 그 밖의 징수금을 결손처분할 수 있다.
④ 사업종류의 변경으로 보험료 납부방법이 변경되는 경우에는 사업종류의 변경일 전일을 변경 전 사업 폐지일로, 사업종류의 변경일을 새로운 사업성립일로 본다.
⑤ 공동사업에 관계되는 보험료, 이 법에 따른 그 밖의 징수금과 체납처분비는 공동사업자가 연대하여 낼 의무를 진다.</v>
      </c>
      <c r="F170" s="30">
        <f>IFERROR(VLOOKUP(C170,기출문제!D:G,4,0),"")</f>
        <v>3</v>
      </c>
      <c r="G170" s="31" t="str">
        <f t="shared" si="2"/>
        <v/>
      </c>
      <c r="J170" s="23"/>
    </row>
    <row r="171" spans="2:10" s="21" customFormat="1" ht="142.5" x14ac:dyDescent="0.3">
      <c r="B171" s="17">
        <v>164</v>
      </c>
      <c r="C171" s="27" t="s">
        <v>1021</v>
      </c>
      <c r="D171" s="17"/>
      <c r="E171" s="29" t="str">
        <f>IFERROR(VLOOKUP(C171,기출문제!D:G,3,0),"")</f>
        <v>99. 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
① ㄱ: 100분의 20, ㄴ: 1천분의 13
② ㄱ: 100분의 20, ㄴ: 1천분의 20
③ ㄱ: 100분의 30, ㄴ: 1천분의 13
④ ㄱ: 100분의 30, ㄴ: 1천분의 20
⑤ ㄱ: 100분의 30, ㄴ: 1천분의 25</v>
      </c>
      <c r="F171" s="30">
        <f>IFERROR(VLOOKUP(C171,기출문제!D:G,4,0),"")</f>
        <v>4</v>
      </c>
      <c r="G171" s="31" t="str">
        <f t="shared" si="2"/>
        <v/>
      </c>
      <c r="J171" s="23"/>
    </row>
    <row r="172" spans="2:10" s="21" customFormat="1" ht="99.75" x14ac:dyDescent="0.3">
      <c r="B172" s="17">
        <v>165</v>
      </c>
      <c r="C172" s="27" t="s">
        <v>1022</v>
      </c>
      <c r="D172" s="17"/>
      <c r="E172" s="29" t="str">
        <f>IFERROR(VLOOKUP(C172,기출문제!D:G,3,0),"")</f>
        <v>100. 고용보험 및 산업재해보상보험의 보험료징수 등에 관한 법령상 보험료율의 인상 또는 인하 등에 따른 조치로 옳지 않은 것은?
① 보험료율이 인상된 경우 근로복지공단은 월별보험료를 증액 조정한다.
② 보험료율이 인상된 경우 국민건강보험공단은 개산보험료를 증액 조정한다.
③ 보험료율 인상으로 개산보험료가 증액된 때에는 근로복지공단이 징수한다.
④ 보험료율 인상으로 월별보험료가 증액된 때에는 국민건강보험공단이 징수한다.
⑤ 근로복지공단은 보험료를 감액 조정한 경우에는 보험료율의 인하를 결정한 날부터 20일 이내에 그 감액 조정 사실을 사업주에게 알려야 한다.</v>
      </c>
      <c r="F172" s="30">
        <f>IFERROR(VLOOKUP(C172,기출문제!D:G,4,0),"")</f>
        <v>2</v>
      </c>
      <c r="G172" s="31" t="str">
        <f t="shared" si="2"/>
        <v/>
      </c>
      <c r="J172" s="23"/>
    </row>
    <row r="173" spans="2:10" s="21" customFormat="1" ht="85.5" x14ac:dyDescent="0.3">
      <c r="B173" s="17">
        <v>166</v>
      </c>
      <c r="C173" s="27" t="s">
        <v>167</v>
      </c>
      <c r="D173" s="17"/>
      <c r="E173" s="29" t="str">
        <f>IFERROR(VLOOKUP(C173,기출문제!D:G,3,0),"")</f>
        <v>76. 사회보장기본법상 내용으로 옳은 것은?
① 국가는 중장기 사회보장 재정추계를 매년 실시하고 공표하여야 한다.
② 사회보장수급권의 포기는 취소할 수 없다.
③ 사회서비스란 사회적 위험을 보험의 방식으로 대처함으로써 국민의 건강과 소득을 보장하는 제도를 말한다.
④ 사회보장수급권은 다른 사람에게 양도할 수 있다.
⑤ 국가와 지방자치단체는 최저보장수준과 최저임금 등을 고려하여 사회보장급여의 수준을 결정하여야 한다.</v>
      </c>
      <c r="F173" s="30">
        <f>IFERROR(VLOOKUP(C173,기출문제!D:G,4,0),"")</f>
        <v>5</v>
      </c>
      <c r="G173" s="31" t="str">
        <f t="shared" si="2"/>
        <v/>
      </c>
      <c r="J173" s="23"/>
    </row>
    <row r="174" spans="2:10" s="21" customFormat="1" ht="114" x14ac:dyDescent="0.3">
      <c r="B174" s="17">
        <v>167</v>
      </c>
      <c r="C174" s="27" t="s">
        <v>1023</v>
      </c>
      <c r="D174" s="17"/>
      <c r="E174" s="29" t="str">
        <f>IFERROR(VLOOKUP(C174,기출문제!D:G,3,0),"")</f>
        <v>77. 사회보장기본법상 내용으로 옳지 않은 것은?
① 사회보장기본법은 사회보장에 관한 국민의 권리와 국가 및 지방자치단체의 책임을 정하고 있다.
② 사회보장은 사회참여・자아실현에 필요한 제도와 여건을 조성하여 사회통합과 행복한 복지사회를 실현하는 것을 기본 이념으로 한다.
③ 국가와 지방자치단체의 책임하에 생활 유지 능력이 없거나 생활이 어려운 국민의 최저생활을 보장하고 자립을 지원하는 제도를 공공부조라고 한다.
④ 사회보장위원회는 사회보장급여 관련 업무에 공통적으로 적용되는 기준을 마련하여야 한다.
⑤ 국내에 거주하는 외국인에게 사회보장제도를 적용할 때에는 상호주의의 원칙에 따르되, 관계 법령에서 정하는 바에 따른다.</v>
      </c>
      <c r="F174" s="30">
        <f>IFERROR(VLOOKUP(C174,기출문제!D:G,4,0),"")</f>
        <v>4</v>
      </c>
      <c r="G174" s="31" t="str">
        <f t="shared" si="2"/>
        <v/>
      </c>
      <c r="J174" s="23"/>
    </row>
    <row r="175" spans="2:10" s="21" customFormat="1" ht="142.5" x14ac:dyDescent="0.3">
      <c r="B175" s="17">
        <v>168</v>
      </c>
      <c r="C175" s="27" t="s">
        <v>1024</v>
      </c>
      <c r="D175" s="17"/>
      <c r="E175" s="29" t="str">
        <f>IFERROR(VLOOKUP(C175,기출문제!D:G,3,0),"")</f>
        <v>78. 사회보장기본법상 사회보장정보시스템의 구축・운영 등에 관한 설명으로 옳지 않은 것은?
① 보건복지부장관은 사회보장정보시스템의 구축・운영을 총괄한다.
② 국가와 지방자치단체는 국민편익의 증진과 사회보장업무의 효율성 향상을 위하여 사회보장업무를 전자적으로 관리하도록 노력하여야 한다.
③ 국가와 지방자치단체가 조사하거나 제공받은 개인・법인의 정보는 이 법과 관련 법률에 근거하지 아니하고 보유, 이용, 제공되어서는 아니 된다.
④ 관계 중앙행정기관 및 지방자치단체의 장은 사회보장정보와 관련하여 사회보장정보시스템의 활용이 필요한 경우 사전에 보건복지부장관과 협의하여야 한다.
⑤ 사회복지법인의 보조금 수급이력에 관한 자료는 사회보장정보시스템의 운영을 위하여 수집・보유할 수 있는 정보에 해당하지 않는다.</v>
      </c>
      <c r="F175" s="30">
        <f>IFERROR(VLOOKUP(C175,기출문제!D:G,4,0),"")</f>
        <v>5</v>
      </c>
      <c r="G175" s="31" t="str">
        <f t="shared" si="2"/>
        <v/>
      </c>
      <c r="J175" s="23"/>
    </row>
    <row r="176" spans="2:10" s="21" customFormat="1" ht="85.5" x14ac:dyDescent="0.3">
      <c r="B176" s="17">
        <v>169</v>
      </c>
      <c r="C176" s="27" t="s">
        <v>1025</v>
      </c>
      <c r="D176" s="17"/>
      <c r="E176" s="29" t="str">
        <f>IFERROR(VLOOKUP(C176,기출문제!D:G,3,0),"")</f>
        <v>79. 고용보험법령상 피보험기간이 4년인 자영업자인 경우 구직급여의 소정급여일수는?
① 90일
② 120일
③ 150일
④ 180일
⑤ 210일</v>
      </c>
      <c r="F176" s="30">
        <f>IFERROR(VLOOKUP(C176,기출문제!D:G,4,0),"")</f>
        <v>3</v>
      </c>
      <c r="G176" s="31" t="str">
        <f t="shared" si="2"/>
        <v/>
      </c>
      <c r="J176" s="23"/>
    </row>
    <row r="177" spans="2:10" s="21" customFormat="1" ht="85.5" x14ac:dyDescent="0.3">
      <c r="B177" s="17">
        <v>170</v>
      </c>
      <c r="C177" s="27" t="s">
        <v>1026</v>
      </c>
      <c r="D177" s="17"/>
      <c r="E177" s="29" t="str">
        <f>IFERROR(VLOOKUP(C177,기출문제!D:G,3,0),"")</f>
        <v>80. 고용보험법에서 사용하는 용어의 뜻으로 옳은 것은?
① 피보험자 : 근로기준법상 근로자와 사업주를 말한다.
② 이직 : 근로계약이 당사자의 합의에 의해 해지되는 것을 말하며, 정년퇴직은 포함되지 아니한다.
③ 실업 : 근로의 의사와 능력이 있음에도 불구하고 취업하지 못한 상태에 있는 것을 말한다.
④ 보수 : 사용자로부터 받는 일체의 금품을 말한다.
⑤ 일용근로자 : 3개월 미만 동안 고용된 자를 말한다.</v>
      </c>
      <c r="F177" s="30">
        <f>IFERROR(VLOOKUP(C177,기출문제!D:G,4,0),"")</f>
        <v>3</v>
      </c>
      <c r="G177" s="31" t="str">
        <f t="shared" si="2"/>
        <v/>
      </c>
      <c r="J177" s="23"/>
    </row>
    <row r="178" spans="2:10" s="21" customFormat="1" ht="114" x14ac:dyDescent="0.3">
      <c r="B178" s="17">
        <v>171</v>
      </c>
      <c r="C178" s="27" t="s">
        <v>1027</v>
      </c>
      <c r="D178" s="17"/>
      <c r="E178" s="29" t="str">
        <f>IFERROR(VLOOKUP(C178,기출문제!D:G,3,0),"")</f>
        <v>81. 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
① 15, 1
② 15, 3
③ 60, 1
④ 60, 3
⑤ 90, 1</v>
      </c>
      <c r="F178" s="30">
        <f>IFERROR(VLOOKUP(C178,기출문제!D:G,4,0),"")</f>
        <v>4</v>
      </c>
      <c r="G178" s="31" t="str">
        <f t="shared" si="2"/>
        <v/>
      </c>
      <c r="J178" s="23"/>
    </row>
    <row r="179" spans="2:10" s="21" customFormat="1" ht="85.5" x14ac:dyDescent="0.3">
      <c r="B179" s="17">
        <v>172</v>
      </c>
      <c r="C179" s="27" t="s">
        <v>1028</v>
      </c>
      <c r="D179" s="17"/>
      <c r="E179" s="29" t="str">
        <f>IFERROR(VLOOKUP(C179,기출문제!D:G,3,0),"")</f>
        <v>82. 고용보험법상 피보험자의 관리에 관한 내용으로 옳은 것은?
① 피보험자가 이직을 한 경우에는 이직한 날에 그 피보험자격을 상실한다.
② 이 법의 적용 제외 근로자였던 자가 이 법의 적용을 받게 된 경우에는 해당 사업에 고용된 날에 피보험자격을 취득한다.
③ 피보험자 또는 피보험자였던 자는 언제든지 고용노동부장관에게 피보험자격의 취득 또는 상실에 관한 확인을 청구할 수 있다.
④ 근로자가 보험관계가 성립되어 있는 두 개의 사업에 동시에 고용되어 있는 경우에는 두 개의 피보험자격을 취득한다.
⑤ 피보험자가 사망한 경우에는 사망한 날에 그 피보험자격을 상실한다.</v>
      </c>
      <c r="F179" s="30">
        <f>IFERROR(VLOOKUP(C179,기출문제!D:G,4,0),"")</f>
        <v>3</v>
      </c>
      <c r="G179" s="31" t="str">
        <f t="shared" si="2"/>
        <v/>
      </c>
      <c r="J179" s="23"/>
    </row>
    <row r="180" spans="2:10" s="21" customFormat="1" ht="99.75" x14ac:dyDescent="0.3">
      <c r="B180" s="17">
        <v>173</v>
      </c>
      <c r="C180" s="27" t="s">
        <v>1029</v>
      </c>
      <c r="D180" s="17"/>
      <c r="E180" s="29" t="str">
        <f>IFERROR(VLOOKUP(C180,기출문제!D:G,3,0),"")</f>
        <v>83. 고용보험법령상 구직급여에 관한 내용으로 옳지 않은 것은?
① 구직급여는 수급자격자가 실업한 상태에 있는 날 중에서 직업안정기관의 장으로부터 실업의 인정을 받은 날에 대하여 지급한다.
② 수급자격자가 인터넷 등을 이용하여 구인에 응모한 경우에는 적극적인 재취업 활동을 한 것으로 보지 아니한다.
③ 자영업자가 아닌 피보험자의 피보험 단위기간은 피보험기간 중 보수 지급의 기초가 된 날을 합하여 계산한다.
④ 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
⑤ 구직급여를 지급받으려는 자는 이직 후 지체없이 직업안정기관에 출석하여 실업을 신고해야 한다.</v>
      </c>
      <c r="F180" s="30">
        <f>IFERROR(VLOOKUP(C180,기출문제!D:G,4,0),"")</f>
        <v>2</v>
      </c>
      <c r="G180" s="31" t="str">
        <f t="shared" si="2"/>
        <v/>
      </c>
      <c r="J180" s="23"/>
    </row>
    <row r="181" spans="2:10" s="21" customFormat="1" ht="142.5" x14ac:dyDescent="0.3">
      <c r="B181" s="17">
        <v>174</v>
      </c>
      <c r="C181" s="27" t="s">
        <v>1030</v>
      </c>
      <c r="D181" s="17"/>
      <c r="E181" s="29" t="str">
        <f>IFERROR(VLOOKUP(C181,기출문제!D:G,3,0),"")</f>
        <v>84. 고용보험법령상 고용조정의 지원에 관한 내용으로 옳지 않은 것은?
① 고용노동부장관은 산업구조의 변화에 따른 사업의 전환으로 고용조정이 불가피하게 된 사업주가 근로자에 대한 휴직, 인력의 재배치 등을 실시하면 그 사업주에게 필요한 지원을 할 수 있다.
② 경영상 이유에 따른 사업주의 권고에 따라 퇴직이 예정된 자를 1개월 동안 이직시키지 아니한 경우에는 고용유지지원금을 지급한다.
③ 사업주가 고용유지조치 기간 동안 근로자를 새로 고용하는 경우에는 관할 직업안정기관의 장이 불가피하다고 인정하는 경우를 제외하고는 해당 달에 대한 고용유지지원금을 지급하지 아니한다.
④ 고용노동부장관은 신고한 고용유지조치계획과 다르게 고용유지조치를 이행한 사업주에게는 해당 사실이 발생한 날이 속한 달에 대한 고용유지지원금의 전부 또는 일부를 지급하지 아니할 수 있다.
⑤ 고용유지지원금을 받으려는 사업주는 그 사업의 근로자대표와 협의를 거쳐 고용유지조치계획을 수립해야 한다.</v>
      </c>
      <c r="F181" s="30">
        <f>IFERROR(VLOOKUP(C181,기출문제!D:G,4,0),"")</f>
        <v>2</v>
      </c>
      <c r="G181" s="31" t="str">
        <f t="shared" si="2"/>
        <v/>
      </c>
      <c r="J181" s="23"/>
    </row>
    <row r="182" spans="2:10" s="21" customFormat="1" ht="99.75" x14ac:dyDescent="0.3">
      <c r="B182" s="17">
        <v>175</v>
      </c>
      <c r="C182" s="27" t="s">
        <v>1031</v>
      </c>
      <c r="D182" s="17"/>
      <c r="E182" s="29" t="str">
        <f>IFERROR(VLOOKUP(C182,기출문제!D:G,3,0),"")</f>
        <v>85. 고용보험법령상 자영업자인 피보험자에 대한 실업급여 적용의 특례에 관한 내용으로 옳은 것은?
① 자영업자인 피보험자의 실업급여의 종류에는 조기재취업 수당이 포함된다.
② 자영업자인 피보험자의 실업급여에는 취업촉진 수당이 포함되지 아니한다.
③ 자영업자인 피보험자로서 폐업한 수급자격자에 대한 구직급여일액은 그 수급자격자의 기초일액에 100분의 60을 곱한 금액으로 한다.
④ 폐업사유에 관계없이 수급자격이 인정된다.
⑤ 폐업한 자영업자인 피보험자의 구직급여 수급요건에 재취업을 위한 노력을 적극적으로 하는 것은 포함되지 아니한다.</v>
      </c>
      <c r="F182" s="30">
        <f>IFERROR(VLOOKUP(C182,기출문제!D:G,4,0),"")</f>
        <v>3</v>
      </c>
      <c r="G182" s="31" t="str">
        <f t="shared" si="2"/>
        <v/>
      </c>
      <c r="J182" s="23"/>
    </row>
    <row r="183" spans="2:10" s="21" customFormat="1" ht="128.25" x14ac:dyDescent="0.3">
      <c r="B183" s="17">
        <v>176</v>
      </c>
      <c r="C183" s="27" t="s">
        <v>1032</v>
      </c>
      <c r="D183" s="17"/>
      <c r="E183" s="29" t="str">
        <f>IFERROR(VLOOKUP(C183,기출문제!D:G,3,0),"")</f>
        <v>86. 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
① ㄱ
② ㄴ
③ ㄱ, ㄴ
④ ㄴ, ㄷ
⑤ ㄱ, ㄴ, ㄷ</v>
      </c>
      <c r="F183" s="30">
        <f>IFERROR(VLOOKUP(C183,기출문제!D:G,4,0),"")</f>
        <v>3</v>
      </c>
      <c r="G183" s="31" t="str">
        <f t="shared" si="2"/>
        <v/>
      </c>
      <c r="J183" s="23"/>
    </row>
    <row r="184" spans="2:10" s="21" customFormat="1" ht="142.5" x14ac:dyDescent="0.3">
      <c r="B184" s="17">
        <v>177</v>
      </c>
      <c r="C184" s="27" t="s">
        <v>1033</v>
      </c>
      <c r="D184" s="17"/>
      <c r="E184" s="29" t="str">
        <f>IFERROR(VLOOKUP(C184,기출문제!D:G,3,0),"")</f>
        <v>87. 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
① ㄱ, ㄷ
② ㄴ, ㄹ
③ ㄱ, ㄴ, ㄹ
④ ㄴ, ㄷ, ㄹ
⑤ ㄱ, ㄴ, ㄷ, ㄹ</v>
      </c>
      <c r="F184" s="30">
        <f>IFERROR(VLOOKUP(C184,기출문제!D:G,4,0),"")</f>
        <v>5</v>
      </c>
      <c r="G184" s="31" t="str">
        <f t="shared" si="2"/>
        <v/>
      </c>
      <c r="J184" s="23"/>
    </row>
    <row r="185" spans="2:10" s="21" customFormat="1" ht="128.25" x14ac:dyDescent="0.3">
      <c r="B185" s="17">
        <v>178</v>
      </c>
      <c r="C185" s="27" t="s">
        <v>1034</v>
      </c>
      <c r="D185" s="17"/>
      <c r="E185" s="29" t="str">
        <f>IFERROR(VLOOKUP(C185,기출문제!D:G,3,0),"")</f>
        <v>88. 산업재해보상보험법령상 보험급여에 관한 설명으로 옳지 않은 것은?
① 장해급여 청구사유 발생 당시 대한민국 국민이 아닌 자로서 외국에서 거주하고 있는 근로자에게는 장해보상일시금을 지급한다.
② 2급 장해등급 근로자에게는 장해보상연금 또는 장해보상일시금을 근로자의 선택에 따라 지급한다.
③ 장례비는 장례를 지낼 유족이 없는 경우에는 평균임금의 120일분에 상당하는 금액의 범위에서 실제 드는 비용을 그 장례를 지낸 자에게 지급한다.
④ 상병보상연금을 산정할 때 평균임금이 최저임금액의 70분의 100보다 적을 때에는 최저임금액의 70분의 100에 해당하는 금액을 평균임금으로 본다.
⑤ 요양급여는 소정의 산재보험 의료기관에서 요양을 하게 하는 것이고 부득이한 경우에는 요양을 갈음하여 요양비를 지급할 수 있다.</v>
      </c>
      <c r="F185" s="30">
        <f>IFERROR(VLOOKUP(C185,기출문제!D:G,4,0),"")</f>
        <v>2</v>
      </c>
      <c r="G185" s="31" t="str">
        <f t="shared" si="2"/>
        <v/>
      </c>
      <c r="J185" s="23"/>
    </row>
    <row r="186" spans="2:10" s="21" customFormat="1" ht="99.75" x14ac:dyDescent="0.3">
      <c r="B186" s="17">
        <v>179</v>
      </c>
      <c r="C186" s="27" t="s">
        <v>1035</v>
      </c>
      <c r="D186" s="17"/>
      <c r="E186" s="29" t="str">
        <f>IFERROR(VLOOKUP(C186,기출문제!D:G,3,0),"")</f>
        <v>89. 산업재해보상보험법에 관한 설명으로 옳은 것은?
① 근로자를 진료한 산재보험 의료기관은 요양급여의 신청을 대행할 수 없다.
② 보험급여는 지급결정일로부터 30일 이내에 지급하여야 한다.
③ 근로복지공단은 제3자의 행위에 따른 재해로 보험급여를 지급한 경우에는 손해배상청구권을 대위할 수 없다.
④ 요양급여가 지급된 후 그 지급결정이 취소된 경우 국민건강보험공단은 그 건강보험 요양급여액을 근로복지공단에 청구할 수 있다.
⑤ 보험급여로서 지급된 금품에 대하여는 국가나 지방자치단체의 공과금을 부과하지 아니한다.</v>
      </c>
      <c r="F186" s="30">
        <f>IFERROR(VLOOKUP(C186,기출문제!D:G,4,0),"")</f>
        <v>5</v>
      </c>
      <c r="G186" s="31" t="str">
        <f t="shared" si="2"/>
        <v/>
      </c>
      <c r="J186" s="23"/>
    </row>
    <row r="187" spans="2:10" s="21" customFormat="1" ht="85.5" x14ac:dyDescent="0.3">
      <c r="B187" s="17">
        <v>180</v>
      </c>
      <c r="C187" s="27" t="s">
        <v>1036</v>
      </c>
      <c r="D187" s="17"/>
      <c r="E187" s="32" t="str">
        <f>IFERROR(VLOOKUP(C187,기출문제!D:G,3,0),"")</f>
        <v>90. 산업재해보상보험법령상 특수형태근로종사자의 직종에 해당하는 자는?
① 여신전문금융업법에 따른 신용카드회원 모집인
② 예술인 복지법에 따른 예술인
③ 화물자동차 운수사업법에 따른 화물자동차 운송사업자
④ 자동차관리법에 따른 자동차정비업자
⑤ 여객자동차 운수사업법에 따른 여객자동차 운송사업자</v>
      </c>
      <c r="F187" s="30">
        <f>IFERROR(VLOOKUP(C187,기출문제!D:G,4,0),"")</f>
        <v>1</v>
      </c>
      <c r="G187" s="31" t="str">
        <f t="shared" si="2"/>
        <v/>
      </c>
      <c r="J187" s="23"/>
    </row>
    <row r="188" spans="2:10" s="21" customFormat="1" ht="85.5" x14ac:dyDescent="0.3">
      <c r="B188" s="17">
        <v>181</v>
      </c>
      <c r="C188" s="27" t="s">
        <v>1037</v>
      </c>
      <c r="D188" s="17"/>
      <c r="E188" s="29" t="str">
        <f>IFERROR(VLOOKUP(C188,기출문제!D:G,3,0),"")</f>
        <v>91. 산업재해보상보험법상 과태료 부과 대상이 아닌 경우는?
① 거짓으로 보험급여를 받은 경우
② 심사 청구의 심리・결정 등을 위하여 확인이 필요하다고 인정된 사업장의 조사를 거부한 경우
③ 보험급여 결정 등을 위하여 확인이 필요하다고 인정된 사업장의 조사를 방해한 경우
④ 유사명칭의 사용 금지를 위반하여 근로복지공단 또는 이와 비슷한 명칭을 사용한 경우
⑤ 요양기간을 연장할 필요가 있는 때 제출해야할 진료계획을 정당한 사유 없이 제출하지 아니한 경우</v>
      </c>
      <c r="F188" s="30">
        <f>IFERROR(VLOOKUP(C188,기출문제!D:G,4,0),"")</f>
        <v>1</v>
      </c>
      <c r="G188" s="31" t="str">
        <f t="shared" si="2"/>
        <v/>
      </c>
      <c r="J188" s="23"/>
    </row>
    <row r="189" spans="2:10" s="21" customFormat="1" ht="142.5" x14ac:dyDescent="0.3">
      <c r="B189" s="17">
        <v>182</v>
      </c>
      <c r="C189" s="27" t="s">
        <v>1038</v>
      </c>
      <c r="D189" s="17"/>
      <c r="E189" s="29" t="str">
        <f>IFERROR(VLOOKUP(C189,기출문제!D:G,3,0),"")</f>
        <v>92. 국민연금법상 사업장가입자 자격의 상실 사유에 해당하는 것을 모두 고른 것은?
ㄱ. 사망한 때
ㄴ. 60세가 된 때
ㄷ. 사용관계가 끝난 때
ㄹ. 국적을 상실하거나 국외로 이주한 때
① ㄱ, ㄴ
② ㄱ, ㄴ, ㄷ
③ ㄱ, ㄷ, ㄹ
④ ㄴ, ㄷ, ㄹ
⑤ ㄱ, ㄴ, ㄷ, ㄹ</v>
      </c>
      <c r="F189" s="30">
        <f>IFERROR(VLOOKUP(C189,기출문제!D:G,4,0),"")</f>
        <v>5</v>
      </c>
      <c r="G189" s="31" t="str">
        <f t="shared" si="2"/>
        <v/>
      </c>
      <c r="J189" s="23"/>
    </row>
    <row r="190" spans="2:10" s="21" customFormat="1" ht="128.25" x14ac:dyDescent="0.3">
      <c r="B190" s="17">
        <v>183</v>
      </c>
      <c r="C190" s="27" t="s">
        <v>1039</v>
      </c>
      <c r="D190" s="17"/>
      <c r="E190" s="29" t="str">
        <f>IFERROR(VLOOKUP(C190,기출문제!D:G,3,0),"")</f>
        <v>93. 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
① 1, 55
② 3, 55
③ 3, 60
④ 5, 55
⑤ 5, 60</v>
      </c>
      <c r="F190" s="30">
        <f>IFERROR(VLOOKUP(C190,기출문제!D:G,4,0),"")</f>
        <v>5</v>
      </c>
      <c r="G190" s="31" t="str">
        <f t="shared" si="2"/>
        <v/>
      </c>
      <c r="J190" s="23"/>
    </row>
    <row r="191" spans="2:10" s="21" customFormat="1" ht="128.25" x14ac:dyDescent="0.3">
      <c r="B191" s="17">
        <v>184</v>
      </c>
      <c r="C191" s="27" t="s">
        <v>1040</v>
      </c>
      <c r="D191" s="17"/>
      <c r="E191" s="29" t="str">
        <f>IFERROR(VLOOKUP(C191,기출문제!D:G,3,0),"")</f>
        <v>94. 국민건강보험법령상 보험급여의 제한에 관한 내용으로 옳지 않은 것은?
① 공단은 보험급여를 제한하는 경우에는 지체없이 구두로 그 내용과 사유를 가입자에게 알려야 한다.
② 공단은 보험급여를 받을 수 있는 사람이 중대한 과실로 요양기관의 요양에 관한 지시에 따르지 아니한 경우에는 보험급여를 하지 아니한다.
③ 공단은 보험급여를 받을 수 있는 사람이 다른 법령에 따라 국가나 지방자치단체로부터 보험급여에 상당하는 급여를 받은 경우에는 그 한도에서 보험급여를 하지 아니한다.
④ 공단은 보험급여를 받을 수 있는 사람이 업무로 생긴 질병으로 다른 법령에 따른 보험급여를 받게 된 경우에는 보험급여를 하지 아니한다.
⑤ 공단은 보험급여를 받을 수 있는 사람이 고의로 사고를 일으킨 경우에는 보험급여를 하지 아니한다.</v>
      </c>
      <c r="F191" s="30">
        <f>IFERROR(VLOOKUP(C191,기출문제!D:G,4,0),"")</f>
        <v>1</v>
      </c>
      <c r="G191" s="31" t="str">
        <f t="shared" si="2"/>
        <v/>
      </c>
      <c r="J191" s="23"/>
    </row>
    <row r="192" spans="2:10" s="21" customFormat="1" ht="128.25" x14ac:dyDescent="0.3">
      <c r="B192" s="17">
        <v>185</v>
      </c>
      <c r="C192" s="27" t="s">
        <v>1041</v>
      </c>
      <c r="D192" s="17"/>
      <c r="E192" s="29" t="str">
        <f>IFERROR(VLOOKUP(C192,기출문제!D:G,3,0),"")</f>
        <v>95. 국민건강보험법상 보험료에 관한 내용으로 옳지 않은 것은?
① 보험료는 가입자의 자격을 매월 1일에 취득하는 경우에는 다음 달부터 가입자의 자격을 잃은 날의 전날이 속하는 달까지 징수한다.
② 휴직으로 보수의 전부 또는 일부가 지급되니 아니하는 가입자의 보수월액보험료는 해당 사유가 생기기 전 달의 보수월액을 기준으로 산정한다.
③ 보험료부과점수의 산정방법과 산정기준을 정할 때 법령에 따라 재산권의 행사가 제한되는 재산에 대하여는 다른 재산과 달리 정할 수 있다.
④ 직장가입자의 소득월액보험료는 직장가입자가 부담한다.
⑤ 지역가입자의 보험료는 그 가입자가 속한 세대의 지역가입자 전원이 연대하여 부담한다.</v>
      </c>
      <c r="F192" s="30">
        <f>IFERROR(VLOOKUP(C192,기출문제!D:G,4,0),"")</f>
        <v>1</v>
      </c>
      <c r="G192" s="31" t="str">
        <f t="shared" si="2"/>
        <v/>
      </c>
      <c r="J192" s="23"/>
    </row>
    <row r="193" spans="2:10" s="21" customFormat="1" ht="99.75" x14ac:dyDescent="0.3">
      <c r="B193" s="17">
        <v>186</v>
      </c>
      <c r="C193" s="27" t="s">
        <v>1042</v>
      </c>
      <c r="D193" s="17"/>
      <c r="E193" s="29" t="str">
        <f>IFERROR(VLOOKUP(C193,기출문제!D:G,3,0),"")</f>
        <v>96. 고용보험 및 산업재해보상보험의 보험료징수 등에 관한 법률상 근로복지공단의 업무가 아닌 것은?
① 고용보험료의 월별 부과
② 환수대상이 되는 고용보험료의 지원금의 징수
③ 사업주가 법이 정한 기한까지 확정보험료를 신고하지 않은 경우 부과한 보험료 가산금의 징수
④ 사업주가 법이 정한 납부기한까지 보험료를 내지 아니한 경우 보험료 연체금의 징수
⑤ 사업주가 산재보험료의 납부를 게을리한 기간 중에 발생한 재해에 대하여 산재보험급여를 지급하는 경우 사업주로부터 그 급여에 해당하는 금액의 징수</v>
      </c>
      <c r="F193" s="30">
        <f>IFERROR(VLOOKUP(C193,기출문제!D:G,4,0),"")</f>
        <v>4</v>
      </c>
      <c r="G193" s="31" t="str">
        <f t="shared" si="2"/>
        <v/>
      </c>
      <c r="J193" s="23"/>
    </row>
    <row r="194" spans="2:10" s="21" customFormat="1" ht="114" x14ac:dyDescent="0.3">
      <c r="B194" s="17">
        <v>187</v>
      </c>
      <c r="C194" s="27" t="s">
        <v>1043</v>
      </c>
      <c r="D194" s="17"/>
      <c r="E194" s="29" t="str">
        <f>IFERROR(VLOOKUP(C194,기출문제!D:G,3,0),"")</f>
        <v>97. 고용보험 및 산업재해보상보험의 보험료징수 등에 관한 법령상 보험료 등의 분할 납부에 관한 설명으로 옳은 것은?
① 사업주는 납부기한이 지난 고용보험료의 분할 납부의 승인을 근로복지공단에 신청할 수 있다.
② 건강보험공단은 분할 납부를 신청한 사업주에 대하여 납부능력을 확인하여 보험료와 이 법에 따른 그 밖의 징수금의 분할 납부를 승인할 수 있다.
③ 분할 납부의 승인과 취소에 관한 절차・방법, 분할 납부의 기간 및 납부능력 확인 등에 필요한 사항은 대통령령으로 정한다.
④ 근로복지공단은 분할 납부 승인을 받은 사업주가 분할 납부하여야 하는 보험료를 정당한 사유 없이 내지 아니한 경우에는 분할 납부의 승인을 취소할 수 있다.
⑤ 분할 납부의 총 기간은 분할 납부의 승인을 받은 날의 다음 날부터 1년 이내로 한다.</v>
      </c>
      <c r="F194" s="30">
        <f>IFERROR(VLOOKUP(C194,기출문제!D:G,4,0),"")</f>
        <v>2</v>
      </c>
      <c r="G194" s="31" t="str">
        <f t="shared" si="2"/>
        <v/>
      </c>
      <c r="J194" s="23"/>
    </row>
    <row r="195" spans="2:10" s="21" customFormat="1" ht="128.25" x14ac:dyDescent="0.3">
      <c r="B195" s="17">
        <v>188</v>
      </c>
      <c r="C195" s="27" t="s">
        <v>1044</v>
      </c>
      <c r="D195" s="17"/>
      <c r="E195" s="29" t="str">
        <f>IFERROR(VLOOKUP(C195,기출문제!D:G,3,0),"")</f>
        <v>98. 고용보험 및 산업재해보상보험의 보험료징수 등에 관한 법령상 징수 및 체납 처분 등에 관한 설명으로 옳은 것은?
① 상속이 개시된 경우 피상속인에 대한 처분의 효력은 상속인에게 미치지 않는다.
② 근로복지공단은 월별보험료의 독촉을 받은 자가 그 기한까지 내지 아니한 경우에는 국세 체납처분의 예에 따라 이를 징수할 수 있다.
③ 한국자산관리공사는 공매대행의 의뢰를 받은 날부터 2년 이내에 공매되지 않은 재산이 있으면 국민건강보험공단에 그 재산에 대한 공매대행 의뢰의 해제를 요구할 수 있다.
④ 국민건강보험공단은 독촉할 경우 그 납부기한은 독촉장 발급일부터 7일 이상의 여유가 있도록 하여야 한다.
⑤ 사업주가 국세를 체납하여 체납처분을 받은 경우 보험료의 총액이 500만원이라면 납부기한 전에 이미 납부의무가 확정된 보험료를 징수할 수 없다.</v>
      </c>
      <c r="F195" s="30">
        <f>IFERROR(VLOOKUP(C195,기출문제!D:G,4,0),"")</f>
        <v>3</v>
      </c>
      <c r="G195" s="31" t="str">
        <f t="shared" si="2"/>
        <v/>
      </c>
      <c r="J195" s="23"/>
    </row>
    <row r="196" spans="2:10" s="21" customFormat="1" ht="142.5" x14ac:dyDescent="0.3">
      <c r="B196" s="17">
        <v>189</v>
      </c>
      <c r="C196" s="27" t="s">
        <v>1045</v>
      </c>
      <c r="D196" s="17"/>
      <c r="E196" s="29" t="str">
        <f>IFERROR(VLOOKUP(C196,기출문제!D:G,3,0),"")</f>
        <v>99. 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
① ㄷ
② ㄴ, ㄷ
③ ㄴ, ㄹ
④ ㄴ, ㄷ, ㄹ
⑤ ㄱ, ㄴ, ㄷ, ㄹ</v>
      </c>
      <c r="F196" s="30">
        <f>IFERROR(VLOOKUP(C196,기출문제!D:G,4,0),"")</f>
        <v>4</v>
      </c>
      <c r="G196" s="31" t="str">
        <f t="shared" si="2"/>
        <v/>
      </c>
      <c r="J196" s="23"/>
    </row>
    <row r="197" spans="2:10" s="21" customFormat="1" ht="142.5" x14ac:dyDescent="0.3">
      <c r="B197" s="17">
        <v>190</v>
      </c>
      <c r="C197" s="27" t="s">
        <v>1046</v>
      </c>
      <c r="D197" s="17"/>
      <c r="E197" s="29" t="str">
        <f>IFERROR(VLOOKUP(C197,기출문제!D:G,3,0),"")</f>
        <v>100. 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
① 6개월, 1000분의 15
② 6개월, 1000분의 30
③ 1년, 1000분의 15
④ 1년, 1000분의 30
⑤ 3년, 1000분의 30</v>
      </c>
      <c r="F197" s="30">
        <f>IFERROR(VLOOKUP(C197,기출문제!D:G,4,0),"")</f>
        <v>4</v>
      </c>
      <c r="G197" s="31" t="str">
        <f t="shared" si="2"/>
        <v/>
      </c>
      <c r="J197" s="23"/>
    </row>
    <row r="198" spans="2:10" s="21" customFormat="1" ht="114" x14ac:dyDescent="0.3">
      <c r="B198" s="17">
        <v>191</v>
      </c>
      <c r="C198" s="27" t="s">
        <v>210</v>
      </c>
      <c r="D198" s="17"/>
      <c r="E198" s="29" t="str">
        <f>IFERROR(VLOOKUP(C198,기출문제!D:G,3,0),"")</f>
        <v>76. 사회보장기본법상 내용으로 옳은 것은?
① 사회보장위원회는 사회보장급여 관련 업무에 공통적으로 적용되는 기준을 마련하여야 한다.
② 사회보장 비용의 부담은 각각의 사회보장제도의 목적에 따라 국가, 지방자치단체가 민간부문보다 우선적으로 부담하여야 한다.
③ 국가와 지방자치단체는 관계 법령에서 정하는 바에 따라 공표된 최저보장수준과 최저임금 등을 고려하여 사회보장급여의 수준을 결정하여야 한다.
④ 사회보험에 드는 비용은 수익자가 부담함을 원칙으로 하되, 관계 법령에서 정하는 바에 따라 국가가 그 비용의 전부 또는 일부를 부담할 수 있다.
⑤ 사회보장에 관한 기본계획은 다른 법령에 따라 수립되는 사회보장에 관한 계획을 제외한 모든 계획의 기본이 된다.</v>
      </c>
      <c r="F198" s="30">
        <f>IFERROR(VLOOKUP(C198,기출문제!D:G,4,0),"")</f>
        <v>3</v>
      </c>
      <c r="G198" s="31" t="str">
        <f t="shared" si="2"/>
        <v/>
      </c>
      <c r="J198" s="23"/>
    </row>
    <row r="199" spans="2:10" s="21" customFormat="1" ht="85.5" x14ac:dyDescent="0.3">
      <c r="B199" s="17">
        <v>192</v>
      </c>
      <c r="C199" s="27" t="s">
        <v>1047</v>
      </c>
      <c r="D199" s="17"/>
      <c r="E199" s="29" t="str">
        <f>IFERROR(VLOOKUP(C199,기출문제!D:G,3,0),"")</f>
        <v>77. 사회보장기본법상 사회보장수급권에 관한 내용으로 옳지 않은 것은?
① 사회보장수급권은 관계 법령에서 정하는 바에 따라 다른 사람에게 양도하거나 담보로 제공할 수 없다.
② 사회보장수급권은 관계 법령에서 따로 정하고 있는 경우 외에는 제한되거나 정지될 수 없다.
③ 사회보장수급권이 제한되는 경우에는 제한하는 목적에 필요한 최소한의 범위에 그쳐야 한다.
④ 사회보장수급권은 정당한 권한이 있는 기관에 서면으로 통지하여 포기할 수 있다.
⑤ 사회보장수급권의 포기는 취소할 수 없다.</v>
      </c>
      <c r="F199" s="30">
        <f>IFERROR(VLOOKUP(C199,기출문제!D:G,4,0),"")</f>
        <v>5</v>
      </c>
      <c r="G199" s="31" t="str">
        <f t="shared" si="2"/>
        <v/>
      </c>
      <c r="J199" s="23"/>
    </row>
    <row r="200" spans="2:10" s="21" customFormat="1" ht="128.25" x14ac:dyDescent="0.3">
      <c r="B200" s="17">
        <v>193</v>
      </c>
      <c r="C200" s="27" t="s">
        <v>1048</v>
      </c>
      <c r="D200" s="17"/>
      <c r="E200" s="29" t="str">
        <f>IFERROR(VLOOKUP(C200,기출문제!D:G,3,0),"")</f>
        <v>78. 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
① 3년, 매년
② 3년, 격년
③ 5년, 매년
④ 5년, 격년
⑤ 10년, 격년</v>
      </c>
      <c r="F200" s="30">
        <f>IFERROR(VLOOKUP(C200,기출문제!D:G,4,0),"")</f>
        <v>4</v>
      </c>
      <c r="G200" s="31" t="str">
        <f t="shared" si="2"/>
        <v/>
      </c>
      <c r="J200" s="23"/>
    </row>
    <row r="201" spans="2:10" s="21" customFormat="1" ht="114" x14ac:dyDescent="0.3">
      <c r="B201" s="17">
        <v>194</v>
      </c>
      <c r="C201" s="27" t="s">
        <v>1049</v>
      </c>
      <c r="D201" s="17"/>
      <c r="E201" s="29" t="str">
        <f>IFERROR(VLOOKUP(C201,기출문제!D:G,3,0),"")</f>
        <v>79. 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
① 20만원
② 30만원
③ 40만원
④ 50만원
⑤ 60만원</v>
      </c>
      <c r="F201" s="30">
        <f>IFERROR(VLOOKUP(C201,기출문제!D:G,4,0),"")</f>
        <v>4</v>
      </c>
      <c r="G201" s="31" t="str">
        <f t="shared" ref="G201:G264" si="3">IF(D201="","",IF(D201=F201,"O", "X"))</f>
        <v/>
      </c>
      <c r="J201" s="23"/>
    </row>
    <row r="202" spans="2:10" s="21" customFormat="1" ht="99.75" x14ac:dyDescent="0.3">
      <c r="B202" s="17">
        <v>195</v>
      </c>
      <c r="C202" s="27" t="s">
        <v>1050</v>
      </c>
      <c r="D202" s="17"/>
      <c r="E202" s="29" t="str">
        <f>IFERROR(VLOOKUP(C202,기출문제!D:G,3,0),"")</f>
        <v>80. 고용보험법령상 고용창출에 대한 지원을 받을 수 있는 경우가 아닌 것은?
① 교대근로 개편을 통하여 실업자를 고용함으로써 근로자 수가 증가한 경우
② 시간제 직무 개발을 통하여 실업자를 근로계약기간을 정하지 않고 시간제로 근무하는 형태로 하여 새로 고용하는 경우
③ 고용보험위원회에서 심의・의결한 인력수급 불일치 업종에 해당하는 기업이 실업자를 고용하는 경우
④ 고용노동부장관이 정하는 시설을 설치・운영하여 고용환경을 개선하고 실업자를 고용하여 근로자 수가 증가한 경우
⑤ 고용보험위원회에서 심의・의결한 업종에 해당하는 대규모기업이 직업안정기관의 장이 정하는 전문적인 자격을 갖춘 자를 고용하는 경우</v>
      </c>
      <c r="F202" s="30">
        <f>IFERROR(VLOOKUP(C202,기출문제!D:G,4,0),"")</f>
        <v>5</v>
      </c>
      <c r="G202" s="31" t="str">
        <f t="shared" si="3"/>
        <v/>
      </c>
      <c r="J202" s="23"/>
    </row>
    <row r="203" spans="2:10" s="21" customFormat="1" ht="128.25" x14ac:dyDescent="0.3">
      <c r="B203" s="17">
        <v>196</v>
      </c>
      <c r="C203" s="27" t="s">
        <v>1051</v>
      </c>
      <c r="D203" s="17"/>
      <c r="E203" s="29" t="str">
        <f>IFERROR(VLOOKUP(C203,기출문제!D:G,3,0),"")</f>
        <v>81. 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
① ㄱ
② ㄱ, ㄴ
③ ㄱ, ㄷ
④ ㄴ, ㄷ
⑤ ㄱ, ㄴ, ㄷ</v>
      </c>
      <c r="F203" s="30">
        <f>IFERROR(VLOOKUP(C203,기출문제!D:G,4,0),"")</f>
        <v>1</v>
      </c>
      <c r="G203" s="31" t="str">
        <f t="shared" si="3"/>
        <v/>
      </c>
      <c r="J203" s="23"/>
    </row>
    <row r="204" spans="2:10" s="21" customFormat="1" ht="85.5" x14ac:dyDescent="0.3">
      <c r="B204" s="17">
        <v>197</v>
      </c>
      <c r="C204" s="27" t="s">
        <v>1052</v>
      </c>
      <c r="D204" s="17"/>
      <c r="E204" s="29" t="str">
        <f>IFERROR(VLOOKUP(C204,기출문제!D:G,3,0),"")</f>
        <v>82. 고용보험법상 구직급여의 소정급여일수로 옳은 것은?
① 피보험기간 4년, 이직일 현재 25세인 비장애인: 90일
② 피보험기간 2년, 이직일 현재 35세인 장애인: 120일
③ 피보험기간 4년, 이직일 현재 40세인 비장애인: 120일
④ 피보험기간 6년, 이직일 현재 30세인 장애인: 180일
⑤ 피보험기간 10년, 이직일 현재 45세인 비장애인: 240일</v>
      </c>
      <c r="F204" s="30">
        <f>IFERROR(VLOOKUP(C204,기출문제!D:G,4,0),"")</f>
        <v>5</v>
      </c>
      <c r="G204" s="31" t="str">
        <f t="shared" si="3"/>
        <v/>
      </c>
      <c r="J204" s="23"/>
    </row>
    <row r="205" spans="2:10" s="21" customFormat="1" ht="128.25" x14ac:dyDescent="0.3">
      <c r="B205" s="17">
        <v>198</v>
      </c>
      <c r="C205" s="27" t="s">
        <v>1053</v>
      </c>
      <c r="D205" s="17"/>
      <c r="E205" s="29" t="str">
        <f>IFERROR(VLOOKUP(C205,기출문제!D:G,3,0),"")</f>
        <v>83. 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
① ㄱ
② ㄱ, ㄴ
③ ㄱ, ㄷ
④ ㄴ, ㄷ
⑤ ㄱ, ㄴ, ㄷ</v>
      </c>
      <c r="F205" s="30">
        <f>IFERROR(VLOOKUP(C205,기출문제!D:G,4,0),"")</f>
        <v>1</v>
      </c>
      <c r="G205" s="31" t="str">
        <f t="shared" si="3"/>
        <v/>
      </c>
      <c r="J205" s="23"/>
    </row>
    <row r="206" spans="2:10" s="21" customFormat="1" ht="114" x14ac:dyDescent="0.3">
      <c r="B206" s="17">
        <v>199</v>
      </c>
      <c r="C206" s="27" t="s">
        <v>1054</v>
      </c>
      <c r="D206" s="17"/>
      <c r="E206" s="29" t="str">
        <f>IFERROR(VLOOKUP(C206,기출문제!D:G,3,0),"")</f>
        <v>84. 고용보험법상 고용보험기금에 관한 설명으로 옳지 않은 것은?
① 고용노동부장관은 매년 고용보험기금운용 계획을 세워 고용보험위원회 및 국무회의의 심의를 거쳐 대통령의 승인을 받아야 한다.
② 고용보험기금을 지출할 때 자금 부족이 발생한 경우에는 고용보험기금의 부담으로 금융기관・다른 기금과 그 밖의 재원 등으로부터 차입을 할 수 있다.
③ 고용노동부장관은 매년 고용보험기금의 운용 결과에 대하여 고용보험위원회의 심의를 거쳐 공표하여야 한다.
④ 고용보험기금의 관리・운용에 관한 세부 사항은 국고금관리법의 규정에 따른다.
⑤ 고용보험기금의 결산상 손실금이 생기면 적립금을 사용하여 이를 보전(補塡)할 수 있다.</v>
      </c>
      <c r="F206" s="30">
        <f>IFERROR(VLOOKUP(C206,기출문제!D:G,4,0),"")</f>
        <v>4</v>
      </c>
      <c r="G206" s="31" t="str">
        <f t="shared" si="3"/>
        <v/>
      </c>
      <c r="J206" s="23"/>
    </row>
    <row r="207" spans="2:10" s="21" customFormat="1" ht="85.5" x14ac:dyDescent="0.3">
      <c r="B207" s="17">
        <v>200</v>
      </c>
      <c r="C207" s="27" t="s">
        <v>1055</v>
      </c>
      <c r="D207" s="17"/>
      <c r="E207" s="29" t="str">
        <f>IFERROR(VLOOKUP(C207,기출문제!D:G,3,0),"")</f>
        <v>85. 산업재해보상보험법령상의 보험급여의 내용으로 옳지 않은 것은?
① 장해급여 청구사유 발생 당시 대한민국 국민이 아닌 자로서 외국에서 거주하고 있는 근로자에게는 장해보상일시금을 지급한다.
② 간병급여 수급권자가 재요양을 받는 경우 그 재요양 기간 중에는 간병급여를 지급하지 않는다.
③ 유족보상일시금은 근로자가 사망할 당시 유족보상연금을 받을 수 있는 자격이 있는 자가 없는 경우에 지급한다.
④ 유족급여는 근로자가 업무상의 사유로 사망한 경우에 유족에게 지급한다.
⑤ 장례비는 유족이 아닌 자가 장례를 지낸 경우에는 평균임금의 120일분을 그 장례를 지낸 자에게 지급한다.</v>
      </c>
      <c r="F207" s="30">
        <f>IFERROR(VLOOKUP(C207,기출문제!D:G,4,0),"")</f>
        <v>5</v>
      </c>
      <c r="G207" s="31" t="str">
        <f t="shared" si="3"/>
        <v/>
      </c>
      <c r="J207" s="23"/>
    </row>
    <row r="208" spans="2:10" s="21" customFormat="1" ht="85.5" x14ac:dyDescent="0.3">
      <c r="B208" s="17">
        <v>201</v>
      </c>
      <c r="C208" s="27" t="s">
        <v>1056</v>
      </c>
      <c r="D208" s="17"/>
      <c r="E208" s="29" t="str">
        <f>IFERROR(VLOOKUP(C208,기출문제!D:G,3,0),"")</f>
        <v>86. 산업재해보상보험법상 심사청구의 제기와 관련한 내용으로 옳지 않은 것은?
① 심사 청구는 그 보험급여 결정등을 한 근로복지공단의 소속 기관을 거쳐 근로복지공단에 제기하여야 한다.
② 심사 청구는 보험급여 결정등이 있음을 안 날부터 90일 이내에 하여야 한다.
③ 심사 청구서를 받은 근로복지공단의 소속 기관은 5일 이내에 의견서를 첨부하여 근로복지공단에 보내야 한다.
④ 보험급여 결정등에 대하여 행정심판법에 따른 행정심판을 제기할 수 있다.
⑤ 약제비에 관한 근로복지공단의 결정에 불복하는 자는 근로복지공단에 심사 청구를 할 수 있다.</v>
      </c>
      <c r="F208" s="30">
        <f>IFERROR(VLOOKUP(C208,기출문제!D:G,4,0),"")</f>
        <v>4</v>
      </c>
      <c r="G208" s="31" t="str">
        <f t="shared" si="3"/>
        <v/>
      </c>
      <c r="J208" s="23"/>
    </row>
    <row r="209" spans="2:10" s="21" customFormat="1" ht="114" x14ac:dyDescent="0.3">
      <c r="B209" s="17">
        <v>202</v>
      </c>
      <c r="C209" s="27" t="s">
        <v>1057</v>
      </c>
      <c r="D209" s="17"/>
      <c r="E209" s="29" t="str">
        <f>IFERROR(VLOOKUP(C209,기출문제!D:G,3,0),"")</f>
        <v>87. 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
① 70, 80
② 80, 80
③ 80, 90
④ 85, 90
⑤ 90, 90</v>
      </c>
      <c r="F209" s="30">
        <f>IFERROR(VLOOKUP(C209,기출문제!D:G,4,0),"")</f>
        <v>3</v>
      </c>
      <c r="G209" s="31" t="str">
        <f t="shared" si="3"/>
        <v/>
      </c>
      <c r="J209" s="23"/>
    </row>
    <row r="210" spans="2:10" s="21" customFormat="1" ht="85.5" x14ac:dyDescent="0.3">
      <c r="B210" s="17">
        <v>203</v>
      </c>
      <c r="C210" s="27" t="s">
        <v>1058</v>
      </c>
      <c r="D210" s="17"/>
      <c r="E210" s="32" t="str">
        <f>IFERROR(VLOOKUP(C210,기출문제!D:G,3,0),"")</f>
        <v>88. 산업재해보상보험법령상 특수형태근로종사자가 아닌 것은?
① 한국표준직업분류표의 세분류에 따른 택배원인 사람으로서 택배사업에서 배송업무를 하는 사람
② 농업협동조합법에 따른 공제를 모집하는 사람
③ 대부업 등의 등록 및 금융이용자 보호에 관한 법률 제3조제1항 단서에 따른 대출모집인
④ 여신전문금융업법 제14조의2제1항제2호에 따른 신용카드회원 모집인
⑤ 고용노동부장관이 정하는 기준에 따라 주로 하나의 대리운전업자로부터 업무를 의뢰받아 대리운전업무를 하는 사람</v>
      </c>
      <c r="F210" s="30">
        <f>IFERROR(VLOOKUP(C210,기출문제!D:G,4,0),"")</f>
        <v>2</v>
      </c>
      <c r="G210" s="31" t="str">
        <f t="shared" si="3"/>
        <v/>
      </c>
      <c r="J210" s="23"/>
    </row>
    <row r="211" spans="2:10" s="21" customFormat="1" ht="128.25" x14ac:dyDescent="0.3">
      <c r="B211" s="17">
        <v>204</v>
      </c>
      <c r="C211" s="27" t="s">
        <v>1059</v>
      </c>
      <c r="D211" s="17"/>
      <c r="E211" s="29" t="str">
        <f>IFERROR(VLOOKUP(C211,기출문제!D:G,3,0),"")</f>
        <v>89. 산업재해보상보험법상 다음 내용으로 옳은 것은?
① 보험급여는 지급 결정일부터 30일 이내에 지급하여야 한다.
② 수급권자 및 보험가입자는 제3자의 행위로 재해가 발생하면 30일 이내에 근로복지공단에 신고하여야 한다.
③ 진폐의 진단결과에 대하여 진폐병형 및 합병증 등을 심사하기 위하여 안전보건공단에 관계 전문가 등으로 구성된 진폐심사회의를 둔다.
④ 근로복지공단은 산재보험 의료기관이 요양급여의 산정 기준을 위반하여 부당하게 진료비를 지급받은 경우에는 그 진료비의 2배에 해당하는 금액을 징수하여야 한다.
⑤ 근로복지공단은 보험급여를 받은 자가 거짓이나 그 밖의 부정한 방법으로 보험급여를 받은 경우에는 그 급여액의 2배에 해당하는 금액을 징수하여야 한다.</v>
      </c>
      <c r="F211" s="30">
        <f>IFERROR(VLOOKUP(C211,기출문제!D:G,4,0),"")</f>
        <v>5</v>
      </c>
      <c r="G211" s="31" t="str">
        <f t="shared" si="3"/>
        <v/>
      </c>
      <c r="J211" s="23"/>
    </row>
    <row r="212" spans="2:10" s="21" customFormat="1" ht="85.5" x14ac:dyDescent="0.3">
      <c r="B212" s="17">
        <v>205</v>
      </c>
      <c r="C212" s="27" t="s">
        <v>1060</v>
      </c>
      <c r="D212" s="17"/>
      <c r="E212" s="29" t="str">
        <f>IFERROR(VLOOKUP(C212,기출문제!D:G,3,0),"")</f>
        <v>90. 산업재해보상보험법령상 산업재해보상보험및예방심의위원회의 위원의 임기 등과 관련한 내용으로 옳지 않은 것은?
① 위원의 임기는 3년으로 하며, 연임할 수 없다.
② 보궐위원의 임기는 전임자의 남은 임기로 한다.
③ 고용노동부장관은 심신장애로 인하여 직무를 수행할 수 없게 된 경우 해당 위원을 해촉(解囑)할 수 있다.
④ 고용노동부장관은 직무와 관련된 비위사실이 있는 경우 해당 위원을 해촉(解囑)할 수 있다.
⑤ 고용노동부장관은 위원 스스로 직무를 수행하는 것이 곤란하다고 의사를 밝히는 경우 해당 위원을 해촉(解囑)할 수 있다.</v>
      </c>
      <c r="F212" s="30">
        <f>IFERROR(VLOOKUP(C212,기출문제!D:G,4,0),"")</f>
        <v>1</v>
      </c>
      <c r="G212" s="31" t="str">
        <f t="shared" si="3"/>
        <v/>
      </c>
      <c r="J212" s="23"/>
    </row>
    <row r="213" spans="2:10" s="21" customFormat="1" ht="114" x14ac:dyDescent="0.3">
      <c r="B213" s="17">
        <v>206</v>
      </c>
      <c r="C213" s="27" t="s">
        <v>1061</v>
      </c>
      <c r="D213" s="17"/>
      <c r="E213" s="29" t="str">
        <f>IFERROR(VLOOKUP(C213,기출문제!D:G,3,0),"")</f>
        <v>91. 산업재해보상보험법에 관한 설명으로 옳은 것은?
① "장해"란 부상 또는 질병이 완치되거나 치료의 효과를 더 이상 기대할 수 없고 그 증상이 고정된 상태에 이르게 된 것을 말한다.
② 근로복지공단의 이사장은 산업재해 예방 사업에 필요한 재원을 확보하고, 보험급여에 충당하기 위하여 산업재해보상보험및예방기금을 설치・운용한다.
③ 산업재해보상보험심사위원회는 근로복지공단에 두며, 산업재해보상보험재심사위원회는 고용노동부에 둔다.
④ "업무상의 사고"란 업무상의 사유에 따른 근로자의 부상, 질병, 장해 또는 사망을 말한다.
⑤ 근로복지공단은 심사청구서를 받은 날부터 90일 이내에 산업재해보상보험심사위원회의 심의를 거쳐 심사 청구에 대한 결정을 하여야 한다.</v>
      </c>
      <c r="F213" s="30">
        <f>IFERROR(VLOOKUP(C213,기출문제!D:G,4,0),"")</f>
        <v>3</v>
      </c>
      <c r="G213" s="31" t="str">
        <f t="shared" si="3"/>
        <v/>
      </c>
      <c r="J213" s="23"/>
    </row>
    <row r="214" spans="2:10" s="21" customFormat="1" ht="114" x14ac:dyDescent="0.3">
      <c r="B214" s="17">
        <v>207</v>
      </c>
      <c r="C214" s="27" t="s">
        <v>1062</v>
      </c>
      <c r="D214" s="17"/>
      <c r="E214" s="29" t="str">
        <f>IFERROR(VLOOKUP(C214,기출문제!D:G,3,0),"")</f>
        <v>92. 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
① 10, 60, 55
② 10, 60, 60
③ 10, 65, 60
④ 20, 60, 55
⑤ 20, 65, 60</v>
      </c>
      <c r="F214" s="30">
        <f>IFERROR(VLOOKUP(C214,기출문제!D:G,4,0),"")</f>
        <v>1</v>
      </c>
      <c r="G214" s="31" t="str">
        <f t="shared" si="3"/>
        <v/>
      </c>
      <c r="J214" s="23"/>
    </row>
    <row r="215" spans="2:10" s="21" customFormat="1" ht="99.75" x14ac:dyDescent="0.3">
      <c r="B215" s="17">
        <v>208</v>
      </c>
      <c r="C215" s="27" t="s">
        <v>1063</v>
      </c>
      <c r="D215" s="17"/>
      <c r="E215" s="29" t="str">
        <f>IFERROR(VLOOKUP(C215,기출문제!D:G,3,0),"")</f>
        <v>93. 국민연금법상 시효에 관한 설명으로 옳지 않은 것은?
① 연금보험료를 징수할 권리는 3년간 행사하지 아니하면 소멸시효가 완성된다.
② 환수금을 환수할 권리는 3년간 행사하지 아니하면 소멸시효가 완성된다.
③ 급여를 받거나 과오납금을 반환받을 수급권자 또는 가입자 등의 권리는 3년간 행사하지 아니하면 소멸시효가 완성된다.
④ 급여를 지급받을 권리는 그 급여 전액에 대하여 지급이 정지되어 있는 동안은 시효가 진행되지 아니한다.
⑤ 급여의 지급이나 과오납금 등의 반환청구에 관한 기간을 계산할 때 그 서류의 송달에 들어간 일수는 그 기간에 산입하지 아니한다.</v>
      </c>
      <c r="F215" s="30">
        <f>IFERROR(VLOOKUP(C215,기출문제!D:G,4,0),"")</f>
        <v>3</v>
      </c>
      <c r="G215" s="31" t="str">
        <f t="shared" si="3"/>
        <v/>
      </c>
      <c r="J215" s="23"/>
    </row>
    <row r="216" spans="2:10" s="21" customFormat="1" ht="85.5" x14ac:dyDescent="0.3">
      <c r="B216" s="17">
        <v>209</v>
      </c>
      <c r="C216" s="27" t="s">
        <v>1064</v>
      </c>
      <c r="D216" s="17"/>
      <c r="E216" s="29" t="str">
        <f>IFERROR(VLOOKUP(C216,기출문제!D:G,3,0),"")</f>
        <v>94. 국민건강보험법상 가입자의 자격변동 시기에 해당하지 않는 것은?
① 지역가입자가 적용대상사업장의 사용자로 된 날
② 직장가입자가 다른 적용대상사업장의 근로자로 사용된 날
③ 직장가입자인 근로자등이 그 사용관계가 끝난 날
④ 지역가입자가 적용대상사업장의 근로자로 사용된 날
⑤ 지역가입자가 다른 세대로 전입한 날</v>
      </c>
      <c r="F216" s="30">
        <f>IFERROR(VLOOKUP(C216,기출문제!D:G,4,0),"")</f>
        <v>3</v>
      </c>
      <c r="G216" s="31" t="str">
        <f t="shared" si="3"/>
        <v/>
      </c>
      <c r="J216" s="23"/>
    </row>
    <row r="217" spans="2:10" s="21" customFormat="1" ht="99.75" x14ac:dyDescent="0.3">
      <c r="B217" s="17">
        <v>210</v>
      </c>
      <c r="C217" s="27" t="s">
        <v>1065</v>
      </c>
      <c r="D217" s="17"/>
      <c r="E217" s="29" t="str">
        <f>IFERROR(VLOOKUP(C217,기출문제!D:G,3,0),"")</f>
        <v>95. 국민건강보험법상 다음 설명으로 옳지 않은 것은?
① 직장가입자의 보수월액보험료는 사용자가 납부한다.
② 직장가입자의 보수월액보험료는 보수월액에 보험료율을 곱하여 얻은 금액으로 한다.
③ 직장가입자의 보수월액은 직장가입자가 지급받는 보수를 기준으로 하여 산정하되, 상한과 하한을 정할 수 있다.
④ 국민건강보험공단 또는 건강보험심사평가원의 이의신청에 대한 결정에 불복하는 자는 보건복지부에 둔 건강보험분쟁조정위원회에 심판청구를 할 수 있다.
⑤ 이의신청은 처분이 있음을 안 날부터 60일 이내, 처분이 있은 날부터 180일 이내에 하여야 한다.</v>
      </c>
      <c r="F217" s="30">
        <f>IFERROR(VLOOKUP(C217,기출문제!D:G,4,0),"")</f>
        <v>5</v>
      </c>
      <c r="G217" s="31" t="str">
        <f t="shared" si="3"/>
        <v/>
      </c>
      <c r="J217" s="23"/>
    </row>
    <row r="218" spans="2:10" s="21" customFormat="1" ht="99.75" x14ac:dyDescent="0.3">
      <c r="B218" s="17">
        <v>211</v>
      </c>
      <c r="C218" s="27" t="s">
        <v>1066</v>
      </c>
      <c r="D218" s="17"/>
      <c r="E218" s="29" t="str">
        <f>IFERROR(VLOOKUP(C218,기출문제!D:G,3,0),"")</f>
        <v>96. 고용보험 및 산업재해보상보험의 보험료 징수 등에 관한 법률상 소멸시효 등 보칙에 관한 설명으로 옳은 것은?
① 보험료를 반환받을 수 있는 권리는 1년간 행사하지 아니하면 시효로 인하여 소멸한다.
② 월별보험료 납입을 전자문서로 고지한 경우에는 소멸시효가 중단되지 않는다.
③ 사업종류의 변경으로 보험료 납부방법이 변경되는 경우에는 사업종류의 변경일을 변경 전 사업 폐지일로, 사업종류의 변경일 다음 날을 새로운 사업성립일로 본다.
④ 보험료 과납액의 반환을 청구하는 경우에는 소멸시효가 중단되지 않는다.
⑤ 이 법에 따른 체납처분 절차에 따라 하는 교부청구로 중단된 소멸시효는 교부청구 중의 기간이 지난 때부터 새로 진행한다.</v>
      </c>
      <c r="F218" s="30">
        <f>IFERROR(VLOOKUP(C218,기출문제!D:G,4,0),"")</f>
        <v>5</v>
      </c>
      <c r="G218" s="31" t="str">
        <f t="shared" si="3"/>
        <v/>
      </c>
      <c r="J218" s="23"/>
    </row>
    <row r="219" spans="2:10" s="21" customFormat="1" ht="114" x14ac:dyDescent="0.3">
      <c r="B219" s="17">
        <v>212</v>
      </c>
      <c r="C219" s="27" t="s">
        <v>1067</v>
      </c>
      <c r="D219" s="17"/>
      <c r="E219" s="29" t="str">
        <f>IFERROR(VLOOKUP(C219,기출문제!D:G,3,0),"")</f>
        <v>97. 고용보험 및 산업재해보상보험의 보험료 징수 등에 관한 법령상 고용노동부장관이 정하여 고시하는 금액(기준보수)에 관한 설명으로 옳지 않은 것은?
① 사업의 도산으로 보수를 확인하기 곤란한 경우 기준보수를 보수로 할 수 있다.
② 사업장의 이전으로 사업의 소재지를 파악하기 곤란한 경우 기준보수를 보수로 할 수 있다.
③ 근로일에 따라 일당 형식의 보수를 지급받는 근로자에게는 주당 소정근로시간을 실제 근로한 시간으로 보아 일단위 기준보수를 적용한다.
④ 통상근로자로서 월정액으로 보수를 지급받는 근로자에게는 월단위 기준보수를 적용한다.
⑤ 시간급근로자 또는 일급근로자임이 명확하지 아니한 경우에는 월단위 기준보수를 적용한다.</v>
      </c>
      <c r="F219" s="30">
        <f>IFERROR(VLOOKUP(C219,기출문제!D:G,4,0),"")</f>
        <v>3</v>
      </c>
      <c r="G219" s="31" t="str">
        <f t="shared" si="3"/>
        <v/>
      </c>
      <c r="J219" s="23"/>
    </row>
    <row r="220" spans="2:10" s="21" customFormat="1" ht="114" x14ac:dyDescent="0.3">
      <c r="B220" s="17">
        <v>213</v>
      </c>
      <c r="C220" s="27" t="s">
        <v>1068</v>
      </c>
      <c r="D220" s="17"/>
      <c r="E220" s="29" t="str">
        <f>IFERROR(VLOOKUP(C220,기출문제!D:G,3,0),"")</f>
        <v>98. 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
① 10, 2, 15
② 10, 3, 15
③ 15, 2, 15
④ 15, 3, 15
⑤ 20, 2, 15</v>
      </c>
      <c r="F220" s="30">
        <f>IFERROR(VLOOKUP(C220,기출문제!D:G,4,0),"")</f>
        <v>2</v>
      </c>
      <c r="G220" s="31" t="str">
        <f t="shared" si="3"/>
        <v/>
      </c>
      <c r="J220" s="23"/>
    </row>
    <row r="221" spans="2:10" s="21" customFormat="1" ht="142.5" x14ac:dyDescent="0.3">
      <c r="B221" s="17">
        <v>214</v>
      </c>
      <c r="C221" s="27" t="s">
        <v>1069</v>
      </c>
      <c r="D221" s="17"/>
      <c r="E221" s="29" t="str">
        <f>IFERROR(VLOOKUP(C221,기출문제!D:G,3,0),"")</f>
        <v>99. 고용보험 및 산업재해보상보험의 보험료 징수 등에 관한 법령의 내용으로 옳은 것은?
① 고용보험료를 징수하는 경우, 근로자가 휴직기간 중에 사업주 외의 자로부터 지급받는 금품 일체는 보수에서 제외된다.
② "하수급인"이란 원수급인으로부터 그 사업의 전부 또는 일부를 도급받아 하는 자를 말하고, 그 자로부터 그 사업의 전부 또는 일부를 도급받아 하는 자는 제외한다.
③ 보험에 가입한 사업주는 그 이름, 사업의 소재지 등 대통령령으로 정하는 사항이 변경된 경우에는 그 날부터 7일 이내에 그 변경사항을 근로복지공단에 신고하여야 한다.
④ 근로기준법에 따른 출산전후휴가의 기간이 월의 중간에 종료된 경우에 그 근로자의 월별보험료는 해당 월의 다음 달부터 산정한다.
⑤ 보험사업에 드는 비용에 충당하기 위하여 보험가입자로부터 고용안정・직업능력개발사업 및 실업급여의 보험료, 육아휴직 급여 및 출산전후휴가 급여의 보험료, 산재보험의 보험료를 징수한다.</v>
      </c>
      <c r="F221" s="30">
        <f>IFERROR(VLOOKUP(C221,기출문제!D:G,4,0),"")</f>
        <v>4</v>
      </c>
      <c r="G221" s="31" t="str">
        <f t="shared" si="3"/>
        <v/>
      </c>
      <c r="J221" s="23"/>
    </row>
    <row r="222" spans="2:10" s="21" customFormat="1" ht="128.25" x14ac:dyDescent="0.3">
      <c r="B222" s="17">
        <v>215</v>
      </c>
      <c r="C222" s="27" t="s">
        <v>1070</v>
      </c>
      <c r="D222" s="17"/>
      <c r="E222" s="29" t="str">
        <f>IFERROR(VLOOKUP(C222,기출문제!D:G,3,0),"")</f>
        <v>100. 고용보험 및 산업재해보상보험의 보험료 징수 등에 관한 법률상 보험관계의 성립일 또는 소멸일에 관한 설명으로 옳은 것은?
① 보험에 가입한 하수급인의 경우에는 그 하도급공사의 착공일의 다음 날이 성립일이다.
② 가입사업주가 그 사업의 운영 중에 근로자를 고용하지 아니하게 된 때에 근로자를 사용하지 아니한 첫 날부터 1년이 되는 날이 소멸일이다.
③ 근로복지공단이 계속하여 보험관계를 유지할 수 없다고 인정하여 그 보험관계를 소멸시키는 경우에는 그 소멸을 결정・통지한 날의 다음 날이 소멸일이다.
④ 근로복지공단의 승인을 얻어 가입한 보험계약을 해지하는 경우에는 그 해지에 관하여 근로복지공단의 승인을 받은 날이 소멸일이다.
⑤ 일괄적용을 받는 사업의 경우에는 처음하는 사업이 시작된 날의 다음 날이 성립일이다.</v>
      </c>
      <c r="F222" s="30">
        <f>IFERROR(VLOOKUP(C222,기출문제!D:G,4,0),"")</f>
        <v>3</v>
      </c>
      <c r="G222" s="31" t="str">
        <f t="shared" si="3"/>
        <v/>
      </c>
      <c r="J222" s="23"/>
    </row>
    <row r="223" spans="2:10" s="21" customFormat="1" ht="114" x14ac:dyDescent="0.3">
      <c r="B223" s="17">
        <v>216</v>
      </c>
      <c r="C223" s="27" t="s">
        <v>253</v>
      </c>
      <c r="D223" s="17"/>
      <c r="E223" s="29" t="str">
        <f>IFERROR(VLOOKUP(C223,기출문제!D:G,3,0),"")</f>
        <v>76. 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
① 사회보험, 공공부조, 사회안전망
② 공공부조, 사회서비스, 사회안전망
③ 사회보험, 공공부조, 사회서비스
④ 사회서비스, 사회안전망, 사회보험
⑤ 보편적 복지, 공공부조, 사회서비스</v>
      </c>
      <c r="F223" s="30">
        <f>IFERROR(VLOOKUP(C223,기출문제!D:G,4,0),"")</f>
        <v>3</v>
      </c>
      <c r="G223" s="31" t="str">
        <f t="shared" si="3"/>
        <v/>
      </c>
      <c r="J223" s="23"/>
    </row>
    <row r="224" spans="2:10" s="21" customFormat="1" ht="85.5" x14ac:dyDescent="0.3">
      <c r="B224" s="17">
        <v>217</v>
      </c>
      <c r="C224" s="27" t="s">
        <v>842</v>
      </c>
      <c r="D224" s="17"/>
      <c r="E224" s="29" t="str">
        <f>IFERROR(VLOOKUP(C224,기출문제!D:G,3,0),"")</f>
        <v>77. 사회보장기본법령상 사회보장위원회의 구성에 관한 설명으로 옳은 것은?
① 농림축산식품부장관, 환경부장관은 위원회의 위원이다.
② 대통령이 위촉한 근로자를 대표하는 위원은 어떤 경우에도 해촉될 수 없다.
③ 보궐위원의 임기는 2년으로 한다.
④ 위원회의 위원장은 행정자치부장관이 된다.
⑤ 위원회의 사무를 효율적으로 처리하기 위하여 행정자치부에 사무국을 둔다.</v>
      </c>
      <c r="F224" s="30">
        <f>IFERROR(VLOOKUP(C224,기출문제!D:G,4,0),"")</f>
        <v>1</v>
      </c>
      <c r="G224" s="31" t="str">
        <f t="shared" si="3"/>
        <v/>
      </c>
      <c r="J224" s="23"/>
    </row>
    <row r="225" spans="2:10" s="21" customFormat="1" ht="99.75" x14ac:dyDescent="0.3">
      <c r="B225" s="17">
        <v>218</v>
      </c>
      <c r="C225" s="27" t="s">
        <v>843</v>
      </c>
      <c r="D225" s="17"/>
      <c r="E225" s="29" t="str">
        <f>IFERROR(VLOOKUP(C225,기출문제!D:G,3,0),"")</f>
        <v>78. 사회보장기본법상 내용으로 옳지 않은 것은?
① 국가와 지방자치단체는 모든 국민의 인간다운 생활을 유지・증진하는 책임을 가진다.
② 국가와 지방자치단체는 사회보장에 관한 책임과 역할을 합리적으로 분담하여야 한다.
③ 국가와 지방자치단체는 국가 발전수준에 부응하고 사회환경의 변화에 선제적으로 대응하며 지속가능한 사회보장제도를 확립하고 매년 이에 필요한 재원을 조달하여야 한다.
④ 국가와 지방자치단체는 가정이 건전하게 유지되고 그 기능이 향상되도록 노력하여야 한다.
⑤ 국가와 지방자치단체는 중장기 사회보장 재정추계를 격년으로 실시하고 이를 공표하여야 한다.</v>
      </c>
      <c r="F225" s="30">
        <f>IFERROR(VLOOKUP(C225,기출문제!D:G,4,0),"")</f>
        <v>5</v>
      </c>
      <c r="G225" s="31" t="str">
        <f t="shared" si="3"/>
        <v/>
      </c>
      <c r="J225" s="23"/>
    </row>
    <row r="226" spans="2:10" s="21" customFormat="1" ht="128.25" x14ac:dyDescent="0.3">
      <c r="B226" s="17">
        <v>219</v>
      </c>
      <c r="C226" s="27" t="s">
        <v>844</v>
      </c>
      <c r="D226" s="17"/>
      <c r="E226" s="29" t="str">
        <f>IFERROR(VLOOKUP(C226,기출문제!D:G,3,0),"")</f>
        <v>79. 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
① 10일
② 15일
③ 30일
④ 2개월
⑤ 3개월</v>
      </c>
      <c r="F226" s="30">
        <f>IFERROR(VLOOKUP(C226,기출문제!D:G,4,0),"")</f>
        <v>3</v>
      </c>
      <c r="G226" s="31" t="str">
        <f t="shared" si="3"/>
        <v/>
      </c>
      <c r="J226" s="23"/>
    </row>
    <row r="227" spans="2:10" s="21" customFormat="1" ht="114" x14ac:dyDescent="0.3">
      <c r="B227" s="17">
        <v>220</v>
      </c>
      <c r="C227" s="27" t="s">
        <v>845</v>
      </c>
      <c r="D227" s="17"/>
      <c r="E227" s="29" t="str">
        <f>IFERROR(VLOOKUP(C227,기출문제!D:G,3,0),"")</f>
        <v>80. 고용보험법령상 구직급여에 관한 설명으로 옳지 않은 것은?
① 구직급여를 받으려는 자는 이직 후 지체없이 직업안정기관에 출석하여 실업을 신고하여야 한다.
② 구직급여를 지급받기 위해 실업을 신고하려는 자가 사업주로부터 이직확인서를 발급받는 경우에는 이를 소재지 관할 직업안정기관의 장에게 제출하여야 한다.
③ 직업안정기관의 장은 수급자격 인정신청서를 제출한 자가 구직급여의 수급자격이 인정되지 아니하는 경우에는 그 신청인과 사업주에게 해당 사실을 알려야 한다.
④ 수급자격자가 주민등록번호를 변경하거나 정정한 경우에는 신청지 관할 직업안정기관의 장에게 신고하여야 한다.
⑤ 구직급여는 수급자격자가 실업한 상태에 있는 날 중에서 직업안정기관의 장으로 부터 인정을 받은 날에 대하여 지급한다.</v>
      </c>
      <c r="F227" s="30">
        <f>IFERROR(VLOOKUP(C227,기출문제!D:G,4,0),"")</f>
        <v>3</v>
      </c>
      <c r="G227" s="31" t="str">
        <f t="shared" si="3"/>
        <v/>
      </c>
      <c r="J227" s="23"/>
    </row>
    <row r="228" spans="2:10" s="21" customFormat="1" ht="114" x14ac:dyDescent="0.3">
      <c r="B228" s="17">
        <v>221</v>
      </c>
      <c r="C228" s="27" t="s">
        <v>846</v>
      </c>
      <c r="D228" s="17"/>
      <c r="E228" s="29" t="str">
        <f>IFERROR(VLOOKUP(C228,기출문제!D:G,3,0),"")</f>
        <v>81. 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
① 50만원
② 100만원
③ 실업급여수급계좌에 입금된 금액 전액
④ 실업급여수급계좌에 입금된 금액 반액
⑤ 실업급여수급계좌에 입금된 금액 일부</v>
      </c>
      <c r="F228" s="30">
        <f>IFERROR(VLOOKUP(C228,기출문제!D:G,4,0),"")</f>
        <v>3</v>
      </c>
      <c r="G228" s="31" t="str">
        <f t="shared" si="3"/>
        <v/>
      </c>
      <c r="J228" s="23"/>
    </row>
    <row r="229" spans="2:10" s="21" customFormat="1" ht="142.5" x14ac:dyDescent="0.3">
      <c r="B229" s="17">
        <v>222</v>
      </c>
      <c r="C229" s="27" t="s">
        <v>847</v>
      </c>
      <c r="D229" s="17"/>
      <c r="E229" s="29" t="str">
        <f>IFERROR(VLOOKUP(C229,기출문제!D:G,3,0),"")</f>
        <v>82. 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
① ㄱ
② ㄱ, ㄴ
③ ㄱ, ㄷ
④ ㄴ, ㄷ
⑤ ㄱ, ㄴ, ㄷ</v>
      </c>
      <c r="F229" s="30">
        <f>IFERROR(VLOOKUP(C229,기출문제!D:G,4,0),"")</f>
        <v>5</v>
      </c>
      <c r="G229" s="31" t="str">
        <f t="shared" si="3"/>
        <v/>
      </c>
      <c r="J229" s="23"/>
    </row>
    <row r="230" spans="2:10" s="21" customFormat="1" ht="85.5" x14ac:dyDescent="0.3">
      <c r="B230" s="17">
        <v>223</v>
      </c>
      <c r="C230" s="27" t="s">
        <v>848</v>
      </c>
      <c r="D230" s="17"/>
      <c r="E230" s="29" t="str">
        <f>IFERROR(VLOOKUP(C230,기출문제!D:G,3,0),"")</f>
        <v>83. 고용보험법령상 과태료 부과 대상이 아닌 것은?
① 사업주가 이직확인서를 거짓으로 작성하여 제출하는 경우
② 고용노동부장관이 부정수급 조사를 위하여 관계인의 출석을 요구함에도 출석을 거부하는 경우
③ 심사의 청구를 받아 하는 고용보험심사관의 질문에 거짓으로 진술한 경우
④ 사업주가 피보험자격 취득에 관한 확인청구를 한 것을 이유로 그 근로자에게 불이익한 처우를 한 경우
⑤ 사업주가 그 사업에 고용된 근로자의 피보험자격 취득에 관한 사항을 고용노동부장관에게 신고하지 아니한 경우</v>
      </c>
      <c r="F230" s="30">
        <f>IFERROR(VLOOKUP(C230,기출문제!D:G,4,0),"")</f>
        <v>4</v>
      </c>
      <c r="G230" s="31" t="str">
        <f t="shared" si="3"/>
        <v/>
      </c>
      <c r="J230" s="23"/>
    </row>
    <row r="231" spans="2:10" s="21" customFormat="1" ht="85.5" x14ac:dyDescent="0.3">
      <c r="B231" s="17">
        <v>224</v>
      </c>
      <c r="C231" s="27" t="s">
        <v>849</v>
      </c>
      <c r="D231" s="17"/>
      <c r="E231" s="29" t="str">
        <f>IFERROR(VLOOKUP(C231,기출문제!D:G,3,0),"")</f>
        <v>84. 고용보험법상 피보험기간이 2년일 경우 이직일 현재 연령에 따른 구직급여의 소정급여일수가 옳은 것은?
① 25세 장애인 : 180일
② 28세 비장애인 : 120일
③ 35세 비장애인 : 120일
④ 40세 비장애인 : 180일
⑤ 55세 장애인 : 210일</v>
      </c>
      <c r="F231" s="30">
        <f>IFERROR(VLOOKUP(C231,기출문제!D:G,4,0),"")</f>
        <v>1</v>
      </c>
      <c r="G231" s="31" t="str">
        <f t="shared" si="3"/>
        <v/>
      </c>
      <c r="J231" s="23"/>
    </row>
    <row r="232" spans="2:10" s="21" customFormat="1" ht="99.75" x14ac:dyDescent="0.3">
      <c r="B232" s="17">
        <v>225</v>
      </c>
      <c r="C232" s="27" t="s">
        <v>850</v>
      </c>
      <c r="D232" s="17"/>
      <c r="E232" s="29" t="str">
        <f>IFERROR(VLOOKUP(C232,기출문제!D:G,3,0),"")</f>
        <v>85. 산업재해보상보험법상 재요양을 받는 자에 대한 1일당 휴업급여 지급액을 산정한 결과가 최저임금액보다 적은 경우, 1일당 휴업급여 지급액은 얼마인가?
① 최저임금액의 100분의 70에 상당하는 금액
② 최저임금액
③ 최저임금액의 100분의 120에 상당하는 금액
④ 통상임금액의 100분의 60에 상당하는 금액
⑤ 통상임금액의 100분의 70에 상당하는 금액</v>
      </c>
      <c r="F232" s="30">
        <f>IFERROR(VLOOKUP(C232,기출문제!D:G,4,0),"")</f>
        <v>2</v>
      </c>
      <c r="G232" s="31" t="str">
        <f t="shared" si="3"/>
        <v/>
      </c>
      <c r="J232" s="23"/>
    </row>
    <row r="233" spans="2:10" s="21" customFormat="1" ht="85.5" x14ac:dyDescent="0.3">
      <c r="B233" s="17">
        <v>226</v>
      </c>
      <c r="C233" s="27" t="s">
        <v>851</v>
      </c>
      <c r="D233" s="17"/>
      <c r="E233" s="29" t="str">
        <f>IFERROR(VLOOKUP(C233,기출문제!D:G,3,0),"")</f>
        <v>86. 산업재해보상보험법상 직업재활급여에 관한 설명으로 옳지 않은 것은?
① 훈련대상자에 대한 직업훈련은 근로복지공단과 계약을 체결한 직업훈련기관에서 실시하게 한다.
② 상병보상연금을 받는 훈련대상자에게는 직업훈련수당을 지급하지 아니한다.
③ 직장적응훈련비의 지급기간은 3개월 이내로 한다.
④ 재활운동비는 장해급여자에게 직접 지급한다.
⑤ 직장복귀지원금의 지급기간은 12개월 이내로 한다.</v>
      </c>
      <c r="F233" s="30">
        <f>IFERROR(VLOOKUP(C233,기출문제!D:G,4,0),"")</f>
        <v>4</v>
      </c>
      <c r="G233" s="31" t="str">
        <f t="shared" si="3"/>
        <v/>
      </c>
      <c r="J233" s="23"/>
    </row>
    <row r="234" spans="2:10" s="21" customFormat="1" ht="85.5" x14ac:dyDescent="0.3">
      <c r="B234" s="17">
        <v>227</v>
      </c>
      <c r="C234" s="27" t="s">
        <v>852</v>
      </c>
      <c r="D234" s="17"/>
      <c r="E234" s="29" t="str">
        <f>IFERROR(VLOOKUP(C234,기출문제!D:G,3,0),"")</f>
        <v>87. 산업재해보상보험법령상 업무상 질병에 관한 설명으로 옳지 않은 것은?
① 신체부담업무의 수행 과정에서 발생한 일시적인 급격한 힘의 작용으로 근골격계 질병이 발병하면 업무상 질병으로 본다.
② 업무수행 과정에서 석면에 노출되어 발생한 석면폐증은 업무상 질병으로 본다.
③ 업무수행 과정에서 카드뮴 또는 그 화합물에 2년 이상 노출되어 발생한 후각신경마비는 업무상 질병으로 본다.
④ 업무수행 과정에서 고객의 폭언 등과 직접 관련된 스트레스로 생긴 우울병 에피소드는 업무상 질병으로 보지 않는다.
⑤ 업무와 관련하여 정신적 충격을 유발할 수 있는 사건에 의해 발생한 외상후스트레스장애는 업무상 질병으로 본다.</v>
      </c>
      <c r="F234" s="30">
        <f>IFERROR(VLOOKUP(C234,기출문제!D:G,4,0),"")</f>
        <v>4</v>
      </c>
      <c r="G234" s="31" t="str">
        <f t="shared" si="3"/>
        <v/>
      </c>
      <c r="J234" s="23"/>
    </row>
    <row r="235" spans="2:10" s="21" customFormat="1" ht="99.75" x14ac:dyDescent="0.3">
      <c r="B235" s="17">
        <v>228</v>
      </c>
      <c r="C235" s="27" t="s">
        <v>853</v>
      </c>
      <c r="D235" s="17"/>
      <c r="E235" s="29" t="str">
        <f>IFERROR(VLOOKUP(C235,기출문제!D:G,3,0),"")</f>
        <v>88. 산업재해보상보험법상 근로자가 업무상의 사유로 사망한 경우 그 장례를 지낸 유족에게 장례비를 지급한다. 이 때 장례비는 평균임금의 며칠분에 상당하는 금액을 지급하는가?
① 60일
② 90일
③ 120일
④ 150일
⑤ 180일</v>
      </c>
      <c r="F235" s="30">
        <f>IFERROR(VLOOKUP(C235,기출문제!D:G,4,0),"")</f>
        <v>3</v>
      </c>
      <c r="G235" s="31" t="str">
        <f t="shared" si="3"/>
        <v/>
      </c>
      <c r="J235" s="23"/>
    </row>
    <row r="236" spans="2:10" s="21" customFormat="1" ht="99.75" x14ac:dyDescent="0.3">
      <c r="B236" s="17">
        <v>229</v>
      </c>
      <c r="C236" s="27" t="s">
        <v>854</v>
      </c>
      <c r="D236" s="17"/>
      <c r="E236" s="29" t="str">
        <f>IFERROR(VLOOKUP(C236,기출문제!D:G,3,0),"")</f>
        <v>89. 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
① ㄱ: 1, ㄴ: 1
② ㄱ: 1, ㄴ: 2
③ ㄱ: 2, ㄴ: 1
④ ㄱ: 2, ㄴ: 2
⑤ ㄱ: 3, ㄴ: 2</v>
      </c>
      <c r="F236" s="30">
        <f>IFERROR(VLOOKUP(C236,기출문제!D:G,4,0),"")</f>
        <v>3</v>
      </c>
      <c r="G236" s="31" t="str">
        <f t="shared" si="3"/>
        <v/>
      </c>
      <c r="J236" s="23"/>
    </row>
    <row r="237" spans="2:10" s="21" customFormat="1" ht="85.5" x14ac:dyDescent="0.3">
      <c r="B237" s="17">
        <v>230</v>
      </c>
      <c r="C237" s="27" t="s">
        <v>855</v>
      </c>
      <c r="D237" s="17"/>
      <c r="E237" s="29" t="str">
        <f>IFERROR(VLOOKUP(C237,기출문제!D:G,3,0),"")</f>
        <v>90. 산업재해보상보험법령상 업무상 사고가 아닌 것은?
① 근로계약에 따른 업무수행 행위를 하던 중 발생한 사고
② 업무수행 과정에서 하는 용변 등 생리적 필요 행위를 하던 중 발생한 사고
③ 업무를 준비하거나 마무리하는 행위를 하던 중 발생한 사고
④ 업무에 따르는 필요적 부수행위를 하던 중 발생한 사고
⑤ 출장 중에 사적 행위 또는 정상적인 출장 경로를 벗어났을 때 발생한 사고</v>
      </c>
      <c r="F237" s="30">
        <f>IFERROR(VLOOKUP(C237,기출문제!D:G,4,0),"")</f>
        <v>5</v>
      </c>
      <c r="G237" s="31" t="str">
        <f t="shared" si="3"/>
        <v/>
      </c>
      <c r="J237" s="23"/>
    </row>
    <row r="238" spans="2:10" s="21" customFormat="1" ht="128.25" x14ac:dyDescent="0.3">
      <c r="B238" s="17">
        <v>231</v>
      </c>
      <c r="C238" s="27" t="s">
        <v>856</v>
      </c>
      <c r="D238" s="17"/>
      <c r="E238" s="29" t="str">
        <f>IFERROR(VLOOKUP(C238,기출문제!D:G,3,0),"")</f>
        <v>91. 국민연금법상 유족연금 수급권자의 유족연금 수급권이 소멸되는 사유를 모두 고른 것은?
ㄱ. 장애등급 2등급인 자녀가 19세가 된 때
ㄴ. 손자녀인 수급권자가 파양된 때
ㄷ. 배우자인 수급권자가 재혼한 때
① ㄱ
② ㄱ, ㄴ
③ ㄱ, ㄷ
④ ㄴ, ㄷ
⑤ ㄱ, ㄴ, ㄷ</v>
      </c>
      <c r="F238" s="30">
        <f>IFERROR(VLOOKUP(C238,기출문제!D:G,4,0),"")</f>
        <v>4</v>
      </c>
      <c r="G238" s="31" t="str">
        <f t="shared" si="3"/>
        <v/>
      </c>
      <c r="J238" s="23"/>
    </row>
    <row r="239" spans="2:10" s="21" customFormat="1" ht="128.25" x14ac:dyDescent="0.3">
      <c r="B239" s="17">
        <v>232</v>
      </c>
      <c r="C239" s="27" t="s">
        <v>857</v>
      </c>
      <c r="D239" s="17"/>
      <c r="E239" s="29" t="str">
        <f>IFERROR(VLOOKUP(C239,기출문제!D:G,3,0),"")</f>
        <v>92. 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① ㄱ: 10, ㄴ: 2
② ㄱ: 10, ㄴ: 3
③ ㄱ: 20, ㄴ: 2
④ ㄱ: 20, ㄴ: 3
⑤ ㄱ: 30, ㄴ: 2</v>
      </c>
      <c r="F239" s="30">
        <f>IFERROR(VLOOKUP(C239,기출문제!D:G,4,0),"")</f>
        <v>2</v>
      </c>
      <c r="G239" s="31" t="str">
        <f t="shared" si="3"/>
        <v/>
      </c>
      <c r="J239" s="23"/>
    </row>
    <row r="240" spans="2:10" s="21" customFormat="1" ht="85.5" x14ac:dyDescent="0.3">
      <c r="B240" s="17">
        <v>233</v>
      </c>
      <c r="C240" s="27" t="s">
        <v>858</v>
      </c>
      <c r="D240" s="17"/>
      <c r="E240" s="29" t="str">
        <f>IFERROR(VLOOKUP(C240,기출문제!D:G,3,0),"")</f>
        <v>93. 국민건강보험법상 보험료 부담 및 납부의무에 관한 설명으로 옳지 않은 것은?
① 직장가입자의 보수월액보험료는 직장가입자가 보험료액의 100분의 50을 부담한다.
② 직장가입자의 소득월액보험료는 직장가입자가 부담한다.
③ 지역가입자의 보험료는 그 가입자가 속한 세대의 지역가입자 전원이 연대하여 부담한다.
④ 직장가입자의 보수월액보험료는 사용자가 납부한다.
⑤ 공무원인 직장가입자의 보수월액보험료는 그 공무원이 소속되어 있는 국가 또는 지방자치단체가 보험료액의 전액을 부담한다.</v>
      </c>
      <c r="F240" s="30">
        <f>IFERROR(VLOOKUP(C240,기출문제!D:G,4,0),"")</f>
        <v>5</v>
      </c>
      <c r="G240" s="31" t="str">
        <f t="shared" si="3"/>
        <v/>
      </c>
      <c r="J240" s="23"/>
    </row>
    <row r="241" spans="2:10" s="21" customFormat="1" ht="85.5" x14ac:dyDescent="0.3">
      <c r="B241" s="17">
        <v>234</v>
      </c>
      <c r="C241" s="27" t="s">
        <v>859</v>
      </c>
      <c r="D241" s="17"/>
      <c r="E241" s="29" t="str">
        <f>IFERROR(VLOOKUP(C241,기출문제!D:G,3,0),"")</f>
        <v>94. 국민건강보험법상 보험급여의 정지 사유에 해당하는 것은?
① 고의로 인한 범죄행위에 그 원인이 있는 경우
② 국외에 체류하는 경우
③ 고의로 국민건강보험공단의 지시를 따르지 않은 경우
④ 중대한 과실로 국민건강보험공단에서 요구하는 문서나 물건을 제출하지 않은 경우
⑤ 업무로 생긴 질병으로 인해 다른 법령에 따라 보상을 받게 된 경우</v>
      </c>
      <c r="F241" s="30">
        <f>IFERROR(VLOOKUP(C241,기출문제!D:G,4,0),"")</f>
        <v>2</v>
      </c>
      <c r="G241" s="31" t="str">
        <f t="shared" si="3"/>
        <v/>
      </c>
      <c r="J241" s="23"/>
    </row>
    <row r="242" spans="2:10" s="21" customFormat="1" ht="142.5" x14ac:dyDescent="0.3">
      <c r="B242" s="17">
        <v>235</v>
      </c>
      <c r="C242" s="27" t="s">
        <v>860</v>
      </c>
      <c r="D242" s="17"/>
      <c r="E242" s="29" t="str">
        <f>IFERROR(VLOOKUP(C242,기출문제!D:G,3,0),"")</f>
        <v>95. 고용보험 및 산업재해보상보험의 보험료징수 등에 관한 법률상 보수총액 등의 신고에 관한 설명으로 옳은 것은?
① 사업주는 근로자를 새로 고용한 경우 그 근로자의 성명 등을 그 근로자를 고용한 날이 속하는 달의 말일까지 근로복지공단에 신고하여야 한다.
② 사업주는 사업의 폐지・종료 등으로 보험관계가 소멸한 때에는 그 보험관계가 소멸한 날이 속하는 달의 다음 달 15일까지 근로자에게 지급한 보수총액 등을 근로복지공단에 신고하여야 한다.
③ 사업주는 전년도에 근로자에게 지급한 보수총액 등을 매년 1월 말일까지 근로복지공단에 신고하여야 한다.
④ 사업주는 근로자가 휴직하는 경우에는 그 사유 발생일이 속하는 달의 다음 달 15일까지 그 사실을 근로복지공단에 신고하여야 한다.
⑤ 사업주는 근로자와 고용관계를 종료한 때에는 그 근로자에게 지급한 보수총액, 고용관계 종료일 등을 그 근로자의 고용관계가 종료한 날이 속하는 달의 다음 달 15일까지 근로복지공단에 신고하여야 한다.</v>
      </c>
      <c r="F242" s="30">
        <f>IFERROR(VLOOKUP(C242,기출문제!D:G,4,0),"")</f>
        <v>5</v>
      </c>
      <c r="G242" s="31" t="str">
        <f t="shared" si="3"/>
        <v/>
      </c>
      <c r="J242" s="23"/>
    </row>
    <row r="243" spans="2:10" s="21" customFormat="1" ht="128.25" x14ac:dyDescent="0.3">
      <c r="B243" s="17">
        <v>236</v>
      </c>
      <c r="C243" s="27" t="s">
        <v>861</v>
      </c>
      <c r="D243" s="17"/>
      <c r="E243" s="29" t="str">
        <f>IFERROR(VLOOKUP(C243,기출문제!D:G,3,0),"")</f>
        <v>96. 고용보험 및 산업재해보상보험의 보험료징수 등에 관한 법령에 관한 설명으로 옳은 것은?
① 해외파견자에 대한 산재보험의 가입을 승인하려면 직업안정법에 따른 국외근로자 공급사업이 아니어야 한다.
② 해외파견자에 대한 산재보험 가입의 승인을 받은 경우 파견예정자의 보험관계 성립일은 출국한 날의 다음 날이다.
③ 자영업자에 대한 특례에 따라 고용보험에 가입한 자영업자가 50명 이상의 근로자를 사용하게 된 경우에는 본인은 피보험자격을 유지할 수 없다.
④ 자영업자에게 적용하는 고용보험료율은 보험수지의 동향과 경제상황 등을 고려하여 정하는 데, 현재 고용안정・직업능력개발사업의 보험료율은 1천분의 25이다.
⑤ 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v>
      </c>
      <c r="F243" s="30">
        <f>IFERROR(VLOOKUP(C243,기출문제!D:G,4,0),"")</f>
        <v>1</v>
      </c>
      <c r="G243" s="31" t="str">
        <f t="shared" si="3"/>
        <v/>
      </c>
      <c r="J243" s="23"/>
    </row>
    <row r="244" spans="2:10" s="21" customFormat="1" ht="114" x14ac:dyDescent="0.3">
      <c r="B244" s="17">
        <v>237</v>
      </c>
      <c r="C244" s="27" t="s">
        <v>862</v>
      </c>
      <c r="D244" s="17"/>
      <c r="E244" s="29" t="str">
        <f>IFERROR(VLOOKUP(C244,기출문제!D:G,3,0),"")</f>
        <v>97. 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
① ㄱ: 55, ㄴ: 18
② ㄱ: 60, ㄴ: 18
③ ㄱ: 60, ㄴ: 25
④ ㄱ: 65, ㄴ: 18
⑤ ㄱ: 65, ㄴ: 25</v>
      </c>
      <c r="F244" s="30">
        <f>IFERROR(VLOOKUP(C244,기출문제!D:G,4,0),"")</f>
        <v>4</v>
      </c>
      <c r="G244" s="31" t="str">
        <f t="shared" si="3"/>
        <v/>
      </c>
      <c r="J244" s="23"/>
    </row>
    <row r="245" spans="2:10" s="21" customFormat="1" ht="114" x14ac:dyDescent="0.3">
      <c r="B245" s="17">
        <v>238</v>
      </c>
      <c r="C245" s="27" t="s">
        <v>863</v>
      </c>
      <c r="D245" s="17"/>
      <c r="E245" s="29" t="str">
        <f>IFERROR(VLOOKUP(C245,기출문제!D:G,3,0),"")</f>
        <v>98. 고용보험 및 산업재해보상보험의 보험료징수 등에 관한 법령상 보험가입자에 관한 설명으로 옳지 않은 것은?
① 고용보험을 적용받는 사업의 사업주와 근로자는 당연히 고용보험법에 따른 고용보험의 보험가입자가 된다.
② 산업재해보상보험법을 적용받는 사업의 사업주는 당연히 산업재해보상보험법에 따른 산업재해보상보험의 보험가입자가 된다.
③ 고용보험법에 따라 같은 법을 적용하지 아니하는 사업장의 근로자는 개별적으로 고용보험에 가입할 수 있다.
④ 산업재해보상보험법에 따라 같은 법을 적용하지 아니하는 사업의 사업주는 근로복지공단의 승인을 받아 산재보험에 가입할 수 있다.
⑤ 근로복지공단은 사업 실체가 없는 등의 사유로 계속하여 보험관계를 유지할 수 없다고 인정하는 경우에는 그 보험관계를 소멸시킬 수 있다.</v>
      </c>
      <c r="F245" s="30">
        <f>IFERROR(VLOOKUP(C245,기출문제!D:G,4,0),"")</f>
        <v>3</v>
      </c>
      <c r="G245" s="31" t="str">
        <f t="shared" si="3"/>
        <v/>
      </c>
      <c r="J245" s="23"/>
    </row>
    <row r="246" spans="2:10" s="21" customFormat="1" ht="156.75" x14ac:dyDescent="0.3">
      <c r="B246" s="17">
        <v>239</v>
      </c>
      <c r="C246" s="27" t="s">
        <v>864</v>
      </c>
      <c r="D246" s="17"/>
      <c r="E246" s="29" t="str">
        <f>IFERROR(VLOOKUP(C246,기출문제!D:G,3,0),"")</f>
        <v>99. 고용보험 및 산업재해보상보험의 보험료징수 등에 관한 법률상 고액・상습 체납자의 인적사항 공개에 관한 설명으로 옳지 않은 것은?
① 국민건강보험공단은 이 법에 따른 납부기한의 다음 날부터 1년이 지난 보험료의 총액이 1억원 이상인 체납자에 대하여는 그 인적사항등을 공개하여야 한다.
② 국민건강보험공단은 체납된 보험료, 이 법에 따른 그 밖의 징수금과 체납처분비와 관련하여 행정소송이 계류 중인 경우에는 체납자의 인적사항등을 공개할 수 없다.
③ 체납자의 인정사항등에 대한 공개 여부를 심의하기 위하여 국민건강보험공단에 보험료정보공개심의위원회를 둔다.
④ 국민건강보험공단은 보험료정보공개심의위원회의 심의를 거쳐 인정사항등의 공개가 결정된 자에 대하여 공개대상자임을 알림으로써 소명할 기회를 주어야 한다.
⑤ 체납자 인적사항등의 공개는 관보에 게재하거나, 고용・산재정보통신망 또는 국민건강보험공단 게시판에 게시하는 방법에 따른다.</v>
      </c>
      <c r="F246" s="30">
        <f>IFERROR(VLOOKUP(C246,기출문제!D:G,4,0),"")</f>
        <v>1</v>
      </c>
      <c r="G246" s="31" t="str">
        <f t="shared" si="3"/>
        <v/>
      </c>
      <c r="J246" s="23"/>
    </row>
    <row r="247" spans="2:10" s="21" customFormat="1" ht="114" x14ac:dyDescent="0.3">
      <c r="B247" s="17">
        <v>240</v>
      </c>
      <c r="C247" s="27" t="s">
        <v>865</v>
      </c>
      <c r="D247" s="17"/>
      <c r="E247" s="29" t="str">
        <f>IFERROR(VLOOKUP(C247,기출문제!D:G,3,0),"")</f>
        <v>100. 고용보험 및 산업재해보상보험의 보험료징수 등에 관한 법령상 산재보험료율의 구성은 다음과 같다. ( ) 안에 들어갈 내용으로 옳은 것은?
○ 산재보험료율(100%) = [산재보험급여지급률 + 추가지출률](ㄱ)% + 부가보험료율(ㄴ)%
① ㄱ: 70, ㄴ: 30
② ㄱ: 75, ㄴ: 25
③ ㄱ: 80, ㄴ: 20
④ ㄱ: 85, ㄴ: 15
⑤ ㄱ: 90, ㄴ: 10</v>
      </c>
      <c r="F247" s="30">
        <f>IFERROR(VLOOKUP(C247,기출문제!D:G,4,0),"")</f>
        <v>4</v>
      </c>
      <c r="G247" s="31" t="str">
        <f t="shared" si="3"/>
        <v/>
      </c>
      <c r="J247" s="23"/>
    </row>
    <row r="248" spans="2:10" s="21" customFormat="1" ht="114" x14ac:dyDescent="0.3">
      <c r="B248" s="17">
        <v>241</v>
      </c>
      <c r="C248" s="27" t="s">
        <v>288</v>
      </c>
      <c r="D248" s="17"/>
      <c r="E248" s="29" t="str">
        <f>IFERROR(VLOOKUP(C248,기출문제!D:G,3,0),"")</f>
        <v>76. 사회보장기본법상 사회보장정책의 기본방향에 관한 설명으로 옳지 않은 것은?
① 국가와 지방자치단체는 평생사회안전망을 구축・운영함에 있어 사회적 취약계층을 위한 공공부조를 마련하여 최저생활을 보장하여야 한다.
② 국가와 지방자치단체는 공공부문과 민간부문의 소득보장제도가 각각 독자적으로 구축될 수 있는 시책을 강구하여야 한다.
③ 국가와 지방자치단체는 모든 국민이 생애 동안 삶의 질을 유지・증진할 수 있도록 평생사회안전망을 구축하여야 한다.
④ 국가와 지방자치단체는 사회서비스 보장과 소득보장이 효과적이고 균형적으로 연계되도록 하여야 한다.
⑤ 국가와 지방자치단체는 모든 국민의 인간다운 생활과 자립, 사회참여, 자아실현 등을 지원하여 삶의 질이 향상될 수 있도록 사회서비스에 관한 시책을 마련하여야 한다.</v>
      </c>
      <c r="F248" s="30">
        <f>IFERROR(VLOOKUP(C248,기출문제!D:G,4,0),"")</f>
        <v>2</v>
      </c>
      <c r="G248" s="31" t="str">
        <f t="shared" si="3"/>
        <v/>
      </c>
      <c r="J248" s="23"/>
    </row>
    <row r="249" spans="2:10" s="21" customFormat="1" ht="128.25" x14ac:dyDescent="0.3">
      <c r="B249" s="17">
        <v>242</v>
      </c>
      <c r="C249" s="27" t="s">
        <v>816</v>
      </c>
      <c r="D249" s="17"/>
      <c r="E249" s="29" t="str">
        <f>IFERROR(VLOOKUP(C249,기출문제!D:G,3,0),"")</f>
        <v>77. 사회보장기본법상 사회보장위원회에 관한 설명으로 옳지 않은 것은?
① 사회보장에 관한 주요 시책을 심의・조정하기 위하여 국무총리 소속으로 사회보장위원회를 둔다.
② 관계 중앙행정기관의 장과 지방자치단체의 장은 사회보장위원회의 심의・조정사항을 반영하여 사회보장제도를 운영 또는 개선하여야 한다.
③ 사회보장위원회는 위원장 1명, 부위원장 3명과 행정자치부장관, 고용노동부장관, 여성가족부장관, 국토교통부장관을 포함한 20명 이내의 위원으로 구성한다.
④ 사회보장위원회의 위원장은 국무총리가 되고 부위원장은 기획재정부장관, 교육부장관 및 보건복지부장관이 된다.
⑤ 사회보장위원회를 효율적으로 운영하고 위원회의 심의사항을 전문적으로 검토하기 위하여 위원회에 실무위원회를 두며, 실무위원회에 분야별 전문위원회를 둘 수 있다.</v>
      </c>
      <c r="F249" s="30">
        <f>IFERROR(VLOOKUP(C249,기출문제!D:G,4,0),"")</f>
        <v>3</v>
      </c>
      <c r="G249" s="31" t="str">
        <f t="shared" si="3"/>
        <v/>
      </c>
      <c r="J249" s="23"/>
    </row>
    <row r="250" spans="2:10" s="21" customFormat="1" ht="114" x14ac:dyDescent="0.3">
      <c r="B250" s="17">
        <v>243</v>
      </c>
      <c r="C250" s="27" t="s">
        <v>817</v>
      </c>
      <c r="D250" s="17"/>
      <c r="E250" s="29" t="str">
        <f>IFERROR(VLOOKUP(C250,기출문제!D:G,3,0),"")</f>
        <v>78. 사회보장기본법상 사회보장급여와 사회보장수급권에 관한 설명으로 옳은 것은?
① 사회보장수급권은 구두로 포기할 수 있다.
② 사회보장급여는 관계 법령에 따라 국가나 지방자치단체에 신청하여야 한다. 다만, 관계 법령이 따로 정하는 경우는 국가나 지방자치단체가 직권으로 결정할 수 있다.
③ 사회보장수급권은 관계 법령에서 따로 정하고 있는 경우에 압류할 수 있다.
④ 국가와 지방자치단체는 관계 법령이 정하는 바에 따라 최저생계비와 최저임금을 매년 공표하여야 한다.
⑤ 사회보장급여를 다른 기관에 신청한 경우에는 그 기관은 지체 없이 이를 정당한 권한이 있는 기관에 이송하여야 한다. 이 경우 정당한 권한이 있는 기관에 이송된 날을 사회보장급여의 신청일로 본다.</v>
      </c>
      <c r="F250" s="30">
        <f>IFERROR(VLOOKUP(C250,기출문제!D:G,4,0),"")</f>
        <v>5</v>
      </c>
      <c r="G250" s="31" t="str">
        <f t="shared" si="3"/>
        <v/>
      </c>
      <c r="J250" s="23"/>
    </row>
    <row r="251" spans="2:10" s="21" customFormat="1" ht="171" x14ac:dyDescent="0.3">
      <c r="B251" s="17">
        <v>244</v>
      </c>
      <c r="C251" s="27" t="s">
        <v>818</v>
      </c>
      <c r="D251" s="17"/>
      <c r="E251" s="29" t="str">
        <f>IFERROR(VLOOKUP(C251,기출문제!D:G,3,0),"")</f>
        <v>79. 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
① ㄱ, ㄷ
② ㄴ, ㄹ
③ ㄱ, ㄴ, ㄷ
④ ㄱ, ㄷ, ㄹ
⑤ ㄴ, ㄷ, ㄹ</v>
      </c>
      <c r="F251" s="30">
        <f>IFERROR(VLOOKUP(C251,기출문제!D:G,4,0),"")</f>
        <v>3</v>
      </c>
      <c r="G251" s="31" t="str">
        <f t="shared" si="3"/>
        <v/>
      </c>
      <c r="J251" s="23"/>
    </row>
    <row r="252" spans="2:10" s="21" customFormat="1" ht="85.5" x14ac:dyDescent="0.3">
      <c r="B252" s="17">
        <v>245</v>
      </c>
      <c r="C252" s="27" t="s">
        <v>819</v>
      </c>
      <c r="D252" s="17"/>
      <c r="E252" s="29" t="str">
        <f>IFERROR(VLOOKUP(C252,기출문제!D:G,3,0),"")</f>
        <v>80. 고용보험법령상 고용안정・직업능력개발 사업의 내용으로 옳지 않은 것은?
① 고용창출의 지원
② 조기재취업 수당 지원
③ 고용유지지원금의 지급
④ 지역 고용의 촉진
⑤ 임금피크제 지원금의 지급</v>
      </c>
      <c r="F252" s="30">
        <f>IFERROR(VLOOKUP(C252,기출문제!D:G,4,0),"")</f>
        <v>2</v>
      </c>
      <c r="G252" s="31" t="str">
        <f t="shared" si="3"/>
        <v/>
      </c>
      <c r="J252" s="23"/>
    </row>
    <row r="253" spans="2:10" s="21" customFormat="1" ht="114" x14ac:dyDescent="0.3">
      <c r="B253" s="17">
        <v>246</v>
      </c>
      <c r="C253" s="27" t="s">
        <v>820</v>
      </c>
      <c r="D253" s="17"/>
      <c r="E253" s="29" t="str">
        <f>IFERROR(VLOOKUP(C253,기출문제!D:G,3,0),"")</f>
        <v>81. 고용보험법령상 급여에 관한 설명으로 옳은 것은?
① 이주비의 금액은 수급자격자 및 그 수급자격자에 의존하여 생계를 유지하는 동거친족의 이주에 일반적으로 드는 비용으로 하되, 그 금액의 산정은 고용노동부령으로 정하는 바에 따라 따른다.
② 근로자를 전혀 사용하지 아니하는 자영업자는 자신을 피보험자로 하여 조기재취업수당을 지급받을 수 있다.
③ 구직급여의 산정 기초가 되는 임금일액(기초일액)의 상한액은 9만 6천원이다.
④ 고용노동부장관은 고용조정이 불가피하게 된 사업주가 근로자에 대한 휴업을 실시한 경우, 근로자의 임금이 평균임금의 100분의 70 미만으로 감소할 때는 그 근로자에게도 필요한 지원을 할 수 있다.
⑤ 피보험자가 육아휴직 급여 기간 중에 그 사업에서 이직한 경우에도 육아휴직 급여를 지급한다.</v>
      </c>
      <c r="F253" s="30">
        <f>IFERROR(VLOOKUP(C253,기출문제!D:G,4,0),"")</f>
        <v>1</v>
      </c>
      <c r="G253" s="31" t="str">
        <f t="shared" si="3"/>
        <v/>
      </c>
      <c r="J253" s="23"/>
    </row>
    <row r="254" spans="2:10" s="21" customFormat="1" ht="128.25" x14ac:dyDescent="0.3">
      <c r="B254" s="17">
        <v>247</v>
      </c>
      <c r="C254" s="27" t="s">
        <v>821</v>
      </c>
      <c r="D254" s="17"/>
      <c r="E254" s="29" t="str">
        <f>IFERROR(VLOOKUP(C254,기출문제!D:G,3,0),"")</f>
        <v>82. 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
① ㄱ
② ㄱ, ㄴ
③ ㄱ, ㄷ
④ ㄴ, ㄷ
⑤ ㄱ, ㄴ, ㄷ</v>
      </c>
      <c r="F254" s="30">
        <f>IFERROR(VLOOKUP(C254,기출문제!D:G,4,0),"")</f>
        <v>3</v>
      </c>
      <c r="G254" s="31" t="str">
        <f t="shared" si="3"/>
        <v/>
      </c>
      <c r="J254" s="23"/>
    </row>
    <row r="255" spans="2:10" s="21" customFormat="1" ht="99.75" x14ac:dyDescent="0.3">
      <c r="B255" s="17">
        <v>248</v>
      </c>
      <c r="C255" s="27" t="s">
        <v>822</v>
      </c>
      <c r="D255" s="17"/>
      <c r="E255" s="29" t="str">
        <f>IFERROR(VLOOKUP(C255,기출문제!D:G,3,0),"")</f>
        <v>83. 고용보험법상 피보험자격의 취득일 및 상실일에 관한 설명으로 옳은 것은?
① 피보험자는 고용보험법이 적용되는 사업에 고용된 날의 다음 날에 피보험자격을 취득한다.
② 적용 제외 근로자였던 자가 고용보험법의 적용을 받게 된 경우에는 그 적용을 받게 된 날의 다음 날에 피보험자격을 취득한 것으로 본다.
③ 피보험자가 적용 제외 근로자에 해당하게 된 경우에는 그 적용 제외 대상자가 된 날의 다음 날에 피보험자격을 상실한다.
④ 보험관계가 소멸한 경우에는 그 보험관계가 소멸한 날의 다음 날에 피보험자격을 상실한다.
⑤ 피보험자가 이직한 경우에는 이직한 날의 다음 날에 피보험자격을 상실한다.</v>
      </c>
      <c r="F255" s="30">
        <f>IFERROR(VLOOKUP(C255,기출문제!D:G,4,0),"")</f>
        <v>5</v>
      </c>
      <c r="G255" s="31" t="str">
        <f t="shared" si="3"/>
        <v/>
      </c>
      <c r="J255" s="23"/>
    </row>
    <row r="256" spans="2:10" s="21" customFormat="1" ht="85.5" x14ac:dyDescent="0.3">
      <c r="B256" s="17">
        <v>249</v>
      </c>
      <c r="C256" s="27" t="s">
        <v>823</v>
      </c>
      <c r="D256" s="17"/>
      <c r="E256" s="29" t="str">
        <f>IFERROR(VLOOKUP(C256,기출문제!D:G,3,0),"")</f>
        <v>84. 고용보험법상 고용보험심사위원회의 재심사 청구에서 재심사 청구인의 대리인이 될 수 없는 자는?
① 청구인인 법인의 직원
② 청구인의 배우자
③ 청구인이 가입한 노동조합의 위원장
④ 변호사
⑤ 고용보험심사위원회의 허가를 받은 자</v>
      </c>
      <c r="F256" s="30">
        <f>IFERROR(VLOOKUP(C256,기출문제!D:G,4,0),"")</f>
        <v>3</v>
      </c>
      <c r="G256" s="31" t="str">
        <f t="shared" si="3"/>
        <v/>
      </c>
      <c r="J256" s="23"/>
    </row>
    <row r="257" spans="2:10" s="21" customFormat="1" ht="85.5" x14ac:dyDescent="0.3">
      <c r="B257" s="17">
        <v>250</v>
      </c>
      <c r="C257" s="27" t="s">
        <v>824</v>
      </c>
      <c r="D257" s="17"/>
      <c r="E257" s="29" t="str">
        <f>IFERROR(VLOOKUP(C257,기출문제!D:G,3,0),"")</f>
        <v>85. 고용보험법상 구직급여(상병급여)의 수급자격 제한 또는 지급 제한이 되지 않는 경우는?
① 중대한 귀책사유로 해고된 피보험자로서 정당한 사유 없이 근로계약 또는 취업규칙 등을 위반하여 장기간 무단 결근한 경우
② 자기 사정으로 이직한 피보험자로서 전직 또는 자영업을 하기 위하여 이직한 경우
③ 중대한 귀책사유가 있는 자가 해고되지 아니하고 사업주의 권고로 이직한 경우
④ 퇴직한 근로자로서 국민연금법에 의한 노령연금을 지급받는 경우
⑤ 실업신고 이후 산업재해보상보험법에 따른 휴업급여를 지급받을 수 있는 경우</v>
      </c>
      <c r="F257" s="30">
        <f>IFERROR(VLOOKUP(C257,기출문제!D:G,4,0),"")</f>
        <v>4</v>
      </c>
      <c r="G257" s="31" t="str">
        <f t="shared" si="3"/>
        <v/>
      </c>
      <c r="J257" s="23"/>
    </row>
    <row r="258" spans="2:10" s="21" customFormat="1" ht="114" x14ac:dyDescent="0.3">
      <c r="B258" s="17">
        <v>251</v>
      </c>
      <c r="C258" s="27" t="s">
        <v>825</v>
      </c>
      <c r="D258" s="17"/>
      <c r="E258" s="29" t="str">
        <f>IFERROR(VLOOKUP(C258,기출문제!D:G,3,0),"")</f>
        <v>86. 산업재해보상보험법상 심사 청구 및 재심사 청구에 관한 설명으로 옳은 것은?
① 근로복지공단은 심사 청구서를 받은 날부터 60일 이내에 결정을 하여야 하지만, 부득이한 사유로 그 기간 이내에 결정을 할 수 없으면 1차에 한하여 20일을 넘지 아니하는 범위에서 그 기간을 연장할 수 있다.
② 심사 청구 및 재심사 청구에 관하여 산업재해보상보험법에서 정하고 있지 아니한 사항에 대하여는 행정소송법에 따른다.
③ 업무상질병판정위원회의 심의를 거친 보험급여에 관한 결정에 불복하는 자는 근로복지공단에 심사 청구를 하지 아니하고는 산업재해보상보험재심사위원회에 재심사 청구를 할 수 없다.
④ 심사 청구는 보험급여 결정 등이 있음을 안 날로부터 180일 이내에 하여야 한다.
⑤ 재심사위원회의 위원장은 재심사위원회의 제청으로 고용노동부장관이 임명한다.</v>
      </c>
      <c r="F258" s="30">
        <f>IFERROR(VLOOKUP(C258,기출문제!D:G,4,0),"")</f>
        <v>1</v>
      </c>
      <c r="G258" s="31" t="str">
        <f t="shared" si="3"/>
        <v/>
      </c>
      <c r="J258" s="23"/>
    </row>
    <row r="259" spans="2:10" s="21" customFormat="1" ht="114" x14ac:dyDescent="0.3">
      <c r="B259" s="17">
        <v>252</v>
      </c>
      <c r="C259" s="27" t="s">
        <v>826</v>
      </c>
      <c r="D259" s="17"/>
      <c r="E259" s="29" t="str">
        <f>IFERROR(VLOOKUP(C259,기출문제!D:G,3,0),"")</f>
        <v>87. 산업재해보상보험법령상 재요양의 요건 및 절차에 해당하지 않는 것은?
① 치유된 업무상 부상 또는 질병과 재요양의 대상이 되는 부상 또는 질병 사이에 상당인과관계가 있을 것
② 재요양의 대상이 되는 부상 또는 질병의 상태가 치유 당시보다 악화된 경우로서 나이나 그 밖에 업무 외의 사유로 악화된 경우가 아닐 것
③ 재요양의 대상이 되는 부상 또는 질병의 상태가 재요양을 통해 호전되는 등 치료효과를 기대할 수 있을 것
④ 재요양을 받으려는 사람은 고용노동부령으로 정하는 바에 따라 공단에 재요양을 신청하여야 한다.
⑤ 업무상의 사유로 발생한 부상 또는 질병으로 인하여 요양 중으로서 그 부상 또는 질병의 상태가 치유 후에도 장해등급에 해당할 것이라는 내용의 의학적 소견이 있을 것</v>
      </c>
      <c r="F259" s="30">
        <f>IFERROR(VLOOKUP(C259,기출문제!D:G,4,0),"")</f>
        <v>5</v>
      </c>
      <c r="G259" s="31" t="str">
        <f t="shared" si="3"/>
        <v/>
      </c>
      <c r="J259" s="23"/>
    </row>
    <row r="260" spans="2:10" s="21" customFormat="1" ht="85.5" x14ac:dyDescent="0.3">
      <c r="B260" s="17">
        <v>253</v>
      </c>
      <c r="C260" s="27" t="s">
        <v>827</v>
      </c>
      <c r="D260" s="17"/>
      <c r="E260" s="29" t="str">
        <f>IFERROR(VLOOKUP(C260,기출문제!D:G,3,0),"")</f>
        <v>88. 산업재해보상보험법상 보험급여에 관한 설명으로 옳지 않은 것은?
① 진폐에 따른 보험급여의 종류는 요양급여, 간병급여, 장례비, 직업재활급여, 진폐보상연금 및 진폐유족연금으로 한다.
② 요양급여는 근로자가 업무상의 사유로 부상을 당하거나 질병에 걸린 경우에 그 보험가입자에게 지급한다.
③ 요양으로 취업하지 못한 기간이 3일 이내이면 휴업급여를 지급하지 아니한다.
④ 대한민국 국민이 아닌 장해보상연금의 수급권자가 외국에서 거주하기 위하여 출국하는 경우 그 수급권이 소멸한다.
⑤ 산업재해로 사망한 근로자의 배우자가 재혼한 때 유족보상연금 수급자격을 잃는다.</v>
      </c>
      <c r="F260" s="30">
        <f>IFERROR(VLOOKUP(C260,기출문제!D:G,4,0),"")</f>
        <v>2</v>
      </c>
      <c r="G260" s="31" t="str">
        <f t="shared" si="3"/>
        <v/>
      </c>
      <c r="J260" s="23"/>
    </row>
    <row r="261" spans="2:10" s="21" customFormat="1" ht="99.75" x14ac:dyDescent="0.3">
      <c r="B261" s="17">
        <v>254</v>
      </c>
      <c r="C261" s="27" t="s">
        <v>828</v>
      </c>
      <c r="D261" s="17"/>
      <c r="E261" s="29" t="str">
        <f>IFERROR(VLOOKUP(C261,기출문제!D:G,3,0),"")</f>
        <v>89. 산업재해보상보험법상 내용으로 옳은 것은?
① 근로복지공단은 대통령령이 정하는 바에 따라 회계연도마다 사업 운영계획과 예산에 관하여 고용노동부장관의 승인을 받아야 한다.
② 업무상 질병의 인정 여부를 심의하기 위하여 고용노동부에 업무상질병판정위원회를 둔다.
③ 산업재해보상보험심사위원회는 근로복지공단의 결정에 대한 심사 청구를 심의하기 위하여 고용노동부에 두는 기구이다.
④ 산업재해보상보험및예방기금은 근로복지공단 기금운영위원회가 관리・운용한다.
⑤ 국가는 회계연도마다 예산범위 안에서 보험사업에 드는 비용을 지원하여야 한다.</v>
      </c>
      <c r="F261" s="30">
        <f>IFERROR(VLOOKUP(C261,기출문제!D:G,4,0),"")</f>
        <v>1</v>
      </c>
      <c r="G261" s="31" t="str">
        <f t="shared" si="3"/>
        <v/>
      </c>
      <c r="J261" s="23"/>
    </row>
    <row r="262" spans="2:10" s="21" customFormat="1" ht="114" x14ac:dyDescent="0.3">
      <c r="B262" s="17">
        <v>255</v>
      </c>
      <c r="C262" s="27" t="s">
        <v>829</v>
      </c>
      <c r="D262" s="17"/>
      <c r="E262" s="29" t="str">
        <f>IFERROR(VLOOKUP(C262,기출문제!D:G,3,0),"")</f>
        <v>90. 산업재해보상보험법상 연금의 지급기간 및 지급시기에 관한 설명으로 옳은 것은?
① 장해보상연금의 지급은 그 지급사유가 발생한 달의 초일부터 시작된다.
② 유족보상연금의 지급은 그 지급받을 권리가 소멸한 달의 다음 달 말일에 끝난다.
③ 진폐유족연금은 그 지급을 정지할 사유가 발생한 때에는 그 사유가 발생한 달의 다음 달 초일부터 그 사유가 소멸한 달의 말일까지 지급하지 아니한다.
④ 진폐보상연금은 매년 이를 12등분하여 매달 25일에 그 달 치의 금액을 지급하되, 지급일이 토요일이거나 공휴일이면 그 다음날에 지급한다.
⑤ 유족보상연금의 지급은 그 지급사유가 발생한 달의 초일부터 시작된다.</v>
      </c>
      <c r="F262" s="30">
        <f>IFERROR(VLOOKUP(C262,기출문제!D:G,4,0),"")</f>
        <v>3</v>
      </c>
      <c r="G262" s="31" t="str">
        <f t="shared" si="3"/>
        <v/>
      </c>
      <c r="J262" s="23"/>
    </row>
    <row r="263" spans="2:10" s="21" customFormat="1" ht="142.5" x14ac:dyDescent="0.3">
      <c r="B263" s="17">
        <v>256</v>
      </c>
      <c r="C263" s="27" t="s">
        <v>830</v>
      </c>
      <c r="D263" s="17"/>
      <c r="E263" s="29" t="str">
        <f>IFERROR(VLOOKUP(C263,기출문제!D:G,3,0),"")</f>
        <v>91. 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
① ㄱ, ㄷ
② ㄴ, ㄹ
③ ㄱ, ㄴ, ㄷ
④ ㄱ, ㄴ, ㄹ
⑤ ㄴ, ㄷ, ㄹ</v>
      </c>
      <c r="F263" s="30">
        <f>IFERROR(VLOOKUP(C263,기출문제!D:G,4,0),"")</f>
        <v>3</v>
      </c>
      <c r="G263" s="31" t="str">
        <f t="shared" si="3"/>
        <v/>
      </c>
      <c r="J263" s="23"/>
    </row>
    <row r="264" spans="2:10" s="21" customFormat="1" ht="185.25" x14ac:dyDescent="0.3">
      <c r="B264" s="17">
        <v>257</v>
      </c>
      <c r="C264" s="27" t="s">
        <v>607</v>
      </c>
      <c r="D264" s="17"/>
      <c r="E264" s="29" t="str">
        <f>IFERROR(VLOOKUP(C264,기출문제!D:G,3,0),"")</f>
        <v>92. 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
① 20
② 21
③ 22
④ 23
⑤ 24</v>
      </c>
      <c r="F264" s="30">
        <f>IFERROR(VLOOKUP(C264,기출문제!D:G,4,0),"")</f>
        <v>4</v>
      </c>
      <c r="G264" s="31" t="str">
        <f t="shared" si="3"/>
        <v/>
      </c>
      <c r="J264" s="23"/>
    </row>
    <row r="265" spans="2:10" s="21" customFormat="1" ht="85.5" x14ac:dyDescent="0.3">
      <c r="B265" s="17">
        <v>258</v>
      </c>
      <c r="C265" s="27" t="s">
        <v>831</v>
      </c>
      <c r="D265" s="17"/>
      <c r="E265" s="29" t="str">
        <f>IFERROR(VLOOKUP(C265,기출문제!D:G,3,0),"")</f>
        <v>93. 국민연금법상 장애등급 3급에 해당하는 자에 대하여 지급하는 장애연금액은?
① 기본연금액의 100%
② 기본연금액의 90%에 부양가족연금액을 더한 금액
③ 기본연금액의 80%에 부양가족연금액을 더한 금액
④ 기본연금액의 70%에 부양가족연금액을 더한 금액
⑤ 기본연금액의 60%에 부양가족연금액을 더한 금액</v>
      </c>
      <c r="F265" s="30">
        <f>IFERROR(VLOOKUP(C265,기출문제!D:G,4,0),"")</f>
        <v>5</v>
      </c>
      <c r="G265" s="31" t="str">
        <f t="shared" ref="G265:G328" si="4">IF(D265="","",IF(D265=F265,"O", "X"))</f>
        <v/>
      </c>
      <c r="J265" s="23"/>
    </row>
    <row r="266" spans="2:10" s="21" customFormat="1" ht="114" x14ac:dyDescent="0.3">
      <c r="B266" s="17">
        <v>259</v>
      </c>
      <c r="C266" s="27" t="s">
        <v>832</v>
      </c>
      <c r="D266" s="17"/>
      <c r="E266" s="29" t="str">
        <f>IFERROR(VLOOKUP(C266,기출문제!D:G,3,0),"")</f>
        <v>94. 국민건강보험법령상 보험료에 관한 설명으로 옳지 않은 것은?
① 직장가입자의 보수월액보험료는 직장가입자가 납부한다.
② 보수가 지급되지 아니하는 사용자의 보수월액은 객관적인 자료를 통하여 확인된 금액으로 하고, 객관적인 자료가 없는 경우에는 사용자의 신고금액으로 한다.
③ 직장가입자의 소득월액보험료 및 지역가입자의 보험료는 분기별로 납부할 수 있다.
④ 직장가입자의 월별 보험료액은 보수월액에 보험료율을 곱하여 얻은 금액과 보수 외 소득월액에 보험료율을 곱하여 얻은 금액으로 한다.
⑤ 직장가입자의 소득월액보험료는 직장가입자가 전액 부담한다.</v>
      </c>
      <c r="F266" s="30">
        <f>IFERROR(VLOOKUP(C266,기출문제!D:G,4,0),"")</f>
        <v>1</v>
      </c>
      <c r="G266" s="31" t="str">
        <f t="shared" si="4"/>
        <v/>
      </c>
      <c r="J266" s="23"/>
    </row>
    <row r="267" spans="2:10" s="21" customFormat="1" ht="85.5" x14ac:dyDescent="0.3">
      <c r="B267" s="17">
        <v>260</v>
      </c>
      <c r="C267" s="27" t="s">
        <v>833</v>
      </c>
      <c r="D267" s="17"/>
      <c r="E267" s="29" t="str">
        <f>IFERROR(VLOOKUP(C267,기출문제!D:G,3,0),"")</f>
        <v>95. 국민건강보험법상 건강보험심사평가원의 관장 업무가 아닌 것은?
① 요양급여비용의 심사
② 요양급여의 적정성 평가
③ 심사기준 및 평가기준의 개발
④ 직장가입자의 보험료율에 대한 심사
⑤ 건강보험과 관련하여 보건복지부장관이 필요하다고 인정한 업무</v>
      </c>
      <c r="F267" s="30">
        <f>IFERROR(VLOOKUP(C267,기출문제!D:G,4,0),"")</f>
        <v>4</v>
      </c>
      <c r="G267" s="31" t="str">
        <f t="shared" si="4"/>
        <v/>
      </c>
      <c r="J267" s="23"/>
    </row>
    <row r="268" spans="2:10" s="21" customFormat="1" ht="99.75" x14ac:dyDescent="0.3">
      <c r="B268" s="17">
        <v>261</v>
      </c>
      <c r="C268" s="27" t="s">
        <v>834</v>
      </c>
      <c r="D268" s="17"/>
      <c r="E268" s="29" t="str">
        <f>IFERROR(VLOOKUP(C268,기출문제!D:G,3,0),"")</f>
        <v>96. 고용보험 및 산업재해보상보험의 보험료 징수 등에 관한 법률상 보험관계의 성립일 또는 소멸일에 해당하지 않는 것은?
① 보험에 가입한 하수급인의 경우에는 그 하도급공사의 착공일
② 사업이 폐업된 날의 다음 날
③ 사업 실체가 없는 등의 사유로 계속하여 보험관계를 유지할 수 없다고 인정하여 근로복지공단이 보험관계를 소멸시키는 경우에는 그 소멸을 결정・통지한 날의 다음 날
④ 근로복지공단의 승인을 얻어 가입한 보험계약을 해지하는 경우에는 그 해지에 관하여 공단의 승인을 받은 날
⑤ 사업이 끝난 날의 다음 날</v>
      </c>
      <c r="F268" s="30">
        <f>IFERROR(VLOOKUP(C268,기출문제!D:G,4,0),"")</f>
        <v>4</v>
      </c>
      <c r="G268" s="31" t="str">
        <f t="shared" si="4"/>
        <v/>
      </c>
      <c r="J268" s="23"/>
    </row>
    <row r="269" spans="2:10" s="21" customFormat="1" ht="128.25" x14ac:dyDescent="0.3">
      <c r="B269" s="17">
        <v>262</v>
      </c>
      <c r="C269" s="27" t="s">
        <v>835</v>
      </c>
      <c r="D269" s="17"/>
      <c r="E269" s="29" t="str">
        <f>IFERROR(VLOOKUP(C269,기출문제!D:G,3,0),"")</f>
        <v>97. 고용보험 및 산업재해보상보험의 보험료 징수 등에 관한 법률상 보험료율에 관한 설명으로 옳은 것은?
① 개별실적요율의 적용을 받는 사업의 산재보험료율은 100분의 75의 범위에서 대통령령으로 정하는 바에 따라 인상하거나 인하할 수 있다.
② 고용보험료율을 결정하거나 변경하려면 고용보험법에 따른 고용보험위원회의 심의를 거쳐야 한다.
③ 산재보험료율은 매년 6월 30일 현재 과거 2년 동안의 보수총액에 대한 산재보험급여총액의 비율을 기초로 하여 정한다.
④ 고용노동부장관은 특정 사업 종류의 산재보험료율이 전체 사업의 평균 산재보험료율의 10배를 초과하지 아니하도록 하여야 한다.
⑤ 특정 사업 종류의 산재보험료율이 인상되거나 인하되는 경우에는 직전 보험연도 산재보험료율의 100분의 20의 범위에서 조정하여야 한다.</v>
      </c>
      <c r="F269" s="30">
        <f>IFERROR(VLOOKUP(C269,기출문제!D:G,4,0),"")</f>
        <v>2</v>
      </c>
      <c r="G269" s="31" t="str">
        <f t="shared" si="4"/>
        <v/>
      </c>
      <c r="J269" s="23"/>
    </row>
    <row r="270" spans="2:10" s="21" customFormat="1" ht="99.75" x14ac:dyDescent="0.3">
      <c r="B270" s="17">
        <v>263</v>
      </c>
      <c r="C270" s="27" t="s">
        <v>836</v>
      </c>
      <c r="D270" s="17"/>
      <c r="E270" s="29" t="str">
        <f>IFERROR(VLOOKUP(C270,기출문제!D:G,3,0),"")</f>
        <v>98. 고용보험 및 산업재해보상보험의 보험료 징수 등에 관한 법률상 납부의무가 확정된 보험료의 총액이 600만원인 경우, 당해 보험료를 납부기한 전에 징수할 수 있는 사유로 옳지 않은 것은?
① 경매가 개시된 경우
② 국세를 체납한 경우
③ 강제집행을 받은 경우
④ 공과금을 체납하여 체납처분을 받은 경우
⑤ 어음법 및 수표법에 따른 어음교환소에서 거래정지처분을 받은 경우</v>
      </c>
      <c r="F270" s="30">
        <f>IFERROR(VLOOKUP(C270,기출문제!D:G,4,0),"")</f>
        <v>2</v>
      </c>
      <c r="G270" s="31" t="str">
        <f t="shared" si="4"/>
        <v/>
      </c>
      <c r="J270" s="23"/>
    </row>
    <row r="271" spans="2:10" s="21" customFormat="1" ht="114" x14ac:dyDescent="0.3">
      <c r="B271" s="17">
        <v>264</v>
      </c>
      <c r="C271" s="27" t="s">
        <v>837</v>
      </c>
      <c r="D271" s="17"/>
      <c r="E271" s="29" t="str">
        <f>IFERROR(VLOOKUP(C271,기출문제!D:G,3,0),"")</f>
        <v>99. 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
① 10
② 20
③ 30
④ 40
⑤ 50</v>
      </c>
      <c r="F271" s="30">
        <f>IFERROR(VLOOKUP(C271,기출문제!D:G,4,0),"")</f>
        <v>3</v>
      </c>
      <c r="G271" s="31" t="str">
        <f t="shared" si="4"/>
        <v/>
      </c>
      <c r="J271" s="23"/>
    </row>
    <row r="272" spans="2:10" s="21" customFormat="1" ht="99.75" x14ac:dyDescent="0.3">
      <c r="B272" s="17">
        <v>265</v>
      </c>
      <c r="C272" s="27" t="s">
        <v>838</v>
      </c>
      <c r="D272" s="17"/>
      <c r="E272" s="29" t="str">
        <f>IFERROR(VLOOKUP(C272,기출문제!D:G,3,0),"")</f>
        <v>100. 고용보험 및 산업재해보상보험의 보험료 징수 등에 관한 법률상 보험료에 관한 설명으로 옳은 것은?
① 고용보험료는 근로복지공단이 부과하고 이를 징수한다.
② 근로자가 월의 중간에 동일한 사업주의 하나의 사업장에서 다른 사업장으로 전근되는 경우 그 근로자에 대한 그 월별보험료는 해당 월의 다음 달부터 산정한다.
③ 사업주는 그 달의 월별보험료를 다음 달 15일까지 납부하여야 한다.
④ 근로복지공단은 사업주에게 문서로써 납부기한 10일 전까지 월별보험료의 납입을 고지하여야 한다.
⑤ 사업주는 전년도에 근로자에게 지급한 보수총액 등을 매년 1월 31일까지 근로복지공단에 신고하여야 한다.</v>
      </c>
      <c r="F272" s="30">
        <f>IFERROR(VLOOKUP(C272,기출문제!D:G,4,0),"")</f>
        <v>2</v>
      </c>
      <c r="G272" s="31" t="str">
        <f t="shared" si="4"/>
        <v/>
      </c>
      <c r="J272" s="23"/>
    </row>
    <row r="273" spans="2:10" s="21" customFormat="1" x14ac:dyDescent="0.3">
      <c r="B273" s="17">
        <v>266</v>
      </c>
      <c r="C273" s="27" t="s">
        <v>723</v>
      </c>
      <c r="D273" s="17"/>
      <c r="E273" s="29" t="str">
        <f>IFERROR(VLOOKUP(C273,기출문제!D:G,3,0),"")</f>
        <v/>
      </c>
      <c r="F273" s="30" t="str">
        <f>IFERROR(VLOOKUP(C273,기출문제!D:G,4,0),"")</f>
        <v/>
      </c>
      <c r="G273" s="31" t="str">
        <f t="shared" si="4"/>
        <v/>
      </c>
      <c r="J273" s="23"/>
    </row>
    <row r="274" spans="2:10" s="21" customFormat="1" x14ac:dyDescent="0.3">
      <c r="B274" s="17">
        <v>267</v>
      </c>
      <c r="C274" s="27" t="s">
        <v>723</v>
      </c>
      <c r="D274" s="17"/>
      <c r="E274" s="29" t="str">
        <f>IFERROR(VLOOKUP(C274,기출문제!D:G,3,0),"")</f>
        <v/>
      </c>
      <c r="F274" s="30" t="str">
        <f>IFERROR(VLOOKUP(C274,기출문제!D:G,4,0),"")</f>
        <v/>
      </c>
      <c r="G274" s="31" t="str">
        <f t="shared" si="4"/>
        <v/>
      </c>
      <c r="J274" s="23"/>
    </row>
    <row r="275" spans="2:10" s="21" customFormat="1" x14ac:dyDescent="0.3">
      <c r="B275" s="17">
        <v>268</v>
      </c>
      <c r="C275" s="27" t="s">
        <v>723</v>
      </c>
      <c r="D275" s="17"/>
      <c r="E275" s="29" t="str">
        <f>IFERROR(VLOOKUP(C275,기출문제!D:G,3,0),"")</f>
        <v/>
      </c>
      <c r="F275" s="30" t="str">
        <f>IFERROR(VLOOKUP(C275,기출문제!D:G,4,0),"")</f>
        <v/>
      </c>
      <c r="G275" s="31" t="str">
        <f t="shared" si="4"/>
        <v/>
      </c>
      <c r="J275" s="23"/>
    </row>
    <row r="276" spans="2:10" s="21" customFormat="1" x14ac:dyDescent="0.3">
      <c r="B276" s="17">
        <v>269</v>
      </c>
      <c r="C276" s="27" t="s">
        <v>723</v>
      </c>
      <c r="D276" s="17"/>
      <c r="E276" s="29" t="str">
        <f>IFERROR(VLOOKUP(C276,기출문제!D:G,3,0),"")</f>
        <v/>
      </c>
      <c r="F276" s="30" t="str">
        <f>IFERROR(VLOOKUP(C276,기출문제!D:G,4,0),"")</f>
        <v/>
      </c>
      <c r="G276" s="31" t="str">
        <f t="shared" si="4"/>
        <v/>
      </c>
      <c r="J276" s="23"/>
    </row>
    <row r="277" spans="2:10" s="21" customFormat="1" x14ac:dyDescent="0.3">
      <c r="B277" s="17">
        <v>270</v>
      </c>
      <c r="C277" s="27" t="s">
        <v>723</v>
      </c>
      <c r="D277" s="17"/>
      <c r="E277" s="29" t="str">
        <f>IFERROR(VLOOKUP(C277,기출문제!D:G,3,0),"")</f>
        <v/>
      </c>
      <c r="F277" s="30" t="str">
        <f>IFERROR(VLOOKUP(C277,기출문제!D:G,4,0),"")</f>
        <v/>
      </c>
      <c r="G277" s="31" t="str">
        <f t="shared" si="4"/>
        <v/>
      </c>
      <c r="J277" s="23"/>
    </row>
    <row r="278" spans="2:10" s="21" customFormat="1" x14ac:dyDescent="0.3">
      <c r="B278" s="17">
        <v>271</v>
      </c>
      <c r="C278" s="27" t="s">
        <v>723</v>
      </c>
      <c r="D278" s="17"/>
      <c r="E278" s="29" t="str">
        <f>IFERROR(VLOOKUP(C278,기출문제!D:G,3,0),"")</f>
        <v/>
      </c>
      <c r="F278" s="30" t="str">
        <f>IFERROR(VLOOKUP(C278,기출문제!D:G,4,0),"")</f>
        <v/>
      </c>
      <c r="G278" s="31" t="str">
        <f t="shared" si="4"/>
        <v/>
      </c>
      <c r="J278" s="23"/>
    </row>
    <row r="279" spans="2:10" s="21" customFormat="1" x14ac:dyDescent="0.3">
      <c r="B279" s="17">
        <v>272</v>
      </c>
      <c r="C279" s="27" t="s">
        <v>723</v>
      </c>
      <c r="D279" s="17"/>
      <c r="E279" s="29" t="str">
        <f>IFERROR(VLOOKUP(C279,기출문제!D:G,3,0),"")</f>
        <v/>
      </c>
      <c r="F279" s="30" t="str">
        <f>IFERROR(VLOOKUP(C279,기출문제!D:G,4,0),"")</f>
        <v/>
      </c>
      <c r="G279" s="31" t="str">
        <f t="shared" si="4"/>
        <v/>
      </c>
      <c r="J279" s="23"/>
    </row>
    <row r="280" spans="2:10" s="21" customFormat="1" x14ac:dyDescent="0.3">
      <c r="B280" s="17">
        <v>273</v>
      </c>
      <c r="C280" s="27" t="s">
        <v>723</v>
      </c>
      <c r="D280" s="17"/>
      <c r="E280" s="29" t="str">
        <f>IFERROR(VLOOKUP(C280,기출문제!D:G,3,0),"")</f>
        <v/>
      </c>
      <c r="F280" s="30" t="str">
        <f>IFERROR(VLOOKUP(C280,기출문제!D:G,4,0),"")</f>
        <v/>
      </c>
      <c r="G280" s="31" t="str">
        <f t="shared" si="4"/>
        <v/>
      </c>
      <c r="J280" s="23"/>
    </row>
    <row r="281" spans="2:10" s="21" customFormat="1" x14ac:dyDescent="0.3">
      <c r="B281" s="17">
        <v>274</v>
      </c>
      <c r="C281" s="27" t="s">
        <v>723</v>
      </c>
      <c r="D281" s="17"/>
      <c r="E281" s="29" t="str">
        <f>IFERROR(VLOOKUP(C281,기출문제!D:G,3,0),"")</f>
        <v/>
      </c>
      <c r="F281" s="30" t="str">
        <f>IFERROR(VLOOKUP(C281,기출문제!D:G,4,0),"")</f>
        <v/>
      </c>
      <c r="G281" s="31" t="str">
        <f t="shared" si="4"/>
        <v/>
      </c>
      <c r="J281" s="23"/>
    </row>
    <row r="282" spans="2:10" s="21" customFormat="1" x14ac:dyDescent="0.3">
      <c r="B282" s="17">
        <v>275</v>
      </c>
      <c r="C282" s="27" t="s">
        <v>723</v>
      </c>
      <c r="D282" s="17"/>
      <c r="E282" s="29" t="str">
        <f>IFERROR(VLOOKUP(C282,기출문제!D:G,3,0),"")</f>
        <v/>
      </c>
      <c r="F282" s="30" t="str">
        <f>IFERROR(VLOOKUP(C282,기출문제!D:G,4,0),"")</f>
        <v/>
      </c>
      <c r="G282" s="31" t="str">
        <f t="shared" si="4"/>
        <v/>
      </c>
      <c r="J282" s="23"/>
    </row>
    <row r="283" spans="2:10" s="21" customFormat="1" x14ac:dyDescent="0.3">
      <c r="B283" s="17">
        <v>276</v>
      </c>
      <c r="C283" s="27" t="s">
        <v>723</v>
      </c>
      <c r="D283" s="17"/>
      <c r="E283" s="29" t="str">
        <f>IFERROR(VLOOKUP(C283,기출문제!D:G,3,0),"")</f>
        <v/>
      </c>
      <c r="F283" s="30" t="str">
        <f>IFERROR(VLOOKUP(C283,기출문제!D:G,4,0),"")</f>
        <v/>
      </c>
      <c r="G283" s="31" t="str">
        <f t="shared" si="4"/>
        <v/>
      </c>
      <c r="J283" s="23"/>
    </row>
    <row r="284" spans="2:10" s="21" customFormat="1" x14ac:dyDescent="0.3">
      <c r="B284" s="17">
        <v>277</v>
      </c>
      <c r="C284" s="27" t="s">
        <v>723</v>
      </c>
      <c r="D284" s="17"/>
      <c r="E284" s="29" t="str">
        <f>IFERROR(VLOOKUP(C284,기출문제!D:G,3,0),"")</f>
        <v/>
      </c>
      <c r="F284" s="30" t="str">
        <f>IFERROR(VLOOKUP(C284,기출문제!D:G,4,0),"")</f>
        <v/>
      </c>
      <c r="G284" s="31" t="str">
        <f t="shared" si="4"/>
        <v/>
      </c>
      <c r="J284" s="23"/>
    </row>
    <row r="285" spans="2:10" s="21" customFormat="1" x14ac:dyDescent="0.3">
      <c r="B285" s="17">
        <v>278</v>
      </c>
      <c r="C285" s="27" t="s">
        <v>723</v>
      </c>
      <c r="D285" s="17"/>
      <c r="E285" s="29" t="str">
        <f>IFERROR(VLOOKUP(C285,기출문제!D:G,3,0),"")</f>
        <v/>
      </c>
      <c r="F285" s="30" t="str">
        <f>IFERROR(VLOOKUP(C285,기출문제!D:G,4,0),"")</f>
        <v/>
      </c>
      <c r="G285" s="31" t="str">
        <f t="shared" si="4"/>
        <v/>
      </c>
      <c r="J285" s="23"/>
    </row>
    <row r="286" spans="2:10" s="21" customFormat="1" x14ac:dyDescent="0.3">
      <c r="B286" s="17">
        <v>279</v>
      </c>
      <c r="C286" s="27" t="s">
        <v>723</v>
      </c>
      <c r="D286" s="17"/>
      <c r="E286" s="29" t="str">
        <f>IFERROR(VLOOKUP(C286,기출문제!D:G,3,0),"")</f>
        <v/>
      </c>
      <c r="F286" s="30" t="str">
        <f>IFERROR(VLOOKUP(C286,기출문제!D:G,4,0),"")</f>
        <v/>
      </c>
      <c r="G286" s="31" t="str">
        <f t="shared" si="4"/>
        <v/>
      </c>
      <c r="J286" s="23"/>
    </row>
    <row r="287" spans="2:10" s="21" customFormat="1" x14ac:dyDescent="0.3">
      <c r="B287" s="17">
        <v>280</v>
      </c>
      <c r="C287" s="27" t="s">
        <v>723</v>
      </c>
      <c r="D287" s="17"/>
      <c r="E287" s="29" t="str">
        <f>IFERROR(VLOOKUP(C287,기출문제!D:G,3,0),"")</f>
        <v/>
      </c>
      <c r="F287" s="30" t="str">
        <f>IFERROR(VLOOKUP(C287,기출문제!D:G,4,0),"")</f>
        <v/>
      </c>
      <c r="G287" s="31" t="str">
        <f t="shared" si="4"/>
        <v/>
      </c>
      <c r="J287" s="23"/>
    </row>
    <row r="288" spans="2:10" s="21" customFormat="1" x14ac:dyDescent="0.3">
      <c r="B288" s="17">
        <v>281</v>
      </c>
      <c r="C288" s="27" t="s">
        <v>723</v>
      </c>
      <c r="D288" s="17"/>
      <c r="E288" s="29" t="str">
        <f>IFERROR(VLOOKUP(C288,기출문제!D:G,3,0),"")</f>
        <v/>
      </c>
      <c r="F288" s="30" t="str">
        <f>IFERROR(VLOOKUP(C288,기출문제!D:G,4,0),"")</f>
        <v/>
      </c>
      <c r="G288" s="31" t="str">
        <f t="shared" si="4"/>
        <v/>
      </c>
      <c r="J288" s="23"/>
    </row>
    <row r="289" spans="2:10" s="21" customFormat="1" x14ac:dyDescent="0.3">
      <c r="B289" s="17">
        <v>282</v>
      </c>
      <c r="C289" s="27" t="s">
        <v>723</v>
      </c>
      <c r="D289" s="17"/>
      <c r="E289" s="29" t="str">
        <f>IFERROR(VLOOKUP(C289,기출문제!D:G,3,0),"")</f>
        <v/>
      </c>
      <c r="F289" s="30" t="str">
        <f>IFERROR(VLOOKUP(C289,기출문제!D:G,4,0),"")</f>
        <v/>
      </c>
      <c r="G289" s="31" t="str">
        <f t="shared" si="4"/>
        <v/>
      </c>
      <c r="J289" s="23"/>
    </row>
    <row r="290" spans="2:10" s="21" customFormat="1" x14ac:dyDescent="0.3">
      <c r="B290" s="17">
        <v>283</v>
      </c>
      <c r="C290" s="27" t="s">
        <v>723</v>
      </c>
      <c r="D290" s="17"/>
      <c r="E290" s="29" t="str">
        <f>IFERROR(VLOOKUP(C290,기출문제!D:G,3,0),"")</f>
        <v/>
      </c>
      <c r="F290" s="30" t="str">
        <f>IFERROR(VLOOKUP(C290,기출문제!D:G,4,0),"")</f>
        <v/>
      </c>
      <c r="G290" s="31" t="str">
        <f t="shared" si="4"/>
        <v/>
      </c>
      <c r="J290" s="23"/>
    </row>
    <row r="291" spans="2:10" s="21" customFormat="1" x14ac:dyDescent="0.3">
      <c r="B291" s="17">
        <v>284</v>
      </c>
      <c r="C291" s="27" t="s">
        <v>723</v>
      </c>
      <c r="D291" s="17"/>
      <c r="E291" s="29" t="str">
        <f>IFERROR(VLOOKUP(C291,기출문제!D:G,3,0),"")</f>
        <v/>
      </c>
      <c r="F291" s="30" t="str">
        <f>IFERROR(VLOOKUP(C291,기출문제!D:G,4,0),"")</f>
        <v/>
      </c>
      <c r="G291" s="31" t="str">
        <f t="shared" si="4"/>
        <v/>
      </c>
      <c r="J291" s="23"/>
    </row>
    <row r="292" spans="2:10" s="21" customFormat="1" x14ac:dyDescent="0.3">
      <c r="B292" s="17">
        <v>285</v>
      </c>
      <c r="C292" s="27" t="s">
        <v>723</v>
      </c>
      <c r="D292" s="17"/>
      <c r="E292" s="29" t="str">
        <f>IFERROR(VLOOKUP(C292,기출문제!D:G,3,0),"")</f>
        <v/>
      </c>
      <c r="F292" s="30" t="str">
        <f>IFERROR(VLOOKUP(C292,기출문제!D:G,4,0),"")</f>
        <v/>
      </c>
      <c r="G292" s="31" t="str">
        <f t="shared" si="4"/>
        <v/>
      </c>
      <c r="J292" s="23"/>
    </row>
    <row r="293" spans="2:10" s="21" customFormat="1" x14ac:dyDescent="0.3">
      <c r="B293" s="17">
        <v>286</v>
      </c>
      <c r="C293" s="27" t="s">
        <v>723</v>
      </c>
      <c r="D293" s="17"/>
      <c r="E293" s="29" t="str">
        <f>IFERROR(VLOOKUP(C293,기출문제!D:G,3,0),"")</f>
        <v/>
      </c>
      <c r="F293" s="30" t="str">
        <f>IFERROR(VLOOKUP(C293,기출문제!D:G,4,0),"")</f>
        <v/>
      </c>
      <c r="G293" s="31" t="str">
        <f t="shared" si="4"/>
        <v/>
      </c>
      <c r="J293" s="23"/>
    </row>
    <row r="294" spans="2:10" s="21" customFormat="1" x14ac:dyDescent="0.3">
      <c r="B294" s="17">
        <v>287</v>
      </c>
      <c r="C294" s="27" t="s">
        <v>723</v>
      </c>
      <c r="D294" s="17"/>
      <c r="E294" s="29" t="str">
        <f>IFERROR(VLOOKUP(C294,기출문제!D:G,3,0),"")</f>
        <v/>
      </c>
      <c r="F294" s="30" t="str">
        <f>IFERROR(VLOOKUP(C294,기출문제!D:G,4,0),"")</f>
        <v/>
      </c>
      <c r="G294" s="31" t="str">
        <f t="shared" si="4"/>
        <v/>
      </c>
      <c r="J294" s="23"/>
    </row>
    <row r="295" spans="2:10" s="21" customFormat="1" x14ac:dyDescent="0.3">
      <c r="B295" s="17">
        <v>288</v>
      </c>
      <c r="C295" s="27" t="s">
        <v>723</v>
      </c>
      <c r="D295" s="17"/>
      <c r="E295" s="29" t="str">
        <f>IFERROR(VLOOKUP(C295,기출문제!D:G,3,0),"")</f>
        <v/>
      </c>
      <c r="F295" s="30" t="str">
        <f>IFERROR(VLOOKUP(C295,기출문제!D:G,4,0),"")</f>
        <v/>
      </c>
      <c r="G295" s="31" t="str">
        <f t="shared" si="4"/>
        <v/>
      </c>
      <c r="J295" s="23"/>
    </row>
    <row r="296" spans="2:10" s="21" customFormat="1" x14ac:dyDescent="0.3">
      <c r="B296" s="17">
        <v>289</v>
      </c>
      <c r="C296" s="27" t="s">
        <v>723</v>
      </c>
      <c r="D296" s="17"/>
      <c r="E296" s="29" t="str">
        <f>IFERROR(VLOOKUP(C296,기출문제!D:G,3,0),"")</f>
        <v/>
      </c>
      <c r="F296" s="30" t="str">
        <f>IFERROR(VLOOKUP(C296,기출문제!D:G,4,0),"")</f>
        <v/>
      </c>
      <c r="G296" s="31" t="str">
        <f t="shared" si="4"/>
        <v/>
      </c>
      <c r="J296" s="23"/>
    </row>
    <row r="297" spans="2:10" s="21" customFormat="1" x14ac:dyDescent="0.3">
      <c r="B297" s="17">
        <v>290</v>
      </c>
      <c r="C297" s="27" t="s">
        <v>723</v>
      </c>
      <c r="D297" s="17"/>
      <c r="E297" s="29" t="str">
        <f>IFERROR(VLOOKUP(C297,기출문제!D:G,3,0),"")</f>
        <v/>
      </c>
      <c r="F297" s="30" t="str">
        <f>IFERROR(VLOOKUP(C297,기출문제!D:G,4,0),"")</f>
        <v/>
      </c>
      <c r="G297" s="31" t="str">
        <f t="shared" si="4"/>
        <v/>
      </c>
      <c r="J297" s="23"/>
    </row>
    <row r="298" spans="2:10" s="21" customFormat="1" x14ac:dyDescent="0.3">
      <c r="B298" s="17">
        <v>291</v>
      </c>
      <c r="C298" s="27" t="s">
        <v>723</v>
      </c>
      <c r="D298" s="17"/>
      <c r="E298" s="29" t="str">
        <f>IFERROR(VLOOKUP(C298,기출문제!D:G,3,0),"")</f>
        <v/>
      </c>
      <c r="F298" s="30" t="str">
        <f>IFERROR(VLOOKUP(C298,기출문제!D:G,4,0),"")</f>
        <v/>
      </c>
      <c r="G298" s="31" t="str">
        <f t="shared" si="4"/>
        <v/>
      </c>
      <c r="J298" s="23"/>
    </row>
    <row r="299" spans="2:10" s="21" customFormat="1" x14ac:dyDescent="0.3">
      <c r="B299" s="17">
        <v>292</v>
      </c>
      <c r="C299" s="27" t="s">
        <v>723</v>
      </c>
      <c r="D299" s="17"/>
      <c r="E299" s="29" t="str">
        <f>IFERROR(VLOOKUP(C299,기출문제!D:G,3,0),"")</f>
        <v/>
      </c>
      <c r="F299" s="30" t="str">
        <f>IFERROR(VLOOKUP(C299,기출문제!D:G,4,0),"")</f>
        <v/>
      </c>
      <c r="G299" s="31" t="str">
        <f t="shared" si="4"/>
        <v/>
      </c>
      <c r="J299" s="23"/>
    </row>
    <row r="300" spans="2:10" s="21" customFormat="1" x14ac:dyDescent="0.3">
      <c r="B300" s="17">
        <v>293</v>
      </c>
      <c r="C300" s="27" t="s">
        <v>723</v>
      </c>
      <c r="D300" s="17"/>
      <c r="E300" s="29" t="str">
        <f>IFERROR(VLOOKUP(C300,기출문제!D:G,3,0),"")</f>
        <v/>
      </c>
      <c r="F300" s="30" t="str">
        <f>IFERROR(VLOOKUP(C300,기출문제!D:G,4,0),"")</f>
        <v/>
      </c>
      <c r="G300" s="31" t="str">
        <f t="shared" si="4"/>
        <v/>
      </c>
      <c r="J300" s="23"/>
    </row>
    <row r="301" spans="2:10" s="21" customFormat="1" x14ac:dyDescent="0.3">
      <c r="B301" s="17">
        <v>294</v>
      </c>
      <c r="C301" s="27" t="s">
        <v>723</v>
      </c>
      <c r="D301" s="17"/>
      <c r="E301" s="29" t="str">
        <f>IFERROR(VLOOKUP(C301,기출문제!D:G,3,0),"")</f>
        <v/>
      </c>
      <c r="F301" s="30" t="str">
        <f>IFERROR(VLOOKUP(C301,기출문제!D:G,4,0),"")</f>
        <v/>
      </c>
      <c r="G301" s="31" t="str">
        <f t="shared" si="4"/>
        <v/>
      </c>
      <c r="J301" s="23"/>
    </row>
    <row r="302" spans="2:10" s="21" customFormat="1" x14ac:dyDescent="0.3">
      <c r="B302" s="17">
        <v>295</v>
      </c>
      <c r="C302" s="27" t="s">
        <v>723</v>
      </c>
      <c r="D302" s="17"/>
      <c r="E302" s="29" t="str">
        <f>IFERROR(VLOOKUP(C302,기출문제!D:G,3,0),"")</f>
        <v/>
      </c>
      <c r="F302" s="30" t="str">
        <f>IFERROR(VLOOKUP(C302,기출문제!D:G,4,0),"")</f>
        <v/>
      </c>
      <c r="G302" s="31" t="str">
        <f t="shared" si="4"/>
        <v/>
      </c>
      <c r="J302" s="23"/>
    </row>
    <row r="303" spans="2:10" s="21" customFormat="1" x14ac:dyDescent="0.3">
      <c r="B303" s="17">
        <v>296</v>
      </c>
      <c r="C303" s="27" t="s">
        <v>723</v>
      </c>
      <c r="D303" s="17"/>
      <c r="E303" s="29" t="str">
        <f>IFERROR(VLOOKUP(C303,기출문제!D:G,3,0),"")</f>
        <v/>
      </c>
      <c r="F303" s="30" t="str">
        <f>IFERROR(VLOOKUP(C303,기출문제!D:G,4,0),"")</f>
        <v/>
      </c>
      <c r="G303" s="31" t="str">
        <f t="shared" si="4"/>
        <v/>
      </c>
      <c r="J303" s="23"/>
    </row>
    <row r="304" spans="2:10" s="21" customFormat="1" x14ac:dyDescent="0.3">
      <c r="B304" s="17">
        <v>297</v>
      </c>
      <c r="C304" s="27" t="s">
        <v>723</v>
      </c>
      <c r="D304" s="17"/>
      <c r="E304" s="29" t="str">
        <f>IFERROR(VLOOKUP(C304,기출문제!D:G,3,0),"")</f>
        <v/>
      </c>
      <c r="F304" s="30" t="str">
        <f>IFERROR(VLOOKUP(C304,기출문제!D:G,4,0),"")</f>
        <v/>
      </c>
      <c r="G304" s="31" t="str">
        <f t="shared" si="4"/>
        <v/>
      </c>
      <c r="J304" s="23"/>
    </row>
    <row r="305" spans="2:10" s="21" customFormat="1" x14ac:dyDescent="0.3">
      <c r="B305" s="17">
        <v>298</v>
      </c>
      <c r="C305" s="27" t="s">
        <v>723</v>
      </c>
      <c r="D305" s="17"/>
      <c r="E305" s="29" t="str">
        <f>IFERROR(VLOOKUP(C305,기출문제!D:G,3,0),"")</f>
        <v/>
      </c>
      <c r="F305" s="30" t="str">
        <f>IFERROR(VLOOKUP(C305,기출문제!D:G,4,0),"")</f>
        <v/>
      </c>
      <c r="G305" s="31" t="str">
        <f t="shared" si="4"/>
        <v/>
      </c>
      <c r="J305" s="23"/>
    </row>
    <row r="306" spans="2:10" s="21" customFormat="1" x14ac:dyDescent="0.3">
      <c r="B306" s="17">
        <v>299</v>
      </c>
      <c r="C306" s="27" t="s">
        <v>723</v>
      </c>
      <c r="D306" s="17"/>
      <c r="E306" s="29" t="str">
        <f>IFERROR(VLOOKUP(C306,기출문제!D:G,3,0),"")</f>
        <v/>
      </c>
      <c r="F306" s="30" t="str">
        <f>IFERROR(VLOOKUP(C306,기출문제!D:G,4,0),"")</f>
        <v/>
      </c>
      <c r="G306" s="31" t="str">
        <f t="shared" si="4"/>
        <v/>
      </c>
      <c r="J306" s="23"/>
    </row>
    <row r="307" spans="2:10" s="21" customFormat="1" x14ac:dyDescent="0.3">
      <c r="B307" s="17">
        <v>300</v>
      </c>
      <c r="C307" s="27" t="s">
        <v>723</v>
      </c>
      <c r="D307" s="17"/>
      <c r="E307" s="29" t="str">
        <f>IFERROR(VLOOKUP(C307,기출문제!D:G,3,0),"")</f>
        <v/>
      </c>
      <c r="F307" s="30" t="str">
        <f>IFERROR(VLOOKUP(C307,기출문제!D:G,4,0),"")</f>
        <v/>
      </c>
      <c r="G307" s="31" t="str">
        <f t="shared" si="4"/>
        <v/>
      </c>
      <c r="J307" s="23"/>
    </row>
    <row r="308" spans="2:10" s="21" customFormat="1" x14ac:dyDescent="0.3">
      <c r="B308" s="17">
        <v>301</v>
      </c>
      <c r="C308" s="27" t="s">
        <v>723</v>
      </c>
      <c r="D308" s="17"/>
      <c r="E308" s="29" t="str">
        <f>IFERROR(VLOOKUP(C308,기출문제!D:G,3,0),"")</f>
        <v/>
      </c>
      <c r="F308" s="30" t="str">
        <f>IFERROR(VLOOKUP(C308,기출문제!D:G,4,0),"")</f>
        <v/>
      </c>
      <c r="G308" s="31" t="str">
        <f t="shared" si="4"/>
        <v/>
      </c>
      <c r="J308" s="23"/>
    </row>
    <row r="309" spans="2:10" s="21" customFormat="1" x14ac:dyDescent="0.3">
      <c r="B309" s="17">
        <v>302</v>
      </c>
      <c r="C309" s="27" t="s">
        <v>723</v>
      </c>
      <c r="D309" s="17"/>
      <c r="E309" s="29" t="str">
        <f>IFERROR(VLOOKUP(C309,기출문제!D:G,3,0),"")</f>
        <v/>
      </c>
      <c r="F309" s="30" t="str">
        <f>IFERROR(VLOOKUP(C309,기출문제!D:G,4,0),"")</f>
        <v/>
      </c>
      <c r="G309" s="31" t="str">
        <f t="shared" si="4"/>
        <v/>
      </c>
      <c r="J309" s="23"/>
    </row>
    <row r="310" spans="2:10" s="21" customFormat="1" x14ac:dyDescent="0.3">
      <c r="B310" s="17">
        <v>303</v>
      </c>
      <c r="C310" s="27" t="s">
        <v>723</v>
      </c>
      <c r="D310" s="17"/>
      <c r="E310" s="29" t="str">
        <f>IFERROR(VLOOKUP(C310,기출문제!D:G,3,0),"")</f>
        <v/>
      </c>
      <c r="F310" s="30" t="str">
        <f>IFERROR(VLOOKUP(C310,기출문제!D:G,4,0),"")</f>
        <v/>
      </c>
      <c r="G310" s="31" t="str">
        <f t="shared" si="4"/>
        <v/>
      </c>
      <c r="J310" s="23"/>
    </row>
    <row r="311" spans="2:10" s="21" customFormat="1" x14ac:dyDescent="0.3">
      <c r="B311" s="17">
        <v>304</v>
      </c>
      <c r="C311" s="27" t="s">
        <v>723</v>
      </c>
      <c r="D311" s="17"/>
      <c r="E311" s="29" t="str">
        <f>IFERROR(VLOOKUP(C311,기출문제!D:G,3,0),"")</f>
        <v/>
      </c>
      <c r="F311" s="30" t="str">
        <f>IFERROR(VLOOKUP(C311,기출문제!D:G,4,0),"")</f>
        <v/>
      </c>
      <c r="G311" s="31" t="str">
        <f t="shared" si="4"/>
        <v/>
      </c>
      <c r="J311" s="23"/>
    </row>
    <row r="312" spans="2:10" s="21" customFormat="1" x14ac:dyDescent="0.3">
      <c r="B312" s="17">
        <v>305</v>
      </c>
      <c r="C312" s="27" t="s">
        <v>723</v>
      </c>
      <c r="D312" s="17"/>
      <c r="E312" s="29" t="str">
        <f>IFERROR(VLOOKUP(C312,기출문제!D:G,3,0),"")</f>
        <v/>
      </c>
      <c r="F312" s="30" t="str">
        <f>IFERROR(VLOOKUP(C312,기출문제!D:G,4,0),"")</f>
        <v/>
      </c>
      <c r="G312" s="31" t="str">
        <f t="shared" si="4"/>
        <v/>
      </c>
      <c r="J312" s="23"/>
    </row>
    <row r="313" spans="2:10" s="21" customFormat="1" x14ac:dyDescent="0.3">
      <c r="B313" s="17">
        <v>306</v>
      </c>
      <c r="C313" s="27" t="s">
        <v>723</v>
      </c>
      <c r="D313" s="17"/>
      <c r="E313" s="29" t="str">
        <f>IFERROR(VLOOKUP(C313,기출문제!D:G,3,0),"")</f>
        <v/>
      </c>
      <c r="F313" s="30" t="str">
        <f>IFERROR(VLOOKUP(C313,기출문제!D:G,4,0),"")</f>
        <v/>
      </c>
      <c r="G313" s="31" t="str">
        <f t="shared" si="4"/>
        <v/>
      </c>
      <c r="J313" s="23"/>
    </row>
    <row r="314" spans="2:10" s="21" customFormat="1" x14ac:dyDescent="0.3">
      <c r="B314" s="17">
        <v>307</v>
      </c>
      <c r="C314" s="27" t="s">
        <v>723</v>
      </c>
      <c r="D314" s="17"/>
      <c r="E314" s="29" t="str">
        <f>IFERROR(VLOOKUP(C314,기출문제!D:G,3,0),"")</f>
        <v/>
      </c>
      <c r="F314" s="30" t="str">
        <f>IFERROR(VLOOKUP(C314,기출문제!D:G,4,0),"")</f>
        <v/>
      </c>
      <c r="G314" s="31" t="str">
        <f t="shared" si="4"/>
        <v/>
      </c>
      <c r="J314" s="23"/>
    </row>
    <row r="315" spans="2:10" s="21" customFormat="1" x14ac:dyDescent="0.3">
      <c r="B315" s="17">
        <v>308</v>
      </c>
      <c r="C315" s="27" t="s">
        <v>723</v>
      </c>
      <c r="D315" s="17"/>
      <c r="E315" s="29" t="str">
        <f>IFERROR(VLOOKUP(C315,기출문제!D:G,3,0),"")</f>
        <v/>
      </c>
      <c r="F315" s="30" t="str">
        <f>IFERROR(VLOOKUP(C315,기출문제!D:G,4,0),"")</f>
        <v/>
      </c>
      <c r="G315" s="31" t="str">
        <f t="shared" si="4"/>
        <v/>
      </c>
      <c r="J315" s="23"/>
    </row>
    <row r="316" spans="2:10" s="21" customFormat="1" x14ac:dyDescent="0.3">
      <c r="B316" s="17">
        <v>309</v>
      </c>
      <c r="C316" s="27" t="s">
        <v>723</v>
      </c>
      <c r="D316" s="17"/>
      <c r="E316" s="29" t="str">
        <f>IFERROR(VLOOKUP(C316,기출문제!D:G,3,0),"")</f>
        <v/>
      </c>
      <c r="F316" s="30" t="str">
        <f>IFERROR(VLOOKUP(C316,기출문제!D:G,4,0),"")</f>
        <v/>
      </c>
      <c r="G316" s="31" t="str">
        <f t="shared" si="4"/>
        <v/>
      </c>
      <c r="J316" s="23"/>
    </row>
    <row r="317" spans="2:10" s="21" customFormat="1" x14ac:dyDescent="0.3">
      <c r="B317" s="17">
        <v>310</v>
      </c>
      <c r="C317" s="27" t="s">
        <v>723</v>
      </c>
      <c r="D317" s="17"/>
      <c r="E317" s="29" t="str">
        <f>IFERROR(VLOOKUP(C317,기출문제!D:G,3,0),"")</f>
        <v/>
      </c>
      <c r="F317" s="30" t="str">
        <f>IFERROR(VLOOKUP(C317,기출문제!D:G,4,0),"")</f>
        <v/>
      </c>
      <c r="G317" s="31" t="str">
        <f t="shared" si="4"/>
        <v/>
      </c>
      <c r="J317" s="23"/>
    </row>
    <row r="318" spans="2:10" s="21" customFormat="1" x14ac:dyDescent="0.3">
      <c r="B318" s="17">
        <v>311</v>
      </c>
      <c r="C318" s="27" t="s">
        <v>723</v>
      </c>
      <c r="D318" s="17"/>
      <c r="E318" s="29" t="str">
        <f>IFERROR(VLOOKUP(C318,기출문제!D:G,3,0),"")</f>
        <v/>
      </c>
      <c r="F318" s="30" t="str">
        <f>IFERROR(VLOOKUP(C318,기출문제!D:G,4,0),"")</f>
        <v/>
      </c>
      <c r="G318" s="31" t="str">
        <f t="shared" si="4"/>
        <v/>
      </c>
      <c r="J318" s="23"/>
    </row>
    <row r="319" spans="2:10" s="21" customFormat="1" x14ac:dyDescent="0.3">
      <c r="B319" s="17">
        <v>312</v>
      </c>
      <c r="C319" s="27" t="s">
        <v>723</v>
      </c>
      <c r="D319" s="17"/>
      <c r="E319" s="29" t="str">
        <f>IFERROR(VLOOKUP(C319,기출문제!D:G,3,0),"")</f>
        <v/>
      </c>
      <c r="F319" s="30" t="str">
        <f>IFERROR(VLOOKUP(C319,기출문제!D:G,4,0),"")</f>
        <v/>
      </c>
      <c r="G319" s="31" t="str">
        <f t="shared" si="4"/>
        <v/>
      </c>
      <c r="J319" s="23"/>
    </row>
    <row r="320" spans="2:10" s="21" customFormat="1" x14ac:dyDescent="0.3">
      <c r="B320" s="17">
        <v>313</v>
      </c>
      <c r="C320" s="27" t="s">
        <v>723</v>
      </c>
      <c r="D320" s="17"/>
      <c r="E320" s="29" t="str">
        <f>IFERROR(VLOOKUP(C320,기출문제!D:G,3,0),"")</f>
        <v/>
      </c>
      <c r="F320" s="30" t="str">
        <f>IFERROR(VLOOKUP(C320,기출문제!D:G,4,0),"")</f>
        <v/>
      </c>
      <c r="G320" s="31" t="str">
        <f t="shared" si="4"/>
        <v/>
      </c>
      <c r="J320" s="23"/>
    </row>
    <row r="321" spans="2:10" s="21" customFormat="1" x14ac:dyDescent="0.3">
      <c r="B321" s="17">
        <v>314</v>
      </c>
      <c r="C321" s="27" t="s">
        <v>723</v>
      </c>
      <c r="D321" s="17"/>
      <c r="E321" s="29" t="str">
        <f>IFERROR(VLOOKUP(C321,기출문제!D:G,3,0),"")</f>
        <v/>
      </c>
      <c r="F321" s="30" t="str">
        <f>IFERROR(VLOOKUP(C321,기출문제!D:G,4,0),"")</f>
        <v/>
      </c>
      <c r="G321" s="31" t="str">
        <f t="shared" si="4"/>
        <v/>
      </c>
      <c r="J321" s="23"/>
    </row>
    <row r="322" spans="2:10" s="21" customFormat="1" x14ac:dyDescent="0.3">
      <c r="B322" s="17">
        <v>315</v>
      </c>
      <c r="C322" s="27" t="s">
        <v>723</v>
      </c>
      <c r="D322" s="17"/>
      <c r="E322" s="29" t="str">
        <f>IFERROR(VLOOKUP(C322,기출문제!D:G,3,0),"")</f>
        <v/>
      </c>
      <c r="F322" s="30" t="str">
        <f>IFERROR(VLOOKUP(C322,기출문제!D:G,4,0),"")</f>
        <v/>
      </c>
      <c r="G322" s="31" t="str">
        <f t="shared" si="4"/>
        <v/>
      </c>
      <c r="J322" s="23"/>
    </row>
    <row r="323" spans="2:10" s="21" customFormat="1" x14ac:dyDescent="0.3">
      <c r="B323" s="17">
        <v>316</v>
      </c>
      <c r="C323" s="27" t="s">
        <v>723</v>
      </c>
      <c r="D323" s="17"/>
      <c r="E323" s="29" t="str">
        <f>IFERROR(VLOOKUP(C323,기출문제!D:G,3,0),"")</f>
        <v/>
      </c>
      <c r="F323" s="30" t="str">
        <f>IFERROR(VLOOKUP(C323,기출문제!D:G,4,0),"")</f>
        <v/>
      </c>
      <c r="G323" s="31" t="str">
        <f t="shared" si="4"/>
        <v/>
      </c>
      <c r="J323" s="23"/>
    </row>
    <row r="324" spans="2:10" s="21" customFormat="1" x14ac:dyDescent="0.3">
      <c r="B324" s="17">
        <v>317</v>
      </c>
      <c r="C324" s="27" t="s">
        <v>723</v>
      </c>
      <c r="D324" s="17"/>
      <c r="E324" s="29" t="str">
        <f>IFERROR(VLOOKUP(C324,기출문제!D:G,3,0),"")</f>
        <v/>
      </c>
      <c r="F324" s="30" t="str">
        <f>IFERROR(VLOOKUP(C324,기출문제!D:G,4,0),"")</f>
        <v/>
      </c>
      <c r="G324" s="31" t="str">
        <f t="shared" si="4"/>
        <v/>
      </c>
      <c r="J324" s="23"/>
    </row>
    <row r="325" spans="2:10" s="21" customFormat="1" x14ac:dyDescent="0.3">
      <c r="B325" s="17">
        <v>318</v>
      </c>
      <c r="C325" s="27" t="s">
        <v>723</v>
      </c>
      <c r="D325" s="17"/>
      <c r="E325" s="29" t="str">
        <f>IFERROR(VLOOKUP(C325,기출문제!D:G,3,0),"")</f>
        <v/>
      </c>
      <c r="F325" s="30" t="str">
        <f>IFERROR(VLOOKUP(C325,기출문제!D:G,4,0),"")</f>
        <v/>
      </c>
      <c r="G325" s="31" t="str">
        <f t="shared" si="4"/>
        <v/>
      </c>
      <c r="J325" s="23"/>
    </row>
    <row r="326" spans="2:10" s="21" customFormat="1" x14ac:dyDescent="0.3">
      <c r="B326" s="17">
        <v>319</v>
      </c>
      <c r="C326" s="27" t="s">
        <v>723</v>
      </c>
      <c r="D326" s="17"/>
      <c r="E326" s="29" t="str">
        <f>IFERROR(VLOOKUP(C326,기출문제!D:G,3,0),"")</f>
        <v/>
      </c>
      <c r="F326" s="30" t="str">
        <f>IFERROR(VLOOKUP(C326,기출문제!D:G,4,0),"")</f>
        <v/>
      </c>
      <c r="G326" s="31" t="str">
        <f t="shared" si="4"/>
        <v/>
      </c>
      <c r="J326" s="23"/>
    </row>
    <row r="327" spans="2:10" s="21" customFormat="1" x14ac:dyDescent="0.3">
      <c r="B327" s="17">
        <v>320</v>
      </c>
      <c r="C327" s="27" t="s">
        <v>723</v>
      </c>
      <c r="D327" s="17"/>
      <c r="E327" s="29" t="str">
        <f>IFERROR(VLOOKUP(C327,기출문제!D:G,3,0),"")</f>
        <v/>
      </c>
      <c r="F327" s="30" t="str">
        <f>IFERROR(VLOOKUP(C327,기출문제!D:G,4,0),"")</f>
        <v/>
      </c>
      <c r="G327" s="31" t="str">
        <f t="shared" si="4"/>
        <v/>
      </c>
      <c r="J327" s="23"/>
    </row>
    <row r="328" spans="2:10" s="21" customFormat="1" x14ac:dyDescent="0.3">
      <c r="B328" s="17">
        <v>321</v>
      </c>
      <c r="C328" s="27" t="s">
        <v>723</v>
      </c>
      <c r="D328" s="17"/>
      <c r="E328" s="29" t="str">
        <f>IFERROR(VLOOKUP(C328,기출문제!D:G,3,0),"")</f>
        <v/>
      </c>
      <c r="F328" s="30" t="str">
        <f>IFERROR(VLOOKUP(C328,기출문제!D:G,4,0),"")</f>
        <v/>
      </c>
      <c r="G328" s="31" t="str">
        <f t="shared" si="4"/>
        <v/>
      </c>
      <c r="J328" s="23"/>
    </row>
    <row r="329" spans="2:10" s="21" customFormat="1" x14ac:dyDescent="0.3">
      <c r="B329" s="17">
        <v>322</v>
      </c>
      <c r="C329" s="27" t="s">
        <v>723</v>
      </c>
      <c r="D329" s="17"/>
      <c r="E329" s="29" t="str">
        <f>IFERROR(VLOOKUP(C329,기출문제!D:G,3,0),"")</f>
        <v/>
      </c>
      <c r="F329" s="30" t="str">
        <f>IFERROR(VLOOKUP(C329,기출문제!D:G,4,0),"")</f>
        <v/>
      </c>
      <c r="G329" s="31" t="str">
        <f t="shared" ref="G329:G392" si="5">IF(D329="","",IF(D329=F329,"O", "X"))</f>
        <v/>
      </c>
      <c r="J329" s="23"/>
    </row>
    <row r="330" spans="2:10" s="21" customFormat="1" x14ac:dyDescent="0.3">
      <c r="B330" s="17">
        <v>323</v>
      </c>
      <c r="C330" s="27" t="s">
        <v>723</v>
      </c>
      <c r="D330" s="17"/>
      <c r="E330" s="29" t="str">
        <f>IFERROR(VLOOKUP(C330,기출문제!D:G,3,0),"")</f>
        <v/>
      </c>
      <c r="F330" s="30" t="str">
        <f>IFERROR(VLOOKUP(C330,기출문제!D:G,4,0),"")</f>
        <v/>
      </c>
      <c r="G330" s="31" t="str">
        <f t="shared" si="5"/>
        <v/>
      </c>
      <c r="J330" s="23"/>
    </row>
    <row r="331" spans="2:10" s="21" customFormat="1" x14ac:dyDescent="0.3">
      <c r="B331" s="17">
        <v>324</v>
      </c>
      <c r="C331" s="27" t="s">
        <v>723</v>
      </c>
      <c r="D331" s="17"/>
      <c r="E331" s="29" t="str">
        <f>IFERROR(VLOOKUP(C331,기출문제!D:G,3,0),"")</f>
        <v/>
      </c>
      <c r="F331" s="30" t="str">
        <f>IFERROR(VLOOKUP(C331,기출문제!D:G,4,0),"")</f>
        <v/>
      </c>
      <c r="G331" s="31" t="str">
        <f t="shared" si="5"/>
        <v/>
      </c>
      <c r="J331" s="23"/>
    </row>
    <row r="332" spans="2:10" s="21" customFormat="1" x14ac:dyDescent="0.3">
      <c r="B332" s="17">
        <v>325</v>
      </c>
      <c r="C332" s="27" t="s">
        <v>723</v>
      </c>
      <c r="D332" s="17"/>
      <c r="E332" s="29" t="str">
        <f>IFERROR(VLOOKUP(C332,기출문제!D:G,3,0),"")</f>
        <v/>
      </c>
      <c r="F332" s="30" t="str">
        <f>IFERROR(VLOOKUP(C332,기출문제!D:G,4,0),"")</f>
        <v/>
      </c>
      <c r="G332" s="31" t="str">
        <f t="shared" si="5"/>
        <v/>
      </c>
      <c r="J332" s="23"/>
    </row>
    <row r="333" spans="2:10" s="21" customFormat="1" x14ac:dyDescent="0.3">
      <c r="B333" s="17">
        <v>326</v>
      </c>
      <c r="C333" s="27" t="s">
        <v>723</v>
      </c>
      <c r="D333" s="17"/>
      <c r="E333" s="29" t="str">
        <f>IFERROR(VLOOKUP(C333,기출문제!D:G,3,0),"")</f>
        <v/>
      </c>
      <c r="F333" s="30" t="str">
        <f>IFERROR(VLOOKUP(C333,기출문제!D:G,4,0),"")</f>
        <v/>
      </c>
      <c r="G333" s="31" t="str">
        <f t="shared" si="5"/>
        <v/>
      </c>
      <c r="J333" s="23"/>
    </row>
    <row r="334" spans="2:10" s="21" customFormat="1" x14ac:dyDescent="0.3">
      <c r="B334" s="17">
        <v>327</v>
      </c>
      <c r="C334" s="27" t="s">
        <v>723</v>
      </c>
      <c r="D334" s="17"/>
      <c r="E334" s="29" t="str">
        <f>IFERROR(VLOOKUP(C334,기출문제!D:G,3,0),"")</f>
        <v/>
      </c>
      <c r="F334" s="30" t="str">
        <f>IFERROR(VLOOKUP(C334,기출문제!D:G,4,0),"")</f>
        <v/>
      </c>
      <c r="G334" s="31" t="str">
        <f t="shared" si="5"/>
        <v/>
      </c>
      <c r="J334" s="23"/>
    </row>
    <row r="335" spans="2:10" s="21" customFormat="1" x14ac:dyDescent="0.3">
      <c r="B335" s="17">
        <v>328</v>
      </c>
      <c r="C335" s="27" t="s">
        <v>723</v>
      </c>
      <c r="D335" s="17"/>
      <c r="E335" s="29" t="str">
        <f>IFERROR(VLOOKUP(C335,기출문제!D:G,3,0),"")</f>
        <v/>
      </c>
      <c r="F335" s="30" t="str">
        <f>IFERROR(VLOOKUP(C335,기출문제!D:G,4,0),"")</f>
        <v/>
      </c>
      <c r="G335" s="31" t="str">
        <f t="shared" si="5"/>
        <v/>
      </c>
      <c r="J335" s="23"/>
    </row>
    <row r="336" spans="2:10" s="21" customFormat="1" x14ac:dyDescent="0.3">
      <c r="B336" s="17">
        <v>329</v>
      </c>
      <c r="C336" s="27" t="s">
        <v>723</v>
      </c>
      <c r="D336" s="17"/>
      <c r="E336" s="29" t="str">
        <f>IFERROR(VLOOKUP(C336,기출문제!D:G,3,0),"")</f>
        <v/>
      </c>
      <c r="F336" s="30" t="str">
        <f>IFERROR(VLOOKUP(C336,기출문제!D:G,4,0),"")</f>
        <v/>
      </c>
      <c r="G336" s="31" t="str">
        <f t="shared" si="5"/>
        <v/>
      </c>
      <c r="J336" s="23"/>
    </row>
    <row r="337" spans="2:10" s="21" customFormat="1" x14ac:dyDescent="0.3">
      <c r="B337" s="17">
        <v>330</v>
      </c>
      <c r="C337" s="27" t="s">
        <v>723</v>
      </c>
      <c r="D337" s="17"/>
      <c r="E337" s="29" t="str">
        <f>IFERROR(VLOOKUP(C337,기출문제!D:G,3,0),"")</f>
        <v/>
      </c>
      <c r="F337" s="30" t="str">
        <f>IFERROR(VLOOKUP(C337,기출문제!D:G,4,0),"")</f>
        <v/>
      </c>
      <c r="G337" s="31" t="str">
        <f t="shared" si="5"/>
        <v/>
      </c>
      <c r="J337" s="23"/>
    </row>
    <row r="338" spans="2:10" s="21" customFormat="1" x14ac:dyDescent="0.3">
      <c r="B338" s="17">
        <v>331</v>
      </c>
      <c r="C338" s="27" t="s">
        <v>723</v>
      </c>
      <c r="D338" s="17"/>
      <c r="E338" s="29" t="str">
        <f>IFERROR(VLOOKUP(C338,기출문제!D:G,3,0),"")</f>
        <v/>
      </c>
      <c r="F338" s="30" t="str">
        <f>IFERROR(VLOOKUP(C338,기출문제!D:G,4,0),"")</f>
        <v/>
      </c>
      <c r="G338" s="31" t="str">
        <f t="shared" si="5"/>
        <v/>
      </c>
      <c r="J338" s="23"/>
    </row>
    <row r="339" spans="2:10" s="21" customFormat="1" x14ac:dyDescent="0.3">
      <c r="B339" s="17">
        <v>332</v>
      </c>
      <c r="C339" s="27" t="s">
        <v>723</v>
      </c>
      <c r="D339" s="17"/>
      <c r="E339" s="29" t="str">
        <f>IFERROR(VLOOKUP(C339,기출문제!D:G,3,0),"")</f>
        <v/>
      </c>
      <c r="F339" s="30" t="str">
        <f>IFERROR(VLOOKUP(C339,기출문제!D:G,4,0),"")</f>
        <v/>
      </c>
      <c r="G339" s="31" t="str">
        <f t="shared" si="5"/>
        <v/>
      </c>
      <c r="J339" s="23"/>
    </row>
    <row r="340" spans="2:10" s="21" customFormat="1" x14ac:dyDescent="0.3">
      <c r="B340" s="17">
        <v>333</v>
      </c>
      <c r="C340" s="27" t="s">
        <v>723</v>
      </c>
      <c r="D340" s="17"/>
      <c r="E340" s="29" t="str">
        <f>IFERROR(VLOOKUP(C340,기출문제!D:G,3,0),"")</f>
        <v/>
      </c>
      <c r="F340" s="30" t="str">
        <f>IFERROR(VLOOKUP(C340,기출문제!D:G,4,0),"")</f>
        <v/>
      </c>
      <c r="G340" s="31" t="str">
        <f t="shared" si="5"/>
        <v/>
      </c>
      <c r="J340" s="23"/>
    </row>
    <row r="341" spans="2:10" s="21" customFormat="1" x14ac:dyDescent="0.3">
      <c r="B341" s="17">
        <v>334</v>
      </c>
      <c r="C341" s="27" t="s">
        <v>723</v>
      </c>
      <c r="D341" s="17"/>
      <c r="E341" s="29" t="str">
        <f>IFERROR(VLOOKUP(C341,기출문제!D:G,3,0),"")</f>
        <v/>
      </c>
      <c r="F341" s="30" t="str">
        <f>IFERROR(VLOOKUP(C341,기출문제!D:G,4,0),"")</f>
        <v/>
      </c>
      <c r="G341" s="31" t="str">
        <f t="shared" si="5"/>
        <v/>
      </c>
      <c r="J341" s="23"/>
    </row>
    <row r="342" spans="2:10" s="21" customFormat="1" x14ac:dyDescent="0.3">
      <c r="B342" s="17">
        <v>335</v>
      </c>
      <c r="C342" s="27" t="s">
        <v>723</v>
      </c>
      <c r="D342" s="17"/>
      <c r="E342" s="29" t="str">
        <f>IFERROR(VLOOKUP(C342,기출문제!D:G,3,0),"")</f>
        <v/>
      </c>
      <c r="F342" s="30" t="str">
        <f>IFERROR(VLOOKUP(C342,기출문제!D:G,4,0),"")</f>
        <v/>
      </c>
      <c r="G342" s="31" t="str">
        <f t="shared" si="5"/>
        <v/>
      </c>
      <c r="J342" s="23"/>
    </row>
    <row r="343" spans="2:10" s="21" customFormat="1" x14ac:dyDescent="0.3">
      <c r="B343" s="17">
        <v>336</v>
      </c>
      <c r="C343" s="27" t="s">
        <v>723</v>
      </c>
      <c r="D343" s="17"/>
      <c r="E343" s="29" t="str">
        <f>IFERROR(VLOOKUP(C343,기출문제!D:G,3,0),"")</f>
        <v/>
      </c>
      <c r="F343" s="30" t="str">
        <f>IFERROR(VLOOKUP(C343,기출문제!D:G,4,0),"")</f>
        <v/>
      </c>
      <c r="G343" s="31" t="str">
        <f t="shared" si="5"/>
        <v/>
      </c>
      <c r="J343" s="23"/>
    </row>
    <row r="344" spans="2:10" s="21" customFormat="1" x14ac:dyDescent="0.3">
      <c r="B344" s="17">
        <v>337</v>
      </c>
      <c r="C344" s="27" t="s">
        <v>723</v>
      </c>
      <c r="D344" s="17"/>
      <c r="E344" s="29" t="str">
        <f>IFERROR(VLOOKUP(C344,기출문제!D:G,3,0),"")</f>
        <v/>
      </c>
      <c r="F344" s="30" t="str">
        <f>IFERROR(VLOOKUP(C344,기출문제!D:G,4,0),"")</f>
        <v/>
      </c>
      <c r="G344" s="31" t="str">
        <f t="shared" si="5"/>
        <v/>
      </c>
      <c r="J344" s="23"/>
    </row>
    <row r="345" spans="2:10" s="21" customFormat="1" x14ac:dyDescent="0.3">
      <c r="B345" s="17">
        <v>338</v>
      </c>
      <c r="C345" s="27" t="s">
        <v>723</v>
      </c>
      <c r="D345" s="17"/>
      <c r="E345" s="29" t="str">
        <f>IFERROR(VLOOKUP(C345,기출문제!D:G,3,0),"")</f>
        <v/>
      </c>
      <c r="F345" s="30" t="str">
        <f>IFERROR(VLOOKUP(C345,기출문제!D:G,4,0),"")</f>
        <v/>
      </c>
      <c r="G345" s="31" t="str">
        <f t="shared" si="5"/>
        <v/>
      </c>
      <c r="J345" s="23"/>
    </row>
    <row r="346" spans="2:10" s="21" customFormat="1" x14ac:dyDescent="0.3">
      <c r="B346" s="17">
        <v>339</v>
      </c>
      <c r="C346" s="27" t="s">
        <v>723</v>
      </c>
      <c r="D346" s="17"/>
      <c r="E346" s="29" t="str">
        <f>IFERROR(VLOOKUP(C346,기출문제!D:G,3,0),"")</f>
        <v/>
      </c>
      <c r="F346" s="30" t="str">
        <f>IFERROR(VLOOKUP(C346,기출문제!D:G,4,0),"")</f>
        <v/>
      </c>
      <c r="G346" s="31" t="str">
        <f t="shared" si="5"/>
        <v/>
      </c>
      <c r="J346" s="23"/>
    </row>
    <row r="347" spans="2:10" s="21" customFormat="1" x14ac:dyDescent="0.3">
      <c r="B347" s="17">
        <v>340</v>
      </c>
      <c r="C347" s="27" t="s">
        <v>723</v>
      </c>
      <c r="D347" s="17"/>
      <c r="E347" s="29" t="str">
        <f>IFERROR(VLOOKUP(C347,기출문제!D:G,3,0),"")</f>
        <v/>
      </c>
      <c r="F347" s="30" t="str">
        <f>IFERROR(VLOOKUP(C347,기출문제!D:G,4,0),"")</f>
        <v/>
      </c>
      <c r="G347" s="31" t="str">
        <f t="shared" si="5"/>
        <v/>
      </c>
      <c r="J347" s="23"/>
    </row>
    <row r="348" spans="2:10" s="21" customFormat="1" x14ac:dyDescent="0.3">
      <c r="B348" s="17">
        <v>341</v>
      </c>
      <c r="C348" s="27" t="s">
        <v>723</v>
      </c>
      <c r="D348" s="17"/>
      <c r="E348" s="29" t="str">
        <f>IFERROR(VLOOKUP(C348,기출문제!D:G,3,0),"")</f>
        <v/>
      </c>
      <c r="F348" s="30" t="str">
        <f>IFERROR(VLOOKUP(C348,기출문제!D:G,4,0),"")</f>
        <v/>
      </c>
      <c r="G348" s="31" t="str">
        <f t="shared" si="5"/>
        <v/>
      </c>
      <c r="J348" s="23"/>
    </row>
    <row r="349" spans="2:10" s="21" customFormat="1" x14ac:dyDescent="0.3">
      <c r="B349" s="17">
        <v>342</v>
      </c>
      <c r="C349" s="27" t="s">
        <v>723</v>
      </c>
      <c r="D349" s="17"/>
      <c r="E349" s="29" t="str">
        <f>IFERROR(VLOOKUP(C349,기출문제!D:G,3,0),"")</f>
        <v/>
      </c>
      <c r="F349" s="30" t="str">
        <f>IFERROR(VLOOKUP(C349,기출문제!D:G,4,0),"")</f>
        <v/>
      </c>
      <c r="G349" s="31" t="str">
        <f t="shared" si="5"/>
        <v/>
      </c>
      <c r="J349" s="23"/>
    </row>
    <row r="350" spans="2:10" s="21" customFormat="1" x14ac:dyDescent="0.3">
      <c r="B350" s="17">
        <v>343</v>
      </c>
      <c r="C350" s="27" t="s">
        <v>723</v>
      </c>
      <c r="D350" s="17"/>
      <c r="E350" s="29" t="str">
        <f>IFERROR(VLOOKUP(C350,기출문제!D:G,3,0),"")</f>
        <v/>
      </c>
      <c r="F350" s="30" t="str">
        <f>IFERROR(VLOOKUP(C350,기출문제!D:G,4,0),"")</f>
        <v/>
      </c>
      <c r="G350" s="31" t="str">
        <f t="shared" si="5"/>
        <v/>
      </c>
      <c r="J350" s="23"/>
    </row>
    <row r="351" spans="2:10" s="21" customFormat="1" x14ac:dyDescent="0.3">
      <c r="B351" s="17">
        <v>344</v>
      </c>
      <c r="C351" s="27" t="s">
        <v>723</v>
      </c>
      <c r="D351" s="17"/>
      <c r="E351" s="29" t="str">
        <f>IFERROR(VLOOKUP(C351,기출문제!D:G,3,0),"")</f>
        <v/>
      </c>
      <c r="F351" s="30" t="str">
        <f>IFERROR(VLOOKUP(C351,기출문제!D:G,4,0),"")</f>
        <v/>
      </c>
      <c r="G351" s="31" t="str">
        <f t="shared" si="5"/>
        <v/>
      </c>
      <c r="J351" s="23"/>
    </row>
    <row r="352" spans="2:10" s="21" customFormat="1" x14ac:dyDescent="0.3">
      <c r="B352" s="17">
        <v>345</v>
      </c>
      <c r="C352" s="27" t="s">
        <v>723</v>
      </c>
      <c r="D352" s="17"/>
      <c r="E352" s="29" t="str">
        <f>IFERROR(VLOOKUP(C352,기출문제!D:G,3,0),"")</f>
        <v/>
      </c>
      <c r="F352" s="30" t="str">
        <f>IFERROR(VLOOKUP(C352,기출문제!D:G,4,0),"")</f>
        <v/>
      </c>
      <c r="G352" s="31" t="str">
        <f t="shared" si="5"/>
        <v/>
      </c>
      <c r="J352" s="23"/>
    </row>
    <row r="353" spans="2:10" s="21" customFormat="1" x14ac:dyDescent="0.3">
      <c r="B353" s="17">
        <v>346</v>
      </c>
      <c r="C353" s="27" t="s">
        <v>723</v>
      </c>
      <c r="D353" s="17"/>
      <c r="E353" s="29" t="str">
        <f>IFERROR(VLOOKUP(C353,기출문제!D:G,3,0),"")</f>
        <v/>
      </c>
      <c r="F353" s="30" t="str">
        <f>IFERROR(VLOOKUP(C353,기출문제!D:G,4,0),"")</f>
        <v/>
      </c>
      <c r="G353" s="31" t="str">
        <f t="shared" si="5"/>
        <v/>
      </c>
      <c r="J353" s="23"/>
    </row>
    <row r="354" spans="2:10" s="21" customFormat="1" x14ac:dyDescent="0.3">
      <c r="B354" s="17">
        <v>347</v>
      </c>
      <c r="C354" s="27" t="s">
        <v>723</v>
      </c>
      <c r="D354" s="17"/>
      <c r="E354" s="29" t="str">
        <f>IFERROR(VLOOKUP(C354,기출문제!D:G,3,0),"")</f>
        <v/>
      </c>
      <c r="F354" s="30" t="str">
        <f>IFERROR(VLOOKUP(C354,기출문제!D:G,4,0),"")</f>
        <v/>
      </c>
      <c r="G354" s="31" t="str">
        <f t="shared" si="5"/>
        <v/>
      </c>
      <c r="J354" s="23"/>
    </row>
    <row r="355" spans="2:10" s="21" customFormat="1" x14ac:dyDescent="0.3">
      <c r="B355" s="17">
        <v>348</v>
      </c>
      <c r="C355" s="27" t="s">
        <v>723</v>
      </c>
      <c r="D355" s="17"/>
      <c r="E355" s="29" t="str">
        <f>IFERROR(VLOOKUP(C355,기출문제!D:G,3,0),"")</f>
        <v/>
      </c>
      <c r="F355" s="30" t="str">
        <f>IFERROR(VLOOKUP(C355,기출문제!D:G,4,0),"")</f>
        <v/>
      </c>
      <c r="G355" s="31" t="str">
        <f t="shared" si="5"/>
        <v/>
      </c>
      <c r="J355" s="23"/>
    </row>
    <row r="356" spans="2:10" s="21" customFormat="1" x14ac:dyDescent="0.3">
      <c r="B356" s="17">
        <v>349</v>
      </c>
      <c r="C356" s="27" t="s">
        <v>723</v>
      </c>
      <c r="D356" s="17"/>
      <c r="E356" s="29" t="str">
        <f>IFERROR(VLOOKUP(C356,기출문제!D:G,3,0),"")</f>
        <v/>
      </c>
      <c r="F356" s="30" t="str">
        <f>IFERROR(VLOOKUP(C356,기출문제!D:G,4,0),"")</f>
        <v/>
      </c>
      <c r="G356" s="31" t="str">
        <f t="shared" si="5"/>
        <v/>
      </c>
      <c r="J356" s="23"/>
    </row>
    <row r="357" spans="2:10" s="21" customFormat="1" x14ac:dyDescent="0.3">
      <c r="B357" s="17">
        <v>350</v>
      </c>
      <c r="C357" s="27" t="s">
        <v>723</v>
      </c>
      <c r="D357" s="17"/>
      <c r="E357" s="29" t="str">
        <f>IFERROR(VLOOKUP(C357,기출문제!D:G,3,0),"")</f>
        <v/>
      </c>
      <c r="F357" s="30" t="str">
        <f>IFERROR(VLOOKUP(C357,기출문제!D:G,4,0),"")</f>
        <v/>
      </c>
      <c r="G357" s="31" t="str">
        <f t="shared" si="5"/>
        <v/>
      </c>
      <c r="J357" s="23"/>
    </row>
    <row r="358" spans="2:10" s="21" customFormat="1" x14ac:dyDescent="0.3">
      <c r="B358" s="17">
        <v>351</v>
      </c>
      <c r="C358" s="27" t="s">
        <v>723</v>
      </c>
      <c r="D358" s="17"/>
      <c r="E358" s="29" t="str">
        <f>IFERROR(VLOOKUP(C358,기출문제!D:G,3,0),"")</f>
        <v/>
      </c>
      <c r="F358" s="30" t="str">
        <f>IFERROR(VLOOKUP(C358,기출문제!D:G,4,0),"")</f>
        <v/>
      </c>
      <c r="G358" s="31" t="str">
        <f t="shared" si="5"/>
        <v/>
      </c>
      <c r="J358" s="23"/>
    </row>
    <row r="359" spans="2:10" s="21" customFormat="1" x14ac:dyDescent="0.3">
      <c r="B359" s="17">
        <v>352</v>
      </c>
      <c r="C359" s="27" t="s">
        <v>723</v>
      </c>
      <c r="D359" s="17"/>
      <c r="E359" s="29" t="str">
        <f>IFERROR(VLOOKUP(C359,기출문제!D:G,3,0),"")</f>
        <v/>
      </c>
      <c r="F359" s="30" t="str">
        <f>IFERROR(VLOOKUP(C359,기출문제!D:G,4,0),"")</f>
        <v/>
      </c>
      <c r="G359" s="31" t="str">
        <f t="shared" si="5"/>
        <v/>
      </c>
      <c r="J359" s="23"/>
    </row>
    <row r="360" spans="2:10" s="21" customFormat="1" x14ac:dyDescent="0.3">
      <c r="B360" s="17">
        <v>353</v>
      </c>
      <c r="C360" s="27" t="s">
        <v>723</v>
      </c>
      <c r="D360" s="17"/>
      <c r="E360" s="29" t="str">
        <f>IFERROR(VLOOKUP(C360,기출문제!D:G,3,0),"")</f>
        <v/>
      </c>
      <c r="F360" s="30" t="str">
        <f>IFERROR(VLOOKUP(C360,기출문제!D:G,4,0),"")</f>
        <v/>
      </c>
      <c r="G360" s="31" t="str">
        <f t="shared" si="5"/>
        <v/>
      </c>
      <c r="J360" s="23"/>
    </row>
    <row r="361" spans="2:10" s="21" customFormat="1" x14ac:dyDescent="0.3">
      <c r="B361" s="17">
        <v>354</v>
      </c>
      <c r="C361" s="27" t="s">
        <v>723</v>
      </c>
      <c r="D361" s="17"/>
      <c r="E361" s="29" t="str">
        <f>IFERROR(VLOOKUP(C361,기출문제!D:G,3,0),"")</f>
        <v/>
      </c>
      <c r="F361" s="30" t="str">
        <f>IFERROR(VLOOKUP(C361,기출문제!D:G,4,0),"")</f>
        <v/>
      </c>
      <c r="G361" s="31" t="str">
        <f t="shared" si="5"/>
        <v/>
      </c>
      <c r="J361" s="23"/>
    </row>
    <row r="362" spans="2:10" s="21" customFormat="1" x14ac:dyDescent="0.3">
      <c r="B362" s="17">
        <v>355</v>
      </c>
      <c r="C362" s="27" t="s">
        <v>723</v>
      </c>
      <c r="D362" s="17"/>
      <c r="E362" s="29" t="str">
        <f>IFERROR(VLOOKUP(C362,기출문제!D:G,3,0),"")</f>
        <v/>
      </c>
      <c r="F362" s="30" t="str">
        <f>IFERROR(VLOOKUP(C362,기출문제!D:G,4,0),"")</f>
        <v/>
      </c>
      <c r="G362" s="31" t="str">
        <f t="shared" si="5"/>
        <v/>
      </c>
      <c r="J362" s="23"/>
    </row>
    <row r="363" spans="2:10" s="21" customFormat="1" x14ac:dyDescent="0.3">
      <c r="B363" s="17">
        <v>356</v>
      </c>
      <c r="C363" s="27" t="s">
        <v>723</v>
      </c>
      <c r="D363" s="17"/>
      <c r="E363" s="29" t="str">
        <f>IFERROR(VLOOKUP(C363,기출문제!D:G,3,0),"")</f>
        <v/>
      </c>
      <c r="F363" s="30" t="str">
        <f>IFERROR(VLOOKUP(C363,기출문제!D:G,4,0),"")</f>
        <v/>
      </c>
      <c r="G363" s="31" t="str">
        <f t="shared" si="5"/>
        <v/>
      </c>
      <c r="J363" s="23"/>
    </row>
    <row r="364" spans="2:10" s="21" customFormat="1" x14ac:dyDescent="0.3">
      <c r="B364" s="17">
        <v>357</v>
      </c>
      <c r="C364" s="27" t="s">
        <v>723</v>
      </c>
      <c r="D364" s="17"/>
      <c r="E364" s="29" t="str">
        <f>IFERROR(VLOOKUP(C364,기출문제!D:G,3,0),"")</f>
        <v/>
      </c>
      <c r="F364" s="30" t="str">
        <f>IFERROR(VLOOKUP(C364,기출문제!D:G,4,0),"")</f>
        <v/>
      </c>
      <c r="G364" s="31" t="str">
        <f t="shared" si="5"/>
        <v/>
      </c>
      <c r="J364" s="23"/>
    </row>
    <row r="365" spans="2:10" s="21" customFormat="1" x14ac:dyDescent="0.3">
      <c r="B365" s="17">
        <v>358</v>
      </c>
      <c r="C365" s="27" t="s">
        <v>723</v>
      </c>
      <c r="D365" s="17"/>
      <c r="E365" s="29" t="str">
        <f>IFERROR(VLOOKUP(C365,기출문제!D:G,3,0),"")</f>
        <v/>
      </c>
      <c r="F365" s="30" t="str">
        <f>IFERROR(VLOOKUP(C365,기출문제!D:G,4,0),"")</f>
        <v/>
      </c>
      <c r="G365" s="31" t="str">
        <f t="shared" si="5"/>
        <v/>
      </c>
      <c r="J365" s="23"/>
    </row>
    <row r="366" spans="2:10" s="21" customFormat="1" x14ac:dyDescent="0.3">
      <c r="B366" s="17">
        <v>359</v>
      </c>
      <c r="C366" s="27" t="s">
        <v>723</v>
      </c>
      <c r="D366" s="17"/>
      <c r="E366" s="29" t="str">
        <f>IFERROR(VLOOKUP(C366,기출문제!D:G,3,0),"")</f>
        <v/>
      </c>
      <c r="F366" s="30" t="str">
        <f>IFERROR(VLOOKUP(C366,기출문제!D:G,4,0),"")</f>
        <v/>
      </c>
      <c r="G366" s="31" t="str">
        <f t="shared" si="5"/>
        <v/>
      </c>
      <c r="J366" s="23"/>
    </row>
    <row r="367" spans="2:10" s="21" customFormat="1" x14ac:dyDescent="0.3">
      <c r="B367" s="17">
        <v>360</v>
      </c>
      <c r="C367" s="27" t="s">
        <v>723</v>
      </c>
      <c r="D367" s="17"/>
      <c r="E367" s="29" t="str">
        <f>IFERROR(VLOOKUP(C367,기출문제!D:G,3,0),"")</f>
        <v/>
      </c>
      <c r="F367" s="30" t="str">
        <f>IFERROR(VLOOKUP(C367,기출문제!D:G,4,0),"")</f>
        <v/>
      </c>
      <c r="G367" s="31" t="str">
        <f t="shared" si="5"/>
        <v/>
      </c>
      <c r="J367" s="23"/>
    </row>
    <row r="368" spans="2:10" s="21" customFormat="1" x14ac:dyDescent="0.3">
      <c r="B368" s="17">
        <v>361</v>
      </c>
      <c r="C368" s="27" t="s">
        <v>723</v>
      </c>
      <c r="D368" s="17"/>
      <c r="E368" s="29" t="str">
        <f>IFERROR(VLOOKUP(C368,기출문제!D:G,3,0),"")</f>
        <v/>
      </c>
      <c r="F368" s="30" t="str">
        <f>IFERROR(VLOOKUP(C368,기출문제!D:G,4,0),"")</f>
        <v/>
      </c>
      <c r="G368" s="31" t="str">
        <f t="shared" si="5"/>
        <v/>
      </c>
      <c r="J368" s="23"/>
    </row>
    <row r="369" spans="2:10" s="21" customFormat="1" x14ac:dyDescent="0.3">
      <c r="B369" s="17">
        <v>362</v>
      </c>
      <c r="C369" s="27" t="s">
        <v>723</v>
      </c>
      <c r="D369" s="17"/>
      <c r="E369" s="29" t="str">
        <f>IFERROR(VLOOKUP(C369,기출문제!D:G,3,0),"")</f>
        <v/>
      </c>
      <c r="F369" s="30" t="str">
        <f>IFERROR(VLOOKUP(C369,기출문제!D:G,4,0),"")</f>
        <v/>
      </c>
      <c r="G369" s="31" t="str">
        <f t="shared" si="5"/>
        <v/>
      </c>
      <c r="J369" s="23"/>
    </row>
    <row r="370" spans="2:10" s="21" customFormat="1" x14ac:dyDescent="0.3">
      <c r="B370" s="17">
        <v>363</v>
      </c>
      <c r="C370" s="27" t="s">
        <v>723</v>
      </c>
      <c r="D370" s="17"/>
      <c r="E370" s="29" t="str">
        <f>IFERROR(VLOOKUP(C370,기출문제!D:G,3,0),"")</f>
        <v/>
      </c>
      <c r="F370" s="30" t="str">
        <f>IFERROR(VLOOKUP(C370,기출문제!D:G,4,0),"")</f>
        <v/>
      </c>
      <c r="G370" s="31" t="str">
        <f t="shared" si="5"/>
        <v/>
      </c>
      <c r="J370" s="23"/>
    </row>
    <row r="371" spans="2:10" s="21" customFormat="1" x14ac:dyDescent="0.3">
      <c r="B371" s="17">
        <v>364</v>
      </c>
      <c r="C371" s="27" t="s">
        <v>723</v>
      </c>
      <c r="D371" s="17"/>
      <c r="E371" s="29" t="str">
        <f>IFERROR(VLOOKUP(C371,기출문제!D:G,3,0),"")</f>
        <v/>
      </c>
      <c r="F371" s="30" t="str">
        <f>IFERROR(VLOOKUP(C371,기출문제!D:G,4,0),"")</f>
        <v/>
      </c>
      <c r="G371" s="31" t="str">
        <f t="shared" si="5"/>
        <v/>
      </c>
      <c r="J371" s="23"/>
    </row>
    <row r="372" spans="2:10" s="21" customFormat="1" x14ac:dyDescent="0.3">
      <c r="B372" s="17">
        <v>365</v>
      </c>
      <c r="C372" s="27" t="s">
        <v>723</v>
      </c>
      <c r="D372" s="17"/>
      <c r="E372" s="29" t="str">
        <f>IFERROR(VLOOKUP(C372,기출문제!D:G,3,0),"")</f>
        <v/>
      </c>
      <c r="F372" s="30" t="str">
        <f>IFERROR(VLOOKUP(C372,기출문제!D:G,4,0),"")</f>
        <v/>
      </c>
      <c r="G372" s="31" t="str">
        <f t="shared" si="5"/>
        <v/>
      </c>
      <c r="J372" s="23"/>
    </row>
    <row r="373" spans="2:10" s="21" customFormat="1" x14ac:dyDescent="0.3">
      <c r="B373" s="17">
        <v>366</v>
      </c>
      <c r="C373" s="27" t="s">
        <v>723</v>
      </c>
      <c r="D373" s="17"/>
      <c r="E373" s="29" t="str">
        <f>IFERROR(VLOOKUP(C373,기출문제!D:G,3,0),"")</f>
        <v/>
      </c>
      <c r="F373" s="30" t="str">
        <f>IFERROR(VLOOKUP(C373,기출문제!D:G,4,0),"")</f>
        <v/>
      </c>
      <c r="G373" s="31" t="str">
        <f t="shared" si="5"/>
        <v/>
      </c>
      <c r="J373" s="23"/>
    </row>
    <row r="374" spans="2:10" s="21" customFormat="1" x14ac:dyDescent="0.3">
      <c r="B374" s="17">
        <v>367</v>
      </c>
      <c r="C374" s="27" t="s">
        <v>723</v>
      </c>
      <c r="D374" s="17"/>
      <c r="E374" s="29" t="str">
        <f>IFERROR(VLOOKUP(C374,기출문제!D:G,3,0),"")</f>
        <v/>
      </c>
      <c r="F374" s="30" t="str">
        <f>IFERROR(VLOOKUP(C374,기출문제!D:G,4,0),"")</f>
        <v/>
      </c>
      <c r="G374" s="31" t="str">
        <f t="shared" si="5"/>
        <v/>
      </c>
      <c r="J374" s="23"/>
    </row>
    <row r="375" spans="2:10" s="21" customFormat="1" x14ac:dyDescent="0.3">
      <c r="B375" s="17">
        <v>368</v>
      </c>
      <c r="C375" s="27" t="s">
        <v>723</v>
      </c>
      <c r="D375" s="17"/>
      <c r="E375" s="29" t="str">
        <f>IFERROR(VLOOKUP(C375,기출문제!D:G,3,0),"")</f>
        <v/>
      </c>
      <c r="F375" s="30" t="str">
        <f>IFERROR(VLOOKUP(C375,기출문제!D:G,4,0),"")</f>
        <v/>
      </c>
      <c r="G375" s="31" t="str">
        <f t="shared" si="5"/>
        <v/>
      </c>
      <c r="J375" s="23"/>
    </row>
    <row r="376" spans="2:10" s="21" customFormat="1" x14ac:dyDescent="0.3">
      <c r="B376" s="17">
        <v>369</v>
      </c>
      <c r="C376" s="27" t="s">
        <v>723</v>
      </c>
      <c r="D376" s="17"/>
      <c r="E376" s="29" t="str">
        <f>IFERROR(VLOOKUP(C376,기출문제!D:G,3,0),"")</f>
        <v/>
      </c>
      <c r="F376" s="30" t="str">
        <f>IFERROR(VLOOKUP(C376,기출문제!D:G,4,0),"")</f>
        <v/>
      </c>
      <c r="G376" s="31" t="str">
        <f t="shared" si="5"/>
        <v/>
      </c>
      <c r="J376" s="23"/>
    </row>
    <row r="377" spans="2:10" s="21" customFormat="1" x14ac:dyDescent="0.3">
      <c r="B377" s="17">
        <v>370</v>
      </c>
      <c r="C377" s="27" t="s">
        <v>723</v>
      </c>
      <c r="D377" s="17"/>
      <c r="E377" s="29" t="str">
        <f>IFERROR(VLOOKUP(C377,기출문제!D:G,3,0),"")</f>
        <v/>
      </c>
      <c r="F377" s="30" t="str">
        <f>IFERROR(VLOOKUP(C377,기출문제!D:G,4,0),"")</f>
        <v/>
      </c>
      <c r="G377" s="31" t="str">
        <f t="shared" si="5"/>
        <v/>
      </c>
      <c r="J377" s="23"/>
    </row>
    <row r="378" spans="2:10" s="21" customFormat="1" x14ac:dyDescent="0.3">
      <c r="B378" s="17">
        <v>371</v>
      </c>
      <c r="C378" s="27" t="s">
        <v>723</v>
      </c>
      <c r="D378" s="17"/>
      <c r="E378" s="29" t="str">
        <f>IFERROR(VLOOKUP(C378,기출문제!D:G,3,0),"")</f>
        <v/>
      </c>
      <c r="F378" s="30" t="str">
        <f>IFERROR(VLOOKUP(C378,기출문제!D:G,4,0),"")</f>
        <v/>
      </c>
      <c r="G378" s="31" t="str">
        <f t="shared" si="5"/>
        <v/>
      </c>
      <c r="J378" s="23"/>
    </row>
    <row r="379" spans="2:10" s="21" customFormat="1" x14ac:dyDescent="0.3">
      <c r="B379" s="17">
        <v>372</v>
      </c>
      <c r="C379" s="27" t="s">
        <v>723</v>
      </c>
      <c r="D379" s="17"/>
      <c r="E379" s="29" t="str">
        <f>IFERROR(VLOOKUP(C379,기출문제!D:G,3,0),"")</f>
        <v/>
      </c>
      <c r="F379" s="30" t="str">
        <f>IFERROR(VLOOKUP(C379,기출문제!D:G,4,0),"")</f>
        <v/>
      </c>
      <c r="G379" s="31" t="str">
        <f t="shared" si="5"/>
        <v/>
      </c>
      <c r="J379" s="23"/>
    </row>
    <row r="380" spans="2:10" s="21" customFormat="1" x14ac:dyDescent="0.3">
      <c r="B380" s="17">
        <v>373</v>
      </c>
      <c r="C380" s="27" t="s">
        <v>723</v>
      </c>
      <c r="D380" s="17"/>
      <c r="E380" s="29" t="str">
        <f>IFERROR(VLOOKUP(C380,기출문제!D:G,3,0),"")</f>
        <v/>
      </c>
      <c r="F380" s="30" t="str">
        <f>IFERROR(VLOOKUP(C380,기출문제!D:G,4,0),"")</f>
        <v/>
      </c>
      <c r="G380" s="31" t="str">
        <f t="shared" si="5"/>
        <v/>
      </c>
      <c r="J380" s="23"/>
    </row>
    <row r="381" spans="2:10" s="21" customFormat="1" x14ac:dyDescent="0.3">
      <c r="B381" s="17">
        <v>374</v>
      </c>
      <c r="C381" s="27" t="s">
        <v>723</v>
      </c>
      <c r="D381" s="17"/>
      <c r="E381" s="29" t="str">
        <f>IFERROR(VLOOKUP(C381,기출문제!D:G,3,0),"")</f>
        <v/>
      </c>
      <c r="F381" s="30" t="str">
        <f>IFERROR(VLOOKUP(C381,기출문제!D:G,4,0),"")</f>
        <v/>
      </c>
      <c r="G381" s="31" t="str">
        <f t="shared" si="5"/>
        <v/>
      </c>
      <c r="J381" s="23"/>
    </row>
    <row r="382" spans="2:10" s="21" customFormat="1" x14ac:dyDescent="0.3">
      <c r="B382" s="17">
        <v>375</v>
      </c>
      <c r="C382" s="27" t="s">
        <v>723</v>
      </c>
      <c r="D382" s="17"/>
      <c r="E382" s="29" t="str">
        <f>IFERROR(VLOOKUP(C382,기출문제!D:G,3,0),"")</f>
        <v/>
      </c>
      <c r="F382" s="30" t="str">
        <f>IFERROR(VLOOKUP(C382,기출문제!D:G,4,0),"")</f>
        <v/>
      </c>
      <c r="G382" s="31" t="str">
        <f t="shared" si="5"/>
        <v/>
      </c>
      <c r="J382" s="23"/>
    </row>
    <row r="383" spans="2:10" s="21" customFormat="1" x14ac:dyDescent="0.3">
      <c r="B383" s="17">
        <v>376</v>
      </c>
      <c r="C383" s="27" t="s">
        <v>723</v>
      </c>
      <c r="D383" s="17"/>
      <c r="E383" s="29" t="str">
        <f>IFERROR(VLOOKUP(C383,기출문제!D:G,3,0),"")</f>
        <v/>
      </c>
      <c r="F383" s="30" t="str">
        <f>IFERROR(VLOOKUP(C383,기출문제!D:G,4,0),"")</f>
        <v/>
      </c>
      <c r="G383" s="31" t="str">
        <f t="shared" si="5"/>
        <v/>
      </c>
      <c r="J383" s="23"/>
    </row>
    <row r="384" spans="2:10" s="21" customFormat="1" x14ac:dyDescent="0.3">
      <c r="B384" s="17">
        <v>377</v>
      </c>
      <c r="C384" s="27" t="s">
        <v>723</v>
      </c>
      <c r="D384" s="17"/>
      <c r="E384" s="29" t="str">
        <f>IFERROR(VLOOKUP(C384,기출문제!D:G,3,0),"")</f>
        <v/>
      </c>
      <c r="F384" s="30" t="str">
        <f>IFERROR(VLOOKUP(C384,기출문제!D:G,4,0),"")</f>
        <v/>
      </c>
      <c r="G384" s="31" t="str">
        <f t="shared" si="5"/>
        <v/>
      </c>
      <c r="J384" s="23"/>
    </row>
    <row r="385" spans="2:10" s="21" customFormat="1" x14ac:dyDescent="0.3">
      <c r="B385" s="17">
        <v>378</v>
      </c>
      <c r="C385" s="27" t="s">
        <v>723</v>
      </c>
      <c r="D385" s="17"/>
      <c r="E385" s="29" t="str">
        <f>IFERROR(VLOOKUP(C385,기출문제!D:G,3,0),"")</f>
        <v/>
      </c>
      <c r="F385" s="30" t="str">
        <f>IFERROR(VLOOKUP(C385,기출문제!D:G,4,0),"")</f>
        <v/>
      </c>
      <c r="G385" s="31" t="str">
        <f t="shared" si="5"/>
        <v/>
      </c>
      <c r="J385" s="23"/>
    </row>
    <row r="386" spans="2:10" s="21" customFormat="1" x14ac:dyDescent="0.3">
      <c r="B386" s="17">
        <v>379</v>
      </c>
      <c r="C386" s="27" t="s">
        <v>723</v>
      </c>
      <c r="D386" s="17"/>
      <c r="E386" s="29" t="str">
        <f>IFERROR(VLOOKUP(C386,기출문제!D:G,3,0),"")</f>
        <v/>
      </c>
      <c r="F386" s="30" t="str">
        <f>IFERROR(VLOOKUP(C386,기출문제!D:G,4,0),"")</f>
        <v/>
      </c>
      <c r="G386" s="31" t="str">
        <f t="shared" si="5"/>
        <v/>
      </c>
      <c r="J386" s="23"/>
    </row>
    <row r="387" spans="2:10" s="21" customFormat="1" x14ac:dyDescent="0.3">
      <c r="B387" s="17">
        <v>380</v>
      </c>
      <c r="C387" s="27" t="s">
        <v>723</v>
      </c>
      <c r="D387" s="17"/>
      <c r="E387" s="29" t="str">
        <f>IFERROR(VLOOKUP(C387,기출문제!D:G,3,0),"")</f>
        <v/>
      </c>
      <c r="F387" s="30" t="str">
        <f>IFERROR(VLOOKUP(C387,기출문제!D:G,4,0),"")</f>
        <v/>
      </c>
      <c r="G387" s="31" t="str">
        <f t="shared" si="5"/>
        <v/>
      </c>
      <c r="J387" s="23"/>
    </row>
    <row r="388" spans="2:10" s="21" customFormat="1" x14ac:dyDescent="0.3">
      <c r="B388" s="17">
        <v>381</v>
      </c>
      <c r="C388" s="27" t="s">
        <v>723</v>
      </c>
      <c r="D388" s="17"/>
      <c r="E388" s="29" t="str">
        <f>IFERROR(VLOOKUP(C388,기출문제!D:G,3,0),"")</f>
        <v/>
      </c>
      <c r="F388" s="30" t="str">
        <f>IFERROR(VLOOKUP(C388,기출문제!D:G,4,0),"")</f>
        <v/>
      </c>
      <c r="G388" s="31" t="str">
        <f t="shared" si="5"/>
        <v/>
      </c>
      <c r="J388" s="23"/>
    </row>
    <row r="389" spans="2:10" s="21" customFormat="1" x14ac:dyDescent="0.3">
      <c r="B389" s="17">
        <v>382</v>
      </c>
      <c r="C389" s="27" t="s">
        <v>723</v>
      </c>
      <c r="D389" s="17"/>
      <c r="E389" s="29" t="str">
        <f>IFERROR(VLOOKUP(C389,기출문제!D:G,3,0),"")</f>
        <v/>
      </c>
      <c r="F389" s="30" t="str">
        <f>IFERROR(VLOOKUP(C389,기출문제!D:G,4,0),"")</f>
        <v/>
      </c>
      <c r="G389" s="31" t="str">
        <f t="shared" si="5"/>
        <v/>
      </c>
      <c r="J389" s="23"/>
    </row>
    <row r="390" spans="2:10" s="21" customFormat="1" x14ac:dyDescent="0.3">
      <c r="B390" s="17">
        <v>383</v>
      </c>
      <c r="C390" s="27" t="s">
        <v>723</v>
      </c>
      <c r="D390" s="17"/>
      <c r="E390" s="29" t="str">
        <f>IFERROR(VLOOKUP(C390,기출문제!D:G,3,0),"")</f>
        <v/>
      </c>
      <c r="F390" s="30" t="str">
        <f>IFERROR(VLOOKUP(C390,기출문제!D:G,4,0),"")</f>
        <v/>
      </c>
      <c r="G390" s="31" t="str">
        <f t="shared" si="5"/>
        <v/>
      </c>
      <c r="J390" s="23"/>
    </row>
    <row r="391" spans="2:10" s="21" customFormat="1" x14ac:dyDescent="0.3">
      <c r="B391" s="17">
        <v>384</v>
      </c>
      <c r="C391" s="27" t="s">
        <v>723</v>
      </c>
      <c r="D391" s="17"/>
      <c r="E391" s="29" t="str">
        <f>IFERROR(VLOOKUP(C391,기출문제!D:G,3,0),"")</f>
        <v/>
      </c>
      <c r="F391" s="30" t="str">
        <f>IFERROR(VLOOKUP(C391,기출문제!D:G,4,0),"")</f>
        <v/>
      </c>
      <c r="G391" s="31" t="str">
        <f t="shared" si="5"/>
        <v/>
      </c>
      <c r="J391" s="23"/>
    </row>
    <row r="392" spans="2:10" s="21" customFormat="1" x14ac:dyDescent="0.3">
      <c r="B392" s="17">
        <v>385</v>
      </c>
      <c r="C392" s="27" t="s">
        <v>723</v>
      </c>
      <c r="D392" s="17"/>
      <c r="E392" s="29" t="str">
        <f>IFERROR(VLOOKUP(C392,기출문제!D:G,3,0),"")</f>
        <v/>
      </c>
      <c r="F392" s="30" t="str">
        <f>IFERROR(VLOOKUP(C392,기출문제!D:G,4,0),"")</f>
        <v/>
      </c>
      <c r="G392" s="31" t="str">
        <f t="shared" si="5"/>
        <v/>
      </c>
      <c r="J392" s="23"/>
    </row>
    <row r="393" spans="2:10" s="21" customFormat="1" x14ac:dyDescent="0.3">
      <c r="B393" s="17">
        <v>386</v>
      </c>
      <c r="C393" s="27" t="s">
        <v>723</v>
      </c>
      <c r="D393" s="17"/>
      <c r="E393" s="29" t="str">
        <f>IFERROR(VLOOKUP(C393,기출문제!D:G,3,0),"")</f>
        <v/>
      </c>
      <c r="F393" s="30" t="str">
        <f>IFERROR(VLOOKUP(C393,기출문제!D:G,4,0),"")</f>
        <v/>
      </c>
      <c r="G393" s="31" t="str">
        <f t="shared" ref="G393:G397" si="6">IF(D393="","",IF(D393=F393,"O", "X"))</f>
        <v/>
      </c>
      <c r="J393" s="23"/>
    </row>
    <row r="394" spans="2:10" s="21" customFormat="1" x14ac:dyDescent="0.3">
      <c r="B394" s="17">
        <v>387</v>
      </c>
      <c r="C394" s="27" t="s">
        <v>723</v>
      </c>
      <c r="D394" s="17"/>
      <c r="E394" s="29" t="str">
        <f>IFERROR(VLOOKUP(C394,기출문제!D:G,3,0),"")</f>
        <v/>
      </c>
      <c r="F394" s="30" t="str">
        <f>IFERROR(VLOOKUP(C394,기출문제!D:G,4,0),"")</f>
        <v/>
      </c>
      <c r="G394" s="31" t="str">
        <f t="shared" si="6"/>
        <v/>
      </c>
      <c r="J394" s="23"/>
    </row>
    <row r="395" spans="2:10" s="21" customFormat="1" x14ac:dyDescent="0.3">
      <c r="B395" s="17">
        <v>388</v>
      </c>
      <c r="C395" s="27" t="s">
        <v>723</v>
      </c>
      <c r="D395" s="17"/>
      <c r="E395" s="29" t="str">
        <f>IFERROR(VLOOKUP(C395,기출문제!D:G,3,0),"")</f>
        <v/>
      </c>
      <c r="F395" s="30" t="str">
        <f>IFERROR(VLOOKUP(C395,기출문제!D:G,4,0),"")</f>
        <v/>
      </c>
      <c r="G395" s="31" t="str">
        <f t="shared" si="6"/>
        <v/>
      </c>
      <c r="J395" s="23"/>
    </row>
    <row r="396" spans="2:10" s="21" customFormat="1" x14ac:dyDescent="0.3">
      <c r="B396" s="17">
        <v>389</v>
      </c>
      <c r="C396" s="27" t="s">
        <v>723</v>
      </c>
      <c r="D396" s="17"/>
      <c r="E396" s="29" t="str">
        <f>IFERROR(VLOOKUP(C396,기출문제!D:G,3,0),"")</f>
        <v/>
      </c>
      <c r="F396" s="30" t="str">
        <f>IFERROR(VLOOKUP(C396,기출문제!D:G,4,0),"")</f>
        <v/>
      </c>
      <c r="G396" s="31" t="str">
        <f t="shared" si="6"/>
        <v/>
      </c>
      <c r="J396" s="23"/>
    </row>
    <row r="397" spans="2:10" s="21" customFormat="1" x14ac:dyDescent="0.3">
      <c r="B397" s="17">
        <v>390</v>
      </c>
      <c r="C397" s="27" t="s">
        <v>723</v>
      </c>
      <c r="D397" s="17"/>
      <c r="E397" s="29" t="str">
        <f>IFERROR(VLOOKUP(C397,기출문제!D:G,3,0),"")</f>
        <v/>
      </c>
      <c r="F397" s="30" t="str">
        <f>IFERROR(VLOOKUP(C397,기출문제!D:G,4,0),"")</f>
        <v/>
      </c>
      <c r="G397" s="31" t="str">
        <f t="shared" si="6"/>
        <v/>
      </c>
      <c r="J397" s="23"/>
    </row>
  </sheetData>
  <phoneticPr fontId="1" type="noConversion"/>
  <conditionalFormatting sqref="F8:F397">
    <cfRule type="expression" dxfId="1" priority="1">
      <formula>$D8&lt;&gt;""</formula>
    </cfRule>
  </conditionalFormatting>
  <dataValidations count="1">
    <dataValidation type="list" allowBlank="1" showInputMessage="1" showErrorMessage="1" sqref="D3" xr:uid="{7DF10EA4-83B2-48BE-9503-4760BF1ACA2A}">
      <formula1>"A(기본),R(랜덤)"</formula1>
    </dataValidation>
  </dataValidations>
  <printOptions horizontalCentered="1"/>
  <pageMargins left="0" right="0" top="0.19685039370078741" bottom="0" header="0" footer="0"/>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현재_통합_문서.TestQuestionCreate_Click" altText="문제생성_x000a_">
                <anchor moveWithCells="1" sizeWithCells="1">
                  <from>
                    <xdr:col>2</xdr:col>
                    <xdr:colOff>9525</xdr:colOff>
                    <xdr:row>5</xdr:row>
                    <xdr:rowOff>28575</xdr:rowOff>
                  </from>
                  <to>
                    <xdr:col>3</xdr:col>
                    <xdr:colOff>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55DE2-149A-4D7A-B3BB-E7AA38C57C1C}">
          <x14:formula1>
            <xm:f>기출문제!$C$4:$C$5000</xm:f>
          </x14:formula1>
          <xm:sqref>D4:D5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1FCFC-3708-4014-9513-A8C859045F65}">
  <sheetPr codeName="Sheet21">
    <pageSetUpPr autoPageBreaks="0"/>
  </sheetPr>
  <dimension ref="B2:J397"/>
  <sheetViews>
    <sheetView showGridLines="0" zoomScaleNormal="100" zoomScaleSheetLayoutView="100" workbookViewId="0">
      <pane ySplit="7" topLeftCell="A8" activePane="bottomLeft" state="frozen"/>
      <selection activeCell="N35" sqref="N35"/>
      <selection pane="bottomLeft" activeCell="I8" sqref="I8"/>
    </sheetView>
  </sheetViews>
  <sheetFormatPr defaultColWidth="9" defaultRowHeight="14.25" x14ac:dyDescent="0.3"/>
  <cols>
    <col min="1" max="1" width="1.625" style="23" customWidth="1"/>
    <col min="2" max="2" width="3.625" style="15" customWidth="1"/>
    <col min="3" max="3" width="10.625" style="15" customWidth="1"/>
    <col min="4" max="4" width="5.625" style="15" customWidth="1"/>
    <col min="5" max="5" width="95.625" style="18" customWidth="1"/>
    <col min="6" max="7" width="5.625" style="26" customWidth="1"/>
    <col min="8" max="9" width="9" style="21"/>
    <col min="10" max="16384" width="9" style="23"/>
  </cols>
  <sheetData>
    <row r="2" spans="2:10" x14ac:dyDescent="0.3">
      <c r="C2" s="16" t="s">
        <v>724</v>
      </c>
      <c r="D2" s="17">
        <v>265</v>
      </c>
      <c r="F2" s="19" t="s">
        <v>763</v>
      </c>
      <c r="G2" s="20">
        <f>MAX(B8:B397)-COUNTBLANK(C8:C397)</f>
        <v>265</v>
      </c>
      <c r="J2" s="22"/>
    </row>
    <row r="3" spans="2:10" x14ac:dyDescent="0.3">
      <c r="C3" s="16" t="s">
        <v>725</v>
      </c>
      <c r="D3" s="17" t="s">
        <v>744</v>
      </c>
      <c r="F3" s="19" t="s">
        <v>773</v>
      </c>
      <c r="G3" s="24">
        <f>COUNTIF(G8:G447,"X")</f>
        <v>0</v>
      </c>
      <c r="J3" s="22"/>
    </row>
    <row r="4" spans="2:10" x14ac:dyDescent="0.3">
      <c r="C4" s="16" t="s">
        <v>729</v>
      </c>
      <c r="D4" s="17" t="s">
        <v>739</v>
      </c>
      <c r="F4" s="24" t="s">
        <v>3</v>
      </c>
      <c r="G4" s="24">
        <f>G2-G3</f>
        <v>265</v>
      </c>
      <c r="J4" s="22"/>
    </row>
    <row r="5" spans="2:10" x14ac:dyDescent="0.3">
      <c r="C5" s="16" t="s">
        <v>726</v>
      </c>
      <c r="D5" s="17" t="s">
        <v>728</v>
      </c>
      <c r="F5" s="24" t="s">
        <v>764</v>
      </c>
      <c r="G5" s="25">
        <f>100/G2*G4</f>
        <v>100.00000000000001</v>
      </c>
      <c r="J5" s="22"/>
    </row>
    <row r="6" spans="2:10" x14ac:dyDescent="0.3">
      <c r="J6" s="22"/>
    </row>
    <row r="7" spans="2:10" x14ac:dyDescent="0.3">
      <c r="B7" s="4" t="s">
        <v>0</v>
      </c>
      <c r="C7" s="4" t="s">
        <v>1</v>
      </c>
      <c r="D7" s="4" t="s">
        <v>606</v>
      </c>
      <c r="E7" s="14" t="s">
        <v>2</v>
      </c>
      <c r="F7" s="14" t="s">
        <v>3</v>
      </c>
      <c r="G7" s="14" t="s">
        <v>598</v>
      </c>
      <c r="J7" s="22"/>
    </row>
    <row r="8" spans="2:10" ht="156.75" x14ac:dyDescent="0.3">
      <c r="B8" s="17">
        <v>1</v>
      </c>
      <c r="C8" s="27" t="s">
        <v>631</v>
      </c>
      <c r="D8" s="28"/>
      <c r="E8" s="29" t="str">
        <f>IFERROR(VLOOKUP(C8,기출문제!D:G,3,0),"")</f>
        <v>41. 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
① ㄱ, ㄴ, ㄷ 
② ㄱ, ㄴ, ㄹ 
③ ㄱ, ㄷ, ㄹ
④ ㄴ, ㄷ, ㄹ 
⑤ ㄱ, ㄴ, ㄷ, ㄹ</v>
      </c>
      <c r="F8" s="30">
        <f>IFERROR(VLOOKUP(C8,기출문제!D:G,4,0),"")</f>
        <v>5</v>
      </c>
      <c r="G8" s="31" t="str">
        <f>IF(D8="","",IF(D8=F8,"O", "X"))</f>
        <v/>
      </c>
    </row>
    <row r="9" spans="2:10" ht="156.75" x14ac:dyDescent="0.3">
      <c r="B9" s="17">
        <v>2</v>
      </c>
      <c r="C9" s="27" t="s">
        <v>866</v>
      </c>
      <c r="D9" s="28"/>
      <c r="E9" s="29" t="str">
        <f>IFERROR(VLOOKUP(C9,기출문제!D:G,3,0),"")</f>
        <v>42. 사회보장기본법령에 관한 설명으로 옳지 않은 것은?
① 보건복지부장관은 사회보장 행정데이터 분석센터의 설치・운영에 관한 사무를 수행하기 위하여 불가피한 경우「개인정보 보호법」시행령 제18조제2호에 따른 범죄경력자료에 해당하는 정보를 처리할 수 있다.
② 보건복지부장관은 사회보장 분야 전문 인력 양성을 위하여 관계 중앙행정기관, 지방자치단체, 공공기관 및 법인・단체 등의 직원을 대상으로 사회보장에 관한 교육을 매년 1회 이상 실시할 수 있다.
③ 보건복지부장관은 사회보장정보시스템을 통해 다른 법령에 따라 국가 및 지방자치단체로부터 위탁받은 사회보장에 관한 업무를 수행할 수 있다.
④ 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
⑤ 보건복지부장관이 사회보장정보시스템의 운영・지원을 위하여 설치할 수 있는 전담기구는「사회보장급여의 이용・제공 및 수급권자 발굴에 관한 법률」제29조에 따른 한국사회보장정보원으로 한다.</v>
      </c>
      <c r="F9" s="30">
        <f>IFERROR(VLOOKUP(C9,기출문제!D:G,4,0),"")</f>
        <v>1</v>
      </c>
      <c r="G9" s="31" t="str">
        <f t="shared" ref="G9:G72" si="0">IF(D9="","",IF(D9=F9,"O", "X"))</f>
        <v/>
      </c>
    </row>
    <row r="10" spans="2:10" ht="114" x14ac:dyDescent="0.3">
      <c r="B10" s="17">
        <v>3</v>
      </c>
      <c r="C10" s="27" t="s">
        <v>867</v>
      </c>
      <c r="D10" s="28"/>
      <c r="E10" s="29" t="str">
        <f>IFERROR(VLOOKUP(C10,기출문제!D:G,3,0),"")</f>
        <v>43. 사회보장기본법령상 사회보장 재정추계(財政推計)에 관한 설명으로 옳지 않은 것은?
① 국가는 사회보장제도의 안정적인 운영을 위하여 중장기 사회보장 재정추계를 격년으로 실시하고 이를 공표하여야 한다.
② 보건복지부장관은 사회보장 재정추계를 위하여 재정추계를 실시하는 해의 1월 31일까지 재정추계 세부지침을 마련하여야 한다.
③ 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
④ 관계 중앙행정기관의 장은 재정추계 결과를 바탕으로 정책개선안을 마련하여 같은 해 12월 31일까지 보건복지부장관에게 제출하여야 한다.
⑤ 보건복지부장관은 정책개선안을 종합하여 이를 추계 실시 해의 다음 해 3월 31일까지 사회보장위원회에 보고하여야 한다.</v>
      </c>
      <c r="F10" s="30">
        <f>IFERROR(VLOOKUP(C10,기출문제!D:G,4,0),"")</f>
        <v>2</v>
      </c>
      <c r="G10" s="31" t="str">
        <f t="shared" si="0"/>
        <v/>
      </c>
    </row>
    <row r="11" spans="2:10" ht="85.5" x14ac:dyDescent="0.3">
      <c r="B11" s="17">
        <v>4</v>
      </c>
      <c r="C11" s="27" t="s">
        <v>868</v>
      </c>
      <c r="D11" s="28"/>
      <c r="E11" s="29" t="str">
        <f>IFERROR(VLOOKUP(C11,기출문제!D:G,3,0),"")</f>
        <v>44. 고용보험법상「장애인고용촉진 및 직업재활법」제2조제1호에 따른 장애인의 피보험 기간이 1년인 구직급여의 소정급여일수는?
① 120일 
② 180일 
③ 210일 
④ 240일 
⑤ 270일</v>
      </c>
      <c r="F11" s="30">
        <f>IFERROR(VLOOKUP(C11,기출문제!D:G,4,0),"")</f>
        <v>2</v>
      </c>
      <c r="G11" s="31" t="str">
        <f t="shared" si="0"/>
        <v/>
      </c>
    </row>
    <row r="12" spans="2:10" ht="156.75" x14ac:dyDescent="0.3">
      <c r="B12" s="17">
        <v>5</v>
      </c>
      <c r="C12" s="27" t="s">
        <v>869</v>
      </c>
      <c r="D12" s="28"/>
      <c r="E12" s="29" t="str">
        <f>IFERROR(VLOOKUP(C12,기출문제!D:G,3,0),"")</f>
        <v>45. 고용보험법상 심사 및 재심사청구에 관한 설명으로 옳은 것은?
① 직업안정기관 또는 근로복지공단은 심사청구서를 받은 날부터 7일 이내에 의견서를 첨부하여 심사청구서를 고용보험심사관에 보내야 한다.
② 고용보험심사관은 원처분등의 집행에 의하여 발생하는 중대한 위해(危害)를 피하기 위하여 긴급한 필요가 있다고 인정되더라도 직권으로는 그 집행을 정지시킬 수 없다.
③ 육아휴직 급여와 출산전후휴가 급여등에 관한 처분에 대한 심사의 청구는 근로복지공단을 거쳐 고용보험심사관에게 하여야 한다.
④ 고용보험심사관은 심사의 청구에 대한 심리(審理)를 마쳤을 때에는 원처분등의 전부 또는 일부를 취소하거나 심사청구의 전부 또는 일부를 기각한다.
⑤ 심사청구에 대한 결정은 심사청구인 및 직업안정기관의 장 또는 근로복지공단에 결정서의 정본을 보낸 다음 날부터 효력이 발생한다.</v>
      </c>
      <c r="F12" s="30">
        <f>IFERROR(VLOOKUP(C12,기출문제!D:G,4,0),"")</f>
        <v>4</v>
      </c>
      <c r="G12" s="31" t="str">
        <f t="shared" si="0"/>
        <v/>
      </c>
    </row>
    <row r="13" spans="2:10" ht="156.75" x14ac:dyDescent="0.3">
      <c r="B13" s="17">
        <v>6</v>
      </c>
      <c r="C13" s="27" t="s">
        <v>870</v>
      </c>
      <c r="D13" s="28"/>
      <c r="E13" s="29" t="str">
        <f>IFERROR(VLOOKUP(C13,기출문제!D:G,3,0),"")</f>
        <v>46. 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
① ㄱ: 100분의 70, ㄴ: 160 
② ㄱ: 100분의 70, ㄴ: 200 
③ ㄱ: 100분의 80, ㄴ: 100
④ ㄱ: 100분의 80, ㄴ: 160 
⑤ ㄱ: 100분의 80, ㄴ: 200</v>
      </c>
      <c r="F13" s="30">
        <f>IFERROR(VLOOKUP(C13,기출문제!D:G,4,0),"")</f>
        <v>4</v>
      </c>
      <c r="G13" s="31" t="str">
        <f t="shared" si="0"/>
        <v/>
      </c>
    </row>
    <row r="14" spans="2:10" ht="128.25" x14ac:dyDescent="0.3">
      <c r="B14" s="17">
        <v>7</v>
      </c>
      <c r="C14" s="27" t="s">
        <v>871</v>
      </c>
      <c r="D14" s="28"/>
      <c r="E14" s="29" t="str">
        <f>IFERROR(VLOOKUP(C14,기출문제!D:G,3,0),"")</f>
        <v>47. 고용보험법령상 보험가입 등에 관한 설명으로 옳지 않은 것은?
① 「국가공무원법」에 따른 임기제 공무원(이하 "임기제 공무원"이라 한다)의 경우는 본인의 의사에 따라 고용보험(실업급여에 한정)에 가입할 수 있다.
② 임기제 공무원이 원하는 경우에는 임용된 날부터 3개월 이내에 고용노동부장관에게 직접 고용보험 가입을 신청할 수 있다.
③ 고용보험 피보험자격을 취득한 임기제 공무원이 공무원 신분의 변동에 따라 계속하여 다른 임기제 공무원으로 임용된 때에는 별도의 가입신청을 하지 않은 경우에도 고용보험의 피보험자격을 유지한다.
④ 임기제 공무원이 가입한 고용보험에서 탈퇴한 이후에 가입대상 공무원으로 계속 재직하는 경우 본인의 신청에 의하여 고용보험에 다시 가입할 수 있다.
⑤ 고용보험에 가입한 임기제 공무원에 대한 보험료는 소속기관과 고용보험에 가입한 임기제 공무원이 각각 2분의 1씩 부담한다.</v>
      </c>
      <c r="F14" s="30">
        <f>IFERROR(VLOOKUP(C14,기출문제!D:G,4,0),"")</f>
        <v>4</v>
      </c>
      <c r="G14" s="31" t="str">
        <f t="shared" si="0"/>
        <v/>
      </c>
    </row>
    <row r="15" spans="2:10" ht="114" x14ac:dyDescent="0.3">
      <c r="B15" s="17">
        <v>8</v>
      </c>
      <c r="C15" s="27" t="s">
        <v>872</v>
      </c>
      <c r="D15" s="28"/>
      <c r="E15" s="29" t="str">
        <f>IFERROR(VLOOKUP(C15,기출문제!D:G,3,0),"")</f>
        <v>48. 고용보험법령상 실업급여에 관한 설명으로 옳지 않은 것은?
① 실업급여수급계좌의 해당 금융기관은 「고용보험법」에 따른 실업급여만이 실업급여수급계좌에 입금되도록 관리하여야 한다.
② 직업안정기관의 장은 수급자격 인정신청을 한 사람에게 신청인이 원하는 경우에는 해당 실업급여를 실업급여수급계좌로 받을 수 있다는 사실을 안내하여야 한다.
③ 실업급여수급계좌에 입금된 실업급여 금액 전액 이하의 금액에 관한 채권은 압류할 수 없다.
④ 실업급여로서 지급된 금품에 대하여는 「국세기본법」제2조제8호의 공과금을 부과한다.
⑤ 직업안정기관의 장은 정보통신장애로 인하여 실업급여를 실업급여수급계좌로 이체할 수 없을 때에는 해당 실업급여 금액을 수급자격자에게 직접 현금으로 지급할 수 있다.</v>
      </c>
      <c r="F15" s="30">
        <f>IFERROR(VLOOKUP(C15,기출문제!D:G,4,0),"")</f>
        <v>4</v>
      </c>
      <c r="G15" s="31" t="str">
        <f t="shared" si="0"/>
        <v/>
      </c>
    </row>
    <row r="16" spans="2:10" ht="199.5" x14ac:dyDescent="0.3">
      <c r="B16" s="17">
        <v>9</v>
      </c>
      <c r="C16" s="27" t="s">
        <v>873</v>
      </c>
      <c r="D16" s="28"/>
      <c r="E16" s="29" t="str">
        <f>IFERROR(VLOOKUP(C16,기출문제!D:G,3,0),"")</f>
        <v>49. 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
① ㄱ, ㄹ 
② ㄱ, ㄴ, ㅁ 
③ ㄴ, ㄹ, ㅁ
④ ㄴ, ㄷ, ㄹ, ㅁ 
⑤ ㄱ, ㄴ, ㄷ, ㄹ, ㅁ</v>
      </c>
      <c r="F16" s="30">
        <f>IFERROR(VLOOKUP(C16,기출문제!D:G,4,0),"")</f>
        <v>1</v>
      </c>
      <c r="G16" s="31" t="str">
        <f t="shared" si="0"/>
        <v/>
      </c>
    </row>
    <row r="17" spans="2:10" ht="99.75" x14ac:dyDescent="0.3">
      <c r="B17" s="17">
        <v>10</v>
      </c>
      <c r="C17" s="27" t="s">
        <v>874</v>
      </c>
      <c r="D17" s="28"/>
      <c r="E17" s="29" t="str">
        <f>IFERROR(VLOOKUP(C17,기출문제!D:G,3,0),"")</f>
        <v>50. 고용보험법령상 연장급여의 상호 조정 등에 관한 설명으로 옳지 않은 것은?
① 훈련연장급여의 지급 기간은 1년을 한도로 한다.
② 훈련연장급여를 지급받고 있는 수급자격자에게는 그 훈련연장급여의 지급이 끝난 후가 아니면 특별연장급여를 지급하지 아니한다.
③ 개별연장급여를 지급받고 있는 수급자격자가 훈련연장급여를 지급받게 되면 개별연장급여를 지급하지 아니한다.
④ 특별연장급여를 지급받고 있는 수급자격자에게는 특별연장급여의 지급이 끝난 후가 아니면 개별연장급여를 지급하지 아니한다.
⑤ 특별연장급여는 그 수급자격자가 지급받을 수 있는 구직급여의 지급이 끝난 후에 지급한다.</v>
      </c>
      <c r="F17" s="30">
        <f>IFERROR(VLOOKUP(C17,기출문제!D:G,4,0),"")</f>
        <v>1</v>
      </c>
      <c r="G17" s="31" t="str">
        <f t="shared" si="0"/>
        <v/>
      </c>
    </row>
    <row r="18" spans="2:10" ht="156.75" x14ac:dyDescent="0.3">
      <c r="B18" s="17">
        <v>11</v>
      </c>
      <c r="C18" s="27" t="s">
        <v>875</v>
      </c>
      <c r="D18" s="28"/>
      <c r="E18" s="29" t="str">
        <f>IFERROR(VLOOKUP(C18,기출문제!D:G,3,0),"")</f>
        <v>51. 고용보험법상 훈련연장급여에 관한 내용이다. ( )에 들어갈 숫자를 순서대로 옳게 나열한 것은?
제54조(연장급여의 수급기간 및 구직급여일액) 
① &lt;중략&gt;
② 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 
③ 80, 60 
④ 90, 70 
⑤ 100, 70</v>
      </c>
      <c r="F18" s="30">
        <f>IFERROR(VLOOKUP(C18,기출문제!D:G,4,0),"")</f>
        <v>5</v>
      </c>
      <c r="G18" s="31" t="str">
        <f t="shared" si="0"/>
        <v/>
      </c>
    </row>
    <row r="19" spans="2:10" ht="128.25" x14ac:dyDescent="0.3">
      <c r="B19" s="17">
        <v>12</v>
      </c>
      <c r="C19" s="27" t="s">
        <v>876</v>
      </c>
      <c r="D19" s="28"/>
      <c r="E19" s="29" t="str">
        <f>IFERROR(VLOOKUP(C19,기출문제!D:G,3,0),"")</f>
        <v>52. 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
① ㄱ: 1일, ㄴ: 60일 
② ㄱ: 1일, ㄴ: 90일 
③ ㄱ: 1일, ㄴ: 180일
④ ㄱ: 2일, ㄴ: 90일 
⑤ ㄱ: 2일, ㄴ: 180일</v>
      </c>
      <c r="F19" s="30">
        <f>IFERROR(VLOOKUP(C19,기출문제!D:G,4,0),"")</f>
        <v>3</v>
      </c>
      <c r="G19" s="31" t="str">
        <f t="shared" si="0"/>
        <v/>
      </c>
    </row>
    <row r="20" spans="2:10" ht="85.5" x14ac:dyDescent="0.3">
      <c r="B20" s="17">
        <v>13</v>
      </c>
      <c r="C20" s="27" t="s">
        <v>877</v>
      </c>
      <c r="D20" s="28"/>
      <c r="E20" s="29" t="str">
        <f>IFERROR(VLOOKUP(C20,기출문제!D:G,3,0),"")</f>
        <v>53. 고용보험법령상 고용보험위원회(이하 '위원회'라 한다)에 관한 설명으로 옳지 않은 것은?
① 위원회의 위원장은 고용노동부차관이 되며, 그 위원장은 위원을 임명하거나 위촉한다.
② 위원회에는 고용보험운영전문위원회와 고용보험평가전문위원회를 둔다.
③ 위원회의 위원 중 정부를 대표하는 사람은 임명의 대상이 된다.
④ 위원회의 간사는 1명을 두되, 간사는 고용노동부 소속 공무원 중에서 위원장이 임명한다.
⑤ 「고용보험 및 산업재해보상보험의 보험료징수 등에 관한 법률」에 따른 보험료율의 결정에 관한 사항은 위원회의 심의사항이다.</v>
      </c>
      <c r="F20" s="30">
        <f>IFERROR(VLOOKUP(C20,기출문제!D:G,4,0),"")</f>
        <v>1</v>
      </c>
      <c r="G20" s="31" t="str">
        <f t="shared" si="0"/>
        <v/>
      </c>
    </row>
    <row r="21" spans="2:10" ht="85.5" x14ac:dyDescent="0.3">
      <c r="B21" s="17">
        <v>14</v>
      </c>
      <c r="C21" s="27" t="s">
        <v>878</v>
      </c>
      <c r="D21" s="28"/>
      <c r="E21" s="29" t="str">
        <f>IFERROR(VLOOKUP(C21,기출문제!D:G,3,0),"")</f>
        <v>54. 산업재해보상보험법령상 산업재해보상보험및예방심의위원회(이하 '위원회'라 한다)에 관한 내용으로 옳지 않은 것은?
① 위원회는 근로자를 대표하는 사람, 사용자를 대표하는 사람 및 공익을 대표하는 사람으로 구성하되, 그 수는 각각 같은 수로 한다.
② 사용자를 대표하는 위원은 전국을 대표하는 사용자 단체가 추천하는 사람 5명으로 한다.
③ 근로자를 대표하는 위원의 임기는 3년으로 하되, 연임할 수 있다.
④ 위원회의 회의는 재적위원 과반수의 출석으로 개의하고, 출석위원 3분의 2 이상의 찬성으로 의결한다.
⑤ 보궐위원의 임기는 전임자의 남은 임기로 한다.</v>
      </c>
      <c r="F21" s="30">
        <f>IFERROR(VLOOKUP(C21,기출문제!D:G,4,0),"")</f>
        <v>4</v>
      </c>
      <c r="G21" s="31" t="str">
        <f t="shared" si="0"/>
        <v/>
      </c>
    </row>
    <row r="22" spans="2:10" s="21" customFormat="1" ht="128.25" x14ac:dyDescent="0.3">
      <c r="B22" s="17">
        <v>15</v>
      </c>
      <c r="C22" s="27" t="s">
        <v>879</v>
      </c>
      <c r="D22" s="28"/>
      <c r="E22" s="29" t="str">
        <f>IFERROR(VLOOKUP(C22,기출문제!D:G,3,0),"")</f>
        <v>55. 산업재해보상보험법령상 유족보상연금에 관한 내용으로 옳지 않은 것은?
① 유족보상연금 수급자격자인 유족이 사망한 근로자와의 친족 관계가 끝난 경우 그 자격을 잃는다.
② 대한민국 국민이 아닌 유족보상연금 수급자격자인 유족이 외국에서 거주하기 위하여 출국하는 경우 그 자격을 잃는다.
③ 근로복지공단은 근로자의 사망 당시 태아였던 자녀가 출생한 경우 유족보상연금 수급권자의 청구에 의하거나 직권으로 그 사유가 발생한 달 분부터 유족보상연금의 금액을 조정한다.
④ 근로자가 사망할 당시 대한민국 국민이었던 유족보상연금 수급자격자인 유족이 국적을 상실하고 외국에서 거주하고 있거나 외국에서 거주하기 위하여 출국하는 경우 그 자격을 잃는다.
⑤ 유족보상연금을 받을 권리가 있는 유족보상연금 수급자격자가 그 자격을 잃은 경우에 유족보상연금을 받을 권리는 같은 순위자가 있으면 같은 순위자에게, 같은 순위자가 없으면 다음 순위자에게 이전된다.</v>
      </c>
      <c r="F22" s="30">
        <f>IFERROR(VLOOKUP(C22,기출문제!D:G,4,0),"")</f>
        <v>3</v>
      </c>
      <c r="G22" s="31" t="str">
        <f t="shared" si="0"/>
        <v/>
      </c>
      <c r="J22" s="23"/>
    </row>
    <row r="23" spans="2:10" s="21" customFormat="1" ht="142.5" x14ac:dyDescent="0.3">
      <c r="B23" s="17">
        <v>16</v>
      </c>
      <c r="C23" s="27" t="s">
        <v>880</v>
      </c>
      <c r="D23" s="28"/>
      <c r="E23" s="29" t="str">
        <f>IFERROR(VLOOKUP(C23,기출문제!D:G,3,0),"")</f>
        <v>56. 산업재해보상보험법령상 노무제공자에 대한 특례의 내용으로 옳지 않은 것은?
① "플랫폼 종사자"란 온라인 플랫폼을 통해 노무를 제공하는 노무제공자를 말한다.
② "평균보수"란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
③ 보험을 모집하는 사람으로서「새마을금고법」및「신용협동조합법」에 따른 공제의 모집을 전업으로 하는 사람은 노무제공자의 범위에 포함된다.
④ 보험을 모집하는 사람으로서「우체국예금・보험에 관한 법률」에 따른 우체국보험의 모집을 전업으로 하는 사람은 노무제공자의 범위에 포함된다.
⑤ "플랫폼 운영자"란 온라인 플랫폼을 이용하여 플랫폼 종사자의 노무제공을 중개 또는 알선하는 것을 업으로 하는 자를 말한다.</v>
      </c>
      <c r="F23" s="30">
        <f>IFERROR(VLOOKUP(C23,기출문제!D:G,4,0),"")</f>
        <v>2</v>
      </c>
      <c r="G23" s="31" t="str">
        <f t="shared" si="0"/>
        <v/>
      </c>
      <c r="J23" s="23"/>
    </row>
    <row r="24" spans="2:10" s="21" customFormat="1" ht="156.75" x14ac:dyDescent="0.3">
      <c r="B24" s="17">
        <v>17</v>
      </c>
      <c r="C24" s="27" t="s">
        <v>881</v>
      </c>
      <c r="D24" s="28"/>
      <c r="E24" s="29" t="str">
        <f>IFERROR(VLOOKUP(C24,기출문제!D:G,3,0),"")</f>
        <v>57. 산업재해보상보험법상 요양급여의 범위에 해당하는 것은 모두 몇 개인가?
○ 재활치료
○ 간호
○ 이송
○ 간병
○ 약제 또는 진료재료와 의지(義肢)나 그 밖의 보조기의 지급
① 1개 
② 2개 
③ 3개 
④ 4개 
⑤ 5개</v>
      </c>
      <c r="F24" s="30">
        <f>IFERROR(VLOOKUP(C24,기출문제!D:G,4,0),"")</f>
        <v>5</v>
      </c>
      <c r="G24" s="31" t="str">
        <f t="shared" si="0"/>
        <v/>
      </c>
      <c r="J24" s="23"/>
    </row>
    <row r="25" spans="2:10" s="21" customFormat="1" ht="99.75" x14ac:dyDescent="0.3">
      <c r="B25" s="17">
        <v>18</v>
      </c>
      <c r="C25" s="27" t="s">
        <v>882</v>
      </c>
      <c r="D25" s="28"/>
      <c r="E25" s="29" t="str">
        <f>IFERROR(VLOOKUP(C25,기출문제!D:G,3,0),"")</f>
        <v>58. 산업재해보상보험법령상 장례비에 관한 설명으로 옳지 않은 것은?
① 장례비 최고금액 및 최저금액의 적용기간은 당해 연도 1월 1일부터 12월 31일까지로 한다.
② 장례비 최고금액은 전년도 장례비 수급권자에게 지급된 1명당 평균 장례비 90일분 + 최고 보상기준 금액의 30일분으로 산정한다.
③ 장례비 최저금액은 전년도 장례비 수급권자에게 지급된 1명당 평균 장례비 90일분 + 최저 보상기준 금액의 30일분으로 산정한다.
④ 장례비 최고금액 및 최저금액을 산정할 때 10원 미만은 버린다.
⑤ 장례비는 장례를 지낼 유족이 없거나 그 밖에 부득이한 사유로 유족이 아닌 사람이 장례를 지낸 경우에는 평균임금의 120일분에 상당하는 금액의 범위에서 실제 드는 비용을 그 장례를 지낸 사람에게 지급한다.</v>
      </c>
      <c r="F25" s="30">
        <f>IFERROR(VLOOKUP(C25,기출문제!D:G,4,0),"")</f>
        <v>1</v>
      </c>
      <c r="G25" s="31" t="str">
        <f t="shared" si="0"/>
        <v/>
      </c>
      <c r="J25" s="23"/>
    </row>
    <row r="26" spans="2:10" s="21" customFormat="1" ht="99.75" x14ac:dyDescent="0.3">
      <c r="B26" s="17">
        <v>19</v>
      </c>
      <c r="C26" s="27" t="s">
        <v>883</v>
      </c>
      <c r="D26" s="28"/>
      <c r="E26" s="29" t="str">
        <f>IFERROR(VLOOKUP(C26,기출문제!D:G,3,0),"")</f>
        <v>59. 산업재해보상보험법령상 업무상질병판정위원회의 구성에 관한 내용으로 옳은 것은?
① 「고등교육법」제2조에 따른 학교에서 조교수 이상으로 재직하고 있는 사람은 위원이 될 수 없다.
② 「국가기술자격법」에 따른 산업위생관리 기사 이상의 자격을 취득하고 관련 업무에 3년 이상 종사한 치과의사는 위원이 될 수 없다.
③ 산업재해보상보험 관련 업무에 5년 이상 종사한 사람은 위원이 될 수 있다.
④ 「국가기술자격법」에 따른 인간공학 분야 기사 이상의 자격을 취득하고 관련 업무에 3년 이상 종사한 한의사는 위원이 될 수 없다.
⑤ 위원장과 위원의 임기는 3년으로 하되, 연임할 수 있다.</v>
      </c>
      <c r="F26" s="30">
        <f>IFERROR(VLOOKUP(C26,기출문제!D:G,4,0),"")</f>
        <v>3</v>
      </c>
      <c r="G26" s="31" t="str">
        <f t="shared" si="0"/>
        <v/>
      </c>
      <c r="J26" s="23"/>
    </row>
    <row r="27" spans="2:10" s="21" customFormat="1" ht="114" x14ac:dyDescent="0.3">
      <c r="B27" s="17">
        <v>20</v>
      </c>
      <c r="C27" s="27" t="s">
        <v>884</v>
      </c>
      <c r="D27" s="28"/>
      <c r="E27" s="29" t="str">
        <f>IFERROR(VLOOKUP(C27,기출문제!D:G,3,0),"")</f>
        <v>60. 산업재해보상보험법에서 사용하는 용어의 정의로 옳지 않은 것은?
① "유족"이란 사망한 사람의 배우자(사실상 혼인 관계에 있는 사람을 포함한다)・자녀・부모・손자녀・조부모 또는 형제자매를 말한다.
② "장해"란 업무상의 부상 또는 질병에 따른 정신적 또는 육체적 훼손으로 노동능력이 상실되거나 감소된 상태로서 그 부상 또는 질병이 치유되지 아니한 상태를 말한다.
③ "치유"란 부상 또는 질병이 완치되거나 치료의 효과를 더 이상 기대할 수 없고 그 증상이 고정된 상태에 이르게 된 것을 말한다.
④ "출퇴근"이란 취업과 관련하여 주거와 취업장소 사이의 이동 또는 한 취업장소에서 다른 취업장소로의 이동을 말한다.
⑤ "진폐"(塵肺)란 분진을 흡입하여 폐에 생기는 섬유증식성(纖維增殖性) 변화를 주된 증상으로 하는 질병을 말한다.</v>
      </c>
      <c r="F27" s="30">
        <f>IFERROR(VLOOKUP(C27,기출문제!D:G,4,0),"")</f>
        <v>2</v>
      </c>
      <c r="G27" s="31" t="str">
        <f t="shared" si="0"/>
        <v/>
      </c>
      <c r="J27" s="23"/>
    </row>
    <row r="28" spans="2:10" s="21" customFormat="1" ht="128.25" x14ac:dyDescent="0.3">
      <c r="B28" s="17">
        <v>21</v>
      </c>
      <c r="C28" s="27" t="s">
        <v>885</v>
      </c>
      <c r="D28" s="28"/>
      <c r="E28" s="29" t="str">
        <f>IFERROR(VLOOKUP(C28,기출문제!D:G,3,0),"")</f>
        <v>61. 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
① 11 
② 12 
③ 13 
④ 15 
⑤ 18</v>
      </c>
      <c r="F28" s="30">
        <f>IFERROR(VLOOKUP(C28,기출문제!D:G,4,0),"")</f>
        <v>3</v>
      </c>
      <c r="G28" s="31" t="str">
        <f t="shared" si="0"/>
        <v/>
      </c>
      <c r="J28" s="23"/>
    </row>
    <row r="29" spans="2:10" s="21" customFormat="1" ht="128.25" x14ac:dyDescent="0.3">
      <c r="B29" s="17">
        <v>22</v>
      </c>
      <c r="C29" s="27" t="s">
        <v>886</v>
      </c>
      <c r="D29" s="28"/>
      <c r="E29" s="29" t="str">
        <f>IFERROR(VLOOKUP(C29,기출문제!D:G,3,0),"")</f>
        <v>62. 산업재해보상보험법령상 상병보상연금에 관한 설명으로 옳은 것은?
① 중증요양상태등급이 제3급인 경우 평균임금의 257일분을 지급한다.
② 상병보상연금을 받는 근로자가 60세가 되면 그 이후의 상병보상연금은 고령자의 1일당 상병보상연금 지급기준에 따라 감액된 금액을 지급한다.
③ 상병보상연금을 지급받는 경우 요양급여와 휴업급여는 지급되지 아니한다.
④ 재요양을 시작한 지 1년이 지난 후에 부상・질병 상태가 상병보상연금의 지급요건 모두에 해당하는 사람에게는 상병보상연금을 지급한다.
⑤ 상병보상연금을 산정할 때 근로자의 평균임금이 최저임금액에 90분의 100을 곱한 금액보다 적을 때에는 최저임금액의 90분의 100에 해당하는 금액을 그 근로자의 평균임금으로 보아 산정한다.</v>
      </c>
      <c r="F29" s="30">
        <f>IFERROR(VLOOKUP(C29,기출문제!D:G,4,0),"")</f>
        <v>1</v>
      </c>
      <c r="G29" s="31" t="str">
        <f t="shared" si="0"/>
        <v/>
      </c>
      <c r="J29" s="23"/>
    </row>
    <row r="30" spans="2:10" s="21" customFormat="1" ht="171" x14ac:dyDescent="0.3">
      <c r="B30" s="17">
        <v>23</v>
      </c>
      <c r="C30" s="27" t="s">
        <v>887</v>
      </c>
      <c r="D30" s="28"/>
      <c r="E30" s="29" t="str">
        <f>IFERROR(VLOOKUP(C30,기출문제!D:G,3,0),"")</f>
        <v>63. 산업재해보상보험법상 직장복귀지원금 등에 관한 것이다. ( )에 들어갈 숫자로 옳은 것은?
제75조(직장복귀지원금 등) 
① &lt;중략&gt;
② 제1항에 따른 직장복귀지원금은 고용노동부장관이 임금수준 및 노동시장의 여건 등을 고려하여 고시하는 금액의 범위에서 사업주가 장해급여자에게 지급한 임금액으로 하되, 그 지급기간은 (ㄱ)개월 이내로 한다.
③ 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
④ ㄱ: 6, ㄴ: 12 
⑤ ㄱ: 12, ㄴ: 3</v>
      </c>
      <c r="F30" s="30">
        <f>IFERROR(VLOOKUP(C30,기출문제!D:G,4,0),"")</f>
        <v>5</v>
      </c>
      <c r="G30" s="31" t="str">
        <f t="shared" si="0"/>
        <v/>
      </c>
      <c r="J30" s="23"/>
    </row>
    <row r="31" spans="2:10" s="21" customFormat="1" ht="128.25" x14ac:dyDescent="0.3">
      <c r="B31" s="17">
        <v>24</v>
      </c>
      <c r="C31" s="27" t="s">
        <v>888</v>
      </c>
      <c r="D31" s="28"/>
      <c r="E31" s="29" t="str">
        <f>IFERROR(VLOOKUP(C31,기출문제!D:G,3,0),"")</f>
        <v>64. 국민연금법에 관한 내용으로 옳지 않은 것은?
① 급여수급전용계좌에 입금된 급여와 이에 관한 채권은 압류할 수 없다.
② 장애연금액은 장애등급 2급에 해당하는 자에 대하여는 기본연금액의 1천분의 600에 해당하는 금액에 부양가족연금액을 더한 금액으로 한다.
③ 장애등급이 2급 이상인 장애연금 수급권자가 사망하면 그 유족에게 유족연금을 지급한다.
④ 가입자 또는 가입자였던 자가 가입기간이 10년 미만이고 60세가 된 때에는 본인이나 그 유족의 청구에 의하여 반환일시금을 지급받을 수 있다.
⑤ 장애연금 수급권자가 고의나 중대한 과실로 요양 지시에 따르지 아니하거나 정당한 사유 없이 요양 지시에 따르지 아니하여 회복을 방해한 때에는 급여의 전부 또는 일부의 지급을 정지할 수 있다.</v>
      </c>
      <c r="F31" s="30">
        <f>IFERROR(VLOOKUP(C31,기출문제!D:G,4,0),"")</f>
        <v>2</v>
      </c>
      <c r="G31" s="31" t="str">
        <f t="shared" si="0"/>
        <v/>
      </c>
      <c r="J31" s="23"/>
    </row>
    <row r="32" spans="2:10" s="21" customFormat="1" ht="128.25" x14ac:dyDescent="0.3">
      <c r="B32" s="17">
        <v>25</v>
      </c>
      <c r="C32" s="27" t="s">
        <v>889</v>
      </c>
      <c r="D32" s="28"/>
      <c r="E32" s="29" t="str">
        <f>IFERROR(VLOOKUP(C32,기출문제!D:G,3,0),"")</f>
        <v>65. 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
① 4 
② 6 
③ 8 
④ 13 
⑤ 15</v>
      </c>
      <c r="F32" s="30">
        <f>IFERROR(VLOOKUP(C32,기출문제!D:G,4,0),"")</f>
        <v>3</v>
      </c>
      <c r="G32" s="31" t="str">
        <f t="shared" si="0"/>
        <v/>
      </c>
      <c r="J32" s="23"/>
    </row>
    <row r="33" spans="2:10" s="21" customFormat="1" ht="128.25" x14ac:dyDescent="0.3">
      <c r="B33" s="17">
        <v>26</v>
      </c>
      <c r="C33" s="27" t="s">
        <v>890</v>
      </c>
      <c r="D33" s="28"/>
      <c r="E33" s="29" t="str">
        <f>IFERROR(VLOOKUP(C33,기출문제!D:G,3,0),"")</f>
        <v>66. 국민연금법령상 심사청구 및 재심사청구에 관한 내용으로 옳지 않은 것은?
① 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
② 국민연금심사위원회 위원의 임기는 2년으로 하며, 1차례만 연임할 수 있으며, 국민연금공단의 임직원인 위원의 임기는 그 직위의 재임기간으로 한다.
③ 청구인은 결정이 있기 전까지는 언제든지 심사청구를 문서로 취하할 수 있다.
④ 심사청구에 대한 결정에 불복하는 자는 그 결정통지를 받은 날부터 90일 이내에 국민연금재심사위원회에 재심사를 청구할 수 있다.
⑤ 국민연금재심사위원회의 재심사와 재결에 관한 절차에 관하여는 「행정심판법」을 준용한다.</v>
      </c>
      <c r="F33" s="30">
        <f>IFERROR(VLOOKUP(C33,기출문제!D:G,4,0),"")</f>
        <v>2</v>
      </c>
      <c r="G33" s="31" t="str">
        <f t="shared" si="0"/>
        <v/>
      </c>
      <c r="J33" s="23"/>
    </row>
    <row r="34" spans="2:10" s="21" customFormat="1" ht="185.25" x14ac:dyDescent="0.3">
      <c r="B34" s="17">
        <v>27</v>
      </c>
      <c r="C34" s="27" t="s">
        <v>891</v>
      </c>
      <c r="D34" s="28"/>
      <c r="E34" s="29" t="str">
        <f>IFERROR(VLOOKUP(C34,기출문제!D:G,3,0),"")</f>
        <v>67. 국민연금법령상 연금보험료 등의 독촉에 관한 내용이다. ( )에 들어갈 내용은?
제64조(연금보험료 등의 독촉) 
① 국민건강보험공단은 법 제95조제1항에 따라 사업장가입자의 연금보험료와 그에 따른 징수금의 납부를 독촉할 때에는 납부기한이 지난 후 (ㄱ) 이내에 해당 사업장가입자의 사용자에게 독촉장을 발부하여야 한다.
② 국민건강보험공단은 법 제95조제1항에 따라 지역가입자의 연금보험료와 그에 따른 징수금의 납부를 독촉할 때에는 납부 기한이 지난 후 (ㄴ) 이내에 해당 가입자에게 독촉장을 발부하여야 한다.
③ 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 
④ ㄱ: 30일, ㄴ: 3개월, ㄷ: 20일
⑤ ㄱ: 30일, ㄴ: 3개월, ㄷ: 30일</v>
      </c>
      <c r="F34" s="30">
        <f>IFERROR(VLOOKUP(C34,기출문제!D:G,4,0),"")</f>
        <v>3</v>
      </c>
      <c r="G34" s="31" t="str">
        <f t="shared" si="0"/>
        <v/>
      </c>
      <c r="J34" s="23"/>
    </row>
    <row r="35" spans="2:10" s="21" customFormat="1" ht="142.5" x14ac:dyDescent="0.3">
      <c r="B35" s="17">
        <v>28</v>
      </c>
      <c r="C35" s="27" t="s">
        <v>892</v>
      </c>
      <c r="D35" s="28"/>
      <c r="E35" s="29" t="str">
        <f>IFERROR(VLOOKUP(C35,기출문제!D:G,3,0),"")</f>
        <v>68. 국민연금법령상 국민연금기금에 관한 설명으로 옳지 않은 것은?
① 국민연금기금은 연금보험료, 국민연금기금 운용 수익금, 적립금, 국민연금공단의 수입지출 결산상의 잉여금을 재원으로 조성한다.
② 국민연금기금운용위원회는 국민연금기금을 관리기금에 위탁할 경우 예탁 이자율의 협의에 관한 사항을 심의・의결할 수 있다.
③ 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
④ 보건복지부장관은 매년 국민연금기금 운용계획을 세워서 국민연금기금운용위원회 및 국무회의의 심의를 거쳐 대통령의 승인을 받아야 한다.
⑤ 보건복지부장관은 국민연금기금의 운용 내용과 관리기금에 예탁된 국민연금기금의 사용 내용을 다음 연도 6월 말까지 국민연금기금운용위원회에 제출하여야 한다.</v>
      </c>
      <c r="F35" s="30">
        <f>IFERROR(VLOOKUP(C35,기출문제!D:G,4,0),"")</f>
        <v>5</v>
      </c>
      <c r="G35" s="31" t="str">
        <f t="shared" si="0"/>
        <v/>
      </c>
      <c r="J35" s="23"/>
    </row>
    <row r="36" spans="2:10" s="21" customFormat="1" ht="171" x14ac:dyDescent="0.3">
      <c r="B36" s="17">
        <v>29</v>
      </c>
      <c r="C36" s="27" t="s">
        <v>893</v>
      </c>
      <c r="D36" s="28"/>
      <c r="E36" s="29" t="str">
        <f>IFERROR(VLOOKUP(C36,기출문제!D:G,3,0),"")</f>
        <v>69. 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
① ㄱ, ㄴ 
② ㄴ, ㄷ 
③ ㄱ, ㄴ, ㄹ
④ ㄱ, ㄷ, ㄹ 
⑤ ㄱ, ㄴ, ㄷ, ㄹ</v>
      </c>
      <c r="F36" s="30">
        <f>IFERROR(VLOOKUP(C36,기출문제!D:G,4,0),"")</f>
        <v>5</v>
      </c>
      <c r="G36" s="31" t="str">
        <f t="shared" si="0"/>
        <v/>
      </c>
      <c r="J36" s="23"/>
    </row>
    <row r="37" spans="2:10" s="21" customFormat="1" ht="156.75" x14ac:dyDescent="0.3">
      <c r="B37" s="17">
        <v>30</v>
      </c>
      <c r="C37" s="27" t="s">
        <v>894</v>
      </c>
      <c r="D37" s="28"/>
      <c r="E37" s="29" t="str">
        <f>IFERROR(VLOOKUP(C37,기출문제!D:G,3,0),"")</f>
        <v>70. 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
① ㄱ 
② ㄱ, ㄴ 
③ ㄴ, ㄷ
④ ㄴ, ㄷ, ㄹ 
⑤ ㄱ, ㄴ, ㄷ, ㄹ</v>
      </c>
      <c r="F37" s="30">
        <f>IFERROR(VLOOKUP(C37,기출문제!D:G,4,0),"")</f>
        <v>4</v>
      </c>
      <c r="G37" s="31" t="str">
        <f t="shared" si="0"/>
        <v/>
      </c>
      <c r="J37" s="23"/>
    </row>
    <row r="38" spans="2:10" s="21" customFormat="1" ht="85.5" x14ac:dyDescent="0.3">
      <c r="B38" s="17">
        <v>31</v>
      </c>
      <c r="C38" s="27" t="s">
        <v>895</v>
      </c>
      <c r="D38" s="28"/>
      <c r="E38" s="29" t="str">
        <f>IFERROR(VLOOKUP(C38,기출문제!D:G,3,0),"")</f>
        <v>71. 국민건강보험법상 국민건강보험공단(이하 '공단'이라 한다)에 관한 설명으로 옳지 않은 것은?
① 공단은 법인으로 한다.
② 공단의 해산에 관하여는 정관으로 정한다.
③ 공단은 주된 사무소의 소재지에서 설립등기를 함으로써 성립한다.
④ 공단의 설립등기에는 목적, 명칭, 주된 사무소 및 분사무소의 소재지, 이사장의 성명・주소 및 주민등록번호를 포함하여야 한다.
⑤ 공단의 주된 사무소의 소재지는 정관으로 정한다.</v>
      </c>
      <c r="F38" s="30">
        <f>IFERROR(VLOOKUP(C38,기출문제!D:G,4,0),"")</f>
        <v>2</v>
      </c>
      <c r="G38" s="31" t="str">
        <f t="shared" si="0"/>
        <v/>
      </c>
      <c r="J38" s="23"/>
    </row>
    <row r="39" spans="2:10" s="21" customFormat="1" ht="114" x14ac:dyDescent="0.3">
      <c r="B39" s="17">
        <v>32</v>
      </c>
      <c r="C39" s="27" t="s">
        <v>896</v>
      </c>
      <c r="D39" s="28"/>
      <c r="E39" s="29" t="str">
        <f>IFERROR(VLOOKUP(C39,기출문제!D:G,3,0),"")</f>
        <v>72. 국민건강보험법상 이의신청 및 심판청구 등에 관한 설명으로 옳지 않은 것은?
① 보험급여 비용에 관한 국민건강보험공단의 처분에 이의가 있는 자는 국민건강보험공단에 이의신청을 할 수 있다.
② 요양급여의 적정성 평가 등에 관한 건강보험심사평가원의 처분에 이의가 있는 자는 건강보험심사평가원에 이의신청을 할 수 있다.
③ 이의신청에 대한 결정에 불복하는 자는 건강보험분쟁조정위원회에 심판청구를 할 수 있다.
④ 정당한 사유로 이의신청을 할 수 없었음을 소명한 경우가 아니면 이의신청은 처분이 있은 날부터 90일을 지나면 제기하지 못한다.
⑤ 이의신청에 대한 결정에 불복하는 자는「행정소송법」이 정하는 바에 따라 행정소송을 제기할 수 있다.</v>
      </c>
      <c r="F39" s="30">
        <f>IFERROR(VLOOKUP(C39,기출문제!D:G,4,0),"")</f>
        <v>4</v>
      </c>
      <c r="G39" s="31" t="str">
        <f t="shared" si="0"/>
        <v/>
      </c>
      <c r="J39" s="23"/>
    </row>
    <row r="40" spans="2:10" s="21" customFormat="1" ht="142.5" x14ac:dyDescent="0.3">
      <c r="B40" s="17">
        <v>33</v>
      </c>
      <c r="C40" s="27" t="s">
        <v>897</v>
      </c>
      <c r="D40" s="28"/>
      <c r="E40" s="29" t="str">
        <f>IFERROR(VLOOKUP(C40,기출문제!D:G,3,0),"")</f>
        <v>73. 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
① ㄱ 
② ㄹ 
③ ㄱ, ㄴ 
④ ㄴ, ㄷ 
⑤ ㄷ, ㄹ</v>
      </c>
      <c r="F40" s="30">
        <f>IFERROR(VLOOKUP(C40,기출문제!D:G,4,0),"")</f>
        <v>4</v>
      </c>
      <c r="G40" s="31" t="str">
        <f t="shared" si="0"/>
        <v/>
      </c>
      <c r="J40" s="23"/>
    </row>
    <row r="41" spans="2:10" s="21" customFormat="1" ht="156.75" x14ac:dyDescent="0.3">
      <c r="B41" s="17">
        <v>34</v>
      </c>
      <c r="C41" s="27" t="s">
        <v>898</v>
      </c>
      <c r="D41" s="28"/>
      <c r="E41" s="29" t="str">
        <f>IFERROR(VLOOKUP(C41,기출문제!D:G,3,0),"")</f>
        <v>74. 국민건강보험법령상 보수월액에 관한 설명으로 옳지 않은 것은?
① 보수의 전부 또는 일부가 현물(現物)로 지급되는 경우에는 그 지역의 시가(時價)를 기준으로 국민건강보험공단이 정하는 가액(價額)을 그에 해당하는 보수로 본다.
② 직장가입자의 보수월액은 직장가입자가 지급받는 보수를 기준으로 하여 산정한다.
③ 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
④ 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
⑤ 휴직이나 그 밖의 사유로 보수의 전부 또는 일부가 지급되지 아니하는 가입자의 보수월액보험료는 해당 사유가 생긴 달의 보수월액을 기준으로 산정한다.</v>
      </c>
      <c r="F41" s="30">
        <f>IFERROR(VLOOKUP(C41,기출문제!D:G,4,0),"")</f>
        <v>5</v>
      </c>
      <c r="G41" s="31" t="str">
        <f t="shared" si="0"/>
        <v/>
      </c>
      <c r="J41" s="23"/>
    </row>
    <row r="42" spans="2:10" s="21" customFormat="1" ht="128.25" x14ac:dyDescent="0.3">
      <c r="B42" s="17">
        <v>35</v>
      </c>
      <c r="C42" s="27" t="s">
        <v>899</v>
      </c>
      <c r="D42" s="28"/>
      <c r="E42" s="29" t="str">
        <f>IFERROR(VLOOKUP(C42,기출문제!D:G,3,0),"")</f>
        <v>75. 고용보험 및 산업재해보상보험의 보험료징수 등에 관한 법률 제49조의2(자영업자에 대한 특례)에 관한 설명으로 옳은 것은?
① 자영업자에 대한 고용보험료 산정의 기초가 되는 보수액은 자영업자의 소득, 보수수준 등을 고려하여 기획재정부장관이 정하여 고시한다.
② 고용보험에 가입한 자영업자는 매월 부과된 보험료를 다음 달 14일까지 납부하여야 한다.
③ 자영업자의 고용보험료는 근로복지공단이 매월 부과하고 징수한다.
④ 고용보험에 가입한 자영업자가 자신에게 부과된 월(月)의 고용보험료를 계속하여 3개월간 납부하지 아니한 경우에는 마지막으로 납부한 고용보험료에 해당되는 피보험기간의 다음 날에 보험관계가 소멸된다.
⑤ 근로복지공단의 승인을 통해 고용보험에 가입한 자영업자가 50명 이상의 근로자를 사용하게 된 경우에도 본인이 피보험자격을 유지하려는 경우에는 계속하여 보험에 가입된 것으로 본다.</v>
      </c>
      <c r="F42" s="30">
        <f>IFERROR(VLOOKUP(C42,기출문제!D:G,4,0),"")</f>
        <v>5</v>
      </c>
      <c r="G42" s="31" t="str">
        <f t="shared" si="0"/>
        <v/>
      </c>
      <c r="J42" s="23"/>
    </row>
    <row r="43" spans="2:10" s="21" customFormat="1" ht="171" x14ac:dyDescent="0.3">
      <c r="B43" s="17">
        <v>36</v>
      </c>
      <c r="C43" s="27" t="s">
        <v>900</v>
      </c>
      <c r="D43" s="28"/>
      <c r="E43" s="29" t="str">
        <f>IFERROR(VLOOKUP(C43,기출문제!D:G,3,0),"")</f>
        <v>76. 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
① ㄱ, ㄴ, ㄷ 
② ㄱ, ㄴ, ㄹ 
③ ㄱ, ㄷ, ㄹ
④ ㄴ, ㄷ, ㄹ 
⑤ ㄱ, ㄴ, ㄷ, ㄹ</v>
      </c>
      <c r="F43" s="30">
        <f>IFERROR(VLOOKUP(C43,기출문제!D:G,4,0),"")</f>
        <v>5</v>
      </c>
      <c r="G43" s="31" t="str">
        <f t="shared" si="0"/>
        <v/>
      </c>
      <c r="J43" s="23"/>
    </row>
    <row r="44" spans="2:10" s="21" customFormat="1" ht="99.75" x14ac:dyDescent="0.3">
      <c r="B44" s="17">
        <v>37</v>
      </c>
      <c r="C44" s="27" t="s">
        <v>901</v>
      </c>
      <c r="D44" s="28"/>
      <c r="E44" s="29" t="str">
        <f>IFERROR(VLOOKUP(C44,기출문제!D:G,3,0),"")</f>
        <v>77. 고용보험 및 산업재해보상보험의 보험료징수 등에 관한 법률상 납부의무가 확정된 보험료가 600만원인 경우, 이를 납부기한 전이라도 징수할 수 있는 사유에 해당하지 않는 것은?
① 법인이 합병한 경우
② 공과금을 체납하여 체납처분을 받은 경우
③ 강제집행을 받은 경우
④ 법인이 해산한 경우
⑤ 「어음법」 및 「수표법」에 따른 어음교환소에서 거래정지처분을 받은 경우</v>
      </c>
      <c r="F44" s="30">
        <f>IFERROR(VLOOKUP(C44,기출문제!D:G,4,0),"")</f>
        <v>1</v>
      </c>
      <c r="G44" s="31" t="str">
        <f t="shared" si="0"/>
        <v/>
      </c>
      <c r="J44" s="23"/>
    </row>
    <row r="45" spans="2:10" s="21" customFormat="1" ht="142.5" x14ac:dyDescent="0.3">
      <c r="B45" s="17">
        <v>38</v>
      </c>
      <c r="C45" s="27" t="s">
        <v>902</v>
      </c>
      <c r="D45" s="28"/>
      <c r="E45" s="29" t="str">
        <f>IFERROR(VLOOKUP(C45,기출문제!D:G,3,0),"")</f>
        <v>78. 고용보험 및 산업재해보상보험의 보험료징수 등에 관한 법령상 보험료율의 인상 또는 인하 등에 따른 조치에 관한 설명으로 옳지 않은 것은?
① 근로복지공단은 보험료율 인하로 보험료를 감액 조정한 경우에는 보험료율의 인하를 결정한 날부터 20일 이내에 그 감액 조정 사실을 사업주에게 알려야 한다.
② 보험료율 인상으로 월별보험료가 증액된 때에는 국민건강보험공단이 징수한다.
③ 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
④ 근로복지공단은 사업주가 보험연도 중에 사업의 규모를 축소하여 실제의 개산보험료 총액이 이미 신고한 개산보험료 총액보다 100분의 20 이상으로 감소하게 된 경우에는 그 초과액을 감액해야 한다.
⑤ 보험료율 인상으로 개산보험료가 증액된 때에는 근로복지공단이 징수한다.</v>
      </c>
      <c r="F45" s="30">
        <f>IFERROR(VLOOKUP(C45,기출문제!D:G,4,0),"")</f>
        <v>4</v>
      </c>
      <c r="G45" s="31" t="str">
        <f t="shared" si="0"/>
        <v/>
      </c>
      <c r="J45" s="23"/>
    </row>
    <row r="46" spans="2:10" s="21" customFormat="1" ht="99.75" x14ac:dyDescent="0.3">
      <c r="B46" s="17">
        <v>39</v>
      </c>
      <c r="C46" s="27" t="s">
        <v>903</v>
      </c>
      <c r="D46" s="28"/>
      <c r="E46" s="29" t="str">
        <f>IFERROR(VLOOKUP(C46,기출문제!D:G,3,0),"")</f>
        <v>79. 고용보험 및 산업재해보상보험의 보험료징수 등에 관한 법령상 거짓으로 보험사무대행기관 인가를 받아 근로복지공단으로부터 인가가 취소된 경우 보험사무대행기관 인가의 제한 기간은?
① 3개월 
② 6개월 
③ 1년 
④ 3년 
⑤ 5년</v>
      </c>
      <c r="F46" s="30">
        <f>IFERROR(VLOOKUP(C46,기출문제!D:G,4,0),"")</f>
        <v>3</v>
      </c>
      <c r="G46" s="31" t="str">
        <f t="shared" si="0"/>
        <v/>
      </c>
      <c r="J46" s="23"/>
    </row>
    <row r="47" spans="2:10" s="21" customFormat="1" ht="213.75" x14ac:dyDescent="0.3">
      <c r="B47" s="17">
        <v>40</v>
      </c>
      <c r="C47" s="27" t="s">
        <v>904</v>
      </c>
      <c r="D47" s="28"/>
      <c r="E47" s="29" t="str">
        <f>IFERROR(VLOOKUP(C47,기출문제!D:G,3,0),"")</f>
        <v>80. 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
① ㄱ - a, ㄴ - c 
② ㄱ - b, ㄷ - d 
③ ㄱ - c, ㄴ - e
④ ㄴ - d, ㄷ - a 
⑤ ㄴ - e, ㄷ - b</v>
      </c>
      <c r="F47" s="30">
        <f>IFERROR(VLOOKUP(C47,기출문제!D:G,4,0),"")</f>
        <v>2</v>
      </c>
      <c r="G47" s="31" t="str">
        <f t="shared" si="0"/>
        <v/>
      </c>
      <c r="J47" s="23"/>
    </row>
    <row r="48" spans="2:10" s="21" customFormat="1" ht="128.25" x14ac:dyDescent="0.3">
      <c r="B48" s="17">
        <v>41</v>
      </c>
      <c r="C48" s="27" t="s">
        <v>5</v>
      </c>
      <c r="D48" s="28"/>
      <c r="E48" s="29" t="str">
        <f>IFERROR(VLOOKUP(C48,기출문제!D:G,3,0),"")</f>
        <v>76. 사회보장기본법령에 관한 설명으로 옳은 것은?
① 국가와 지방자치단체는 모든 국민의 인간다운 생활과 자립, 사회참여, 자아실현 등을 지원하여 삶의 질이 향상될 수 있도록 사회서비스에 관한 시책을 마련하여야 한다.
② 보건복지부장관은 제공받은 사회보장 행정데이터의 원활한 분석, 활용 등을 위하여 사회보장 행정데이터 분석센터를 설치・운영하여야 한다.
③ 부담 능력이 있는 국민에 대한 사회서비스에 드는 비용은 국가가 부담함을 원칙으로 한다.
④ 사회보장수급권을 포기하는 것이 다른 사람에게 피해를 주는 경우에는 사회보장수급권을 포기할 수 있다.
⑤ 보건복지부장관은 재정추계의 결과를 사회보장위원회의 심의를 거쳐 같은 해 9월 30일까지 관계 중앙행정기관의 장에게 통보하여야 한다.</v>
      </c>
      <c r="F48" s="30">
        <f>IFERROR(VLOOKUP(C48,기출문제!D:G,4,0),"")</f>
        <v>1</v>
      </c>
      <c r="G48" s="31" t="str">
        <f t="shared" si="0"/>
        <v/>
      </c>
      <c r="J48" s="23"/>
    </row>
    <row r="49" spans="2:10" s="21" customFormat="1" ht="156.75" x14ac:dyDescent="0.3">
      <c r="B49" s="17">
        <v>42</v>
      </c>
      <c r="C49" s="27" t="s">
        <v>905</v>
      </c>
      <c r="D49" s="28"/>
      <c r="E49" s="29" t="str">
        <f>IFERROR(VLOOKUP(C49,기출문제!D:G,3,0),"")</f>
        <v>77. 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
① 1개
② 2개
③ 3개
④ 4개
⑤ 5개</v>
      </c>
      <c r="F49" s="30">
        <f>IFERROR(VLOOKUP(C49,기출문제!D:G,4,0),"")</f>
        <v>5</v>
      </c>
      <c r="G49" s="31" t="str">
        <f t="shared" si="0"/>
        <v/>
      </c>
      <c r="J49" s="23"/>
    </row>
    <row r="50" spans="2:10" s="21" customFormat="1" ht="99.75" x14ac:dyDescent="0.3">
      <c r="B50" s="17">
        <v>43</v>
      </c>
      <c r="C50" s="27" t="s">
        <v>906</v>
      </c>
      <c r="D50" s="28"/>
      <c r="E50" s="29" t="str">
        <f>IFERROR(VLOOKUP(C50,기출문제!D:G,3,0),"")</f>
        <v>78. 사회보장기본법에 관한 설명으로 옳은 것은?
① 사회보장수급권은 정당한 권한이 있는 기관에 서면이나 구두로 포기할 수 있다.
② 고용노동부장관은 관계 중앙행정기관의 장과 협의하여 사회보장에 관한 기본계획을 5년마다 수립하여야 한다.
③ 국가와 지방자치단체는 효과적인 사회보장정책의 수립・시행을 위하여 사회보장에 관한 통계를 작성・관리할 수 있다.
④ 국가는 사회보장제도의 안정적인 운영을 위하여 중장기 사회보장 재정추계를 매년 실시하고 이를 공표하여야 한다.
⑤ 국가와 지방자치단체는 평생사회안전망을 구축・운영함에 있어 사회적 취약계층을 위한 공공부조를 마련하여 최저생활을 보장하여야 한다.</v>
      </c>
      <c r="F50" s="30">
        <f>IFERROR(VLOOKUP(C50,기출문제!D:G,4,0),"")</f>
        <v>5</v>
      </c>
      <c r="G50" s="31" t="str">
        <f t="shared" si="0"/>
        <v/>
      </c>
      <c r="J50" s="23"/>
    </row>
    <row r="51" spans="2:10" s="21" customFormat="1" ht="142.5" x14ac:dyDescent="0.3">
      <c r="B51" s="17">
        <v>44</v>
      </c>
      <c r="C51" s="27" t="s">
        <v>907</v>
      </c>
      <c r="D51" s="28"/>
      <c r="E51" s="29" t="str">
        <f>IFERROR(VLOOKUP(C51,기출문제!D:G,3,0),"")</f>
        <v>79. 고용보험법령상 구직급여에 관한 설명으로 옳지 않은 것은?
① 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
② 구직급여는 수급자격자가 실업한 상태에 있는 날 중에서 직업안정기관의 장으로부터 실업의 인정을 받은 날에 대하여 지급한다.
③ 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
④ 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
⑤ 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v>
      </c>
      <c r="F51" s="30">
        <f>IFERROR(VLOOKUP(C51,기출문제!D:G,4,0),"")</f>
        <v>4</v>
      </c>
      <c r="G51" s="31" t="str">
        <f t="shared" si="0"/>
        <v/>
      </c>
      <c r="J51" s="23"/>
    </row>
    <row r="52" spans="2:10" s="21" customFormat="1" ht="128.25" x14ac:dyDescent="0.3">
      <c r="B52" s="17">
        <v>45</v>
      </c>
      <c r="C52" s="27" t="s">
        <v>908</v>
      </c>
      <c r="D52" s="28"/>
      <c r="E52" s="29" t="str">
        <f>IFERROR(VLOOKUP(C52,기출문제!D:G,3,0),"")</f>
        <v>80. 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
① ㄱ: 1, ㄴ: 3분의 2 이상 10분의 7 이하
② ㄱ: 1, ㄴ: 4분의 3 이상 10분의 9 이하
③ ㄱ: 2, ㄴ: 3분의 2 이상 10분의 7 이하
④ ㄱ: 2, ㄴ: 4분의 3 이상 10분의 9 이하
⑤ ㄱ: 3, ㄴ: 3분의 2 이상 10분의 9 이하</v>
      </c>
      <c r="F52" s="30">
        <f>IFERROR(VLOOKUP(C52,기출문제!D:G,4,0),"")</f>
        <v>2</v>
      </c>
      <c r="G52" s="31" t="str">
        <f t="shared" si="0"/>
        <v/>
      </c>
      <c r="J52" s="23"/>
    </row>
    <row r="53" spans="2:10" s="21" customFormat="1" ht="85.5" x14ac:dyDescent="0.3">
      <c r="B53" s="17">
        <v>46</v>
      </c>
      <c r="C53" s="27" t="s">
        <v>909</v>
      </c>
      <c r="D53" s="28"/>
      <c r="E53" s="29" t="str">
        <f>IFERROR(VLOOKUP(C53,기출문제!D:G,3,0),"")</f>
        <v>81. 고용보험법령상 예술인인 피보험자가 임신 13주차에 유산을 한 경우 출산전후급여등의 지급기간은?
① 5일
② 10일
③ 15일
④ 20일
⑤ 30일</v>
      </c>
      <c r="F53" s="30">
        <f>IFERROR(VLOOKUP(C53,기출문제!D:G,4,0),"")</f>
        <v>2</v>
      </c>
      <c r="G53" s="31" t="str">
        <f t="shared" si="0"/>
        <v/>
      </c>
      <c r="J53" s="23"/>
    </row>
    <row r="54" spans="2:10" s="21" customFormat="1" ht="85.5" x14ac:dyDescent="0.3">
      <c r="B54" s="17">
        <v>47</v>
      </c>
      <c r="C54" s="27" t="s">
        <v>910</v>
      </c>
      <c r="D54" s="28"/>
      <c r="E54" s="29" t="str">
        <f>IFERROR(VLOOKUP(C54,기출문제!D:G,3,0),"")</f>
        <v>82. 고용보험법령상 고용보험위원회(이하 '위원회'라 한다)에 관한 설명으로 옳지 않은 것은?
① 위촉위원 중 정부를 대표하는 사람의 임기는 2년으로 한다.
② 위촉위원 중 보궐위원의 임기는 전임자 임기의 남은 기간으로 한다.
③ 위원회의 위원장이 부득이한 사유로 직무를 수행할 수 없을 때에는 위원장이 미리 지명하는 위원이 그 직무를 대행한다.
④ 위원회의 회의는 재적위원 과반수의 출석으로 개의(開議)하고 출석의원 과반수의 찬성으로 의결한다.
⑤ 위원회에 고용보험운영전문위원회와 고용보험평가전문위원회를 둔다.</v>
      </c>
      <c r="F54" s="30">
        <f>IFERROR(VLOOKUP(C54,기출문제!D:G,4,0),"")</f>
        <v>1</v>
      </c>
      <c r="G54" s="31" t="str">
        <f t="shared" si="0"/>
        <v/>
      </c>
      <c r="J54" s="23"/>
    </row>
    <row r="55" spans="2:10" s="21" customFormat="1" ht="142.5" x14ac:dyDescent="0.3">
      <c r="B55" s="17">
        <v>48</v>
      </c>
      <c r="C55" s="27" t="s">
        <v>911</v>
      </c>
      <c r="D55" s="28"/>
      <c r="E55" s="29" t="str">
        <f>IFERROR(VLOOKUP(C55,기출문제!D:G,3,0),"")</f>
        <v>83. 고용보험법상 고용보험심사관(이하 '심사관'이라 한다)에 관한 설명으로 옳지 않은 것은?
① 실업급여에 관한 처분에 이의가 있는 자는 심사관에게 심사를 청구할 수 있다.
② 심사관은 심사청구를 받으면 30일 이내에 그 심사청구에 대한 결정을 하여야 한다. 다만, 부득이한 사정으로 그 기간에 결정할 수 없을 때에는 한 차례만 10일을 넘지 아니하는 범위에서 그 기간을 연장할 수 있다.
③ 심사관은 심사의 청구에 대한 심리를 위하여 필요하다고 인정하면 심사청구인의 신청 또는 직권으로 심사청구인 또는 관계인을 지정 장소에 출석하게 하여 질문하거나 의견을 진술하게 할 수 있다.
④ 당사자는 심사관에게 심리・결정의 공정을 기대하기 어려운 사정이 있으면 그 심사관에 대한 기피신청을 고용노동부장관에게 할 수 있다.
⑤ 직업안정기관 또는 근로복지공단은 심사청구서를 받은 날부터 14일 이내에 의견서를 첨부하여 심사청구서를 심사관에게 보내야 한다.</v>
      </c>
      <c r="F55" s="30">
        <f>IFERROR(VLOOKUP(C55,기출문제!D:G,4,0),"")</f>
        <v>5</v>
      </c>
      <c r="G55" s="31" t="str">
        <f t="shared" si="0"/>
        <v/>
      </c>
      <c r="J55" s="23"/>
    </row>
    <row r="56" spans="2:10" s="21" customFormat="1" ht="142.5" x14ac:dyDescent="0.3">
      <c r="B56" s="17">
        <v>49</v>
      </c>
      <c r="C56" s="27" t="s">
        <v>912</v>
      </c>
      <c r="D56" s="28"/>
      <c r="E56" s="29" t="str">
        <f>IFERROR(VLOOKUP(C56,기출문제!D:G,3,0),"")</f>
        <v>84. 고용보험법령상 폐업한 자영업자인 피보험자에 관한 설명으로 옳지 않은 것은?
① 법령을 위반하여 영업 정지를 받아 폐업한 경우라도 직업안정기관의 장이 인정하는 경우에는 수급자격이 있는 것으로 본다. 
② 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
③ 자영업자인 피보험자로서 폐업한 수급자격자에 대한 소정급여일수는 대기기간이 끝난 다음 날부터 계산하기 시작하여 피보험기간이 5년 이상 10년 미만이면 180일까지로 한다.
④ 자영업자인 피보험자의 피보험기간은 그 수급자격과 관련된 폐업 당시의 적용 사업에의 보험가입기간 중에서 실제로 납부한 고용보험료에 해당하는 기간으로 한다.
⑤ 자영업자인 피보험자로서 폐업한 수급자격자에 대한 구직급여일액은 그 수급자격자의 기초일액에 100분의 60을 곱한 금액으로 한다.</v>
      </c>
      <c r="F56" s="30">
        <f>IFERROR(VLOOKUP(C56,기출문제!D:G,4,0),"")</f>
        <v>1</v>
      </c>
      <c r="G56" s="31" t="str">
        <f t="shared" si="0"/>
        <v/>
      </c>
      <c r="J56" s="23"/>
    </row>
    <row r="57" spans="2:10" s="21" customFormat="1" ht="142.5" x14ac:dyDescent="0.3">
      <c r="B57" s="17">
        <v>50</v>
      </c>
      <c r="C57" s="27" t="s">
        <v>913</v>
      </c>
      <c r="D57" s="28"/>
      <c r="E57" s="29" t="str">
        <f>IFERROR(VLOOKUP(C57,기출문제!D:G,3,0),"")</f>
        <v>85. 고용보험법령상 고용노동부장관이 고용환경 개선, 근무형태 변경 등으로 고용의 기회를 확대한 사업주에게 임금의 일부를 지원할 수 있는 경우가 아닌 것은?
① 직무의 분할 등을 통하여 실업자를 근로계약기간을 정하지 않고 시간제로 근무하는 형태로 하여 새로 고용하는 경우
② 고용보험위원회에서 심의・의결한 국내복귀기업  또는 지역특화산업 등 고용지원이 필요한 업종에 해당하는 기업이 실업자를 고용하는 경우
③ 고용보험위원회에서 심의・의결한 업종에 해당하는 우선지원대상기업이 고용노동부장관이 정하는 전문적인 자격을 갖춘 자를 고용하는 경우
④ 임금을 감액하는 제도 또는 그 밖의 임금체계 개편 등을 통하여 18세 이상 35세 이하의 청년 실업자를 고용하는 경우
⑤ 고용노동부장관이 「고용상 연령차별 금지 및 고령자고용촉진에 관한 법률」에 따른 고령자가 근무하기에 적합한 것으로 인정하는 직무에 고령자를 새로 고용하는 경우</v>
      </c>
      <c r="F57" s="30">
        <f>IFERROR(VLOOKUP(C57,기출문제!D:G,4,0),"")</f>
        <v>4</v>
      </c>
      <c r="G57" s="31" t="str">
        <f t="shared" si="0"/>
        <v/>
      </c>
      <c r="J57" s="23"/>
    </row>
    <row r="58" spans="2:10" s="21" customFormat="1" ht="156.75" x14ac:dyDescent="0.3">
      <c r="B58" s="17">
        <v>51</v>
      </c>
      <c r="C58" s="27" t="s">
        <v>914</v>
      </c>
      <c r="D58" s="17"/>
      <c r="E58" s="29" t="str">
        <f>IFERROR(VLOOKUP(C58,기출문제!D:G,3,0),"")</f>
        <v>86. 산업재해보상보험법상 진폐에 따른 보험급여 종류를 모두 고른 것은?
ㄱ. 장례비
ㄴ. 휴업급여
ㄷ. 직업재활급여
ㄹ. 간병급여
ㅁ. 유족급여
① ㄱ, ㄹ
② ㄱ, ㄴ, ㅁ
③ ㄱ, ㄷ, ㄹ
④ ㄴ, ㄷ, ㄹ, ㅁ
⑤ ㄱ, ㄴ, ㄷ, ㄹ, ㅁ</v>
      </c>
      <c r="F58" s="30">
        <f>IFERROR(VLOOKUP(C58,기출문제!D:G,4,0),"")</f>
        <v>3</v>
      </c>
      <c r="G58" s="31" t="str">
        <f t="shared" si="0"/>
        <v/>
      </c>
      <c r="J58" s="23"/>
    </row>
    <row r="59" spans="2:10" s="21" customFormat="1" ht="99.75" x14ac:dyDescent="0.3">
      <c r="B59" s="17">
        <v>52</v>
      </c>
      <c r="C59" s="27" t="s">
        <v>915</v>
      </c>
      <c r="D59" s="17"/>
      <c r="E59" s="29" t="str">
        <f>IFERROR(VLOOKUP(C59,기출문제!D:G,3,0),"")</f>
        <v>87. 산업재해보상보험법상 심사 청구 및 재심사 청구에 관한 설명으로 옳지 않은 것은?
① 재심사위원회의 재결은 근로복지공단을 기속(羈束)한다.
② 재심사위원회 위원(당연직위원은 제외한다)의 임기는 3년으로 하되 연임할 수 있고, 위원장이나 위원의 임기가 끝난 경우 그 후임자가 임명될 때까지 그 직무를 수행한다.
③ 보험급여 결정등에 대하여는 「행정심판법」에 따른 행정심판을 제기할 수 없다.
④ 재심사위원회의 위원장 및 위원은 고용노동부장관이 임명한다.
⑤ 재심사 청구의 제기는 시효의 중단에 관하여 「민법」 제168조에 따른 재판상의 청구로 본다.</v>
      </c>
      <c r="F59" s="30">
        <f>IFERROR(VLOOKUP(C59,기출문제!D:G,4,0),"")</f>
        <v>4</v>
      </c>
      <c r="G59" s="31" t="str">
        <f t="shared" si="0"/>
        <v/>
      </c>
      <c r="J59" s="23"/>
    </row>
    <row r="60" spans="2:10" s="21" customFormat="1" ht="142.5" x14ac:dyDescent="0.3">
      <c r="B60" s="17">
        <v>53</v>
      </c>
      <c r="C60" s="27" t="s">
        <v>916</v>
      </c>
      <c r="D60" s="17"/>
      <c r="E60" s="29" t="str">
        <f>IFERROR(VLOOKUP(C60,기출문제!D:G,3,0),"")</f>
        <v>88. 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
① ㄱ
② ㄴ
③ ㄱ, ㄷ
④ ㄴ, ㄷ
⑤ ㄱ, ㄴ, ㄷ</v>
      </c>
      <c r="F60" s="30">
        <f>IFERROR(VLOOKUP(C60,기출문제!D:G,4,0),"")</f>
        <v>3</v>
      </c>
      <c r="G60" s="31" t="str">
        <f t="shared" si="0"/>
        <v/>
      </c>
      <c r="J60" s="23"/>
    </row>
    <row r="61" spans="2:10" s="21" customFormat="1" ht="156.75" x14ac:dyDescent="0.3">
      <c r="B61" s="17">
        <v>54</v>
      </c>
      <c r="C61" s="27" t="s">
        <v>917</v>
      </c>
      <c r="D61" s="17"/>
      <c r="E61" s="29" t="str">
        <f>IFERROR(VLOOKUP(C61,기출문제!D:G,3,0),"")</f>
        <v>89. 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
① ㄱ, ㄴ
② ㄱ, ㄷ
③ ㄴ, ㄷ
④ ㄴ, ㄹ
⑤ ㄷ, ㄹ</v>
      </c>
      <c r="F61" s="30">
        <f>IFERROR(VLOOKUP(C61,기출문제!D:G,4,0),"")</f>
        <v>2</v>
      </c>
      <c r="G61" s="31" t="str">
        <f t="shared" si="0"/>
        <v/>
      </c>
      <c r="J61" s="23"/>
    </row>
    <row r="62" spans="2:10" s="21" customFormat="1" ht="99.75" x14ac:dyDescent="0.3">
      <c r="B62" s="17">
        <v>55</v>
      </c>
      <c r="C62" s="27" t="s">
        <v>918</v>
      </c>
      <c r="D62" s="17"/>
      <c r="E62" s="29" t="str">
        <f>IFERROR(VLOOKUP(C62,기출문제!D:G,3,0),"")</f>
        <v>90. 산업재해보상보험법령상 업무상 사고에 해당하지 않는 것은?
① 근로자가 근로계약에 따른 업무수행 행위를 하던 중 발생한 사고
② 업무를 준비하는 행위를 하던 중 발생한 사고
③ 천재지변・화재 등 사업장 내에 발생한 돌발적인 사고에 따른 긴급피난・구조행위 등 사회통념상 예견되는 행위를 하던 중에 발생한 사고
④ 사업장 밖에서 업무를 수행하던 중 사업주의 구체적인 지시를 위반한 행위로 인한 사고
⑤ 휴게시간 중 사업주의 지배관리하에 있다고 볼 수 있는 행위로 발생한 사고</v>
      </c>
      <c r="F62" s="30">
        <f>IFERROR(VLOOKUP(C62,기출문제!D:G,4,0),"")</f>
        <v>4</v>
      </c>
      <c r="G62" s="31" t="str">
        <f t="shared" si="0"/>
        <v/>
      </c>
      <c r="J62" s="23"/>
    </row>
    <row r="63" spans="2:10" s="21" customFormat="1" ht="85.5" x14ac:dyDescent="0.3">
      <c r="B63" s="17">
        <v>56</v>
      </c>
      <c r="C63" s="27" t="s">
        <v>919</v>
      </c>
      <c r="D63" s="17"/>
      <c r="E63" s="29" t="str">
        <f>IFERROR(VLOOKUP(C63,기출문제!D:G,3,0),"")</f>
        <v>91. 산업재해보상보험법령상 업무상질병판정위원회의 심의에서 제외되는 질병이 아닌 것은?
① 진폐
② 이황화탄소 중독증
③ 유해・위험요인에 지속적으로 소량 노출되어 나타나는 만성 중독 증상 또는 소견 등의 질병
④ 「한국산업안전보건공단법」에 따른 한국산업안전보건공단에 자문한 결과 업무와의 관련성이 높다고 인정된 질병
⑤ 업무와 그 질병 사이에 상당인과관계가 있는지를 명백히 알 수 있는 경우로서 근로복지공단이 정하는 질병</v>
      </c>
      <c r="F63" s="30">
        <f>IFERROR(VLOOKUP(C63,기출문제!D:G,4,0),"")</f>
        <v>3</v>
      </c>
      <c r="G63" s="31" t="str">
        <f t="shared" si="0"/>
        <v/>
      </c>
      <c r="J63" s="23"/>
    </row>
    <row r="64" spans="2:10" s="21" customFormat="1" ht="99.75" x14ac:dyDescent="0.3">
      <c r="B64" s="17">
        <v>57</v>
      </c>
      <c r="C64" s="27" t="s">
        <v>920</v>
      </c>
      <c r="D64" s="17"/>
      <c r="E64" s="29" t="str">
        <f>IFERROR(VLOOKUP(C64,기출문제!D:G,3,0),"")</f>
        <v>92. 국민연금법령상 다음 A근로자의 경우 산입될 국민연금 가입기간은?
○ 사용자가 A근로자의 임금에서 7개월간 기여금을 공제하였음에도 연금보험료를 내지 않았다.
① 3개월
② 4개월
③ 5개월
④ 6개월
⑤ 7개월</v>
      </c>
      <c r="F64" s="30">
        <f>IFERROR(VLOOKUP(C64,기출문제!D:G,4,0),"")</f>
        <v>2</v>
      </c>
      <c r="G64" s="31" t="str">
        <f t="shared" si="0"/>
        <v/>
      </c>
      <c r="J64" s="23"/>
    </row>
    <row r="65" spans="2:10" s="21" customFormat="1" ht="199.5" x14ac:dyDescent="0.3">
      <c r="B65" s="17">
        <v>58</v>
      </c>
      <c r="C65" s="27" t="s">
        <v>921</v>
      </c>
      <c r="D65" s="17"/>
      <c r="E65" s="29" t="str">
        <f>IFERROR(VLOOKUP(C65,기출문제!D:G,3,0),"")</f>
        <v>93. 국민연금법상 다음 ( )에 들어갈 숫자의 합은?
제64조(분할연금 수급권자 등)
① 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
① 6
② 8
③ 10
④ 13
⑤ 15</v>
      </c>
      <c r="F65" s="30">
        <f>IFERROR(VLOOKUP(C65,기출문제!D:G,4,0),"")</f>
        <v>3</v>
      </c>
      <c r="G65" s="31" t="str">
        <f t="shared" si="0"/>
        <v/>
      </c>
      <c r="J65" s="23"/>
    </row>
    <row r="66" spans="2:10" s="21" customFormat="1" ht="99.75" x14ac:dyDescent="0.3">
      <c r="B66" s="17">
        <v>59</v>
      </c>
      <c r="C66" s="27" t="s">
        <v>922</v>
      </c>
      <c r="D66" s="17"/>
      <c r="E66" s="29" t="str">
        <f>IFERROR(VLOOKUP(C66,기출문제!D:G,3,0),"")</f>
        <v>94. 국민건강보험법령상 피부양자에 해당하지 않는 자는? (단, 직장가입자에게 주로 생계를 의존하는 사람으로서 소득 및 재산이 보건복지부령으로 정하는 기준 이하에 해당하는 사람에 한정한다.)
① 직장가입자의 형제의 배우자
② 직장가입자의 직계비속
③ 직장가입자의 배우자의 직계비속
④ 직장가입자의 직계존속
⑤ 직장가입자의 형제・자매</v>
      </c>
      <c r="F66" s="30">
        <f>IFERROR(VLOOKUP(C66,기출문제!D:G,4,0),"")</f>
        <v>1</v>
      </c>
      <c r="G66" s="31" t="str">
        <f t="shared" si="0"/>
        <v/>
      </c>
      <c r="J66" s="23"/>
    </row>
    <row r="67" spans="2:10" s="21" customFormat="1" ht="128.25" x14ac:dyDescent="0.3">
      <c r="B67" s="17">
        <v>60</v>
      </c>
      <c r="C67" s="27" t="s">
        <v>923</v>
      </c>
      <c r="D67" s="17"/>
      <c r="E67" s="29" t="str">
        <f>IFERROR(VLOOKUP(C67,기출문제!D:G,3,0),"")</f>
        <v>95. 국민건강보험법령에 관한 설명으로 옳은 것은?
① 요양급여비용 및 요양급여의 적정성 평가 등에 관한 건강보험심사평가원의 처분에 이의가 있는 국민건강보험공단, 요양기관 또는 그 밖의 자는 건강보험정책심의위원회에 이의신청을 할 수 있다.
② 직장가입자의 보수월액보험료 상한은 보험료가 부과되는 연도의 전전년도 직장가입자 평균 보수월액보험료의 20배에 해당하는 금액을 고려하여 보건복지부장관이 정하여 고시하는 금액으로 한다.
③ 국민건강보험공단은 보험급여를 받을 수 있는 사람이 고의 또는 중대한 과실로 국민건강보험공단이나 요양기관의 요양에 관한 지시에 따르지 아니한 경우 보험급여를 하지 아니한다.
④ 건강보험심사평가원은 요양급여에 대한 의료의 질을 향상시키기 위하여 요양급여의 적정성 평가를 격년으로 실시하여야 한다.
⑤ 보수의 일부가 현물로 지급되는 경우에는 그 지역의 시가를 기준으로 근로복지공단이 정하는 가액을 그에 해당하는 보수로 본다.</v>
      </c>
      <c r="F67" s="30">
        <f>IFERROR(VLOOKUP(C67,기출문제!D:G,4,0),"")</f>
        <v>3</v>
      </c>
      <c r="G67" s="31" t="str">
        <f t="shared" si="0"/>
        <v/>
      </c>
      <c r="J67" s="23"/>
    </row>
    <row r="68" spans="2:10" s="21" customFormat="1" ht="85.5" x14ac:dyDescent="0.3">
      <c r="B68" s="17">
        <v>61</v>
      </c>
      <c r="C68" s="27" t="s">
        <v>924</v>
      </c>
      <c r="D68" s="17"/>
      <c r="E68" s="29" t="str">
        <f>IFERROR(VLOOKUP(C68,기출문제!D:G,3,0),"")</f>
        <v>96. 국민건강보험법령상 보험료에 관한 설명으로 옳은 것은?
① 가입자의 자격을 취득한 날이 속하는 달의 다음 달부터 가입자의 자격을 잃은 날이 속하는 달까지 징수한다.
② 직장가입자의 소득월액보험료는 사용자가 납부한다.
③ 보험료 납부의무가 있는 자는 가입자에 대한 그 달의 보험료를 그 달 말일까지 납부하여야 한다.
④ 직장가입자의 보험료율은 1만분의 709로 한다.
⑤ 60세 이상인 사람은 보험료 경감대상이 될 수 있다.</v>
      </c>
      <c r="F68" s="30">
        <f>IFERROR(VLOOKUP(C68,기출문제!D:G,4,0),"")</f>
        <v>4</v>
      </c>
      <c r="G68" s="31" t="str">
        <f t="shared" si="0"/>
        <v/>
      </c>
      <c r="J68" s="23"/>
    </row>
    <row r="69" spans="2:10" s="21" customFormat="1" ht="85.5" x14ac:dyDescent="0.3">
      <c r="B69" s="17">
        <v>62</v>
      </c>
      <c r="C69" s="27" t="s">
        <v>925</v>
      </c>
      <c r="D69" s="17"/>
      <c r="E69" s="29" t="str">
        <f>IFERROR(VLOOKUP(C69,기출문제!D:G,3,0),"")</f>
        <v>97. 국민건강보험법령상 건강검진에 관한 설명으로 옳지 않은 것은?
① 사무직에 종사하지 않는 직장가입자에 대해서는 1년에 1회 실시한다.
② 검진기관이 건강검진을 받은 사람에게 직접 통보한 경우에는 국민건강보험공단은 그 통보를 생략할 수 있다.
③ 직장가입자, 세대주인 지역가입자, 18세 이상인 지역가입자는 일반건강검진 대상이다.
④ 영유아건강검진 대상은 6세 미만의 가입자 및 피부양자이다.
⑤ 국민건강보험공단은 직장가입자에게 실시하는 일반건강검진의 실시에 관한 사항을 해당 사용자에게 통보해야 한다.</v>
      </c>
      <c r="F69" s="30">
        <f>IFERROR(VLOOKUP(C69,기출문제!D:G,4,0),"")</f>
        <v>3</v>
      </c>
      <c r="G69" s="31" t="str">
        <f t="shared" si="0"/>
        <v/>
      </c>
      <c r="J69" s="23"/>
    </row>
    <row r="70" spans="2:10" s="21" customFormat="1" ht="142.5" x14ac:dyDescent="0.3">
      <c r="B70" s="17">
        <v>63</v>
      </c>
      <c r="C70" s="27" t="s">
        <v>629</v>
      </c>
      <c r="D70" s="17"/>
      <c r="E70" s="29" t="str">
        <f>IFERROR(VLOOKUP(C70,기출문제!D:G,3,0),"")</f>
        <v>98. 고용보험 및 산업재해보상보험의 보험료 징수 등에 관한 법령상 고액・상습 체납자의 인적사항 공개에 관한 설명으로 옳지 않은 것은?
① 국민건강보험공단은 체납된 보험료, 이 법에 따른 그 밖의 징수금과 체납처분비와 관련하여 행정심판이 계류 중인 경우에는 공개하여서는 아니 된다.
② 체납자의 인적사항등에 대한 공개 여부를 심의하기 위하여 국민건강보험공단에 보험료정보공개심의위원회를 둔다.
③ 국민건강보험공단은 인정사항등의 공개가 결정된 자에 대하여 소명할 기회를 주어야 한다.
④ 체납자 인적사항등의 공개는 관보에 게재하거나, 고용・산재정보통신망 또는 국민건강보험공단 게시판에 게시하는 방법에 따른다.
⑤ 국민건강보험공단은 보험료정보공개심의위원회의 심의와 관련한 통지일부터 3개월이 지난 후 체납자 인적사항등의 공개 여부를 재심의하게 한 후 공개대상자를 선정한다.</v>
      </c>
      <c r="F70" s="30">
        <f>IFERROR(VLOOKUP(C70,기출문제!D:G,4,0),"")</f>
        <v>5</v>
      </c>
      <c r="G70" s="31" t="str">
        <f t="shared" si="0"/>
        <v/>
      </c>
      <c r="J70" s="23"/>
    </row>
    <row r="71" spans="2:10" s="21" customFormat="1" ht="99.75" x14ac:dyDescent="0.3">
      <c r="B71" s="17">
        <v>64</v>
      </c>
      <c r="C71" s="27" t="s">
        <v>926</v>
      </c>
      <c r="D71" s="17"/>
      <c r="E71" s="29" t="str">
        <f>IFERROR(VLOOKUP(C71,기출문제!D:G,3,0),"")</f>
        <v>99. 고용보험 및 산업재해보상보험의 보험료징수 등에 관한 법령상 예술인과 이들을 상대방으로 하여 문화예술용역 관련 계약을 체결한 사업의 사업주에 대한 고용보험료율은?
① 1천분의 8
② 1천분의 16
③ 1천분의 24
④ 1천분의 32
⑤ 1천분의 40</v>
      </c>
      <c r="F71" s="30">
        <f>IFERROR(VLOOKUP(C71,기출문제!D:G,4,0),"")</f>
        <v>2</v>
      </c>
      <c r="G71" s="31" t="str">
        <f t="shared" si="0"/>
        <v/>
      </c>
      <c r="J71" s="23"/>
    </row>
    <row r="72" spans="2:10" s="21" customFormat="1" ht="185.25" x14ac:dyDescent="0.3">
      <c r="B72" s="17">
        <v>65</v>
      </c>
      <c r="C72" s="27" t="s">
        <v>927</v>
      </c>
      <c r="D72" s="17"/>
      <c r="E72" s="29" t="str">
        <f>IFERROR(VLOOKUP(C72,기출문제!D:G,3,0),"")</f>
        <v>100. 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
① A
② B
③ C
④ D
⑤ E</v>
      </c>
      <c r="F72" s="30">
        <f>IFERROR(VLOOKUP(C72,기출문제!D:G,4,0),"")</f>
        <v>3</v>
      </c>
      <c r="G72" s="31" t="str">
        <f t="shared" si="0"/>
        <v/>
      </c>
      <c r="J72" s="23"/>
    </row>
    <row r="73" spans="2:10" s="21" customFormat="1" ht="85.5" x14ac:dyDescent="0.3">
      <c r="B73" s="17">
        <v>66</v>
      </c>
      <c r="C73" s="27" t="s">
        <v>566</v>
      </c>
      <c r="D73" s="17"/>
      <c r="E73" s="29" t="str">
        <f>IFERROR(VLOOKUP(C73,기출문제!D:G,3,0),"")</f>
        <v>76. 사회보장기본법에 관한 설명으로 옳지 않은 것은?
① 모든 국민은 자신의 능력을 최대한 발휘하여 자립・자활(自活)할 수 있도록 노력하여야 한다.
② 국가와 지방자치단체는 사회보장제도를 시행할 때에 가정과 지역공동체의 자발적인 복지활동을 촉진하여야 한다.
③ 사회보험이란 국민에게 발생하는 사회적 위험을 보험의 방식으로 대처함으로써 국민의 건강과 소득을 보장하는 제도를 말한다.
④ 국내에 거주하는 외국인에게 사회보장제도를 적용할 때에는 국민과 차별하지 아니하되 예외적으로 상호주의에 따를 수 있다.
⑤ 국가와 지방자치단체는 가정이 건전하게 유지되고 그 기능이 향상되도록 노력하여야 한다.</v>
      </c>
      <c r="F73" s="30">
        <f>IFERROR(VLOOKUP(C73,기출문제!D:G,4,0),"")</f>
        <v>4</v>
      </c>
      <c r="G73" s="31" t="str">
        <f t="shared" ref="G73:G136" si="1">IF(D73="","",IF(D73=F73,"O", "X"))</f>
        <v/>
      </c>
      <c r="J73" s="23"/>
    </row>
    <row r="74" spans="2:10" s="21" customFormat="1" ht="99.75" x14ac:dyDescent="0.3">
      <c r="B74" s="17">
        <v>67</v>
      </c>
      <c r="C74" s="27" t="s">
        <v>928</v>
      </c>
      <c r="D74" s="17"/>
      <c r="E74" s="29" t="str">
        <f>IFERROR(VLOOKUP(C74,기출문제!D:G,3,0),"")</f>
        <v>77. 사회보장기본법상 사회보장제도의 운영에 관한 설명으로 옳지 않은 것은?
① 국가와 지방자치단체가 사회보장제도를 운영할 때에는 이 제도를 필요로 하는 모든 국민에게 적용하여야 한다.
② 국가와 지방자치단체는 공공부문과 민간부문의 사회보장 전달체계가 효율적으로 연계되도록 노력하여야 한다.
③ 공공부조는 국가의 책임으로 시행하고, 사회보험과 사회서비스는 국가와 지방자치단체의 책임으로 시행하는 것을 원칙으로 한다.
④ 국가와 지방자치단체는 사회보장 관계 법령에서 정하는 바에 따라 사회보장에 관한 상담에 응하여야 한다.
⑤ 국가와 지방자치단체는 효과적인 사회보장정책의 수립・시행을 위하여 사회보장에 관한 통계를 작성・관리하여야 한다.</v>
      </c>
      <c r="F74" s="30">
        <f>IFERROR(VLOOKUP(C74,기출문제!D:G,4,0),"")</f>
        <v>3</v>
      </c>
      <c r="G74" s="31" t="str">
        <f t="shared" si="1"/>
        <v/>
      </c>
      <c r="J74" s="23"/>
    </row>
    <row r="75" spans="2:10" s="21" customFormat="1" ht="128.25" x14ac:dyDescent="0.3">
      <c r="B75" s="17">
        <v>68</v>
      </c>
      <c r="C75" s="27" t="s">
        <v>929</v>
      </c>
      <c r="D75" s="17"/>
      <c r="E75" s="29" t="str">
        <f>IFERROR(VLOOKUP(C75,기출문제!D:G,3,0),"")</f>
        <v>78. 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
① ㄱ: 1월 31일, ㄴ: 3월 31일 
② ㄱ: 1월 31일, ㄴ: 6월 30일
③ ㄱ: 3월 31일, ㄴ: 6월 30일 
④ ㄱ: 3월 31일, ㄴ: 9월 30일
⑤ ㄱ: 6월 30일, ㄴ: 9월 30일</v>
      </c>
      <c r="F75" s="30">
        <f>IFERROR(VLOOKUP(C75,기출문제!D:G,4,0),"")</f>
        <v>1</v>
      </c>
      <c r="G75" s="31" t="str">
        <f t="shared" si="1"/>
        <v/>
      </c>
      <c r="J75" s="23"/>
    </row>
    <row r="76" spans="2:10" s="21" customFormat="1" ht="85.5" x14ac:dyDescent="0.3">
      <c r="B76" s="17">
        <v>69</v>
      </c>
      <c r="C76" s="27" t="s">
        <v>930</v>
      </c>
      <c r="D76" s="17"/>
      <c r="E76" s="29" t="str">
        <f>IFERROR(VLOOKUP(C76,기출문제!D:G,3,0),"")</f>
        <v>79. 사회보장기본법에 관한 설명으로 옳지 않은 것은?
① 국가는 관계 법령에서 정하는 바에 따라 최저보장수준과 최저임금을 매년 공표하여야 한다.
② 국가와 지방자치단체는 사회보장에 관한 책임과 역할을 합리적으로 분담하여야 한다.
③ 사회보장수급권이 제한되거나 정지되는 경우에는 제한 또는 정지하는 목적에 필요한 최소한의 범위에 그쳐야 한다.
④ 사회보장수급권은 정당한 권한이 있는 기관에 구두 또는 서면으로 통지하여 포기할 수 있다.
⑤ 사회보장에 관한 다른 법률을 제정하거나 개정하는 경우에는 사회보장기본법에 부합되도록 하여야 한다.</v>
      </c>
      <c r="F76" s="30">
        <f>IFERROR(VLOOKUP(C76,기출문제!D:G,4,0),"")</f>
        <v>4</v>
      </c>
      <c r="G76" s="31" t="str">
        <f t="shared" si="1"/>
        <v/>
      </c>
      <c r="J76" s="23"/>
    </row>
    <row r="77" spans="2:10" s="21" customFormat="1" ht="99.75" x14ac:dyDescent="0.3">
      <c r="B77" s="17">
        <v>70</v>
      </c>
      <c r="C77" s="27" t="s">
        <v>931</v>
      </c>
      <c r="D77" s="17"/>
      <c r="E77" s="29" t="str">
        <f>IFERROR(VLOOKUP(C77,기출문제!D:G,3,0),"")</f>
        <v>80. 고용보험법상 피보험자격의 취득 또는 상실 등에 관한 설명으로 옳지 않은 것은?
① 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
② 근로자인 피보험자가 이직한 경우에는 이직한 날의 다음 날에 피보험자격을 상실한다.
③ 근로자인 피보험자가 사망한 경우에는 사망한 날의 다음 날에 피보험자격을 상실한다.
④ 고용산재보험료징수법에 따라 보험관계가 소멸한 경우에는 그 보험관계가 소멸한 날에 그 피보험자격을 상실한다.
⑤ 피보험자 또는 피보험자였던 사람은 언제든지 고용노동부장관에게 피보험자격의 취득 또는 상실에 관한 확인을 청구할 수 있다.</v>
      </c>
      <c r="F77" s="30">
        <f>IFERROR(VLOOKUP(C77,기출문제!D:G,4,0),"")</f>
        <v>1</v>
      </c>
      <c r="G77" s="31" t="str">
        <f t="shared" si="1"/>
        <v/>
      </c>
      <c r="J77" s="23"/>
    </row>
    <row r="78" spans="2:10" s="21" customFormat="1" ht="128.25" x14ac:dyDescent="0.3">
      <c r="B78" s="17">
        <v>71</v>
      </c>
      <c r="C78" s="27" t="s">
        <v>932</v>
      </c>
      <c r="D78" s="17"/>
      <c r="E78" s="29" t="str">
        <f>IFERROR(VLOOKUP(C78,기출문제!D:G,3,0),"")</f>
        <v>81. 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
① ㄱ 
② ㄱ, ㄴ 
③ ㄱ, ㄷ 
④ ㄴ, ㄷ 
⑤ ㄱ, ㄴ, ㄷ</v>
      </c>
      <c r="F78" s="30">
        <f>IFERROR(VLOOKUP(C78,기출문제!D:G,4,0),"")</f>
        <v>5</v>
      </c>
      <c r="G78" s="31" t="str">
        <f t="shared" si="1"/>
        <v/>
      </c>
      <c r="J78" s="23"/>
    </row>
    <row r="79" spans="2:10" s="21" customFormat="1" ht="85.5" x14ac:dyDescent="0.3">
      <c r="B79" s="17">
        <v>72</v>
      </c>
      <c r="C79" s="27" t="s">
        <v>933</v>
      </c>
      <c r="D79" s="17"/>
      <c r="E79" s="29" t="str">
        <f>IFERROR(VLOOKUP(C79,기출문제!D:G,3,0),"")</f>
        <v>82. 고용보험법상 자영업자의 구직급여에 관한 사항으로 피보험기간과 소정급여일수가 옳게 연결된 것은?
① 피보험기간 6개월 - 소정급여일수 120일
② 피보험기간 1년 - 소정급여일수 150일
③ 피보험기간 3년 - 소정급여일수 180일
④ 피보험기간 10년 - 소정급여일수 210일
⑤ 피보험기간 15년 - 소정급여일수 240일</v>
      </c>
      <c r="F79" s="30">
        <f>IFERROR(VLOOKUP(C79,기출문제!D:G,4,0),"")</f>
        <v>4</v>
      </c>
      <c r="G79" s="31" t="str">
        <f t="shared" si="1"/>
        <v/>
      </c>
      <c r="J79" s="23"/>
    </row>
    <row r="80" spans="2:10" s="21" customFormat="1" ht="85.5" x14ac:dyDescent="0.3">
      <c r="B80" s="17">
        <v>73</v>
      </c>
      <c r="C80" s="27" t="s">
        <v>934</v>
      </c>
      <c r="D80" s="17"/>
      <c r="E80" s="29" t="str">
        <f>IFERROR(VLOOKUP(C80,기출문제!D:G,3,0),"")</f>
        <v>83. 고용보험법령상 노무제공자인 피보험자에 해당하지 않는 것은?
① 한국표준직업분류표의 세세분류에 따른 대여 제품 방문점검원
② 가전제품의 판매를 위한 배송 업무를 주로 수행하고 가전제품의 설치, 시운전 등을 통해 작동상태를 확인하는 사람
③ 「초・중등교육법」에 따른 학교에서 운영하는 방과후 학교의 과정을 담당하는 강사
④ 「방문판매 등에 관한 법률」에 따른 후원방문판매원으로서 자가 소비를 위한 후원 방문판매원
⑤ 「우체국 예금・보험에 관한 법률」에 따른 우체국보험의 모집을 전업으로 하는 사람</v>
      </c>
      <c r="F80" s="30">
        <f>IFERROR(VLOOKUP(C80,기출문제!D:G,4,0),"")</f>
        <v>4</v>
      </c>
      <c r="G80" s="31" t="str">
        <f t="shared" si="1"/>
        <v/>
      </c>
      <c r="J80" s="23"/>
    </row>
    <row r="81" spans="2:10" s="21" customFormat="1" ht="99.75" x14ac:dyDescent="0.3">
      <c r="B81" s="17">
        <v>74</v>
      </c>
      <c r="C81" s="27" t="s">
        <v>935</v>
      </c>
      <c r="D81" s="17"/>
      <c r="E81" s="29" t="str">
        <f>IFERROR(VLOOKUP(C81,기출문제!D:G,3,0),"")</f>
        <v>84. 고용보험법령상 고용보험기금에 관한 설명으로 옳지 않은 것은?
① 고용노동부장관은 한국은행에 고용보험기금계정을 설치하여야 한다.
② 고용보험기금의 결산상 손실금이 생기는 경우 이를 적립금으로 보전(補塡)할 수 없다.
③ 기금수입징수관은 기금징수액보고서를 매월 말일을 기준으로 작성하여 다음 달 20일까지 고용노동부장관에게 제출하여야 한다.
④ 고용보험기금을 지출할 때 자금 부족이 발생할 것으로 예상되는 경우에는 고용보험기금의 부담으로 금융기관・다른 기금과 그 밖의 재원 등으로부터 차입을 할 수 있다.
⑤ 고용노동부장관의 고용보험기금 관리・운용 방법에는 금융기관에 예탁하는 방법이 있다.</v>
      </c>
      <c r="F81" s="30">
        <f>IFERROR(VLOOKUP(C81,기출문제!D:G,4,0),"")</f>
        <v>2</v>
      </c>
      <c r="G81" s="31" t="str">
        <f t="shared" si="1"/>
        <v/>
      </c>
      <c r="J81" s="23"/>
    </row>
    <row r="82" spans="2:10" s="21" customFormat="1" ht="114" x14ac:dyDescent="0.3">
      <c r="B82" s="17">
        <v>75</v>
      </c>
      <c r="C82" s="27" t="s">
        <v>936</v>
      </c>
      <c r="D82" s="17"/>
      <c r="E82" s="29" t="str">
        <f>IFERROR(VLOOKUP(C82,기출문제!D:G,3,0),"")</f>
        <v>85. 고용보험법상 재심사에 관한 설명으로 옳지 않은 것은?
① 재심사의 청구는 심사청구에 대한 결정이 있음을 안 날부터 90일 이내에 제기하여야 한다.
② 재심사의 청구는 시효중단에 관하여 재판상의 청구로 본다.
③ 고용보험심사위원회의 재심사청구에 대한 심리는 공개하지 않음이 원칙이지만, 당사자의 양쪽 또는 어느 한 쪽이 신청한 경우에는 공개할 수 있다.
④ 고용보험심사위원회는 재심사의 청구를 받으면 그 청구에 대한 심리 기일(審理期日) 및 장소를 정하여 심리 기일 3일 전까지 당사자 및 그 사건을 심사한 고용보험심사관에게 알려야 한다.
⑤ 당사자는 고용보험심사위원회에 문서나 구두로 그 의견을 진술할 수 있다.</v>
      </c>
      <c r="F82" s="30">
        <f>IFERROR(VLOOKUP(C82,기출문제!D:G,4,0),"")</f>
        <v>3</v>
      </c>
      <c r="G82" s="31" t="str">
        <f t="shared" si="1"/>
        <v/>
      </c>
      <c r="J82" s="23"/>
    </row>
    <row r="83" spans="2:10" s="21" customFormat="1" ht="85.5" x14ac:dyDescent="0.3">
      <c r="B83" s="17">
        <v>76</v>
      </c>
      <c r="C83" s="27" t="s">
        <v>937</v>
      </c>
      <c r="D83" s="17"/>
      <c r="E83" s="29" t="str">
        <f>IFERROR(VLOOKUP(C83,기출문제!D:G,3,0),"")</f>
        <v>86. 산업재해보상보험법령상 산업재해보상보험및예방심의위원회의 심의사항이 아닌 것은?
① 요양급여의 범위나 비용 등 요양급여의 산정 기준에 관한 사항
② 「고용보험 및 산업재해보상보험의 보험료징수 등에 관한 법률」에 따른 산재보험료율의 결정에 관한 사항
③ 「산업안전보건법」에 따른 산업재해 보상의 세부계획에 관한 사항
④ 산업재해보상보험및예방기금의 운용계획 수립에 관한 사항
⑤ 고용노동부장관이 산업재해보상보험 사업 및 산업안전・보건 업무에 관하여 심의에 부치는 사항</v>
      </c>
      <c r="F83" s="30">
        <f>IFERROR(VLOOKUP(C83,기출문제!D:G,4,0),"")</f>
        <v>3</v>
      </c>
      <c r="G83" s="31" t="str">
        <f t="shared" si="1"/>
        <v/>
      </c>
      <c r="J83" s="23"/>
    </row>
    <row r="84" spans="2:10" s="21" customFormat="1" ht="85.5" x14ac:dyDescent="0.3">
      <c r="B84" s="17">
        <v>77</v>
      </c>
      <c r="C84" s="27" t="s">
        <v>938</v>
      </c>
      <c r="D84" s="17"/>
      <c r="E84" s="29" t="str">
        <f>IFERROR(VLOOKUP(C84,기출문제!D:G,3,0),"")</f>
        <v>87. 산업재해보상보험법령상 산업재해보상보험법의 적용 제외 사업에 해당하지 않는 것은?
① 「군인 재해보상법」에 따라 재해보상이 되는 사업
② 「선원법」에 따라 재해보상이 되는 사업
③ 벌목업 중 법인이 아닌 자의 사업으로서 상시근로자 수가 5명 미만인 사업
④ 수렵업 중 법인이 아닌 자의 사업으로서 상시근로자 수가 5명 미만인 사업
⑤ 가구내 고용활동</v>
      </c>
      <c r="F84" s="30">
        <f>IFERROR(VLOOKUP(C84,기출문제!D:G,4,0),"")</f>
        <v>3</v>
      </c>
      <c r="G84" s="31" t="str">
        <f t="shared" si="1"/>
        <v/>
      </c>
      <c r="J84" s="23"/>
    </row>
    <row r="85" spans="2:10" s="21" customFormat="1" ht="128.25" x14ac:dyDescent="0.3">
      <c r="B85" s="17">
        <v>78</v>
      </c>
      <c r="C85" s="27" t="s">
        <v>939</v>
      </c>
      <c r="D85" s="17"/>
      <c r="E85" s="29" t="str">
        <f>IFERROR(VLOOKUP(C85,기출문제!D:G,3,0),"")</f>
        <v>88. 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
① ㄱ 
② ㄷ 
③ ㄱ, ㄴ 
④ ㄴ, ㄷ 
⑤ ㄱ, ㄴ, ㄷ</v>
      </c>
      <c r="F85" s="30">
        <f>IFERROR(VLOOKUP(C85,기출문제!D:G,4,0),"")</f>
        <v>1</v>
      </c>
      <c r="G85" s="31" t="str">
        <f t="shared" si="1"/>
        <v/>
      </c>
      <c r="J85" s="23"/>
    </row>
    <row r="86" spans="2:10" s="21" customFormat="1" ht="128.25" x14ac:dyDescent="0.3">
      <c r="B86" s="17">
        <v>79</v>
      </c>
      <c r="C86" s="27" t="s">
        <v>940</v>
      </c>
      <c r="D86" s="17"/>
      <c r="E86" s="29" t="str">
        <f>IFERROR(VLOOKUP(C86,기출문제!D:G,3,0),"")</f>
        <v>89. 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
① ㄱ 
② ㄴ 
③ ㄱ, ㄴ 
④ ㄴ, ㄷ 
⑤ ㄱ, ㄴ, ㄷ</v>
      </c>
      <c r="F86" s="30">
        <f>IFERROR(VLOOKUP(C86,기출문제!D:G,4,0),"")</f>
        <v>5</v>
      </c>
      <c r="G86" s="31" t="str">
        <f t="shared" si="1"/>
        <v/>
      </c>
      <c r="J86" s="23"/>
    </row>
    <row r="87" spans="2:10" s="21" customFormat="1" ht="85.5" x14ac:dyDescent="0.3">
      <c r="B87" s="17">
        <v>80</v>
      </c>
      <c r="C87" s="27" t="s">
        <v>941</v>
      </c>
      <c r="D87" s="17"/>
      <c r="E87" s="29" t="str">
        <f>IFERROR(VLOOKUP(C87,기출문제!D:G,3,0),"")</f>
        <v>90. 산업재해보상보험법령상 업무상의 재해의 인정 기준에 해당하는 사유가 아닌 것은?
① 근로자가 근로계약에 따른 업무나 그에 따르는 행위를 하던 중 발생한 사고
② 사업주의 구체적인 지시를 위반한 행위로 인한 사고
③ 사업주가 제공한 시설물 등을 이용하던 중 그 시설물 등의 결함이나 관리소홀로 발생한 사고
④ 사업주가 주관하거나 사업주의 지시에 따라 참여한 행사나 행사준비 중에 발생한 사고
⑤ 휴게시간 중 사업주의 지배관리하에 있다고 볼 수 있는 행위로 발생한 사고</v>
      </c>
      <c r="F87" s="30">
        <f>IFERROR(VLOOKUP(C87,기출문제!D:G,4,0),"")</f>
        <v>2</v>
      </c>
      <c r="G87" s="31" t="str">
        <f t="shared" si="1"/>
        <v/>
      </c>
      <c r="J87" s="23"/>
    </row>
    <row r="88" spans="2:10" s="21" customFormat="1" ht="128.25" x14ac:dyDescent="0.3">
      <c r="B88" s="17">
        <v>81</v>
      </c>
      <c r="C88" s="27" t="s">
        <v>942</v>
      </c>
      <c r="D88" s="17"/>
      <c r="E88" s="29" t="str">
        <f>IFERROR(VLOOKUP(C88,기출문제!D:G,3,0),"")</f>
        <v>91. 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
① ㄱ: 70, ㄴ: 70 
② ㄱ: 70, ㄴ: 80 
③ ㄱ: 80, ㄴ: 80
④ ㄱ: 80, ㄴ: 90 
⑤ ㄱ: 90, ㄴ: 90</v>
      </c>
      <c r="F88" s="30">
        <f>IFERROR(VLOOKUP(C88,기출문제!D:G,4,0),"")</f>
        <v>4</v>
      </c>
      <c r="G88" s="31" t="str">
        <f t="shared" si="1"/>
        <v/>
      </c>
      <c r="J88" s="23"/>
    </row>
    <row r="89" spans="2:10" s="21" customFormat="1" ht="99.75" x14ac:dyDescent="0.3">
      <c r="B89" s="17">
        <v>82</v>
      </c>
      <c r="C89" s="27" t="s">
        <v>943</v>
      </c>
      <c r="D89" s="17"/>
      <c r="E89" s="29" t="str">
        <f>IFERROR(VLOOKUP(C89,기출문제!D:G,3,0),"")</f>
        <v>92. 국민연금법상 급여에 관한 설명으로 옳은 것은?
① 급여는 노령연금과 장애연금 두 종류로 나뉜다.
② 급여수급전용계좌에 입금된 급여와 이에 관한 채권은 압류할 수 있다.
③ 급여로 지급된 금액에 대하여는「조세특례제한법」이나 그 밖의 법률 또는 지방자치단체가 조례로 정하는 바에 따라 조세, 그 밖에 국가 또는 지방자치단체의 공과금을 감면할 수 없다.
④ 국민연금공단은 장애연금 수급권자의 장애 정도를 심사하여 장애등급에 해당되지 아니하면 장애연금액을 변경한다.
⑤ 자녀인 수급권자가 다른 사람에게 입양된 때에는 그에 해당하게 된 때부터 유족연금의 지급을 정지한다.</v>
      </c>
      <c r="F89" s="30">
        <f>IFERROR(VLOOKUP(C89,기출문제!D:G,4,0),"")</f>
        <v>5</v>
      </c>
      <c r="G89" s="31" t="str">
        <f t="shared" si="1"/>
        <v/>
      </c>
      <c r="J89" s="23"/>
    </row>
    <row r="90" spans="2:10" s="21" customFormat="1" ht="85.5" x14ac:dyDescent="0.3">
      <c r="B90" s="17">
        <v>83</v>
      </c>
      <c r="C90" s="27" t="s">
        <v>944</v>
      </c>
      <c r="D90" s="17"/>
      <c r="E90" s="29" t="str">
        <f>IFERROR(VLOOKUP(C90,기출문제!D:G,3,0),"")</f>
        <v>93. 국민연금법상 국민연금가입자에 관한 설명으로 옳지 않은 것은?
① 가입자는 사업장가입자, 지역가입자, 임의가입자 및 임의계속가입자로 구분한다.
② 임의가입자는 보건복지부령으로 정하는 바에 따라 국민연금공단에 신청하여 탈퇴할 수 있다.
③ 가입자의 가입 종류가 변동되면 그 가입자의 가입기간은 각 종류별 가입기간을 합산한 기간으로 한다.
④ 가입자의 자격을 상실한 후 다시 그 자격을 취득한 자에 대하여는 전후(前後)의 가입기간을 합산한다.
⑤ 임의가입자는 가입 신청을 한 날에 자격을 취득한다.</v>
      </c>
      <c r="F90" s="30">
        <f>IFERROR(VLOOKUP(C90,기출문제!D:G,4,0),"")</f>
        <v>5</v>
      </c>
      <c r="G90" s="31" t="str">
        <f t="shared" si="1"/>
        <v/>
      </c>
      <c r="J90" s="23"/>
    </row>
    <row r="91" spans="2:10" s="21" customFormat="1" ht="114" x14ac:dyDescent="0.3">
      <c r="B91" s="17">
        <v>84</v>
      </c>
      <c r="C91" s="27" t="s">
        <v>945</v>
      </c>
      <c r="D91" s="17"/>
      <c r="E91" s="29" t="str">
        <f>IFERROR(VLOOKUP(C91,기출문제!D:G,3,0),"")</f>
        <v>94. 국민건강보험법령상 보수월액에 관한 설명으로 옳지 않은 것은?
① 직장가입자의 보수월액은 직장가입자가 지급받는 보수를 기준으로 하여 산정한다.
② 휴직으로 보수의 전부 또는 일부가 지급되지 아니하는 가입자의 보수월액보험료는 해당 사유가 생기기 전 달의 보수월액을 기준으로 산정한다.
③ 근로자가 근로를 제공하고 사용자로부터 지급받는 금품 중 퇴직금은 보수에서 제외한다.
④ 보수의 전부 또는 일부가 현물(現物)로 지급되는 경우에는 그 지역의 시가(時價)를 기준으로 국민건강보험공단이 정하는 가액(價額)을 그에 해당하는 보수로 본다.
⑤ 보수 관련 자료가 없거나 불명확한 경우에 해당하면 고용노동부장관이 정하여 고시하는 금액을 보수로 본다.</v>
      </c>
      <c r="F91" s="30">
        <f>IFERROR(VLOOKUP(C91,기출문제!D:G,4,0),"")</f>
        <v>5</v>
      </c>
      <c r="G91" s="31" t="str">
        <f t="shared" si="1"/>
        <v/>
      </c>
      <c r="J91" s="23"/>
    </row>
    <row r="92" spans="2:10" s="21" customFormat="1" ht="142.5" x14ac:dyDescent="0.3">
      <c r="B92" s="17">
        <v>85</v>
      </c>
      <c r="C92" s="27" t="s">
        <v>946</v>
      </c>
      <c r="D92" s="17"/>
      <c r="E92" s="29" t="str">
        <f>IFERROR(VLOOKUP(C92,기출문제!D:G,3,0),"")</f>
        <v>95. 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
① ㄱ, ㄴ 
② ㄴ, ㄷ 
③ ㄱ, ㄴ, ㄹ
④ ㄱ, ㄷ, ㄹ 
⑤ ㄱ, ㄴ, ㄷ, ㄹ</v>
      </c>
      <c r="F92" s="30">
        <f>IFERROR(VLOOKUP(C92,기출문제!D:G,4,0),"")</f>
        <v>5</v>
      </c>
      <c r="G92" s="31" t="str">
        <f t="shared" si="1"/>
        <v/>
      </c>
      <c r="J92" s="23"/>
    </row>
    <row r="93" spans="2:10" s="21" customFormat="1" ht="128.25" x14ac:dyDescent="0.3">
      <c r="B93" s="17">
        <v>86</v>
      </c>
      <c r="C93" s="27" t="s">
        <v>947</v>
      </c>
      <c r="D93" s="17"/>
      <c r="E93" s="29" t="str">
        <f>IFERROR(VLOOKUP(C93,기출문제!D:G,3,0),"")</f>
        <v>96. 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
① ㄱ: 근로복지공단, ㄴ: 국민건강보험공단, ㄷ: 근로복지공단
② ㄱ: 근로복지공단, ㄴ: 근로복지공단, ㄷ: 국민건강보험공단
③ ㄱ: 근로복지공단, ㄴ: 근로복지공단, ㄷ: 근로복지공단
④ ㄱ: 국민건강보험공단, ㄴ: 근로복지공단, ㄷ: 국민건강보험공단
⑤ ㄱ: 국민건강보험공단, ㄴ: 국민건강보험공단, ㄷ: 근로복지공단</v>
      </c>
      <c r="F93" s="30">
        <f>IFERROR(VLOOKUP(C93,기출문제!D:G,4,0),"")</f>
        <v>1</v>
      </c>
      <c r="G93" s="31" t="str">
        <f t="shared" si="1"/>
        <v/>
      </c>
      <c r="J93" s="23"/>
    </row>
    <row r="94" spans="2:10" s="21" customFormat="1" ht="142.5" x14ac:dyDescent="0.3">
      <c r="B94" s="17">
        <v>87</v>
      </c>
      <c r="C94" s="27" t="s">
        <v>948</v>
      </c>
      <c r="D94" s="17"/>
      <c r="E94" s="29" t="str">
        <f>IFERROR(VLOOKUP(C94,기출문제!D:G,3,0),"")</f>
        <v>97. 고용보험 및 산업재해보상보험의 보험료징수 등에 관한 법령상 보험관계의 성립 및 소멸에 관한 설명으로 옳지 않은 것은?
① 산업재해보상보험법을 적용하지 아니하는 사업의 사업주는 근로복지공단의 승인을 받아 산업재해보상보험에 가입할 수 있다.
② 일괄적용사업의 사업주는 사업의 개시일부터 14일 이내에 끝나는 사업의 경우에는 그 끝나는 날의 다음 날까지 개시 및 종료 사실을 근로복지공단에 신고하여야 한다.
③ 고용보험법을 적용하지 아니하는 사업의 사업주가 고용보험에 가입된 경우 그 보험계약을 해지할 때에는 미리 근로복지공단의 승인을 받아야 한다.
④ 고용보험에 가입한 사업주는 기간의 정함이 있는 건설사업의 경우 사업의 기간이 변경되면 그 변경된 날부터 14일 이내에 그 변경사항을 근로복지공단에 신고하여야 한다.
⑤ 고용보험법을 적용하지 아니하는 사업의 사업주가 근로자의 과반수의 동의를 받아 근로복지공단의 승인을 받으면 그 사업의 사업주와 근로자는 고용보험에 가입할 수 있다.</v>
      </c>
      <c r="F94" s="30">
        <f>IFERROR(VLOOKUP(C94,기출문제!D:G,4,0),"")</f>
        <v>2</v>
      </c>
      <c r="G94" s="31" t="str">
        <f t="shared" si="1"/>
        <v/>
      </c>
      <c r="J94" s="23"/>
    </row>
    <row r="95" spans="2:10" s="21" customFormat="1" ht="99.75" x14ac:dyDescent="0.3">
      <c r="B95" s="17">
        <v>88</v>
      </c>
      <c r="C95" s="27" t="s">
        <v>949</v>
      </c>
      <c r="D95" s="17"/>
      <c r="E95" s="29" t="str">
        <f>IFERROR(VLOOKUP(C95,기출문제!D:G,3,0),"")</f>
        <v>98. 고용보험 및 산업재해보상보험의 보험료징수 등에 관한 법령상 상시근로자수가 150명 미만인 사업주의 사업의 고용안정・직업능력개발사업의 보험료율은?
① 1만분의 15 
② 1만분의 25 
③ 1만분의 35 
④ 1만분의 45 
⑤ 1만분의 55</v>
      </c>
      <c r="F95" s="30">
        <f>IFERROR(VLOOKUP(C95,기출문제!D:G,4,0),"")</f>
        <v>2</v>
      </c>
      <c r="G95" s="31" t="str">
        <f t="shared" si="1"/>
        <v/>
      </c>
      <c r="J95" s="23"/>
    </row>
    <row r="96" spans="2:10" s="21" customFormat="1" ht="99.75" x14ac:dyDescent="0.3">
      <c r="B96" s="17">
        <v>89</v>
      </c>
      <c r="C96" s="27" t="s">
        <v>950</v>
      </c>
      <c r="D96" s="17"/>
      <c r="E96" s="29" t="str">
        <f>IFERROR(VLOOKUP(C96,기출문제!D:G,3,0),"")</f>
        <v>99. 고용보험 및 산업재해보상보험의 보험료징수 등에 관한 법령상 기준보수에 관한 설명으로 옳지 않은 것은?
① 근로시간에 따라 보수를 지급받는 근로자가 주당 소정근로시간을 확정할 수 없는 경우에는 시간단위 기준보수를 적용한다.
② 기준보수는 사업의 규모, 근로형태 및 보수수준 등을 고려하여 고용보험법에 따른 고용보험위원회의 심의를 거쳐 시간・일 또는 월 단위로 정하되, 사업의 종류별 또는 지역별로 구분하여 정할 수 있다.
③ 사업 또는 사업장의 이전 등으로 사업의 소재지를 파악하기 곤란한 경우에는 기준보수를 보수로 할 수 있다.
④ 통상근로자로서 월정액으로 보수를 지급받는 근로자에게는 월단위 기준보수를 적용한다.
⑤ 사업의 폐업으로 보수를 산정하기 곤란한 경우에는 기준보수를 보수로 할 수 있다.</v>
      </c>
      <c r="F96" s="30">
        <f>IFERROR(VLOOKUP(C96,기출문제!D:G,4,0),"")</f>
        <v>1</v>
      </c>
      <c r="G96" s="31" t="str">
        <f t="shared" si="1"/>
        <v/>
      </c>
      <c r="J96" s="23"/>
    </row>
    <row r="97" spans="2:10" s="21" customFormat="1" ht="128.25" x14ac:dyDescent="0.3">
      <c r="B97" s="17">
        <v>90</v>
      </c>
      <c r="C97" s="27" t="s">
        <v>951</v>
      </c>
      <c r="D97" s="17"/>
      <c r="E97" s="29" t="str">
        <f>IFERROR(VLOOKUP(C97,기출문제!D:G,3,0),"")</f>
        <v>100. 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
① 7 
② 14 
③ 15 
④ 20 
⑤ 30</v>
      </c>
      <c r="F97" s="30">
        <f>IFERROR(VLOOKUP(C97,기출문제!D:G,4,0),"")</f>
        <v>2</v>
      </c>
      <c r="G97" s="31" t="str">
        <f t="shared" si="1"/>
        <v/>
      </c>
      <c r="J97" s="23"/>
    </row>
    <row r="98" spans="2:10" s="21" customFormat="1" ht="99.75" x14ac:dyDescent="0.3">
      <c r="B98" s="17">
        <v>91</v>
      </c>
      <c r="C98" s="27" t="s">
        <v>44</v>
      </c>
      <c r="D98" s="17"/>
      <c r="E98" s="29" t="str">
        <f>IFERROR(VLOOKUP(C98,기출문제!D:G,3,0),"")</f>
        <v>76. 사회보장기본법령상 국가와 지방자치단체의 책임에 관한 내용으로 옳지 않은 것은?
① 국가와 지방자치단체는 국가 발전수준에 부응하고 사회환경의 변화에 선제적으로 대응하며 지속가능한 사회보장제도를 확립하고 매년 이에 필요한 재원을 조달하여야 한다.
② 국가와 지방자치단체는 사회보장 관계 법령에서 규정한 권리나 의무를 모든 국민에게 설명하여야 한다.
③ 국가와 지방자치단체는 사회보장에 관한 책임과 역할을 합리적으로 분담하여야 한다.
④ 국가는 사회보장제도의 안정적인 운영을 위하여 중장기 사회보장 재정추계를 격년으로 실시하고 이를 공표하여야 한다.
⑤ 국가와 지방자치단체는 모든 국민의 인간다운 생활을 유지・증진하는 책임을 가진다.</v>
      </c>
      <c r="F98" s="30">
        <f>IFERROR(VLOOKUP(C98,기출문제!D:G,4,0),"")</f>
        <v>2</v>
      </c>
      <c r="G98" s="31" t="str">
        <f t="shared" si="1"/>
        <v/>
      </c>
      <c r="J98" s="23"/>
    </row>
    <row r="99" spans="2:10" s="21" customFormat="1" ht="85.5" x14ac:dyDescent="0.3">
      <c r="B99" s="17">
        <v>92</v>
      </c>
      <c r="C99" s="27" t="s">
        <v>952</v>
      </c>
      <c r="D99" s="17"/>
      <c r="E99" s="29" t="str">
        <f>IFERROR(VLOOKUP(C99,기출문제!D:G,3,0),"")</f>
        <v>77. 사회보장기본법령상 사회보장위원회에 관한 내용으로 옳지 않은 것은?
① 사회보장위원회의 부위원장은 기획재정부장관, 교육부장관 및 보건복지부장관이 된다.
② 사회보장위원회의 사무를 효율적으로 처리하기 위하여 보건복지부에 사무국을 둔다.
③ 사회보장위원회에 간사 1명을 두고, 간사는 보건복지부 사회복지정책실장으로 한다.
④ 대통령은 위촉한 사회보장위원회의 위원이 직무와 관련된 비위사실이 있는 경우에는 해당 위원을 해촉할 수 있다.
⑤ 사회보장위원회에 두는 실무위원회는 공동위원장 2명을 포함하여 30명 이내의 위원으로 구성한다.</v>
      </c>
      <c r="F99" s="30">
        <f>IFERROR(VLOOKUP(C99,기출문제!D:G,4,0),"")</f>
        <v>3</v>
      </c>
      <c r="G99" s="31" t="str">
        <f t="shared" si="1"/>
        <v/>
      </c>
      <c r="J99" s="23"/>
    </row>
    <row r="100" spans="2:10" s="21" customFormat="1" ht="85.5" x14ac:dyDescent="0.3">
      <c r="B100" s="17">
        <v>93</v>
      </c>
      <c r="C100" s="27" t="s">
        <v>953</v>
      </c>
      <c r="D100" s="17"/>
      <c r="E100" s="29" t="str">
        <f>IFERROR(VLOOKUP(C100,기출문제!D:G,3,0),"")</f>
        <v>78. 사회보장기본법령상 사회보장수급권에 관한 내용으로 옳지 않은 것은?
① 사회보장수급권이 정지되는 경우에는 정지하는 목적에 필요한 최소한의 범위에 그쳐야 한다.
② 사회보장수급권은 관계 법령에서 정하는 바에 따라 타인에게 양도할 수 있다.
③ 사회보장수급권은 관계 법령에서 따로 정하고 있는 경우에는 제한될 수 있다.
④ 사회보장수급권은 관계 법령에서 정하는 바에 따라 타인에게 담보로 제공할 수 없다.
⑤ 사회보장수급권을 포기하는 것이 다른 사람에게 피해를 주는 경우에는 사회보장수급권을 포기할 수 없다.</v>
      </c>
      <c r="F100" s="30">
        <f>IFERROR(VLOOKUP(C100,기출문제!D:G,4,0),"")</f>
        <v>2</v>
      </c>
      <c r="G100" s="31" t="str">
        <f t="shared" si="1"/>
        <v/>
      </c>
      <c r="J100" s="23"/>
    </row>
    <row r="101" spans="2:10" s="21" customFormat="1" ht="128.25" x14ac:dyDescent="0.3">
      <c r="B101" s="17">
        <v>94</v>
      </c>
      <c r="C101" s="27" t="s">
        <v>954</v>
      </c>
      <c r="D101" s="17"/>
      <c r="E101" s="29" t="str">
        <f>IFERROR(VLOOKUP(C101,기출문제!D:G,3,0),"")</f>
        <v>79. 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
① ㄱ: 30, ㄴ: 30, ㄷ: 30
② ㄱ: 30, ㄴ: 30, ㄷ: 60
③ ㄱ: 30, ㄴ: 60, ㄷ: 60
④ ㄱ: 60, ㄴ: 60, ㄷ: 30
⑤ ㄱ: 60, ㄴ: 60, ㄷ: 60</v>
      </c>
      <c r="F101" s="30">
        <f>IFERROR(VLOOKUP(C101,기출문제!D:G,4,0),"")</f>
        <v>4</v>
      </c>
      <c r="G101" s="31" t="str">
        <f t="shared" si="1"/>
        <v/>
      </c>
      <c r="J101" s="23"/>
    </row>
    <row r="102" spans="2:10" s="21" customFormat="1" ht="99.75" x14ac:dyDescent="0.3">
      <c r="B102" s="17">
        <v>95</v>
      </c>
      <c r="C102" s="27" t="s">
        <v>955</v>
      </c>
      <c r="D102" s="17"/>
      <c r="E102" s="29" t="str">
        <f>IFERROR(VLOOKUP(C102,기출문제!D:G,3,0),"")</f>
        <v>80. 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
① 120일
② 180일
③ 210일
④ 240일
⑤ 270일</v>
      </c>
      <c r="F102" s="30">
        <f>IFERROR(VLOOKUP(C102,기출문제!D:G,4,0),"")</f>
        <v>5</v>
      </c>
      <c r="G102" s="31" t="str">
        <f t="shared" si="1"/>
        <v/>
      </c>
      <c r="J102" s="23"/>
    </row>
    <row r="103" spans="2:10" s="21" customFormat="1" ht="85.5" x14ac:dyDescent="0.3">
      <c r="B103" s="17">
        <v>96</v>
      </c>
      <c r="C103" s="27" t="s">
        <v>956</v>
      </c>
      <c r="D103" s="17"/>
      <c r="E103" s="29" t="str">
        <f>IFERROR(VLOOKUP(C103,기출문제!D:G,3,0),"")</f>
        <v>81. 고용보험법령상 예술인인 피보험자의 구직급여에 관한 내용으로 옳지 않은 것은?
① 이직일 이전 24개월 동안의 피보험 단위기간이 통산하여 9개월 이상일 것을 지급요건으로 한다.
② 이직일 이전 24개월 중 3개월 이상을 예술인인 피보험자로 피보험자격을 유지하였을 것을 지급요건으로 한다.
③ 실업의 신고일부터 계산하기 시작하여 30일간은 대기기간으로 보아 구직급여를 지급하지 아니한다.
④ 예술인의 구직급여일액은 기초일액에 100분의 60을 곱한 금액으로 한다.
⑤ 예술인의 구직급여일액의 상한액은 6만6천원이다.</v>
      </c>
      <c r="F103" s="30">
        <f>IFERROR(VLOOKUP(C103,기출문제!D:G,4,0),"")</f>
        <v>3</v>
      </c>
      <c r="G103" s="31" t="str">
        <f t="shared" si="1"/>
        <v/>
      </c>
      <c r="J103" s="23"/>
    </row>
    <row r="104" spans="2:10" s="21" customFormat="1" ht="114" x14ac:dyDescent="0.3">
      <c r="B104" s="17">
        <v>97</v>
      </c>
      <c r="C104" s="27" t="s">
        <v>957</v>
      </c>
      <c r="D104" s="17"/>
      <c r="E104" s="29" t="str">
        <f>IFERROR(VLOOKUP(C104,기출문제!D:G,3,0),"")</f>
        <v>82. 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
① ㄱ: 월 통상임금의 100분의 50에 해당하는 금액, ㄴ: 120만원
② ㄱ: 월 통상임금의 100분의 80에 해당하는 금액, ㄴ: 120만원
③ ㄱ: 월 통상임금의 100분의 80에 해당하는 금액, ㄴ: 150만원
④ ㄱ: 월 통상임금에 해당하는 금액, ㄴ: 150만원
⑤ ㄱ: 월 통상임금에 해당하는 금액, ㄴ: 250만원</v>
      </c>
      <c r="F104" s="30">
        <f>IFERROR(VLOOKUP(C104,기출문제!D:G,4,0),"")</f>
        <v>5</v>
      </c>
      <c r="G104" s="31" t="str">
        <f t="shared" si="1"/>
        <v/>
      </c>
      <c r="J104" s="23"/>
    </row>
    <row r="105" spans="2:10" s="21" customFormat="1" ht="128.25" x14ac:dyDescent="0.3">
      <c r="B105" s="17">
        <v>98</v>
      </c>
      <c r="C105" s="27" t="s">
        <v>958</v>
      </c>
      <c r="D105" s="17"/>
      <c r="E105" s="29" t="str">
        <f>IFERROR(VLOOKUP(C105,기출문제!D:G,3,0),"")</f>
        <v>83. 고용보험법령상 피보험자격에 관한 내용으로 옳지 않은 것은?
① 사업주는 그 사업에 고용된 근로자의 피보험자격 취득에 관한 사항을 신고하려는 경우 그 사유가 발생한 날이 속하는 달의 다음 달 말일까지 고용노동부장관에게 신고해야 한다.
② 사업주가 그 사업에 고용된 근로자의 피보험자격의 취득에 관한 사항을 신고하지 아니하면 근로자가 근로계약서 등 고용관계를 증명할 수 있는 서류를 제출하여 신고할 수 있다.
③ 자영업자인 피보험자는 피보험자격의 취득 및 상실에 관한 신고를 하지 아니한다.
④ 근로자가 보험관계가 성립되어 있는 둘 이상의 사업에 동시에 고용되어 있는 경우에는 고용노동부령으로 정하는 바에 따라 그 중 한 사업의 근로자로서의 피보험자격을 취득한다.
⑤ 피보험자는 언제든지 고용노동부장관에게 피보험자격의 취득 또는 상실에 관한 확인을 청구할 수 있다.</v>
      </c>
      <c r="F105" s="30">
        <f>IFERROR(VLOOKUP(C105,기출문제!D:G,4,0),"")</f>
        <v>1</v>
      </c>
      <c r="G105" s="31" t="str">
        <f t="shared" si="1"/>
        <v/>
      </c>
      <c r="J105" s="23"/>
    </row>
    <row r="106" spans="2:10" s="21" customFormat="1" ht="99.75" x14ac:dyDescent="0.3">
      <c r="B106" s="17">
        <v>99</v>
      </c>
      <c r="C106" s="27" t="s">
        <v>959</v>
      </c>
      <c r="D106" s="17"/>
      <c r="E106" s="29" t="str">
        <f>IFERROR(VLOOKUP(C106,기출문제!D:G,3,0),"")</f>
        <v>84. 고용보험법령상 자영업자인 피보험자에 대한 실업급여 적용의 특례에 관한 내용으로 옳은 것은?
① 자영업자인 피보험자의 실업급여의 종류에는 광역 구직활동비가 포함되지 않는다.
② 폐업일 이전 12개월간 자영업자인 피보험자로서 갖춘 피보험 단위기간이 합산하여 6개월이면 구직급여를 지급한다.
③ 자영업자인 피보험자로서 폐업한 수급자격자에 대한 구직급여일액은 그 수급자격자의 기초일액에 100분의 60을 곱한 금액으로 한다.
④ 고용노동부장관은 자영업자의 피보험기간이 3년이면서 보험료 체납 횟수가 1회인 경우 실업급여를 지급하지 아니한다.
⑤ 자영업자의 실업급여를 받을 권리는 양도하거나 담보로 제공할 수 있다.</v>
      </c>
      <c r="F106" s="30">
        <f>IFERROR(VLOOKUP(C106,기출문제!D:G,4,0),"")</f>
        <v>3</v>
      </c>
      <c r="G106" s="31" t="str">
        <f t="shared" si="1"/>
        <v/>
      </c>
      <c r="J106" s="23"/>
    </row>
    <row r="107" spans="2:10" s="21" customFormat="1" ht="114" x14ac:dyDescent="0.3">
      <c r="B107" s="17">
        <v>100</v>
      </c>
      <c r="C107" s="27" t="s">
        <v>960</v>
      </c>
      <c r="D107" s="17"/>
      <c r="E107" s="32" t="str">
        <f>IFERROR(VLOOKUP(C107,기출문제!D:G,3,0),"")</f>
        <v>85. 산업재해보상보험법령상 특수형태근로종사자의 직종에 해당하지 않는 사람은?
① 한국표준직업분류표의 세분류에 따른 택배원인 사람으로서 소화물을 집화・수송 과정을 거쳐 배송하는 택배사업에서 집화 업무를 하는 사람
② 우체국 예금・보험에 관한 법률에 따른 우체국보험의 모집을 전업으로 하는 사람
③ 한국표준직업분류표의 세세분류에 따른 대여 제품 방문점검원
④ 한국표준직업분류표의 세분류에 다른 가전제품 설치 및 수리원으로서 가전제품을 배송, 설치 및 시운전하여 작동상태를 확인하는 사람
⑤ 신용정보의 이용 및 보호에 관한 법률에 따른 위임직채권추심인</v>
      </c>
      <c r="F107" s="30">
        <f>IFERROR(VLOOKUP(C107,기출문제!D:G,4,0),"")</f>
        <v>5</v>
      </c>
      <c r="G107" s="31" t="str">
        <f t="shared" si="1"/>
        <v/>
      </c>
      <c r="J107" s="23"/>
    </row>
    <row r="108" spans="2:10" s="21" customFormat="1" ht="99.75" x14ac:dyDescent="0.3">
      <c r="B108" s="17">
        <v>101</v>
      </c>
      <c r="C108" s="27" t="s">
        <v>961</v>
      </c>
      <c r="D108" s="17"/>
      <c r="E108" s="29" t="str">
        <f>IFERROR(VLOOKUP(C108,기출문제!D:G,3,0),"")</f>
        <v>86. 산업재해보상보험법령상 업무상질병판정위원회에 관한 내용으로 옳지 않은 것은?
① 한의사는 업무상질병판정위원회의 위원이 될 수 있다.
② 업무상질병판정위원회의 위원장과 위원의 임기는 2년으로 하되, 연임할 수 있다.
③ 이황화탄소 중독증은 업무상질병판정위원회의 심의에서 제외되는 질병에 해당한다.
④ 업무상질병판정위원회는 부득이한 사유로 심의를 의뢰받은 날부터 60일 이내에 심의를 마칠 수 없으면 20일 단위로 두 차례 연장할 수 있다.
⑤ 업무상질병판정위원회의 원활한 운영을 위하여 필요하면 위원장이 지명하는 위원이 회의를 주재할 수 있다.</v>
      </c>
      <c r="F108" s="30">
        <f>IFERROR(VLOOKUP(C108,기출문제!D:G,4,0),"")</f>
        <v>4</v>
      </c>
      <c r="G108" s="31" t="str">
        <f>IF(D108="","",IF(D108=F108,"O", "X"))</f>
        <v/>
      </c>
      <c r="J108" s="23"/>
    </row>
    <row r="109" spans="2:10" s="21" customFormat="1" ht="114" x14ac:dyDescent="0.3">
      <c r="B109" s="17">
        <v>102</v>
      </c>
      <c r="C109" s="27" t="s">
        <v>962</v>
      </c>
      <c r="D109" s="17"/>
      <c r="E109" s="29" t="str">
        <f>IFERROR(VLOOKUP(C109,기출문제!D:G,3,0),"")</f>
        <v>87. 산업재해보상보험법령상 보험급여에 관한 내용으로 옳지 않은 것은?
① 장해보상연금의 수급권자가 재요양을 받는 경우에도 그 연금의 지급을 정지하지 아니한다.
② 진폐유족연금의 지급은 그 지급사유가 발생한 달의 다음 달 첫날부터 시작된다.
③ 유족보상연금 수급자격자인 손자녀가 25세가 된 때에는 그 자격을 잃는다.
④ 요양급여를 받는 근로자가 요양을 시작한 지 1년이 지난 이후에 취업하지 못하면 휴업급여 대신 상병보상연금을 그 근로자에게 지급한다.
⑤ 장해보상연금은 그 지급을 정지할 사유가 발생한 때에는 그 사유가 발생한 달의 다음 달 첫날부터 그 사유가 소멸한 달의 말일까지 지급하지 아니한다.</v>
      </c>
      <c r="F109" s="30">
        <f>IFERROR(VLOOKUP(C109,기출문제!D:G,4,0),"")</f>
        <v>4</v>
      </c>
      <c r="G109" s="31" t="str">
        <f t="shared" si="1"/>
        <v/>
      </c>
      <c r="J109" s="23"/>
    </row>
    <row r="110" spans="2:10" s="21" customFormat="1" ht="156.75" x14ac:dyDescent="0.3">
      <c r="B110" s="17">
        <v>103</v>
      </c>
      <c r="C110" s="27" t="s">
        <v>963</v>
      </c>
      <c r="D110" s="17"/>
      <c r="E110" s="29" t="str">
        <f>IFERROR(VLOOKUP(C110,기출문제!D:G,3,0),"")</f>
        <v>88. 산업재해보상보험법령상 진폐에 따른 보험급여의 종류에 해당하는 것을 모두 고른 것은?
ㄱ. 요양급여
ㄴ. 휴업급여
ㄷ. 장해급여
ㄹ. 간병급여
ㅁ. 유족급여
① ㄱ, ㄹ
② ㄱ, ㄴ, ㅁ
③ ㄴ, ㄹ, ㅁ
④ ㄴ, ㄷ, ㄹ, ㅁ
⑤ ㄱ, ㄴ, ㄷ, ㄹ, ㅁ</v>
      </c>
      <c r="F110" s="30">
        <f>IFERROR(VLOOKUP(C110,기출문제!D:G,4,0),"")</f>
        <v>1</v>
      </c>
      <c r="G110" s="31" t="str">
        <f t="shared" si="1"/>
        <v/>
      </c>
      <c r="J110" s="23"/>
    </row>
    <row r="111" spans="2:10" s="21" customFormat="1" ht="85.5" x14ac:dyDescent="0.3">
      <c r="B111" s="17">
        <v>104</v>
      </c>
      <c r="C111" s="27" t="s">
        <v>964</v>
      </c>
      <c r="D111" s="17"/>
      <c r="E111" s="29" t="str">
        <f>IFERROR(VLOOKUP(C111,기출문제!D:G,3,0),"")</f>
        <v>89. 산업재해보상보험법령상 과태료 부과 대상이 되는 자는?
① 근로복지공단의 임직원이나 그 직에 있었던 사람이 그 직무상 알게 된 비밀을 누설한 자
② 산재보험 의료기관의 종사자로서 거짓이나 그 밖의 부정한 방법으로 진료비를 지급받은 자
③ 거짓이나 그 밖의 부정한 방법으로 보험급여를 받도록 시키거나 도와준 자
④ 근로복지공단이 아닌 자가 근로복지공단과 비슷한 명칭을 사용한 자
⑤ 근로자가 보험급여를 신청한 것을 이유로 근로자를 해고한 사업주</v>
      </c>
      <c r="F111" s="30">
        <f>IFERROR(VLOOKUP(C111,기출문제!D:G,4,0),"")</f>
        <v>4</v>
      </c>
      <c r="G111" s="31" t="str">
        <f t="shared" si="1"/>
        <v/>
      </c>
      <c r="J111" s="23"/>
    </row>
    <row r="112" spans="2:10" s="21" customFormat="1" ht="128.25" x14ac:dyDescent="0.3">
      <c r="B112" s="17">
        <v>105</v>
      </c>
      <c r="C112" s="27" t="s">
        <v>965</v>
      </c>
      <c r="D112" s="17"/>
      <c r="E112" s="29" t="str">
        <f>IFERROR(VLOOKUP(C112,기출문제!D:G,3,0),"")</f>
        <v>90. 산업재해보상보험법령상 간병 및 이송에 관한 내용으로 옳지 않은 것은?
① 요양 중인 근로자가 회복실에서 요양 중인 경우 그 기간에는 별도의 간병을 제공하지 않는다.
② 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
③ 해당 근로자의 13세 이상의 자녀 또는 형제자매도 간병을 할 수 있는 사람이다.
④ 간병의 대상이 되는 근로자의 부상・질병 상태 등이 전문적인 간병을 필요로 하는 경우에는 의료법에 따른 간호사만 간병을 하도록 할 수 있다.
⑤ 해당 근로자의 부상・질병 상태로 보아 이송 시 간호인의 동행이 필요하다고 인정되는 경우에는 간호인 1명이 동행할 수 있으나, 의학적으로 특별히 필요하다고 인정되는 경우에는 2명까지 동행할 수 있다.</v>
      </c>
      <c r="F112" s="30">
        <f>IFERROR(VLOOKUP(C112,기출문제!D:G,4,0),"")</f>
        <v>4</v>
      </c>
      <c r="G112" s="31" t="str">
        <f t="shared" si="1"/>
        <v/>
      </c>
      <c r="J112" s="23"/>
    </row>
    <row r="113" spans="2:10" s="21" customFormat="1" ht="114" x14ac:dyDescent="0.3">
      <c r="B113" s="17">
        <v>106</v>
      </c>
      <c r="C113" s="27" t="s">
        <v>966</v>
      </c>
      <c r="D113" s="17"/>
      <c r="E113" s="29" t="str">
        <f>IFERROR(VLOOKUP(C113,기출문제!D:G,3,0),"")</f>
        <v>91. 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
① 55
② 60
③ 65
④ 70
⑤ 75</v>
      </c>
      <c r="F113" s="30">
        <f>IFERROR(VLOOKUP(C113,기출문제!D:G,4,0),"")</f>
        <v>3</v>
      </c>
      <c r="G113" s="31" t="str">
        <f t="shared" si="1"/>
        <v/>
      </c>
      <c r="J113" s="23"/>
    </row>
    <row r="114" spans="2:10" s="21" customFormat="1" ht="85.5" x14ac:dyDescent="0.3">
      <c r="B114" s="17">
        <v>107</v>
      </c>
      <c r="C114" s="27" t="s">
        <v>967</v>
      </c>
      <c r="D114" s="17"/>
      <c r="E114" s="29" t="str">
        <f>IFERROR(VLOOKUP(C114,기출문제!D:G,3,0),"")</f>
        <v>92. 국민연금법령에 관한 내용으로 옳지 않은 것은?
① 국민기초생활 보장법에 따른 생계급여 수급자는 지역가입자에서 제외된다.
② 지역가입자가 국적을 상실한 때에는 그에 해당하게 된 날에 그 자격을 상실한다.
③ 지역가입자가 사업장가입자의 자격을 취득한 때에는 그에 해당하게 된 날에 그 자격을 상실한다.
④ 임의가입자는 가입 신청이 수리된 날에 자격을 취득한다.
⑤ 사립학교교직원 연금법을 적용받는 사립학교 교직원은 국민연금 가입대상에서 제외된다.</v>
      </c>
      <c r="F114" s="30">
        <f>IFERROR(VLOOKUP(C114,기출문제!D:G,4,0),"")</f>
        <v>2</v>
      </c>
      <c r="G114" s="31" t="str">
        <f t="shared" si="1"/>
        <v/>
      </c>
      <c r="J114" s="23"/>
    </row>
    <row r="115" spans="2:10" s="21" customFormat="1" ht="85.5" x14ac:dyDescent="0.3">
      <c r="B115" s="17">
        <v>108</v>
      </c>
      <c r="C115" s="27" t="s">
        <v>968</v>
      </c>
      <c r="D115" s="17"/>
      <c r="E115" s="29" t="str">
        <f>IFERROR(VLOOKUP(C115,기출문제!D:G,3,0),"")</f>
        <v>93. 국민건강보험법령상 일반건강검진의 대상이 아닌 자는?
① 직장가입자
② 6세 미만의 피부양자
③ 20세 이상인 지역가입자
④ 20세 이상인 피부양자
⑤ 세대주인 지역가입자</v>
      </c>
      <c r="F115" s="30">
        <f>IFERROR(VLOOKUP(C115,기출문제!D:G,4,0),"")</f>
        <v>2</v>
      </c>
      <c r="G115" s="31" t="str">
        <f t="shared" si="1"/>
        <v/>
      </c>
      <c r="J115" s="23"/>
    </row>
    <row r="116" spans="2:10" s="21" customFormat="1" ht="142.5" x14ac:dyDescent="0.3">
      <c r="B116" s="17">
        <v>109</v>
      </c>
      <c r="C116" s="27" t="s">
        <v>969</v>
      </c>
      <c r="D116" s="17"/>
      <c r="E116" s="29" t="str">
        <f>IFERROR(VLOOKUP(C116,기출문제!D:G,3,0),"")</f>
        <v>94. 국민건강보험법령상 보험가입자의 자격 상실 시기로 옳은 것을 모두 고른 것은?
ㄱ. 사망한 날
ㄴ. 국적을 잃은 날
ㄷ. 국내에 거주하지 아니하게 된 날
ㄹ. 직장가입자의 피부양자가 된 날
① ㄹ
② ㄱ, ㄷ
③ ㄱ, ㄴ, ㄷ
④ ㄴ, ㄷ, ㄹ
⑤ ㄱ, ㄴ, ㄷ, ㄹ</v>
      </c>
      <c r="F116" s="30">
        <f>IFERROR(VLOOKUP(C116,기출문제!D:G,4,0),"")</f>
        <v>1</v>
      </c>
      <c r="G116" s="31" t="str">
        <f t="shared" si="1"/>
        <v/>
      </c>
      <c r="J116" s="23"/>
    </row>
    <row r="117" spans="2:10" s="21" customFormat="1" ht="99.75" x14ac:dyDescent="0.3">
      <c r="B117" s="17">
        <v>110</v>
      </c>
      <c r="C117" s="27" t="s">
        <v>970</v>
      </c>
      <c r="D117" s="17"/>
      <c r="E117" s="29" t="str">
        <f>IFERROR(VLOOKUP(C117,기출문제!D:G,3,0),"")</f>
        <v>95. 고용보험 및 산업재해보상보험의 보험료 징수 등에 관한 법령상 보험료의 부과 및 징수에 관한 내용으로 옳은 것은?
① 건설업 중 건설장비운영업은 보험료의 월별 부과・징수 제외대상 사업에 해당한다.
② 임업 중 벌목업은 보험료의 월별 부과・징수 대상 사업에 해당한다.
③ 근로복지공단은 사업주에게 납부기한 20일 전까지 월별보험료의 납입을 고지하여야 한다.
④ 장애인고용촉진 및 직업재활법상 장애인인 보험가입자의 보험료는 근로복지공단이 매월 부과하고, 한국장애인고용공단이 이를 징수한다.
⑤ 제조업의 보험료는 근로복지공단이 매월 부과하고, 국민건강보험공단이 이를 징수한다.</v>
      </c>
      <c r="F117" s="30">
        <f>IFERROR(VLOOKUP(C117,기출문제!D:G,4,0),"")</f>
        <v>5</v>
      </c>
      <c r="G117" s="31" t="str">
        <f t="shared" si="1"/>
        <v/>
      </c>
      <c r="J117" s="23"/>
    </row>
    <row r="118" spans="2:10" s="21" customFormat="1" ht="128.25" x14ac:dyDescent="0.3">
      <c r="B118" s="17">
        <v>111</v>
      </c>
      <c r="C118" s="27" t="s">
        <v>971</v>
      </c>
      <c r="D118" s="17"/>
      <c r="E118" s="29" t="str">
        <f>IFERROR(VLOOKUP(C118,기출문제!D:G,3,0),"")</f>
        <v>96. 고용보험 및 산업재해보상보험의 보험료 징수 등에 관한 법령상 보험료의 납부 등에 관한 내용으로 옳지 않은 것은?
① 법인이 합병한 경우에 합병 후 존속하는 법인은 합병으로 소멸된 법인이 내야 하는 보험료를 낼 의무를 진다.
② 근로복지공단은 사업주가 국세를 체납하여 체납처분을 받은 경우에는 보험료와 이 법에 따른 징수금 총액이 300만원 미만이면 납부기한 전이라도 즉시 보험료를 징수하여야 한다.
③ 국민건강보험공단은 소멸시효가 완성된 경우에는 고용노동부장관의 승인을 받아 보험료와 이 법에 따른 그 밖의 징수금을 결손처분할 수 있다.
④ 공동사업에 관계되는 보험료, 이 법에 따른 그 밖의 징수금과 체납처분비는 공동사업자가 연대하여 낼 의무를 진다.
⑤ 상속이 개시된 때에 그 상속인은 피상속인에게 부과되거나 피상속인이 내야 하는 보험료를 상속받은 재산의 한도에서 낼 의무를 진다.</v>
      </c>
      <c r="F118" s="30">
        <f>IFERROR(VLOOKUP(C118,기출문제!D:G,4,0),"")</f>
        <v>2</v>
      </c>
      <c r="G118" s="31" t="str">
        <f t="shared" si="1"/>
        <v/>
      </c>
      <c r="J118" s="23"/>
    </row>
    <row r="119" spans="2:10" s="21" customFormat="1" ht="128.25" x14ac:dyDescent="0.3">
      <c r="B119" s="17">
        <v>112</v>
      </c>
      <c r="C119" s="27" t="s">
        <v>972</v>
      </c>
      <c r="D119" s="17"/>
      <c r="E119" s="29" t="str">
        <f>IFERROR(VLOOKUP(C119,기출문제!D:G,3,0),"")</f>
        <v>97. 고용보험 및 산업재해보상보험의 보험료 징수 등에 관한 법령상 보험관계의 성립일 또는 소멸일에 관한 내용으로 옳지 않은 것은?
① 사업이 폐업되거나 끝난 날의 다음 날에 소멸한다.
② 일괄적용을 받는 사업의 경우에는 처음 하는 사업이 시작된 날에 성립한다.
③ 근로복지공단이 계속하여 보험관계를 유지할 수 없다고 인정하여 그 보험관계를 소멸시키는 경우에는 그 소멸을 결정・통지한 날의 다음 날에 소멸한다.
④ 근로복지공단의 승인을 얻어 가입한 보험계약을 해지하는 경우에는 그 해지에 관하여 근로복지공단의 승인을 받은 날의 다음 날에 소멸한다.
⑤ 보험에 가입한 하수급인의 경우에는 그 하도급공사의 착공일의 다음 날에 성립한다.</v>
      </c>
      <c r="F119" s="30">
        <f>IFERROR(VLOOKUP(C119,기출문제!D:G,4,0),"")</f>
        <v>5</v>
      </c>
      <c r="G119" s="31" t="str">
        <f t="shared" si="1"/>
        <v/>
      </c>
      <c r="J119" s="23"/>
    </row>
    <row r="120" spans="2:10" s="21" customFormat="1" ht="156.75" x14ac:dyDescent="0.3">
      <c r="B120" s="17">
        <v>113</v>
      </c>
      <c r="C120" s="27" t="s">
        <v>973</v>
      </c>
      <c r="D120" s="17"/>
      <c r="E120" s="29" t="str">
        <f>IFERROR(VLOOKUP(C120,기출문제!D:G,3,0),"")</f>
        <v>98. 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
① ㄱ, ㄴ
② ㄴ, ㄷ
③ ㄱ, ㄴ, ㄹ
④ ㄱ, ㄷ, ㄹ
⑤ ㄱ, ㄴ, ㄷ, ㄹ</v>
      </c>
      <c r="F120" s="30">
        <f>IFERROR(VLOOKUP(C120,기출문제!D:G,4,0),"")</f>
        <v>5</v>
      </c>
      <c r="G120" s="31" t="str">
        <f t="shared" si="1"/>
        <v/>
      </c>
      <c r="J120" s="23"/>
    </row>
    <row r="121" spans="2:10" s="21" customFormat="1" ht="99.75" x14ac:dyDescent="0.3">
      <c r="B121" s="17">
        <v>114</v>
      </c>
      <c r="C121" s="27" t="s">
        <v>974</v>
      </c>
      <c r="D121" s="17"/>
      <c r="E121" s="29" t="str">
        <f>IFERROR(VLOOKUP(C121,기출문제!D:G,3,0),"")</f>
        <v>99. 고용보험 및 산업재해보상보험의 보험료 징수 등에 관한 법령상 국가・지방자치단체가 직접 하는 사업의 고용안정・직업능력개발사업의 보험료율은?
① 1만분의 25
② 1만분의 45
③ 1만분의 65
④ 1만분의 85
⑤ 1천분의 16</v>
      </c>
      <c r="F121" s="30">
        <f>IFERROR(VLOOKUP(C121,기출문제!D:G,4,0),"")</f>
        <v>4</v>
      </c>
      <c r="G121" s="31" t="str">
        <f t="shared" si="1"/>
        <v/>
      </c>
      <c r="J121" s="23"/>
    </row>
    <row r="122" spans="2:10" s="21" customFormat="1" ht="85.5" x14ac:dyDescent="0.3">
      <c r="B122" s="17">
        <v>115</v>
      </c>
      <c r="C122" s="27" t="s">
        <v>975</v>
      </c>
      <c r="D122" s="17"/>
      <c r="E122" s="29" t="str">
        <f>IFERROR(VLOOKUP(C122,기출문제!D:G,3,0),"")</f>
        <v>100. 고용보험 및 산업재해보상보험의 보험료 징수 등에 관한 법령상 소멸시효에 관한 내용을 옳지 않은 것은?
① 월별보험료의 고지로 중단된 소멸시효는 월별보험료를 고지한 날부터 새로 진행한다.
② 소멸시효에 관하여는 이 법에 규정된 것을 제외하고는 민법에 따른다.
③ 징수금의 독촉에 따라 중단된 소멸시효는 독촉에 의한 납부기한이 지난 때부터 새로 진행한다.
④ 이 법에 따른 그 밖의 징수금을 징수할 수 있는 권리는 3년간 행사하지 아니하면 시효로 인하여 소멸한다.
⑤ 이 법에 따른 체납처분 절차에 따라 하는 교부청구로 중단된 소멸시효는 교부청구중의 기간이 지난 때부터 새로 진행한다.</v>
      </c>
      <c r="F122" s="30">
        <f>IFERROR(VLOOKUP(C122,기출문제!D:G,4,0),"")</f>
        <v>1</v>
      </c>
      <c r="G122" s="31" t="str">
        <f t="shared" si="1"/>
        <v/>
      </c>
      <c r="J122" s="23"/>
    </row>
    <row r="123" spans="2:10" s="21" customFormat="1" ht="85.5" x14ac:dyDescent="0.3">
      <c r="B123" s="17">
        <v>116</v>
      </c>
      <c r="C123" s="27" t="s">
        <v>85</v>
      </c>
      <c r="D123" s="17"/>
      <c r="E123" s="29" t="str">
        <f>IFERROR(VLOOKUP(C123,기출문제!D:G,3,0),"")</f>
        <v>76. 사회보장기본법에 관한 설명으로 옳은 것은?
① 사회보장수급권은 다른 사람에게 양도하거나 담보로 제공할 수 있으며, 이를 압류할 수 있다.
② 국내에 거주하는 외국인에게 사회보장제도를 적용할 때에는 상호주의에 따르되, 관계법령에서 정하는 바에 따른다.
③ 사회보장수급권의 포기는 원칙적으로 취소할 수 없다.
④ 국가는 사회보장제도의 안정적인 운영을 위하여 중장기 사회보장 재정추계를 3년마다 실시한다.
⑤ 공공부조란 국민에게 발생하는 사회적 위험을 보험의 방식으로 대처함으로써 국민의 건강과 소득을 보장하는 제도를 말한다.</v>
      </c>
      <c r="F123" s="30">
        <f>IFERROR(VLOOKUP(C123,기출문제!D:G,4,0),"")</f>
        <v>2</v>
      </c>
      <c r="G123" s="31" t="str">
        <f t="shared" si="1"/>
        <v/>
      </c>
      <c r="J123" s="23"/>
    </row>
    <row r="124" spans="2:10" s="21" customFormat="1" ht="114" x14ac:dyDescent="0.3">
      <c r="B124" s="17">
        <v>117</v>
      </c>
      <c r="C124" s="27" t="s">
        <v>976</v>
      </c>
      <c r="D124" s="17"/>
      <c r="E124" s="29" t="str">
        <f>IFERROR(VLOOKUP(C124,기출문제!D:G,3,0),"")</f>
        <v>77. 사회보장기본법상 사회보장 기본계획에 관한 설명으로 옳지 않은 것은?
① 사회보장 기본계획은 사회보장위원회와 국무회의의 심의를 거쳐 확정된다.
② 다른 법령에 따라 수립되는 사회보장에 관한 계획은 사회보장 기본계획에 우선한다.
③ 보건복지부장관은 관계 중앙행정기관의 장과 협의하여 사회보장 증진을 위하여 사회보장에 관한 기본계획을 5년마다 수립하여야 한다.
④ 사회보장 기본계획에는 사회보장 전달체계가 포함되어야 한다.
⑤ 보건복지부장관 및 관계 중앙행정기관의 장은 사회보장 기본계획에 따라 사회보장과 관련된 소관 주요 시책의 시행계획을 매년 수립・시행하여야 한다.</v>
      </c>
      <c r="F124" s="30">
        <f>IFERROR(VLOOKUP(C124,기출문제!D:G,4,0),"")</f>
        <v>2</v>
      </c>
      <c r="G124" s="31" t="str">
        <f t="shared" si="1"/>
        <v/>
      </c>
      <c r="J124" s="23"/>
    </row>
    <row r="125" spans="2:10" s="21" customFormat="1" ht="85.5" x14ac:dyDescent="0.3">
      <c r="B125" s="17">
        <v>118</v>
      </c>
      <c r="C125" s="27" t="s">
        <v>977</v>
      </c>
      <c r="D125" s="17"/>
      <c r="E125" s="29" t="str">
        <f>IFERROR(VLOOKUP(C125,기출문제!D:G,3,0),"")</f>
        <v>78. 사회보장기본법령상 사회보장위원회에 관한 설명으로 옳지 않은 것은?
① 국무총리 소속으로 둔다.
② 부위원장은 기획재정부장관, 교육부장관 및 보건복지부장관이 된다.
③ 보궐위원의 임기는 전임자 임기의 남은 기간으로 한다.
④ 사무 처리를 위한 사무국은 보건복지부에 둔다.
⑤ 심의사항을 전문적으로 검토하기 위하여 전문위원회를 두며, 전문위원회에 분야별 실무위원회를 둔다.</v>
      </c>
      <c r="F125" s="30">
        <f>IFERROR(VLOOKUP(C125,기출문제!D:G,4,0),"")</f>
        <v>5</v>
      </c>
      <c r="G125" s="31" t="str">
        <f t="shared" si="1"/>
        <v/>
      </c>
      <c r="J125" s="23"/>
    </row>
    <row r="126" spans="2:10" s="21" customFormat="1" ht="128.25" x14ac:dyDescent="0.3">
      <c r="B126" s="17">
        <v>119</v>
      </c>
      <c r="C126" s="27" t="s">
        <v>978</v>
      </c>
      <c r="D126" s="17"/>
      <c r="E126" s="29" t="str">
        <f>IFERROR(VLOOKUP(C126,기출문제!D:G,3,0),"")</f>
        <v>79. 고용보험법상 구직급여에 관한 설명으로 옳지 않은 것은?
① 피보험 단위기간을 계산할 때, 최후로 피보험자격을 취득한 날 이전에 구직급여를 받은 사실이 있는 경우에는 그 구직급여와 관련된 피보험자격 상실일 이전의 피보험 단위기간은 산입한다.
② 최종 이직 당시 건설일용근로자였던 피보험자가 구직급여를 받으려는 경우에는 건설일용근로자로서 수급자격 인정신청일 이전 14일간 연속하여 근로내역이 없어야 한다.
③ 구직급여를 지급받으려는 자는 이직 후 지체없이 직업안정기관에 출석하여 실업을 신고하여야 한다.
④ 직업안정기관의 장은 필요하다고 인정하면 수급자격자의 실업인정대상기간 중의 취업사실에 대하여 조사할 수 있다.
⑤ 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v>
      </c>
      <c r="F126" s="30">
        <f>IFERROR(VLOOKUP(C126,기출문제!D:G,4,0),"")</f>
        <v>1</v>
      </c>
      <c r="G126" s="31" t="str">
        <f t="shared" si="1"/>
        <v/>
      </c>
      <c r="J126" s="23"/>
    </row>
    <row r="127" spans="2:10" s="21" customFormat="1" ht="142.5" x14ac:dyDescent="0.3">
      <c r="B127" s="17">
        <v>120</v>
      </c>
      <c r="C127" s="27" t="s">
        <v>979</v>
      </c>
      <c r="D127" s="17"/>
      <c r="E127" s="29" t="str">
        <f>IFERROR(VLOOKUP(C127,기출문제!D:G,3,0),"")</f>
        <v>80. 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
① 30
② 40
③ 50
④ 60
⑤ 70</v>
      </c>
      <c r="F127" s="30">
        <f>IFERROR(VLOOKUP(C127,기출문제!D:G,4,0),"")</f>
        <v>3</v>
      </c>
      <c r="G127" s="31" t="str">
        <f t="shared" si="1"/>
        <v/>
      </c>
      <c r="J127" s="23"/>
    </row>
    <row r="128" spans="2:10" s="21" customFormat="1" ht="85.5" x14ac:dyDescent="0.3">
      <c r="B128" s="17">
        <v>121</v>
      </c>
      <c r="C128" s="27" t="s">
        <v>980</v>
      </c>
      <c r="D128" s="17"/>
      <c r="E128" s="29" t="str">
        <f>IFERROR(VLOOKUP(C128,기출문제!D:G,3,0),"")</f>
        <v>81. 고용보험법령상 육아휴직 급여 신청기간의 연장 사유가 아닌 것은?
① 천재지변
② 배우자의 질병・부상
③ 「병역법」에 따른 의무복무
④ 범죄혐의로 인한 구속
⑤ 배우자의 국외발령 등에 따른 동거 목적의 거소 이전</v>
      </c>
      <c r="F128" s="30">
        <f>IFERROR(VLOOKUP(C128,기출문제!D:G,4,0),"")</f>
        <v>5</v>
      </c>
      <c r="G128" s="31" t="str">
        <f t="shared" si="1"/>
        <v/>
      </c>
      <c r="J128" s="23"/>
    </row>
    <row r="129" spans="2:10" s="21" customFormat="1" ht="85.5" x14ac:dyDescent="0.3">
      <c r="B129" s="17">
        <v>122</v>
      </c>
      <c r="C129" s="27" t="s">
        <v>981</v>
      </c>
      <c r="D129" s="17"/>
      <c r="E129" s="29" t="str">
        <f>IFERROR(VLOOKUP(C129,기출문제!D:G,3,0),"")</f>
        <v>82. 고용보험법상의 취업촉진 수당에 해당하지 않는 것은?
① 이주비
② 직업능력개발 수당
③ 구직급여
④ 광역 구직활동비
⑤ 조기(早期)재취업 수당</v>
      </c>
      <c r="F129" s="30">
        <f>IFERROR(VLOOKUP(C129,기출문제!D:G,4,0),"")</f>
        <v>3</v>
      </c>
      <c r="G129" s="31" t="str">
        <f t="shared" si="1"/>
        <v/>
      </c>
      <c r="J129" s="23"/>
    </row>
    <row r="130" spans="2:10" s="21" customFormat="1" ht="85.5" x14ac:dyDescent="0.3">
      <c r="B130" s="17">
        <v>123</v>
      </c>
      <c r="C130" s="27" t="s">
        <v>982</v>
      </c>
      <c r="D130" s="17"/>
      <c r="E130" s="29" t="str">
        <f>IFERROR(VLOOKUP(C130,기출문제!D:G,3,0),"")</f>
        <v>83. 고용보험법상 고용보험위원회에 관한 설명으로 옳은 것은?
① 근로복지공단에 고용보험위원회를 둔다.
② 심의 사항을 사전에 검토・조정하기 위하여 실무위원회를 둔다.
③ 위원장 1명을 포함한 15명 이내의 위원으로 구성한다.
④ 위원장은 고용노동부장관이 된다.
⑤ 심의 사항에는 보험제도 및 보험사업의 개선에 관한 사항이 포함된다.</v>
      </c>
      <c r="F130" s="30">
        <f>IFERROR(VLOOKUP(C130,기출문제!D:G,4,0),"")</f>
        <v>5</v>
      </c>
      <c r="G130" s="31" t="str">
        <f t="shared" si="1"/>
        <v/>
      </c>
      <c r="J130" s="23"/>
    </row>
    <row r="131" spans="2:10" s="21" customFormat="1" ht="128.25" x14ac:dyDescent="0.3">
      <c r="B131" s="17">
        <v>124</v>
      </c>
      <c r="C131" s="27" t="s">
        <v>983</v>
      </c>
      <c r="D131" s="17"/>
      <c r="E131" s="29" t="str">
        <f>IFERROR(VLOOKUP(C131,기출문제!D:G,3,0),"")</f>
        <v>84. 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
① ㄱ
② ㄱ, ㄴ
③ ㄱ, ㄷ
④ ㄴ, ㄷ
⑤ ㄱ, ㄴ, ㄷ</v>
      </c>
      <c r="F131" s="30">
        <f>IFERROR(VLOOKUP(C131,기출문제!D:G,4,0),"")</f>
        <v>4</v>
      </c>
      <c r="G131" s="31" t="str">
        <f t="shared" si="1"/>
        <v/>
      </c>
      <c r="J131" s="23"/>
    </row>
    <row r="132" spans="2:10" s="21" customFormat="1" ht="114" x14ac:dyDescent="0.3">
      <c r="B132" s="17">
        <v>125</v>
      </c>
      <c r="C132" s="27" t="s">
        <v>984</v>
      </c>
      <c r="D132" s="17"/>
      <c r="E132" s="29" t="str">
        <f>IFERROR(VLOOKUP(C132,기출문제!D:G,3,0),"")</f>
        <v>85. 고용보험법령상 구직급여와 관련한 내용이다. ( )에 들어갈 내용으로 옳은 것은?
○ 훈련연장급여의 지급 기간은 (ㄱ) 년을 한도로 한다.
○ 개별연장급여는 (ㄴ)일의 범위에서 대통령령으로 정하는 기간 동안 지급한다.
① ㄱ: 1, ㄴ: 60
② ㄱ: 1, ㄴ: 90
③ ㄱ: 2, ㄴ: 60
④ ㄱ: 2, ㄴ: 90
⑤ ㄱ: 3, ㄴ: 60</v>
      </c>
      <c r="F132" s="30">
        <f>IFERROR(VLOOKUP(C132,기출문제!D:G,4,0),"")</f>
        <v>3</v>
      </c>
      <c r="G132" s="31" t="str">
        <f t="shared" si="1"/>
        <v/>
      </c>
      <c r="J132" s="23"/>
    </row>
    <row r="133" spans="2:10" s="21" customFormat="1" ht="85.5" x14ac:dyDescent="0.3">
      <c r="B133" s="17">
        <v>126</v>
      </c>
      <c r="C133" s="27" t="s">
        <v>985</v>
      </c>
      <c r="D133" s="17"/>
      <c r="E133" s="29" t="str">
        <f>IFERROR(VLOOKUP(C133,기출문제!D:G,3,0),"")</f>
        <v>86. 산업재해보상보험법상 심사청구 및 재심사청구에 관한 설명으로 옳은 것은? 
① 재심사위원회의 재결은 근로복지공단을 기속하지 아니한다.
② 재심사위원회 위원(당연직위원은 제외)의 임기는 2년으로 하되 연임할 수 없다.
③ 보험급여에 관한 결정에 대해서는 「행정심판법」에 따른 행정심판을 제기할 수 있다.
④ 재심사위원회의 위원장 및 위원은 고용노동부장관이 임명한다.
⑤ 재심사 청구의 제기는 시효의 중단에 관하여 「민법」 제168조에 따른 재판상의 청구로 본다.</v>
      </c>
      <c r="F133" s="30">
        <f>IFERROR(VLOOKUP(C133,기출문제!D:G,4,0),"")</f>
        <v>5</v>
      </c>
      <c r="G133" s="31" t="str">
        <f t="shared" si="1"/>
        <v/>
      </c>
      <c r="J133" s="23"/>
    </row>
    <row r="134" spans="2:10" s="21" customFormat="1" ht="114" x14ac:dyDescent="0.3">
      <c r="B134" s="17">
        <v>127</v>
      </c>
      <c r="C134" s="27" t="s">
        <v>986</v>
      </c>
      <c r="D134" s="17"/>
      <c r="E134" s="29" t="str">
        <f>IFERROR(VLOOKUP(C134,기출문제!D:G,3,0),"")</f>
        <v>87. 산업재해보상보험법상 진폐에 따른 보험급여의 특례에 관한 설명으로 옳지 않은 것은?
① 고용노동부에 진폐심사회의를 둔다.
② 진폐보상연금은 진폐장해등급별 진폐장해연금과 기초연금을 합산한 금액으로 한다.
③ 진폐유족연금은 사망 당시 진폐근로자에게 지급하고 있거나 지급하기로 결정된 진폐보상연금과 같은 금액으로 하되 유족보상연금을 초과할 수 없다.
④ 근로복지공단은 근로자가 진폐에 대한 요양급여를 청구하면 「진폐의 예방과 진폐근로자의 보호 등에 관한 법률」에 따른 건강진단기관에 진폐판정에 필요한 진단을 의뢰하여야 한다.
⑤ 장해보상연금을 받고 있는 사람에게는 진폐에 대한 진단을 받는 경우 진단수당을 지급하지 아니한다.</v>
      </c>
      <c r="F134" s="30">
        <f>IFERROR(VLOOKUP(C134,기출문제!D:G,4,0),"")</f>
        <v>1</v>
      </c>
      <c r="G134" s="31" t="str">
        <f t="shared" si="1"/>
        <v/>
      </c>
      <c r="J134" s="23"/>
    </row>
    <row r="135" spans="2:10" s="21" customFormat="1" ht="128.25" x14ac:dyDescent="0.3">
      <c r="B135" s="17">
        <v>128</v>
      </c>
      <c r="C135" s="27" t="s">
        <v>987</v>
      </c>
      <c r="D135" s="17"/>
      <c r="E135" s="29" t="str">
        <f>IFERROR(VLOOKUP(C135,기출문제!D:G,3,0),"")</f>
        <v>88. 산업재해보상보험법령상 휴업급여에 관한 설명으로 옳은 것은?
① 1일당 지급액은 평균임금의 100분의 70에 상당하는 금액으로 하며 취업하지 못한 기간이 5일 이내이면 지급하지 아니한다.
② 요양을 받고 있는 근로자가 그 요양기간 중 단시간 취업을 하는 경우에는 취업한 시간에 해당하는 그 근로자의 평균임금에서 취업한 시간에 대한 임금을 뺀 금액의 100분의 70에 상당하는 금액을 지급할 수 있다.
③ 휴업급여를 받는 근로자가 60세가 되면 그 이후의 휴업급여는 감액하여 지급한다.
④ 재요양을 받는 자에 대하여는 재요양 당시의 임금을 기준으로 산정한 평균임금의 100분의 90에 상당하는 금액을 1일당 휴업급여 지급액으로 한다.
⑤ 재요양을 받는 자에 대하여 산정한 1일당 휴업급여 지급액이 최저임금액보다 적으면 최저임금액을 1일당 휴업급여 지급액으로 한다.</v>
      </c>
      <c r="F135" s="30">
        <f>IFERROR(VLOOKUP(C135,기출문제!D:G,4,0),"")</f>
        <v>5</v>
      </c>
      <c r="G135" s="31" t="str">
        <f t="shared" si="1"/>
        <v/>
      </c>
      <c r="J135" s="23"/>
    </row>
    <row r="136" spans="2:10" s="21" customFormat="1" ht="142.5" x14ac:dyDescent="0.3">
      <c r="B136" s="17">
        <v>129</v>
      </c>
      <c r="C136" s="27" t="s">
        <v>988</v>
      </c>
      <c r="D136" s="17"/>
      <c r="E136" s="29" t="str">
        <f>IFERROR(VLOOKUP(C136,기출문제!D:G,3,0),"")</f>
        <v>89. 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
① ㄱ, ㄴ
② ㄴ, ㄷ
③ ㄱ, ㄴ, ㄹ
④ ㄱ, ㄷ, ㄹ
⑤ ㄴ, ㄷ, ㄹ</v>
      </c>
      <c r="F136" s="30">
        <f>IFERROR(VLOOKUP(C136,기출문제!D:G,4,0),"")</f>
        <v>3</v>
      </c>
      <c r="G136" s="31" t="str">
        <f t="shared" si="1"/>
        <v/>
      </c>
      <c r="J136" s="23"/>
    </row>
    <row r="137" spans="2:10" s="21" customFormat="1" ht="99.75" x14ac:dyDescent="0.3">
      <c r="B137" s="17">
        <v>130</v>
      </c>
      <c r="C137" s="27" t="s">
        <v>609</v>
      </c>
      <c r="D137" s="17"/>
      <c r="E137" s="29" t="str">
        <f>IFERROR(VLOOKUP(C137,기출문제!D:G,3,0),"")</f>
        <v>90. 산업재해보상보험법상 직업재활급여에 관한 설명으로 옳은 것은?
① 직업훈련비용은 직업훈련을 받은 자에게 지급한다.
② 직업훈련비용의 금액은 고용노동부장관이 훈련비용, 훈련기간 및 노동시장의 여건 등을 고려하여 고시하는 금액의 범위에서 실제 드는 비용으로 한다.
③ 직업훈련비용을 지급하는 훈련기간은 24개월 이내로 한다.
④ 직장적응훈련비 및 재활운동비의 지급기간은 6개월 이내로 한다.
⑤ 직업훈련수당의 1일당 지급액은 평균임금의 100분의 70에 상당하는 금액으로 한다.</v>
      </c>
      <c r="F137" s="30">
        <f>IFERROR(VLOOKUP(C137,기출문제!D:G,4,0),"")</f>
        <v>2</v>
      </c>
      <c r="G137" s="31" t="str">
        <f t="shared" ref="G137:G200" si="2">IF(D137="","",IF(D137=F137,"O", "X"))</f>
        <v/>
      </c>
      <c r="J137" s="23"/>
    </row>
    <row r="138" spans="2:10" s="21" customFormat="1" ht="85.5" x14ac:dyDescent="0.3">
      <c r="B138" s="17">
        <v>131</v>
      </c>
      <c r="C138" s="27" t="s">
        <v>989</v>
      </c>
      <c r="D138" s="17"/>
      <c r="E138" s="29" t="str">
        <f>IFERROR(VLOOKUP(C138,기출문제!D:G,3,0),"")</f>
        <v>91. 산업재해보상보험법상 보험급여의 일시 중지를 할 수 있는 사유가 아닌 것은?
① 질문이나 조사에 응하지 아니하는 경우
② 보고・서류제출 또는 신고를 하지 아니하는 경우
③ 거짓이나 그 밖의 부정한 방법으로 진료비나 약제비를 지급받은 경우
④ 진찰 요구에 따르지 아니하는 경우
⑤ 근로복지공단이 직권으로 실시하는 장해등급 또는 진폐장해등급 재판정 요구에 응하지 아니하는 경우</v>
      </c>
      <c r="F138" s="30">
        <f>IFERROR(VLOOKUP(C138,기출문제!D:G,4,0),"")</f>
        <v>3</v>
      </c>
      <c r="G138" s="31" t="str">
        <f t="shared" si="2"/>
        <v/>
      </c>
      <c r="J138" s="23"/>
    </row>
    <row r="139" spans="2:10" s="21" customFormat="1" ht="85.5" x14ac:dyDescent="0.3">
      <c r="B139" s="17">
        <v>132</v>
      </c>
      <c r="C139" s="27" t="s">
        <v>990</v>
      </c>
      <c r="D139" s="17"/>
      <c r="E139" s="29" t="str">
        <f>IFERROR(VLOOKUP(C139,기출문제!D:G,3,0),"")</f>
        <v>92. 국민연금법상 가입자 자격의 상실 시기가 옳지 않은 것은?
① 사업장가입자의 경우 사용관계가 끝난 날
② 지역가입자의 경우 사망한 날의 다음 날
③ 지역가입자의 경우 국민연금가입 대상 제외자에 해당하게 된 날
④ 임의가입자의 경우 사업장 가입자의 자격을 취득한 날
⑤ 임의가입자의 경우 60세가 된 날의 다음 날</v>
      </c>
      <c r="F139" s="30">
        <f>IFERROR(VLOOKUP(C139,기출문제!D:G,4,0),"")</f>
        <v>1</v>
      </c>
      <c r="G139" s="31" t="str">
        <f t="shared" si="2"/>
        <v/>
      </c>
      <c r="J139" s="23"/>
    </row>
    <row r="140" spans="2:10" s="21" customFormat="1" ht="85.5" x14ac:dyDescent="0.3">
      <c r="B140" s="17">
        <v>133</v>
      </c>
      <c r="C140" s="27" t="s">
        <v>991</v>
      </c>
      <c r="D140" s="17"/>
      <c r="E140" s="29" t="str">
        <f>IFERROR(VLOOKUP(C140,기출문제!D:G,3,0),"")</f>
        <v>93. 국민연금법상 급여에 관한 설명으로 옳지 않은 것은?
① 급여의 종류는 노령연금, 장애연금, 유족연금, 반환일시금이 있다.
② 급여는 수급권자의 청구에 따라 국민연금공단이 지급한다.
③ 연금액은 지급사유에 따라 기본연금액과 부양가족연금액을 기초로 산정한다.
④ 연금은 매월 25일에 그 달의 금액을 지급하되, 지급일이 공휴일이면 그 다음날에 지급한다.
⑤ 급여수급전용계좌에 입금된 급여와 이에 관한 채권은 압류할 수 없다.</v>
      </c>
      <c r="F140" s="30">
        <f>IFERROR(VLOOKUP(C140,기출문제!D:G,4,0),"")</f>
        <v>4</v>
      </c>
      <c r="G140" s="31" t="str">
        <f t="shared" si="2"/>
        <v/>
      </c>
      <c r="J140" s="23"/>
    </row>
    <row r="141" spans="2:10" s="21" customFormat="1" ht="128.25" x14ac:dyDescent="0.3">
      <c r="B141" s="17">
        <v>134</v>
      </c>
      <c r="C141" s="27" t="s">
        <v>992</v>
      </c>
      <c r="D141" s="17"/>
      <c r="E141" s="29" t="str">
        <f>IFERROR(VLOOKUP(C141,기출문제!D:G,3,0),"")</f>
        <v>94. 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
① ㄴ
② ㄱ, ㄴ
③ ㄱ, ㄷ
④ ㄴ, ㄷ
⑤ ㄱ, ㄴ, ㄷ</v>
      </c>
      <c r="F141" s="30">
        <f>IFERROR(VLOOKUP(C141,기출문제!D:G,4,0),"")</f>
        <v>3</v>
      </c>
      <c r="G141" s="31" t="str">
        <f t="shared" si="2"/>
        <v/>
      </c>
      <c r="J141" s="23"/>
    </row>
    <row r="142" spans="2:10" s="21" customFormat="1" ht="85.5" x14ac:dyDescent="0.3">
      <c r="B142" s="17">
        <v>135</v>
      </c>
      <c r="C142" s="27" t="s">
        <v>993</v>
      </c>
      <c r="D142" s="17"/>
      <c r="E142" s="29" t="str">
        <f>IFERROR(VLOOKUP(C142,기출문제!D:G,3,0),"")</f>
        <v>95. 국민건강보험법상의 요양급여가 아닌 것은?
① 입원
② 이송
③ 상병수당
④ 예방・재활
⑤ 약제・치료재료의 지급</v>
      </c>
      <c r="F142" s="30">
        <f>IFERROR(VLOOKUP(C142,기출문제!D:G,4,0),"")</f>
        <v>3</v>
      </c>
      <c r="G142" s="31" t="str">
        <f t="shared" si="2"/>
        <v/>
      </c>
      <c r="J142" s="23"/>
    </row>
    <row r="143" spans="2:10" s="21" customFormat="1" ht="142.5" x14ac:dyDescent="0.3">
      <c r="B143" s="17">
        <v>136</v>
      </c>
      <c r="C143" s="27" t="s">
        <v>994</v>
      </c>
      <c r="D143" s="17"/>
      <c r="E143" s="29" t="str">
        <f>IFERROR(VLOOKUP(C143,기출문제!D:G,3,0),"")</f>
        <v>96. 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
① ㄱ: 7, ㄴ: 1
② ㄱ: 7, ㄴ: 3
③ ㄱ: 10, ㄴ: 1
④ ㄱ: 10, ㄴ: 3
⑤ ㄱ: 14, ㄴ: 1</v>
      </c>
      <c r="F143" s="30">
        <f>IFERROR(VLOOKUP(C143,기출문제!D:G,4,0),"")</f>
        <v>4</v>
      </c>
      <c r="G143" s="31" t="str">
        <f t="shared" si="2"/>
        <v/>
      </c>
      <c r="J143" s="23"/>
    </row>
    <row r="144" spans="2:10" s="21" customFormat="1" ht="171" x14ac:dyDescent="0.3">
      <c r="B144" s="17">
        <v>137</v>
      </c>
      <c r="C144" s="27" t="s">
        <v>995</v>
      </c>
      <c r="D144" s="17"/>
      <c r="E144" s="29" t="str">
        <f>IFERROR(VLOOKUP(C144,기출문제!D:G,3,0),"")</f>
        <v>97. 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
① ㄱ: 2, ㄴ: 20
② ㄱ: 2, ㄴ: 30
③ ㄱ: 3, ㄴ: 15
④ ㄱ: 3, ㄴ: 20
⑤ ㄱ: 3, ㄴ: 30</v>
      </c>
      <c r="F144" s="30">
        <f>IFERROR(VLOOKUP(C144,기출문제!D:G,4,0),"")</f>
        <v>4</v>
      </c>
      <c r="G144" s="31" t="str">
        <f t="shared" si="2"/>
        <v/>
      </c>
      <c r="J144" s="23"/>
    </row>
    <row r="145" spans="2:10" s="21" customFormat="1" ht="171" x14ac:dyDescent="0.3">
      <c r="B145" s="17">
        <v>138</v>
      </c>
      <c r="C145" s="27" t="s">
        <v>996</v>
      </c>
      <c r="D145" s="17"/>
      <c r="E145" s="29" t="str">
        <f>IFERROR(VLOOKUP(C145,기출문제!D:G,3,0),"")</f>
        <v>98. 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
① ㄱ
② ㄱ, ㄴ
③ ㄱ, ㄷ
④ ㄴ, ㄷ
⑤ ㄱ, ㄴ, ㄷ</v>
      </c>
      <c r="F145" s="30">
        <f>IFERROR(VLOOKUP(C145,기출문제!D:G,4,0),"")</f>
        <v>2</v>
      </c>
      <c r="G145" s="31" t="str">
        <f t="shared" si="2"/>
        <v/>
      </c>
      <c r="J145" s="23"/>
    </row>
    <row r="146" spans="2:10" s="21" customFormat="1" ht="128.25" x14ac:dyDescent="0.3">
      <c r="B146" s="17">
        <v>139</v>
      </c>
      <c r="C146" s="27" t="s">
        <v>997</v>
      </c>
      <c r="D146" s="17"/>
      <c r="E146" s="29" t="str">
        <f>IFERROR(VLOOKUP(C146,기출문제!D:G,3,0),"")</f>
        <v>99. 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
① ㄱ: 1, ㄴ: 1천분의 1, ㄷ : 1천분의 30
② ㄱ: 1, ㄴ: 6천분의 1, ㄷ : 1천분의 50
③ ㄱ: 1, ㄴ: 1천분의 1, ㄷ : 1천분의 90
④ ㄱ: 7, ㄴ: 1천분의 1, ㄷ : 1천분의 30
⑤ ㄱ: 7, ㄴ: 6천분의 1, ㄷ : 1천분의 90</v>
      </c>
      <c r="F146" s="30">
        <f>IFERROR(VLOOKUP(C146,기출문제!D:G,4,0),"")</f>
        <v>2</v>
      </c>
      <c r="G146" s="31" t="str">
        <f t="shared" si="2"/>
        <v/>
      </c>
      <c r="J146" s="23"/>
    </row>
    <row r="147" spans="2:10" s="21" customFormat="1" ht="128.25" x14ac:dyDescent="0.3">
      <c r="B147" s="17">
        <v>140</v>
      </c>
      <c r="C147" s="27" t="s">
        <v>998</v>
      </c>
      <c r="D147" s="17"/>
      <c r="E147" s="29" t="str">
        <f>IFERROR(VLOOKUP(C147,기출문제!D:G,3,0),"")</f>
        <v>100. 고용보험 및 산업재해보상보험의 보험료징수 등에 관한 법령상 보수총액 등의 신고와 관련한 내용으로 옳지 않은 것은?
① 보수총액신고는 문서로 함을 원칙으로 한다.
② 사업주는 근로자가 다른 사업장으로 전보되는 등 대통령령으로 정하는 사유가 발생한 때에는 그 사유 발생일부터 14일 이내에 그 사실을 근로복지공단에 신고하여야 한다.
③ 사업주는 사업의 폐지 등으로 보험관계가 소멸한 때에는 그 보험관계가 소멸한 날부터 14일 이내에 근로자에게 지급한 보수총액 등을 근로복지공단에 신고하여야 한다.
④ 사업주는 전년도에 근로자에게 지급한 보수총액 등을 매년 3월 15일까지 근로복지공단에 신고하여야 한다.
⑤ 사업주는 근로자와 고용관계를 종료한 때에는 그 근로자에게 지급한 보수총액, 고용관계 종료일 등을 그 근로자의 고용관계가 종료한 날이 속하는 달의 다음 달 15일까지 근로복지공단에 신고하여야 한다.</v>
      </c>
      <c r="F147" s="30">
        <f>IFERROR(VLOOKUP(C147,기출문제!D:G,4,0),"")</f>
        <v>1</v>
      </c>
      <c r="G147" s="31" t="str">
        <f t="shared" si="2"/>
        <v/>
      </c>
      <c r="J147" s="23"/>
    </row>
    <row r="148" spans="2:10" s="21" customFormat="1" ht="128.25" x14ac:dyDescent="0.3">
      <c r="B148" s="17">
        <v>141</v>
      </c>
      <c r="C148" s="27" t="s">
        <v>121</v>
      </c>
      <c r="D148" s="17"/>
      <c r="E148" s="29" t="str">
        <f>IFERROR(VLOOKUP(C148,기출문제!D:G,3,0),"")</f>
        <v>76. 사회보장기본법령상 사회보장제도의 운영에 관한 설명으로 옳지 않은 것은?
① 사회보험은 국가와 지방자치단체의 책임으로 시행하고, 공공부조와 사회서비스는 국가의 책임으로 시행하는 것을 원칙으로 한다.
② 국가와 지방자치단체는 효과적인 사회보장정책의 수립・시행을 위하여 사회보장에 관한 통계를 작성・관리하여야 한다.
③ 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
④ 보건복지부장관은 사회서비스의 품질기준 마련, 평가 및 개선 등의 업무를 수행하기 위하여 필요한 전담기구를 설치할 수 있다.
⑤ 국가와 지방자치단체는 개인・법인 또는 단체가 사회보장에 참여하는 데에 드는 경비의 전부 또는 일부를 지원하거나 그 업무를 수행하기 위하여 필요한 지원을 할 수 있다.</v>
      </c>
      <c r="F148" s="30">
        <f>IFERROR(VLOOKUP(C148,기출문제!D:G,4,0),"")</f>
        <v>1</v>
      </c>
      <c r="G148" s="31" t="str">
        <f t="shared" si="2"/>
        <v/>
      </c>
      <c r="J148" s="23"/>
    </row>
    <row r="149" spans="2:10" s="21" customFormat="1" ht="99.75" x14ac:dyDescent="0.3">
      <c r="B149" s="17">
        <v>142</v>
      </c>
      <c r="C149" s="27" t="s">
        <v>999</v>
      </c>
      <c r="D149" s="17"/>
      <c r="E149" s="29" t="str">
        <f>IFERROR(VLOOKUP(C149,기출문제!D:G,3,0),"")</f>
        <v>77. 사회보장기본법령상 사회보장 비용의 부담에 관한 설명으로 옳지 않은 것은?
① 사회보장 비용의 부담은 각각의 사회보장제도의 목적에 따라 국가, 지방자치단체 및 민간부문 간에 합리적으로 조정되어야 한다.
② 사회보험에 드는 비용은 사용자, 피용자 및 자영업자가 부담하는 것을 원칙으로 한다.
③ 부담 능력이 있는 국민에 대한 사회서비스에 드는 비용은 그 수익자가 부담함을 원칙으로 한다.
④ 공공부조에 드는 비용은 수익자가 부담함을 원칙으로 한다.
⑤ 공공부조 및 관계 법령에서 정하는 일정 소득 수준 이하의 국민에 대한 사회서비스에 드는 비용의 전부 또는 일부는 국가와 지방자치단체가 부담한다.</v>
      </c>
      <c r="F149" s="30">
        <f>IFERROR(VLOOKUP(C149,기출문제!D:G,4,0),"")</f>
        <v>4</v>
      </c>
      <c r="G149" s="31" t="str">
        <f t="shared" si="2"/>
        <v/>
      </c>
      <c r="J149" s="23"/>
    </row>
    <row r="150" spans="2:10" s="21" customFormat="1" ht="99.75" x14ac:dyDescent="0.3">
      <c r="B150" s="17">
        <v>143</v>
      </c>
      <c r="C150" s="27" t="s">
        <v>1000</v>
      </c>
      <c r="D150" s="17"/>
      <c r="E150" s="29" t="str">
        <f>IFERROR(VLOOKUP(C150,기출문제!D:G,3,0),"")</f>
        <v>78. 사회보험 관련법령의 적용에 관한 내용으로 옳지 않은 것은?
① 사립학교교직원 연금법의 적용을 받는 자에게는 고용보험법을 적용하지 아니한다.
② 1개월 미만 동안 고용된 일용근로자는 고용보험법의 적용이 제외되는 근로자이다.
③ 국민연금에 가입된 사업장에 종사하는 18세 미만 근로자는 사업장가입자가 되는 것으로 보나, 본인이 원하지 아니하면 사업장가입자가 되지 아니할 수 있다.
④ 비상근 근로자는 국민건강보험법의 직장가입자에서 제외된다.
⑤ 1개월 동안의 소정근로시간이 60시간 미만인 단시간근로자는 국민건강보험법의 직장가입자에서 제외된다.</v>
      </c>
      <c r="F150" s="30">
        <f>IFERROR(VLOOKUP(C150,기출문제!D:G,4,0),"")</f>
        <v>2</v>
      </c>
      <c r="G150" s="31" t="str">
        <f t="shared" si="2"/>
        <v/>
      </c>
      <c r="J150" s="23"/>
    </row>
    <row r="151" spans="2:10" s="21" customFormat="1" ht="99.75" x14ac:dyDescent="0.3">
      <c r="B151" s="17">
        <v>144</v>
      </c>
      <c r="C151" s="27" t="s">
        <v>1001</v>
      </c>
      <c r="D151" s="17"/>
      <c r="E151" s="29" t="str">
        <f>IFERROR(VLOOKUP(C151,기출문제!D:G,3,0),"")</f>
        <v>79. 사회보장기본법령상 사회보장수급권에 관한 설명으로 옳지 않은 것은?
① 사회보장수급권은 관계 법령에서 정하는 바에 따라 다른 사람에게 양도하거나 담보로 제공할 수 없다.
② 사회보장수급권은 제한되거나 정지될 수 없으나, 관계 법령에서 따로 정하고 있는 경우에는 그러하지 아니하다.
③ 사회보장수급권이 정지되는 경우에는 정지하는 목적에 필요한 최소한의 범위에 그쳐야 한다.
④ 사회보장수급권은 포기할 수 있으나 포기한 후에는 이를 취소할 수 없다.
⑤ 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v>
      </c>
      <c r="F151" s="30">
        <f>IFERROR(VLOOKUP(C151,기출문제!D:G,4,0),"")</f>
        <v>4</v>
      </c>
      <c r="G151" s="31" t="str">
        <f t="shared" si="2"/>
        <v/>
      </c>
      <c r="J151" s="23"/>
    </row>
    <row r="152" spans="2:10" s="21" customFormat="1" ht="99.75" x14ac:dyDescent="0.3">
      <c r="B152" s="17">
        <v>145</v>
      </c>
      <c r="C152" s="27" t="s">
        <v>1002</v>
      </c>
      <c r="D152" s="17"/>
      <c r="E152" s="29" t="str">
        <f>IFERROR(VLOOKUP(C152,기출문제!D:G,3,0),"")</f>
        <v>80. 고용보험법령의 내용으로 옳지 않은 것은?
① 국민기초생활 보장법에 따라 자활을 위한 근로기회를 제공하기 위한 사업은 고용보험법의 적용을 받는 사업으로 본다.
② 국가는 매년 고용보험사업에 드는 비용의 일부를 일반회계에서 부담하여야 한다.
③ 피보험자가 사망한 경우에는 사망한 날에 그 피보험자격을 상실한다.
④ 고용보험법에 따른 보험관계의 성립 및 소멸에 대하여는 고용보험 및 산업재해보상보험의 보험료징수 등에 관한 법률로 정하는 바에 따른다.
⑤ 구직급여는 수급자격자가 실업한 상태에 있는 날 중에서 직업안정기관의 장으로부터 실업의 인정을 받은 날에 대하여 지급한다.</v>
      </c>
      <c r="F152" s="30">
        <f>IFERROR(VLOOKUP(C152,기출문제!D:G,4,0),"")</f>
        <v>3</v>
      </c>
      <c r="G152" s="31" t="str">
        <f t="shared" si="2"/>
        <v/>
      </c>
      <c r="J152" s="23"/>
    </row>
    <row r="153" spans="2:10" s="21" customFormat="1" ht="85.5" x14ac:dyDescent="0.3">
      <c r="B153" s="17">
        <v>146</v>
      </c>
      <c r="C153" s="27" t="s">
        <v>1003</v>
      </c>
      <c r="D153" s="17"/>
      <c r="E153" s="29" t="str">
        <f>IFERROR(VLOOKUP(C153,기출문제!D:G,3,0),"")</f>
        <v>81. 고용보험법령상 폐업한 자영업자인 피보험자의 구직급여 수급 요건으로 옳지 않은 것은?
① 법령을 위반하여 허가 취소를 받음에 따라 폐업한 경우가 아니어야 한다.
② 폐업일 이전 18개월간 자영업자인 피보험자로서 갖춘 피보험 단위기간이 통산하여 180일 이상이어야 한다.
③ 법령을 위반하여 영업 정지를 받음에 따라 폐업한 경우가 아니어야 한다.
④ 재취업을 위한 노력을 적극적으로 하여야 한다.
⑤ 근로의 의사와 능력이 있음에도 불구하고 취업을 하지 못한 상태에 있어야 한다.</v>
      </c>
      <c r="F153" s="30">
        <f>IFERROR(VLOOKUP(C153,기출문제!D:G,4,0),"")</f>
        <v>2</v>
      </c>
      <c r="G153" s="31" t="str">
        <f t="shared" si="2"/>
        <v/>
      </c>
      <c r="J153" s="23"/>
    </row>
    <row r="154" spans="2:10" s="21" customFormat="1" ht="99.75" x14ac:dyDescent="0.3">
      <c r="B154" s="17">
        <v>147</v>
      </c>
      <c r="C154" s="27" t="s">
        <v>1004</v>
      </c>
      <c r="D154" s="17"/>
      <c r="E154" s="29" t="str">
        <f>IFERROR(VLOOKUP(C154,기출문제!D:G,3,0),"")</f>
        <v>82. 고용보험법령상 심사 및 재심사에 관한 설명으로 옳지 않은 것은?
① 실업급여에 관한 처분에 이의가 있는 자는 고용보험심사관에게 심사를 청구할 수 있다.
② 심사의 청구가 법령으로 정한 방식을 위반하여 보정하지 못할 것인 경우에 고용보험심사관은 그 심사의 청구를 결정으로 각하하여야 한다.
③ 재심사청구인은 법정대리인 외에 자신의 형제자매를 대리인으로 선임할 수 없다.
④ 심사 및 재심사의 청구는 시효중단에 관하여 재판상의 청구로 본다.
⑤ 재심사청구에 대한 심리는 공개로 하나, 당사자의 양쪽 또는 어느 한 쪽이 신청한 경우에는 공개하지 아니할 수 있다.</v>
      </c>
      <c r="F154" s="30">
        <f>IFERROR(VLOOKUP(C154,기출문제!D:G,4,0),"")</f>
        <v>3</v>
      </c>
      <c r="G154" s="31" t="str">
        <f t="shared" si="2"/>
        <v/>
      </c>
      <c r="J154" s="23"/>
    </row>
    <row r="155" spans="2:10" s="21" customFormat="1" ht="156.75" x14ac:dyDescent="0.3">
      <c r="B155" s="17">
        <v>148</v>
      </c>
      <c r="C155" s="27" t="s">
        <v>1005</v>
      </c>
      <c r="D155" s="17"/>
      <c r="E155" s="29" t="str">
        <f>IFERROR(VLOOKUP(C155,기출문제!D:G,3,0),"")</f>
        <v>83. 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
① ㄱ, ㄴ, ㅁ
② ㄴ, ㄷ, ㄹ
③ ㄷ, ㄹ, ㅁ
④ ㄱ, ㄴ, ㄷ, ㄹ
⑤ ㄱ, ㄷ, ㄹ, ㅁ</v>
      </c>
      <c r="F155" s="30">
        <f>IFERROR(VLOOKUP(C155,기출문제!D:G,4,0),"")</f>
        <v>4</v>
      </c>
      <c r="G155" s="31" t="str">
        <f t="shared" si="2"/>
        <v/>
      </c>
      <c r="J155" s="23"/>
    </row>
    <row r="156" spans="2:10" s="21" customFormat="1" ht="114" x14ac:dyDescent="0.3">
      <c r="B156" s="17">
        <v>149</v>
      </c>
      <c r="C156" s="27" t="s">
        <v>1006</v>
      </c>
      <c r="D156" s="17"/>
      <c r="E156" s="29" t="str">
        <f>IFERROR(VLOOKUP(C156,기출문제!D:G,3,0),"")</f>
        <v>84. 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
① 월보수총액
② 월보험료액
③ 3개월 평균임금
④ 월 최저임금액
⑤ 실업급여수급계좌에 입금된 금액 전액</v>
      </c>
      <c r="F156" s="30">
        <f>IFERROR(VLOOKUP(C156,기출문제!D:G,4,0),"")</f>
        <v>5</v>
      </c>
      <c r="G156" s="31" t="str">
        <f t="shared" si="2"/>
        <v/>
      </c>
      <c r="J156" s="23"/>
    </row>
    <row r="157" spans="2:10" s="21" customFormat="1" ht="85.5" x14ac:dyDescent="0.3">
      <c r="B157" s="17">
        <v>150</v>
      </c>
      <c r="C157" s="27" t="s">
        <v>1007</v>
      </c>
      <c r="D157" s="17"/>
      <c r="E157" s="29" t="str">
        <f>IFERROR(VLOOKUP(C157,기출문제!D:G,3,0),"")</f>
        <v>85. 산업재해보상보험법령상 보험급여 중 시효의 완성 기간이 다른 것은?
① 요양급여를 받을 권리
② 간병급여를 받을 권리
③ 상병보상연금을 받을 권리
④ 장례비를 받을 권리
⑤ 직업재활급여를 받을 권리</v>
      </c>
      <c r="F157" s="30">
        <f>IFERROR(VLOOKUP(C157,기출문제!D:G,4,0),"")</f>
        <v>4</v>
      </c>
      <c r="G157" s="31" t="str">
        <f t="shared" si="2"/>
        <v/>
      </c>
      <c r="J157" s="23"/>
    </row>
    <row r="158" spans="2:10" s="21" customFormat="1" ht="142.5" x14ac:dyDescent="0.3">
      <c r="B158" s="17">
        <v>151</v>
      </c>
      <c r="C158" s="27" t="s">
        <v>1008</v>
      </c>
      <c r="D158" s="17"/>
      <c r="E158" s="29" t="str">
        <f>IFERROR(VLOOKUP(C158,기출문제!D:G,3,0),"")</f>
        <v>86. 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
① ㄱ, ㄴ
② ㄱ, ㄹ
③ ㄴ, ㄷ
④ ㄱ, ㄷ, ㄹ
⑤ ㄱ, ㄴ, ㄷ, ㄹ</v>
      </c>
      <c r="F158" s="30">
        <f>IFERROR(VLOOKUP(C158,기출문제!D:G,4,0),"")</f>
        <v>5</v>
      </c>
      <c r="G158" s="31" t="str">
        <f t="shared" si="2"/>
        <v/>
      </c>
      <c r="J158" s="23"/>
    </row>
    <row r="159" spans="2:10" s="21" customFormat="1" ht="85.5" x14ac:dyDescent="0.3">
      <c r="B159" s="17">
        <v>152</v>
      </c>
      <c r="C159" s="27" t="s">
        <v>1009</v>
      </c>
      <c r="D159" s="17"/>
      <c r="E159" s="32" t="str">
        <f>IFERROR(VLOOKUP(C159,기출문제!D:G,3,0),"")</f>
        <v>87. 산업재해보상보험법령상 특수형태근로종사자의 범위에 해당하지 않는 자는?
① 한국표준직업분류표의 세세분류에 따른 학습지 교사
② 택배업을 하는 사람으로서 둘 이상의 퀵서비스업자로부터 업무를 의뢰받아 직원을 채용하여 배송 업무를 하는 사람
③ 보험을 모집하는 보험업법에 따른 보험설계사
④ 체육시설의 설치・이용에 관한 법률에 따라 직장체육시설로 설치된 골프장에서 골프경기를 보조하는 골프장 캐디
⑤ 여신전문금융업법에 따른 신용카드회원 모집인</v>
      </c>
      <c r="F159" s="30">
        <f>IFERROR(VLOOKUP(C159,기출문제!D:G,4,0),"")</f>
        <v>2</v>
      </c>
      <c r="G159" s="31" t="str">
        <f t="shared" si="2"/>
        <v/>
      </c>
      <c r="J159" s="23"/>
    </row>
    <row r="160" spans="2:10" s="21" customFormat="1" ht="85.5" x14ac:dyDescent="0.3">
      <c r="B160" s="17">
        <v>153</v>
      </c>
      <c r="C160" s="27" t="s">
        <v>1010</v>
      </c>
      <c r="D160" s="17"/>
      <c r="E160" s="29" t="str">
        <f>IFERROR(VLOOKUP(C160,기출문제!D:G,3,0),"")</f>
        <v>88. 산업재해보상보험법령상 심사청구의 대상이 아닌 것은?
① 약제비에 관한 결정
② 보험급여에 관한 결정
③ 보험료 부과에 관한 결정
④ 수급권의 대위에 관한 결정
⑤ 부당이득의 징수에 관한 결정</v>
      </c>
      <c r="F160" s="30">
        <f>IFERROR(VLOOKUP(C160,기출문제!D:G,4,0),"")</f>
        <v>3</v>
      </c>
      <c r="G160" s="31" t="str">
        <f t="shared" si="2"/>
        <v/>
      </c>
      <c r="J160" s="23"/>
    </row>
    <row r="161" spans="2:10" s="21" customFormat="1" ht="85.5" x14ac:dyDescent="0.3">
      <c r="B161" s="17">
        <v>154</v>
      </c>
      <c r="C161" s="27" t="s">
        <v>1011</v>
      </c>
      <c r="D161" s="17"/>
      <c r="E161" s="29" t="str">
        <f>IFERROR(VLOOKUP(C161,기출문제!D:G,3,0),"")</f>
        <v>89. 산업재해보상보험법령상 보험급여에 관한 설명으로 옳은 것은?
① 부상 또는 질병이 7일 이내의 요양으로 치유될 수 있으면 요양급여를 지급하지 아니한다.
② 요양급여의 신청을 한 자는 근로복지공단이 요양급여에 관한 결정을 하기 전에는 국민건강보험법상 요양급여를 받을 수 있다.
③ 장해급여는 근로자가 업무상의 사유로 질병에 걸려 치유된 후 신체 등에 장해가 있는 경우에 한국장애인고용공단에서 지급한다.
④ 장해보상연금의 수급권자가 재요양을 받는 경우에는 그 연금의 지급을 정지한다.
⑤ 간병급여는 실제로 간병을 실시한 자에게 직접 지급한다.</v>
      </c>
      <c r="F161" s="30">
        <f>IFERROR(VLOOKUP(C161,기출문제!D:G,4,0),"")</f>
        <v>2</v>
      </c>
      <c r="G161" s="31" t="str">
        <f t="shared" si="2"/>
        <v/>
      </c>
      <c r="J161" s="23"/>
    </row>
    <row r="162" spans="2:10" s="21" customFormat="1" ht="171" x14ac:dyDescent="0.3">
      <c r="B162" s="17">
        <v>155</v>
      </c>
      <c r="C162" s="27" t="s">
        <v>1012</v>
      </c>
      <c r="D162" s="17"/>
      <c r="E162" s="29" t="str">
        <f>IFERROR(VLOOKUP(C162,기출문제!D:G,3,0),"")</f>
        <v>90. 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
① 1개
② 2개
③ 3개
④ 4개
⑤ 5개</v>
      </c>
      <c r="F162" s="30">
        <f>IFERROR(VLOOKUP(C162,기출문제!D:G,4,0),"")</f>
        <v>5</v>
      </c>
      <c r="G162" s="31" t="str">
        <f t="shared" si="2"/>
        <v/>
      </c>
      <c r="J162" s="23"/>
    </row>
    <row r="163" spans="2:10" s="21" customFormat="1" ht="142.5" x14ac:dyDescent="0.3">
      <c r="B163" s="17">
        <v>156</v>
      </c>
      <c r="C163" s="27" t="s">
        <v>1013</v>
      </c>
      <c r="D163" s="17"/>
      <c r="E163" s="29" t="str">
        <f>IFERROR(VLOOKUP(C163,기출문제!D:G,3,0),"")</f>
        <v>91. 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
① ㄱ: 50, ㄴ: 6, ㄷ: 12
② ㄱ: 50, ㄴ: 12, ㄷ: 18
③ ㄱ: 60, ㄴ: 6, ㄷ: 12
④ ㄱ: 60, ㄴ: 6, ㄷ: 18
⑤ ㄱ: 60, ㄴ: 12, ㄷ: 18</v>
      </c>
      <c r="F163" s="30">
        <f>IFERROR(VLOOKUP(C163,기출문제!D:G,4,0),"")</f>
        <v>2</v>
      </c>
      <c r="G163" s="31" t="str">
        <f t="shared" si="2"/>
        <v/>
      </c>
      <c r="J163" s="23"/>
    </row>
    <row r="164" spans="2:10" s="21" customFormat="1" ht="99.75" x14ac:dyDescent="0.3">
      <c r="B164" s="17">
        <v>157</v>
      </c>
      <c r="C164" s="27" t="s">
        <v>1014</v>
      </c>
      <c r="D164" s="17"/>
      <c r="E164" s="29" t="str">
        <f>IFERROR(VLOOKUP(C164,기출문제!D:G,3,0),"")</f>
        <v>92. 국민연금법령상 유족연금에 관한 설명으로 옳은 것은?
① 사실상의 혼인관계에 있는 배우자는 유족연금을 지급받을 수 있는 유족에 해당하지 않는다.
② 수급권자가 산업재해보상보험법에 의한 유족급여를 받는 경우에는 유족연금을 지급하지 않는다.
③ 유족연금을 지급받을 수 있는 유족의 범위는 배우자, 자녀, 부모, 손자녀, 조부모 및 형제자매이다.
④ 유족연금 수급권자인 자녀가 사망 시 다음 순위자인 부모에게 유족연금을 지급한다.
⑤ 부모, 손자녀 또는 조부모인 유족의 유족연금 수급권은 가입자 또는 가입자였던 사람이 사망할 당시에 그 가입자 또는 가입자였던 사람의 태아가 출생하여 수급권을 갖게 되면 소멸한다.</v>
      </c>
      <c r="F164" s="30">
        <f>IFERROR(VLOOKUP(C164,기출문제!D:G,4,0),"")</f>
        <v>5</v>
      </c>
      <c r="G164" s="31" t="str">
        <f t="shared" si="2"/>
        <v/>
      </c>
      <c r="J164" s="23"/>
    </row>
    <row r="165" spans="2:10" s="21" customFormat="1" ht="128.25" x14ac:dyDescent="0.3">
      <c r="B165" s="17">
        <v>158</v>
      </c>
      <c r="C165" s="27" t="s">
        <v>1015</v>
      </c>
      <c r="D165" s="17"/>
      <c r="E165" s="29" t="str">
        <f>IFERROR(VLOOKUP(C165,기출문제!D:G,3,0),"")</f>
        <v>93. 국민건강보험법령상 급여의 제한 및 정지에 관한 설명으로 옳지 않은 것은?
① 국민건강보험공단은 보험급여를 받을 수 있는 사람이 중대한 과실로 인한 범죄행위에 그 원인이 있는 경우 보험급여를 하지 아니한다.
② 국민건강보험공단은 보험급여를 받을 수 있는 사람이 다른 법령에 따라 국가로부터 보험급여에 상당하는 비용을 지급받게 되는 경우에는 그 한도에서 보험급여를 하지 아니한다.
③ 보험급여를 받을 수 있는 사람이 국외에 여행 중인 경우 그 기간에는 보험급여를 하지 아니한다.
④ 국민건강보험공단은 지역가입자가 1개월 이상 세대단위의 보험료를 체납한 경우 그 체납한 보험료를 완납할 때까지 그 가입자를 제외한 피부양자에 대하여 보험급여를 실시하지 아니한다.
⑤ 보험급여를 받을 수 있는 사람이 국외에서 업무에 종사하고 있는 경우 그 기간에는 보험급여를 하지 아니한다.</v>
      </c>
      <c r="F165" s="30">
        <f>IFERROR(VLOOKUP(C165,기출문제!D:G,4,0),"")</f>
        <v>4</v>
      </c>
      <c r="G165" s="31" t="str">
        <f t="shared" si="2"/>
        <v/>
      </c>
      <c r="J165" s="23"/>
    </row>
    <row r="166" spans="2:10" s="21" customFormat="1" ht="114" x14ac:dyDescent="0.3">
      <c r="B166" s="17">
        <v>159</v>
      </c>
      <c r="C166" s="27" t="s">
        <v>1016</v>
      </c>
      <c r="D166" s="17"/>
      <c r="E166" s="29" t="str">
        <f>IFERROR(VLOOKUP(C166,기출문제!D:G,3,0),"")</f>
        <v>94. 국민건강보험법령상 보험료에 관한 설명으로 옳지 않은 것은?
① 지역가입자의 월별 보험료액은 세대 단위로 산정한다.
② 직장가입자의 소득월액보험료는 직장가입자가 부담한다.
③ 지역가입자의 보험료는 그 가입자가 속한 세대의 지역가입자 전원이 연대하여 부담한다.
④ 직장가입자가 교직원으로서 사립학교에 근무하는 교원인 경우 보수월액보험료는 그 직장가입자와 사립학교를 설립・운영하는 자가 각각 보험료액의 100분의 50씩 부담한다.
⑤ 직장가입자가 공무원인 경우 보수월액보험료는 그 직장가입자와 그 공무원이 소속되어 있는 국가 또는 지방자치단체가 각각 보험료액의 100분의 50씩 부담한다.</v>
      </c>
      <c r="F166" s="30">
        <f>IFERROR(VLOOKUP(C166,기출문제!D:G,4,0),"")</f>
        <v>4</v>
      </c>
      <c r="G166" s="31" t="str">
        <f t="shared" si="2"/>
        <v/>
      </c>
      <c r="J166" s="23"/>
    </row>
    <row r="167" spans="2:10" s="21" customFormat="1" ht="85.5" x14ac:dyDescent="0.3">
      <c r="B167" s="17">
        <v>160</v>
      </c>
      <c r="C167" s="27" t="s">
        <v>1017</v>
      </c>
      <c r="D167" s="17"/>
      <c r="E167" s="29" t="str">
        <f>IFERROR(VLOOKUP(C167,기출문제!D:G,3,0),"")</f>
        <v>95. 국민건강보험법령상 보험료의 경감 대상이 될 수 있는 가입자는?
① 직장가입자로서 65세 이상인 사람
② 직장가입자로서 출산 휴가 중인 사람
③ 직장가입자 중 휴직기간이 1개월 이상인 사람
④ 직장가입자 중 장애인복지법에 따라 등록한 장애인
⑤ 직장가입자 중 국가유공자 등 예우 및 지원에 관한 법률에 따른 국가유공자</v>
      </c>
      <c r="F167" s="30">
        <f>IFERROR(VLOOKUP(C167,기출문제!D:G,4,0),"")</f>
        <v>3</v>
      </c>
      <c r="G167" s="31" t="str">
        <f t="shared" si="2"/>
        <v/>
      </c>
      <c r="J167" s="23"/>
    </row>
    <row r="168" spans="2:10" s="21" customFormat="1" ht="99.75" x14ac:dyDescent="0.3">
      <c r="B168" s="17">
        <v>161</v>
      </c>
      <c r="C168" s="27" t="s">
        <v>1018</v>
      </c>
      <c r="D168" s="17"/>
      <c r="E168" s="29" t="str">
        <f>IFERROR(VLOOKUP(C168,기출문제!D:G,3,0),"")</f>
        <v>96. 고용보험 및 산업재해보상보험의 보험료징수 등에 관한 법령의 내용으로 옳은 것은?
① 사업의 도산으로 보수 관련 자료가 없는 경우에는 고용노동부장관이 정하여 고시하는 금액을 보수로 할 수 있다.
② 원수급인으로부터 사업의 전부를 도급받아 하는 자는 하수급인에 해당하지 않는다.
③ 고용보험료를 징수하는 경우에는 근로자가 휴직기간 중에 사업주 외의 자로부터 지급받는 금품 일체는 보수로 보지 않는다.
④ 보험에 가입한 사업주는 사업의 명칭 및 소재지, 사업의 종류 등이 변경된 경우에는 다음 보험연도 첫날부터 14일 이내에 그 변경사항을 근로복지공단에 신고하여야 한다.
⑤ 산업재해보상보험법을 적용받는 사업의 사업주는 근로복지공단의 승인을 받아 산업재해보상보험에 가입할 수 있다.</v>
      </c>
      <c r="F168" s="30">
        <f>IFERROR(VLOOKUP(C168,기출문제!D:G,4,0),"")</f>
        <v>1</v>
      </c>
      <c r="G168" s="31" t="str">
        <f t="shared" si="2"/>
        <v/>
      </c>
      <c r="J168" s="23"/>
    </row>
    <row r="169" spans="2:10" s="21" customFormat="1" ht="99.75" x14ac:dyDescent="0.3">
      <c r="B169" s="17">
        <v>162</v>
      </c>
      <c r="C169" s="27" t="s">
        <v>1019</v>
      </c>
      <c r="D169" s="17"/>
      <c r="E169" s="29" t="str">
        <f>IFERROR(VLOOKUP(C169,기출문제!D:G,3,0),"")</f>
        <v>97. 고용보험 및 산업재해보상보험의 보험료징수 등에 관한 법령상 보험사무대행기관에 보험사무를 위임할 수 있는 업무의 범위가 아닌 것은?
① 확정보험료의 부과
② 개산보험료의 신고
③ 고용보험 피보험자의 자격 관리에 관한 사무
④ 보험관계의 소멸의 신고
⑤ 보험관계의 변경의 신고</v>
      </c>
      <c r="F169" s="30">
        <f>IFERROR(VLOOKUP(C169,기출문제!D:G,4,0),"")</f>
        <v>1</v>
      </c>
      <c r="G169" s="31" t="str">
        <f t="shared" si="2"/>
        <v/>
      </c>
      <c r="J169" s="23"/>
    </row>
    <row r="170" spans="2:10" s="21" customFormat="1" ht="142.5" x14ac:dyDescent="0.3">
      <c r="B170" s="17">
        <v>163</v>
      </c>
      <c r="C170" s="27" t="s">
        <v>1020</v>
      </c>
      <c r="D170" s="17"/>
      <c r="E170" s="29" t="str">
        <f>IFERROR(VLOOKUP(C170,기출문제!D:G,3,0),"")</f>
        <v>98. 고용보험 및 산업재해보상보험의 보험료징수 등에 관한 법령의 내용으로 옳지 않은 것은?
① 근로복지공단은 사업 실체가 없는 등의 사유로 계속하여 보험관계를 유지할 수 없다고 인정하는 경우에는 그 보험관계를 소멸시킬 수 있다.
② 근로자가 동일한 사업주의 하나의 사업장에서 다른 사업장으로 전근되는 경우에는 그 근로자에 대한 그 월별보험료는 해당 월의 다음 달 부터 산정한다.
③ 근로복지공단은 소멸시효가 완성된 경우에는 고용노동부장관의 승인을 받아 보험료와 이 법에 따른 그 밖의 징수금을 결손처분할 수 있다.
④ 사업종류의 변경으로 보험료 납부방법이 변경되는 경우에는 사업종류의 변경일 전일을 변경 전 사업 폐지일로, 사업종류의 변경일을 새로운 사업성립일로 본다.
⑤ 공동사업에 관계되는 보험료, 이 법에 따른 그 밖의 징수금과 체납처분비는 공동사업자가 연대하여 낼 의무를 진다.</v>
      </c>
      <c r="F170" s="30">
        <f>IFERROR(VLOOKUP(C170,기출문제!D:G,4,0),"")</f>
        <v>3</v>
      </c>
      <c r="G170" s="31" t="str">
        <f t="shared" si="2"/>
        <v/>
      </c>
      <c r="J170" s="23"/>
    </row>
    <row r="171" spans="2:10" s="21" customFormat="1" ht="142.5" x14ac:dyDescent="0.3">
      <c r="B171" s="17">
        <v>164</v>
      </c>
      <c r="C171" s="27" t="s">
        <v>1021</v>
      </c>
      <c r="D171" s="17"/>
      <c r="E171" s="29" t="str">
        <f>IFERROR(VLOOKUP(C171,기출문제!D:G,3,0),"")</f>
        <v>99. 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
① ㄱ: 100분의 20, ㄴ: 1천분의 13
② ㄱ: 100분의 20, ㄴ: 1천분의 20
③ ㄱ: 100분의 30, ㄴ: 1천분의 13
④ ㄱ: 100분의 30, ㄴ: 1천분의 20
⑤ ㄱ: 100분의 30, ㄴ: 1천분의 25</v>
      </c>
      <c r="F171" s="30">
        <f>IFERROR(VLOOKUP(C171,기출문제!D:G,4,0),"")</f>
        <v>4</v>
      </c>
      <c r="G171" s="31" t="str">
        <f t="shared" si="2"/>
        <v/>
      </c>
      <c r="J171" s="23"/>
    </row>
    <row r="172" spans="2:10" s="21" customFormat="1" ht="99.75" x14ac:dyDescent="0.3">
      <c r="B172" s="17">
        <v>165</v>
      </c>
      <c r="C172" s="27" t="s">
        <v>1022</v>
      </c>
      <c r="D172" s="17"/>
      <c r="E172" s="29" t="str">
        <f>IFERROR(VLOOKUP(C172,기출문제!D:G,3,0),"")</f>
        <v>100. 고용보험 및 산업재해보상보험의 보험료징수 등에 관한 법령상 보험료율의 인상 또는 인하 등에 따른 조치로 옳지 않은 것은?
① 보험료율이 인상된 경우 근로복지공단은 월별보험료를 증액 조정한다.
② 보험료율이 인상된 경우 국민건강보험공단은 개산보험료를 증액 조정한다.
③ 보험료율 인상으로 개산보험료가 증액된 때에는 근로복지공단이 징수한다.
④ 보험료율 인상으로 월별보험료가 증액된 때에는 국민건강보험공단이 징수한다.
⑤ 근로복지공단은 보험료를 감액 조정한 경우에는 보험료율의 인하를 결정한 날부터 20일 이내에 그 감액 조정 사실을 사업주에게 알려야 한다.</v>
      </c>
      <c r="F172" s="30">
        <f>IFERROR(VLOOKUP(C172,기출문제!D:G,4,0),"")</f>
        <v>2</v>
      </c>
      <c r="G172" s="31" t="str">
        <f t="shared" si="2"/>
        <v/>
      </c>
      <c r="J172" s="23"/>
    </row>
    <row r="173" spans="2:10" s="21" customFormat="1" ht="85.5" x14ac:dyDescent="0.3">
      <c r="B173" s="17">
        <v>166</v>
      </c>
      <c r="C173" s="27" t="s">
        <v>167</v>
      </c>
      <c r="D173" s="17"/>
      <c r="E173" s="29" t="str">
        <f>IFERROR(VLOOKUP(C173,기출문제!D:G,3,0),"")</f>
        <v>76. 사회보장기본법상 내용으로 옳은 것은?
① 국가는 중장기 사회보장 재정추계를 매년 실시하고 공표하여야 한다.
② 사회보장수급권의 포기는 취소할 수 없다.
③ 사회서비스란 사회적 위험을 보험의 방식으로 대처함으로써 국민의 건강과 소득을 보장하는 제도를 말한다.
④ 사회보장수급권은 다른 사람에게 양도할 수 있다.
⑤ 국가와 지방자치단체는 최저보장수준과 최저임금 등을 고려하여 사회보장급여의 수준을 결정하여야 한다.</v>
      </c>
      <c r="F173" s="30">
        <f>IFERROR(VLOOKUP(C173,기출문제!D:G,4,0),"")</f>
        <v>5</v>
      </c>
      <c r="G173" s="31" t="str">
        <f t="shared" si="2"/>
        <v/>
      </c>
      <c r="J173" s="23"/>
    </row>
    <row r="174" spans="2:10" s="21" customFormat="1" ht="114" x14ac:dyDescent="0.3">
      <c r="B174" s="17">
        <v>167</v>
      </c>
      <c r="C174" s="27" t="s">
        <v>1023</v>
      </c>
      <c r="D174" s="17"/>
      <c r="E174" s="29" t="str">
        <f>IFERROR(VLOOKUP(C174,기출문제!D:G,3,0),"")</f>
        <v>77. 사회보장기본법상 내용으로 옳지 않은 것은?
① 사회보장기본법은 사회보장에 관한 국민의 권리와 국가 및 지방자치단체의 책임을 정하고 있다.
② 사회보장은 사회참여・자아실현에 필요한 제도와 여건을 조성하여 사회통합과 행복한 복지사회를 실현하는 것을 기본 이념으로 한다.
③ 국가와 지방자치단체의 책임하에 생활 유지 능력이 없거나 생활이 어려운 국민의 최저생활을 보장하고 자립을 지원하는 제도를 공공부조라고 한다.
④ 사회보장위원회는 사회보장급여 관련 업무에 공통적으로 적용되는 기준을 마련하여야 한다.
⑤ 국내에 거주하는 외국인에게 사회보장제도를 적용할 때에는 상호주의의 원칙에 따르되, 관계 법령에서 정하는 바에 따른다.</v>
      </c>
      <c r="F174" s="30">
        <f>IFERROR(VLOOKUP(C174,기출문제!D:G,4,0),"")</f>
        <v>4</v>
      </c>
      <c r="G174" s="31" t="str">
        <f t="shared" si="2"/>
        <v/>
      </c>
      <c r="J174" s="23"/>
    </row>
    <row r="175" spans="2:10" s="21" customFormat="1" ht="142.5" x14ac:dyDescent="0.3">
      <c r="B175" s="17">
        <v>168</v>
      </c>
      <c r="C175" s="27" t="s">
        <v>1024</v>
      </c>
      <c r="D175" s="17"/>
      <c r="E175" s="29" t="str">
        <f>IFERROR(VLOOKUP(C175,기출문제!D:G,3,0),"")</f>
        <v>78. 사회보장기본법상 사회보장정보시스템의 구축・운영 등에 관한 설명으로 옳지 않은 것은?
① 보건복지부장관은 사회보장정보시스템의 구축・운영을 총괄한다.
② 국가와 지방자치단체는 국민편익의 증진과 사회보장업무의 효율성 향상을 위하여 사회보장업무를 전자적으로 관리하도록 노력하여야 한다.
③ 국가와 지방자치단체가 조사하거나 제공받은 개인・법인의 정보는 이 법과 관련 법률에 근거하지 아니하고 보유, 이용, 제공되어서는 아니 된다.
④ 관계 중앙행정기관 및 지방자치단체의 장은 사회보장정보와 관련하여 사회보장정보시스템의 활용이 필요한 경우 사전에 보건복지부장관과 협의하여야 한다.
⑤ 사회복지법인의 보조금 수급이력에 관한 자료는 사회보장정보시스템의 운영을 위하여 수집・보유할 수 있는 정보에 해당하지 않는다.</v>
      </c>
      <c r="F175" s="30">
        <f>IFERROR(VLOOKUP(C175,기출문제!D:G,4,0),"")</f>
        <v>5</v>
      </c>
      <c r="G175" s="31" t="str">
        <f t="shared" si="2"/>
        <v/>
      </c>
      <c r="J175" s="23"/>
    </row>
    <row r="176" spans="2:10" s="21" customFormat="1" ht="85.5" x14ac:dyDescent="0.3">
      <c r="B176" s="17">
        <v>169</v>
      </c>
      <c r="C176" s="27" t="s">
        <v>1025</v>
      </c>
      <c r="D176" s="17"/>
      <c r="E176" s="29" t="str">
        <f>IFERROR(VLOOKUP(C176,기출문제!D:G,3,0),"")</f>
        <v>79. 고용보험법령상 피보험기간이 4년인 자영업자인 경우 구직급여의 소정급여일수는?
① 90일
② 120일
③ 150일
④ 180일
⑤ 210일</v>
      </c>
      <c r="F176" s="30">
        <f>IFERROR(VLOOKUP(C176,기출문제!D:G,4,0),"")</f>
        <v>3</v>
      </c>
      <c r="G176" s="31" t="str">
        <f t="shared" si="2"/>
        <v/>
      </c>
      <c r="J176" s="23"/>
    </row>
    <row r="177" spans="2:10" s="21" customFormat="1" ht="85.5" x14ac:dyDescent="0.3">
      <c r="B177" s="17">
        <v>170</v>
      </c>
      <c r="C177" s="27" t="s">
        <v>1026</v>
      </c>
      <c r="D177" s="17"/>
      <c r="E177" s="29" t="str">
        <f>IFERROR(VLOOKUP(C177,기출문제!D:G,3,0),"")</f>
        <v>80. 고용보험법에서 사용하는 용어의 뜻으로 옳은 것은?
① 피보험자 : 근로기준법상 근로자와 사업주를 말한다.
② 이직 : 근로계약이 당사자의 합의에 의해 해지되는 것을 말하며, 정년퇴직은 포함되지 아니한다.
③ 실업 : 근로의 의사와 능력이 있음에도 불구하고 취업하지 못한 상태에 있는 것을 말한다.
④ 보수 : 사용자로부터 받는 일체의 금품을 말한다.
⑤ 일용근로자 : 3개월 미만 동안 고용된 자를 말한다.</v>
      </c>
      <c r="F177" s="30">
        <f>IFERROR(VLOOKUP(C177,기출문제!D:G,4,0),"")</f>
        <v>3</v>
      </c>
      <c r="G177" s="31" t="str">
        <f t="shared" si="2"/>
        <v/>
      </c>
      <c r="J177" s="23"/>
    </row>
    <row r="178" spans="2:10" s="21" customFormat="1" ht="114" x14ac:dyDescent="0.3">
      <c r="B178" s="17">
        <v>171</v>
      </c>
      <c r="C178" s="27" t="s">
        <v>1027</v>
      </c>
      <c r="D178" s="17"/>
      <c r="E178" s="29" t="str">
        <f>IFERROR(VLOOKUP(C178,기출문제!D:G,3,0),"")</f>
        <v>81. 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
① 15, 1
② 15, 3
③ 60, 1
④ 60, 3
⑤ 90, 1</v>
      </c>
      <c r="F178" s="30">
        <f>IFERROR(VLOOKUP(C178,기출문제!D:G,4,0),"")</f>
        <v>4</v>
      </c>
      <c r="G178" s="31" t="str">
        <f t="shared" si="2"/>
        <v/>
      </c>
      <c r="J178" s="23"/>
    </row>
    <row r="179" spans="2:10" s="21" customFormat="1" ht="85.5" x14ac:dyDescent="0.3">
      <c r="B179" s="17">
        <v>172</v>
      </c>
      <c r="C179" s="27" t="s">
        <v>1028</v>
      </c>
      <c r="D179" s="17"/>
      <c r="E179" s="29" t="str">
        <f>IFERROR(VLOOKUP(C179,기출문제!D:G,3,0),"")</f>
        <v>82. 고용보험법상 피보험자의 관리에 관한 내용으로 옳은 것은?
① 피보험자가 이직을 한 경우에는 이직한 날에 그 피보험자격을 상실한다.
② 이 법의 적용 제외 근로자였던 자가 이 법의 적용을 받게 된 경우에는 해당 사업에 고용된 날에 피보험자격을 취득한다.
③ 피보험자 또는 피보험자였던 자는 언제든지 고용노동부장관에게 피보험자격의 취득 또는 상실에 관한 확인을 청구할 수 있다.
④ 근로자가 보험관계가 성립되어 있는 두 개의 사업에 동시에 고용되어 있는 경우에는 두 개의 피보험자격을 취득한다.
⑤ 피보험자가 사망한 경우에는 사망한 날에 그 피보험자격을 상실한다.</v>
      </c>
      <c r="F179" s="30">
        <f>IFERROR(VLOOKUP(C179,기출문제!D:G,4,0),"")</f>
        <v>3</v>
      </c>
      <c r="G179" s="31" t="str">
        <f t="shared" si="2"/>
        <v/>
      </c>
      <c r="J179" s="23"/>
    </row>
    <row r="180" spans="2:10" s="21" customFormat="1" ht="99.75" x14ac:dyDescent="0.3">
      <c r="B180" s="17">
        <v>173</v>
      </c>
      <c r="C180" s="27" t="s">
        <v>1029</v>
      </c>
      <c r="D180" s="17"/>
      <c r="E180" s="29" t="str">
        <f>IFERROR(VLOOKUP(C180,기출문제!D:G,3,0),"")</f>
        <v>83. 고용보험법령상 구직급여에 관한 내용으로 옳지 않은 것은?
① 구직급여는 수급자격자가 실업한 상태에 있는 날 중에서 직업안정기관의 장으로부터 실업의 인정을 받은 날에 대하여 지급한다.
② 수급자격자가 인터넷 등을 이용하여 구인에 응모한 경우에는 적극적인 재취업 활동을 한 것으로 보지 아니한다.
③ 자영업자가 아닌 피보험자의 피보험 단위기간은 피보험기간 중 보수 지급의 기초가 된 날을 합하여 계산한다.
④ 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
⑤ 구직급여를 지급받으려는 자는 이직 후 지체없이 직업안정기관에 출석하여 실업을 신고해야 한다.</v>
      </c>
      <c r="F180" s="30">
        <f>IFERROR(VLOOKUP(C180,기출문제!D:G,4,0),"")</f>
        <v>2</v>
      </c>
      <c r="G180" s="31" t="str">
        <f t="shared" si="2"/>
        <v/>
      </c>
      <c r="J180" s="23"/>
    </row>
    <row r="181" spans="2:10" s="21" customFormat="1" ht="142.5" x14ac:dyDescent="0.3">
      <c r="B181" s="17">
        <v>174</v>
      </c>
      <c r="C181" s="27" t="s">
        <v>1030</v>
      </c>
      <c r="D181" s="17"/>
      <c r="E181" s="29" t="str">
        <f>IFERROR(VLOOKUP(C181,기출문제!D:G,3,0),"")</f>
        <v>84. 고용보험법령상 고용조정의 지원에 관한 내용으로 옳지 않은 것은?
① 고용노동부장관은 산업구조의 변화에 따른 사업의 전환으로 고용조정이 불가피하게 된 사업주가 근로자에 대한 휴직, 인력의 재배치 등을 실시하면 그 사업주에게 필요한 지원을 할 수 있다.
② 경영상 이유에 따른 사업주의 권고에 따라 퇴직이 예정된 자를 1개월 동안 이직시키지 아니한 경우에는 고용유지지원금을 지급한다.
③ 사업주가 고용유지조치 기간 동안 근로자를 새로 고용하는 경우에는 관할 직업안정기관의 장이 불가피하다고 인정하는 경우를 제외하고는 해당 달에 대한 고용유지지원금을 지급하지 아니한다.
④ 고용노동부장관은 신고한 고용유지조치계획과 다르게 고용유지조치를 이행한 사업주에게는 해당 사실이 발생한 날이 속한 달에 대한 고용유지지원금의 전부 또는 일부를 지급하지 아니할 수 있다.
⑤ 고용유지지원금을 받으려는 사업주는 그 사업의 근로자대표와 협의를 거쳐 고용유지조치계획을 수립해야 한다.</v>
      </c>
      <c r="F181" s="30">
        <f>IFERROR(VLOOKUP(C181,기출문제!D:G,4,0),"")</f>
        <v>2</v>
      </c>
      <c r="G181" s="31" t="str">
        <f t="shared" si="2"/>
        <v/>
      </c>
      <c r="J181" s="23"/>
    </row>
    <row r="182" spans="2:10" s="21" customFormat="1" ht="99.75" x14ac:dyDescent="0.3">
      <c r="B182" s="17">
        <v>175</v>
      </c>
      <c r="C182" s="27" t="s">
        <v>1031</v>
      </c>
      <c r="D182" s="17"/>
      <c r="E182" s="29" t="str">
        <f>IFERROR(VLOOKUP(C182,기출문제!D:G,3,0),"")</f>
        <v>85. 고용보험법령상 자영업자인 피보험자에 대한 실업급여 적용의 특례에 관한 내용으로 옳은 것은?
① 자영업자인 피보험자의 실업급여의 종류에는 조기재취업 수당이 포함된다.
② 자영업자인 피보험자의 실업급여에는 취업촉진 수당이 포함되지 아니한다.
③ 자영업자인 피보험자로서 폐업한 수급자격자에 대한 구직급여일액은 그 수급자격자의 기초일액에 100분의 60을 곱한 금액으로 한다.
④ 폐업사유에 관계없이 수급자격이 인정된다.
⑤ 폐업한 자영업자인 피보험자의 구직급여 수급요건에 재취업을 위한 노력을 적극적으로 하는 것은 포함되지 아니한다.</v>
      </c>
      <c r="F182" s="30">
        <f>IFERROR(VLOOKUP(C182,기출문제!D:G,4,0),"")</f>
        <v>3</v>
      </c>
      <c r="G182" s="31" t="str">
        <f t="shared" si="2"/>
        <v/>
      </c>
      <c r="J182" s="23"/>
    </row>
    <row r="183" spans="2:10" s="21" customFormat="1" ht="128.25" x14ac:dyDescent="0.3">
      <c r="B183" s="17">
        <v>176</v>
      </c>
      <c r="C183" s="27" t="s">
        <v>1032</v>
      </c>
      <c r="D183" s="17"/>
      <c r="E183" s="29" t="str">
        <f>IFERROR(VLOOKUP(C183,기출문제!D:G,3,0),"")</f>
        <v>86. 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
① ㄱ
② ㄴ
③ ㄱ, ㄴ
④ ㄴ, ㄷ
⑤ ㄱ, ㄴ, ㄷ</v>
      </c>
      <c r="F183" s="30">
        <f>IFERROR(VLOOKUP(C183,기출문제!D:G,4,0),"")</f>
        <v>3</v>
      </c>
      <c r="G183" s="31" t="str">
        <f t="shared" si="2"/>
        <v/>
      </c>
      <c r="J183" s="23"/>
    </row>
    <row r="184" spans="2:10" s="21" customFormat="1" ht="142.5" x14ac:dyDescent="0.3">
      <c r="B184" s="17">
        <v>177</v>
      </c>
      <c r="C184" s="27" t="s">
        <v>1033</v>
      </c>
      <c r="D184" s="17"/>
      <c r="E184" s="29" t="str">
        <f>IFERROR(VLOOKUP(C184,기출문제!D:G,3,0),"")</f>
        <v>87. 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
① ㄱ, ㄷ
② ㄴ, ㄹ
③ ㄱ, ㄴ, ㄹ
④ ㄴ, ㄷ, ㄹ
⑤ ㄱ, ㄴ, ㄷ, ㄹ</v>
      </c>
      <c r="F184" s="30">
        <f>IFERROR(VLOOKUP(C184,기출문제!D:G,4,0),"")</f>
        <v>5</v>
      </c>
      <c r="G184" s="31" t="str">
        <f t="shared" si="2"/>
        <v/>
      </c>
      <c r="J184" s="23"/>
    </row>
    <row r="185" spans="2:10" s="21" customFormat="1" ht="128.25" x14ac:dyDescent="0.3">
      <c r="B185" s="17">
        <v>178</v>
      </c>
      <c r="C185" s="27" t="s">
        <v>1034</v>
      </c>
      <c r="D185" s="17"/>
      <c r="E185" s="29" t="str">
        <f>IFERROR(VLOOKUP(C185,기출문제!D:G,3,0),"")</f>
        <v>88. 산업재해보상보험법령상 보험급여에 관한 설명으로 옳지 않은 것은?
① 장해급여 청구사유 발생 당시 대한민국 국민이 아닌 자로서 외국에서 거주하고 있는 근로자에게는 장해보상일시금을 지급한다.
② 2급 장해등급 근로자에게는 장해보상연금 또는 장해보상일시금을 근로자의 선택에 따라 지급한다.
③ 장례비는 장례를 지낼 유족이 없는 경우에는 평균임금의 120일분에 상당하는 금액의 범위에서 실제 드는 비용을 그 장례를 지낸 자에게 지급한다.
④ 상병보상연금을 산정할 때 평균임금이 최저임금액의 70분의 100보다 적을 때에는 최저임금액의 70분의 100에 해당하는 금액을 평균임금으로 본다.
⑤ 요양급여는 소정의 산재보험 의료기관에서 요양을 하게 하는 것이고 부득이한 경우에는 요양을 갈음하여 요양비를 지급할 수 있다.</v>
      </c>
      <c r="F185" s="30">
        <f>IFERROR(VLOOKUP(C185,기출문제!D:G,4,0),"")</f>
        <v>2</v>
      </c>
      <c r="G185" s="31" t="str">
        <f t="shared" si="2"/>
        <v/>
      </c>
      <c r="J185" s="23"/>
    </row>
    <row r="186" spans="2:10" s="21" customFormat="1" ht="99.75" x14ac:dyDescent="0.3">
      <c r="B186" s="17">
        <v>179</v>
      </c>
      <c r="C186" s="27" t="s">
        <v>1035</v>
      </c>
      <c r="D186" s="17"/>
      <c r="E186" s="29" t="str">
        <f>IFERROR(VLOOKUP(C186,기출문제!D:G,3,0),"")</f>
        <v>89. 산업재해보상보험법에 관한 설명으로 옳은 것은?
① 근로자를 진료한 산재보험 의료기관은 요양급여의 신청을 대행할 수 없다.
② 보험급여는 지급결정일로부터 30일 이내에 지급하여야 한다.
③ 근로복지공단은 제3자의 행위에 따른 재해로 보험급여를 지급한 경우에는 손해배상청구권을 대위할 수 없다.
④ 요양급여가 지급된 후 그 지급결정이 취소된 경우 국민건강보험공단은 그 건강보험 요양급여액을 근로복지공단에 청구할 수 있다.
⑤ 보험급여로서 지급된 금품에 대하여는 국가나 지방자치단체의 공과금을 부과하지 아니한다.</v>
      </c>
      <c r="F186" s="30">
        <f>IFERROR(VLOOKUP(C186,기출문제!D:G,4,0),"")</f>
        <v>5</v>
      </c>
      <c r="G186" s="31" t="str">
        <f t="shared" si="2"/>
        <v/>
      </c>
      <c r="J186" s="23"/>
    </row>
    <row r="187" spans="2:10" s="21" customFormat="1" ht="85.5" x14ac:dyDescent="0.3">
      <c r="B187" s="17">
        <v>180</v>
      </c>
      <c r="C187" s="27" t="s">
        <v>1036</v>
      </c>
      <c r="D187" s="17"/>
      <c r="E187" s="32" t="str">
        <f>IFERROR(VLOOKUP(C187,기출문제!D:G,3,0),"")</f>
        <v>90. 산업재해보상보험법령상 특수형태근로종사자의 직종에 해당하는 자는?
① 여신전문금융업법에 따른 신용카드회원 모집인
② 예술인 복지법에 따른 예술인
③ 화물자동차 운수사업법에 따른 화물자동차 운송사업자
④ 자동차관리법에 따른 자동차정비업자
⑤ 여객자동차 운수사업법에 따른 여객자동차 운송사업자</v>
      </c>
      <c r="F187" s="30">
        <f>IFERROR(VLOOKUP(C187,기출문제!D:G,4,0),"")</f>
        <v>1</v>
      </c>
      <c r="G187" s="31" t="str">
        <f t="shared" si="2"/>
        <v/>
      </c>
      <c r="J187" s="23"/>
    </row>
    <row r="188" spans="2:10" s="21" customFormat="1" ht="85.5" x14ac:dyDescent="0.3">
      <c r="B188" s="17">
        <v>181</v>
      </c>
      <c r="C188" s="27" t="s">
        <v>1037</v>
      </c>
      <c r="D188" s="17"/>
      <c r="E188" s="29" t="str">
        <f>IFERROR(VLOOKUP(C188,기출문제!D:G,3,0),"")</f>
        <v>91. 산업재해보상보험법상 과태료 부과 대상이 아닌 경우는?
① 거짓으로 보험급여를 받은 경우
② 심사 청구의 심리・결정 등을 위하여 확인이 필요하다고 인정된 사업장의 조사를 거부한 경우
③ 보험급여 결정 등을 위하여 확인이 필요하다고 인정된 사업장의 조사를 방해한 경우
④ 유사명칭의 사용 금지를 위반하여 근로복지공단 또는 이와 비슷한 명칭을 사용한 경우
⑤ 요양기간을 연장할 필요가 있는 때 제출해야할 진료계획을 정당한 사유 없이 제출하지 아니한 경우</v>
      </c>
      <c r="F188" s="30">
        <f>IFERROR(VLOOKUP(C188,기출문제!D:G,4,0),"")</f>
        <v>1</v>
      </c>
      <c r="G188" s="31" t="str">
        <f t="shared" si="2"/>
        <v/>
      </c>
      <c r="J188" s="23"/>
    </row>
    <row r="189" spans="2:10" s="21" customFormat="1" ht="142.5" x14ac:dyDescent="0.3">
      <c r="B189" s="17">
        <v>182</v>
      </c>
      <c r="C189" s="27" t="s">
        <v>1038</v>
      </c>
      <c r="D189" s="17"/>
      <c r="E189" s="29" t="str">
        <f>IFERROR(VLOOKUP(C189,기출문제!D:G,3,0),"")</f>
        <v>92. 국민연금법상 사업장가입자 자격의 상실 사유에 해당하는 것을 모두 고른 것은?
ㄱ. 사망한 때
ㄴ. 60세가 된 때
ㄷ. 사용관계가 끝난 때
ㄹ. 국적을 상실하거나 국외로 이주한 때
① ㄱ, ㄴ
② ㄱ, ㄴ, ㄷ
③ ㄱ, ㄷ, ㄹ
④ ㄴ, ㄷ, ㄹ
⑤ ㄱ, ㄴ, ㄷ, ㄹ</v>
      </c>
      <c r="F189" s="30">
        <f>IFERROR(VLOOKUP(C189,기출문제!D:G,4,0),"")</f>
        <v>5</v>
      </c>
      <c r="G189" s="31" t="str">
        <f t="shared" si="2"/>
        <v/>
      </c>
      <c r="J189" s="23"/>
    </row>
    <row r="190" spans="2:10" s="21" customFormat="1" ht="128.25" x14ac:dyDescent="0.3">
      <c r="B190" s="17">
        <v>183</v>
      </c>
      <c r="C190" s="27" t="s">
        <v>1039</v>
      </c>
      <c r="D190" s="17"/>
      <c r="E190" s="29" t="str">
        <f>IFERROR(VLOOKUP(C190,기출문제!D:G,3,0),"")</f>
        <v>93. 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
① 1, 55
② 3, 55
③ 3, 60
④ 5, 55
⑤ 5, 60</v>
      </c>
      <c r="F190" s="30">
        <f>IFERROR(VLOOKUP(C190,기출문제!D:G,4,0),"")</f>
        <v>5</v>
      </c>
      <c r="G190" s="31" t="str">
        <f t="shared" si="2"/>
        <v/>
      </c>
      <c r="J190" s="23"/>
    </row>
    <row r="191" spans="2:10" s="21" customFormat="1" ht="128.25" x14ac:dyDescent="0.3">
      <c r="B191" s="17">
        <v>184</v>
      </c>
      <c r="C191" s="27" t="s">
        <v>1040</v>
      </c>
      <c r="D191" s="17"/>
      <c r="E191" s="29" t="str">
        <f>IFERROR(VLOOKUP(C191,기출문제!D:G,3,0),"")</f>
        <v>94. 국민건강보험법령상 보험급여의 제한에 관한 내용으로 옳지 않은 것은?
① 공단은 보험급여를 제한하는 경우에는 지체없이 구두로 그 내용과 사유를 가입자에게 알려야 한다.
② 공단은 보험급여를 받을 수 있는 사람이 중대한 과실로 요양기관의 요양에 관한 지시에 따르지 아니한 경우에는 보험급여를 하지 아니한다.
③ 공단은 보험급여를 받을 수 있는 사람이 다른 법령에 따라 국가나 지방자치단체로부터 보험급여에 상당하는 급여를 받은 경우에는 그 한도에서 보험급여를 하지 아니한다.
④ 공단은 보험급여를 받을 수 있는 사람이 업무로 생긴 질병으로 다른 법령에 따른 보험급여를 받게 된 경우에는 보험급여를 하지 아니한다.
⑤ 공단은 보험급여를 받을 수 있는 사람이 고의로 사고를 일으킨 경우에는 보험급여를 하지 아니한다.</v>
      </c>
      <c r="F191" s="30">
        <f>IFERROR(VLOOKUP(C191,기출문제!D:G,4,0),"")</f>
        <v>1</v>
      </c>
      <c r="G191" s="31" t="str">
        <f t="shared" si="2"/>
        <v/>
      </c>
      <c r="J191" s="23"/>
    </row>
    <row r="192" spans="2:10" s="21" customFormat="1" ht="128.25" x14ac:dyDescent="0.3">
      <c r="B192" s="17">
        <v>185</v>
      </c>
      <c r="C192" s="27" t="s">
        <v>1041</v>
      </c>
      <c r="D192" s="17"/>
      <c r="E192" s="29" t="str">
        <f>IFERROR(VLOOKUP(C192,기출문제!D:G,3,0),"")</f>
        <v>95. 국민건강보험법상 보험료에 관한 내용으로 옳지 않은 것은?
① 보험료는 가입자의 자격을 매월 1일에 취득하는 경우에는 다음 달부터 가입자의 자격을 잃은 날의 전날이 속하는 달까지 징수한다.
② 휴직으로 보수의 전부 또는 일부가 지급되니 아니하는 가입자의 보수월액보험료는 해당 사유가 생기기 전 달의 보수월액을 기준으로 산정한다.
③ 보험료부과점수의 산정방법과 산정기준을 정할 때 법령에 따라 재산권의 행사가 제한되는 재산에 대하여는 다른 재산과 달리 정할 수 있다.
④ 직장가입자의 소득월액보험료는 직장가입자가 부담한다.
⑤ 지역가입자의 보험료는 그 가입자가 속한 세대의 지역가입자 전원이 연대하여 부담한다.</v>
      </c>
      <c r="F192" s="30">
        <f>IFERROR(VLOOKUP(C192,기출문제!D:G,4,0),"")</f>
        <v>1</v>
      </c>
      <c r="G192" s="31" t="str">
        <f t="shared" si="2"/>
        <v/>
      </c>
      <c r="J192" s="23"/>
    </row>
    <row r="193" spans="2:10" s="21" customFormat="1" ht="99.75" x14ac:dyDescent="0.3">
      <c r="B193" s="17">
        <v>186</v>
      </c>
      <c r="C193" s="27" t="s">
        <v>1042</v>
      </c>
      <c r="D193" s="17"/>
      <c r="E193" s="29" t="str">
        <f>IFERROR(VLOOKUP(C193,기출문제!D:G,3,0),"")</f>
        <v>96. 고용보험 및 산업재해보상보험의 보험료징수 등에 관한 법률상 근로복지공단의 업무가 아닌 것은?
① 고용보험료의 월별 부과
② 환수대상이 되는 고용보험료의 지원금의 징수
③ 사업주가 법이 정한 기한까지 확정보험료를 신고하지 않은 경우 부과한 보험료 가산금의 징수
④ 사업주가 법이 정한 납부기한까지 보험료를 내지 아니한 경우 보험료 연체금의 징수
⑤ 사업주가 산재보험료의 납부를 게을리한 기간 중에 발생한 재해에 대하여 산재보험급여를 지급하는 경우 사업주로부터 그 급여에 해당하는 금액의 징수</v>
      </c>
      <c r="F193" s="30">
        <f>IFERROR(VLOOKUP(C193,기출문제!D:G,4,0),"")</f>
        <v>4</v>
      </c>
      <c r="G193" s="31" t="str">
        <f t="shared" si="2"/>
        <v/>
      </c>
      <c r="J193" s="23"/>
    </row>
    <row r="194" spans="2:10" s="21" customFormat="1" ht="114" x14ac:dyDescent="0.3">
      <c r="B194" s="17">
        <v>187</v>
      </c>
      <c r="C194" s="27" t="s">
        <v>1043</v>
      </c>
      <c r="D194" s="17"/>
      <c r="E194" s="29" t="str">
        <f>IFERROR(VLOOKUP(C194,기출문제!D:G,3,0),"")</f>
        <v>97. 고용보험 및 산업재해보상보험의 보험료징수 등에 관한 법령상 보험료 등의 분할 납부에 관한 설명으로 옳은 것은?
① 사업주는 납부기한이 지난 고용보험료의 분할 납부의 승인을 근로복지공단에 신청할 수 있다.
② 건강보험공단은 분할 납부를 신청한 사업주에 대하여 납부능력을 확인하여 보험료와 이 법에 따른 그 밖의 징수금의 분할 납부를 승인할 수 있다.
③ 분할 납부의 승인과 취소에 관한 절차・방법, 분할 납부의 기간 및 납부능력 확인 등에 필요한 사항은 대통령령으로 정한다.
④ 근로복지공단은 분할 납부 승인을 받은 사업주가 분할 납부하여야 하는 보험료를 정당한 사유 없이 내지 아니한 경우에는 분할 납부의 승인을 취소할 수 있다.
⑤ 분할 납부의 총 기간은 분할 납부의 승인을 받은 날의 다음 날부터 1년 이내로 한다.</v>
      </c>
      <c r="F194" s="30">
        <f>IFERROR(VLOOKUP(C194,기출문제!D:G,4,0),"")</f>
        <v>2</v>
      </c>
      <c r="G194" s="31" t="str">
        <f t="shared" si="2"/>
        <v/>
      </c>
      <c r="J194" s="23"/>
    </row>
    <row r="195" spans="2:10" s="21" customFormat="1" ht="128.25" x14ac:dyDescent="0.3">
      <c r="B195" s="17">
        <v>188</v>
      </c>
      <c r="C195" s="27" t="s">
        <v>1044</v>
      </c>
      <c r="D195" s="17"/>
      <c r="E195" s="29" t="str">
        <f>IFERROR(VLOOKUP(C195,기출문제!D:G,3,0),"")</f>
        <v>98. 고용보험 및 산업재해보상보험의 보험료징수 등에 관한 법령상 징수 및 체납 처분 등에 관한 설명으로 옳은 것은?
① 상속이 개시된 경우 피상속인에 대한 처분의 효력은 상속인에게 미치지 않는다.
② 근로복지공단은 월별보험료의 독촉을 받은 자가 그 기한까지 내지 아니한 경우에는 국세 체납처분의 예에 따라 이를 징수할 수 있다.
③ 한국자산관리공사는 공매대행의 의뢰를 받은 날부터 2년 이내에 공매되지 않은 재산이 있으면 국민건강보험공단에 그 재산에 대한 공매대행 의뢰의 해제를 요구할 수 있다.
④ 국민건강보험공단은 독촉할 경우 그 납부기한은 독촉장 발급일부터 7일 이상의 여유가 있도록 하여야 한다.
⑤ 사업주가 국세를 체납하여 체납처분을 받은 경우 보험료의 총액이 500만원이라면 납부기한 전에 이미 납부의무가 확정된 보험료를 징수할 수 없다.</v>
      </c>
      <c r="F195" s="30">
        <f>IFERROR(VLOOKUP(C195,기출문제!D:G,4,0),"")</f>
        <v>3</v>
      </c>
      <c r="G195" s="31" t="str">
        <f t="shared" si="2"/>
        <v/>
      </c>
      <c r="J195" s="23"/>
    </row>
    <row r="196" spans="2:10" s="21" customFormat="1" ht="142.5" x14ac:dyDescent="0.3">
      <c r="B196" s="17">
        <v>189</v>
      </c>
      <c r="C196" s="27" t="s">
        <v>1045</v>
      </c>
      <c r="D196" s="17"/>
      <c r="E196" s="29" t="str">
        <f>IFERROR(VLOOKUP(C196,기출문제!D:G,3,0),"")</f>
        <v>99. 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
① ㄷ
② ㄴ, ㄷ
③ ㄴ, ㄹ
④ ㄴ, ㄷ, ㄹ
⑤ ㄱ, ㄴ, ㄷ, ㄹ</v>
      </c>
      <c r="F196" s="30">
        <f>IFERROR(VLOOKUP(C196,기출문제!D:G,4,0),"")</f>
        <v>4</v>
      </c>
      <c r="G196" s="31" t="str">
        <f t="shared" si="2"/>
        <v/>
      </c>
      <c r="J196" s="23"/>
    </row>
    <row r="197" spans="2:10" s="21" customFormat="1" ht="142.5" x14ac:dyDescent="0.3">
      <c r="B197" s="17">
        <v>190</v>
      </c>
      <c r="C197" s="27" t="s">
        <v>1046</v>
      </c>
      <c r="D197" s="17"/>
      <c r="E197" s="29" t="str">
        <f>IFERROR(VLOOKUP(C197,기출문제!D:G,3,0),"")</f>
        <v>100. 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
① 6개월, 1000분의 15
② 6개월, 1000분의 30
③ 1년, 1000분의 15
④ 1년, 1000분의 30
⑤ 3년, 1000분의 30</v>
      </c>
      <c r="F197" s="30">
        <f>IFERROR(VLOOKUP(C197,기출문제!D:G,4,0),"")</f>
        <v>4</v>
      </c>
      <c r="G197" s="31" t="str">
        <f t="shared" si="2"/>
        <v/>
      </c>
      <c r="J197" s="23"/>
    </row>
    <row r="198" spans="2:10" s="21" customFormat="1" ht="114" x14ac:dyDescent="0.3">
      <c r="B198" s="17">
        <v>191</v>
      </c>
      <c r="C198" s="27" t="s">
        <v>210</v>
      </c>
      <c r="D198" s="17"/>
      <c r="E198" s="29" t="str">
        <f>IFERROR(VLOOKUP(C198,기출문제!D:G,3,0),"")</f>
        <v>76. 사회보장기본법상 내용으로 옳은 것은?
① 사회보장위원회는 사회보장급여 관련 업무에 공통적으로 적용되는 기준을 마련하여야 한다.
② 사회보장 비용의 부담은 각각의 사회보장제도의 목적에 따라 국가, 지방자치단체가 민간부문보다 우선적으로 부담하여야 한다.
③ 국가와 지방자치단체는 관계 법령에서 정하는 바에 따라 공표된 최저보장수준과 최저임금 등을 고려하여 사회보장급여의 수준을 결정하여야 한다.
④ 사회보험에 드는 비용은 수익자가 부담함을 원칙으로 하되, 관계 법령에서 정하는 바에 따라 국가가 그 비용의 전부 또는 일부를 부담할 수 있다.
⑤ 사회보장에 관한 기본계획은 다른 법령에 따라 수립되는 사회보장에 관한 계획을 제외한 모든 계획의 기본이 된다.</v>
      </c>
      <c r="F198" s="30">
        <f>IFERROR(VLOOKUP(C198,기출문제!D:G,4,0),"")</f>
        <v>3</v>
      </c>
      <c r="G198" s="31" t="str">
        <f t="shared" si="2"/>
        <v/>
      </c>
      <c r="J198" s="23"/>
    </row>
    <row r="199" spans="2:10" s="21" customFormat="1" ht="85.5" x14ac:dyDescent="0.3">
      <c r="B199" s="17">
        <v>192</v>
      </c>
      <c r="C199" s="27" t="s">
        <v>1047</v>
      </c>
      <c r="D199" s="17"/>
      <c r="E199" s="29" t="str">
        <f>IFERROR(VLOOKUP(C199,기출문제!D:G,3,0),"")</f>
        <v>77. 사회보장기본법상 사회보장수급권에 관한 내용으로 옳지 않은 것은?
① 사회보장수급권은 관계 법령에서 정하는 바에 따라 다른 사람에게 양도하거나 담보로 제공할 수 없다.
② 사회보장수급권은 관계 법령에서 따로 정하고 있는 경우 외에는 제한되거나 정지될 수 없다.
③ 사회보장수급권이 제한되는 경우에는 제한하는 목적에 필요한 최소한의 범위에 그쳐야 한다.
④ 사회보장수급권은 정당한 권한이 있는 기관에 서면으로 통지하여 포기할 수 있다.
⑤ 사회보장수급권의 포기는 취소할 수 없다.</v>
      </c>
      <c r="F199" s="30">
        <f>IFERROR(VLOOKUP(C199,기출문제!D:G,4,0),"")</f>
        <v>5</v>
      </c>
      <c r="G199" s="31" t="str">
        <f t="shared" si="2"/>
        <v/>
      </c>
      <c r="J199" s="23"/>
    </row>
    <row r="200" spans="2:10" s="21" customFormat="1" ht="128.25" x14ac:dyDescent="0.3">
      <c r="B200" s="17">
        <v>193</v>
      </c>
      <c r="C200" s="27" t="s">
        <v>1048</v>
      </c>
      <c r="D200" s="17"/>
      <c r="E200" s="29" t="str">
        <f>IFERROR(VLOOKUP(C200,기출문제!D:G,3,0),"")</f>
        <v>78. 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
① 3년, 매년
② 3년, 격년
③ 5년, 매년
④ 5년, 격년
⑤ 10년, 격년</v>
      </c>
      <c r="F200" s="30">
        <f>IFERROR(VLOOKUP(C200,기출문제!D:G,4,0),"")</f>
        <v>4</v>
      </c>
      <c r="G200" s="31" t="str">
        <f t="shared" si="2"/>
        <v/>
      </c>
      <c r="J200" s="23"/>
    </row>
    <row r="201" spans="2:10" s="21" customFormat="1" ht="114" x14ac:dyDescent="0.3">
      <c r="B201" s="17">
        <v>194</v>
      </c>
      <c r="C201" s="27" t="s">
        <v>1049</v>
      </c>
      <c r="D201" s="17"/>
      <c r="E201" s="29" t="str">
        <f>IFERROR(VLOOKUP(C201,기출문제!D:G,3,0),"")</f>
        <v>79. 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
① 20만원
② 30만원
③ 40만원
④ 50만원
⑤ 60만원</v>
      </c>
      <c r="F201" s="30">
        <f>IFERROR(VLOOKUP(C201,기출문제!D:G,4,0),"")</f>
        <v>4</v>
      </c>
      <c r="G201" s="31" t="str">
        <f t="shared" ref="G201:G264" si="3">IF(D201="","",IF(D201=F201,"O", "X"))</f>
        <v/>
      </c>
      <c r="J201" s="23"/>
    </row>
    <row r="202" spans="2:10" s="21" customFormat="1" ht="99.75" x14ac:dyDescent="0.3">
      <c r="B202" s="17">
        <v>195</v>
      </c>
      <c r="C202" s="27" t="s">
        <v>1050</v>
      </c>
      <c r="D202" s="17"/>
      <c r="E202" s="29" t="str">
        <f>IFERROR(VLOOKUP(C202,기출문제!D:G,3,0),"")</f>
        <v>80. 고용보험법령상 고용창출에 대한 지원을 받을 수 있는 경우가 아닌 것은?
① 교대근로 개편을 통하여 실업자를 고용함으로써 근로자 수가 증가한 경우
② 시간제 직무 개발을 통하여 실업자를 근로계약기간을 정하지 않고 시간제로 근무하는 형태로 하여 새로 고용하는 경우
③ 고용보험위원회에서 심의・의결한 인력수급 불일치 업종에 해당하는 기업이 실업자를 고용하는 경우
④ 고용노동부장관이 정하는 시설을 설치・운영하여 고용환경을 개선하고 실업자를 고용하여 근로자 수가 증가한 경우
⑤ 고용보험위원회에서 심의・의결한 업종에 해당하는 대규모기업이 직업안정기관의 장이 정하는 전문적인 자격을 갖춘 자를 고용하는 경우</v>
      </c>
      <c r="F202" s="30">
        <f>IFERROR(VLOOKUP(C202,기출문제!D:G,4,0),"")</f>
        <v>5</v>
      </c>
      <c r="G202" s="31" t="str">
        <f t="shared" si="3"/>
        <v/>
      </c>
      <c r="J202" s="23"/>
    </row>
    <row r="203" spans="2:10" s="21" customFormat="1" ht="128.25" x14ac:dyDescent="0.3">
      <c r="B203" s="17">
        <v>196</v>
      </c>
      <c r="C203" s="27" t="s">
        <v>1051</v>
      </c>
      <c r="D203" s="17"/>
      <c r="E203" s="29" t="str">
        <f>IFERROR(VLOOKUP(C203,기출문제!D:G,3,0),"")</f>
        <v>81. 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
① ㄱ
② ㄱ, ㄴ
③ ㄱ, ㄷ
④ ㄴ, ㄷ
⑤ ㄱ, ㄴ, ㄷ</v>
      </c>
      <c r="F203" s="30">
        <f>IFERROR(VLOOKUP(C203,기출문제!D:G,4,0),"")</f>
        <v>1</v>
      </c>
      <c r="G203" s="31" t="str">
        <f t="shared" si="3"/>
        <v/>
      </c>
      <c r="J203" s="23"/>
    </row>
    <row r="204" spans="2:10" s="21" customFormat="1" ht="85.5" x14ac:dyDescent="0.3">
      <c r="B204" s="17">
        <v>197</v>
      </c>
      <c r="C204" s="27" t="s">
        <v>1052</v>
      </c>
      <c r="D204" s="17"/>
      <c r="E204" s="29" t="str">
        <f>IFERROR(VLOOKUP(C204,기출문제!D:G,3,0),"")</f>
        <v>82. 고용보험법상 구직급여의 소정급여일수로 옳은 것은?
① 피보험기간 4년, 이직일 현재 25세인 비장애인: 90일
② 피보험기간 2년, 이직일 현재 35세인 장애인: 120일
③ 피보험기간 4년, 이직일 현재 40세인 비장애인: 120일
④ 피보험기간 6년, 이직일 현재 30세인 장애인: 180일
⑤ 피보험기간 10년, 이직일 현재 45세인 비장애인: 240일</v>
      </c>
      <c r="F204" s="30">
        <f>IFERROR(VLOOKUP(C204,기출문제!D:G,4,0),"")</f>
        <v>5</v>
      </c>
      <c r="G204" s="31" t="str">
        <f t="shared" si="3"/>
        <v/>
      </c>
      <c r="J204" s="23"/>
    </row>
    <row r="205" spans="2:10" s="21" customFormat="1" ht="128.25" x14ac:dyDescent="0.3">
      <c r="B205" s="17">
        <v>198</v>
      </c>
      <c r="C205" s="27" t="s">
        <v>1053</v>
      </c>
      <c r="D205" s="17"/>
      <c r="E205" s="29" t="str">
        <f>IFERROR(VLOOKUP(C205,기출문제!D:G,3,0),"")</f>
        <v>83. 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
① ㄱ
② ㄱ, ㄴ
③ ㄱ, ㄷ
④ ㄴ, ㄷ
⑤ ㄱ, ㄴ, ㄷ</v>
      </c>
      <c r="F205" s="30">
        <f>IFERROR(VLOOKUP(C205,기출문제!D:G,4,0),"")</f>
        <v>1</v>
      </c>
      <c r="G205" s="31" t="str">
        <f t="shared" si="3"/>
        <v/>
      </c>
      <c r="J205" s="23"/>
    </row>
    <row r="206" spans="2:10" s="21" customFormat="1" ht="114" x14ac:dyDescent="0.3">
      <c r="B206" s="17">
        <v>199</v>
      </c>
      <c r="C206" s="27" t="s">
        <v>1054</v>
      </c>
      <c r="D206" s="17"/>
      <c r="E206" s="29" t="str">
        <f>IFERROR(VLOOKUP(C206,기출문제!D:G,3,0),"")</f>
        <v>84. 고용보험법상 고용보험기금에 관한 설명으로 옳지 않은 것은?
① 고용노동부장관은 매년 고용보험기금운용 계획을 세워 고용보험위원회 및 국무회의의 심의를 거쳐 대통령의 승인을 받아야 한다.
② 고용보험기금을 지출할 때 자금 부족이 발생한 경우에는 고용보험기금의 부담으로 금융기관・다른 기금과 그 밖의 재원 등으로부터 차입을 할 수 있다.
③ 고용노동부장관은 매년 고용보험기금의 운용 결과에 대하여 고용보험위원회의 심의를 거쳐 공표하여야 한다.
④ 고용보험기금의 관리・운용에 관한 세부 사항은 국고금관리법의 규정에 따른다.
⑤ 고용보험기금의 결산상 손실금이 생기면 적립금을 사용하여 이를 보전(補塡)할 수 있다.</v>
      </c>
      <c r="F206" s="30">
        <f>IFERROR(VLOOKUP(C206,기출문제!D:G,4,0),"")</f>
        <v>4</v>
      </c>
      <c r="G206" s="31" t="str">
        <f t="shared" si="3"/>
        <v/>
      </c>
      <c r="J206" s="23"/>
    </row>
    <row r="207" spans="2:10" s="21" customFormat="1" ht="85.5" x14ac:dyDescent="0.3">
      <c r="B207" s="17">
        <v>200</v>
      </c>
      <c r="C207" s="27" t="s">
        <v>1055</v>
      </c>
      <c r="D207" s="17"/>
      <c r="E207" s="29" t="str">
        <f>IFERROR(VLOOKUP(C207,기출문제!D:G,3,0),"")</f>
        <v>85. 산업재해보상보험법령상의 보험급여의 내용으로 옳지 않은 것은?
① 장해급여 청구사유 발생 당시 대한민국 국민이 아닌 자로서 외국에서 거주하고 있는 근로자에게는 장해보상일시금을 지급한다.
② 간병급여 수급권자가 재요양을 받는 경우 그 재요양 기간 중에는 간병급여를 지급하지 않는다.
③ 유족보상일시금은 근로자가 사망할 당시 유족보상연금을 받을 수 있는 자격이 있는 자가 없는 경우에 지급한다.
④ 유족급여는 근로자가 업무상의 사유로 사망한 경우에 유족에게 지급한다.
⑤ 장례비는 유족이 아닌 자가 장례를 지낸 경우에는 평균임금의 120일분을 그 장례를 지낸 자에게 지급한다.</v>
      </c>
      <c r="F207" s="30">
        <f>IFERROR(VLOOKUP(C207,기출문제!D:G,4,0),"")</f>
        <v>5</v>
      </c>
      <c r="G207" s="31" t="str">
        <f t="shared" si="3"/>
        <v/>
      </c>
      <c r="J207" s="23"/>
    </row>
    <row r="208" spans="2:10" s="21" customFormat="1" ht="85.5" x14ac:dyDescent="0.3">
      <c r="B208" s="17">
        <v>201</v>
      </c>
      <c r="C208" s="27" t="s">
        <v>1056</v>
      </c>
      <c r="D208" s="17"/>
      <c r="E208" s="29" t="str">
        <f>IFERROR(VLOOKUP(C208,기출문제!D:G,3,0),"")</f>
        <v>86. 산업재해보상보험법상 심사청구의 제기와 관련한 내용으로 옳지 않은 것은?
① 심사 청구는 그 보험급여 결정등을 한 근로복지공단의 소속 기관을 거쳐 근로복지공단에 제기하여야 한다.
② 심사 청구는 보험급여 결정등이 있음을 안 날부터 90일 이내에 하여야 한다.
③ 심사 청구서를 받은 근로복지공단의 소속 기관은 5일 이내에 의견서를 첨부하여 근로복지공단에 보내야 한다.
④ 보험급여 결정등에 대하여 행정심판법에 따른 행정심판을 제기할 수 있다.
⑤ 약제비에 관한 근로복지공단의 결정에 불복하는 자는 근로복지공단에 심사 청구를 할 수 있다.</v>
      </c>
      <c r="F208" s="30">
        <f>IFERROR(VLOOKUP(C208,기출문제!D:G,4,0),"")</f>
        <v>4</v>
      </c>
      <c r="G208" s="31" t="str">
        <f t="shared" si="3"/>
        <v/>
      </c>
      <c r="J208" s="23"/>
    </row>
    <row r="209" spans="2:10" s="21" customFormat="1" ht="114" x14ac:dyDescent="0.3">
      <c r="B209" s="17">
        <v>202</v>
      </c>
      <c r="C209" s="27" t="s">
        <v>1057</v>
      </c>
      <c r="D209" s="17"/>
      <c r="E209" s="29" t="str">
        <f>IFERROR(VLOOKUP(C209,기출문제!D:G,3,0),"")</f>
        <v>87. 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
① 70, 80
② 80, 80
③ 80, 90
④ 85, 90
⑤ 90, 90</v>
      </c>
      <c r="F209" s="30">
        <f>IFERROR(VLOOKUP(C209,기출문제!D:G,4,0),"")</f>
        <v>3</v>
      </c>
      <c r="G209" s="31" t="str">
        <f t="shared" si="3"/>
        <v/>
      </c>
      <c r="J209" s="23"/>
    </row>
    <row r="210" spans="2:10" s="21" customFormat="1" ht="85.5" x14ac:dyDescent="0.3">
      <c r="B210" s="17">
        <v>203</v>
      </c>
      <c r="C210" s="27" t="s">
        <v>1058</v>
      </c>
      <c r="D210" s="17"/>
      <c r="E210" s="32" t="str">
        <f>IFERROR(VLOOKUP(C210,기출문제!D:G,3,0),"")</f>
        <v>88. 산업재해보상보험법령상 특수형태근로종사자가 아닌 것은?
① 한국표준직업분류표의 세분류에 따른 택배원인 사람으로서 택배사업에서 배송업무를 하는 사람
② 농업협동조합법에 따른 공제를 모집하는 사람
③ 대부업 등의 등록 및 금융이용자 보호에 관한 법률 제3조제1항 단서에 따른 대출모집인
④ 여신전문금융업법 제14조의2제1항제2호에 따른 신용카드회원 모집인
⑤ 고용노동부장관이 정하는 기준에 따라 주로 하나의 대리운전업자로부터 업무를 의뢰받아 대리운전업무를 하는 사람</v>
      </c>
      <c r="F210" s="30">
        <f>IFERROR(VLOOKUP(C210,기출문제!D:G,4,0),"")</f>
        <v>2</v>
      </c>
      <c r="G210" s="31" t="str">
        <f t="shared" si="3"/>
        <v/>
      </c>
      <c r="J210" s="23"/>
    </row>
    <row r="211" spans="2:10" s="21" customFormat="1" ht="128.25" x14ac:dyDescent="0.3">
      <c r="B211" s="17">
        <v>204</v>
      </c>
      <c r="C211" s="27" t="s">
        <v>1059</v>
      </c>
      <c r="D211" s="17"/>
      <c r="E211" s="29" t="str">
        <f>IFERROR(VLOOKUP(C211,기출문제!D:G,3,0),"")</f>
        <v>89. 산업재해보상보험법상 다음 내용으로 옳은 것은?
① 보험급여는 지급 결정일부터 30일 이내에 지급하여야 한다.
② 수급권자 및 보험가입자는 제3자의 행위로 재해가 발생하면 30일 이내에 근로복지공단에 신고하여야 한다.
③ 진폐의 진단결과에 대하여 진폐병형 및 합병증 등을 심사하기 위하여 안전보건공단에 관계 전문가 등으로 구성된 진폐심사회의를 둔다.
④ 근로복지공단은 산재보험 의료기관이 요양급여의 산정 기준을 위반하여 부당하게 진료비를 지급받은 경우에는 그 진료비의 2배에 해당하는 금액을 징수하여야 한다.
⑤ 근로복지공단은 보험급여를 받은 자가 거짓이나 그 밖의 부정한 방법으로 보험급여를 받은 경우에는 그 급여액의 2배에 해당하는 금액을 징수하여야 한다.</v>
      </c>
      <c r="F211" s="30">
        <f>IFERROR(VLOOKUP(C211,기출문제!D:G,4,0),"")</f>
        <v>5</v>
      </c>
      <c r="G211" s="31" t="str">
        <f t="shared" si="3"/>
        <v/>
      </c>
      <c r="J211" s="23"/>
    </row>
    <row r="212" spans="2:10" s="21" customFormat="1" ht="85.5" x14ac:dyDescent="0.3">
      <c r="B212" s="17">
        <v>205</v>
      </c>
      <c r="C212" s="27" t="s">
        <v>1060</v>
      </c>
      <c r="D212" s="17"/>
      <c r="E212" s="29" t="str">
        <f>IFERROR(VLOOKUP(C212,기출문제!D:G,3,0),"")</f>
        <v>90. 산업재해보상보험법령상 산업재해보상보험및예방심의위원회의 위원의 임기 등과 관련한 내용으로 옳지 않은 것은?
① 위원의 임기는 3년으로 하며, 연임할 수 없다.
② 보궐위원의 임기는 전임자의 남은 임기로 한다.
③ 고용노동부장관은 심신장애로 인하여 직무를 수행할 수 없게 된 경우 해당 위원을 해촉(解囑)할 수 있다.
④ 고용노동부장관은 직무와 관련된 비위사실이 있는 경우 해당 위원을 해촉(解囑)할 수 있다.
⑤ 고용노동부장관은 위원 스스로 직무를 수행하는 것이 곤란하다고 의사를 밝히는 경우 해당 위원을 해촉(解囑)할 수 있다.</v>
      </c>
      <c r="F212" s="30">
        <f>IFERROR(VLOOKUP(C212,기출문제!D:G,4,0),"")</f>
        <v>1</v>
      </c>
      <c r="G212" s="31" t="str">
        <f t="shared" si="3"/>
        <v/>
      </c>
      <c r="J212" s="23"/>
    </row>
    <row r="213" spans="2:10" s="21" customFormat="1" ht="114" x14ac:dyDescent="0.3">
      <c r="B213" s="17">
        <v>206</v>
      </c>
      <c r="C213" s="27" t="s">
        <v>1061</v>
      </c>
      <c r="D213" s="17"/>
      <c r="E213" s="29" t="str">
        <f>IFERROR(VLOOKUP(C213,기출문제!D:G,3,0),"")</f>
        <v>91. 산업재해보상보험법에 관한 설명으로 옳은 것은?
① "장해"란 부상 또는 질병이 완치되거나 치료의 효과를 더 이상 기대할 수 없고 그 증상이 고정된 상태에 이르게 된 것을 말한다.
② 근로복지공단의 이사장은 산업재해 예방 사업에 필요한 재원을 확보하고, 보험급여에 충당하기 위하여 산업재해보상보험및예방기금을 설치・운용한다.
③ 산업재해보상보험심사위원회는 근로복지공단에 두며, 산업재해보상보험재심사위원회는 고용노동부에 둔다.
④ "업무상의 사고"란 업무상의 사유에 따른 근로자의 부상, 질병, 장해 또는 사망을 말한다.
⑤ 근로복지공단은 심사청구서를 받은 날부터 90일 이내에 산업재해보상보험심사위원회의 심의를 거쳐 심사 청구에 대한 결정을 하여야 한다.</v>
      </c>
      <c r="F213" s="30">
        <f>IFERROR(VLOOKUP(C213,기출문제!D:G,4,0),"")</f>
        <v>3</v>
      </c>
      <c r="G213" s="31" t="str">
        <f t="shared" si="3"/>
        <v/>
      </c>
      <c r="J213" s="23"/>
    </row>
    <row r="214" spans="2:10" s="21" customFormat="1" ht="114" x14ac:dyDescent="0.3">
      <c r="B214" s="17">
        <v>207</v>
      </c>
      <c r="C214" s="27" t="s">
        <v>1062</v>
      </c>
      <c r="D214" s="17"/>
      <c r="E214" s="29" t="str">
        <f>IFERROR(VLOOKUP(C214,기출문제!D:G,3,0),"")</f>
        <v>92. 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
① 10, 60, 55
② 10, 60, 60
③ 10, 65, 60
④ 20, 60, 55
⑤ 20, 65, 60</v>
      </c>
      <c r="F214" s="30">
        <f>IFERROR(VLOOKUP(C214,기출문제!D:G,4,0),"")</f>
        <v>1</v>
      </c>
      <c r="G214" s="31" t="str">
        <f t="shared" si="3"/>
        <v/>
      </c>
      <c r="J214" s="23"/>
    </row>
    <row r="215" spans="2:10" s="21" customFormat="1" ht="99.75" x14ac:dyDescent="0.3">
      <c r="B215" s="17">
        <v>208</v>
      </c>
      <c r="C215" s="27" t="s">
        <v>1063</v>
      </c>
      <c r="D215" s="17"/>
      <c r="E215" s="29" t="str">
        <f>IFERROR(VLOOKUP(C215,기출문제!D:G,3,0),"")</f>
        <v>93. 국민연금법상 시효에 관한 설명으로 옳지 않은 것은?
① 연금보험료를 징수할 권리는 3년간 행사하지 아니하면 소멸시효가 완성된다.
② 환수금을 환수할 권리는 3년간 행사하지 아니하면 소멸시효가 완성된다.
③ 급여를 받거나 과오납금을 반환받을 수급권자 또는 가입자 등의 권리는 3년간 행사하지 아니하면 소멸시효가 완성된다.
④ 급여를 지급받을 권리는 그 급여 전액에 대하여 지급이 정지되어 있는 동안은 시효가 진행되지 아니한다.
⑤ 급여의 지급이나 과오납금 등의 반환청구에 관한 기간을 계산할 때 그 서류의 송달에 들어간 일수는 그 기간에 산입하지 아니한다.</v>
      </c>
      <c r="F215" s="30">
        <f>IFERROR(VLOOKUP(C215,기출문제!D:G,4,0),"")</f>
        <v>3</v>
      </c>
      <c r="G215" s="31" t="str">
        <f t="shared" si="3"/>
        <v/>
      </c>
      <c r="J215" s="23"/>
    </row>
    <row r="216" spans="2:10" s="21" customFormat="1" ht="85.5" x14ac:dyDescent="0.3">
      <c r="B216" s="17">
        <v>209</v>
      </c>
      <c r="C216" s="27" t="s">
        <v>1064</v>
      </c>
      <c r="D216" s="17"/>
      <c r="E216" s="29" t="str">
        <f>IFERROR(VLOOKUP(C216,기출문제!D:G,3,0),"")</f>
        <v>94. 국민건강보험법상 가입자의 자격변동 시기에 해당하지 않는 것은?
① 지역가입자가 적용대상사업장의 사용자로 된 날
② 직장가입자가 다른 적용대상사업장의 근로자로 사용된 날
③ 직장가입자인 근로자등이 그 사용관계가 끝난 날
④ 지역가입자가 적용대상사업장의 근로자로 사용된 날
⑤ 지역가입자가 다른 세대로 전입한 날</v>
      </c>
      <c r="F216" s="30">
        <f>IFERROR(VLOOKUP(C216,기출문제!D:G,4,0),"")</f>
        <v>3</v>
      </c>
      <c r="G216" s="31" t="str">
        <f t="shared" si="3"/>
        <v/>
      </c>
      <c r="J216" s="23"/>
    </row>
    <row r="217" spans="2:10" s="21" customFormat="1" ht="99.75" x14ac:dyDescent="0.3">
      <c r="B217" s="17">
        <v>210</v>
      </c>
      <c r="C217" s="27" t="s">
        <v>1065</v>
      </c>
      <c r="D217" s="17"/>
      <c r="E217" s="29" t="str">
        <f>IFERROR(VLOOKUP(C217,기출문제!D:G,3,0),"")</f>
        <v>95. 국민건강보험법상 다음 설명으로 옳지 않은 것은?
① 직장가입자의 보수월액보험료는 사용자가 납부한다.
② 직장가입자의 보수월액보험료는 보수월액에 보험료율을 곱하여 얻은 금액으로 한다.
③ 직장가입자의 보수월액은 직장가입자가 지급받는 보수를 기준으로 하여 산정하되, 상한과 하한을 정할 수 있다.
④ 국민건강보험공단 또는 건강보험심사평가원의 이의신청에 대한 결정에 불복하는 자는 보건복지부에 둔 건강보험분쟁조정위원회에 심판청구를 할 수 있다.
⑤ 이의신청은 처분이 있음을 안 날부터 60일 이내, 처분이 있은 날부터 180일 이내에 하여야 한다.</v>
      </c>
      <c r="F217" s="30">
        <f>IFERROR(VLOOKUP(C217,기출문제!D:G,4,0),"")</f>
        <v>5</v>
      </c>
      <c r="G217" s="31" t="str">
        <f t="shared" si="3"/>
        <v/>
      </c>
      <c r="J217" s="23"/>
    </row>
    <row r="218" spans="2:10" s="21" customFormat="1" ht="99.75" x14ac:dyDescent="0.3">
      <c r="B218" s="17">
        <v>211</v>
      </c>
      <c r="C218" s="27" t="s">
        <v>1066</v>
      </c>
      <c r="D218" s="17"/>
      <c r="E218" s="29" t="str">
        <f>IFERROR(VLOOKUP(C218,기출문제!D:G,3,0),"")</f>
        <v>96. 고용보험 및 산업재해보상보험의 보험료 징수 등에 관한 법률상 소멸시효 등 보칙에 관한 설명으로 옳은 것은?
① 보험료를 반환받을 수 있는 권리는 1년간 행사하지 아니하면 시효로 인하여 소멸한다.
② 월별보험료 납입을 전자문서로 고지한 경우에는 소멸시효가 중단되지 않는다.
③ 사업종류의 변경으로 보험료 납부방법이 변경되는 경우에는 사업종류의 변경일을 변경 전 사업 폐지일로, 사업종류의 변경일 다음 날을 새로운 사업성립일로 본다.
④ 보험료 과납액의 반환을 청구하는 경우에는 소멸시효가 중단되지 않는다.
⑤ 이 법에 따른 체납처분 절차에 따라 하는 교부청구로 중단된 소멸시효는 교부청구 중의 기간이 지난 때부터 새로 진행한다.</v>
      </c>
      <c r="F218" s="30">
        <f>IFERROR(VLOOKUP(C218,기출문제!D:G,4,0),"")</f>
        <v>5</v>
      </c>
      <c r="G218" s="31" t="str">
        <f t="shared" si="3"/>
        <v/>
      </c>
      <c r="J218" s="23"/>
    </row>
    <row r="219" spans="2:10" s="21" customFormat="1" ht="114" x14ac:dyDescent="0.3">
      <c r="B219" s="17">
        <v>212</v>
      </c>
      <c r="C219" s="27" t="s">
        <v>1067</v>
      </c>
      <c r="D219" s="17"/>
      <c r="E219" s="29" t="str">
        <f>IFERROR(VLOOKUP(C219,기출문제!D:G,3,0),"")</f>
        <v>97. 고용보험 및 산업재해보상보험의 보험료 징수 등에 관한 법령상 고용노동부장관이 정하여 고시하는 금액(기준보수)에 관한 설명으로 옳지 않은 것은?
① 사업의 도산으로 보수를 확인하기 곤란한 경우 기준보수를 보수로 할 수 있다.
② 사업장의 이전으로 사업의 소재지를 파악하기 곤란한 경우 기준보수를 보수로 할 수 있다.
③ 근로일에 따라 일당 형식의 보수를 지급받는 근로자에게는 주당 소정근로시간을 실제 근로한 시간으로 보아 일단위 기준보수를 적용한다.
④ 통상근로자로서 월정액으로 보수를 지급받는 근로자에게는 월단위 기준보수를 적용한다.
⑤ 시간급근로자 또는 일급근로자임이 명확하지 아니한 경우에는 월단위 기준보수를 적용한다.</v>
      </c>
      <c r="F219" s="30">
        <f>IFERROR(VLOOKUP(C219,기출문제!D:G,4,0),"")</f>
        <v>3</v>
      </c>
      <c r="G219" s="31" t="str">
        <f t="shared" si="3"/>
        <v/>
      </c>
      <c r="J219" s="23"/>
    </row>
    <row r="220" spans="2:10" s="21" customFormat="1" ht="114" x14ac:dyDescent="0.3">
      <c r="B220" s="17">
        <v>213</v>
      </c>
      <c r="C220" s="27" t="s">
        <v>1068</v>
      </c>
      <c r="D220" s="17"/>
      <c r="E220" s="29" t="str">
        <f>IFERROR(VLOOKUP(C220,기출문제!D:G,3,0),"")</f>
        <v>98. 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
① 10, 2, 15
② 10, 3, 15
③ 15, 2, 15
④ 15, 3, 15
⑤ 20, 2, 15</v>
      </c>
      <c r="F220" s="30">
        <f>IFERROR(VLOOKUP(C220,기출문제!D:G,4,0),"")</f>
        <v>2</v>
      </c>
      <c r="G220" s="31" t="str">
        <f t="shared" si="3"/>
        <v/>
      </c>
      <c r="J220" s="23"/>
    </row>
    <row r="221" spans="2:10" s="21" customFormat="1" ht="142.5" x14ac:dyDescent="0.3">
      <c r="B221" s="17">
        <v>214</v>
      </c>
      <c r="C221" s="27" t="s">
        <v>1069</v>
      </c>
      <c r="D221" s="17"/>
      <c r="E221" s="29" t="str">
        <f>IFERROR(VLOOKUP(C221,기출문제!D:G,3,0),"")</f>
        <v>99. 고용보험 및 산업재해보상보험의 보험료 징수 등에 관한 법령의 내용으로 옳은 것은?
① 고용보험료를 징수하는 경우, 근로자가 휴직기간 중에 사업주 외의 자로부터 지급받는 금품 일체는 보수에서 제외된다.
② "하수급인"이란 원수급인으로부터 그 사업의 전부 또는 일부를 도급받아 하는 자를 말하고, 그 자로부터 그 사업의 전부 또는 일부를 도급받아 하는 자는 제외한다.
③ 보험에 가입한 사업주는 그 이름, 사업의 소재지 등 대통령령으로 정하는 사항이 변경된 경우에는 그 날부터 7일 이내에 그 변경사항을 근로복지공단에 신고하여야 한다.
④ 근로기준법에 따른 출산전후휴가의 기간이 월의 중간에 종료된 경우에 그 근로자의 월별보험료는 해당 월의 다음 달부터 산정한다.
⑤ 보험사업에 드는 비용에 충당하기 위하여 보험가입자로부터 고용안정・직업능력개발사업 및 실업급여의 보험료, 육아휴직 급여 및 출산전후휴가 급여의 보험료, 산재보험의 보험료를 징수한다.</v>
      </c>
      <c r="F221" s="30">
        <f>IFERROR(VLOOKUP(C221,기출문제!D:G,4,0),"")</f>
        <v>4</v>
      </c>
      <c r="G221" s="31" t="str">
        <f t="shared" si="3"/>
        <v/>
      </c>
      <c r="J221" s="23"/>
    </row>
    <row r="222" spans="2:10" s="21" customFormat="1" ht="128.25" x14ac:dyDescent="0.3">
      <c r="B222" s="17">
        <v>215</v>
      </c>
      <c r="C222" s="27" t="s">
        <v>1070</v>
      </c>
      <c r="D222" s="17"/>
      <c r="E222" s="29" t="str">
        <f>IFERROR(VLOOKUP(C222,기출문제!D:G,3,0),"")</f>
        <v>100. 고용보험 및 산업재해보상보험의 보험료 징수 등에 관한 법률상 보험관계의 성립일 또는 소멸일에 관한 설명으로 옳은 것은?
① 보험에 가입한 하수급인의 경우에는 그 하도급공사의 착공일의 다음 날이 성립일이다.
② 가입사업주가 그 사업의 운영 중에 근로자를 고용하지 아니하게 된 때에 근로자를 사용하지 아니한 첫 날부터 1년이 되는 날이 소멸일이다.
③ 근로복지공단이 계속하여 보험관계를 유지할 수 없다고 인정하여 그 보험관계를 소멸시키는 경우에는 그 소멸을 결정・통지한 날의 다음 날이 소멸일이다.
④ 근로복지공단의 승인을 얻어 가입한 보험계약을 해지하는 경우에는 그 해지에 관하여 근로복지공단의 승인을 받은 날이 소멸일이다.
⑤ 일괄적용을 받는 사업의 경우에는 처음하는 사업이 시작된 날의 다음 날이 성립일이다.</v>
      </c>
      <c r="F222" s="30">
        <f>IFERROR(VLOOKUP(C222,기출문제!D:G,4,0),"")</f>
        <v>3</v>
      </c>
      <c r="G222" s="31" t="str">
        <f t="shared" si="3"/>
        <v/>
      </c>
      <c r="J222" s="23"/>
    </row>
    <row r="223" spans="2:10" s="21" customFormat="1" ht="114" x14ac:dyDescent="0.3">
      <c r="B223" s="17">
        <v>216</v>
      </c>
      <c r="C223" s="27" t="s">
        <v>253</v>
      </c>
      <c r="D223" s="17"/>
      <c r="E223" s="29" t="str">
        <f>IFERROR(VLOOKUP(C223,기출문제!D:G,3,0),"")</f>
        <v>76. 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
① 사회보험, 공공부조, 사회안전망
② 공공부조, 사회서비스, 사회안전망
③ 사회보험, 공공부조, 사회서비스
④ 사회서비스, 사회안전망, 사회보험
⑤ 보편적 복지, 공공부조, 사회서비스</v>
      </c>
      <c r="F223" s="30">
        <f>IFERROR(VLOOKUP(C223,기출문제!D:G,4,0),"")</f>
        <v>3</v>
      </c>
      <c r="G223" s="31" t="str">
        <f t="shared" si="3"/>
        <v/>
      </c>
      <c r="J223" s="23"/>
    </row>
    <row r="224" spans="2:10" s="21" customFormat="1" ht="85.5" x14ac:dyDescent="0.3">
      <c r="B224" s="17">
        <v>217</v>
      </c>
      <c r="C224" s="27" t="s">
        <v>842</v>
      </c>
      <c r="D224" s="17"/>
      <c r="E224" s="29" t="str">
        <f>IFERROR(VLOOKUP(C224,기출문제!D:G,3,0),"")</f>
        <v>77. 사회보장기본법령상 사회보장위원회의 구성에 관한 설명으로 옳은 것은?
① 농림축산식품부장관, 환경부장관은 위원회의 위원이다.
② 대통령이 위촉한 근로자를 대표하는 위원은 어떤 경우에도 해촉될 수 없다.
③ 보궐위원의 임기는 2년으로 한다.
④ 위원회의 위원장은 행정자치부장관이 된다.
⑤ 위원회의 사무를 효율적으로 처리하기 위하여 행정자치부에 사무국을 둔다.</v>
      </c>
      <c r="F224" s="30">
        <f>IFERROR(VLOOKUP(C224,기출문제!D:G,4,0),"")</f>
        <v>1</v>
      </c>
      <c r="G224" s="31" t="str">
        <f t="shared" si="3"/>
        <v/>
      </c>
      <c r="J224" s="23"/>
    </row>
    <row r="225" spans="2:10" s="21" customFormat="1" ht="99.75" x14ac:dyDescent="0.3">
      <c r="B225" s="17">
        <v>218</v>
      </c>
      <c r="C225" s="27" t="s">
        <v>843</v>
      </c>
      <c r="D225" s="17"/>
      <c r="E225" s="29" t="str">
        <f>IFERROR(VLOOKUP(C225,기출문제!D:G,3,0),"")</f>
        <v>78. 사회보장기본법상 내용으로 옳지 않은 것은?
① 국가와 지방자치단체는 모든 국민의 인간다운 생활을 유지・증진하는 책임을 가진다.
② 국가와 지방자치단체는 사회보장에 관한 책임과 역할을 합리적으로 분담하여야 한다.
③ 국가와 지방자치단체는 국가 발전수준에 부응하고 사회환경의 변화에 선제적으로 대응하며 지속가능한 사회보장제도를 확립하고 매년 이에 필요한 재원을 조달하여야 한다.
④ 국가와 지방자치단체는 가정이 건전하게 유지되고 그 기능이 향상되도록 노력하여야 한다.
⑤ 국가와 지방자치단체는 중장기 사회보장 재정추계를 격년으로 실시하고 이를 공표하여야 한다.</v>
      </c>
      <c r="F225" s="30">
        <f>IFERROR(VLOOKUP(C225,기출문제!D:G,4,0),"")</f>
        <v>5</v>
      </c>
      <c r="G225" s="31" t="str">
        <f t="shared" si="3"/>
        <v/>
      </c>
      <c r="J225" s="23"/>
    </row>
    <row r="226" spans="2:10" s="21" customFormat="1" ht="128.25" x14ac:dyDescent="0.3">
      <c r="B226" s="17">
        <v>219</v>
      </c>
      <c r="C226" s="27" t="s">
        <v>844</v>
      </c>
      <c r="D226" s="17"/>
      <c r="E226" s="29" t="str">
        <f>IFERROR(VLOOKUP(C226,기출문제!D:G,3,0),"")</f>
        <v>79. 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
① 10일
② 15일
③ 30일
④ 2개월
⑤ 3개월</v>
      </c>
      <c r="F226" s="30">
        <f>IFERROR(VLOOKUP(C226,기출문제!D:G,4,0),"")</f>
        <v>3</v>
      </c>
      <c r="G226" s="31" t="str">
        <f t="shared" si="3"/>
        <v/>
      </c>
      <c r="J226" s="23"/>
    </row>
    <row r="227" spans="2:10" s="21" customFormat="1" ht="114" x14ac:dyDescent="0.3">
      <c r="B227" s="17">
        <v>220</v>
      </c>
      <c r="C227" s="27" t="s">
        <v>845</v>
      </c>
      <c r="D227" s="17"/>
      <c r="E227" s="29" t="str">
        <f>IFERROR(VLOOKUP(C227,기출문제!D:G,3,0),"")</f>
        <v>80. 고용보험법령상 구직급여에 관한 설명으로 옳지 않은 것은?
① 구직급여를 받으려는 자는 이직 후 지체없이 직업안정기관에 출석하여 실업을 신고하여야 한다.
② 구직급여를 지급받기 위해 실업을 신고하려는 자가 사업주로부터 이직확인서를 발급받는 경우에는 이를 소재지 관할 직업안정기관의 장에게 제출하여야 한다.
③ 직업안정기관의 장은 수급자격 인정신청서를 제출한 자가 구직급여의 수급자격이 인정되지 아니하는 경우에는 그 신청인과 사업주에게 해당 사실을 알려야 한다.
④ 수급자격자가 주민등록번호를 변경하거나 정정한 경우에는 신청지 관할 직업안정기관의 장에게 신고하여야 한다.
⑤ 구직급여는 수급자격자가 실업한 상태에 있는 날 중에서 직업안정기관의 장으로 부터 인정을 받은 날에 대하여 지급한다.</v>
      </c>
      <c r="F227" s="30">
        <f>IFERROR(VLOOKUP(C227,기출문제!D:G,4,0),"")</f>
        <v>3</v>
      </c>
      <c r="G227" s="31" t="str">
        <f t="shared" si="3"/>
        <v/>
      </c>
      <c r="J227" s="23"/>
    </row>
    <row r="228" spans="2:10" s="21" customFormat="1" ht="114" x14ac:dyDescent="0.3">
      <c r="B228" s="17">
        <v>221</v>
      </c>
      <c r="C228" s="27" t="s">
        <v>846</v>
      </c>
      <c r="D228" s="17"/>
      <c r="E228" s="29" t="str">
        <f>IFERROR(VLOOKUP(C228,기출문제!D:G,3,0),"")</f>
        <v>81. 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
① 50만원
② 100만원
③ 실업급여수급계좌에 입금된 금액 전액
④ 실업급여수급계좌에 입금된 금액 반액
⑤ 실업급여수급계좌에 입금된 금액 일부</v>
      </c>
      <c r="F228" s="30">
        <f>IFERROR(VLOOKUP(C228,기출문제!D:G,4,0),"")</f>
        <v>3</v>
      </c>
      <c r="G228" s="31" t="str">
        <f t="shared" si="3"/>
        <v/>
      </c>
      <c r="J228" s="23"/>
    </row>
    <row r="229" spans="2:10" s="21" customFormat="1" ht="142.5" x14ac:dyDescent="0.3">
      <c r="B229" s="17">
        <v>222</v>
      </c>
      <c r="C229" s="27" t="s">
        <v>847</v>
      </c>
      <c r="D229" s="17"/>
      <c r="E229" s="29" t="str">
        <f>IFERROR(VLOOKUP(C229,기출문제!D:G,3,0),"")</f>
        <v>82. 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
① ㄱ
② ㄱ, ㄴ
③ ㄱ, ㄷ
④ ㄴ, ㄷ
⑤ ㄱ, ㄴ, ㄷ</v>
      </c>
      <c r="F229" s="30">
        <f>IFERROR(VLOOKUP(C229,기출문제!D:G,4,0),"")</f>
        <v>5</v>
      </c>
      <c r="G229" s="31" t="str">
        <f t="shared" si="3"/>
        <v/>
      </c>
      <c r="J229" s="23"/>
    </row>
    <row r="230" spans="2:10" s="21" customFormat="1" ht="85.5" x14ac:dyDescent="0.3">
      <c r="B230" s="17">
        <v>223</v>
      </c>
      <c r="C230" s="27" t="s">
        <v>848</v>
      </c>
      <c r="D230" s="17"/>
      <c r="E230" s="29" t="str">
        <f>IFERROR(VLOOKUP(C230,기출문제!D:G,3,0),"")</f>
        <v>83. 고용보험법령상 과태료 부과 대상이 아닌 것은?
① 사업주가 이직확인서를 거짓으로 작성하여 제출하는 경우
② 고용노동부장관이 부정수급 조사를 위하여 관계인의 출석을 요구함에도 출석을 거부하는 경우
③ 심사의 청구를 받아 하는 고용보험심사관의 질문에 거짓으로 진술한 경우
④ 사업주가 피보험자격 취득에 관한 확인청구를 한 것을 이유로 그 근로자에게 불이익한 처우를 한 경우
⑤ 사업주가 그 사업에 고용된 근로자의 피보험자격 취득에 관한 사항을 고용노동부장관에게 신고하지 아니한 경우</v>
      </c>
      <c r="F230" s="30">
        <f>IFERROR(VLOOKUP(C230,기출문제!D:G,4,0),"")</f>
        <v>4</v>
      </c>
      <c r="G230" s="31" t="str">
        <f t="shared" si="3"/>
        <v/>
      </c>
      <c r="J230" s="23"/>
    </row>
    <row r="231" spans="2:10" s="21" customFormat="1" ht="85.5" x14ac:dyDescent="0.3">
      <c r="B231" s="17">
        <v>224</v>
      </c>
      <c r="C231" s="27" t="s">
        <v>849</v>
      </c>
      <c r="D231" s="17"/>
      <c r="E231" s="29" t="str">
        <f>IFERROR(VLOOKUP(C231,기출문제!D:G,3,0),"")</f>
        <v>84. 고용보험법상 피보험기간이 2년일 경우 이직일 현재 연령에 따른 구직급여의 소정급여일수가 옳은 것은?
① 25세 장애인 : 180일
② 28세 비장애인 : 120일
③ 35세 비장애인 : 120일
④ 40세 비장애인 : 180일
⑤ 55세 장애인 : 210일</v>
      </c>
      <c r="F231" s="30">
        <f>IFERROR(VLOOKUP(C231,기출문제!D:G,4,0),"")</f>
        <v>1</v>
      </c>
      <c r="G231" s="31" t="str">
        <f t="shared" si="3"/>
        <v/>
      </c>
      <c r="J231" s="23"/>
    </row>
    <row r="232" spans="2:10" s="21" customFormat="1" ht="99.75" x14ac:dyDescent="0.3">
      <c r="B232" s="17">
        <v>225</v>
      </c>
      <c r="C232" s="27" t="s">
        <v>850</v>
      </c>
      <c r="D232" s="17"/>
      <c r="E232" s="29" t="str">
        <f>IFERROR(VLOOKUP(C232,기출문제!D:G,3,0),"")</f>
        <v>85. 산업재해보상보험법상 재요양을 받는 자에 대한 1일당 휴업급여 지급액을 산정한 결과가 최저임금액보다 적은 경우, 1일당 휴업급여 지급액은 얼마인가?
① 최저임금액의 100분의 70에 상당하는 금액
② 최저임금액
③ 최저임금액의 100분의 120에 상당하는 금액
④ 통상임금액의 100분의 60에 상당하는 금액
⑤ 통상임금액의 100분의 70에 상당하는 금액</v>
      </c>
      <c r="F232" s="30">
        <f>IFERROR(VLOOKUP(C232,기출문제!D:G,4,0),"")</f>
        <v>2</v>
      </c>
      <c r="G232" s="31" t="str">
        <f t="shared" si="3"/>
        <v/>
      </c>
      <c r="J232" s="23"/>
    </row>
    <row r="233" spans="2:10" s="21" customFormat="1" ht="85.5" x14ac:dyDescent="0.3">
      <c r="B233" s="17">
        <v>226</v>
      </c>
      <c r="C233" s="27" t="s">
        <v>851</v>
      </c>
      <c r="D233" s="17"/>
      <c r="E233" s="29" t="str">
        <f>IFERROR(VLOOKUP(C233,기출문제!D:G,3,0),"")</f>
        <v>86. 산업재해보상보험법상 직업재활급여에 관한 설명으로 옳지 않은 것은?
① 훈련대상자에 대한 직업훈련은 근로복지공단과 계약을 체결한 직업훈련기관에서 실시하게 한다.
② 상병보상연금을 받는 훈련대상자에게는 직업훈련수당을 지급하지 아니한다.
③ 직장적응훈련비의 지급기간은 3개월 이내로 한다.
④ 재활운동비는 장해급여자에게 직접 지급한다.
⑤ 직장복귀지원금의 지급기간은 12개월 이내로 한다.</v>
      </c>
      <c r="F233" s="30">
        <f>IFERROR(VLOOKUP(C233,기출문제!D:G,4,0),"")</f>
        <v>4</v>
      </c>
      <c r="G233" s="31" t="str">
        <f t="shared" si="3"/>
        <v/>
      </c>
      <c r="J233" s="23"/>
    </row>
    <row r="234" spans="2:10" s="21" customFormat="1" ht="85.5" x14ac:dyDescent="0.3">
      <c r="B234" s="17">
        <v>227</v>
      </c>
      <c r="C234" s="27" t="s">
        <v>852</v>
      </c>
      <c r="D234" s="17"/>
      <c r="E234" s="29" t="str">
        <f>IFERROR(VLOOKUP(C234,기출문제!D:G,3,0),"")</f>
        <v>87. 산업재해보상보험법령상 업무상 질병에 관한 설명으로 옳지 않은 것은?
① 신체부담업무의 수행 과정에서 발생한 일시적인 급격한 힘의 작용으로 근골격계 질병이 발병하면 업무상 질병으로 본다.
② 업무수행 과정에서 석면에 노출되어 발생한 석면폐증은 업무상 질병으로 본다.
③ 업무수행 과정에서 카드뮴 또는 그 화합물에 2년 이상 노출되어 발생한 후각신경마비는 업무상 질병으로 본다.
④ 업무수행 과정에서 고객의 폭언 등과 직접 관련된 스트레스로 생긴 우울병 에피소드는 업무상 질병으로 보지 않는다.
⑤ 업무와 관련하여 정신적 충격을 유발할 수 있는 사건에 의해 발생한 외상후스트레스장애는 업무상 질병으로 본다.</v>
      </c>
      <c r="F234" s="30">
        <f>IFERROR(VLOOKUP(C234,기출문제!D:G,4,0),"")</f>
        <v>4</v>
      </c>
      <c r="G234" s="31" t="str">
        <f t="shared" si="3"/>
        <v/>
      </c>
      <c r="J234" s="23"/>
    </row>
    <row r="235" spans="2:10" s="21" customFormat="1" ht="99.75" x14ac:dyDescent="0.3">
      <c r="B235" s="17">
        <v>228</v>
      </c>
      <c r="C235" s="27" t="s">
        <v>853</v>
      </c>
      <c r="D235" s="17"/>
      <c r="E235" s="29" t="str">
        <f>IFERROR(VLOOKUP(C235,기출문제!D:G,3,0),"")</f>
        <v>88. 산업재해보상보험법상 근로자가 업무상의 사유로 사망한 경우 그 장례를 지낸 유족에게 장례비를 지급한다. 이 때 장례비는 평균임금의 며칠분에 상당하는 금액을 지급하는가?
① 60일
② 90일
③ 120일
④ 150일
⑤ 180일</v>
      </c>
      <c r="F235" s="30">
        <f>IFERROR(VLOOKUP(C235,기출문제!D:G,4,0),"")</f>
        <v>3</v>
      </c>
      <c r="G235" s="31" t="str">
        <f t="shared" si="3"/>
        <v/>
      </c>
      <c r="J235" s="23"/>
    </row>
    <row r="236" spans="2:10" s="21" customFormat="1" ht="99.75" x14ac:dyDescent="0.3">
      <c r="B236" s="17">
        <v>229</v>
      </c>
      <c r="C236" s="27" t="s">
        <v>854</v>
      </c>
      <c r="D236" s="17"/>
      <c r="E236" s="29" t="str">
        <f>IFERROR(VLOOKUP(C236,기출문제!D:G,3,0),"")</f>
        <v>89. 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
① ㄱ: 1, ㄴ: 1
② ㄱ: 1, ㄴ: 2
③ ㄱ: 2, ㄴ: 1
④ ㄱ: 2, ㄴ: 2
⑤ ㄱ: 3, ㄴ: 2</v>
      </c>
      <c r="F236" s="30">
        <f>IFERROR(VLOOKUP(C236,기출문제!D:G,4,0),"")</f>
        <v>3</v>
      </c>
      <c r="G236" s="31" t="str">
        <f t="shared" si="3"/>
        <v/>
      </c>
      <c r="J236" s="23"/>
    </row>
    <row r="237" spans="2:10" s="21" customFormat="1" ht="85.5" x14ac:dyDescent="0.3">
      <c r="B237" s="17">
        <v>230</v>
      </c>
      <c r="C237" s="27" t="s">
        <v>855</v>
      </c>
      <c r="D237" s="17"/>
      <c r="E237" s="29" t="str">
        <f>IFERROR(VLOOKUP(C237,기출문제!D:G,3,0),"")</f>
        <v>90. 산업재해보상보험법령상 업무상 사고가 아닌 것은?
① 근로계약에 따른 업무수행 행위를 하던 중 발생한 사고
② 업무수행 과정에서 하는 용변 등 생리적 필요 행위를 하던 중 발생한 사고
③ 업무를 준비하거나 마무리하는 행위를 하던 중 발생한 사고
④ 업무에 따르는 필요적 부수행위를 하던 중 발생한 사고
⑤ 출장 중에 사적 행위 또는 정상적인 출장 경로를 벗어났을 때 발생한 사고</v>
      </c>
      <c r="F237" s="30">
        <f>IFERROR(VLOOKUP(C237,기출문제!D:G,4,0),"")</f>
        <v>5</v>
      </c>
      <c r="G237" s="31" t="str">
        <f t="shared" si="3"/>
        <v/>
      </c>
      <c r="J237" s="23"/>
    </row>
    <row r="238" spans="2:10" s="21" customFormat="1" ht="128.25" x14ac:dyDescent="0.3">
      <c r="B238" s="17">
        <v>231</v>
      </c>
      <c r="C238" s="27" t="s">
        <v>856</v>
      </c>
      <c r="D238" s="17"/>
      <c r="E238" s="29" t="str">
        <f>IFERROR(VLOOKUP(C238,기출문제!D:G,3,0),"")</f>
        <v>91. 국민연금법상 유족연금 수급권자의 유족연금 수급권이 소멸되는 사유를 모두 고른 것은?
ㄱ. 장애등급 2등급인 자녀가 19세가 된 때
ㄴ. 손자녀인 수급권자가 파양된 때
ㄷ. 배우자인 수급권자가 재혼한 때
① ㄱ
② ㄱ, ㄴ
③ ㄱ, ㄷ
④ ㄴ, ㄷ
⑤ ㄱ, ㄴ, ㄷ</v>
      </c>
      <c r="F238" s="30">
        <f>IFERROR(VLOOKUP(C238,기출문제!D:G,4,0),"")</f>
        <v>4</v>
      </c>
      <c r="G238" s="31" t="str">
        <f t="shared" si="3"/>
        <v/>
      </c>
      <c r="J238" s="23"/>
    </row>
    <row r="239" spans="2:10" s="21" customFormat="1" ht="128.25" x14ac:dyDescent="0.3">
      <c r="B239" s="17">
        <v>232</v>
      </c>
      <c r="C239" s="27" t="s">
        <v>857</v>
      </c>
      <c r="D239" s="17"/>
      <c r="E239" s="29" t="str">
        <f>IFERROR(VLOOKUP(C239,기출문제!D:G,3,0),"")</f>
        <v>92. 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① ㄱ: 10, ㄴ: 2
② ㄱ: 10, ㄴ: 3
③ ㄱ: 20, ㄴ: 2
④ ㄱ: 20, ㄴ: 3
⑤ ㄱ: 30, ㄴ: 2</v>
      </c>
      <c r="F239" s="30">
        <f>IFERROR(VLOOKUP(C239,기출문제!D:G,4,0),"")</f>
        <v>2</v>
      </c>
      <c r="G239" s="31" t="str">
        <f t="shared" si="3"/>
        <v/>
      </c>
      <c r="J239" s="23"/>
    </row>
    <row r="240" spans="2:10" s="21" customFormat="1" ht="85.5" x14ac:dyDescent="0.3">
      <c r="B240" s="17">
        <v>233</v>
      </c>
      <c r="C240" s="27" t="s">
        <v>858</v>
      </c>
      <c r="D240" s="17"/>
      <c r="E240" s="29" t="str">
        <f>IFERROR(VLOOKUP(C240,기출문제!D:G,3,0),"")</f>
        <v>93. 국민건강보험법상 보험료 부담 및 납부의무에 관한 설명으로 옳지 않은 것은?
① 직장가입자의 보수월액보험료는 직장가입자가 보험료액의 100분의 50을 부담한다.
② 직장가입자의 소득월액보험료는 직장가입자가 부담한다.
③ 지역가입자의 보험료는 그 가입자가 속한 세대의 지역가입자 전원이 연대하여 부담한다.
④ 직장가입자의 보수월액보험료는 사용자가 납부한다.
⑤ 공무원인 직장가입자의 보수월액보험료는 그 공무원이 소속되어 있는 국가 또는 지방자치단체가 보험료액의 전액을 부담한다.</v>
      </c>
      <c r="F240" s="30">
        <f>IFERROR(VLOOKUP(C240,기출문제!D:G,4,0),"")</f>
        <v>5</v>
      </c>
      <c r="G240" s="31" t="str">
        <f t="shared" si="3"/>
        <v/>
      </c>
      <c r="J240" s="23"/>
    </row>
    <row r="241" spans="2:10" s="21" customFormat="1" ht="85.5" x14ac:dyDescent="0.3">
      <c r="B241" s="17">
        <v>234</v>
      </c>
      <c r="C241" s="27" t="s">
        <v>859</v>
      </c>
      <c r="D241" s="17"/>
      <c r="E241" s="29" t="str">
        <f>IFERROR(VLOOKUP(C241,기출문제!D:G,3,0),"")</f>
        <v>94. 국민건강보험법상 보험급여의 정지 사유에 해당하는 것은?
① 고의로 인한 범죄행위에 그 원인이 있는 경우
② 국외에 체류하는 경우
③ 고의로 국민건강보험공단의 지시를 따르지 않은 경우
④ 중대한 과실로 국민건강보험공단에서 요구하는 문서나 물건을 제출하지 않은 경우
⑤ 업무로 생긴 질병으로 인해 다른 법령에 따라 보상을 받게 된 경우</v>
      </c>
      <c r="F241" s="30">
        <f>IFERROR(VLOOKUP(C241,기출문제!D:G,4,0),"")</f>
        <v>2</v>
      </c>
      <c r="G241" s="31" t="str">
        <f t="shared" si="3"/>
        <v/>
      </c>
      <c r="J241" s="23"/>
    </row>
    <row r="242" spans="2:10" s="21" customFormat="1" ht="142.5" x14ac:dyDescent="0.3">
      <c r="B242" s="17">
        <v>235</v>
      </c>
      <c r="C242" s="27" t="s">
        <v>860</v>
      </c>
      <c r="D242" s="17"/>
      <c r="E242" s="29" t="str">
        <f>IFERROR(VLOOKUP(C242,기출문제!D:G,3,0),"")</f>
        <v>95. 고용보험 및 산업재해보상보험의 보험료징수 등에 관한 법률상 보수총액 등의 신고에 관한 설명으로 옳은 것은?
① 사업주는 근로자를 새로 고용한 경우 그 근로자의 성명 등을 그 근로자를 고용한 날이 속하는 달의 말일까지 근로복지공단에 신고하여야 한다.
② 사업주는 사업의 폐지・종료 등으로 보험관계가 소멸한 때에는 그 보험관계가 소멸한 날이 속하는 달의 다음 달 15일까지 근로자에게 지급한 보수총액 등을 근로복지공단에 신고하여야 한다.
③ 사업주는 전년도에 근로자에게 지급한 보수총액 등을 매년 1월 말일까지 근로복지공단에 신고하여야 한다.
④ 사업주는 근로자가 휴직하는 경우에는 그 사유 발생일이 속하는 달의 다음 달 15일까지 그 사실을 근로복지공단에 신고하여야 한다.
⑤ 사업주는 근로자와 고용관계를 종료한 때에는 그 근로자에게 지급한 보수총액, 고용관계 종료일 등을 그 근로자의 고용관계가 종료한 날이 속하는 달의 다음 달 15일까지 근로복지공단에 신고하여야 한다.</v>
      </c>
      <c r="F242" s="30">
        <f>IFERROR(VLOOKUP(C242,기출문제!D:G,4,0),"")</f>
        <v>5</v>
      </c>
      <c r="G242" s="31" t="str">
        <f t="shared" si="3"/>
        <v/>
      </c>
      <c r="J242" s="23"/>
    </row>
    <row r="243" spans="2:10" s="21" customFormat="1" ht="128.25" x14ac:dyDescent="0.3">
      <c r="B243" s="17">
        <v>236</v>
      </c>
      <c r="C243" s="27" t="s">
        <v>861</v>
      </c>
      <c r="D243" s="17"/>
      <c r="E243" s="29" t="str">
        <f>IFERROR(VLOOKUP(C243,기출문제!D:G,3,0),"")</f>
        <v>96. 고용보험 및 산업재해보상보험의 보험료징수 등에 관한 법령에 관한 설명으로 옳은 것은?
① 해외파견자에 대한 산재보험의 가입을 승인하려면 직업안정법에 따른 국외근로자 공급사업이 아니어야 한다.
② 해외파견자에 대한 산재보험 가입의 승인을 받은 경우 파견예정자의 보험관계 성립일은 출국한 날의 다음 날이다.
③ 자영업자에 대한 특례에 따라 고용보험에 가입한 자영업자가 50명 이상의 근로자를 사용하게 된 경우에는 본인은 피보험자격을 유지할 수 없다.
④ 자영업자에게 적용하는 고용보험료율은 보험수지의 동향과 경제상황 등을 고려하여 정하는 데, 현재 고용안정・직업능력개발사업의 보험료율은 1천분의 25이다.
⑤ 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v>
      </c>
      <c r="F243" s="30">
        <f>IFERROR(VLOOKUP(C243,기출문제!D:G,4,0),"")</f>
        <v>1</v>
      </c>
      <c r="G243" s="31" t="str">
        <f t="shared" si="3"/>
        <v/>
      </c>
      <c r="J243" s="23"/>
    </row>
    <row r="244" spans="2:10" s="21" customFormat="1" ht="114" x14ac:dyDescent="0.3">
      <c r="B244" s="17">
        <v>237</v>
      </c>
      <c r="C244" s="27" t="s">
        <v>862</v>
      </c>
      <c r="D244" s="17"/>
      <c r="E244" s="29" t="str">
        <f>IFERROR(VLOOKUP(C244,기출문제!D:G,3,0),"")</f>
        <v>97. 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
① ㄱ: 55, ㄴ: 18
② ㄱ: 60, ㄴ: 18
③ ㄱ: 60, ㄴ: 25
④ ㄱ: 65, ㄴ: 18
⑤ ㄱ: 65, ㄴ: 25</v>
      </c>
      <c r="F244" s="30">
        <f>IFERROR(VLOOKUP(C244,기출문제!D:G,4,0),"")</f>
        <v>4</v>
      </c>
      <c r="G244" s="31" t="str">
        <f t="shared" si="3"/>
        <v/>
      </c>
      <c r="J244" s="23"/>
    </row>
    <row r="245" spans="2:10" s="21" customFormat="1" ht="114" x14ac:dyDescent="0.3">
      <c r="B245" s="17">
        <v>238</v>
      </c>
      <c r="C245" s="27" t="s">
        <v>863</v>
      </c>
      <c r="D245" s="17"/>
      <c r="E245" s="29" t="str">
        <f>IFERROR(VLOOKUP(C245,기출문제!D:G,3,0),"")</f>
        <v>98. 고용보험 및 산업재해보상보험의 보험료징수 등에 관한 법령상 보험가입자에 관한 설명으로 옳지 않은 것은?
① 고용보험을 적용받는 사업의 사업주와 근로자는 당연히 고용보험법에 따른 고용보험의 보험가입자가 된다.
② 산업재해보상보험법을 적용받는 사업의 사업주는 당연히 산업재해보상보험법에 따른 산업재해보상보험의 보험가입자가 된다.
③ 고용보험법에 따라 같은 법을 적용하지 아니하는 사업장의 근로자는 개별적으로 고용보험에 가입할 수 있다.
④ 산업재해보상보험법에 따라 같은 법을 적용하지 아니하는 사업의 사업주는 근로복지공단의 승인을 받아 산재보험에 가입할 수 있다.
⑤ 근로복지공단은 사업 실체가 없는 등의 사유로 계속하여 보험관계를 유지할 수 없다고 인정하는 경우에는 그 보험관계를 소멸시킬 수 있다.</v>
      </c>
      <c r="F245" s="30">
        <f>IFERROR(VLOOKUP(C245,기출문제!D:G,4,0),"")</f>
        <v>3</v>
      </c>
      <c r="G245" s="31" t="str">
        <f t="shared" si="3"/>
        <v/>
      </c>
      <c r="J245" s="23"/>
    </row>
    <row r="246" spans="2:10" s="21" customFormat="1" ht="156.75" x14ac:dyDescent="0.3">
      <c r="B246" s="17">
        <v>239</v>
      </c>
      <c r="C246" s="27" t="s">
        <v>864</v>
      </c>
      <c r="D246" s="17"/>
      <c r="E246" s="29" t="str">
        <f>IFERROR(VLOOKUP(C246,기출문제!D:G,3,0),"")</f>
        <v>99. 고용보험 및 산업재해보상보험의 보험료징수 등에 관한 법률상 고액・상습 체납자의 인적사항 공개에 관한 설명으로 옳지 않은 것은?
① 국민건강보험공단은 이 법에 따른 납부기한의 다음 날부터 1년이 지난 보험료의 총액이 1억원 이상인 체납자에 대하여는 그 인적사항등을 공개하여야 한다.
② 국민건강보험공단은 체납된 보험료, 이 법에 따른 그 밖의 징수금과 체납처분비와 관련하여 행정소송이 계류 중인 경우에는 체납자의 인적사항등을 공개할 수 없다.
③ 체납자의 인정사항등에 대한 공개 여부를 심의하기 위하여 국민건강보험공단에 보험료정보공개심의위원회를 둔다.
④ 국민건강보험공단은 보험료정보공개심의위원회의 심의를 거쳐 인정사항등의 공개가 결정된 자에 대하여 공개대상자임을 알림으로써 소명할 기회를 주어야 한다.
⑤ 체납자 인적사항등의 공개는 관보에 게재하거나, 고용・산재정보통신망 또는 국민건강보험공단 게시판에 게시하는 방법에 따른다.</v>
      </c>
      <c r="F246" s="30">
        <f>IFERROR(VLOOKUP(C246,기출문제!D:G,4,0),"")</f>
        <v>1</v>
      </c>
      <c r="G246" s="31" t="str">
        <f t="shared" si="3"/>
        <v/>
      </c>
      <c r="J246" s="23"/>
    </row>
    <row r="247" spans="2:10" s="21" customFormat="1" ht="114" x14ac:dyDescent="0.3">
      <c r="B247" s="17">
        <v>240</v>
      </c>
      <c r="C247" s="27" t="s">
        <v>865</v>
      </c>
      <c r="D247" s="17"/>
      <c r="E247" s="29" t="str">
        <f>IFERROR(VLOOKUP(C247,기출문제!D:G,3,0),"")</f>
        <v>100. 고용보험 및 산업재해보상보험의 보험료징수 등에 관한 법령상 산재보험료율의 구성은 다음과 같다. ( ) 안에 들어갈 내용으로 옳은 것은?
○ 산재보험료율(100%) = [산재보험급여지급률 + 추가지출률](ㄱ)% + 부가보험료율(ㄴ)%
① ㄱ: 70, ㄴ: 30
② ㄱ: 75, ㄴ: 25
③ ㄱ: 80, ㄴ: 20
④ ㄱ: 85, ㄴ: 15
⑤ ㄱ: 90, ㄴ: 10</v>
      </c>
      <c r="F247" s="30">
        <f>IFERROR(VLOOKUP(C247,기출문제!D:G,4,0),"")</f>
        <v>4</v>
      </c>
      <c r="G247" s="31" t="str">
        <f t="shared" si="3"/>
        <v/>
      </c>
      <c r="J247" s="23"/>
    </row>
    <row r="248" spans="2:10" s="21" customFormat="1" ht="114" x14ac:dyDescent="0.3">
      <c r="B248" s="17">
        <v>241</v>
      </c>
      <c r="C248" s="27" t="s">
        <v>288</v>
      </c>
      <c r="D248" s="17"/>
      <c r="E248" s="29" t="str">
        <f>IFERROR(VLOOKUP(C248,기출문제!D:G,3,0),"")</f>
        <v>76. 사회보장기본법상 사회보장정책의 기본방향에 관한 설명으로 옳지 않은 것은?
① 국가와 지방자치단체는 평생사회안전망을 구축・운영함에 있어 사회적 취약계층을 위한 공공부조를 마련하여 최저생활을 보장하여야 한다.
② 국가와 지방자치단체는 공공부문과 민간부문의 소득보장제도가 각각 독자적으로 구축될 수 있는 시책을 강구하여야 한다.
③ 국가와 지방자치단체는 모든 국민이 생애 동안 삶의 질을 유지・증진할 수 있도록 평생사회안전망을 구축하여야 한다.
④ 국가와 지방자치단체는 사회서비스 보장과 소득보장이 효과적이고 균형적으로 연계되도록 하여야 한다.
⑤ 국가와 지방자치단체는 모든 국민의 인간다운 생활과 자립, 사회참여, 자아실현 등을 지원하여 삶의 질이 향상될 수 있도록 사회서비스에 관한 시책을 마련하여야 한다.</v>
      </c>
      <c r="F248" s="30">
        <f>IFERROR(VLOOKUP(C248,기출문제!D:G,4,0),"")</f>
        <v>2</v>
      </c>
      <c r="G248" s="31" t="str">
        <f t="shared" si="3"/>
        <v/>
      </c>
      <c r="J248" s="23"/>
    </row>
    <row r="249" spans="2:10" s="21" customFormat="1" ht="128.25" x14ac:dyDescent="0.3">
      <c r="B249" s="17">
        <v>242</v>
      </c>
      <c r="C249" s="27" t="s">
        <v>816</v>
      </c>
      <c r="D249" s="17"/>
      <c r="E249" s="29" t="str">
        <f>IFERROR(VLOOKUP(C249,기출문제!D:G,3,0),"")</f>
        <v>77. 사회보장기본법상 사회보장위원회에 관한 설명으로 옳지 않은 것은?
① 사회보장에 관한 주요 시책을 심의・조정하기 위하여 국무총리 소속으로 사회보장위원회를 둔다.
② 관계 중앙행정기관의 장과 지방자치단체의 장은 사회보장위원회의 심의・조정사항을 반영하여 사회보장제도를 운영 또는 개선하여야 한다.
③ 사회보장위원회는 위원장 1명, 부위원장 3명과 행정자치부장관, 고용노동부장관, 여성가족부장관, 국토교통부장관을 포함한 20명 이내의 위원으로 구성한다.
④ 사회보장위원회의 위원장은 국무총리가 되고 부위원장은 기획재정부장관, 교육부장관 및 보건복지부장관이 된다.
⑤ 사회보장위원회를 효율적으로 운영하고 위원회의 심의사항을 전문적으로 검토하기 위하여 위원회에 실무위원회를 두며, 실무위원회에 분야별 전문위원회를 둘 수 있다.</v>
      </c>
      <c r="F249" s="30">
        <f>IFERROR(VLOOKUP(C249,기출문제!D:G,4,0),"")</f>
        <v>3</v>
      </c>
      <c r="G249" s="31" t="str">
        <f t="shared" si="3"/>
        <v/>
      </c>
      <c r="J249" s="23"/>
    </row>
    <row r="250" spans="2:10" s="21" customFormat="1" ht="114" x14ac:dyDescent="0.3">
      <c r="B250" s="17">
        <v>243</v>
      </c>
      <c r="C250" s="27" t="s">
        <v>817</v>
      </c>
      <c r="D250" s="17"/>
      <c r="E250" s="29" t="str">
        <f>IFERROR(VLOOKUP(C250,기출문제!D:G,3,0),"")</f>
        <v>78. 사회보장기본법상 사회보장급여와 사회보장수급권에 관한 설명으로 옳은 것은?
① 사회보장수급권은 구두로 포기할 수 있다.
② 사회보장급여는 관계 법령에 따라 국가나 지방자치단체에 신청하여야 한다. 다만, 관계 법령이 따로 정하는 경우는 국가나 지방자치단체가 직권으로 결정할 수 있다.
③ 사회보장수급권은 관계 법령에서 따로 정하고 있는 경우에 압류할 수 있다.
④ 국가와 지방자치단체는 관계 법령이 정하는 바에 따라 최저생계비와 최저임금을 매년 공표하여야 한다.
⑤ 사회보장급여를 다른 기관에 신청한 경우에는 그 기관은 지체 없이 이를 정당한 권한이 있는 기관에 이송하여야 한다. 이 경우 정당한 권한이 있는 기관에 이송된 날을 사회보장급여의 신청일로 본다.</v>
      </c>
      <c r="F250" s="30">
        <f>IFERROR(VLOOKUP(C250,기출문제!D:G,4,0),"")</f>
        <v>5</v>
      </c>
      <c r="G250" s="31" t="str">
        <f t="shared" si="3"/>
        <v/>
      </c>
      <c r="J250" s="23"/>
    </row>
    <row r="251" spans="2:10" s="21" customFormat="1" ht="171" x14ac:dyDescent="0.3">
      <c r="B251" s="17">
        <v>244</v>
      </c>
      <c r="C251" s="27" t="s">
        <v>818</v>
      </c>
      <c r="D251" s="17"/>
      <c r="E251" s="29" t="str">
        <f>IFERROR(VLOOKUP(C251,기출문제!D:G,3,0),"")</f>
        <v>79. 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
① ㄱ, ㄷ
② ㄴ, ㄹ
③ ㄱ, ㄴ, ㄷ
④ ㄱ, ㄷ, ㄹ
⑤ ㄴ, ㄷ, ㄹ</v>
      </c>
      <c r="F251" s="30">
        <f>IFERROR(VLOOKUP(C251,기출문제!D:G,4,0),"")</f>
        <v>3</v>
      </c>
      <c r="G251" s="31" t="str">
        <f t="shared" si="3"/>
        <v/>
      </c>
      <c r="J251" s="23"/>
    </row>
    <row r="252" spans="2:10" s="21" customFormat="1" ht="85.5" x14ac:dyDescent="0.3">
      <c r="B252" s="17">
        <v>245</v>
      </c>
      <c r="C252" s="27" t="s">
        <v>819</v>
      </c>
      <c r="D252" s="17"/>
      <c r="E252" s="29" t="str">
        <f>IFERROR(VLOOKUP(C252,기출문제!D:G,3,0),"")</f>
        <v>80. 고용보험법령상 고용안정・직업능력개발 사업의 내용으로 옳지 않은 것은?
① 고용창출의 지원
② 조기재취업 수당 지원
③ 고용유지지원금의 지급
④ 지역 고용의 촉진
⑤ 임금피크제 지원금의 지급</v>
      </c>
      <c r="F252" s="30">
        <f>IFERROR(VLOOKUP(C252,기출문제!D:G,4,0),"")</f>
        <v>2</v>
      </c>
      <c r="G252" s="31" t="str">
        <f t="shared" si="3"/>
        <v/>
      </c>
      <c r="J252" s="23"/>
    </row>
    <row r="253" spans="2:10" s="21" customFormat="1" ht="114" x14ac:dyDescent="0.3">
      <c r="B253" s="17">
        <v>246</v>
      </c>
      <c r="C253" s="27" t="s">
        <v>820</v>
      </c>
      <c r="D253" s="17"/>
      <c r="E253" s="29" t="str">
        <f>IFERROR(VLOOKUP(C253,기출문제!D:G,3,0),"")</f>
        <v>81. 고용보험법령상 급여에 관한 설명으로 옳은 것은?
① 이주비의 금액은 수급자격자 및 그 수급자격자에 의존하여 생계를 유지하는 동거친족의 이주에 일반적으로 드는 비용으로 하되, 그 금액의 산정은 고용노동부령으로 정하는 바에 따라 따른다.
② 근로자를 전혀 사용하지 아니하는 자영업자는 자신을 피보험자로 하여 조기재취업수당을 지급받을 수 있다.
③ 구직급여의 산정 기초가 되는 임금일액(기초일액)의 상한액은 9만 6천원이다.
④ 고용노동부장관은 고용조정이 불가피하게 된 사업주가 근로자에 대한 휴업을 실시한 경우, 근로자의 임금이 평균임금의 100분의 70 미만으로 감소할 때는 그 근로자에게도 필요한 지원을 할 수 있다.
⑤ 피보험자가 육아휴직 급여 기간 중에 그 사업에서 이직한 경우에도 육아휴직 급여를 지급한다.</v>
      </c>
      <c r="F253" s="30">
        <f>IFERROR(VLOOKUP(C253,기출문제!D:G,4,0),"")</f>
        <v>1</v>
      </c>
      <c r="G253" s="31" t="str">
        <f t="shared" si="3"/>
        <v/>
      </c>
      <c r="J253" s="23"/>
    </row>
    <row r="254" spans="2:10" s="21" customFormat="1" ht="128.25" x14ac:dyDescent="0.3">
      <c r="B254" s="17">
        <v>247</v>
      </c>
      <c r="C254" s="27" t="s">
        <v>821</v>
      </c>
      <c r="D254" s="17"/>
      <c r="E254" s="29" t="str">
        <f>IFERROR(VLOOKUP(C254,기출문제!D:G,3,0),"")</f>
        <v>82. 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
① ㄱ
② ㄱ, ㄴ
③ ㄱ, ㄷ
④ ㄴ, ㄷ
⑤ ㄱ, ㄴ, ㄷ</v>
      </c>
      <c r="F254" s="30">
        <f>IFERROR(VLOOKUP(C254,기출문제!D:G,4,0),"")</f>
        <v>3</v>
      </c>
      <c r="G254" s="31" t="str">
        <f t="shared" si="3"/>
        <v/>
      </c>
      <c r="J254" s="23"/>
    </row>
    <row r="255" spans="2:10" s="21" customFormat="1" ht="99.75" x14ac:dyDescent="0.3">
      <c r="B255" s="17">
        <v>248</v>
      </c>
      <c r="C255" s="27" t="s">
        <v>822</v>
      </c>
      <c r="D255" s="17"/>
      <c r="E255" s="29" t="str">
        <f>IFERROR(VLOOKUP(C255,기출문제!D:G,3,0),"")</f>
        <v>83. 고용보험법상 피보험자격의 취득일 및 상실일에 관한 설명으로 옳은 것은?
① 피보험자는 고용보험법이 적용되는 사업에 고용된 날의 다음 날에 피보험자격을 취득한다.
② 적용 제외 근로자였던 자가 고용보험법의 적용을 받게 된 경우에는 그 적용을 받게 된 날의 다음 날에 피보험자격을 취득한 것으로 본다.
③ 피보험자가 적용 제외 근로자에 해당하게 된 경우에는 그 적용 제외 대상자가 된 날의 다음 날에 피보험자격을 상실한다.
④ 보험관계가 소멸한 경우에는 그 보험관계가 소멸한 날의 다음 날에 피보험자격을 상실한다.
⑤ 피보험자가 이직한 경우에는 이직한 날의 다음 날에 피보험자격을 상실한다.</v>
      </c>
      <c r="F255" s="30">
        <f>IFERROR(VLOOKUP(C255,기출문제!D:G,4,0),"")</f>
        <v>5</v>
      </c>
      <c r="G255" s="31" t="str">
        <f t="shared" si="3"/>
        <v/>
      </c>
      <c r="J255" s="23"/>
    </row>
    <row r="256" spans="2:10" s="21" customFormat="1" ht="85.5" x14ac:dyDescent="0.3">
      <c r="B256" s="17">
        <v>249</v>
      </c>
      <c r="C256" s="27" t="s">
        <v>823</v>
      </c>
      <c r="D256" s="17"/>
      <c r="E256" s="29" t="str">
        <f>IFERROR(VLOOKUP(C256,기출문제!D:G,3,0),"")</f>
        <v>84. 고용보험법상 고용보험심사위원회의 재심사 청구에서 재심사 청구인의 대리인이 될 수 없는 자는?
① 청구인인 법인의 직원
② 청구인의 배우자
③ 청구인이 가입한 노동조합의 위원장
④ 변호사
⑤ 고용보험심사위원회의 허가를 받은 자</v>
      </c>
      <c r="F256" s="30">
        <f>IFERROR(VLOOKUP(C256,기출문제!D:G,4,0),"")</f>
        <v>3</v>
      </c>
      <c r="G256" s="31" t="str">
        <f t="shared" si="3"/>
        <v/>
      </c>
      <c r="J256" s="23"/>
    </row>
    <row r="257" spans="2:10" s="21" customFormat="1" ht="85.5" x14ac:dyDescent="0.3">
      <c r="B257" s="17">
        <v>250</v>
      </c>
      <c r="C257" s="27" t="s">
        <v>824</v>
      </c>
      <c r="D257" s="17"/>
      <c r="E257" s="29" t="str">
        <f>IFERROR(VLOOKUP(C257,기출문제!D:G,3,0),"")</f>
        <v>85. 고용보험법상 구직급여(상병급여)의 수급자격 제한 또는 지급 제한이 되지 않는 경우는?
① 중대한 귀책사유로 해고된 피보험자로서 정당한 사유 없이 근로계약 또는 취업규칙 등을 위반하여 장기간 무단 결근한 경우
② 자기 사정으로 이직한 피보험자로서 전직 또는 자영업을 하기 위하여 이직한 경우
③ 중대한 귀책사유가 있는 자가 해고되지 아니하고 사업주의 권고로 이직한 경우
④ 퇴직한 근로자로서 국민연금법에 의한 노령연금을 지급받는 경우
⑤ 실업신고 이후 산업재해보상보험법에 따른 휴업급여를 지급받을 수 있는 경우</v>
      </c>
      <c r="F257" s="30">
        <f>IFERROR(VLOOKUP(C257,기출문제!D:G,4,0),"")</f>
        <v>4</v>
      </c>
      <c r="G257" s="31" t="str">
        <f t="shared" si="3"/>
        <v/>
      </c>
      <c r="J257" s="23"/>
    </row>
    <row r="258" spans="2:10" s="21" customFormat="1" ht="114" x14ac:dyDescent="0.3">
      <c r="B258" s="17">
        <v>251</v>
      </c>
      <c r="C258" s="27" t="s">
        <v>825</v>
      </c>
      <c r="D258" s="17"/>
      <c r="E258" s="29" t="str">
        <f>IFERROR(VLOOKUP(C258,기출문제!D:G,3,0),"")</f>
        <v>86. 산업재해보상보험법상 심사 청구 및 재심사 청구에 관한 설명으로 옳은 것은?
① 근로복지공단은 심사 청구서를 받은 날부터 60일 이내에 결정을 하여야 하지만, 부득이한 사유로 그 기간 이내에 결정을 할 수 없으면 1차에 한하여 20일을 넘지 아니하는 범위에서 그 기간을 연장할 수 있다.
② 심사 청구 및 재심사 청구에 관하여 산업재해보상보험법에서 정하고 있지 아니한 사항에 대하여는 행정소송법에 따른다.
③ 업무상질병판정위원회의 심의를 거친 보험급여에 관한 결정에 불복하는 자는 근로복지공단에 심사 청구를 하지 아니하고는 산업재해보상보험재심사위원회에 재심사 청구를 할 수 없다.
④ 심사 청구는 보험급여 결정 등이 있음을 안 날로부터 180일 이내에 하여야 한다.
⑤ 재심사위원회의 위원장은 재심사위원회의 제청으로 고용노동부장관이 임명한다.</v>
      </c>
      <c r="F258" s="30">
        <f>IFERROR(VLOOKUP(C258,기출문제!D:G,4,0),"")</f>
        <v>1</v>
      </c>
      <c r="G258" s="31" t="str">
        <f t="shared" si="3"/>
        <v/>
      </c>
      <c r="J258" s="23"/>
    </row>
    <row r="259" spans="2:10" s="21" customFormat="1" ht="114" x14ac:dyDescent="0.3">
      <c r="B259" s="17">
        <v>252</v>
      </c>
      <c r="C259" s="27" t="s">
        <v>826</v>
      </c>
      <c r="D259" s="17"/>
      <c r="E259" s="29" t="str">
        <f>IFERROR(VLOOKUP(C259,기출문제!D:G,3,0),"")</f>
        <v>87. 산업재해보상보험법령상 재요양의 요건 및 절차에 해당하지 않는 것은?
① 치유된 업무상 부상 또는 질병과 재요양의 대상이 되는 부상 또는 질병 사이에 상당인과관계가 있을 것
② 재요양의 대상이 되는 부상 또는 질병의 상태가 치유 당시보다 악화된 경우로서 나이나 그 밖에 업무 외의 사유로 악화된 경우가 아닐 것
③ 재요양의 대상이 되는 부상 또는 질병의 상태가 재요양을 통해 호전되는 등 치료효과를 기대할 수 있을 것
④ 재요양을 받으려는 사람은 고용노동부령으로 정하는 바에 따라 공단에 재요양을 신청하여야 한다.
⑤ 업무상의 사유로 발생한 부상 또는 질병으로 인하여 요양 중으로서 그 부상 또는 질병의 상태가 치유 후에도 장해등급에 해당할 것이라는 내용의 의학적 소견이 있을 것</v>
      </c>
      <c r="F259" s="30">
        <f>IFERROR(VLOOKUP(C259,기출문제!D:G,4,0),"")</f>
        <v>5</v>
      </c>
      <c r="G259" s="31" t="str">
        <f t="shared" si="3"/>
        <v/>
      </c>
      <c r="J259" s="23"/>
    </row>
    <row r="260" spans="2:10" s="21" customFormat="1" ht="85.5" x14ac:dyDescent="0.3">
      <c r="B260" s="17">
        <v>253</v>
      </c>
      <c r="C260" s="27" t="s">
        <v>827</v>
      </c>
      <c r="D260" s="17"/>
      <c r="E260" s="29" t="str">
        <f>IFERROR(VLOOKUP(C260,기출문제!D:G,3,0),"")</f>
        <v>88. 산업재해보상보험법상 보험급여에 관한 설명으로 옳지 않은 것은?
① 진폐에 따른 보험급여의 종류는 요양급여, 간병급여, 장례비, 직업재활급여, 진폐보상연금 및 진폐유족연금으로 한다.
② 요양급여는 근로자가 업무상의 사유로 부상을 당하거나 질병에 걸린 경우에 그 보험가입자에게 지급한다.
③ 요양으로 취업하지 못한 기간이 3일 이내이면 휴업급여를 지급하지 아니한다.
④ 대한민국 국민이 아닌 장해보상연금의 수급권자가 외국에서 거주하기 위하여 출국하는 경우 그 수급권이 소멸한다.
⑤ 산업재해로 사망한 근로자의 배우자가 재혼한 때 유족보상연금 수급자격을 잃는다.</v>
      </c>
      <c r="F260" s="30">
        <f>IFERROR(VLOOKUP(C260,기출문제!D:G,4,0),"")</f>
        <v>2</v>
      </c>
      <c r="G260" s="31" t="str">
        <f t="shared" si="3"/>
        <v/>
      </c>
      <c r="J260" s="23"/>
    </row>
    <row r="261" spans="2:10" s="21" customFormat="1" ht="99.75" x14ac:dyDescent="0.3">
      <c r="B261" s="17">
        <v>254</v>
      </c>
      <c r="C261" s="27" t="s">
        <v>828</v>
      </c>
      <c r="D261" s="17"/>
      <c r="E261" s="29" t="str">
        <f>IFERROR(VLOOKUP(C261,기출문제!D:G,3,0),"")</f>
        <v>89. 산업재해보상보험법상 내용으로 옳은 것은?
① 근로복지공단은 대통령령이 정하는 바에 따라 회계연도마다 사업 운영계획과 예산에 관하여 고용노동부장관의 승인을 받아야 한다.
② 업무상 질병의 인정 여부를 심의하기 위하여 고용노동부에 업무상질병판정위원회를 둔다.
③ 산업재해보상보험심사위원회는 근로복지공단의 결정에 대한 심사 청구를 심의하기 위하여 고용노동부에 두는 기구이다.
④ 산업재해보상보험및예방기금은 근로복지공단 기금운영위원회가 관리・운용한다.
⑤ 국가는 회계연도마다 예산범위 안에서 보험사업에 드는 비용을 지원하여야 한다.</v>
      </c>
      <c r="F261" s="30">
        <f>IFERROR(VLOOKUP(C261,기출문제!D:G,4,0),"")</f>
        <v>1</v>
      </c>
      <c r="G261" s="31" t="str">
        <f t="shared" si="3"/>
        <v/>
      </c>
      <c r="J261" s="23"/>
    </row>
    <row r="262" spans="2:10" s="21" customFormat="1" ht="114" x14ac:dyDescent="0.3">
      <c r="B262" s="17">
        <v>255</v>
      </c>
      <c r="C262" s="27" t="s">
        <v>829</v>
      </c>
      <c r="D262" s="17"/>
      <c r="E262" s="29" t="str">
        <f>IFERROR(VLOOKUP(C262,기출문제!D:G,3,0),"")</f>
        <v>90. 산업재해보상보험법상 연금의 지급기간 및 지급시기에 관한 설명으로 옳은 것은?
① 장해보상연금의 지급은 그 지급사유가 발생한 달의 초일부터 시작된다.
② 유족보상연금의 지급은 그 지급받을 권리가 소멸한 달의 다음 달 말일에 끝난다.
③ 진폐유족연금은 그 지급을 정지할 사유가 발생한 때에는 그 사유가 발생한 달의 다음 달 초일부터 그 사유가 소멸한 달의 말일까지 지급하지 아니한다.
④ 진폐보상연금은 매년 이를 12등분하여 매달 25일에 그 달 치의 금액을 지급하되, 지급일이 토요일이거나 공휴일이면 그 다음날에 지급한다.
⑤ 유족보상연금의 지급은 그 지급사유가 발생한 달의 초일부터 시작된다.</v>
      </c>
      <c r="F262" s="30">
        <f>IFERROR(VLOOKUP(C262,기출문제!D:G,4,0),"")</f>
        <v>3</v>
      </c>
      <c r="G262" s="31" t="str">
        <f t="shared" si="3"/>
        <v/>
      </c>
      <c r="J262" s="23"/>
    </row>
    <row r="263" spans="2:10" s="21" customFormat="1" ht="142.5" x14ac:dyDescent="0.3">
      <c r="B263" s="17">
        <v>256</v>
      </c>
      <c r="C263" s="27" t="s">
        <v>830</v>
      </c>
      <c r="D263" s="17"/>
      <c r="E263" s="29" t="str">
        <f>IFERROR(VLOOKUP(C263,기출문제!D:G,3,0),"")</f>
        <v>91. 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
① ㄱ, ㄷ
② ㄴ, ㄹ
③ ㄱ, ㄴ, ㄷ
④ ㄱ, ㄴ, ㄹ
⑤ ㄴ, ㄷ, ㄹ</v>
      </c>
      <c r="F263" s="30">
        <f>IFERROR(VLOOKUP(C263,기출문제!D:G,4,0),"")</f>
        <v>3</v>
      </c>
      <c r="G263" s="31" t="str">
        <f t="shared" si="3"/>
        <v/>
      </c>
      <c r="J263" s="23"/>
    </row>
    <row r="264" spans="2:10" s="21" customFormat="1" ht="185.25" x14ac:dyDescent="0.3">
      <c r="B264" s="17">
        <v>257</v>
      </c>
      <c r="C264" s="27" t="s">
        <v>607</v>
      </c>
      <c r="D264" s="17"/>
      <c r="E264" s="29" t="str">
        <f>IFERROR(VLOOKUP(C264,기출문제!D:G,3,0),"")</f>
        <v>92. 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
① 20
② 21
③ 22
④ 23
⑤ 24</v>
      </c>
      <c r="F264" s="30">
        <f>IFERROR(VLOOKUP(C264,기출문제!D:G,4,0),"")</f>
        <v>4</v>
      </c>
      <c r="G264" s="31" t="str">
        <f t="shared" si="3"/>
        <v/>
      </c>
      <c r="J264" s="23"/>
    </row>
    <row r="265" spans="2:10" s="21" customFormat="1" ht="85.5" x14ac:dyDescent="0.3">
      <c r="B265" s="17">
        <v>258</v>
      </c>
      <c r="C265" s="27" t="s">
        <v>831</v>
      </c>
      <c r="D265" s="17"/>
      <c r="E265" s="29" t="str">
        <f>IFERROR(VLOOKUP(C265,기출문제!D:G,3,0),"")</f>
        <v>93. 국민연금법상 장애등급 3급에 해당하는 자에 대하여 지급하는 장애연금액은?
① 기본연금액의 100%
② 기본연금액의 90%에 부양가족연금액을 더한 금액
③ 기본연금액의 80%에 부양가족연금액을 더한 금액
④ 기본연금액의 70%에 부양가족연금액을 더한 금액
⑤ 기본연금액의 60%에 부양가족연금액을 더한 금액</v>
      </c>
      <c r="F265" s="30">
        <f>IFERROR(VLOOKUP(C265,기출문제!D:G,4,0),"")</f>
        <v>5</v>
      </c>
      <c r="G265" s="31" t="str">
        <f t="shared" ref="G265:G328" si="4">IF(D265="","",IF(D265=F265,"O", "X"))</f>
        <v/>
      </c>
      <c r="J265" s="23"/>
    </row>
    <row r="266" spans="2:10" s="21" customFormat="1" ht="114" x14ac:dyDescent="0.3">
      <c r="B266" s="17">
        <v>259</v>
      </c>
      <c r="C266" s="27" t="s">
        <v>832</v>
      </c>
      <c r="D266" s="17"/>
      <c r="E266" s="29" t="str">
        <f>IFERROR(VLOOKUP(C266,기출문제!D:G,3,0),"")</f>
        <v>94. 국민건강보험법령상 보험료에 관한 설명으로 옳지 않은 것은?
① 직장가입자의 보수월액보험료는 직장가입자가 납부한다.
② 보수가 지급되지 아니하는 사용자의 보수월액은 객관적인 자료를 통하여 확인된 금액으로 하고, 객관적인 자료가 없는 경우에는 사용자의 신고금액으로 한다.
③ 직장가입자의 소득월액보험료 및 지역가입자의 보험료는 분기별로 납부할 수 있다.
④ 직장가입자의 월별 보험료액은 보수월액에 보험료율을 곱하여 얻은 금액과 보수 외 소득월액에 보험료율을 곱하여 얻은 금액으로 한다.
⑤ 직장가입자의 소득월액보험료는 직장가입자가 전액 부담한다.</v>
      </c>
      <c r="F266" s="30">
        <f>IFERROR(VLOOKUP(C266,기출문제!D:G,4,0),"")</f>
        <v>1</v>
      </c>
      <c r="G266" s="31" t="str">
        <f t="shared" si="4"/>
        <v/>
      </c>
      <c r="J266" s="23"/>
    </row>
    <row r="267" spans="2:10" s="21" customFormat="1" ht="85.5" x14ac:dyDescent="0.3">
      <c r="B267" s="17">
        <v>260</v>
      </c>
      <c r="C267" s="27" t="s">
        <v>833</v>
      </c>
      <c r="D267" s="17"/>
      <c r="E267" s="29" t="str">
        <f>IFERROR(VLOOKUP(C267,기출문제!D:G,3,0),"")</f>
        <v>95. 국민건강보험법상 건강보험심사평가원의 관장 업무가 아닌 것은?
① 요양급여비용의 심사
② 요양급여의 적정성 평가
③ 심사기준 및 평가기준의 개발
④ 직장가입자의 보험료율에 대한 심사
⑤ 건강보험과 관련하여 보건복지부장관이 필요하다고 인정한 업무</v>
      </c>
      <c r="F267" s="30">
        <f>IFERROR(VLOOKUP(C267,기출문제!D:G,4,0),"")</f>
        <v>4</v>
      </c>
      <c r="G267" s="31" t="str">
        <f t="shared" si="4"/>
        <v/>
      </c>
      <c r="J267" s="23"/>
    </row>
    <row r="268" spans="2:10" s="21" customFormat="1" ht="99.75" x14ac:dyDescent="0.3">
      <c r="B268" s="17">
        <v>261</v>
      </c>
      <c r="C268" s="27" t="s">
        <v>834</v>
      </c>
      <c r="D268" s="17"/>
      <c r="E268" s="29" t="str">
        <f>IFERROR(VLOOKUP(C268,기출문제!D:G,3,0),"")</f>
        <v>96. 고용보험 및 산업재해보상보험의 보험료 징수 등에 관한 법률상 보험관계의 성립일 또는 소멸일에 해당하지 않는 것은?
① 보험에 가입한 하수급인의 경우에는 그 하도급공사의 착공일
② 사업이 폐업된 날의 다음 날
③ 사업 실체가 없는 등의 사유로 계속하여 보험관계를 유지할 수 없다고 인정하여 근로복지공단이 보험관계를 소멸시키는 경우에는 그 소멸을 결정・통지한 날의 다음 날
④ 근로복지공단의 승인을 얻어 가입한 보험계약을 해지하는 경우에는 그 해지에 관하여 공단의 승인을 받은 날
⑤ 사업이 끝난 날의 다음 날</v>
      </c>
      <c r="F268" s="30">
        <f>IFERROR(VLOOKUP(C268,기출문제!D:G,4,0),"")</f>
        <v>4</v>
      </c>
      <c r="G268" s="31" t="str">
        <f t="shared" si="4"/>
        <v/>
      </c>
      <c r="J268" s="23"/>
    </row>
    <row r="269" spans="2:10" s="21" customFormat="1" ht="128.25" x14ac:dyDescent="0.3">
      <c r="B269" s="17">
        <v>262</v>
      </c>
      <c r="C269" s="27" t="s">
        <v>835</v>
      </c>
      <c r="D269" s="17"/>
      <c r="E269" s="29" t="str">
        <f>IFERROR(VLOOKUP(C269,기출문제!D:G,3,0),"")</f>
        <v>97. 고용보험 및 산업재해보상보험의 보험료 징수 등에 관한 법률상 보험료율에 관한 설명으로 옳은 것은?
① 개별실적요율의 적용을 받는 사업의 산재보험료율은 100분의 75의 범위에서 대통령령으로 정하는 바에 따라 인상하거나 인하할 수 있다.
② 고용보험료율을 결정하거나 변경하려면 고용보험법에 따른 고용보험위원회의 심의를 거쳐야 한다.
③ 산재보험료율은 매년 6월 30일 현재 과거 2년 동안의 보수총액에 대한 산재보험급여총액의 비율을 기초로 하여 정한다.
④ 고용노동부장관은 특정 사업 종류의 산재보험료율이 전체 사업의 평균 산재보험료율의 10배를 초과하지 아니하도록 하여야 한다.
⑤ 특정 사업 종류의 산재보험료율이 인상되거나 인하되는 경우에는 직전 보험연도 산재보험료율의 100분의 20의 범위에서 조정하여야 한다.</v>
      </c>
      <c r="F269" s="30">
        <f>IFERROR(VLOOKUP(C269,기출문제!D:G,4,0),"")</f>
        <v>2</v>
      </c>
      <c r="G269" s="31" t="str">
        <f t="shared" si="4"/>
        <v/>
      </c>
      <c r="J269" s="23"/>
    </row>
    <row r="270" spans="2:10" s="21" customFormat="1" ht="99.75" x14ac:dyDescent="0.3">
      <c r="B270" s="17">
        <v>263</v>
      </c>
      <c r="C270" s="27" t="s">
        <v>836</v>
      </c>
      <c r="D270" s="17"/>
      <c r="E270" s="29" t="str">
        <f>IFERROR(VLOOKUP(C270,기출문제!D:G,3,0),"")</f>
        <v>98. 고용보험 및 산업재해보상보험의 보험료 징수 등에 관한 법률상 납부의무가 확정된 보험료의 총액이 600만원인 경우, 당해 보험료를 납부기한 전에 징수할 수 있는 사유로 옳지 않은 것은?
① 경매가 개시된 경우
② 국세를 체납한 경우
③ 강제집행을 받은 경우
④ 공과금을 체납하여 체납처분을 받은 경우
⑤ 어음법 및 수표법에 따른 어음교환소에서 거래정지처분을 받은 경우</v>
      </c>
      <c r="F270" s="30">
        <f>IFERROR(VLOOKUP(C270,기출문제!D:G,4,0),"")</f>
        <v>2</v>
      </c>
      <c r="G270" s="31" t="str">
        <f t="shared" si="4"/>
        <v/>
      </c>
      <c r="J270" s="23"/>
    </row>
    <row r="271" spans="2:10" s="21" customFormat="1" ht="114" x14ac:dyDescent="0.3">
      <c r="B271" s="17">
        <v>264</v>
      </c>
      <c r="C271" s="27" t="s">
        <v>837</v>
      </c>
      <c r="D271" s="17"/>
      <c r="E271" s="29" t="str">
        <f>IFERROR(VLOOKUP(C271,기출문제!D:G,3,0),"")</f>
        <v>99. 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
① 10
② 20
③ 30
④ 40
⑤ 50</v>
      </c>
      <c r="F271" s="30">
        <f>IFERROR(VLOOKUP(C271,기출문제!D:G,4,0),"")</f>
        <v>3</v>
      </c>
      <c r="G271" s="31" t="str">
        <f t="shared" si="4"/>
        <v/>
      </c>
      <c r="J271" s="23"/>
    </row>
    <row r="272" spans="2:10" s="21" customFormat="1" ht="99.75" x14ac:dyDescent="0.3">
      <c r="B272" s="17">
        <v>265</v>
      </c>
      <c r="C272" s="27" t="s">
        <v>838</v>
      </c>
      <c r="D272" s="17"/>
      <c r="E272" s="29" t="str">
        <f>IFERROR(VLOOKUP(C272,기출문제!D:G,3,0),"")</f>
        <v>100. 고용보험 및 산업재해보상보험의 보험료 징수 등에 관한 법률상 보험료에 관한 설명으로 옳은 것은?
① 고용보험료는 근로복지공단이 부과하고 이를 징수한다.
② 근로자가 월의 중간에 동일한 사업주의 하나의 사업장에서 다른 사업장으로 전근되는 경우 그 근로자에 대한 그 월별보험료는 해당 월의 다음 달부터 산정한다.
③ 사업주는 그 달의 월별보험료를 다음 달 15일까지 납부하여야 한다.
④ 근로복지공단은 사업주에게 문서로써 납부기한 10일 전까지 월별보험료의 납입을 고지하여야 한다.
⑤ 사업주는 전년도에 근로자에게 지급한 보수총액 등을 매년 1월 31일까지 근로복지공단에 신고하여야 한다.</v>
      </c>
      <c r="F272" s="30">
        <f>IFERROR(VLOOKUP(C272,기출문제!D:G,4,0),"")</f>
        <v>2</v>
      </c>
      <c r="G272" s="31" t="str">
        <f t="shared" si="4"/>
        <v/>
      </c>
      <c r="J272" s="23"/>
    </row>
    <row r="273" spans="2:10" s="21" customFormat="1" x14ac:dyDescent="0.3">
      <c r="B273" s="17">
        <v>266</v>
      </c>
      <c r="C273" s="27" t="s">
        <v>723</v>
      </c>
      <c r="D273" s="17"/>
      <c r="E273" s="29" t="str">
        <f>IFERROR(VLOOKUP(C273,기출문제!D:G,3,0),"")</f>
        <v/>
      </c>
      <c r="F273" s="30" t="str">
        <f>IFERROR(VLOOKUP(C273,기출문제!D:G,4,0),"")</f>
        <v/>
      </c>
      <c r="G273" s="31" t="str">
        <f t="shared" si="4"/>
        <v/>
      </c>
      <c r="J273" s="23"/>
    </row>
    <row r="274" spans="2:10" s="21" customFormat="1" x14ac:dyDescent="0.3">
      <c r="B274" s="17">
        <v>267</v>
      </c>
      <c r="C274" s="27" t="s">
        <v>723</v>
      </c>
      <c r="D274" s="17"/>
      <c r="E274" s="29" t="str">
        <f>IFERROR(VLOOKUP(C274,기출문제!D:G,3,0),"")</f>
        <v/>
      </c>
      <c r="F274" s="30" t="str">
        <f>IFERROR(VLOOKUP(C274,기출문제!D:G,4,0),"")</f>
        <v/>
      </c>
      <c r="G274" s="31" t="str">
        <f t="shared" si="4"/>
        <v/>
      </c>
      <c r="J274" s="23"/>
    </row>
    <row r="275" spans="2:10" s="21" customFormat="1" x14ac:dyDescent="0.3">
      <c r="B275" s="17">
        <v>268</v>
      </c>
      <c r="C275" s="27" t="s">
        <v>723</v>
      </c>
      <c r="D275" s="17"/>
      <c r="E275" s="29" t="str">
        <f>IFERROR(VLOOKUP(C275,기출문제!D:G,3,0),"")</f>
        <v/>
      </c>
      <c r="F275" s="30" t="str">
        <f>IFERROR(VLOOKUP(C275,기출문제!D:G,4,0),"")</f>
        <v/>
      </c>
      <c r="G275" s="31" t="str">
        <f t="shared" si="4"/>
        <v/>
      </c>
      <c r="J275" s="23"/>
    </row>
    <row r="276" spans="2:10" s="21" customFormat="1" x14ac:dyDescent="0.3">
      <c r="B276" s="17">
        <v>269</v>
      </c>
      <c r="C276" s="27" t="s">
        <v>723</v>
      </c>
      <c r="D276" s="17"/>
      <c r="E276" s="29" t="str">
        <f>IFERROR(VLOOKUP(C276,기출문제!D:G,3,0),"")</f>
        <v/>
      </c>
      <c r="F276" s="30" t="str">
        <f>IFERROR(VLOOKUP(C276,기출문제!D:G,4,0),"")</f>
        <v/>
      </c>
      <c r="G276" s="31" t="str">
        <f t="shared" si="4"/>
        <v/>
      </c>
      <c r="J276" s="23"/>
    </row>
    <row r="277" spans="2:10" s="21" customFormat="1" x14ac:dyDescent="0.3">
      <c r="B277" s="17">
        <v>270</v>
      </c>
      <c r="C277" s="27" t="s">
        <v>723</v>
      </c>
      <c r="D277" s="17"/>
      <c r="E277" s="29" t="str">
        <f>IFERROR(VLOOKUP(C277,기출문제!D:G,3,0),"")</f>
        <v/>
      </c>
      <c r="F277" s="30" t="str">
        <f>IFERROR(VLOOKUP(C277,기출문제!D:G,4,0),"")</f>
        <v/>
      </c>
      <c r="G277" s="31" t="str">
        <f t="shared" si="4"/>
        <v/>
      </c>
      <c r="J277" s="23"/>
    </row>
    <row r="278" spans="2:10" s="21" customFormat="1" x14ac:dyDescent="0.3">
      <c r="B278" s="17">
        <v>271</v>
      </c>
      <c r="C278" s="27" t="s">
        <v>723</v>
      </c>
      <c r="D278" s="17"/>
      <c r="E278" s="29" t="str">
        <f>IFERROR(VLOOKUP(C278,기출문제!D:G,3,0),"")</f>
        <v/>
      </c>
      <c r="F278" s="30" t="str">
        <f>IFERROR(VLOOKUP(C278,기출문제!D:G,4,0),"")</f>
        <v/>
      </c>
      <c r="G278" s="31" t="str">
        <f t="shared" si="4"/>
        <v/>
      </c>
      <c r="J278" s="23"/>
    </row>
    <row r="279" spans="2:10" s="21" customFormat="1" x14ac:dyDescent="0.3">
      <c r="B279" s="17">
        <v>272</v>
      </c>
      <c r="C279" s="27" t="s">
        <v>723</v>
      </c>
      <c r="D279" s="17"/>
      <c r="E279" s="29" t="str">
        <f>IFERROR(VLOOKUP(C279,기출문제!D:G,3,0),"")</f>
        <v/>
      </c>
      <c r="F279" s="30" t="str">
        <f>IFERROR(VLOOKUP(C279,기출문제!D:G,4,0),"")</f>
        <v/>
      </c>
      <c r="G279" s="31" t="str">
        <f t="shared" si="4"/>
        <v/>
      </c>
      <c r="J279" s="23"/>
    </row>
    <row r="280" spans="2:10" s="21" customFormat="1" x14ac:dyDescent="0.3">
      <c r="B280" s="17">
        <v>273</v>
      </c>
      <c r="C280" s="27" t="s">
        <v>723</v>
      </c>
      <c r="D280" s="17"/>
      <c r="E280" s="29" t="str">
        <f>IFERROR(VLOOKUP(C280,기출문제!D:G,3,0),"")</f>
        <v/>
      </c>
      <c r="F280" s="30" t="str">
        <f>IFERROR(VLOOKUP(C280,기출문제!D:G,4,0),"")</f>
        <v/>
      </c>
      <c r="G280" s="31" t="str">
        <f t="shared" si="4"/>
        <v/>
      </c>
      <c r="J280" s="23"/>
    </row>
    <row r="281" spans="2:10" s="21" customFormat="1" x14ac:dyDescent="0.3">
      <c r="B281" s="17">
        <v>274</v>
      </c>
      <c r="C281" s="27" t="s">
        <v>723</v>
      </c>
      <c r="D281" s="17"/>
      <c r="E281" s="29" t="str">
        <f>IFERROR(VLOOKUP(C281,기출문제!D:G,3,0),"")</f>
        <v/>
      </c>
      <c r="F281" s="30" t="str">
        <f>IFERROR(VLOOKUP(C281,기출문제!D:G,4,0),"")</f>
        <v/>
      </c>
      <c r="G281" s="31" t="str">
        <f t="shared" si="4"/>
        <v/>
      </c>
      <c r="J281" s="23"/>
    </row>
    <row r="282" spans="2:10" s="21" customFormat="1" x14ac:dyDescent="0.3">
      <c r="B282" s="17">
        <v>275</v>
      </c>
      <c r="C282" s="27" t="s">
        <v>723</v>
      </c>
      <c r="D282" s="17"/>
      <c r="E282" s="29" t="str">
        <f>IFERROR(VLOOKUP(C282,기출문제!D:G,3,0),"")</f>
        <v/>
      </c>
      <c r="F282" s="30" t="str">
        <f>IFERROR(VLOOKUP(C282,기출문제!D:G,4,0),"")</f>
        <v/>
      </c>
      <c r="G282" s="31" t="str">
        <f t="shared" si="4"/>
        <v/>
      </c>
      <c r="J282" s="23"/>
    </row>
    <row r="283" spans="2:10" s="21" customFormat="1" x14ac:dyDescent="0.3">
      <c r="B283" s="17">
        <v>276</v>
      </c>
      <c r="C283" s="27" t="s">
        <v>723</v>
      </c>
      <c r="D283" s="17"/>
      <c r="E283" s="29" t="str">
        <f>IFERROR(VLOOKUP(C283,기출문제!D:G,3,0),"")</f>
        <v/>
      </c>
      <c r="F283" s="30" t="str">
        <f>IFERROR(VLOOKUP(C283,기출문제!D:G,4,0),"")</f>
        <v/>
      </c>
      <c r="G283" s="31" t="str">
        <f t="shared" si="4"/>
        <v/>
      </c>
      <c r="J283" s="23"/>
    </row>
    <row r="284" spans="2:10" s="21" customFormat="1" x14ac:dyDescent="0.3">
      <c r="B284" s="17">
        <v>277</v>
      </c>
      <c r="C284" s="27" t="s">
        <v>723</v>
      </c>
      <c r="D284" s="17"/>
      <c r="E284" s="29" t="str">
        <f>IFERROR(VLOOKUP(C284,기출문제!D:G,3,0),"")</f>
        <v/>
      </c>
      <c r="F284" s="30" t="str">
        <f>IFERROR(VLOOKUP(C284,기출문제!D:G,4,0),"")</f>
        <v/>
      </c>
      <c r="G284" s="31" t="str">
        <f t="shared" si="4"/>
        <v/>
      </c>
      <c r="J284" s="23"/>
    </row>
    <row r="285" spans="2:10" s="21" customFormat="1" x14ac:dyDescent="0.3">
      <c r="B285" s="17">
        <v>278</v>
      </c>
      <c r="C285" s="27" t="s">
        <v>723</v>
      </c>
      <c r="D285" s="17"/>
      <c r="E285" s="29" t="str">
        <f>IFERROR(VLOOKUP(C285,기출문제!D:G,3,0),"")</f>
        <v/>
      </c>
      <c r="F285" s="30" t="str">
        <f>IFERROR(VLOOKUP(C285,기출문제!D:G,4,0),"")</f>
        <v/>
      </c>
      <c r="G285" s="31" t="str">
        <f t="shared" si="4"/>
        <v/>
      </c>
      <c r="J285" s="23"/>
    </row>
    <row r="286" spans="2:10" s="21" customFormat="1" x14ac:dyDescent="0.3">
      <c r="B286" s="17">
        <v>279</v>
      </c>
      <c r="C286" s="27" t="s">
        <v>723</v>
      </c>
      <c r="D286" s="17"/>
      <c r="E286" s="29" t="str">
        <f>IFERROR(VLOOKUP(C286,기출문제!D:G,3,0),"")</f>
        <v/>
      </c>
      <c r="F286" s="30" t="str">
        <f>IFERROR(VLOOKUP(C286,기출문제!D:G,4,0),"")</f>
        <v/>
      </c>
      <c r="G286" s="31" t="str">
        <f t="shared" si="4"/>
        <v/>
      </c>
      <c r="J286" s="23"/>
    </row>
    <row r="287" spans="2:10" s="21" customFormat="1" x14ac:dyDescent="0.3">
      <c r="B287" s="17">
        <v>280</v>
      </c>
      <c r="C287" s="27" t="s">
        <v>723</v>
      </c>
      <c r="D287" s="17"/>
      <c r="E287" s="29" t="str">
        <f>IFERROR(VLOOKUP(C287,기출문제!D:G,3,0),"")</f>
        <v/>
      </c>
      <c r="F287" s="30" t="str">
        <f>IFERROR(VLOOKUP(C287,기출문제!D:G,4,0),"")</f>
        <v/>
      </c>
      <c r="G287" s="31" t="str">
        <f t="shared" si="4"/>
        <v/>
      </c>
      <c r="J287" s="23"/>
    </row>
    <row r="288" spans="2:10" s="21" customFormat="1" x14ac:dyDescent="0.3">
      <c r="B288" s="17">
        <v>281</v>
      </c>
      <c r="C288" s="27" t="s">
        <v>723</v>
      </c>
      <c r="D288" s="17"/>
      <c r="E288" s="29" t="str">
        <f>IFERROR(VLOOKUP(C288,기출문제!D:G,3,0),"")</f>
        <v/>
      </c>
      <c r="F288" s="30" t="str">
        <f>IFERROR(VLOOKUP(C288,기출문제!D:G,4,0),"")</f>
        <v/>
      </c>
      <c r="G288" s="31" t="str">
        <f t="shared" si="4"/>
        <v/>
      </c>
      <c r="J288" s="23"/>
    </row>
    <row r="289" spans="2:10" s="21" customFormat="1" x14ac:dyDescent="0.3">
      <c r="B289" s="17">
        <v>282</v>
      </c>
      <c r="C289" s="27" t="s">
        <v>723</v>
      </c>
      <c r="D289" s="17"/>
      <c r="E289" s="29" t="str">
        <f>IFERROR(VLOOKUP(C289,기출문제!D:G,3,0),"")</f>
        <v/>
      </c>
      <c r="F289" s="30" t="str">
        <f>IFERROR(VLOOKUP(C289,기출문제!D:G,4,0),"")</f>
        <v/>
      </c>
      <c r="G289" s="31" t="str">
        <f t="shared" si="4"/>
        <v/>
      </c>
      <c r="J289" s="23"/>
    </row>
    <row r="290" spans="2:10" s="21" customFormat="1" x14ac:dyDescent="0.3">
      <c r="B290" s="17">
        <v>283</v>
      </c>
      <c r="C290" s="27" t="s">
        <v>723</v>
      </c>
      <c r="D290" s="17"/>
      <c r="E290" s="29" t="str">
        <f>IFERROR(VLOOKUP(C290,기출문제!D:G,3,0),"")</f>
        <v/>
      </c>
      <c r="F290" s="30" t="str">
        <f>IFERROR(VLOOKUP(C290,기출문제!D:G,4,0),"")</f>
        <v/>
      </c>
      <c r="G290" s="31" t="str">
        <f t="shared" si="4"/>
        <v/>
      </c>
      <c r="J290" s="23"/>
    </row>
    <row r="291" spans="2:10" s="21" customFormat="1" x14ac:dyDescent="0.3">
      <c r="B291" s="17">
        <v>284</v>
      </c>
      <c r="C291" s="27" t="s">
        <v>723</v>
      </c>
      <c r="D291" s="17"/>
      <c r="E291" s="29" t="str">
        <f>IFERROR(VLOOKUP(C291,기출문제!D:G,3,0),"")</f>
        <v/>
      </c>
      <c r="F291" s="30" t="str">
        <f>IFERROR(VLOOKUP(C291,기출문제!D:G,4,0),"")</f>
        <v/>
      </c>
      <c r="G291" s="31" t="str">
        <f t="shared" si="4"/>
        <v/>
      </c>
      <c r="J291" s="23"/>
    </row>
    <row r="292" spans="2:10" s="21" customFormat="1" x14ac:dyDescent="0.3">
      <c r="B292" s="17">
        <v>285</v>
      </c>
      <c r="C292" s="27" t="s">
        <v>723</v>
      </c>
      <c r="D292" s="17"/>
      <c r="E292" s="29" t="str">
        <f>IFERROR(VLOOKUP(C292,기출문제!D:G,3,0),"")</f>
        <v/>
      </c>
      <c r="F292" s="30" t="str">
        <f>IFERROR(VLOOKUP(C292,기출문제!D:G,4,0),"")</f>
        <v/>
      </c>
      <c r="G292" s="31" t="str">
        <f t="shared" si="4"/>
        <v/>
      </c>
      <c r="J292" s="23"/>
    </row>
    <row r="293" spans="2:10" s="21" customFormat="1" x14ac:dyDescent="0.3">
      <c r="B293" s="17">
        <v>286</v>
      </c>
      <c r="C293" s="27" t="s">
        <v>723</v>
      </c>
      <c r="D293" s="17"/>
      <c r="E293" s="29" t="str">
        <f>IFERROR(VLOOKUP(C293,기출문제!D:G,3,0),"")</f>
        <v/>
      </c>
      <c r="F293" s="30" t="str">
        <f>IFERROR(VLOOKUP(C293,기출문제!D:G,4,0),"")</f>
        <v/>
      </c>
      <c r="G293" s="31" t="str">
        <f t="shared" si="4"/>
        <v/>
      </c>
      <c r="J293" s="23"/>
    </row>
    <row r="294" spans="2:10" s="21" customFormat="1" x14ac:dyDescent="0.3">
      <c r="B294" s="17">
        <v>287</v>
      </c>
      <c r="C294" s="27" t="s">
        <v>723</v>
      </c>
      <c r="D294" s="17"/>
      <c r="E294" s="29" t="str">
        <f>IFERROR(VLOOKUP(C294,기출문제!D:G,3,0),"")</f>
        <v/>
      </c>
      <c r="F294" s="30" t="str">
        <f>IFERROR(VLOOKUP(C294,기출문제!D:G,4,0),"")</f>
        <v/>
      </c>
      <c r="G294" s="31" t="str">
        <f t="shared" si="4"/>
        <v/>
      </c>
      <c r="J294" s="23"/>
    </row>
    <row r="295" spans="2:10" s="21" customFormat="1" x14ac:dyDescent="0.3">
      <c r="B295" s="17">
        <v>288</v>
      </c>
      <c r="C295" s="27" t="s">
        <v>723</v>
      </c>
      <c r="D295" s="17"/>
      <c r="E295" s="29" t="str">
        <f>IFERROR(VLOOKUP(C295,기출문제!D:G,3,0),"")</f>
        <v/>
      </c>
      <c r="F295" s="30" t="str">
        <f>IFERROR(VLOOKUP(C295,기출문제!D:G,4,0),"")</f>
        <v/>
      </c>
      <c r="G295" s="31" t="str">
        <f t="shared" si="4"/>
        <v/>
      </c>
      <c r="J295" s="23"/>
    </row>
    <row r="296" spans="2:10" s="21" customFormat="1" x14ac:dyDescent="0.3">
      <c r="B296" s="17">
        <v>289</v>
      </c>
      <c r="C296" s="27" t="s">
        <v>723</v>
      </c>
      <c r="D296" s="17"/>
      <c r="E296" s="29" t="str">
        <f>IFERROR(VLOOKUP(C296,기출문제!D:G,3,0),"")</f>
        <v/>
      </c>
      <c r="F296" s="30" t="str">
        <f>IFERROR(VLOOKUP(C296,기출문제!D:G,4,0),"")</f>
        <v/>
      </c>
      <c r="G296" s="31" t="str">
        <f t="shared" si="4"/>
        <v/>
      </c>
      <c r="J296" s="23"/>
    </row>
    <row r="297" spans="2:10" s="21" customFormat="1" x14ac:dyDescent="0.3">
      <c r="B297" s="17">
        <v>290</v>
      </c>
      <c r="C297" s="27" t="s">
        <v>723</v>
      </c>
      <c r="D297" s="17"/>
      <c r="E297" s="29" t="str">
        <f>IFERROR(VLOOKUP(C297,기출문제!D:G,3,0),"")</f>
        <v/>
      </c>
      <c r="F297" s="30" t="str">
        <f>IFERROR(VLOOKUP(C297,기출문제!D:G,4,0),"")</f>
        <v/>
      </c>
      <c r="G297" s="31" t="str">
        <f t="shared" si="4"/>
        <v/>
      </c>
      <c r="J297" s="23"/>
    </row>
    <row r="298" spans="2:10" s="21" customFormat="1" x14ac:dyDescent="0.3">
      <c r="B298" s="17">
        <v>291</v>
      </c>
      <c r="C298" s="27" t="s">
        <v>723</v>
      </c>
      <c r="D298" s="17"/>
      <c r="E298" s="29" t="str">
        <f>IFERROR(VLOOKUP(C298,기출문제!D:G,3,0),"")</f>
        <v/>
      </c>
      <c r="F298" s="30" t="str">
        <f>IFERROR(VLOOKUP(C298,기출문제!D:G,4,0),"")</f>
        <v/>
      </c>
      <c r="G298" s="31" t="str">
        <f t="shared" si="4"/>
        <v/>
      </c>
      <c r="J298" s="23"/>
    </row>
    <row r="299" spans="2:10" s="21" customFormat="1" x14ac:dyDescent="0.3">
      <c r="B299" s="17">
        <v>292</v>
      </c>
      <c r="C299" s="27" t="s">
        <v>723</v>
      </c>
      <c r="D299" s="17"/>
      <c r="E299" s="29" t="str">
        <f>IFERROR(VLOOKUP(C299,기출문제!D:G,3,0),"")</f>
        <v/>
      </c>
      <c r="F299" s="30" t="str">
        <f>IFERROR(VLOOKUP(C299,기출문제!D:G,4,0),"")</f>
        <v/>
      </c>
      <c r="G299" s="31" t="str">
        <f t="shared" si="4"/>
        <v/>
      </c>
      <c r="J299" s="23"/>
    </row>
    <row r="300" spans="2:10" s="21" customFormat="1" x14ac:dyDescent="0.3">
      <c r="B300" s="17">
        <v>293</v>
      </c>
      <c r="C300" s="27" t="s">
        <v>723</v>
      </c>
      <c r="D300" s="17"/>
      <c r="E300" s="29" t="str">
        <f>IFERROR(VLOOKUP(C300,기출문제!D:G,3,0),"")</f>
        <v/>
      </c>
      <c r="F300" s="30" t="str">
        <f>IFERROR(VLOOKUP(C300,기출문제!D:G,4,0),"")</f>
        <v/>
      </c>
      <c r="G300" s="31" t="str">
        <f t="shared" si="4"/>
        <v/>
      </c>
      <c r="J300" s="23"/>
    </row>
    <row r="301" spans="2:10" s="21" customFormat="1" x14ac:dyDescent="0.3">
      <c r="B301" s="17">
        <v>294</v>
      </c>
      <c r="C301" s="27" t="s">
        <v>723</v>
      </c>
      <c r="D301" s="17"/>
      <c r="E301" s="29" t="str">
        <f>IFERROR(VLOOKUP(C301,기출문제!D:G,3,0),"")</f>
        <v/>
      </c>
      <c r="F301" s="30" t="str">
        <f>IFERROR(VLOOKUP(C301,기출문제!D:G,4,0),"")</f>
        <v/>
      </c>
      <c r="G301" s="31" t="str">
        <f t="shared" si="4"/>
        <v/>
      </c>
      <c r="J301" s="23"/>
    </row>
    <row r="302" spans="2:10" s="21" customFormat="1" x14ac:dyDescent="0.3">
      <c r="B302" s="17">
        <v>295</v>
      </c>
      <c r="C302" s="27" t="s">
        <v>723</v>
      </c>
      <c r="D302" s="17"/>
      <c r="E302" s="29" t="str">
        <f>IFERROR(VLOOKUP(C302,기출문제!D:G,3,0),"")</f>
        <v/>
      </c>
      <c r="F302" s="30" t="str">
        <f>IFERROR(VLOOKUP(C302,기출문제!D:G,4,0),"")</f>
        <v/>
      </c>
      <c r="G302" s="31" t="str">
        <f t="shared" si="4"/>
        <v/>
      </c>
      <c r="J302" s="23"/>
    </row>
    <row r="303" spans="2:10" s="21" customFormat="1" x14ac:dyDescent="0.3">
      <c r="B303" s="17">
        <v>296</v>
      </c>
      <c r="C303" s="27" t="s">
        <v>723</v>
      </c>
      <c r="D303" s="17"/>
      <c r="E303" s="29" t="str">
        <f>IFERROR(VLOOKUP(C303,기출문제!D:G,3,0),"")</f>
        <v/>
      </c>
      <c r="F303" s="30" t="str">
        <f>IFERROR(VLOOKUP(C303,기출문제!D:G,4,0),"")</f>
        <v/>
      </c>
      <c r="G303" s="31" t="str">
        <f t="shared" si="4"/>
        <v/>
      </c>
      <c r="J303" s="23"/>
    </row>
    <row r="304" spans="2:10" s="21" customFormat="1" x14ac:dyDescent="0.3">
      <c r="B304" s="17">
        <v>297</v>
      </c>
      <c r="C304" s="27" t="s">
        <v>723</v>
      </c>
      <c r="D304" s="17"/>
      <c r="E304" s="29" t="str">
        <f>IFERROR(VLOOKUP(C304,기출문제!D:G,3,0),"")</f>
        <v/>
      </c>
      <c r="F304" s="30" t="str">
        <f>IFERROR(VLOOKUP(C304,기출문제!D:G,4,0),"")</f>
        <v/>
      </c>
      <c r="G304" s="31" t="str">
        <f t="shared" si="4"/>
        <v/>
      </c>
      <c r="J304" s="23"/>
    </row>
    <row r="305" spans="2:10" s="21" customFormat="1" x14ac:dyDescent="0.3">
      <c r="B305" s="17">
        <v>298</v>
      </c>
      <c r="C305" s="27" t="s">
        <v>723</v>
      </c>
      <c r="D305" s="17"/>
      <c r="E305" s="29" t="str">
        <f>IFERROR(VLOOKUP(C305,기출문제!D:G,3,0),"")</f>
        <v/>
      </c>
      <c r="F305" s="30" t="str">
        <f>IFERROR(VLOOKUP(C305,기출문제!D:G,4,0),"")</f>
        <v/>
      </c>
      <c r="G305" s="31" t="str">
        <f t="shared" si="4"/>
        <v/>
      </c>
      <c r="J305" s="23"/>
    </row>
    <row r="306" spans="2:10" s="21" customFormat="1" x14ac:dyDescent="0.3">
      <c r="B306" s="17">
        <v>299</v>
      </c>
      <c r="C306" s="27" t="s">
        <v>723</v>
      </c>
      <c r="D306" s="17"/>
      <c r="E306" s="29" t="str">
        <f>IFERROR(VLOOKUP(C306,기출문제!D:G,3,0),"")</f>
        <v/>
      </c>
      <c r="F306" s="30" t="str">
        <f>IFERROR(VLOOKUP(C306,기출문제!D:G,4,0),"")</f>
        <v/>
      </c>
      <c r="G306" s="31" t="str">
        <f t="shared" si="4"/>
        <v/>
      </c>
      <c r="J306" s="23"/>
    </row>
    <row r="307" spans="2:10" s="21" customFormat="1" x14ac:dyDescent="0.3">
      <c r="B307" s="17">
        <v>300</v>
      </c>
      <c r="C307" s="27" t="s">
        <v>723</v>
      </c>
      <c r="D307" s="17"/>
      <c r="E307" s="29" t="str">
        <f>IFERROR(VLOOKUP(C307,기출문제!D:G,3,0),"")</f>
        <v/>
      </c>
      <c r="F307" s="30" t="str">
        <f>IFERROR(VLOOKUP(C307,기출문제!D:G,4,0),"")</f>
        <v/>
      </c>
      <c r="G307" s="31" t="str">
        <f t="shared" si="4"/>
        <v/>
      </c>
      <c r="J307" s="23"/>
    </row>
    <row r="308" spans="2:10" s="21" customFormat="1" x14ac:dyDescent="0.3">
      <c r="B308" s="17">
        <v>301</v>
      </c>
      <c r="C308" s="27" t="s">
        <v>723</v>
      </c>
      <c r="D308" s="17"/>
      <c r="E308" s="29" t="str">
        <f>IFERROR(VLOOKUP(C308,기출문제!D:G,3,0),"")</f>
        <v/>
      </c>
      <c r="F308" s="30" t="str">
        <f>IFERROR(VLOOKUP(C308,기출문제!D:G,4,0),"")</f>
        <v/>
      </c>
      <c r="G308" s="31" t="str">
        <f t="shared" si="4"/>
        <v/>
      </c>
      <c r="J308" s="23"/>
    </row>
    <row r="309" spans="2:10" s="21" customFormat="1" x14ac:dyDescent="0.3">
      <c r="B309" s="17">
        <v>302</v>
      </c>
      <c r="C309" s="27" t="s">
        <v>723</v>
      </c>
      <c r="D309" s="17"/>
      <c r="E309" s="29" t="str">
        <f>IFERROR(VLOOKUP(C309,기출문제!D:G,3,0),"")</f>
        <v/>
      </c>
      <c r="F309" s="30" t="str">
        <f>IFERROR(VLOOKUP(C309,기출문제!D:G,4,0),"")</f>
        <v/>
      </c>
      <c r="G309" s="31" t="str">
        <f t="shared" si="4"/>
        <v/>
      </c>
      <c r="J309" s="23"/>
    </row>
    <row r="310" spans="2:10" s="21" customFormat="1" x14ac:dyDescent="0.3">
      <c r="B310" s="17">
        <v>303</v>
      </c>
      <c r="C310" s="27" t="s">
        <v>723</v>
      </c>
      <c r="D310" s="17"/>
      <c r="E310" s="29" t="str">
        <f>IFERROR(VLOOKUP(C310,기출문제!D:G,3,0),"")</f>
        <v/>
      </c>
      <c r="F310" s="30" t="str">
        <f>IFERROR(VLOOKUP(C310,기출문제!D:G,4,0),"")</f>
        <v/>
      </c>
      <c r="G310" s="31" t="str">
        <f t="shared" si="4"/>
        <v/>
      </c>
      <c r="J310" s="23"/>
    </row>
    <row r="311" spans="2:10" s="21" customFormat="1" x14ac:dyDescent="0.3">
      <c r="B311" s="17">
        <v>304</v>
      </c>
      <c r="C311" s="27" t="s">
        <v>723</v>
      </c>
      <c r="D311" s="17"/>
      <c r="E311" s="29" t="str">
        <f>IFERROR(VLOOKUP(C311,기출문제!D:G,3,0),"")</f>
        <v/>
      </c>
      <c r="F311" s="30" t="str">
        <f>IFERROR(VLOOKUP(C311,기출문제!D:G,4,0),"")</f>
        <v/>
      </c>
      <c r="G311" s="31" t="str">
        <f t="shared" si="4"/>
        <v/>
      </c>
      <c r="J311" s="23"/>
    </row>
    <row r="312" spans="2:10" s="21" customFormat="1" x14ac:dyDescent="0.3">
      <c r="B312" s="17">
        <v>305</v>
      </c>
      <c r="C312" s="27" t="s">
        <v>723</v>
      </c>
      <c r="D312" s="17"/>
      <c r="E312" s="29" t="str">
        <f>IFERROR(VLOOKUP(C312,기출문제!D:G,3,0),"")</f>
        <v/>
      </c>
      <c r="F312" s="30" t="str">
        <f>IFERROR(VLOOKUP(C312,기출문제!D:G,4,0),"")</f>
        <v/>
      </c>
      <c r="G312" s="31" t="str">
        <f t="shared" si="4"/>
        <v/>
      </c>
      <c r="J312" s="23"/>
    </row>
    <row r="313" spans="2:10" s="21" customFormat="1" x14ac:dyDescent="0.3">
      <c r="B313" s="17">
        <v>306</v>
      </c>
      <c r="C313" s="27" t="s">
        <v>723</v>
      </c>
      <c r="D313" s="17"/>
      <c r="E313" s="29" t="str">
        <f>IFERROR(VLOOKUP(C313,기출문제!D:G,3,0),"")</f>
        <v/>
      </c>
      <c r="F313" s="30" t="str">
        <f>IFERROR(VLOOKUP(C313,기출문제!D:G,4,0),"")</f>
        <v/>
      </c>
      <c r="G313" s="31" t="str">
        <f t="shared" si="4"/>
        <v/>
      </c>
      <c r="J313" s="23"/>
    </row>
    <row r="314" spans="2:10" s="21" customFormat="1" x14ac:dyDescent="0.3">
      <c r="B314" s="17">
        <v>307</v>
      </c>
      <c r="C314" s="27" t="s">
        <v>723</v>
      </c>
      <c r="D314" s="17"/>
      <c r="E314" s="29" t="str">
        <f>IFERROR(VLOOKUP(C314,기출문제!D:G,3,0),"")</f>
        <v/>
      </c>
      <c r="F314" s="30" t="str">
        <f>IFERROR(VLOOKUP(C314,기출문제!D:G,4,0),"")</f>
        <v/>
      </c>
      <c r="G314" s="31" t="str">
        <f t="shared" si="4"/>
        <v/>
      </c>
      <c r="J314" s="23"/>
    </row>
    <row r="315" spans="2:10" s="21" customFormat="1" x14ac:dyDescent="0.3">
      <c r="B315" s="17">
        <v>308</v>
      </c>
      <c r="C315" s="27" t="s">
        <v>723</v>
      </c>
      <c r="D315" s="17"/>
      <c r="E315" s="29" t="str">
        <f>IFERROR(VLOOKUP(C315,기출문제!D:G,3,0),"")</f>
        <v/>
      </c>
      <c r="F315" s="30" t="str">
        <f>IFERROR(VLOOKUP(C315,기출문제!D:G,4,0),"")</f>
        <v/>
      </c>
      <c r="G315" s="31" t="str">
        <f t="shared" si="4"/>
        <v/>
      </c>
      <c r="J315" s="23"/>
    </row>
    <row r="316" spans="2:10" s="21" customFormat="1" x14ac:dyDescent="0.3">
      <c r="B316" s="17">
        <v>309</v>
      </c>
      <c r="C316" s="27" t="s">
        <v>723</v>
      </c>
      <c r="D316" s="17"/>
      <c r="E316" s="29" t="str">
        <f>IFERROR(VLOOKUP(C316,기출문제!D:G,3,0),"")</f>
        <v/>
      </c>
      <c r="F316" s="30" t="str">
        <f>IFERROR(VLOOKUP(C316,기출문제!D:G,4,0),"")</f>
        <v/>
      </c>
      <c r="G316" s="31" t="str">
        <f t="shared" si="4"/>
        <v/>
      </c>
      <c r="J316" s="23"/>
    </row>
    <row r="317" spans="2:10" s="21" customFormat="1" x14ac:dyDescent="0.3">
      <c r="B317" s="17">
        <v>310</v>
      </c>
      <c r="C317" s="27" t="s">
        <v>723</v>
      </c>
      <c r="D317" s="17"/>
      <c r="E317" s="29" t="str">
        <f>IFERROR(VLOOKUP(C317,기출문제!D:G,3,0),"")</f>
        <v/>
      </c>
      <c r="F317" s="30" t="str">
        <f>IFERROR(VLOOKUP(C317,기출문제!D:G,4,0),"")</f>
        <v/>
      </c>
      <c r="G317" s="31" t="str">
        <f t="shared" si="4"/>
        <v/>
      </c>
      <c r="J317" s="23"/>
    </row>
    <row r="318" spans="2:10" s="21" customFormat="1" x14ac:dyDescent="0.3">
      <c r="B318" s="17">
        <v>311</v>
      </c>
      <c r="C318" s="27" t="s">
        <v>723</v>
      </c>
      <c r="D318" s="17"/>
      <c r="E318" s="29" t="str">
        <f>IFERROR(VLOOKUP(C318,기출문제!D:G,3,0),"")</f>
        <v/>
      </c>
      <c r="F318" s="30" t="str">
        <f>IFERROR(VLOOKUP(C318,기출문제!D:G,4,0),"")</f>
        <v/>
      </c>
      <c r="G318" s="31" t="str">
        <f t="shared" si="4"/>
        <v/>
      </c>
      <c r="J318" s="23"/>
    </row>
    <row r="319" spans="2:10" s="21" customFormat="1" x14ac:dyDescent="0.3">
      <c r="B319" s="17">
        <v>312</v>
      </c>
      <c r="C319" s="27" t="s">
        <v>723</v>
      </c>
      <c r="D319" s="17"/>
      <c r="E319" s="29" t="str">
        <f>IFERROR(VLOOKUP(C319,기출문제!D:G,3,0),"")</f>
        <v/>
      </c>
      <c r="F319" s="30" t="str">
        <f>IFERROR(VLOOKUP(C319,기출문제!D:G,4,0),"")</f>
        <v/>
      </c>
      <c r="G319" s="31" t="str">
        <f t="shared" si="4"/>
        <v/>
      </c>
      <c r="J319" s="23"/>
    </row>
    <row r="320" spans="2:10" s="21" customFormat="1" x14ac:dyDescent="0.3">
      <c r="B320" s="17">
        <v>313</v>
      </c>
      <c r="C320" s="27" t="s">
        <v>723</v>
      </c>
      <c r="D320" s="17"/>
      <c r="E320" s="29" t="str">
        <f>IFERROR(VLOOKUP(C320,기출문제!D:G,3,0),"")</f>
        <v/>
      </c>
      <c r="F320" s="30" t="str">
        <f>IFERROR(VLOOKUP(C320,기출문제!D:G,4,0),"")</f>
        <v/>
      </c>
      <c r="G320" s="31" t="str">
        <f t="shared" si="4"/>
        <v/>
      </c>
      <c r="J320" s="23"/>
    </row>
    <row r="321" spans="2:10" s="21" customFormat="1" x14ac:dyDescent="0.3">
      <c r="B321" s="17">
        <v>314</v>
      </c>
      <c r="C321" s="27" t="s">
        <v>723</v>
      </c>
      <c r="D321" s="17"/>
      <c r="E321" s="29" t="str">
        <f>IFERROR(VLOOKUP(C321,기출문제!D:G,3,0),"")</f>
        <v/>
      </c>
      <c r="F321" s="30" t="str">
        <f>IFERROR(VLOOKUP(C321,기출문제!D:G,4,0),"")</f>
        <v/>
      </c>
      <c r="G321" s="31" t="str">
        <f t="shared" si="4"/>
        <v/>
      </c>
      <c r="J321" s="23"/>
    </row>
    <row r="322" spans="2:10" s="21" customFormat="1" x14ac:dyDescent="0.3">
      <c r="B322" s="17">
        <v>315</v>
      </c>
      <c r="C322" s="27" t="s">
        <v>723</v>
      </c>
      <c r="D322" s="17"/>
      <c r="E322" s="29" t="str">
        <f>IFERROR(VLOOKUP(C322,기출문제!D:G,3,0),"")</f>
        <v/>
      </c>
      <c r="F322" s="30" t="str">
        <f>IFERROR(VLOOKUP(C322,기출문제!D:G,4,0),"")</f>
        <v/>
      </c>
      <c r="G322" s="31" t="str">
        <f t="shared" si="4"/>
        <v/>
      </c>
      <c r="J322" s="23"/>
    </row>
    <row r="323" spans="2:10" s="21" customFormat="1" x14ac:dyDescent="0.3">
      <c r="B323" s="17">
        <v>316</v>
      </c>
      <c r="C323" s="27" t="s">
        <v>723</v>
      </c>
      <c r="D323" s="17"/>
      <c r="E323" s="29" t="str">
        <f>IFERROR(VLOOKUP(C323,기출문제!D:G,3,0),"")</f>
        <v/>
      </c>
      <c r="F323" s="30" t="str">
        <f>IFERROR(VLOOKUP(C323,기출문제!D:G,4,0),"")</f>
        <v/>
      </c>
      <c r="G323" s="31" t="str">
        <f t="shared" si="4"/>
        <v/>
      </c>
      <c r="J323" s="23"/>
    </row>
    <row r="324" spans="2:10" s="21" customFormat="1" x14ac:dyDescent="0.3">
      <c r="B324" s="17">
        <v>317</v>
      </c>
      <c r="C324" s="27" t="s">
        <v>723</v>
      </c>
      <c r="D324" s="17"/>
      <c r="E324" s="29" t="str">
        <f>IFERROR(VLOOKUP(C324,기출문제!D:G,3,0),"")</f>
        <v/>
      </c>
      <c r="F324" s="30" t="str">
        <f>IFERROR(VLOOKUP(C324,기출문제!D:G,4,0),"")</f>
        <v/>
      </c>
      <c r="G324" s="31" t="str">
        <f t="shared" si="4"/>
        <v/>
      </c>
      <c r="J324" s="23"/>
    </row>
    <row r="325" spans="2:10" s="21" customFormat="1" x14ac:dyDescent="0.3">
      <c r="B325" s="17">
        <v>318</v>
      </c>
      <c r="C325" s="27" t="s">
        <v>723</v>
      </c>
      <c r="D325" s="17"/>
      <c r="E325" s="29" t="str">
        <f>IFERROR(VLOOKUP(C325,기출문제!D:G,3,0),"")</f>
        <v/>
      </c>
      <c r="F325" s="30" t="str">
        <f>IFERROR(VLOOKUP(C325,기출문제!D:G,4,0),"")</f>
        <v/>
      </c>
      <c r="G325" s="31" t="str">
        <f t="shared" si="4"/>
        <v/>
      </c>
      <c r="J325" s="23"/>
    </row>
    <row r="326" spans="2:10" s="21" customFormat="1" x14ac:dyDescent="0.3">
      <c r="B326" s="17">
        <v>319</v>
      </c>
      <c r="C326" s="27" t="s">
        <v>723</v>
      </c>
      <c r="D326" s="17"/>
      <c r="E326" s="29" t="str">
        <f>IFERROR(VLOOKUP(C326,기출문제!D:G,3,0),"")</f>
        <v/>
      </c>
      <c r="F326" s="30" t="str">
        <f>IFERROR(VLOOKUP(C326,기출문제!D:G,4,0),"")</f>
        <v/>
      </c>
      <c r="G326" s="31" t="str">
        <f t="shared" si="4"/>
        <v/>
      </c>
      <c r="J326" s="23"/>
    </row>
    <row r="327" spans="2:10" s="21" customFormat="1" x14ac:dyDescent="0.3">
      <c r="B327" s="17">
        <v>320</v>
      </c>
      <c r="C327" s="27" t="s">
        <v>723</v>
      </c>
      <c r="D327" s="17"/>
      <c r="E327" s="29" t="str">
        <f>IFERROR(VLOOKUP(C327,기출문제!D:G,3,0),"")</f>
        <v/>
      </c>
      <c r="F327" s="30" t="str">
        <f>IFERROR(VLOOKUP(C327,기출문제!D:G,4,0),"")</f>
        <v/>
      </c>
      <c r="G327" s="31" t="str">
        <f t="shared" si="4"/>
        <v/>
      </c>
      <c r="J327" s="23"/>
    </row>
    <row r="328" spans="2:10" s="21" customFormat="1" x14ac:dyDescent="0.3">
      <c r="B328" s="17">
        <v>321</v>
      </c>
      <c r="C328" s="27" t="s">
        <v>723</v>
      </c>
      <c r="D328" s="17"/>
      <c r="E328" s="29" t="str">
        <f>IFERROR(VLOOKUP(C328,기출문제!D:G,3,0),"")</f>
        <v/>
      </c>
      <c r="F328" s="30" t="str">
        <f>IFERROR(VLOOKUP(C328,기출문제!D:G,4,0),"")</f>
        <v/>
      </c>
      <c r="G328" s="31" t="str">
        <f t="shared" si="4"/>
        <v/>
      </c>
      <c r="J328" s="23"/>
    </row>
    <row r="329" spans="2:10" s="21" customFormat="1" x14ac:dyDescent="0.3">
      <c r="B329" s="17">
        <v>322</v>
      </c>
      <c r="C329" s="27" t="s">
        <v>723</v>
      </c>
      <c r="D329" s="17"/>
      <c r="E329" s="29" t="str">
        <f>IFERROR(VLOOKUP(C329,기출문제!D:G,3,0),"")</f>
        <v/>
      </c>
      <c r="F329" s="30" t="str">
        <f>IFERROR(VLOOKUP(C329,기출문제!D:G,4,0),"")</f>
        <v/>
      </c>
      <c r="G329" s="31" t="str">
        <f t="shared" ref="G329:G392" si="5">IF(D329="","",IF(D329=F329,"O", "X"))</f>
        <v/>
      </c>
      <c r="J329" s="23"/>
    </row>
    <row r="330" spans="2:10" s="21" customFormat="1" x14ac:dyDescent="0.3">
      <c r="B330" s="17">
        <v>323</v>
      </c>
      <c r="C330" s="27" t="s">
        <v>723</v>
      </c>
      <c r="D330" s="17"/>
      <c r="E330" s="29" t="str">
        <f>IFERROR(VLOOKUP(C330,기출문제!D:G,3,0),"")</f>
        <v/>
      </c>
      <c r="F330" s="30" t="str">
        <f>IFERROR(VLOOKUP(C330,기출문제!D:G,4,0),"")</f>
        <v/>
      </c>
      <c r="G330" s="31" t="str">
        <f t="shared" si="5"/>
        <v/>
      </c>
      <c r="J330" s="23"/>
    </row>
    <row r="331" spans="2:10" s="21" customFormat="1" x14ac:dyDescent="0.3">
      <c r="B331" s="17">
        <v>324</v>
      </c>
      <c r="C331" s="27" t="s">
        <v>723</v>
      </c>
      <c r="D331" s="17"/>
      <c r="E331" s="29" t="str">
        <f>IFERROR(VLOOKUP(C331,기출문제!D:G,3,0),"")</f>
        <v/>
      </c>
      <c r="F331" s="30" t="str">
        <f>IFERROR(VLOOKUP(C331,기출문제!D:G,4,0),"")</f>
        <v/>
      </c>
      <c r="G331" s="31" t="str">
        <f t="shared" si="5"/>
        <v/>
      </c>
      <c r="J331" s="23"/>
    </row>
    <row r="332" spans="2:10" s="21" customFormat="1" x14ac:dyDescent="0.3">
      <c r="B332" s="17">
        <v>325</v>
      </c>
      <c r="C332" s="27" t="s">
        <v>723</v>
      </c>
      <c r="D332" s="17"/>
      <c r="E332" s="29" t="str">
        <f>IFERROR(VLOOKUP(C332,기출문제!D:G,3,0),"")</f>
        <v/>
      </c>
      <c r="F332" s="30" t="str">
        <f>IFERROR(VLOOKUP(C332,기출문제!D:G,4,0),"")</f>
        <v/>
      </c>
      <c r="G332" s="31" t="str">
        <f t="shared" si="5"/>
        <v/>
      </c>
      <c r="J332" s="23"/>
    </row>
    <row r="333" spans="2:10" s="21" customFormat="1" x14ac:dyDescent="0.3">
      <c r="B333" s="17">
        <v>326</v>
      </c>
      <c r="C333" s="27" t="s">
        <v>723</v>
      </c>
      <c r="D333" s="17"/>
      <c r="E333" s="29" t="str">
        <f>IFERROR(VLOOKUP(C333,기출문제!D:G,3,0),"")</f>
        <v/>
      </c>
      <c r="F333" s="30" t="str">
        <f>IFERROR(VLOOKUP(C333,기출문제!D:G,4,0),"")</f>
        <v/>
      </c>
      <c r="G333" s="31" t="str">
        <f t="shared" si="5"/>
        <v/>
      </c>
      <c r="J333" s="23"/>
    </row>
    <row r="334" spans="2:10" s="21" customFormat="1" x14ac:dyDescent="0.3">
      <c r="B334" s="17">
        <v>327</v>
      </c>
      <c r="C334" s="27" t="s">
        <v>723</v>
      </c>
      <c r="D334" s="17"/>
      <c r="E334" s="29" t="str">
        <f>IFERROR(VLOOKUP(C334,기출문제!D:G,3,0),"")</f>
        <v/>
      </c>
      <c r="F334" s="30" t="str">
        <f>IFERROR(VLOOKUP(C334,기출문제!D:G,4,0),"")</f>
        <v/>
      </c>
      <c r="G334" s="31" t="str">
        <f t="shared" si="5"/>
        <v/>
      </c>
      <c r="J334" s="23"/>
    </row>
    <row r="335" spans="2:10" s="21" customFormat="1" x14ac:dyDescent="0.3">
      <c r="B335" s="17">
        <v>328</v>
      </c>
      <c r="C335" s="27" t="s">
        <v>723</v>
      </c>
      <c r="D335" s="17"/>
      <c r="E335" s="29" t="str">
        <f>IFERROR(VLOOKUP(C335,기출문제!D:G,3,0),"")</f>
        <v/>
      </c>
      <c r="F335" s="30" t="str">
        <f>IFERROR(VLOOKUP(C335,기출문제!D:G,4,0),"")</f>
        <v/>
      </c>
      <c r="G335" s="31" t="str">
        <f t="shared" si="5"/>
        <v/>
      </c>
      <c r="J335" s="23"/>
    </row>
    <row r="336" spans="2:10" s="21" customFormat="1" x14ac:dyDescent="0.3">
      <c r="B336" s="17">
        <v>329</v>
      </c>
      <c r="C336" s="27" t="s">
        <v>723</v>
      </c>
      <c r="D336" s="17"/>
      <c r="E336" s="29" t="str">
        <f>IFERROR(VLOOKUP(C336,기출문제!D:G,3,0),"")</f>
        <v/>
      </c>
      <c r="F336" s="30" t="str">
        <f>IFERROR(VLOOKUP(C336,기출문제!D:G,4,0),"")</f>
        <v/>
      </c>
      <c r="G336" s="31" t="str">
        <f t="shared" si="5"/>
        <v/>
      </c>
      <c r="J336" s="23"/>
    </row>
    <row r="337" spans="2:10" s="21" customFormat="1" x14ac:dyDescent="0.3">
      <c r="B337" s="17">
        <v>330</v>
      </c>
      <c r="C337" s="27" t="s">
        <v>723</v>
      </c>
      <c r="D337" s="17"/>
      <c r="E337" s="29" t="str">
        <f>IFERROR(VLOOKUP(C337,기출문제!D:G,3,0),"")</f>
        <v/>
      </c>
      <c r="F337" s="30" t="str">
        <f>IFERROR(VLOOKUP(C337,기출문제!D:G,4,0),"")</f>
        <v/>
      </c>
      <c r="G337" s="31" t="str">
        <f t="shared" si="5"/>
        <v/>
      </c>
      <c r="J337" s="23"/>
    </row>
    <row r="338" spans="2:10" s="21" customFormat="1" x14ac:dyDescent="0.3">
      <c r="B338" s="17">
        <v>331</v>
      </c>
      <c r="C338" s="27" t="s">
        <v>723</v>
      </c>
      <c r="D338" s="17"/>
      <c r="E338" s="29" t="str">
        <f>IFERROR(VLOOKUP(C338,기출문제!D:G,3,0),"")</f>
        <v/>
      </c>
      <c r="F338" s="30" t="str">
        <f>IFERROR(VLOOKUP(C338,기출문제!D:G,4,0),"")</f>
        <v/>
      </c>
      <c r="G338" s="31" t="str">
        <f t="shared" si="5"/>
        <v/>
      </c>
      <c r="J338" s="23"/>
    </row>
    <row r="339" spans="2:10" s="21" customFormat="1" x14ac:dyDescent="0.3">
      <c r="B339" s="17">
        <v>332</v>
      </c>
      <c r="C339" s="27" t="s">
        <v>723</v>
      </c>
      <c r="D339" s="17"/>
      <c r="E339" s="29" t="str">
        <f>IFERROR(VLOOKUP(C339,기출문제!D:G,3,0),"")</f>
        <v/>
      </c>
      <c r="F339" s="30" t="str">
        <f>IFERROR(VLOOKUP(C339,기출문제!D:G,4,0),"")</f>
        <v/>
      </c>
      <c r="G339" s="31" t="str">
        <f t="shared" si="5"/>
        <v/>
      </c>
      <c r="J339" s="23"/>
    </row>
    <row r="340" spans="2:10" s="21" customFormat="1" x14ac:dyDescent="0.3">
      <c r="B340" s="17">
        <v>333</v>
      </c>
      <c r="C340" s="27" t="s">
        <v>723</v>
      </c>
      <c r="D340" s="17"/>
      <c r="E340" s="29" t="str">
        <f>IFERROR(VLOOKUP(C340,기출문제!D:G,3,0),"")</f>
        <v/>
      </c>
      <c r="F340" s="30" t="str">
        <f>IFERROR(VLOOKUP(C340,기출문제!D:G,4,0),"")</f>
        <v/>
      </c>
      <c r="G340" s="31" t="str">
        <f t="shared" si="5"/>
        <v/>
      </c>
      <c r="J340" s="23"/>
    </row>
    <row r="341" spans="2:10" s="21" customFormat="1" x14ac:dyDescent="0.3">
      <c r="B341" s="17">
        <v>334</v>
      </c>
      <c r="C341" s="27" t="s">
        <v>723</v>
      </c>
      <c r="D341" s="17"/>
      <c r="E341" s="29" t="str">
        <f>IFERROR(VLOOKUP(C341,기출문제!D:G,3,0),"")</f>
        <v/>
      </c>
      <c r="F341" s="30" t="str">
        <f>IFERROR(VLOOKUP(C341,기출문제!D:G,4,0),"")</f>
        <v/>
      </c>
      <c r="G341" s="31" t="str">
        <f t="shared" si="5"/>
        <v/>
      </c>
      <c r="J341" s="23"/>
    </row>
    <row r="342" spans="2:10" s="21" customFormat="1" x14ac:dyDescent="0.3">
      <c r="B342" s="17">
        <v>335</v>
      </c>
      <c r="C342" s="27" t="s">
        <v>723</v>
      </c>
      <c r="D342" s="17"/>
      <c r="E342" s="29" t="str">
        <f>IFERROR(VLOOKUP(C342,기출문제!D:G,3,0),"")</f>
        <v/>
      </c>
      <c r="F342" s="30" t="str">
        <f>IFERROR(VLOOKUP(C342,기출문제!D:G,4,0),"")</f>
        <v/>
      </c>
      <c r="G342" s="31" t="str">
        <f t="shared" si="5"/>
        <v/>
      </c>
      <c r="J342" s="23"/>
    </row>
    <row r="343" spans="2:10" s="21" customFormat="1" x14ac:dyDescent="0.3">
      <c r="B343" s="17">
        <v>336</v>
      </c>
      <c r="C343" s="27" t="s">
        <v>723</v>
      </c>
      <c r="D343" s="17"/>
      <c r="E343" s="29" t="str">
        <f>IFERROR(VLOOKUP(C343,기출문제!D:G,3,0),"")</f>
        <v/>
      </c>
      <c r="F343" s="30" t="str">
        <f>IFERROR(VLOOKUP(C343,기출문제!D:G,4,0),"")</f>
        <v/>
      </c>
      <c r="G343" s="31" t="str">
        <f t="shared" si="5"/>
        <v/>
      </c>
      <c r="J343" s="23"/>
    </row>
    <row r="344" spans="2:10" s="21" customFormat="1" x14ac:dyDescent="0.3">
      <c r="B344" s="17">
        <v>337</v>
      </c>
      <c r="C344" s="27" t="s">
        <v>723</v>
      </c>
      <c r="D344" s="17"/>
      <c r="E344" s="29" t="str">
        <f>IFERROR(VLOOKUP(C344,기출문제!D:G,3,0),"")</f>
        <v/>
      </c>
      <c r="F344" s="30" t="str">
        <f>IFERROR(VLOOKUP(C344,기출문제!D:G,4,0),"")</f>
        <v/>
      </c>
      <c r="G344" s="31" t="str">
        <f t="shared" si="5"/>
        <v/>
      </c>
      <c r="J344" s="23"/>
    </row>
    <row r="345" spans="2:10" s="21" customFormat="1" x14ac:dyDescent="0.3">
      <c r="B345" s="17">
        <v>338</v>
      </c>
      <c r="C345" s="27" t="s">
        <v>723</v>
      </c>
      <c r="D345" s="17"/>
      <c r="E345" s="29" t="str">
        <f>IFERROR(VLOOKUP(C345,기출문제!D:G,3,0),"")</f>
        <v/>
      </c>
      <c r="F345" s="30" t="str">
        <f>IFERROR(VLOOKUP(C345,기출문제!D:G,4,0),"")</f>
        <v/>
      </c>
      <c r="G345" s="31" t="str">
        <f t="shared" si="5"/>
        <v/>
      </c>
      <c r="J345" s="23"/>
    </row>
    <row r="346" spans="2:10" s="21" customFormat="1" x14ac:dyDescent="0.3">
      <c r="B346" s="17">
        <v>339</v>
      </c>
      <c r="C346" s="27" t="s">
        <v>723</v>
      </c>
      <c r="D346" s="17"/>
      <c r="E346" s="29" t="str">
        <f>IFERROR(VLOOKUP(C346,기출문제!D:G,3,0),"")</f>
        <v/>
      </c>
      <c r="F346" s="30" t="str">
        <f>IFERROR(VLOOKUP(C346,기출문제!D:G,4,0),"")</f>
        <v/>
      </c>
      <c r="G346" s="31" t="str">
        <f t="shared" si="5"/>
        <v/>
      </c>
      <c r="J346" s="23"/>
    </row>
    <row r="347" spans="2:10" s="21" customFormat="1" x14ac:dyDescent="0.3">
      <c r="B347" s="17">
        <v>340</v>
      </c>
      <c r="C347" s="27" t="s">
        <v>723</v>
      </c>
      <c r="D347" s="17"/>
      <c r="E347" s="29" t="str">
        <f>IFERROR(VLOOKUP(C347,기출문제!D:G,3,0),"")</f>
        <v/>
      </c>
      <c r="F347" s="30" t="str">
        <f>IFERROR(VLOOKUP(C347,기출문제!D:G,4,0),"")</f>
        <v/>
      </c>
      <c r="G347" s="31" t="str">
        <f t="shared" si="5"/>
        <v/>
      </c>
      <c r="J347" s="23"/>
    </row>
    <row r="348" spans="2:10" s="21" customFormat="1" x14ac:dyDescent="0.3">
      <c r="B348" s="17">
        <v>341</v>
      </c>
      <c r="C348" s="27" t="s">
        <v>723</v>
      </c>
      <c r="D348" s="17"/>
      <c r="E348" s="29" t="str">
        <f>IFERROR(VLOOKUP(C348,기출문제!D:G,3,0),"")</f>
        <v/>
      </c>
      <c r="F348" s="30" t="str">
        <f>IFERROR(VLOOKUP(C348,기출문제!D:G,4,0),"")</f>
        <v/>
      </c>
      <c r="G348" s="31" t="str">
        <f t="shared" si="5"/>
        <v/>
      </c>
      <c r="J348" s="23"/>
    </row>
    <row r="349" spans="2:10" s="21" customFormat="1" x14ac:dyDescent="0.3">
      <c r="B349" s="17">
        <v>342</v>
      </c>
      <c r="C349" s="27" t="s">
        <v>723</v>
      </c>
      <c r="D349" s="17"/>
      <c r="E349" s="29" t="str">
        <f>IFERROR(VLOOKUP(C349,기출문제!D:G,3,0),"")</f>
        <v/>
      </c>
      <c r="F349" s="30" t="str">
        <f>IFERROR(VLOOKUP(C349,기출문제!D:G,4,0),"")</f>
        <v/>
      </c>
      <c r="G349" s="31" t="str">
        <f t="shared" si="5"/>
        <v/>
      </c>
      <c r="J349" s="23"/>
    </row>
    <row r="350" spans="2:10" s="21" customFormat="1" x14ac:dyDescent="0.3">
      <c r="B350" s="17">
        <v>343</v>
      </c>
      <c r="C350" s="27" t="s">
        <v>723</v>
      </c>
      <c r="D350" s="17"/>
      <c r="E350" s="29" t="str">
        <f>IFERROR(VLOOKUP(C350,기출문제!D:G,3,0),"")</f>
        <v/>
      </c>
      <c r="F350" s="30" t="str">
        <f>IFERROR(VLOOKUP(C350,기출문제!D:G,4,0),"")</f>
        <v/>
      </c>
      <c r="G350" s="31" t="str">
        <f t="shared" si="5"/>
        <v/>
      </c>
      <c r="J350" s="23"/>
    </row>
    <row r="351" spans="2:10" s="21" customFormat="1" x14ac:dyDescent="0.3">
      <c r="B351" s="17">
        <v>344</v>
      </c>
      <c r="C351" s="27" t="s">
        <v>723</v>
      </c>
      <c r="D351" s="17"/>
      <c r="E351" s="29" t="str">
        <f>IFERROR(VLOOKUP(C351,기출문제!D:G,3,0),"")</f>
        <v/>
      </c>
      <c r="F351" s="30" t="str">
        <f>IFERROR(VLOOKUP(C351,기출문제!D:G,4,0),"")</f>
        <v/>
      </c>
      <c r="G351" s="31" t="str">
        <f t="shared" si="5"/>
        <v/>
      </c>
      <c r="J351" s="23"/>
    </row>
    <row r="352" spans="2:10" s="21" customFormat="1" x14ac:dyDescent="0.3">
      <c r="B352" s="17">
        <v>345</v>
      </c>
      <c r="C352" s="27" t="s">
        <v>723</v>
      </c>
      <c r="D352" s="17"/>
      <c r="E352" s="29" t="str">
        <f>IFERROR(VLOOKUP(C352,기출문제!D:G,3,0),"")</f>
        <v/>
      </c>
      <c r="F352" s="30" t="str">
        <f>IFERROR(VLOOKUP(C352,기출문제!D:G,4,0),"")</f>
        <v/>
      </c>
      <c r="G352" s="31" t="str">
        <f t="shared" si="5"/>
        <v/>
      </c>
      <c r="J352" s="23"/>
    </row>
    <row r="353" spans="2:10" s="21" customFormat="1" x14ac:dyDescent="0.3">
      <c r="B353" s="17">
        <v>346</v>
      </c>
      <c r="C353" s="27" t="s">
        <v>723</v>
      </c>
      <c r="D353" s="17"/>
      <c r="E353" s="29" t="str">
        <f>IFERROR(VLOOKUP(C353,기출문제!D:G,3,0),"")</f>
        <v/>
      </c>
      <c r="F353" s="30" t="str">
        <f>IFERROR(VLOOKUP(C353,기출문제!D:G,4,0),"")</f>
        <v/>
      </c>
      <c r="G353" s="31" t="str">
        <f t="shared" si="5"/>
        <v/>
      </c>
      <c r="J353" s="23"/>
    </row>
    <row r="354" spans="2:10" s="21" customFormat="1" x14ac:dyDescent="0.3">
      <c r="B354" s="17">
        <v>347</v>
      </c>
      <c r="C354" s="27" t="s">
        <v>723</v>
      </c>
      <c r="D354" s="17"/>
      <c r="E354" s="29" t="str">
        <f>IFERROR(VLOOKUP(C354,기출문제!D:G,3,0),"")</f>
        <v/>
      </c>
      <c r="F354" s="30" t="str">
        <f>IFERROR(VLOOKUP(C354,기출문제!D:G,4,0),"")</f>
        <v/>
      </c>
      <c r="G354" s="31" t="str">
        <f t="shared" si="5"/>
        <v/>
      </c>
      <c r="J354" s="23"/>
    </row>
    <row r="355" spans="2:10" s="21" customFormat="1" x14ac:dyDescent="0.3">
      <c r="B355" s="17">
        <v>348</v>
      </c>
      <c r="C355" s="27" t="s">
        <v>723</v>
      </c>
      <c r="D355" s="17"/>
      <c r="E355" s="29" t="str">
        <f>IFERROR(VLOOKUP(C355,기출문제!D:G,3,0),"")</f>
        <v/>
      </c>
      <c r="F355" s="30" t="str">
        <f>IFERROR(VLOOKUP(C355,기출문제!D:G,4,0),"")</f>
        <v/>
      </c>
      <c r="G355" s="31" t="str">
        <f t="shared" si="5"/>
        <v/>
      </c>
      <c r="J355" s="23"/>
    </row>
    <row r="356" spans="2:10" s="21" customFormat="1" x14ac:dyDescent="0.3">
      <c r="B356" s="17">
        <v>349</v>
      </c>
      <c r="C356" s="27" t="s">
        <v>723</v>
      </c>
      <c r="D356" s="17"/>
      <c r="E356" s="29" t="str">
        <f>IFERROR(VLOOKUP(C356,기출문제!D:G,3,0),"")</f>
        <v/>
      </c>
      <c r="F356" s="30" t="str">
        <f>IFERROR(VLOOKUP(C356,기출문제!D:G,4,0),"")</f>
        <v/>
      </c>
      <c r="G356" s="31" t="str">
        <f t="shared" si="5"/>
        <v/>
      </c>
      <c r="J356" s="23"/>
    </row>
    <row r="357" spans="2:10" s="21" customFormat="1" x14ac:dyDescent="0.3">
      <c r="B357" s="17">
        <v>350</v>
      </c>
      <c r="C357" s="27" t="s">
        <v>723</v>
      </c>
      <c r="D357" s="17"/>
      <c r="E357" s="29" t="str">
        <f>IFERROR(VLOOKUP(C357,기출문제!D:G,3,0),"")</f>
        <v/>
      </c>
      <c r="F357" s="30" t="str">
        <f>IFERROR(VLOOKUP(C357,기출문제!D:G,4,0),"")</f>
        <v/>
      </c>
      <c r="G357" s="31" t="str">
        <f t="shared" si="5"/>
        <v/>
      </c>
      <c r="J357" s="23"/>
    </row>
    <row r="358" spans="2:10" s="21" customFormat="1" x14ac:dyDescent="0.3">
      <c r="B358" s="17">
        <v>351</v>
      </c>
      <c r="C358" s="27" t="s">
        <v>723</v>
      </c>
      <c r="D358" s="17"/>
      <c r="E358" s="29" t="str">
        <f>IFERROR(VLOOKUP(C358,기출문제!D:G,3,0),"")</f>
        <v/>
      </c>
      <c r="F358" s="30" t="str">
        <f>IFERROR(VLOOKUP(C358,기출문제!D:G,4,0),"")</f>
        <v/>
      </c>
      <c r="G358" s="31" t="str">
        <f t="shared" si="5"/>
        <v/>
      </c>
      <c r="J358" s="23"/>
    </row>
    <row r="359" spans="2:10" s="21" customFormat="1" x14ac:dyDescent="0.3">
      <c r="B359" s="17">
        <v>352</v>
      </c>
      <c r="C359" s="27" t="s">
        <v>723</v>
      </c>
      <c r="D359" s="17"/>
      <c r="E359" s="29" t="str">
        <f>IFERROR(VLOOKUP(C359,기출문제!D:G,3,0),"")</f>
        <v/>
      </c>
      <c r="F359" s="30" t="str">
        <f>IFERROR(VLOOKUP(C359,기출문제!D:G,4,0),"")</f>
        <v/>
      </c>
      <c r="G359" s="31" t="str">
        <f t="shared" si="5"/>
        <v/>
      </c>
      <c r="J359" s="23"/>
    </row>
    <row r="360" spans="2:10" s="21" customFormat="1" x14ac:dyDescent="0.3">
      <c r="B360" s="17">
        <v>353</v>
      </c>
      <c r="C360" s="27" t="s">
        <v>723</v>
      </c>
      <c r="D360" s="17"/>
      <c r="E360" s="29" t="str">
        <f>IFERROR(VLOOKUP(C360,기출문제!D:G,3,0),"")</f>
        <v/>
      </c>
      <c r="F360" s="30" t="str">
        <f>IFERROR(VLOOKUP(C360,기출문제!D:G,4,0),"")</f>
        <v/>
      </c>
      <c r="G360" s="31" t="str">
        <f t="shared" si="5"/>
        <v/>
      </c>
      <c r="J360" s="23"/>
    </row>
    <row r="361" spans="2:10" s="21" customFormat="1" x14ac:dyDescent="0.3">
      <c r="B361" s="17">
        <v>354</v>
      </c>
      <c r="C361" s="27" t="s">
        <v>723</v>
      </c>
      <c r="D361" s="17"/>
      <c r="E361" s="29" t="str">
        <f>IFERROR(VLOOKUP(C361,기출문제!D:G,3,0),"")</f>
        <v/>
      </c>
      <c r="F361" s="30" t="str">
        <f>IFERROR(VLOOKUP(C361,기출문제!D:G,4,0),"")</f>
        <v/>
      </c>
      <c r="G361" s="31" t="str">
        <f t="shared" si="5"/>
        <v/>
      </c>
      <c r="J361" s="23"/>
    </row>
    <row r="362" spans="2:10" s="21" customFormat="1" x14ac:dyDescent="0.3">
      <c r="B362" s="17">
        <v>355</v>
      </c>
      <c r="C362" s="27" t="s">
        <v>723</v>
      </c>
      <c r="D362" s="17"/>
      <c r="E362" s="29" t="str">
        <f>IFERROR(VLOOKUP(C362,기출문제!D:G,3,0),"")</f>
        <v/>
      </c>
      <c r="F362" s="30" t="str">
        <f>IFERROR(VLOOKUP(C362,기출문제!D:G,4,0),"")</f>
        <v/>
      </c>
      <c r="G362" s="31" t="str">
        <f t="shared" si="5"/>
        <v/>
      </c>
      <c r="J362" s="23"/>
    </row>
    <row r="363" spans="2:10" s="21" customFormat="1" x14ac:dyDescent="0.3">
      <c r="B363" s="17">
        <v>356</v>
      </c>
      <c r="C363" s="27" t="s">
        <v>723</v>
      </c>
      <c r="D363" s="17"/>
      <c r="E363" s="29" t="str">
        <f>IFERROR(VLOOKUP(C363,기출문제!D:G,3,0),"")</f>
        <v/>
      </c>
      <c r="F363" s="30" t="str">
        <f>IFERROR(VLOOKUP(C363,기출문제!D:G,4,0),"")</f>
        <v/>
      </c>
      <c r="G363" s="31" t="str">
        <f t="shared" si="5"/>
        <v/>
      </c>
      <c r="J363" s="23"/>
    </row>
    <row r="364" spans="2:10" s="21" customFormat="1" x14ac:dyDescent="0.3">
      <c r="B364" s="17">
        <v>357</v>
      </c>
      <c r="C364" s="27" t="s">
        <v>723</v>
      </c>
      <c r="D364" s="17"/>
      <c r="E364" s="29" t="str">
        <f>IFERROR(VLOOKUP(C364,기출문제!D:G,3,0),"")</f>
        <v/>
      </c>
      <c r="F364" s="30" t="str">
        <f>IFERROR(VLOOKUP(C364,기출문제!D:G,4,0),"")</f>
        <v/>
      </c>
      <c r="G364" s="31" t="str">
        <f t="shared" si="5"/>
        <v/>
      </c>
      <c r="J364" s="23"/>
    </row>
    <row r="365" spans="2:10" s="21" customFormat="1" x14ac:dyDescent="0.3">
      <c r="B365" s="17">
        <v>358</v>
      </c>
      <c r="C365" s="27" t="s">
        <v>723</v>
      </c>
      <c r="D365" s="17"/>
      <c r="E365" s="29" t="str">
        <f>IFERROR(VLOOKUP(C365,기출문제!D:G,3,0),"")</f>
        <v/>
      </c>
      <c r="F365" s="30" t="str">
        <f>IFERROR(VLOOKUP(C365,기출문제!D:G,4,0),"")</f>
        <v/>
      </c>
      <c r="G365" s="31" t="str">
        <f t="shared" si="5"/>
        <v/>
      </c>
      <c r="J365" s="23"/>
    </row>
    <row r="366" spans="2:10" s="21" customFormat="1" x14ac:dyDescent="0.3">
      <c r="B366" s="17">
        <v>359</v>
      </c>
      <c r="C366" s="27" t="s">
        <v>723</v>
      </c>
      <c r="D366" s="17"/>
      <c r="E366" s="29" t="str">
        <f>IFERROR(VLOOKUP(C366,기출문제!D:G,3,0),"")</f>
        <v/>
      </c>
      <c r="F366" s="30" t="str">
        <f>IFERROR(VLOOKUP(C366,기출문제!D:G,4,0),"")</f>
        <v/>
      </c>
      <c r="G366" s="31" t="str">
        <f t="shared" si="5"/>
        <v/>
      </c>
      <c r="J366" s="23"/>
    </row>
    <row r="367" spans="2:10" s="21" customFormat="1" x14ac:dyDescent="0.3">
      <c r="B367" s="17">
        <v>360</v>
      </c>
      <c r="C367" s="27" t="s">
        <v>723</v>
      </c>
      <c r="D367" s="17"/>
      <c r="E367" s="29" t="str">
        <f>IFERROR(VLOOKUP(C367,기출문제!D:G,3,0),"")</f>
        <v/>
      </c>
      <c r="F367" s="30" t="str">
        <f>IFERROR(VLOOKUP(C367,기출문제!D:G,4,0),"")</f>
        <v/>
      </c>
      <c r="G367" s="31" t="str">
        <f t="shared" si="5"/>
        <v/>
      </c>
      <c r="J367" s="23"/>
    </row>
    <row r="368" spans="2:10" s="21" customFormat="1" x14ac:dyDescent="0.3">
      <c r="B368" s="17">
        <v>361</v>
      </c>
      <c r="C368" s="27" t="s">
        <v>723</v>
      </c>
      <c r="D368" s="17"/>
      <c r="E368" s="29" t="str">
        <f>IFERROR(VLOOKUP(C368,기출문제!D:G,3,0),"")</f>
        <v/>
      </c>
      <c r="F368" s="30" t="str">
        <f>IFERROR(VLOOKUP(C368,기출문제!D:G,4,0),"")</f>
        <v/>
      </c>
      <c r="G368" s="31" t="str">
        <f t="shared" si="5"/>
        <v/>
      </c>
      <c r="J368" s="23"/>
    </row>
    <row r="369" spans="2:10" s="21" customFormat="1" x14ac:dyDescent="0.3">
      <c r="B369" s="17">
        <v>362</v>
      </c>
      <c r="C369" s="27" t="s">
        <v>723</v>
      </c>
      <c r="D369" s="17"/>
      <c r="E369" s="29" t="str">
        <f>IFERROR(VLOOKUP(C369,기출문제!D:G,3,0),"")</f>
        <v/>
      </c>
      <c r="F369" s="30" t="str">
        <f>IFERROR(VLOOKUP(C369,기출문제!D:G,4,0),"")</f>
        <v/>
      </c>
      <c r="G369" s="31" t="str">
        <f t="shared" si="5"/>
        <v/>
      </c>
      <c r="J369" s="23"/>
    </row>
    <row r="370" spans="2:10" s="21" customFormat="1" x14ac:dyDescent="0.3">
      <c r="B370" s="17">
        <v>363</v>
      </c>
      <c r="C370" s="27" t="s">
        <v>723</v>
      </c>
      <c r="D370" s="17"/>
      <c r="E370" s="29" t="str">
        <f>IFERROR(VLOOKUP(C370,기출문제!D:G,3,0),"")</f>
        <v/>
      </c>
      <c r="F370" s="30" t="str">
        <f>IFERROR(VLOOKUP(C370,기출문제!D:G,4,0),"")</f>
        <v/>
      </c>
      <c r="G370" s="31" t="str">
        <f t="shared" si="5"/>
        <v/>
      </c>
      <c r="J370" s="23"/>
    </row>
    <row r="371" spans="2:10" s="21" customFormat="1" x14ac:dyDescent="0.3">
      <c r="B371" s="17">
        <v>364</v>
      </c>
      <c r="C371" s="27" t="s">
        <v>723</v>
      </c>
      <c r="D371" s="17"/>
      <c r="E371" s="29" t="str">
        <f>IFERROR(VLOOKUP(C371,기출문제!D:G,3,0),"")</f>
        <v/>
      </c>
      <c r="F371" s="30" t="str">
        <f>IFERROR(VLOOKUP(C371,기출문제!D:G,4,0),"")</f>
        <v/>
      </c>
      <c r="G371" s="31" t="str">
        <f t="shared" si="5"/>
        <v/>
      </c>
      <c r="J371" s="23"/>
    </row>
    <row r="372" spans="2:10" s="21" customFormat="1" x14ac:dyDescent="0.3">
      <c r="B372" s="17">
        <v>365</v>
      </c>
      <c r="C372" s="27" t="s">
        <v>723</v>
      </c>
      <c r="D372" s="17"/>
      <c r="E372" s="29" t="str">
        <f>IFERROR(VLOOKUP(C372,기출문제!D:G,3,0),"")</f>
        <v/>
      </c>
      <c r="F372" s="30" t="str">
        <f>IFERROR(VLOOKUP(C372,기출문제!D:G,4,0),"")</f>
        <v/>
      </c>
      <c r="G372" s="31" t="str">
        <f t="shared" si="5"/>
        <v/>
      </c>
      <c r="J372" s="23"/>
    </row>
    <row r="373" spans="2:10" s="21" customFormat="1" x14ac:dyDescent="0.3">
      <c r="B373" s="17">
        <v>366</v>
      </c>
      <c r="C373" s="27" t="s">
        <v>723</v>
      </c>
      <c r="D373" s="17"/>
      <c r="E373" s="29" t="str">
        <f>IFERROR(VLOOKUP(C373,기출문제!D:G,3,0),"")</f>
        <v/>
      </c>
      <c r="F373" s="30" t="str">
        <f>IFERROR(VLOOKUP(C373,기출문제!D:G,4,0),"")</f>
        <v/>
      </c>
      <c r="G373" s="31" t="str">
        <f t="shared" si="5"/>
        <v/>
      </c>
      <c r="J373" s="23"/>
    </row>
    <row r="374" spans="2:10" s="21" customFormat="1" x14ac:dyDescent="0.3">
      <c r="B374" s="17">
        <v>367</v>
      </c>
      <c r="C374" s="27" t="s">
        <v>723</v>
      </c>
      <c r="D374" s="17"/>
      <c r="E374" s="29" t="str">
        <f>IFERROR(VLOOKUP(C374,기출문제!D:G,3,0),"")</f>
        <v/>
      </c>
      <c r="F374" s="30" t="str">
        <f>IFERROR(VLOOKUP(C374,기출문제!D:G,4,0),"")</f>
        <v/>
      </c>
      <c r="G374" s="31" t="str">
        <f t="shared" si="5"/>
        <v/>
      </c>
      <c r="J374" s="23"/>
    </row>
    <row r="375" spans="2:10" s="21" customFormat="1" x14ac:dyDescent="0.3">
      <c r="B375" s="17">
        <v>368</v>
      </c>
      <c r="C375" s="27" t="s">
        <v>723</v>
      </c>
      <c r="D375" s="17"/>
      <c r="E375" s="29" t="str">
        <f>IFERROR(VLOOKUP(C375,기출문제!D:G,3,0),"")</f>
        <v/>
      </c>
      <c r="F375" s="30" t="str">
        <f>IFERROR(VLOOKUP(C375,기출문제!D:G,4,0),"")</f>
        <v/>
      </c>
      <c r="G375" s="31" t="str">
        <f t="shared" si="5"/>
        <v/>
      </c>
      <c r="J375" s="23"/>
    </row>
    <row r="376" spans="2:10" s="21" customFormat="1" x14ac:dyDescent="0.3">
      <c r="B376" s="17">
        <v>369</v>
      </c>
      <c r="C376" s="27" t="s">
        <v>723</v>
      </c>
      <c r="D376" s="17"/>
      <c r="E376" s="29" t="str">
        <f>IFERROR(VLOOKUP(C376,기출문제!D:G,3,0),"")</f>
        <v/>
      </c>
      <c r="F376" s="30" t="str">
        <f>IFERROR(VLOOKUP(C376,기출문제!D:G,4,0),"")</f>
        <v/>
      </c>
      <c r="G376" s="31" t="str">
        <f t="shared" si="5"/>
        <v/>
      </c>
      <c r="J376" s="23"/>
    </row>
    <row r="377" spans="2:10" s="21" customFormat="1" x14ac:dyDescent="0.3">
      <c r="B377" s="17">
        <v>370</v>
      </c>
      <c r="C377" s="27" t="s">
        <v>723</v>
      </c>
      <c r="D377" s="17"/>
      <c r="E377" s="29" t="str">
        <f>IFERROR(VLOOKUP(C377,기출문제!D:G,3,0),"")</f>
        <v/>
      </c>
      <c r="F377" s="30" t="str">
        <f>IFERROR(VLOOKUP(C377,기출문제!D:G,4,0),"")</f>
        <v/>
      </c>
      <c r="G377" s="31" t="str">
        <f t="shared" si="5"/>
        <v/>
      </c>
      <c r="J377" s="23"/>
    </row>
    <row r="378" spans="2:10" s="21" customFormat="1" x14ac:dyDescent="0.3">
      <c r="B378" s="17">
        <v>371</v>
      </c>
      <c r="C378" s="27" t="s">
        <v>723</v>
      </c>
      <c r="D378" s="17"/>
      <c r="E378" s="29" t="str">
        <f>IFERROR(VLOOKUP(C378,기출문제!D:G,3,0),"")</f>
        <v/>
      </c>
      <c r="F378" s="30" t="str">
        <f>IFERROR(VLOOKUP(C378,기출문제!D:G,4,0),"")</f>
        <v/>
      </c>
      <c r="G378" s="31" t="str">
        <f t="shared" si="5"/>
        <v/>
      </c>
      <c r="J378" s="23"/>
    </row>
    <row r="379" spans="2:10" s="21" customFormat="1" x14ac:dyDescent="0.3">
      <c r="B379" s="17">
        <v>372</v>
      </c>
      <c r="C379" s="27" t="s">
        <v>723</v>
      </c>
      <c r="D379" s="17"/>
      <c r="E379" s="29" t="str">
        <f>IFERROR(VLOOKUP(C379,기출문제!D:G,3,0),"")</f>
        <v/>
      </c>
      <c r="F379" s="30" t="str">
        <f>IFERROR(VLOOKUP(C379,기출문제!D:G,4,0),"")</f>
        <v/>
      </c>
      <c r="G379" s="31" t="str">
        <f t="shared" si="5"/>
        <v/>
      </c>
      <c r="J379" s="23"/>
    </row>
    <row r="380" spans="2:10" s="21" customFormat="1" x14ac:dyDescent="0.3">
      <c r="B380" s="17">
        <v>373</v>
      </c>
      <c r="C380" s="27" t="s">
        <v>723</v>
      </c>
      <c r="D380" s="17"/>
      <c r="E380" s="29" t="str">
        <f>IFERROR(VLOOKUP(C380,기출문제!D:G,3,0),"")</f>
        <v/>
      </c>
      <c r="F380" s="30" t="str">
        <f>IFERROR(VLOOKUP(C380,기출문제!D:G,4,0),"")</f>
        <v/>
      </c>
      <c r="G380" s="31" t="str">
        <f t="shared" si="5"/>
        <v/>
      </c>
      <c r="J380" s="23"/>
    </row>
    <row r="381" spans="2:10" s="21" customFormat="1" x14ac:dyDescent="0.3">
      <c r="B381" s="17">
        <v>374</v>
      </c>
      <c r="C381" s="27" t="s">
        <v>723</v>
      </c>
      <c r="D381" s="17"/>
      <c r="E381" s="29" t="str">
        <f>IFERROR(VLOOKUP(C381,기출문제!D:G,3,0),"")</f>
        <v/>
      </c>
      <c r="F381" s="30" t="str">
        <f>IFERROR(VLOOKUP(C381,기출문제!D:G,4,0),"")</f>
        <v/>
      </c>
      <c r="G381" s="31" t="str">
        <f t="shared" si="5"/>
        <v/>
      </c>
      <c r="J381" s="23"/>
    </row>
    <row r="382" spans="2:10" s="21" customFormat="1" x14ac:dyDescent="0.3">
      <c r="B382" s="17">
        <v>375</v>
      </c>
      <c r="C382" s="27" t="s">
        <v>723</v>
      </c>
      <c r="D382" s="17"/>
      <c r="E382" s="29" t="str">
        <f>IFERROR(VLOOKUP(C382,기출문제!D:G,3,0),"")</f>
        <v/>
      </c>
      <c r="F382" s="30" t="str">
        <f>IFERROR(VLOOKUP(C382,기출문제!D:G,4,0),"")</f>
        <v/>
      </c>
      <c r="G382" s="31" t="str">
        <f t="shared" si="5"/>
        <v/>
      </c>
      <c r="J382" s="23"/>
    </row>
    <row r="383" spans="2:10" s="21" customFormat="1" x14ac:dyDescent="0.3">
      <c r="B383" s="17">
        <v>376</v>
      </c>
      <c r="C383" s="27" t="s">
        <v>723</v>
      </c>
      <c r="D383" s="17"/>
      <c r="E383" s="29" t="str">
        <f>IFERROR(VLOOKUP(C383,기출문제!D:G,3,0),"")</f>
        <v/>
      </c>
      <c r="F383" s="30" t="str">
        <f>IFERROR(VLOOKUP(C383,기출문제!D:G,4,0),"")</f>
        <v/>
      </c>
      <c r="G383" s="31" t="str">
        <f t="shared" si="5"/>
        <v/>
      </c>
      <c r="J383" s="23"/>
    </row>
    <row r="384" spans="2:10" s="21" customFormat="1" x14ac:dyDescent="0.3">
      <c r="B384" s="17">
        <v>377</v>
      </c>
      <c r="C384" s="27" t="s">
        <v>723</v>
      </c>
      <c r="D384" s="17"/>
      <c r="E384" s="29" t="str">
        <f>IFERROR(VLOOKUP(C384,기출문제!D:G,3,0),"")</f>
        <v/>
      </c>
      <c r="F384" s="30" t="str">
        <f>IFERROR(VLOOKUP(C384,기출문제!D:G,4,0),"")</f>
        <v/>
      </c>
      <c r="G384" s="31" t="str">
        <f t="shared" si="5"/>
        <v/>
      </c>
      <c r="J384" s="23"/>
    </row>
    <row r="385" spans="2:10" s="21" customFormat="1" x14ac:dyDescent="0.3">
      <c r="B385" s="17">
        <v>378</v>
      </c>
      <c r="C385" s="27" t="s">
        <v>723</v>
      </c>
      <c r="D385" s="17"/>
      <c r="E385" s="29" t="str">
        <f>IFERROR(VLOOKUP(C385,기출문제!D:G,3,0),"")</f>
        <v/>
      </c>
      <c r="F385" s="30" t="str">
        <f>IFERROR(VLOOKUP(C385,기출문제!D:G,4,0),"")</f>
        <v/>
      </c>
      <c r="G385" s="31" t="str">
        <f t="shared" si="5"/>
        <v/>
      </c>
      <c r="J385" s="23"/>
    </row>
    <row r="386" spans="2:10" s="21" customFormat="1" x14ac:dyDescent="0.3">
      <c r="B386" s="17">
        <v>379</v>
      </c>
      <c r="C386" s="27" t="s">
        <v>723</v>
      </c>
      <c r="D386" s="17"/>
      <c r="E386" s="29" t="str">
        <f>IFERROR(VLOOKUP(C386,기출문제!D:G,3,0),"")</f>
        <v/>
      </c>
      <c r="F386" s="30" t="str">
        <f>IFERROR(VLOOKUP(C386,기출문제!D:G,4,0),"")</f>
        <v/>
      </c>
      <c r="G386" s="31" t="str">
        <f t="shared" si="5"/>
        <v/>
      </c>
      <c r="J386" s="23"/>
    </row>
    <row r="387" spans="2:10" s="21" customFormat="1" x14ac:dyDescent="0.3">
      <c r="B387" s="17">
        <v>380</v>
      </c>
      <c r="C387" s="27" t="s">
        <v>723</v>
      </c>
      <c r="D387" s="17"/>
      <c r="E387" s="29" t="str">
        <f>IFERROR(VLOOKUP(C387,기출문제!D:G,3,0),"")</f>
        <v/>
      </c>
      <c r="F387" s="30" t="str">
        <f>IFERROR(VLOOKUP(C387,기출문제!D:G,4,0),"")</f>
        <v/>
      </c>
      <c r="G387" s="31" t="str">
        <f t="shared" si="5"/>
        <v/>
      </c>
      <c r="J387" s="23"/>
    </row>
    <row r="388" spans="2:10" s="21" customFormat="1" x14ac:dyDescent="0.3">
      <c r="B388" s="17">
        <v>381</v>
      </c>
      <c r="C388" s="27" t="s">
        <v>723</v>
      </c>
      <c r="D388" s="17"/>
      <c r="E388" s="29" t="str">
        <f>IFERROR(VLOOKUP(C388,기출문제!D:G,3,0),"")</f>
        <v/>
      </c>
      <c r="F388" s="30" t="str">
        <f>IFERROR(VLOOKUP(C388,기출문제!D:G,4,0),"")</f>
        <v/>
      </c>
      <c r="G388" s="31" t="str">
        <f t="shared" si="5"/>
        <v/>
      </c>
      <c r="J388" s="23"/>
    </row>
    <row r="389" spans="2:10" s="21" customFormat="1" x14ac:dyDescent="0.3">
      <c r="B389" s="17">
        <v>382</v>
      </c>
      <c r="C389" s="27" t="s">
        <v>723</v>
      </c>
      <c r="D389" s="17"/>
      <c r="E389" s="29" t="str">
        <f>IFERROR(VLOOKUP(C389,기출문제!D:G,3,0),"")</f>
        <v/>
      </c>
      <c r="F389" s="30" t="str">
        <f>IFERROR(VLOOKUP(C389,기출문제!D:G,4,0),"")</f>
        <v/>
      </c>
      <c r="G389" s="31" t="str">
        <f t="shared" si="5"/>
        <v/>
      </c>
      <c r="J389" s="23"/>
    </row>
    <row r="390" spans="2:10" s="21" customFormat="1" x14ac:dyDescent="0.3">
      <c r="B390" s="17">
        <v>383</v>
      </c>
      <c r="C390" s="27" t="s">
        <v>723</v>
      </c>
      <c r="D390" s="17"/>
      <c r="E390" s="29" t="str">
        <f>IFERROR(VLOOKUP(C390,기출문제!D:G,3,0),"")</f>
        <v/>
      </c>
      <c r="F390" s="30" t="str">
        <f>IFERROR(VLOOKUP(C390,기출문제!D:G,4,0),"")</f>
        <v/>
      </c>
      <c r="G390" s="31" t="str">
        <f t="shared" si="5"/>
        <v/>
      </c>
      <c r="J390" s="23"/>
    </row>
    <row r="391" spans="2:10" s="21" customFormat="1" x14ac:dyDescent="0.3">
      <c r="B391" s="17">
        <v>384</v>
      </c>
      <c r="C391" s="27" t="s">
        <v>723</v>
      </c>
      <c r="D391" s="17"/>
      <c r="E391" s="29" t="str">
        <f>IFERROR(VLOOKUP(C391,기출문제!D:G,3,0),"")</f>
        <v/>
      </c>
      <c r="F391" s="30" t="str">
        <f>IFERROR(VLOOKUP(C391,기출문제!D:G,4,0),"")</f>
        <v/>
      </c>
      <c r="G391" s="31" t="str">
        <f t="shared" si="5"/>
        <v/>
      </c>
      <c r="J391" s="23"/>
    </row>
    <row r="392" spans="2:10" s="21" customFormat="1" x14ac:dyDescent="0.3">
      <c r="B392" s="17">
        <v>385</v>
      </c>
      <c r="C392" s="27" t="s">
        <v>723</v>
      </c>
      <c r="D392" s="17"/>
      <c r="E392" s="29" t="str">
        <f>IFERROR(VLOOKUP(C392,기출문제!D:G,3,0),"")</f>
        <v/>
      </c>
      <c r="F392" s="30" t="str">
        <f>IFERROR(VLOOKUP(C392,기출문제!D:G,4,0),"")</f>
        <v/>
      </c>
      <c r="G392" s="31" t="str">
        <f t="shared" si="5"/>
        <v/>
      </c>
      <c r="J392" s="23"/>
    </row>
    <row r="393" spans="2:10" s="21" customFormat="1" x14ac:dyDescent="0.3">
      <c r="B393" s="17">
        <v>386</v>
      </c>
      <c r="C393" s="27" t="s">
        <v>723</v>
      </c>
      <c r="D393" s="17"/>
      <c r="E393" s="29" t="str">
        <f>IFERROR(VLOOKUP(C393,기출문제!D:G,3,0),"")</f>
        <v/>
      </c>
      <c r="F393" s="30" t="str">
        <f>IFERROR(VLOOKUP(C393,기출문제!D:G,4,0),"")</f>
        <v/>
      </c>
      <c r="G393" s="31" t="str">
        <f t="shared" ref="G393:G397" si="6">IF(D393="","",IF(D393=F393,"O", "X"))</f>
        <v/>
      </c>
      <c r="J393" s="23"/>
    </row>
    <row r="394" spans="2:10" s="21" customFormat="1" x14ac:dyDescent="0.3">
      <c r="B394" s="17">
        <v>387</v>
      </c>
      <c r="C394" s="27" t="s">
        <v>723</v>
      </c>
      <c r="D394" s="17"/>
      <c r="E394" s="29" t="str">
        <f>IFERROR(VLOOKUP(C394,기출문제!D:G,3,0),"")</f>
        <v/>
      </c>
      <c r="F394" s="30" t="str">
        <f>IFERROR(VLOOKUP(C394,기출문제!D:G,4,0),"")</f>
        <v/>
      </c>
      <c r="G394" s="31" t="str">
        <f t="shared" si="6"/>
        <v/>
      </c>
      <c r="J394" s="23"/>
    </row>
    <row r="395" spans="2:10" s="21" customFormat="1" x14ac:dyDescent="0.3">
      <c r="B395" s="17">
        <v>388</v>
      </c>
      <c r="C395" s="27" t="s">
        <v>723</v>
      </c>
      <c r="D395" s="17"/>
      <c r="E395" s="29" t="str">
        <f>IFERROR(VLOOKUP(C395,기출문제!D:G,3,0),"")</f>
        <v/>
      </c>
      <c r="F395" s="30" t="str">
        <f>IFERROR(VLOOKUP(C395,기출문제!D:G,4,0),"")</f>
        <v/>
      </c>
      <c r="G395" s="31" t="str">
        <f t="shared" si="6"/>
        <v/>
      </c>
      <c r="J395" s="23"/>
    </row>
    <row r="396" spans="2:10" s="21" customFormat="1" x14ac:dyDescent="0.3">
      <c r="B396" s="17">
        <v>389</v>
      </c>
      <c r="C396" s="27" t="s">
        <v>723</v>
      </c>
      <c r="D396" s="17"/>
      <c r="E396" s="29" t="str">
        <f>IFERROR(VLOOKUP(C396,기출문제!D:G,3,0),"")</f>
        <v/>
      </c>
      <c r="F396" s="30" t="str">
        <f>IFERROR(VLOOKUP(C396,기출문제!D:G,4,0),"")</f>
        <v/>
      </c>
      <c r="G396" s="31" t="str">
        <f t="shared" si="6"/>
        <v/>
      </c>
      <c r="J396" s="23"/>
    </row>
    <row r="397" spans="2:10" s="21" customFormat="1" x14ac:dyDescent="0.3">
      <c r="B397" s="17">
        <v>390</v>
      </c>
      <c r="C397" s="27" t="s">
        <v>723</v>
      </c>
      <c r="D397" s="17"/>
      <c r="E397" s="29" t="str">
        <f>IFERROR(VLOOKUP(C397,기출문제!D:G,3,0),"")</f>
        <v/>
      </c>
      <c r="F397" s="30" t="str">
        <f>IFERROR(VLOOKUP(C397,기출문제!D:G,4,0),"")</f>
        <v/>
      </c>
      <c r="G397" s="31" t="str">
        <f t="shared" si="6"/>
        <v/>
      </c>
      <c r="J397" s="23"/>
    </row>
  </sheetData>
  <phoneticPr fontId="1" type="noConversion"/>
  <conditionalFormatting sqref="F8:F397">
    <cfRule type="expression" dxfId="0" priority="1">
      <formula>$D8&lt;&gt;""</formula>
    </cfRule>
  </conditionalFormatting>
  <dataValidations count="1">
    <dataValidation type="list" allowBlank="1" showInputMessage="1" showErrorMessage="1" sqref="D3" xr:uid="{78010076-F9A3-44FC-A198-52271E952ADB}">
      <formula1>"A(기본),R(랜덤)"</formula1>
    </dataValidation>
  </dataValidations>
  <printOptions horizontalCentered="1"/>
  <pageMargins left="0" right="0" top="0.19685039370078741" bottom="0" header="0" footer="0"/>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현재_통합_문서.TestQuestionCreate_Click" altText="문제생성_x000a_">
                <anchor moveWithCells="1" sizeWithCells="1">
                  <from>
                    <xdr:col>2</xdr:col>
                    <xdr:colOff>9525</xdr:colOff>
                    <xdr:row>5</xdr:row>
                    <xdr:rowOff>28575</xdr:rowOff>
                  </from>
                  <to>
                    <xdr:col>3</xdr:col>
                    <xdr:colOff>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E2A8E9EB-4BCD-4E44-9E88-752151AEDC0F}">
          <x14:formula1>
            <xm:f>기출문제!$C$4:$C$5000</xm:f>
          </x14:formula1>
          <xm:sqref>D4:D5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6</vt:i4>
      </vt:variant>
    </vt:vector>
  </HeadingPairs>
  <TitlesOfParts>
    <vt:vector size="13" baseType="lpstr">
      <vt:lpstr>기출문제</vt:lpstr>
      <vt:lpstr>테스트(수시)</vt:lpstr>
      <vt:lpstr>테스트(1회)</vt:lpstr>
      <vt:lpstr>테스트(2회)</vt:lpstr>
      <vt:lpstr>테스트(3회)</vt:lpstr>
      <vt:lpstr>테스트(4회)</vt:lpstr>
      <vt:lpstr>테스트(5회)</vt:lpstr>
      <vt:lpstr>'테스트(1회)'!Print_Area</vt:lpstr>
      <vt:lpstr>'테스트(2회)'!Print_Area</vt:lpstr>
      <vt:lpstr>'테스트(3회)'!Print_Area</vt:lpstr>
      <vt:lpstr>'테스트(4회)'!Print_Area</vt:lpstr>
      <vt:lpstr>'테스트(5회)'!Print_Area</vt:lpstr>
      <vt:lpstr>'테스트(수시)'!Print_Area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Myounggyu Song</cp:lastModifiedBy>
  <cp:revision/>
  <cp:lastPrinted>2024-03-05T02:34:39Z</cp:lastPrinted>
  <dcterms:created xsi:type="dcterms:W3CDTF">2023-10-20T08:55:08Z</dcterms:created>
  <dcterms:modified xsi:type="dcterms:W3CDTF">2025-05-27T00:46:34Z</dcterms:modified>
  <cp:category/>
  <cp:contentStatus/>
</cp:coreProperties>
</file>