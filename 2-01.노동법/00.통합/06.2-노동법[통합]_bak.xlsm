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20041CEB-92E6-4EEB-A313-9E46BB8EFB83}" xr6:coauthVersionLast="47" xr6:coauthVersionMax="47" xr10:uidLastSave="{00000000-0000-0000-0000-000000000000}"/>
  <bookViews>
    <workbookView xWindow="-120" yWindow="-120" windowWidth="29040" windowHeight="15720" tabRatio="950" activeTab="2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 hidden="1">'기출유형(노동2)'!$B$3:$J$22</definedName>
    <definedName name="_xlnm._FilterDatabase" localSheetId="2" hidden="1">문제목록!$B$3:$T$174</definedName>
    <definedName name="_xlnm._FilterDatabase" localSheetId="3" hidden="1">주요쟁점!$B$3:$Q$3</definedName>
    <definedName name="_xlnm._FilterDatabase" localSheetId="1" hidden="1">통합목록!$B$3:$T$310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T27" i="105" l="1"/>
  <c r="T28" i="105"/>
  <c r="T29" i="105"/>
  <c r="T30" i="105"/>
  <c r="T31" i="105"/>
  <c r="T32" i="105"/>
  <c r="T33" i="105"/>
  <c r="T34" i="105"/>
  <c r="T35" i="105"/>
  <c r="T36" i="105"/>
  <c r="T37" i="105"/>
  <c r="T38" i="105"/>
  <c r="T39" i="105"/>
  <c r="T40" i="105"/>
  <c r="T41" i="105"/>
  <c r="T42" i="105"/>
  <c r="T43" i="105"/>
  <c r="T44" i="105"/>
  <c r="T45" i="105"/>
  <c r="T46" i="105"/>
  <c r="T47" i="105"/>
  <c r="T48" i="105"/>
  <c r="T49" i="105"/>
  <c r="T50" i="105"/>
  <c r="T51" i="105"/>
  <c r="T52" i="105"/>
  <c r="T53" i="105"/>
  <c r="T54" i="105"/>
  <c r="T55" i="105"/>
  <c r="T56" i="105"/>
  <c r="T57" i="105"/>
  <c r="T58" i="105"/>
  <c r="T59" i="105"/>
  <c r="T60" i="105"/>
  <c r="T61" i="105"/>
  <c r="T62" i="105"/>
  <c r="T63" i="105"/>
  <c r="T64" i="105"/>
  <c r="T65" i="105"/>
  <c r="T66" i="105"/>
  <c r="T67" i="105"/>
  <c r="T68" i="105"/>
  <c r="T69" i="105"/>
  <c r="T70" i="105"/>
  <c r="T71" i="105"/>
  <c r="T72" i="105"/>
  <c r="T73" i="105"/>
  <c r="T74" i="105"/>
  <c r="T75" i="105"/>
  <c r="T76" i="105"/>
  <c r="T77" i="105"/>
  <c r="T78" i="105"/>
  <c r="T79" i="105"/>
  <c r="T80" i="105"/>
  <c r="T81" i="105"/>
  <c r="T117" i="105"/>
  <c r="T118" i="105"/>
  <c r="T115" i="105"/>
  <c r="T116" i="105"/>
  <c r="T113" i="105"/>
  <c r="T114" i="105"/>
  <c r="T111" i="105"/>
  <c r="T112" i="105"/>
  <c r="T109" i="105"/>
  <c r="T110" i="105"/>
  <c r="T107" i="105"/>
  <c r="T108" i="105"/>
  <c r="T104" i="105"/>
  <c r="T105" i="105"/>
  <c r="T106" i="105"/>
  <c r="T102" i="105"/>
  <c r="T103" i="105"/>
  <c r="T100" i="105"/>
  <c r="T101" i="105"/>
  <c r="T98" i="105"/>
  <c r="T99" i="105"/>
  <c r="T96" i="105"/>
  <c r="T97" i="105"/>
  <c r="T94" i="105"/>
  <c r="T95" i="105"/>
  <c r="T92" i="105"/>
  <c r="T93" i="105"/>
  <c r="T90" i="105"/>
  <c r="T91" i="105"/>
  <c r="T88" i="105"/>
  <c r="T89" i="105"/>
  <c r="T86" i="105"/>
  <c r="T87" i="105"/>
  <c r="T84" i="105"/>
  <c r="T85" i="105"/>
  <c r="T82" i="105"/>
  <c r="T83" i="105"/>
  <c r="T119" i="105"/>
  <c r="T121" i="105"/>
  <c r="T122" i="105"/>
  <c r="T120" i="105"/>
  <c r="T123" i="105"/>
  <c r="T124" i="105"/>
  <c r="T125" i="105"/>
  <c r="T126" i="105"/>
  <c r="T127" i="105"/>
  <c r="T128" i="105"/>
  <c r="T129" i="105"/>
  <c r="T130" i="105"/>
  <c r="T131" i="105"/>
  <c r="T132" i="105"/>
  <c r="T133" i="105"/>
  <c r="T134" i="105"/>
  <c r="T135" i="105"/>
  <c r="T136" i="105"/>
  <c r="T137" i="105"/>
  <c r="T138" i="105"/>
  <c r="T139" i="105"/>
  <c r="T140" i="105"/>
  <c r="T141" i="105"/>
  <c r="T142" i="105"/>
  <c r="T143" i="105"/>
  <c r="T144" i="105"/>
  <c r="T145" i="105"/>
  <c r="T146" i="105"/>
  <c r="T147" i="105"/>
  <c r="T148" i="105"/>
  <c r="T149" i="105"/>
  <c r="T150" i="105"/>
  <c r="T151" i="105"/>
  <c r="T152" i="105"/>
  <c r="T153" i="105"/>
  <c r="T154" i="105"/>
  <c r="T155" i="105"/>
  <c r="T156" i="105"/>
  <c r="T157" i="105"/>
  <c r="T158" i="105"/>
  <c r="T159" i="105"/>
  <c r="T160" i="105"/>
  <c r="T161" i="105"/>
  <c r="T162" i="105"/>
  <c r="T163" i="105"/>
  <c r="T164" i="105"/>
  <c r="T165" i="105"/>
  <c r="T166" i="105"/>
  <c r="T167" i="105"/>
  <c r="T168" i="105"/>
  <c r="T169" i="105"/>
  <c r="T170" i="105"/>
  <c r="T171" i="105"/>
  <c r="T172" i="105"/>
  <c r="T173" i="105"/>
  <c r="T174" i="105"/>
  <c r="T24" i="105"/>
  <c r="T25" i="105"/>
  <c r="T22" i="105"/>
  <c r="T23" i="105"/>
  <c r="T20" i="105"/>
  <c r="T21" i="105"/>
  <c r="T18" i="105"/>
  <c r="T19" i="105"/>
  <c r="T16" i="105"/>
  <c r="T17" i="105"/>
  <c r="T14" i="105"/>
  <c r="T15" i="105"/>
  <c r="T12" i="105"/>
  <c r="T13" i="105"/>
  <c r="T10" i="105"/>
  <c r="T11" i="105"/>
  <c r="T8" i="105"/>
  <c r="T9" i="105"/>
  <c r="T6" i="105"/>
  <c r="T7" i="105"/>
  <c r="T4" i="105"/>
  <c r="T5" i="105"/>
  <c r="T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174" i="113" l="1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L19" i="105"/>
  <c r="L170" i="105"/>
  <c r="L158" i="105"/>
  <c r="L146" i="105"/>
  <c r="L134" i="105"/>
  <c r="L120" i="105"/>
  <c r="L91" i="105"/>
  <c r="L103" i="105"/>
  <c r="L113" i="105"/>
  <c r="L74" i="105"/>
  <c r="L62" i="105"/>
  <c r="L50" i="105"/>
  <c r="L38" i="105"/>
  <c r="L122" i="105"/>
  <c r="L21" i="105"/>
  <c r="L168" i="105"/>
  <c r="L156" i="105"/>
  <c r="L144" i="105"/>
  <c r="L132" i="105"/>
  <c r="L121" i="105"/>
  <c r="L93" i="105"/>
  <c r="L106" i="105"/>
  <c r="L115" i="105"/>
  <c r="L72" i="105"/>
  <c r="L60" i="105"/>
  <c r="L48" i="105"/>
  <c r="L36" i="105"/>
  <c r="L18" i="105"/>
  <c r="L157" i="105"/>
  <c r="L145" i="105"/>
  <c r="L90" i="105"/>
  <c r="L116" i="105"/>
  <c r="L73" i="105"/>
  <c r="L61" i="105"/>
  <c r="L37" i="105"/>
  <c r="L9" i="105"/>
  <c r="L8" i="105"/>
  <c r="L20" i="105"/>
  <c r="L167" i="105"/>
  <c r="L155" i="105"/>
  <c r="L143" i="105"/>
  <c r="L131" i="105"/>
  <c r="L119" i="105"/>
  <c r="L92" i="105"/>
  <c r="L105" i="105"/>
  <c r="L118" i="105"/>
  <c r="L71" i="105"/>
  <c r="L59" i="105"/>
  <c r="L47" i="105"/>
  <c r="L35" i="105"/>
  <c r="L6" i="105"/>
  <c r="L169" i="105"/>
  <c r="L133" i="105"/>
  <c r="L102" i="105"/>
  <c r="L49" i="105"/>
  <c r="L11" i="105"/>
  <c r="L23" i="105"/>
  <c r="L166" i="105"/>
  <c r="L154" i="105"/>
  <c r="L142" i="105"/>
  <c r="L130" i="105"/>
  <c r="L83" i="105"/>
  <c r="L95" i="105"/>
  <c r="L104" i="105"/>
  <c r="L117" i="105"/>
  <c r="L70" i="105"/>
  <c r="L58" i="105"/>
  <c r="L46" i="105"/>
  <c r="L34" i="105"/>
  <c r="L10" i="105"/>
  <c r="L22" i="105"/>
  <c r="L165" i="105"/>
  <c r="L153" i="105"/>
  <c r="L141" i="105"/>
  <c r="L129" i="105"/>
  <c r="L82" i="105"/>
  <c r="L94" i="105"/>
  <c r="L108" i="105"/>
  <c r="L81" i="105"/>
  <c r="L69" i="105"/>
  <c r="L57" i="105"/>
  <c r="L45" i="105"/>
  <c r="L33" i="105"/>
  <c r="L13" i="105"/>
  <c r="L25" i="105"/>
  <c r="L164" i="105"/>
  <c r="L152" i="105"/>
  <c r="L140" i="105"/>
  <c r="L128" i="105"/>
  <c r="L85" i="105"/>
  <c r="L97" i="105"/>
  <c r="L107" i="105"/>
  <c r="L80" i="105"/>
  <c r="L68" i="105"/>
  <c r="L56" i="105"/>
  <c r="L44" i="105"/>
  <c r="L32" i="105"/>
  <c r="L12" i="105"/>
  <c r="L24" i="105"/>
  <c r="L163" i="105"/>
  <c r="L151" i="105"/>
  <c r="L139" i="105"/>
  <c r="L127" i="105"/>
  <c r="L84" i="105"/>
  <c r="L96" i="105"/>
  <c r="L110" i="105"/>
  <c r="L79" i="105"/>
  <c r="L67" i="105"/>
  <c r="L55" i="105"/>
  <c r="L43" i="105"/>
  <c r="L31" i="105"/>
  <c r="L15" i="105"/>
  <c r="L174" i="105"/>
  <c r="L162" i="105"/>
  <c r="L150" i="105"/>
  <c r="L138" i="105"/>
  <c r="L126" i="105"/>
  <c r="L87" i="105"/>
  <c r="L99" i="105"/>
  <c r="L109" i="105"/>
  <c r="L78" i="105"/>
  <c r="L66" i="105"/>
  <c r="L54" i="105"/>
  <c r="L42" i="105"/>
  <c r="L30" i="105"/>
  <c r="L14" i="105"/>
  <c r="L161" i="105"/>
  <c r="L137" i="105"/>
  <c r="L125" i="105"/>
  <c r="L86" i="105"/>
  <c r="L112" i="105"/>
  <c r="L77" i="105"/>
  <c r="L65" i="105"/>
  <c r="L53" i="105"/>
  <c r="L41" i="105"/>
  <c r="L29" i="105"/>
  <c r="L26" i="105"/>
  <c r="L173" i="105"/>
  <c r="L149" i="105"/>
  <c r="L98" i="105"/>
  <c r="L5" i="105"/>
  <c r="L17" i="105"/>
  <c r="L172" i="105"/>
  <c r="L160" i="105"/>
  <c r="L148" i="105"/>
  <c r="L136" i="105"/>
  <c r="L124" i="105"/>
  <c r="L89" i="105"/>
  <c r="L101" i="105"/>
  <c r="L111" i="105"/>
  <c r="L76" i="105"/>
  <c r="L64" i="105"/>
  <c r="L52" i="105"/>
  <c r="L40" i="105"/>
  <c r="L28" i="105"/>
  <c r="L4" i="105"/>
  <c r="L16" i="105"/>
  <c r="L171" i="105"/>
  <c r="L159" i="105"/>
  <c r="L147" i="105"/>
  <c r="L135" i="105"/>
  <c r="L123" i="105"/>
  <c r="L88" i="105"/>
  <c r="L100" i="105"/>
  <c r="L114" i="105"/>
  <c r="L75" i="105"/>
  <c r="L63" i="105"/>
  <c r="L51" i="105"/>
  <c r="L39" i="105"/>
  <c r="L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O122" i="105" l="1"/>
  <c r="P122" i="105"/>
  <c r="Q122" i="105"/>
  <c r="R122" i="105"/>
  <c r="O124" i="105"/>
  <c r="P124" i="105"/>
  <c r="Q124" i="105"/>
  <c r="R124" i="105"/>
  <c r="B122" i="105"/>
  <c r="O125" i="111"/>
  <c r="O85" i="105" l="1"/>
  <c r="P85" i="105"/>
  <c r="Q85" i="105"/>
  <c r="R85" i="105"/>
  <c r="B84" i="105"/>
  <c r="B128" i="105"/>
  <c r="B149" i="105"/>
  <c r="B62" i="105"/>
  <c r="B163" i="105"/>
  <c r="B169" i="105"/>
  <c r="B85" i="105"/>
  <c r="B123" i="105"/>
  <c r="B132" i="105"/>
  <c r="B120" i="105"/>
  <c r="B142" i="105"/>
  <c r="O84" i="105"/>
  <c r="P84" i="105"/>
  <c r="Q84" i="105"/>
  <c r="R84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73" i="105" l="1"/>
  <c r="Q174" i="105"/>
  <c r="Q169" i="105"/>
  <c r="Q170" i="105"/>
  <c r="Q171" i="105"/>
  <c r="Q166" i="105"/>
  <c r="Q167" i="105"/>
  <c r="Q168" i="105"/>
  <c r="Q162" i="105"/>
  <c r="Q163" i="105"/>
  <c r="Q164" i="105"/>
  <c r="Q165" i="105"/>
  <c r="Q159" i="105"/>
  <c r="Q160" i="105"/>
  <c r="Q161" i="105"/>
  <c r="Q156" i="105"/>
  <c r="Q157" i="105"/>
  <c r="Q158" i="105"/>
  <c r="Q153" i="105"/>
  <c r="Q154" i="105"/>
  <c r="Q155" i="105"/>
  <c r="Q150" i="105"/>
  <c r="Q151" i="105"/>
  <c r="Q152" i="105"/>
  <c r="Q146" i="105"/>
  <c r="Q147" i="105"/>
  <c r="Q148" i="105"/>
  <c r="Q149" i="105"/>
  <c r="Q143" i="105"/>
  <c r="Q144" i="105"/>
  <c r="Q145" i="105"/>
  <c r="Q140" i="105"/>
  <c r="Q141" i="105"/>
  <c r="Q142" i="105"/>
  <c r="Q137" i="105"/>
  <c r="Q138" i="105"/>
  <c r="Q139" i="105"/>
  <c r="Q133" i="105"/>
  <c r="Q134" i="105"/>
  <c r="Q135" i="105"/>
  <c r="Q136" i="105"/>
  <c r="Q130" i="105"/>
  <c r="Q131" i="105"/>
  <c r="Q132" i="105"/>
  <c r="Q127" i="105"/>
  <c r="Q128" i="105"/>
  <c r="Q129" i="105"/>
  <c r="Q125" i="105"/>
  <c r="Q126" i="105"/>
  <c r="Q120" i="105"/>
  <c r="Q121" i="105"/>
  <c r="Q123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2" i="105"/>
  <c r="R116" i="105"/>
  <c r="R113" i="105"/>
  <c r="R114" i="105"/>
  <c r="R172" i="105"/>
  <c r="R173" i="105"/>
  <c r="R174" i="105"/>
  <c r="R169" i="105"/>
  <c r="R170" i="105"/>
  <c r="R171" i="105"/>
  <c r="R166" i="105"/>
  <c r="R167" i="105"/>
  <c r="R168" i="105"/>
  <c r="R104" i="105"/>
  <c r="R105" i="105"/>
  <c r="R106" i="105"/>
  <c r="R102" i="105"/>
  <c r="R103" i="105"/>
  <c r="R162" i="105"/>
  <c r="R163" i="105"/>
  <c r="R164" i="105"/>
  <c r="R165" i="105"/>
  <c r="R100" i="105"/>
  <c r="R101" i="105"/>
  <c r="R159" i="105"/>
  <c r="R160" i="105"/>
  <c r="R161" i="105"/>
  <c r="R98" i="105"/>
  <c r="R99" i="105"/>
  <c r="R96" i="105"/>
  <c r="R97" i="105"/>
  <c r="R94" i="105"/>
  <c r="R95" i="105"/>
  <c r="R156" i="105"/>
  <c r="R157" i="105"/>
  <c r="R92" i="105"/>
  <c r="R93" i="105"/>
  <c r="R90" i="105"/>
  <c r="R91" i="105"/>
  <c r="R158" i="105"/>
  <c r="R88" i="105"/>
  <c r="R89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86" i="105"/>
  <c r="R87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82" i="105"/>
  <c r="R83" i="105"/>
  <c r="R126" i="105"/>
  <c r="R120" i="105"/>
  <c r="R121" i="105"/>
  <c r="R123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O113" i="105"/>
  <c r="P113" i="105"/>
  <c r="O114" i="105"/>
  <c r="P114" i="105"/>
  <c r="O140" i="105"/>
  <c r="P140" i="105"/>
  <c r="O29" i="105" l="1"/>
  <c r="O89" i="105" l="1"/>
  <c r="O88" i="105"/>
  <c r="P89" i="105"/>
  <c r="P88" i="105"/>
  <c r="B88" i="105"/>
  <c r="B89" i="105"/>
  <c r="B146" i="105"/>
  <c r="B130" i="105"/>
  <c r="B131" i="105"/>
  <c r="B150" i="105"/>
  <c r="O100" i="105"/>
  <c r="P100" i="105"/>
  <c r="O101" i="105"/>
  <c r="P101" i="105"/>
  <c r="O139" i="105"/>
  <c r="P139" i="105"/>
  <c r="B100" i="105"/>
  <c r="B101" i="105"/>
  <c r="B139" i="105"/>
  <c r="B155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2" i="105"/>
  <c r="P152" i="105"/>
  <c r="B86" i="105"/>
  <c r="B87" i="105"/>
  <c r="B152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4" i="105"/>
  <c r="O144" i="105"/>
  <c r="B144" i="105"/>
  <c r="P171" i="105"/>
  <c r="O171" i="105"/>
  <c r="B171" i="105"/>
  <c r="P119" i="105"/>
  <c r="O119" i="105"/>
  <c r="B119" i="105"/>
  <c r="P165" i="105"/>
  <c r="O165" i="105"/>
  <c r="B165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3" i="105"/>
  <c r="O173" i="105"/>
  <c r="B173" i="105"/>
  <c r="P136" i="105"/>
  <c r="O136" i="105"/>
  <c r="B136" i="105"/>
  <c r="P145" i="105"/>
  <c r="O145" i="105"/>
  <c r="B145" i="105"/>
  <c r="P135" i="105"/>
  <c r="O135" i="105"/>
  <c r="B135" i="105"/>
  <c r="P134" i="105"/>
  <c r="O134" i="105"/>
  <c r="B134" i="105"/>
  <c r="P126" i="105"/>
  <c r="O126" i="105"/>
  <c r="B126" i="105"/>
  <c r="P83" i="105"/>
  <c r="O83" i="105"/>
  <c r="B83" i="105"/>
  <c r="P82" i="105"/>
  <c r="O82" i="105"/>
  <c r="B82" i="105"/>
  <c r="P164" i="105"/>
  <c r="O164" i="105"/>
  <c r="B164" i="105"/>
  <c r="P142" i="105"/>
  <c r="O142" i="105"/>
  <c r="P120" i="105"/>
  <c r="O120" i="105"/>
  <c r="P132" i="105"/>
  <c r="O132" i="105"/>
  <c r="P169" i="105"/>
  <c r="O169" i="105"/>
  <c r="P163" i="105"/>
  <c r="O163" i="105"/>
  <c r="P149" i="105"/>
  <c r="O149" i="105"/>
  <c r="P128" i="105"/>
  <c r="O128" i="105"/>
  <c r="P172" i="105"/>
  <c r="O172" i="105"/>
  <c r="B172" i="105"/>
  <c r="P154" i="105"/>
  <c r="O154" i="105"/>
  <c r="B154" i="105"/>
  <c r="P147" i="105"/>
  <c r="O147" i="105"/>
  <c r="B147" i="105"/>
  <c r="P143" i="105"/>
  <c r="O143" i="105"/>
  <c r="B143" i="105"/>
  <c r="P137" i="105"/>
  <c r="O137" i="105"/>
  <c r="B137" i="105"/>
  <c r="P127" i="105"/>
  <c r="O127" i="105"/>
  <c r="B127" i="105"/>
  <c r="B124" i="105"/>
  <c r="P118" i="105"/>
  <c r="O118" i="105"/>
  <c r="B118" i="105"/>
  <c r="P117" i="105"/>
  <c r="O117" i="105"/>
  <c r="B117" i="105"/>
  <c r="P158" i="105"/>
  <c r="O158" i="105"/>
  <c r="B158" i="105"/>
  <c r="P121" i="105"/>
  <c r="O121" i="105"/>
  <c r="B121" i="105"/>
  <c r="P153" i="105"/>
  <c r="O153" i="105"/>
  <c r="B153" i="105"/>
  <c r="P125" i="105"/>
  <c r="O125" i="105"/>
  <c r="B125" i="105"/>
  <c r="P151" i="105"/>
  <c r="O151" i="105"/>
  <c r="B151" i="105"/>
  <c r="P168" i="105"/>
  <c r="O168" i="105"/>
  <c r="B168" i="105"/>
  <c r="P157" i="105"/>
  <c r="O157" i="105"/>
  <c r="B157" i="105"/>
  <c r="P156" i="105"/>
  <c r="O156" i="105"/>
  <c r="B156" i="105"/>
  <c r="P150" i="105"/>
  <c r="O150" i="105"/>
  <c r="P131" i="105"/>
  <c r="O131" i="105"/>
  <c r="P130" i="105"/>
  <c r="O130" i="105"/>
  <c r="P146" i="105"/>
  <c r="O146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2" i="105"/>
  <c r="O162" i="105"/>
  <c r="B162" i="105"/>
  <c r="P174" i="105"/>
  <c r="O174" i="105"/>
  <c r="B174" i="105"/>
  <c r="P95" i="105"/>
  <c r="O95" i="105"/>
  <c r="B95" i="105"/>
  <c r="P94" i="105"/>
  <c r="O94" i="105"/>
  <c r="B94" i="105"/>
  <c r="P97" i="105"/>
  <c r="O97" i="105"/>
  <c r="B97" i="105"/>
  <c r="P96" i="105"/>
  <c r="O96" i="105"/>
  <c r="P123" i="105"/>
  <c r="O123" i="105"/>
  <c r="P167" i="105"/>
  <c r="O167" i="105"/>
  <c r="B167" i="105"/>
  <c r="P155" i="105"/>
  <c r="O155" i="105"/>
  <c r="P160" i="105"/>
  <c r="O160" i="105"/>
  <c r="B160" i="105"/>
  <c r="P159" i="105"/>
  <c r="O159" i="105"/>
  <c r="B159" i="105"/>
  <c r="P141" i="105"/>
  <c r="O141" i="105"/>
  <c r="B141" i="105"/>
  <c r="P129" i="105"/>
  <c r="O129" i="105"/>
  <c r="B129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8" i="105"/>
  <c r="O148" i="105"/>
  <c r="P170" i="105"/>
  <c r="O170" i="105"/>
  <c r="P166" i="105"/>
  <c r="O166" i="105"/>
  <c r="P138" i="105"/>
  <c r="O138" i="105"/>
  <c r="P161" i="105"/>
  <c r="O161" i="105"/>
  <c r="P133" i="105"/>
  <c r="O133" i="105"/>
  <c r="P116" i="105"/>
  <c r="O116" i="105"/>
  <c r="P115" i="105"/>
  <c r="O115" i="105"/>
  <c r="B115" i="105"/>
</calcChain>
</file>

<file path=xl/sharedStrings.xml><?xml version="1.0" encoding="utf-8"?>
<sst xmlns="http://schemas.openxmlformats.org/spreadsheetml/2006/main" count="6955" uniqueCount="2030">
  <si>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</si>
  <si>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</si>
  <si>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</si>
  <si>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</si>
  <si>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</si>
  <si>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</si>
  <si>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</si>
  <si>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</si>
  <si>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</si>
  <si>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</si>
  <si>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</si>
  <si>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</si>
  <si>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</si>
  <si>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</si>
  <si>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</si>
  <si>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</si>
  <si>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</si>
  <si>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</si>
  <si>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</si>
  <si>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</si>
  <si>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</si>
  <si>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</si>
  <si>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</si>
  <si>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</si>
  <si>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</si>
  <si>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</si>
  <si>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</si>
  <si>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</si>
  <si>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</si>
  <si>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</si>
  <si>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</si>
  <si>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</si>
  <si>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</si>
  <si>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</si>
  <si>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</si>
  <si>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</si>
  <si>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</si>
  <si>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</si>
  <si>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</si>
  <si>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</si>
  <si>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</si>
  <si>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</si>
  <si>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</si>
  <si>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</si>
  <si>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</si>
  <si>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</si>
  <si>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</si>
  <si>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</si>
  <si>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</si>
  <si>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</si>
  <si>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</si>
  <si>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</si>
  <si>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</si>
  <si>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</si>
  <si>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</si>
  <si>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</si>
  <si>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</si>
  <si>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</si>
  <si>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</si>
  <si>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</si>
  <si>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</si>
  <si>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</si>
  <si>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</si>
  <si>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</si>
  <si>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</si>
  <si>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</si>
  <si>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</si>
  <si>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</si>
  <si>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</si>
  <si>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</si>
  <si>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</si>
  <si>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</si>
  <si>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</si>
  <si>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</si>
  <si>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</si>
  <si>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</si>
  <si>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</si>
  <si>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</si>
  <si>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</si>
  <si>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</si>
  <si>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</si>
  <si>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</si>
  <si>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</si>
  <si>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</si>
  <si>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</si>
  <si>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</si>
  <si>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</si>
  <si>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</si>
  <si>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</si>
  <si>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</si>
  <si>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</si>
  <si>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</si>
  <si>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</si>
  <si>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</si>
  <si>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</si>
  <si>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</si>
  <si>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</si>
  <si>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</si>
  <si>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</si>
  <si>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</si>
  <si>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</si>
  <si>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</si>
  <si>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</si>
  <si>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</si>
  <si>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</si>
  <si>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</si>
  <si>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</si>
  <si>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</si>
  <si>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</si>
  <si>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</si>
  <si>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</si>
  <si>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</si>
  <si>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</si>
  <si>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</si>
  <si>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</si>
  <si>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</si>
  <si>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</si>
  <si>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</si>
  <si>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</si>
  <si>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</si>
  <si>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</si>
  <si>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</si>
  <si>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</si>
  <si>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</si>
  <si>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</si>
  <si>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</si>
  <si>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</si>
  <si>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</si>
  <si>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</si>
  <si>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</si>
  <si>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</si>
  <si>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</si>
  <si>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</si>
  <si>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</si>
  <si>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</si>
  <si>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</si>
  <si>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</si>
  <si>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</si>
  <si>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</si>
  <si>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</si>
  <si>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</si>
  <si>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</si>
  <si>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</si>
  <si>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</si>
  <si>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</si>
  <si>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</si>
  <si>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</si>
  <si>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</si>
  <si>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</si>
  <si>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</si>
  <si>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</si>
  <si>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</si>
  <si>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</si>
  <si>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</si>
  <si>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</si>
  <si>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</si>
  <si>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</si>
  <si>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</si>
  <si>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</si>
  <si>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</si>
  <si>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</si>
  <si>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</si>
  <si>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</si>
  <si>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</si>
  <si>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</si>
  <si>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</si>
  <si>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</si>
  <si>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</si>
  <si>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</si>
  <si>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</si>
  <si>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</si>
  <si>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</si>
  <si>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</si>
  <si>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</si>
  <si>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</si>
  <si>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</si>
  <si>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</si>
  <si>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</si>
  <si>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</si>
  <si>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</si>
  <si>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</si>
  <si>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</si>
  <si>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</si>
  <si>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</si>
  <si>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</si>
  <si>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</si>
  <si>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</si>
  <si>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</si>
  <si>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</si>
  <si>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</si>
  <si>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</si>
  <si>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</si>
  <si>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</si>
  <si>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</si>
  <si>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</si>
  <si>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</si>
  <si>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</si>
  <si>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</si>
  <si>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</si>
  <si>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</si>
  <si>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</si>
  <si>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</si>
  <si>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</si>
  <si>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</si>
  <si>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</si>
  <si>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</si>
  <si>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</si>
  <si>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</si>
  <si>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</si>
  <si>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</si>
  <si>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</si>
  <si>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</si>
  <si>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</si>
  <si>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</si>
  <si>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</si>
  <si>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</si>
  <si>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</si>
  <si>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</si>
  <si>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</si>
  <si>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</si>
  <si>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</si>
  <si>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</si>
  <si>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</si>
  <si>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</si>
  <si>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</si>
  <si>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</si>
  <si>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</si>
  <si>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</si>
  <si>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</si>
  <si>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</si>
  <si>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</si>
  <si>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</si>
  <si>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</si>
  <si>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</si>
  <si>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</si>
  <si>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</si>
  <si>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</si>
  <si>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</si>
  <si>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</si>
  <si>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</si>
  <si>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</si>
  <si>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</si>
  <si>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</si>
  <si>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</si>
  <si>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</si>
  <si>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</si>
  <si>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</si>
  <si>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</si>
  <si>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</si>
  <si>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</si>
  <si>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</si>
  <si>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</si>
  <si>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</si>
  <si>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</si>
  <si>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</si>
  <si>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</si>
  <si>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</si>
  <si>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</si>
  <si>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</si>
  <si>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</si>
  <si>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</si>
  <si>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</si>
  <si>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</si>
  <si>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</si>
  <si>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</si>
  <si>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</si>
  <si>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</si>
  <si>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</si>
  <si>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</si>
  <si>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</si>
  <si>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</si>
  <si>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</si>
  <si>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</si>
  <si>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</si>
  <si>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</si>
  <si>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</si>
  <si>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</si>
  <si>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</si>
  <si>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</si>
  <si>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</si>
  <si>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</si>
  <si>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</si>
  <si>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</si>
  <si>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</si>
  <si>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</si>
  <si>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</si>
  <si>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</si>
  <si>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</si>
  <si>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</si>
  <si>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</si>
  <si>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</si>
  <si>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</si>
  <si>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</si>
  <si>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</si>
  <si>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</si>
  <si>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</si>
  <si>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</si>
  <si>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</si>
  <si>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</si>
  <si>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</si>
  <si>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</si>
  <si>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</si>
  <si>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</si>
  <si>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</si>
  <si>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</si>
  <si>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</si>
  <si>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</si>
  <si>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</si>
  <si>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</si>
  <si>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</si>
  <si>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</si>
  <si>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</si>
  <si>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</si>
  <si>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</si>
  <si>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</si>
  <si>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</si>
  <si>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</si>
  <si>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</si>
  <si>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</si>
  <si>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</si>
  <si>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</si>
  <si>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</si>
  <si>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</si>
  <si>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</si>
  <si>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</si>
  <si>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</si>
  <si>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</si>
  <si>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</si>
  <si>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</si>
  <si>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</si>
  <si>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</si>
  <si>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</si>
  <si>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</si>
  <si>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</si>
  <si>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</si>
  <si>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</si>
  <si>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</si>
  <si>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</si>
  <si>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</si>
  <si>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</si>
  <si>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</si>
  <si>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</si>
  <si>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</si>
  <si>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</si>
  <si>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</si>
  <si>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</si>
  <si>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</si>
  <si>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</si>
  <si>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</si>
  <si>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</si>
  <si>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</si>
  <si>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</si>
  <si>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</si>
  <si>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</si>
  <si>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</si>
  <si>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</si>
  <si>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</si>
  <si>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</si>
  <si>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</si>
  <si>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</si>
  <si>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</si>
  <si>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</si>
  <si>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</si>
  <si>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</si>
  <si>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</si>
  <si>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</si>
  <si>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</si>
  <si>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</si>
  <si>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</si>
  <si>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</si>
  <si>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</si>
  <si>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</si>
  <si>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</si>
  <si>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</si>
  <si>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</si>
  <si>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</si>
  <si>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</si>
  <si>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</si>
  <si>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</si>
  <si>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</si>
  <si>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</si>
  <si>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</si>
  <si>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</si>
  <si>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</si>
  <si>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</si>
  <si>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</si>
  <si>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</si>
  <si>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</si>
  <si>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</si>
  <si>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</si>
  <si>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</si>
  <si>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</si>
  <si>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</si>
  <si>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</si>
  <si>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</si>
  <si>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</si>
  <si>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</si>
  <si>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</si>
  <si>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</si>
  <si>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</si>
  <si>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</si>
  <si>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</si>
  <si>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</si>
  <si>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</si>
  <si>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</si>
  <si>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</si>
  <si>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</si>
  <si>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</si>
  <si>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</si>
  <si>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</si>
  <si>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</si>
  <si>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</si>
  <si>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</si>
  <si>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</si>
  <si>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</si>
  <si>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</si>
  <si>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</si>
  <si>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</si>
  <si>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</si>
  <si>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</si>
  <si>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</si>
  <si>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</si>
  <si>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</si>
  <si>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</si>
  <si>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</si>
  <si>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</si>
  <si>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</si>
  <si>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</si>
  <si>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</si>
  <si>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</si>
  <si>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</si>
  <si>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</si>
  <si>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</si>
  <si>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</si>
  <si>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</si>
  <si>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</si>
  <si>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</si>
  <si>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</si>
  <si>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</si>
  <si>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</si>
  <si>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</si>
  <si>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</si>
  <si>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</si>
  <si>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</si>
  <si>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</si>
  <si>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</si>
  <si>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</si>
  <si>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</si>
  <si>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</si>
  <si>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</si>
  <si>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</si>
  <si>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</si>
  <si>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</si>
  <si>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</si>
  <si>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</si>
  <si>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</si>
  <si>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</si>
  <si>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</si>
  <si>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</si>
  <si>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</si>
  <si>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</si>
  <si>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</si>
  <si>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</si>
  <si>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</si>
  <si>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</si>
  <si>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</si>
  <si>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</si>
  <si>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</si>
  <si>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</si>
  <si>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</si>
  <si>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</si>
  <si>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</si>
  <si>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</si>
  <si>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</si>
  <si>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</si>
  <si>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</si>
  <si>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</si>
  <si>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</si>
  <si>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</si>
  <si>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</si>
  <si>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</si>
  <si>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</si>
  <si>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</si>
  <si>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</si>
  <si>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</si>
  <si>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</si>
  <si>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</si>
  <si>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</si>
  <si>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</si>
  <si>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</si>
  <si>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</si>
  <si>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</si>
  <si>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</si>
  <si>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</si>
  <si>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</si>
  <si>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</si>
  <si>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</si>
  <si>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</si>
  <si>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</si>
  <si>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</si>
  <si>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</si>
  <si>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</si>
  <si>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</si>
  <si>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</si>
  <si>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</si>
  <si>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</si>
  <si>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</si>
  <si>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</si>
  <si>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</si>
  <si>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</si>
  <si>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</si>
  <si>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</si>
  <si>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</si>
  <si>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</si>
  <si>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</si>
  <si>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</si>
  <si>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</si>
  <si>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</si>
  <si>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</si>
  <si>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</si>
  <si>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</si>
  <si>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</si>
  <si>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</si>
  <si>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</si>
  <si>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</si>
  <si>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</si>
  <si>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</si>
  <si>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</si>
  <si>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</si>
  <si>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</si>
  <si>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</si>
  <si>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</si>
  <si>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</si>
  <si>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</si>
  <si>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</si>
  <si>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</si>
  <si>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</si>
  <si>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</si>
  <si>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</si>
  <si>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</si>
  <si>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</si>
  <si>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</si>
  <si>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</si>
  <si>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</si>
  <si>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</si>
  <si>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</si>
  <si>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</si>
  <si>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</si>
  <si>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</si>
  <si>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</si>
  <si>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</si>
  <si>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</si>
  <si>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</si>
  <si>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</si>
  <si>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</si>
  <si>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</si>
  <si>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</si>
  <si>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</si>
  <si>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</si>
  <si>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</si>
  <si>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</si>
  <si>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</si>
  <si>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</si>
  <si>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</si>
  <si>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</si>
  <si>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</si>
  <si>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</si>
  <si>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</si>
  <si>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</si>
  <si>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</si>
  <si>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</si>
  <si>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</si>
  <si>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</si>
  <si>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</si>
  <si>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</si>
  <si>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</si>
  <si>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</si>
  <si>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</si>
  <si>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</si>
  <si>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</si>
  <si>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</si>
  <si>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</si>
  <si>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</si>
  <si>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</si>
  <si>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</si>
  <si>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</si>
  <si>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</si>
  <si>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</si>
  <si>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</si>
  <si>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</si>
  <si>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</si>
  <si>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</si>
  <si>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</si>
  <si>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</si>
  <si>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</si>
  <si>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</si>
  <si>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</si>
  <si>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</si>
  <si>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</si>
  <si>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</si>
  <si>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</si>
  <si>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</si>
  <si>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</si>
  <si>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</si>
  <si>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</si>
  <si>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</si>
  <si>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</si>
  <si>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</si>
  <si>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</si>
  <si>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</si>
  <si>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</si>
  <si>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</si>
  <si>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</si>
  <si>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</si>
  <si>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</si>
  <si>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</si>
  <si>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</si>
  <si>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</si>
  <si>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</si>
  <si>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</si>
  <si>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</si>
  <si>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</si>
  <si>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</si>
  <si>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</si>
  <si>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</si>
  <si>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</si>
  <si>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</si>
  <si>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</si>
  <si>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</si>
  <si>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</si>
  <si>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</si>
  <si>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</si>
  <si>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</si>
  <si>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</si>
  <si>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</si>
  <si>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</si>
  <si>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</si>
  <si>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</si>
  <si>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</si>
  <si>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</si>
  <si>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</si>
  <si>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</si>
  <si>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</si>
  <si>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</si>
  <si>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</si>
  <si>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</si>
  <si>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</si>
  <si>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</si>
  <si>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</si>
  <si>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</si>
  <si>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</si>
  <si>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</si>
  <si>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</si>
  <si>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</si>
  <si>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</si>
  <si>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</si>
  <si>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</si>
  <si>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</si>
  <si>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</si>
  <si>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</si>
  <si>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</si>
  <si>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</si>
  <si>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</si>
  <si>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</si>
  <si>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</si>
  <si>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</si>
  <si>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</si>
  <si>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</si>
  <si>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</si>
  <si>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</si>
  <si>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</si>
  <si>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</si>
  <si>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</si>
  <si>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</si>
  <si>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</si>
  <si>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</si>
  <si>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</si>
  <si>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</si>
  <si>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</si>
  <si>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</si>
  <si>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</si>
  <si>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</si>
  <si>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</si>
  <si>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</si>
  <si>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</si>
  <si>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</si>
  <si>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</si>
  <si>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</si>
  <si>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</si>
  <si>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</si>
  <si>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</si>
  <si>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</si>
  <si>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</si>
  <si>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</si>
  <si>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</si>
  <si>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</si>
  <si>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</si>
  <si>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</si>
  <si>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</si>
  <si>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</si>
  <si>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</si>
  <si>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</si>
  <si>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</si>
  <si>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</si>
  <si>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</si>
  <si>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</si>
  <si>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</si>
  <si>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</si>
  <si>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</si>
  <si>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</si>
  <si>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</si>
  <si>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</si>
  <si>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</si>
  <si>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</si>
  <si>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</si>
  <si>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</si>
  <si>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</si>
  <si>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</si>
  <si>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</si>
  <si>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</si>
  <si>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</si>
  <si>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</si>
  <si>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</si>
  <si>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</si>
  <si>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</si>
  <si>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</si>
  <si>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</si>
  <si>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</si>
  <si>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</si>
  <si>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</si>
  <si>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</si>
  <si>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</si>
  <si>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</si>
  <si>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</si>
  <si>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</si>
  <si>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</si>
  <si>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</si>
  <si>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</si>
  <si>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</si>
  <si>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</si>
  <si>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</si>
  <si>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</si>
  <si>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</si>
  <si>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</si>
  <si>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</si>
  <si>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</si>
  <si>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</si>
  <si>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</si>
  <si>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</si>
  <si>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</si>
  <si>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</si>
  <si>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</si>
  <si>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</si>
  <si>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</si>
  <si>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</si>
  <si>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</si>
  <si>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</si>
  <si>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</si>
  <si>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</si>
  <si>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</si>
  <si>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</si>
  <si>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</si>
  <si>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</si>
  <si>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</si>
  <si>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</si>
  <si>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</si>
  <si>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</si>
  <si>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</si>
  <si>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</si>
  <si>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</si>
  <si>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</si>
  <si>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</si>
  <si>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</si>
  <si>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</si>
  <si>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</si>
  <si>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</si>
  <si>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</si>
  <si>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</si>
  <si>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</si>
  <si>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</si>
  <si>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</si>
  <si>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</si>
  <si>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</si>
  <si>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</si>
  <si>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</si>
  <si>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</si>
  <si>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</si>
  <si>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</si>
  <si>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</si>
  <si>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</si>
  <si>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</si>
  <si>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</si>
  <si>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</si>
  <si>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</si>
  <si>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</si>
  <si>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</si>
  <si>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</si>
  <si>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</si>
  <si>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</si>
  <si>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</si>
  <si>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</si>
  <si>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</si>
  <si>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</si>
  <si>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</si>
  <si>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</si>
  <si>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</si>
  <si>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</si>
  <si>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</si>
  <si>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</si>
  <si>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</si>
  <si>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</si>
  <si>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</si>
  <si>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</si>
  <si>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</si>
  <si>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</si>
  <si>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</si>
  <si>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</si>
  <si>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</si>
  <si>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</si>
  <si>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</si>
  <si>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</si>
  <si>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</si>
  <si>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</si>
  <si>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</si>
  <si>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</si>
  <si>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</si>
  <si>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</si>
  <si>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</si>
  <si>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</si>
  <si>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</si>
  <si>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</si>
  <si>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</si>
  <si>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</si>
  <si>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</si>
  <si>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</si>
  <si>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</si>
  <si>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</si>
  <si>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</si>
  <si>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</si>
  <si>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</si>
  <si>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</si>
  <si>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</si>
  <si>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</si>
  <si>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</si>
  <si>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</si>
  <si>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</si>
  <si>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</si>
  <si>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</si>
  <si>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</si>
  <si>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</si>
  <si>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</si>
  <si>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</si>
  <si>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</si>
  <si>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</si>
  <si>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</si>
  <si>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</si>
  <si>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</si>
  <si>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</si>
  <si>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</si>
  <si>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</si>
  <si>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</si>
  <si>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</si>
  <si>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</si>
  <si>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</si>
  <si>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</si>
  <si>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</si>
  <si>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</si>
  <si>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</si>
  <si>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</si>
  <si>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</si>
  <si>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</si>
  <si>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</si>
  <si>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</si>
  <si>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</si>
  <si>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</si>
  <si>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</si>
  <si>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</si>
  <si>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</si>
  <si>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</si>
  <si>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</si>
  <si>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</si>
  <si>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</si>
  <si>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</si>
  <si>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</si>
  <si>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</si>
  <si>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</si>
  <si>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</si>
  <si>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</si>
  <si>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</si>
  <si>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</si>
  <si>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</si>
  <si>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</si>
  <si>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</si>
  <si>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</si>
  <si>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</si>
  <si>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</si>
  <si>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</si>
  <si>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</si>
  <si>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</si>
  <si>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</si>
  <si>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</si>
  <si>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</si>
  <si>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</si>
  <si>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</si>
  <si>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</si>
  <si>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</si>
  <si>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</si>
  <si>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</si>
  <si>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</si>
  <si>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</si>
  <si>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</si>
  <si>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</si>
  <si>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</si>
  <si>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</si>
  <si>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</si>
  <si>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</si>
  <si>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</si>
  <si>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</si>
  <si>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</si>
  <si>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</si>
  <si>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</si>
  <si>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</si>
  <si>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</si>
  <si>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</si>
  <si>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</si>
  <si>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</si>
  <si>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</si>
  <si>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</si>
  <si>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</si>
  <si>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</si>
  <si>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</si>
  <si>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</si>
  <si>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</si>
  <si>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</si>
  <si>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</si>
  <si>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</si>
  <si>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</si>
  <si>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</si>
  <si>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</si>
  <si>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</si>
  <si>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</si>
  <si>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</si>
  <si>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</si>
  <si>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</si>
  <si>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</si>
  <si>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</si>
  <si>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</si>
  <si>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</si>
  <si>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</si>
  <si>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</si>
  <si>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</si>
  <si>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</si>
  <si>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</si>
  <si>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</si>
  <si>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</si>
  <si>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</si>
  <si>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</si>
  <si>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</si>
  <si>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</si>
  <si>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</si>
  <si>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</si>
  <si>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</si>
  <si>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</si>
  <si>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</si>
  <si>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</si>
  <si>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</si>
  <si>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</si>
  <si>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</si>
  <si>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</si>
  <si>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</si>
  <si>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</si>
  <si>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</si>
  <si>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</si>
  <si>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</si>
  <si>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</si>
  <si>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</si>
  <si>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</si>
  <si>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</si>
  <si>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</si>
  <si>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</si>
  <si>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</si>
  <si>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</si>
  <si>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</si>
  <si>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</si>
  <si>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</si>
  <si>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</si>
  <si>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</si>
  <si>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</si>
  <si>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</si>
  <si>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</si>
  <si>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</si>
  <si>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</si>
  <si>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</si>
  <si>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</si>
  <si>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</si>
  <si>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</si>
  <si>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</si>
  <si>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</si>
  <si>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</si>
  <si>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</si>
  <si>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</si>
  <si>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</si>
  <si>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</si>
  <si>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</si>
  <si>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</si>
  <si>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</si>
  <si>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</si>
  <si>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</si>
  <si>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</si>
  <si>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</si>
  <si>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</si>
  <si>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</si>
  <si>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</si>
  <si>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</si>
  <si>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</si>
  <si>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</si>
  <si>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</si>
  <si>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</si>
  <si>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</si>
  <si>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</si>
  <si>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</si>
  <si>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</si>
  <si>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</si>
  <si>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</si>
  <si>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</si>
  <si>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</si>
  <si>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</si>
  <si>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</si>
  <si>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</si>
  <si>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</si>
  <si>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</si>
  <si>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</si>
  <si>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</si>
  <si>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</si>
  <si>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</si>
  <si>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</si>
  <si>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</si>
  <si>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</si>
  <si>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</si>
  <si>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</si>
  <si>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</si>
  <si>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</si>
  <si>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</si>
  <si>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</si>
  <si>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</si>
  <si>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</si>
  <si>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</si>
  <si>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</si>
  <si>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</si>
  <si>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</si>
  <si>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</si>
  <si>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</si>
  <si>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</si>
  <si>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</si>
  <si>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</si>
  <si>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</si>
  <si>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</si>
  <si>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</si>
  <si>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</si>
  <si>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</si>
  <si>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</si>
  <si>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</si>
  <si>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</si>
  <si>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</si>
  <si>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</si>
  <si>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</si>
  <si>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</si>
  <si>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</si>
  <si>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</si>
  <si>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</si>
  <si>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</si>
  <si>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</si>
  <si>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</si>
  <si>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</si>
  <si>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</si>
  <si>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</si>
  <si>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</si>
  <si>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</si>
  <si>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</si>
  <si>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</si>
  <si>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</si>
  <si>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</si>
  <si>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</si>
  <si>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</si>
  <si>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</si>
  <si>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</si>
  <si>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</si>
  <si>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</si>
  <si>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</si>
  <si>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</si>
  <si>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</si>
  <si>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</si>
  <si>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</si>
  <si>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</si>
  <si>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</si>
  <si>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</si>
  <si>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</si>
  <si>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</si>
  <si>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</si>
  <si>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</si>
  <si>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</si>
  <si>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</si>
  <si>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</si>
  <si>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</si>
  <si>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</si>
  <si>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</si>
  <si>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</si>
  <si>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</si>
  <si>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</si>
  <si>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</si>
  <si>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</si>
  <si>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</si>
  <si>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</si>
  <si>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</si>
  <si>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</si>
  <si>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</si>
  <si>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</si>
  <si>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</si>
  <si>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</si>
  <si>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</si>
  <si>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</si>
  <si>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</si>
  <si>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</si>
  <si>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</si>
  <si>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</si>
  <si>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</si>
  <si>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</si>
  <si>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</si>
  <si>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</si>
  <si>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</si>
  <si>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</si>
  <si>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</si>
  <si>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</si>
  <si>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</si>
  <si>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</si>
  <si>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</si>
  <si>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</si>
  <si>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</si>
  <si>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</si>
  <si>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</si>
  <si>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</si>
  <si>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</si>
  <si>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</si>
  <si>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</si>
  <si>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</si>
  <si>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</si>
  <si>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</si>
  <si>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</si>
  <si>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</si>
  <si>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</si>
  <si>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</si>
  <si>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</si>
  <si>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</si>
  <si>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</si>
  <si>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</si>
  <si>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</si>
  <si>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</si>
  <si>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</si>
  <si>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</si>
  <si>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</si>
  <si>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</si>
  <si>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</si>
  <si>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</si>
  <si>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</si>
  <si>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</si>
  <si>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</si>
  <si>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</si>
  <si>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</si>
  <si>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</si>
  <si>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</si>
  <si>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</si>
  <si>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</si>
  <si>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</si>
  <si>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</si>
  <si>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</si>
  <si>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</si>
  <si>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</si>
  <si>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</si>
  <si>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</si>
  <si>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</si>
  <si>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</si>
  <si>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</si>
  <si>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</si>
  <si>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</si>
  <si>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</si>
  <si>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</si>
  <si>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</si>
  <si>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</si>
  <si>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</si>
  <si>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</si>
  <si>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</si>
  <si>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</si>
  <si>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</si>
  <si>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</si>
  <si>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</si>
  <si>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</si>
  <si>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</si>
  <si>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</si>
  <si>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</si>
  <si>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</si>
  <si>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</si>
  <si>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</si>
  <si>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</si>
  <si>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</si>
  <si>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</si>
  <si>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</si>
  <si>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</si>
  <si>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</si>
  <si>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</si>
  <si>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</si>
  <si>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</si>
  <si>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</si>
  <si>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</si>
  <si>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</si>
  <si>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</si>
  <si>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</si>
  <si>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</si>
  <si>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</si>
  <si>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</si>
  <si>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</si>
  <si>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</si>
  <si>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</si>
  <si>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</si>
  <si>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</si>
  <si>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</si>
  <si>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</si>
  <si>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</si>
  <si>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</si>
  <si>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</si>
  <si>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</si>
  <si>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</si>
  <si>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</si>
  <si>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</si>
  <si>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</si>
  <si>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</si>
  <si>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</si>
  <si>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</si>
  <si>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</si>
  <si>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</si>
  <si>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</si>
  <si>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</si>
  <si>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</si>
  <si>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</si>
  <si>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</si>
  <si>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</si>
  <si>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</si>
  <si>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</si>
  <si>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</si>
  <si>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</si>
  <si>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</si>
  <si>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</si>
  <si>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</si>
  <si>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</si>
  <si>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</si>
  <si>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</si>
  <si>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</si>
  <si>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</si>
  <si>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</si>
  <si>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</si>
  <si>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</si>
  <si>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</si>
  <si>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</si>
  <si>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</si>
  <si>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</si>
  <si>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</si>
  <si>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</si>
  <si>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</si>
  <si>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</si>
  <si>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</si>
  <si>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</si>
  <si>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</si>
  <si>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</si>
  <si>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</si>
  <si>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</si>
  <si>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</si>
  <si>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</si>
  <si>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</si>
  <si>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</si>
  <si>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</si>
  <si>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</si>
  <si>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</si>
  <si>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</si>
  <si>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</si>
  <si>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</si>
  <si>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</si>
  <si>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</si>
  <si>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</si>
  <si>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</si>
  <si>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</si>
  <si>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</si>
  <si>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</si>
  <si>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</si>
  <si>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</si>
  <si>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</si>
  <si>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</si>
  <si>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</si>
  <si>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</si>
  <si>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</si>
  <si>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</si>
  <si>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</si>
  <si>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</si>
  <si>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</si>
  <si>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</si>
  <si>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</si>
  <si>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</si>
  <si>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</si>
  <si>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</si>
  <si>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</si>
  <si>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</si>
  <si>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</si>
  <si>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</si>
  <si>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</si>
  <si>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</si>
  <si>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</si>
  <si>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</si>
  <si>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</si>
  <si>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</si>
  <si>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</si>
  <si>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</si>
  <si>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</si>
  <si>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</si>
  <si>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</si>
  <si>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</si>
  <si>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</si>
  <si>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</si>
  <si>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</si>
  <si>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</si>
  <si>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</si>
  <si>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</si>
  <si>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</si>
  <si>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</si>
  <si>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</si>
  <si>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</si>
  <si>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</si>
  <si>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</si>
  <si>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</si>
  <si>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</si>
  <si>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</si>
  <si>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</si>
  <si>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</si>
  <si>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</si>
  <si>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</si>
  <si>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</si>
  <si>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</si>
  <si>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</si>
  <si>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</si>
  <si>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</si>
  <si>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</si>
  <si>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</si>
  <si>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</si>
  <si>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</si>
  <si>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</si>
  <si>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</si>
  <si>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</si>
  <si>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</si>
  <si>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</si>
  <si>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</si>
  <si>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</si>
  <si>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</si>
  <si>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</si>
  <si>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</si>
  <si>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</si>
  <si>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</si>
  <si>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</si>
  <si>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</si>
  <si>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</si>
  <si>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</si>
  <si>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</si>
  <si>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</si>
  <si>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</si>
  <si>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</si>
  <si>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</si>
  <si>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</si>
  <si>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</si>
  <si>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</si>
  <si>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</si>
  <si>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</si>
  <si>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</si>
  <si>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</si>
  <si>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</si>
  <si>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</si>
  <si>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</si>
  <si>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</si>
  <si>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</si>
  <si>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</si>
  <si>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</si>
  <si>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</si>
  <si>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</si>
  <si>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</si>
  <si>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</si>
  <si>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</si>
  <si>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</si>
  <si>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</si>
  <si>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</si>
  <si>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</si>
  <si>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</si>
  <si>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</si>
  <si>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</si>
  <si>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</si>
  <si>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</si>
  <si>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</si>
  <si>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</si>
  <si>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</si>
  <si>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</si>
  <si>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</si>
  <si>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</si>
  <si>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</si>
  <si>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</si>
  <si>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</si>
  <si>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</si>
  <si>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</si>
  <si>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</si>
  <si>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</si>
  <si>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</si>
  <si>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</si>
  <si>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</si>
  <si>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</si>
  <si>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</si>
  <si>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</si>
  <si>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</si>
  <si>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</si>
  <si>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</si>
  <si>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</si>
  <si>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</si>
  <si>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</si>
  <si>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</si>
  <si>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</si>
  <si>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</si>
  <si>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</si>
  <si>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</si>
  <si>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</si>
  <si>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</si>
  <si>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</si>
  <si>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</si>
  <si>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</si>
  <si>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</si>
  <si>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</si>
  <si>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</si>
  <si>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</si>
  <si>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</si>
  <si>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</si>
  <si>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</si>
  <si>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</si>
  <si>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</si>
  <si>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</si>
  <si>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</si>
  <si>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</si>
  <si>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</si>
  <si>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</si>
  <si>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</si>
  <si>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</si>
  <si>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</si>
  <si>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</si>
  <si>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</si>
  <si>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</si>
  <si>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</si>
  <si>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</si>
  <si>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</si>
  <si>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</si>
  <si>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</si>
  <si>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</si>
  <si>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</si>
  <si>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</si>
  <si>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</si>
  <si>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</si>
  <si>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</si>
  <si>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</si>
  <si>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</si>
  <si>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</si>
  <si>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</si>
  <si>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</si>
  <si>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</si>
  <si>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</si>
  <si>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</si>
  <si>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</si>
  <si>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</si>
  <si>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</si>
  <si>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</si>
  <si>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</si>
  <si>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</si>
  <si>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</si>
  <si>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</si>
  <si>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</si>
  <si>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</si>
  <si>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</si>
  <si>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</si>
  <si>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</si>
  <si>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</si>
  <si>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</si>
  <si>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</si>
  <si>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</si>
  <si>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</si>
  <si>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</si>
  <si>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</si>
  <si>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</si>
  <si>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</si>
  <si>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</si>
  <si>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</si>
  <si>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</si>
  <si>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</si>
  <si>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</si>
  <si>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</si>
  <si>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</si>
  <si>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</si>
  <si>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</si>
  <si>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</si>
  <si>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</si>
  <si>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</si>
  <si>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</si>
  <si>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</si>
  <si>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</si>
  <si>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</si>
  <si>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</si>
  <si>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</si>
  <si>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</si>
  <si>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</si>
  <si>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</si>
  <si>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</si>
  <si>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</si>
  <si>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</si>
  <si>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</si>
  <si>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</si>
  <si>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</si>
  <si>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</si>
  <si>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</si>
  <si>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</si>
  <si>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</si>
  <si>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</si>
  <si>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</si>
  <si>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</si>
  <si>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</si>
  <si>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</si>
  <si>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</si>
  <si>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</si>
  <si>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</si>
  <si>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</si>
  <si>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</si>
  <si>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</si>
  <si>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</si>
  <si>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</si>
  <si>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</si>
  <si>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</si>
  <si>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</si>
  <si>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</si>
  <si>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</si>
  <si>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</si>
  <si>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</si>
  <si>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</si>
  <si>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</si>
  <si>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</si>
  <si>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</si>
  <si>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</si>
  <si>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</si>
  <si>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</si>
  <si>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</si>
  <si>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</si>
  <si>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</si>
  <si>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</si>
  <si>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</si>
  <si>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</si>
  <si>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</si>
  <si>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</si>
  <si>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</si>
  <si>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</si>
  <si>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</si>
  <si>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</si>
  <si>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</si>
  <si>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</si>
  <si>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</si>
  <si>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</si>
  <si>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</si>
  <si>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</si>
  <si>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</si>
  <si>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</si>
  <si>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</si>
  <si>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</si>
  <si>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</si>
  <si>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</si>
  <si>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</si>
  <si>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</si>
  <si>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</si>
  <si>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</si>
  <si>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</si>
  <si>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</si>
  <si>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</si>
  <si>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</si>
  <si>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</si>
  <si>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</si>
  <si>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</si>
  <si>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</si>
  <si>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</si>
  <si>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</si>
  <si>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</si>
  <si>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</si>
  <si>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</si>
  <si>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</si>
  <si>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</si>
  <si>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</si>
  <si>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</si>
  <si>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</si>
  <si>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</si>
  <si>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</si>
  <si>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</si>
  <si>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</si>
  <si>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</si>
  <si>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</si>
  <si>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</si>
  <si>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</si>
  <si>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</si>
  <si>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</si>
  <si>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</si>
  <si>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</si>
  <si>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</si>
  <si>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</si>
  <si>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</si>
  <si>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</si>
  <si>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</si>
  <si>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</si>
  <si>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</si>
  <si>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</si>
  <si>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</si>
  <si>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</si>
  <si>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</si>
  <si>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</si>
  <si>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</si>
  <si>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</si>
  <si>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</si>
  <si>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</si>
  <si>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</si>
  <si>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</si>
  <si>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</si>
  <si>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</si>
  <si>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</si>
  <si>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</si>
  <si>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</si>
  <si>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</si>
  <si>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</si>
  <si>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</si>
  <si>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</si>
  <si>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</si>
  <si>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</si>
  <si>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</si>
  <si>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</si>
  <si>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</si>
  <si>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</si>
  <si>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</si>
  <si>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</si>
  <si>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</si>
  <si>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</si>
  <si>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</si>
  <si>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</si>
  <si>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</si>
  <si>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</si>
  <si>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</si>
  <si>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</si>
  <si>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</si>
  <si>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</si>
  <si>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</si>
  <si>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</si>
  <si>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</si>
  <si>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</si>
  <si>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</si>
  <si>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</si>
  <si>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</si>
  <si>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</si>
  <si>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</si>
  <si>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</si>
  <si>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</si>
  <si>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</si>
  <si>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</si>
  <si>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</si>
  <si>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</si>
  <si>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</si>
  <si>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</si>
  <si>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</si>
  <si>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</si>
  <si>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</si>
  <si>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</si>
  <si>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</si>
  <si>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</si>
  <si>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</si>
  <si>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</si>
  <si>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</si>
  <si>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</si>
  <si>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</si>
  <si>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</si>
  <si>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</si>
  <si>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</si>
  <si>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</si>
  <si>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</si>
  <si>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</si>
  <si>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</si>
  <si>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</si>
  <si>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</si>
  <si>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</si>
  <si>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</si>
  <si>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</si>
  <si>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</si>
  <si>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</si>
  <si>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</si>
  <si>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</si>
  <si>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</si>
  <si>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</si>
  <si>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</si>
  <si>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</si>
  <si>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</si>
  <si>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</si>
  <si>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</si>
  <si>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</si>
  <si>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</si>
  <si>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</si>
  <si>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</si>
  <si>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</si>
  <si>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</si>
  <si>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</si>
  <si>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</si>
  <si>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</si>
  <si>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</si>
  <si>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</si>
  <si>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</si>
  <si>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</si>
  <si>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</si>
  <si>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</si>
  <si>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</si>
  <si>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</si>
  <si>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</si>
  <si>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</si>
  <si>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</si>
  <si>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</si>
  <si>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</si>
  <si>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</si>
  <si>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</si>
  <si>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</si>
  <si>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</si>
  <si>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</si>
  <si>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</si>
  <si>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</si>
  <si>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</si>
  <si>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</si>
  <si>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</si>
  <si>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</si>
  <si>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</si>
  <si>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</si>
  <si>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</si>
  <si>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</si>
  <si>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</si>
  <si>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</si>
  <si>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</si>
  <si>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</si>
  <si>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</si>
  <si>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</si>
  <si>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</si>
  <si>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</si>
  <si>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</si>
  <si>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</si>
  <si>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</si>
  <si>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</si>
  <si>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</si>
  <si>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</si>
  <si>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</si>
  <si>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</si>
  <si>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</si>
  <si>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</si>
  <si>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</si>
  <si>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</si>
  <si>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</si>
  <si>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</si>
  <si>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</si>
  <si>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</si>
  <si>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</si>
  <si>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</si>
  <si>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</si>
  <si>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</si>
  <si>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</si>
  <si>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</si>
  <si>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</si>
  <si>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</si>
  <si>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</si>
  <si>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</si>
  <si>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</si>
  <si>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</si>
  <si>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</si>
  <si>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</si>
  <si>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</si>
  <si>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</si>
  <si>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</si>
  <si>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</si>
  <si>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</si>
  <si>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</si>
  <si>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</si>
  <si>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</si>
  <si>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</si>
  <si>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</si>
  <si>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</si>
  <si>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</si>
  <si>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</si>
  <si>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</si>
  <si>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</si>
  <si>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</si>
  <si>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</si>
  <si>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</si>
  <si>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</si>
  <si>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</si>
  <si>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</si>
  <si>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</si>
  <si>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</si>
  <si>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</si>
  <si>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</si>
  <si>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</si>
  <si>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</si>
  <si>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</si>
  <si>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</si>
  <si>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</si>
  <si>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</si>
  <si>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</si>
  <si>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</si>
  <si>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</si>
  <si>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</si>
  <si>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</si>
  <si>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</si>
  <si>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</si>
  <si>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</si>
  <si>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</si>
  <si>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</si>
  <si>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</si>
  <si>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</si>
  <si>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</si>
  <si>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</si>
  <si>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</si>
  <si>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</si>
  <si>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</si>
  <si>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</si>
  <si>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</si>
  <si>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</si>
  <si>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</si>
  <si>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</si>
  <si>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</si>
  <si>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</si>
  <si>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</si>
  <si>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중요도
('26년 기준)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</si>
  <si>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</si>
  <si>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</si>
  <si>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</si>
  <si>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</si>
  <si>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</si>
  <si>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</si>
  <si>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</si>
  <si>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</si>
  <si>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</si>
  <si>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</si>
  <si>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</si>
  <si>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</si>
  <si>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</si>
  <si>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</si>
  <si>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</si>
  <si>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</si>
  <si>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</si>
  <si>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</si>
  <si>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</si>
  <si>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</si>
  <si>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</si>
  <si>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</si>
  <si>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</si>
  <si>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(비정규 근로자, 업무상 재해, 기타법령)</t>
    <phoneticPr fontId="3" type="noConversion"/>
  </si>
  <si>
    <t>*해고의 실체적 정당성
 -우선선재고용의무 위반에 따른 근로자 지위 인정 여부
*해고의 실체적 정당성
 -우선재고용의무 위반 시 손해배상의무의 발생 시점 및 배상액 산정 방식(중간수입공제)</t>
    <phoneticPr fontId="3" type="noConversion"/>
  </si>
  <si>
    <t>유니온 숍 조항의 성립 요건 및 소수 노조 조합원에 대한 효력 범위</t>
  </si>
  <si>
    <t>탈퇴 후 신규 노조 설립 준비 중인 근로자에 대한 해고의 부당노동행위 및 부당해고 해당 여부</t>
  </si>
  <si>
    <t>안전보호시설의 정의와 쟁의행위 제한 취지 및 중앙제어실 파업 동참 행위의 정당성 여부</t>
  </si>
  <si>
    <t>필수유지업무 제도의 적용 범위・절차 및 일반 사업장에서의 사용자 일방 지정 가능성</t>
  </si>
  <si>
    <t>정당한 쟁의행위 기간 중 가족수당 및 근속수당 지급 의무 여부(무노동 무임금 원칙 적용 범위)</t>
  </si>
  <si>
    <t>쟁의행위 및 징계(정직) 기간의 연차휴가 산정 시 출근지수 처리 방식</t>
  </si>
  <si>
    <t>쟁의행위의 정당성 결여 판단 및 민사상 손해배상 책임의 주체와 책임의 성질</t>
  </si>
  <si>
    <t>책임 제한의 개별화 원칙 적용 여부와 구체적인 판단 기준</t>
  </si>
  <si>
    <t>사업장 단위 효력확장 제도의 의의 및 취지, 생산직 비조합원에 대한 요건 충족 여부</t>
  </si>
  <si>
    <t>사무직 근로자에 대한 효력확장 여부 및 확장의 범위(채무적 부분 포함 여부)</t>
  </si>
  <si>
    <t>평화의무의 개념, 근거 및 명시적 조항 부재 시 인정 여부</t>
  </si>
  <si>
    <t>평화의무 위반 쟁의행위의 정당성 유무 및 법적 책임</t>
  </si>
  <si>
    <t>단체협약의 성립요건인 서면 작성 및 서명・날인의 법적 의미와 자필 서명의 효력</t>
  </si>
  <si>
    <t>조합원 인준투표 부결이 단체협약의 성립 및 효력 발생에 미치는 영향</t>
  </si>
  <si>
    <t>단체교섭 중 사용자의 구체적 대안 제시 거부 및 경영 자료 제공 거부의 부당노동행위 성립 여부</t>
  </si>
  <si>
    <t>교섭 권한 없는 자로의 위임 및 교섭 불참과 성실교섭의무 위반의 판단 기준</t>
  </si>
  <si>
    <t>사용자의 노조 전임자 급여 지급 및 운영비 원조 행위의 부당노동행위 성립 여부와 단체협약의 효력</t>
  </si>
  <si>
    <t>근로시간 면제 제도(Time-Off)의 한도 초과 약정의 효력 및 급여 지급의 법적 쟁점</t>
  </si>
  <si>
    <t>대의원회 의결 없이 총회에서 이루어진 단체협약안 의결의 정당성</t>
  </si>
  <si>
    <t>총회 의결 정족수 충족 여부 및 위원장 해임결의의 유효성</t>
  </si>
  <si>
    <t>유니언 숍 조항을 근거로 한 탈퇴 후 타 노조 가입자 해고의 정당성</t>
  </si>
  <si>
    <t>조합비 미납을 이유로 한 조합원 선거권 제한의 적법성</t>
  </si>
  <si>
    <t>사용자의 직장폐쇄 중 수임 상급단체의 단체교섭 요구를 계속적으로 거부한 행위의 부당노동행위 성립 여부</t>
  </si>
  <si>
    <t>대체인력 투입의 지배・개입 부당노동행위 성립 여부</t>
  </si>
  <si>
    <t>산별노동조합 지회의 단체교섭 주체성 인정 여부, 사업부 매각 결정(경영권)의 단체교섭 대상성 여부</t>
  </si>
  <si>
    <t>단체협약상 동의조항의 효력(노동조합의 동의권에 대한 범위), 경영권에 대한 단체교섭의 대상성</t>
  </si>
  <si>
    <t>단시간근로자의 초과근로 가산수당 지급 요건 및 근로자의 가산임금 청구권 인정 여부</t>
  </si>
  <si>
    <t>차별적 처우 금지 원칙과 상여금 미지급의 합리적 이유 없는 차별 해당 여부</t>
  </si>
  <si>
    <t>권고사직을 거부한 근로자에 대한 해고 방안</t>
  </si>
  <si>
    <t>기업 합병 시 특정 근로자에 대한 승계 거부 및 해고 통보의 법적 효력</t>
  </si>
  <si>
    <t>기업 합병 후 근로조건의 일방적 변경 및 취업규칙 적용의 법적 효력</t>
  </si>
  <si>
    <t>단체협약상 연차휴가 사전신청 요건의 유효성 및 반려 조치의 시기변경권 행사 적법성★</t>
  </si>
  <si>
    <t>연차휴가 반려 후 출근하지 않은 행위의 성격 및 이를 이유로 한 감봉 처분의 정당성★</t>
  </si>
  <si>
    <t>휴일근로 명령의 유효요건과 개별적 동의 여부 및 근로자의 출근 거부에 따른 징계 사유의 정당성</t>
  </si>
  <si>
    <t>휴일근로 가산수당 지급 원칙과 중복할증에 관한 판례의 태도 및 회사의 임금 미지급의 타당성</t>
  </si>
  <si>
    <t>근로기준법상 휴게시간의 의의와 자유이용의 원칙 및 장소적 제약이 가해진 휴게시간의 유효성</t>
  </si>
  <si>
    <t>휴게시간과 근로시간 구별 기준 및 근로자의 비상대기 상태에 대한 근로시간 포함 여부</t>
  </si>
  <si>
    <t>근로기준법상 근로시간의 개념 및 판단 기준과 운행 전 준비 시간의 근로시간 해당 여부</t>
  </si>
  <si>
    <t>운행 사이 대기시간의 법적 성격 판별 기준과 사안의 대기시간이 근로시간에 포함되는지 여부</t>
  </si>
  <si>
    <t>나머지 임금 및 퇴직금 채권의 변제 순위와 조세・공과금 및 일반 채권과의 관계</t>
  </si>
  <si>
    <t>매출처 파업 및 창고 부족으로 인한 휴업의 사용자 귀책사유 해당 여부</t>
  </si>
  <si>
    <t>노동위원회의 휴업수당 감액 승인이 취업규칙상 유리한 규정의 효력에 미치는 영향</t>
  </si>
  <si>
    <t>통상임금 고정성 징표의 배제 여부 및 재직조건부 정기상여금의 통상임금 인정 여부★</t>
  </si>
  <si>
    <t>일정 근무일수 충족 조건부 출근수당의 소정근로 대가성 관점에서의 통상임금 해당 여부★</t>
  </si>
  <si>
    <t>추석 상여금과 경영성과급의 임금성 및 평균임금 산입 여부</t>
  </si>
  <si>
    <t>특수 기간의 평균임금 산정방법과 연차유급휴가 미사용 수당의 산입 방식</t>
  </si>
  <si>
    <t>경업금지약정의 효력, 회사의 전직금지 청구 가능 여부</t>
  </si>
  <si>
    <t>기술적 영업비밀이 아닌 정보 유출에 대한 징계 및 손해배상 청구 가능 여부</t>
  </si>
  <si>
    <t>출근 중 제3자의 신호 위반 사고로 발생한 부상의 업무상 재해 인정 여부</t>
  </si>
  <si>
    <t>제3자 가해로 인한 출퇴근 재해 시 산재급여와 손해배상의 조정 및 구상 관계</t>
  </si>
  <si>
    <t>근로자의 만성 근로 및 단기 과로에 따른 뇌출혈의 업무상 질병 인정 여부</t>
  </si>
  <si>
    <t>근로자의 직장 내 괴롭힘으로 인한 우울증의 업무상 질병 인정 여부</t>
  </si>
  <si>
    <t>근로자의 오토바이 사고에 대한 출퇴근 재해 인정 여부 및 법적 근거</t>
  </si>
  <si>
    <t>근로자의 2차 회식 중 사고에 대한 업무상 재해 인정 여부</t>
  </si>
  <si>
    <t>동일 지배기업 산하 국내법인과 외국법인 한국영업소의 단일 사업장 인정 여부 및 해고 서면통지 적용 여부★</t>
  </si>
  <si>
    <t>국제근로관계에서 근로기준법상 상시 5인 이상 사업장 해당 여부 및 부당해고 구제신청의 적법성★</t>
  </si>
  <si>
    <t>단체협약과 취업규칙의 충돌 시 유리한 취업규칙의 우선 적용 여부</t>
  </si>
  <si>
    <t>단체협약과 개별 근로계약 충돌 시 단체협약에 의한 근로조건 저하 가능성</t>
  </si>
  <si>
    <t>영업양도 상황에서 회사 잔류를 희망한 근로자의 해고에 대한 정당성</t>
  </si>
  <si>
    <t>시용기간 만료 시 본채용 거부의 해고 여부 및 구두 통보의 정당성</t>
  </si>
  <si>
    <t>기간제 근로자와 회사가 주장할 수 있는 해고 관련 노동법상 쟁점(해고의 절차 및 구제신청의 이익)</t>
  </si>
  <si>
    <t>해외연수 후 의무근로기간 약정 위반 시 연수비용 반환의 적법성 및 퇴직금과 연수비용의 상계 가능성</t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</si>
  <si>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</si>
  <si>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</si>
  <si>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화학물질 누출 사고에 따른 근로자 및 노동조합 위원장의 작업중지권 행사의 정당성 여부</t>
    <phoneticPr fontId="3" type="noConversion"/>
  </si>
  <si>
    <t>기간제 근로자에 대한 근무평가 결과에 기초한 갱신거절 통보의 정당성 여부</t>
    <phoneticPr fontId="3" type="noConversion"/>
  </si>
  <si>
    <t>영업양도 상황에서 회사 잔류를 희망한 근로자의 해고에 대한 정당성</t>
    <phoneticPr fontId="3" type="noConversion"/>
  </si>
  <si>
    <t>부당해고 기간 중 중간수입공제의 범위와 최종 임금상당액 산정</t>
    <phoneticPr fontId="3" type="noConversion"/>
  </si>
  <si>
    <t>경영상 이유에 의한 해고 대상자 선정 기준에 대한 합리성 및 공정성</t>
    <phoneticPr fontId="3" type="noConversion"/>
  </si>
  <si>
    <t>절차의 흠결이 있는 징계의 효력에 대한 노조 대표자 주장의 타당성+</t>
    <phoneticPr fontId="3" type="noConversion"/>
  </si>
  <si>
    <t>근로계약관계의 실질적 사용자 및 계약의 형태(도급, 전적, 파견)에 따른 직접고용의무 판단</t>
    <phoneticPr fontId="3" type="noConversion"/>
  </si>
  <si>
    <t>근무성적 불량 저성과자 해고의 정당성 요건 및 해고처분의 타당성 여부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</si>
  <si>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</si>
  <si>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정기상여금의 고정성에 따른 통상임금 해당 여부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</si>
  <si>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</si>
  <si>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</si>
  <si>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정년 도달로 근로관계가 종료된 경우 부당해고 재심판정취소소송의 소의 이익 존부</t>
    <phoneticPr fontId="3" type="noConversion"/>
  </si>
  <si>
    <t>명목상 외주업체 소속 근로자의 실질적 사업주 판단 기준</t>
    <phoneticPr fontId="3" type="noConversion"/>
  </si>
  <si>
    <t>통행료 수납원의 근로자파견 여부 및 무허가 파견에 따른 직접고용의무</t>
    <phoneticPr fontId="3" type="noConversion"/>
  </si>
  <si>
    <t>산업재해보상보험법상 2차 회식의 업무상 재해 인정 여부</t>
    <phoneticPr fontId="3" type="noConversion"/>
  </si>
  <si>
    <t>경영상 이유에 의한 해고 대상자 선정 기준의 위법성</t>
    <phoneticPr fontId="3" type="noConversion"/>
  </si>
  <si>
    <t>중도 퇴사자 대상 사이닝보너스 반환 청구의 타당성</t>
    <phoneticPr fontId="3" type="noConversion"/>
  </si>
  <si>
    <t>임금채권 양수자의 청구에 대한 사용자의 지급 의무</t>
    <phoneticPr fontId="3" type="noConversion"/>
  </si>
  <si>
    <t>제조업체와 판매용역계약을 체결한 백화점 판매원의 근로기준법상 근로자 해당 여부</t>
    <phoneticPr fontId="3" type="noConversion"/>
  </si>
  <si>
    <t>판매용역계약을 체결한 판매원이 지급받은 수수료의 통상임금 해당 여부</t>
    <phoneticPr fontId="3" type="noConversion"/>
  </si>
  <si>
    <t>기간제 근로계약 만료 시 사용자의 갱신거절이 부당해고에 해당하는지에 관한 판례법리</t>
    <phoneticPr fontId="3" type="noConversion"/>
  </si>
  <si>
    <t>확정되지 않은 징계사유로 단행된 해고의 정당성</t>
    <phoneticPr fontId="3" type="noConversion"/>
  </si>
  <si>
    <t>계약직에서 정규직으로 전환된 근로자에 대한 경력 인정 차별의 정당성 여부</t>
    <phoneticPr fontId="3" type="noConversion"/>
  </si>
  <si>
    <t>적법한 파업 참가 근로자의 출근율 및 연차유급휴가 일수 산정 방식과 회사 주장의 정당성</t>
    <phoneticPr fontId="3" type="noConversion"/>
  </si>
  <si>
    <t>이력서 허위 기재를 근거로 한 해고의 정당성</t>
    <phoneticPr fontId="3" type="noConversion"/>
  </si>
  <si>
    <t>시용기간 만료 시 본채용 거부의 해고 여부 및 구두 통보의 정당성</t>
    <phoneticPr fontId="3" type="noConversion"/>
  </si>
  <si>
    <t>노동조합 동의 없이 개별 근로자의 동의로 변경한 인사규정의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</si>
  <si>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</si>
  <si>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회사분할에 따른 근로관계 승계 시 개별 근로자의 거부권 행사 가능 여부</t>
    <phoneticPr fontId="3" type="noConversion"/>
  </si>
  <si>
    <t>근무성적 불량 직원에 대한 직위해제・대기발령 처분의 정당성</t>
    <phoneticPr fontId="3" type="noConversion"/>
  </si>
  <si>
    <t>제06절 직위해제(대기발령)</t>
    <phoneticPr fontId="3" type="noConversion"/>
  </si>
  <si>
    <t>직위해제 및 대기발령 이후 재발령 없이 당연퇴직된 처분의 정당성</t>
    <phoneticPr fontId="3" type="noConversion"/>
  </si>
  <si>
    <t>근로자의 임금채권과 사용자의 채권 간 상계 가능성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</si>
  <si>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</si>
  <si>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</si>
  <si>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영업양도 상황에서 근로관계 승계 거부 시 회사와 근로자의 법률 관계</t>
    <phoneticPr fontId="3" type="noConversion"/>
  </si>
  <si>
    <t>통상임금 범위를 규정한 취업규칙 조항의 효력</t>
    <phoneticPr fontId="3" type="noConversion"/>
  </si>
  <si>
    <t>부당해고기간 중 지급받지 못한 개근 표창의 청구 가능성</t>
    <phoneticPr fontId="3" type="noConversion"/>
  </si>
  <si>
    <t>중간착취의 배제 원칙의 의의, 요건, 중요성</t>
    <phoneticPr fontId="3" type="noConversion"/>
  </si>
  <si>
    <t>포괄임금제의 의의, 유효요건, 유효성 판단 시 고려 사항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</si>
  <si>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</si>
  <si>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</si>
  <si>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전적명령의 법적 성격, 유효요건, 남용 판단 기준</t>
    <phoneticPr fontId="3" type="noConversion"/>
  </si>
  <si>
    <t>해고의 예고와 해고의 서면 통지에 대한 의의, 내용, 예외, 법적 효과</t>
    <phoneticPr fontId="3" type="noConversion"/>
  </si>
  <si>
    <t>근로기준법상 위약예정의 금지의 의의, 내용, 효력 및 법률관계</t>
    <phoneticPr fontId="3" type="noConversion"/>
  </si>
  <si>
    <t>고용보험법상 육아휴직 급여의 의의, 지급 요건, 지급 기간 및 금액, 특례 및 기타 사항</t>
    <phoneticPr fontId="3" type="noConversion"/>
  </si>
  <si>
    <t>경영상 이유에 의한 해고의 의의, 요건, 절차 및 구제, 재고용 의무</t>
    <phoneticPr fontId="3" type="noConversion"/>
  </si>
  <si>
    <t>근로기준법과 민법・산업재해보상보험법 간의 재해보상 관계</t>
    <phoneticPr fontId="3" type="noConversion"/>
  </si>
  <si>
    <t>근로기준법상 연장근로 제한의 원칙, 예외, 위반의 효과</t>
    <phoneticPr fontId="3" type="noConversion"/>
  </si>
  <si>
    <t>직군이 다른 노동조합(사무직과 생산직)의 교섭단위 분리 신청 인정 여부</t>
    <phoneticPr fontId="3" type="noConversion"/>
  </si>
  <si>
    <t>하위 인사고과 부여 및 이에 따른 임금 감액의 부당노동행위 구제신청기간 도과 여부+</t>
    <phoneticPr fontId="3" type="noConversion"/>
  </si>
  <si>
    <t>중재재정 조항의 교원노조법상 단체교섭 대상 여부</t>
    <phoneticPr fontId="3" type="noConversion"/>
  </si>
  <si>
    <t>자동차 대리점에 근무하는 판매원의 노동조합법상 근로자성 판단 기준</t>
    <phoneticPr fontId="3" type="noConversion"/>
  </si>
  <si>
    <t>카마스터들에 대한 용역계약 해지의 불이익 취급 부당노동행위 성립 여부 및 사유 정당성</t>
    <phoneticPr fontId="3" type="noConversion"/>
  </si>
  <si>
    <t>교섭대표노동조합의 공정대표의무 위반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</si>
  <si>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</si>
  <si>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노동조합 대표자가 규약 절차를 위반하여 체결한 단체협약의 법적 효력</t>
    <phoneticPr fontId="3" type="noConversion"/>
  </si>
  <si>
    <t>개별 동의 없는 불이익 단체협약의 규범적 효력과 기득이익의 관계</t>
    <phoneticPr fontId="3" type="noConversion"/>
  </si>
  <si>
    <t>원청 사업장에서 쟁의행위를 실시한 하청 노동조합에 대한 퇴거불응죄 성립 여부</t>
    <phoneticPr fontId="3" type="noConversion"/>
  </si>
  <si>
    <t>용역업체의 대체근로 저지행위에 대한 형사상 위법성 여부</t>
    <phoneticPr fontId="3" type="noConversion"/>
  </si>
  <si>
    <t>산업안전보건법 위반 증거수집 목적의 생산공장 출입이 정당한 조합활동에 해당하는지 여부</t>
    <phoneticPr fontId="3" type="noConversion"/>
  </si>
  <si>
    <t>설립신고를 하지 않은 초기업 노동조합 지부의 단체협약 체결 당사자 지위 인정 여부</t>
    <phoneticPr fontId="3" type="noConversion"/>
  </si>
  <si>
    <t>자동연장된 단체협약의 해지권 제한 약정의 효력 및 해지 통보의 유효성</t>
    <phoneticPr fontId="3" type="noConversion"/>
  </si>
  <si>
    <t>임금협약의 유효기간 중 재교섭을 요구하며 개시한 파업의 정당성 여부</t>
    <phoneticPr fontId="3" type="noConversion"/>
  </si>
  <si>
    <t>대체인력 투입이 대체근로 제한에 위배되어 위법한지 여부</t>
    <phoneticPr fontId="3" type="noConversion"/>
  </si>
  <si>
    <t>대체인력 투입의 지배・개입 부당노동행위 성립 여부</t>
    <phoneticPr fontId="3" type="noConversion"/>
  </si>
  <si>
    <t>소수노조 대상 노조사무실 미제공의 공정대표의무 위반 여부</t>
    <phoneticPr fontId="3" type="noConversion"/>
  </si>
  <si>
    <t>직장폐쇄를 단행하며 노조사무실 출입을 전면 금지한 행위의 정당성 여부</t>
    <phoneticPr fontId="3" type="noConversion"/>
  </si>
  <si>
    <t>초기업 노동조합 지회의 기업별 노동조합 조직형태 변경 결의의 유효성 여부</t>
    <phoneticPr fontId="3" type="noConversion"/>
  </si>
  <si>
    <t>부당노동행위의 주체로서 사용자 개념의 확장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</si>
  <si>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</si>
  <si>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</si>
  <si>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직장폐쇄 후 조합원들의 임원회의실 점거 지속 및 퇴거요구 불응에 따른 정당성 상실 여부</t>
    <phoneticPr fontId="3" type="noConversion"/>
  </si>
  <si>
    <t>관행적 연장근로에 대한 집단적 거부가 노조법상 쟁의행위에 해당하는지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</si>
  <si>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</si>
  <si>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근로시간면제한도를 현저히 초과하여 체결한 단체협약의 부당노동행위 성립 여부</t>
    <phoneticPr fontId="3" type="noConversion"/>
  </si>
  <si>
    <t>무효인 단체협약을 근거로 지급되던 노동조합 운영비 지급 중단의 정당성</t>
    <phoneticPr fontId="3" type="noConversion"/>
  </si>
  <si>
    <t>정리해고의 불이익 취급 부당노동행위 성립에 관한 입증책임의 소재 및 구체적인 입증방법</t>
    <phoneticPr fontId="3" type="noConversion"/>
  </si>
  <si>
    <t>비조합원에 대한 징계처분 시 단체협약상 재심절차 준수 필요 여부</t>
    <phoneticPr fontId="3" type="noConversion"/>
  </si>
  <si>
    <t>사내 무단 유인물 배포를 이유로 한 징계해고의 정당성 및 불이익취급 부당노동행위 성립 여부</t>
    <phoneticPr fontId="3" type="noConversion"/>
  </si>
  <si>
    <t>사용자의 정당한 직장폐쇄의 개념, 요건, 법적 효과</t>
    <phoneticPr fontId="3" type="noConversion"/>
  </si>
  <si>
    <t>특별단체협약상 정리해고에 대한 합의 조항을 협의로 변형 해석할 수 있는지 여부</t>
    <phoneticPr fontId="3" type="noConversion"/>
  </si>
  <si>
    <t>단체협약상 규정된 합의 없이 실시한 정리해고의 유효성</t>
    <phoneticPr fontId="3" type="noConversion"/>
  </si>
  <si>
    <t>사용자의 언론의 자유와 부당노동행위의 관계</t>
    <phoneticPr fontId="3" type="noConversion"/>
  </si>
  <si>
    <t>설립 미신고 지부노동조합의 쟁의행위에 대한 주체의 정당성</t>
    <phoneticPr fontId="3" type="noConversion"/>
  </si>
  <si>
    <t>설립 미신고 지부노동조합의 쟁의행위에 대한 목적의 정당성</t>
    <phoneticPr fontId="3" type="noConversion"/>
  </si>
  <si>
    <t>조합의 지지 정당 결정에 반하여 다른 정당을 지지한 조합원에 대한 제명처분의 효력</t>
    <phoneticPr fontId="3" type="noConversion"/>
  </si>
  <si>
    <t>특별노사합의를 통한 고정상여금 미지급 결정의 효력 및 조합원 개별 동의의 필요성 여부</t>
    <phoneticPr fontId="3" type="noConversion"/>
  </si>
  <si>
    <t>특별노사합의를 통한 무단결근 면직기준 단축의 효력 및 조합원에 대한 적용 정당성 여부</t>
    <phoneticPr fontId="3" type="noConversion"/>
  </si>
  <si>
    <t>노동조합법상 노동조합 참가가 금지되는 사용자 및 그 이익대표자의 범위와 판단 기준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</si>
  <si>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</si>
  <si>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준법투쟁의 개념과 법적 성격, 유형, 관련 판례법리, 효과 및 활용</t>
    <phoneticPr fontId="3" type="noConversion"/>
  </si>
  <si>
    <t>단체협약 만료 후 법정연장기간 내에 노동조합과의 사전합의 없이 행해진 해고의 효력</t>
    <phoneticPr fontId="3" type="noConversion"/>
  </si>
  <si>
    <t>노동조합 쟁의행위의 절차적 정당성의 요건, 절차 위반 시 효력</t>
    <phoneticPr fontId="3" type="noConversion"/>
  </si>
  <si>
    <t>도급 또는 파견 계약 관계에서 노조법상 사용자로서 단체교섭 의무 부담 여부</t>
    <phoneticPr fontId="3" type="noConversion"/>
  </si>
  <si>
    <t>직장점거 중 단행된 사용자의 직장폐쇄에 따른 법률적 효과</t>
    <phoneticPr fontId="3" type="noConversion"/>
  </si>
  <si>
    <t>노동조합 가입 자격의 기본 원칙, 제한의 허용 범위, 한계 및 위반 시 효과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</si>
  <si>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</si>
  <si>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쟁의행위 기간 중 사용자의 채용 제한의 원칙, 필수공익사업의 특례, 위반 시 쟁점</t>
    <phoneticPr fontId="3" type="noConversion"/>
  </si>
  <si>
    <t>노동위원회의 관할(사건 관할, 지역 관할)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</si>
</sst>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9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1234</v>
      </c>
    </row>
    <row r="8" spans="2:3" ht="14.45" customHeight="1" x14ac:dyDescent="0.2">
      <c r="B8" s="5" t="s">
        <v>1651</v>
      </c>
    </row>
    <row r="9" spans="2:3" ht="14.45" customHeight="1" x14ac:dyDescent="0.2">
      <c r="B9" s="5" t="s">
        <v>1257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1352</v>
      </c>
    </row>
    <row r="14" spans="2:3" ht="14.45" customHeight="1" x14ac:dyDescent="0.2">
      <c r="B14" s="5" t="s">
        <v>1353</v>
      </c>
    </row>
    <row r="15" spans="2:3" ht="14.45" customHeight="1" x14ac:dyDescent="0.2">
      <c r="B15" s="5" t="s">
        <v>1354</v>
      </c>
    </row>
    <row r="16" spans="2:3" ht="14.45" customHeight="1" x14ac:dyDescent="0.2">
      <c r="B16" s="5" t="s">
        <v>1355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10"/>
  <sheetViews>
    <sheetView showGridLines="0" zoomScaleNormal="100" workbookViewId="0">
      <pane ySplit="3" topLeftCell="A268" activePane="bottomLeft" state="frozen"/>
      <selection pane="bottomLeft" activeCell="E299" sqref="E299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381" t="s">
        <v>3</v>
      </c>
      <c r="C2" s="382"/>
      <c r="D2" s="383" t="s">
        <v>57</v>
      </c>
      <c r="E2" s="384"/>
      <c r="F2" s="384"/>
      <c r="G2" s="384"/>
      <c r="H2" s="385"/>
      <c r="I2" s="384" t="s">
        <v>373</v>
      </c>
      <c r="J2" s="385"/>
      <c r="K2" s="10" t="s">
        <v>394</v>
      </c>
      <c r="L2" s="10" t="s">
        <v>409</v>
      </c>
      <c r="M2" s="383" t="s">
        <v>1383</v>
      </c>
      <c r="N2" s="385"/>
      <c r="O2" s="10" t="s">
        <v>1617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1230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1759</v>
      </c>
      <c r="R3" s="7" t="s">
        <v>1760</v>
      </c>
      <c r="S3" s="7" t="s">
        <v>1761</v>
      </c>
      <c r="T3" s="7" t="s">
        <v>1798</v>
      </c>
    </row>
    <row r="4" spans="2:20" ht="14.45" customHeight="1" x14ac:dyDescent="0.2">
      <c r="B4" s="19" t="s">
        <v>1478</v>
      </c>
      <c r="C4" s="20" t="s">
        <v>1479</v>
      </c>
      <c r="D4" s="21" t="s">
        <v>128</v>
      </c>
      <c r="E4" s="22" t="s">
        <v>213</v>
      </c>
      <c r="F4" s="23" t="s">
        <v>31</v>
      </c>
      <c r="G4" s="23" t="s">
        <v>1638</v>
      </c>
      <c r="H4" s="24" t="s">
        <v>129</v>
      </c>
      <c r="I4" s="25" t="s">
        <v>930</v>
      </c>
      <c r="J4" s="26">
        <v>1495</v>
      </c>
      <c r="K4" s="27" t="s">
        <v>1385</v>
      </c>
      <c r="L4" s="297"/>
      <c r="M4" s="29"/>
      <c r="N4" s="30"/>
      <c r="O4" s="28" t="str">
        <f t="shared" ref="O4:O67" si="0">B4&amp;"-"&amp;C4&amp;"-"&amp;G4</f>
        <v>제01장 노동법 총론-제01절 노동법의 법원-01</v>
      </c>
      <c r="Q4" s="7" t="str">
        <f t="shared" ref="Q4:Q67" si="1">E4&amp;"-"&amp;F4</f>
        <v>노동법 총론-1</v>
      </c>
      <c r="R4" s="7" t="str">
        <f t="shared" ref="R4:R67" si="2">I4</f>
        <v>열기2-01.노동법\01.본문\제01장 노동법 총론.제01절 노동법의 법원.txt</v>
      </c>
      <c r="S4" s="7" t="str">
        <f t="shared" ref="S4:S67" si="3">K4</f>
        <v>B</v>
      </c>
      <c r="T4" s="7" t="str">
        <f>H4</f>
        <v>노동법의 법원</v>
      </c>
    </row>
    <row r="5" spans="2:20" ht="14.45" customHeight="1" x14ac:dyDescent="0.2">
      <c r="B5" s="31" t="s">
        <v>1478</v>
      </c>
      <c r="C5" s="32" t="s">
        <v>1424</v>
      </c>
      <c r="D5" s="33" t="s">
        <v>128</v>
      </c>
      <c r="E5" s="34" t="s">
        <v>213</v>
      </c>
      <c r="F5" s="35" t="s">
        <v>31</v>
      </c>
      <c r="G5" s="35" t="s">
        <v>1638</v>
      </c>
      <c r="H5" s="36" t="s">
        <v>25</v>
      </c>
      <c r="I5" s="6" t="s">
        <v>931</v>
      </c>
      <c r="J5" s="37">
        <v>1973</v>
      </c>
      <c r="K5" s="38" t="s">
        <v>1385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8" si="4">H5</f>
        <v>법원의 경합</v>
      </c>
    </row>
    <row r="6" spans="2:20" ht="14.45" customHeight="1" x14ac:dyDescent="0.2">
      <c r="B6" s="31" t="s">
        <v>1478</v>
      </c>
      <c r="C6" s="42" t="s">
        <v>1424</v>
      </c>
      <c r="D6" s="43" t="s">
        <v>1650</v>
      </c>
      <c r="E6" s="44" t="s">
        <v>1558</v>
      </c>
      <c r="F6" s="46" t="s">
        <v>31</v>
      </c>
      <c r="G6" s="45" t="s">
        <v>1639</v>
      </c>
      <c r="H6" s="47" t="s">
        <v>1362</v>
      </c>
      <c r="I6" s="48" t="s">
        <v>1652</v>
      </c>
      <c r="J6" s="49">
        <v>2226</v>
      </c>
      <c r="K6" s="50" t="s">
        <v>1385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1478</v>
      </c>
      <c r="C7" s="42" t="s">
        <v>1424</v>
      </c>
      <c r="D7" s="43" t="s">
        <v>1650</v>
      </c>
      <c r="E7" s="44" t="s">
        <v>1559</v>
      </c>
      <c r="F7" s="46" t="s">
        <v>31</v>
      </c>
      <c r="G7" s="45" t="s">
        <v>1640</v>
      </c>
      <c r="H7" s="47" t="s">
        <v>1361</v>
      </c>
      <c r="I7" s="48" t="s">
        <v>1653</v>
      </c>
      <c r="J7" s="49">
        <v>2921</v>
      </c>
      <c r="K7" s="50" t="s">
        <v>1385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1478</v>
      </c>
      <c r="C8" s="54" t="s">
        <v>1424</v>
      </c>
      <c r="D8" s="55" t="s">
        <v>308</v>
      </c>
      <c r="E8" s="56" t="s">
        <v>1505</v>
      </c>
      <c r="F8" s="58" t="s">
        <v>31</v>
      </c>
      <c r="G8" s="57" t="s">
        <v>1641</v>
      </c>
      <c r="H8" s="59" t="s">
        <v>334</v>
      </c>
      <c r="I8" s="60" t="s">
        <v>1263</v>
      </c>
      <c r="J8" s="61">
        <v>5182</v>
      </c>
      <c r="K8" s="62" t="s">
        <v>1385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1478</v>
      </c>
      <c r="C9" s="32" t="s">
        <v>1425</v>
      </c>
      <c r="D9" s="33" t="s">
        <v>128</v>
      </c>
      <c r="E9" s="66" t="s">
        <v>213</v>
      </c>
      <c r="F9" s="35" t="s">
        <v>31</v>
      </c>
      <c r="G9" s="67" t="s">
        <v>1638</v>
      </c>
      <c r="H9" s="36" t="s">
        <v>330</v>
      </c>
      <c r="I9" s="6" t="s">
        <v>1420</v>
      </c>
      <c r="J9" s="37">
        <v>2282</v>
      </c>
      <c r="K9" s="38" t="s">
        <v>1350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1478</v>
      </c>
      <c r="C10" s="42" t="s">
        <v>1425</v>
      </c>
      <c r="D10" s="43" t="s">
        <v>1650</v>
      </c>
      <c r="E10" s="44" t="s">
        <v>1584</v>
      </c>
      <c r="F10" s="46" t="s">
        <v>31</v>
      </c>
      <c r="G10" s="45" t="s">
        <v>1639</v>
      </c>
      <c r="H10" s="47" t="s">
        <v>1549</v>
      </c>
      <c r="I10" s="48" t="s">
        <v>1654</v>
      </c>
      <c r="J10" s="49">
        <v>2639</v>
      </c>
      <c r="K10" s="50" t="s">
        <v>1350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1478</v>
      </c>
      <c r="C11" s="42" t="s">
        <v>1425</v>
      </c>
      <c r="D11" s="43" t="s">
        <v>1650</v>
      </c>
      <c r="E11" s="44" t="s">
        <v>1560</v>
      </c>
      <c r="F11" s="46" t="s">
        <v>31</v>
      </c>
      <c r="G11" s="45" t="s">
        <v>1640</v>
      </c>
      <c r="H11" s="47" t="s">
        <v>1548</v>
      </c>
      <c r="I11" s="48" t="s">
        <v>1655</v>
      </c>
      <c r="J11" s="49">
        <v>6292</v>
      </c>
      <c r="K11" s="50" t="s">
        <v>1350</v>
      </c>
      <c r="L11" s="68" t="s">
        <v>1714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1478</v>
      </c>
      <c r="C12" s="54" t="s">
        <v>1425</v>
      </c>
      <c r="D12" s="55" t="s">
        <v>308</v>
      </c>
      <c r="E12" s="56" t="s">
        <v>1506</v>
      </c>
      <c r="F12" s="58" t="s">
        <v>31</v>
      </c>
      <c r="G12" s="57" t="s">
        <v>1641</v>
      </c>
      <c r="H12" s="59" t="s">
        <v>1547</v>
      </c>
      <c r="I12" s="60" t="s">
        <v>1264</v>
      </c>
      <c r="J12" s="61">
        <v>6089</v>
      </c>
      <c r="K12" s="62" t="s">
        <v>1351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1478</v>
      </c>
      <c r="C13" s="32" t="s">
        <v>1414</v>
      </c>
      <c r="D13" s="33" t="s">
        <v>21</v>
      </c>
      <c r="E13" s="69" t="s">
        <v>213</v>
      </c>
      <c r="F13" s="35" t="s">
        <v>31</v>
      </c>
      <c r="G13" s="35" t="s">
        <v>1638</v>
      </c>
      <c r="H13" s="36" t="s">
        <v>130</v>
      </c>
      <c r="I13" s="6" t="s">
        <v>932</v>
      </c>
      <c r="J13" s="37">
        <v>2677</v>
      </c>
      <c r="K13" s="38" t="s">
        <v>1385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1478</v>
      </c>
      <c r="C14" s="42" t="s">
        <v>1426</v>
      </c>
      <c r="D14" s="43" t="s">
        <v>1258</v>
      </c>
      <c r="E14" s="70" t="s">
        <v>1156</v>
      </c>
      <c r="F14" s="46" t="s">
        <v>31</v>
      </c>
      <c r="G14" s="46" t="s">
        <v>1639</v>
      </c>
      <c r="H14" s="47" t="s">
        <v>1308</v>
      </c>
      <c r="I14" s="48" t="s">
        <v>1309</v>
      </c>
      <c r="J14" s="49">
        <v>2406</v>
      </c>
      <c r="K14" s="50" t="s">
        <v>1385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1546</v>
      </c>
      <c r="C15" s="54" t="s">
        <v>1426</v>
      </c>
      <c r="D15" s="55" t="s">
        <v>332</v>
      </c>
      <c r="E15" s="71" t="s">
        <v>1507</v>
      </c>
      <c r="F15" s="58" t="s">
        <v>31</v>
      </c>
      <c r="G15" s="57" t="s">
        <v>1640</v>
      </c>
      <c r="H15" s="59" t="s">
        <v>333</v>
      </c>
      <c r="I15" s="60" t="s">
        <v>1265</v>
      </c>
      <c r="J15" s="61">
        <v>3097</v>
      </c>
      <c r="K15" s="62" t="s">
        <v>1385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1478</v>
      </c>
      <c r="C16" s="72" t="s">
        <v>1480</v>
      </c>
      <c r="D16" s="33" t="s">
        <v>128</v>
      </c>
      <c r="E16" s="69" t="s">
        <v>213</v>
      </c>
      <c r="F16" s="35" t="s">
        <v>28</v>
      </c>
      <c r="G16" s="35" t="s">
        <v>1638</v>
      </c>
      <c r="H16" s="36" t="s">
        <v>1025</v>
      </c>
      <c r="I16" s="6" t="s">
        <v>933</v>
      </c>
      <c r="J16" s="37">
        <v>2620</v>
      </c>
      <c r="K16" s="38" t="s">
        <v>1384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</row>
    <row r="17" spans="2:20" ht="14.45" customHeight="1" x14ac:dyDescent="0.2">
      <c r="B17" s="31" t="s">
        <v>1478</v>
      </c>
      <c r="C17" s="42" t="s">
        <v>1480</v>
      </c>
      <c r="D17" s="43" t="s">
        <v>1258</v>
      </c>
      <c r="E17" s="70" t="s">
        <v>1157</v>
      </c>
      <c r="F17" s="46" t="s">
        <v>28</v>
      </c>
      <c r="G17" s="46" t="s">
        <v>1639</v>
      </c>
      <c r="H17" s="47" t="s">
        <v>1019</v>
      </c>
      <c r="I17" s="48" t="s">
        <v>1020</v>
      </c>
      <c r="J17" s="49">
        <v>2591</v>
      </c>
      <c r="K17" s="50" t="s">
        <v>1384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</row>
    <row r="18" spans="2:20" ht="14.45" customHeight="1" x14ac:dyDescent="0.2">
      <c r="B18" s="31" t="s">
        <v>1478</v>
      </c>
      <c r="C18" s="42" t="s">
        <v>1480</v>
      </c>
      <c r="D18" s="43" t="s">
        <v>308</v>
      </c>
      <c r="E18" s="73" t="s">
        <v>1508</v>
      </c>
      <c r="F18" s="46" t="s">
        <v>28</v>
      </c>
      <c r="G18" s="45" t="s">
        <v>1640</v>
      </c>
      <c r="H18" s="47" t="s">
        <v>344</v>
      </c>
      <c r="I18" s="48" t="s">
        <v>1266</v>
      </c>
      <c r="J18" s="49">
        <v>2330</v>
      </c>
      <c r="K18" s="50" t="s">
        <v>1384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</row>
    <row r="19" spans="2:20" ht="14.45" customHeight="1" x14ac:dyDescent="0.2">
      <c r="B19" s="31" t="s">
        <v>1478</v>
      </c>
      <c r="C19" s="54" t="s">
        <v>1480</v>
      </c>
      <c r="D19" s="55" t="s">
        <v>308</v>
      </c>
      <c r="E19" s="71" t="s">
        <v>1509</v>
      </c>
      <c r="F19" s="58" t="s">
        <v>28</v>
      </c>
      <c r="G19" s="57" t="s">
        <v>1641</v>
      </c>
      <c r="H19" s="59" t="s">
        <v>1259</v>
      </c>
      <c r="I19" s="60" t="s">
        <v>1267</v>
      </c>
      <c r="J19" s="61">
        <v>3428</v>
      </c>
      <c r="K19" s="62" t="s">
        <v>1384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</row>
    <row r="20" spans="2:20" ht="14.45" customHeight="1" x14ac:dyDescent="0.2">
      <c r="B20" s="31" t="s">
        <v>1478</v>
      </c>
      <c r="C20" s="32" t="s">
        <v>1428</v>
      </c>
      <c r="D20" s="33" t="s">
        <v>128</v>
      </c>
      <c r="E20" s="69" t="s">
        <v>213</v>
      </c>
      <c r="F20" s="35" t="s">
        <v>31</v>
      </c>
      <c r="G20" s="35" t="s">
        <v>1638</v>
      </c>
      <c r="H20" s="36" t="s">
        <v>131</v>
      </c>
      <c r="I20" s="6" t="s">
        <v>934</v>
      </c>
      <c r="J20" s="37">
        <v>3288</v>
      </c>
      <c r="K20" s="38" t="s">
        <v>1385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</row>
    <row r="21" spans="2:20" ht="14.45" customHeight="1" x14ac:dyDescent="0.2">
      <c r="B21" s="31" t="s">
        <v>1478</v>
      </c>
      <c r="C21" s="42" t="s">
        <v>1428</v>
      </c>
      <c r="D21" s="43" t="s">
        <v>1258</v>
      </c>
      <c r="E21" s="70" t="s">
        <v>1158</v>
      </c>
      <c r="F21" s="46" t="s">
        <v>31</v>
      </c>
      <c r="G21" s="46" t="s">
        <v>1639</v>
      </c>
      <c r="H21" s="47" t="s">
        <v>1022</v>
      </c>
      <c r="I21" s="48" t="s">
        <v>1023</v>
      </c>
      <c r="J21" s="49">
        <v>2909</v>
      </c>
      <c r="K21" s="50" t="s">
        <v>1385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</row>
    <row r="22" spans="2:20" ht="14.45" customHeight="1" x14ac:dyDescent="0.2">
      <c r="B22" s="31" t="s">
        <v>1478</v>
      </c>
      <c r="C22" s="54" t="s">
        <v>1428</v>
      </c>
      <c r="D22" s="55" t="s">
        <v>308</v>
      </c>
      <c r="E22" s="71" t="s">
        <v>1510</v>
      </c>
      <c r="F22" s="58" t="s">
        <v>31</v>
      </c>
      <c r="G22" s="57" t="s">
        <v>1640</v>
      </c>
      <c r="H22" s="59" t="s">
        <v>331</v>
      </c>
      <c r="I22" s="60" t="s">
        <v>1268</v>
      </c>
      <c r="J22" s="61">
        <v>4150</v>
      </c>
      <c r="K22" s="62" t="s">
        <v>1385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</row>
    <row r="23" spans="2:20" ht="14.45" customHeight="1" x14ac:dyDescent="0.2">
      <c r="B23" s="31" t="s">
        <v>1478</v>
      </c>
      <c r="C23" s="32" t="s">
        <v>1481</v>
      </c>
      <c r="D23" s="33" t="s">
        <v>128</v>
      </c>
      <c r="E23" s="69" t="s">
        <v>213</v>
      </c>
      <c r="F23" s="35" t="s">
        <v>28</v>
      </c>
      <c r="G23" s="35" t="s">
        <v>1638</v>
      </c>
      <c r="H23" s="36" t="s">
        <v>1024</v>
      </c>
      <c r="I23" s="6" t="s">
        <v>935</v>
      </c>
      <c r="J23" s="37">
        <v>2050</v>
      </c>
      <c r="K23" s="38" t="s">
        <v>1385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</row>
    <row r="24" spans="2:20" ht="14.45" customHeight="1" thickBot="1" x14ac:dyDescent="0.25">
      <c r="B24" s="74" t="s">
        <v>1478</v>
      </c>
      <c r="C24" s="75" t="s">
        <v>1481</v>
      </c>
      <c r="D24" s="76" t="s">
        <v>1258</v>
      </c>
      <c r="E24" s="77" t="s">
        <v>1159</v>
      </c>
      <c r="F24" s="78" t="s">
        <v>28</v>
      </c>
      <c r="G24" s="78" t="s">
        <v>1639</v>
      </c>
      <c r="H24" s="79" t="s">
        <v>1620</v>
      </c>
      <c r="I24" s="80" t="s">
        <v>923</v>
      </c>
      <c r="J24" s="81">
        <v>1707</v>
      </c>
      <c r="K24" s="82" t="s">
        <v>1350</v>
      </c>
      <c r="L24" s="161" t="s">
        <v>1621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</row>
    <row r="25" spans="2:20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1638</v>
      </c>
      <c r="H25" s="90" t="s">
        <v>214</v>
      </c>
      <c r="I25" s="91" t="s">
        <v>936</v>
      </c>
      <c r="J25" s="92">
        <v>2852</v>
      </c>
      <c r="K25" s="93" t="s">
        <v>1385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</row>
    <row r="26" spans="2:20" ht="14.45" customHeight="1" x14ac:dyDescent="0.2">
      <c r="B26" s="31" t="s">
        <v>441</v>
      </c>
      <c r="C26" s="42" t="s">
        <v>461</v>
      </c>
      <c r="D26" s="43" t="s">
        <v>1258</v>
      </c>
      <c r="E26" s="70" t="s">
        <v>1160</v>
      </c>
      <c r="F26" s="46" t="s">
        <v>31</v>
      </c>
      <c r="G26" s="46" t="s">
        <v>1639</v>
      </c>
      <c r="H26" s="47" t="s">
        <v>1314</v>
      </c>
      <c r="I26" s="48" t="s">
        <v>1315</v>
      </c>
      <c r="J26" s="49">
        <v>1801</v>
      </c>
      <c r="K26" s="50" t="s">
        <v>1385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</row>
    <row r="27" spans="2:20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1511</v>
      </c>
      <c r="F27" s="58" t="s">
        <v>31</v>
      </c>
      <c r="G27" s="57" t="s">
        <v>1640</v>
      </c>
      <c r="H27" s="59" t="s">
        <v>1357</v>
      </c>
      <c r="I27" s="60" t="s">
        <v>1269</v>
      </c>
      <c r="J27" s="61">
        <v>7092</v>
      </c>
      <c r="K27" s="62" t="s">
        <v>1385</v>
      </c>
      <c r="L27" s="100" t="s">
        <v>1632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</row>
    <row r="28" spans="2:20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1638</v>
      </c>
      <c r="H28" s="36" t="s">
        <v>133</v>
      </c>
      <c r="I28" s="6" t="s">
        <v>937</v>
      </c>
      <c r="J28" s="37">
        <v>2955</v>
      </c>
      <c r="K28" s="38" t="s">
        <v>1385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</row>
    <row r="29" spans="2:20" ht="14.45" customHeight="1" x14ac:dyDescent="0.2">
      <c r="B29" s="31" t="s">
        <v>441</v>
      </c>
      <c r="C29" s="42" t="s">
        <v>442</v>
      </c>
      <c r="D29" s="43" t="s">
        <v>1258</v>
      </c>
      <c r="E29" s="70" t="s">
        <v>59</v>
      </c>
      <c r="F29" s="46" t="s">
        <v>31</v>
      </c>
      <c r="G29" s="46" t="s">
        <v>1639</v>
      </c>
      <c r="H29" s="47" t="s">
        <v>1316</v>
      </c>
      <c r="I29" s="48" t="s">
        <v>1317</v>
      </c>
      <c r="J29" s="49">
        <v>1671</v>
      </c>
      <c r="K29" s="50" t="s">
        <v>1385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</row>
    <row r="30" spans="2:20" ht="14.45" customHeight="1" x14ac:dyDescent="0.2">
      <c r="B30" s="31" t="s">
        <v>441</v>
      </c>
      <c r="C30" s="42" t="s">
        <v>442</v>
      </c>
      <c r="D30" s="43" t="s">
        <v>1258</v>
      </c>
      <c r="E30" s="70" t="s">
        <v>236</v>
      </c>
      <c r="F30" s="46" t="s">
        <v>31</v>
      </c>
      <c r="G30" s="46" t="s">
        <v>1640</v>
      </c>
      <c r="H30" s="47" t="s">
        <v>261</v>
      </c>
      <c r="I30" s="48" t="s">
        <v>924</v>
      </c>
      <c r="J30" s="49">
        <v>3523</v>
      </c>
      <c r="K30" s="50" t="s">
        <v>1385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</row>
    <row r="31" spans="2:20" ht="14.45" customHeight="1" x14ac:dyDescent="0.2">
      <c r="B31" s="31" t="s">
        <v>441</v>
      </c>
      <c r="C31" s="54" t="s">
        <v>442</v>
      </c>
      <c r="D31" s="55" t="s">
        <v>1258</v>
      </c>
      <c r="E31" s="97" t="s">
        <v>58</v>
      </c>
      <c r="F31" s="58" t="s">
        <v>31</v>
      </c>
      <c r="G31" s="58" t="s">
        <v>1641</v>
      </c>
      <c r="H31" s="59" t="s">
        <v>1073</v>
      </c>
      <c r="I31" s="60" t="s">
        <v>1074</v>
      </c>
      <c r="J31" s="61">
        <v>2404</v>
      </c>
      <c r="K31" s="62" t="s">
        <v>1385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</row>
    <row r="32" spans="2:20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1638</v>
      </c>
      <c r="H32" s="36" t="s">
        <v>134</v>
      </c>
      <c r="I32" s="6" t="s">
        <v>938</v>
      </c>
      <c r="J32" s="37">
        <v>2147</v>
      </c>
      <c r="K32" s="38" t="s">
        <v>1350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</row>
    <row r="33" spans="2:20" ht="14.45" customHeight="1" x14ac:dyDescent="0.2">
      <c r="B33" s="31" t="s">
        <v>441</v>
      </c>
      <c r="C33" s="42" t="s">
        <v>452</v>
      </c>
      <c r="D33" s="43" t="s">
        <v>1258</v>
      </c>
      <c r="E33" s="70" t="s">
        <v>1118</v>
      </c>
      <c r="F33" s="46" t="s">
        <v>31</v>
      </c>
      <c r="G33" s="46" t="s">
        <v>1639</v>
      </c>
      <c r="H33" s="47" t="s">
        <v>1075</v>
      </c>
      <c r="I33" s="48" t="s">
        <v>1076</v>
      </c>
      <c r="J33" s="49">
        <v>1523</v>
      </c>
      <c r="K33" s="50" t="s">
        <v>1350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</row>
    <row r="34" spans="2:20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1512</v>
      </c>
      <c r="F34" s="46" t="s">
        <v>31</v>
      </c>
      <c r="G34" s="45" t="s">
        <v>1640</v>
      </c>
      <c r="H34" s="47" t="s">
        <v>1356</v>
      </c>
      <c r="I34" s="48" t="s">
        <v>1270</v>
      </c>
      <c r="J34" s="49">
        <v>2434</v>
      </c>
      <c r="K34" s="50" t="s">
        <v>1350</v>
      </c>
      <c r="L34" s="68" t="s">
        <v>1237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</row>
    <row r="35" spans="2:20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1513</v>
      </c>
      <c r="F35" s="58" t="s">
        <v>31</v>
      </c>
      <c r="G35" s="57" t="s">
        <v>1641</v>
      </c>
      <c r="H35" s="59" t="s">
        <v>354</v>
      </c>
      <c r="I35" s="60" t="s">
        <v>1271</v>
      </c>
      <c r="J35" s="61">
        <v>1733</v>
      </c>
      <c r="K35" s="62" t="s">
        <v>1350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</row>
    <row r="36" spans="2:20" ht="14.45" customHeight="1" x14ac:dyDescent="0.2">
      <c r="B36" s="31" t="s">
        <v>441</v>
      </c>
      <c r="C36" s="32" t="s">
        <v>1430</v>
      </c>
      <c r="D36" s="33" t="s">
        <v>128</v>
      </c>
      <c r="E36" s="69" t="s">
        <v>132</v>
      </c>
      <c r="F36" s="35" t="s">
        <v>31</v>
      </c>
      <c r="G36" s="35" t="s">
        <v>1638</v>
      </c>
      <c r="H36" s="36" t="s">
        <v>135</v>
      </c>
      <c r="I36" s="6" t="s">
        <v>939</v>
      </c>
      <c r="J36" s="37">
        <v>3579</v>
      </c>
      <c r="K36" s="38" t="s">
        <v>1350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</row>
    <row r="37" spans="2:20" ht="14.45" customHeight="1" x14ac:dyDescent="0.2">
      <c r="B37" s="31" t="s">
        <v>441</v>
      </c>
      <c r="C37" s="42" t="s">
        <v>1430</v>
      </c>
      <c r="D37" s="43" t="s">
        <v>1650</v>
      </c>
      <c r="E37" s="70" t="s">
        <v>1561</v>
      </c>
      <c r="F37" s="46" t="s">
        <v>31</v>
      </c>
      <c r="G37" s="46" t="s">
        <v>1639</v>
      </c>
      <c r="H37" s="47" t="s">
        <v>1016</v>
      </c>
      <c r="I37" s="48" t="s">
        <v>1656</v>
      </c>
      <c r="J37" s="49">
        <v>1989</v>
      </c>
      <c r="K37" s="50" t="s">
        <v>1350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</row>
    <row r="38" spans="2:20" ht="14.45" customHeight="1" x14ac:dyDescent="0.2">
      <c r="B38" s="31" t="s">
        <v>441</v>
      </c>
      <c r="C38" s="42" t="s">
        <v>1430</v>
      </c>
      <c r="D38" s="43" t="s">
        <v>1650</v>
      </c>
      <c r="E38" s="70" t="s">
        <v>1562</v>
      </c>
      <c r="F38" s="46" t="s">
        <v>31</v>
      </c>
      <c r="G38" s="46" t="s">
        <v>1640</v>
      </c>
      <c r="H38" s="47" t="s">
        <v>117</v>
      </c>
      <c r="I38" s="48" t="s">
        <v>1657</v>
      </c>
      <c r="J38" s="49">
        <v>2015</v>
      </c>
      <c r="K38" s="50" t="s">
        <v>1350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</row>
    <row r="39" spans="2:20" ht="14.45" customHeight="1" x14ac:dyDescent="0.2">
      <c r="B39" s="31" t="s">
        <v>441</v>
      </c>
      <c r="C39" s="42" t="s">
        <v>1430</v>
      </c>
      <c r="D39" s="43" t="s">
        <v>1650</v>
      </c>
      <c r="E39" s="70" t="s">
        <v>1563</v>
      </c>
      <c r="F39" s="46" t="s">
        <v>31</v>
      </c>
      <c r="G39" s="46" t="s">
        <v>1641</v>
      </c>
      <c r="H39" s="47" t="s">
        <v>118</v>
      </c>
      <c r="I39" s="48" t="s">
        <v>1658</v>
      </c>
      <c r="J39" s="49">
        <v>2153</v>
      </c>
      <c r="K39" s="50" t="s">
        <v>1350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</row>
    <row r="40" spans="2:20" ht="14.45" customHeight="1" thickBot="1" x14ac:dyDescent="0.25">
      <c r="B40" s="74" t="s">
        <v>441</v>
      </c>
      <c r="C40" s="75" t="s">
        <v>1430</v>
      </c>
      <c r="D40" s="76" t="s">
        <v>308</v>
      </c>
      <c r="E40" s="98" t="s">
        <v>1514</v>
      </c>
      <c r="F40" s="78" t="s">
        <v>31</v>
      </c>
      <c r="G40" s="99" t="s">
        <v>1642</v>
      </c>
      <c r="H40" s="79" t="s">
        <v>350</v>
      </c>
      <c r="I40" s="80" t="s">
        <v>1272</v>
      </c>
      <c r="J40" s="81">
        <v>2950</v>
      </c>
      <c r="K40" s="82" t="s">
        <v>1350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</row>
    <row r="41" spans="2:20" ht="14.45" customHeight="1" x14ac:dyDescent="0.2">
      <c r="B41" s="19" t="s">
        <v>443</v>
      </c>
      <c r="C41" s="86" t="s">
        <v>1482</v>
      </c>
      <c r="D41" s="87" t="s">
        <v>128</v>
      </c>
      <c r="E41" s="88" t="s">
        <v>136</v>
      </c>
      <c r="F41" s="89" t="s">
        <v>31</v>
      </c>
      <c r="G41" s="89" t="s">
        <v>1638</v>
      </c>
      <c r="H41" s="90" t="s">
        <v>137</v>
      </c>
      <c r="I41" s="91" t="s">
        <v>940</v>
      </c>
      <c r="J41" s="92">
        <v>2449</v>
      </c>
      <c r="K41" s="93" t="s">
        <v>1385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</row>
    <row r="42" spans="2:20" ht="14.45" customHeight="1" x14ac:dyDescent="0.2">
      <c r="B42" s="31" t="s">
        <v>443</v>
      </c>
      <c r="C42" s="54" t="s">
        <v>1482</v>
      </c>
      <c r="D42" s="55" t="s">
        <v>308</v>
      </c>
      <c r="E42" s="71" t="s">
        <v>1515</v>
      </c>
      <c r="F42" s="58" t="s">
        <v>419</v>
      </c>
      <c r="G42" s="57" t="s">
        <v>1639</v>
      </c>
      <c r="H42" s="59" t="s">
        <v>1251</v>
      </c>
      <c r="I42" s="60" t="s">
        <v>1273</v>
      </c>
      <c r="J42" s="61">
        <v>2713</v>
      </c>
      <c r="K42" s="62" t="s">
        <v>1385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</row>
    <row r="43" spans="2:20" ht="14.45" customHeight="1" x14ac:dyDescent="0.2">
      <c r="B43" s="31" t="s">
        <v>443</v>
      </c>
      <c r="C43" s="32" t="s">
        <v>1431</v>
      </c>
      <c r="D43" s="33" t="s">
        <v>128</v>
      </c>
      <c r="E43" s="69" t="s">
        <v>136</v>
      </c>
      <c r="F43" s="35" t="s">
        <v>31</v>
      </c>
      <c r="G43" s="35" t="s">
        <v>1638</v>
      </c>
      <c r="H43" s="36" t="s">
        <v>138</v>
      </c>
      <c r="I43" s="6" t="s">
        <v>941</v>
      </c>
      <c r="J43" s="37">
        <v>2988</v>
      </c>
      <c r="K43" s="38" t="s">
        <v>1385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</row>
    <row r="44" spans="2:20" ht="14.45" customHeight="1" x14ac:dyDescent="0.2">
      <c r="B44" s="31" t="s">
        <v>443</v>
      </c>
      <c r="C44" s="42" t="s">
        <v>1431</v>
      </c>
      <c r="D44" s="43" t="s">
        <v>1650</v>
      </c>
      <c r="E44" s="70" t="s">
        <v>1564</v>
      </c>
      <c r="F44" s="46" t="s">
        <v>31</v>
      </c>
      <c r="G44" s="46" t="s">
        <v>1639</v>
      </c>
      <c r="H44" s="47" t="s">
        <v>1363</v>
      </c>
      <c r="I44" s="48" t="s">
        <v>1659</v>
      </c>
      <c r="J44" s="49">
        <v>2475</v>
      </c>
      <c r="K44" s="50" t="s">
        <v>1385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</row>
    <row r="45" spans="2:20" ht="14.45" customHeight="1" x14ac:dyDescent="0.2">
      <c r="B45" s="31" t="s">
        <v>443</v>
      </c>
      <c r="C45" s="54" t="s">
        <v>1431</v>
      </c>
      <c r="D45" s="55" t="s">
        <v>1650</v>
      </c>
      <c r="E45" s="97" t="s">
        <v>1565</v>
      </c>
      <c r="F45" s="58" t="s">
        <v>31</v>
      </c>
      <c r="G45" s="58" t="s">
        <v>1640</v>
      </c>
      <c r="H45" s="59" t="s">
        <v>96</v>
      </c>
      <c r="I45" s="60" t="s">
        <v>1660</v>
      </c>
      <c r="J45" s="61">
        <v>2320</v>
      </c>
      <c r="K45" s="62" t="s">
        <v>1385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</row>
    <row r="46" spans="2:20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1638</v>
      </c>
      <c r="H46" s="36" t="s">
        <v>139</v>
      </c>
      <c r="I46" s="6" t="s">
        <v>942</v>
      </c>
      <c r="J46" s="37">
        <v>4550</v>
      </c>
      <c r="K46" s="38" t="s">
        <v>1384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</row>
    <row r="47" spans="2:20" ht="14.45" customHeight="1" x14ac:dyDescent="0.2">
      <c r="B47" s="31" t="s">
        <v>443</v>
      </c>
      <c r="C47" s="42" t="s">
        <v>433</v>
      </c>
      <c r="D47" s="43" t="s">
        <v>1258</v>
      </c>
      <c r="E47" s="70" t="s">
        <v>62</v>
      </c>
      <c r="F47" s="46" t="s">
        <v>31</v>
      </c>
      <c r="G47" s="46" t="s">
        <v>1639</v>
      </c>
      <c r="H47" s="47" t="s">
        <v>29</v>
      </c>
      <c r="I47" s="48" t="s">
        <v>925</v>
      </c>
      <c r="J47" s="49">
        <v>2109</v>
      </c>
      <c r="K47" s="50" t="s">
        <v>1384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</row>
    <row r="48" spans="2:20" ht="14.45" customHeight="1" x14ac:dyDescent="0.2">
      <c r="B48" s="31" t="s">
        <v>443</v>
      </c>
      <c r="C48" s="42" t="s">
        <v>433</v>
      </c>
      <c r="D48" s="43" t="s">
        <v>1258</v>
      </c>
      <c r="E48" s="70" t="s">
        <v>63</v>
      </c>
      <c r="F48" s="46" t="s">
        <v>31</v>
      </c>
      <c r="G48" s="46" t="s">
        <v>1640</v>
      </c>
      <c r="H48" s="47" t="s">
        <v>1082</v>
      </c>
      <c r="I48" s="48" t="s">
        <v>1081</v>
      </c>
      <c r="J48" s="49">
        <v>4510</v>
      </c>
      <c r="K48" s="50" t="s">
        <v>1384</v>
      </c>
      <c r="L48" s="68" t="s">
        <v>1714</v>
      </c>
      <c r="M48" s="52"/>
      <c r="N48" s="53"/>
      <c r="O48" s="51" t="str">
        <f t="shared" si="0"/>
        <v>제03장 임금-제03절 통상임금-03</v>
      </c>
      <c r="Q48" s="7" t="str">
        <f t="shared" si="1"/>
        <v>2012-1-2-1</v>
      </c>
      <c r="R48" s="7" t="str">
        <f t="shared" si="2"/>
        <v>열기2-01.노동법\02.문제\[기출][1][2012-1-2]부당해고기간 중 지급받지 못한 개근 표창의 청구 가능성.txt</v>
      </c>
      <c r="S48" s="7" t="str">
        <f t="shared" si="3"/>
        <v>C</v>
      </c>
      <c r="T48" s="7" t="str">
        <f t="shared" si="4"/>
        <v>부당해고기간 중 지급받지 못한 개근 표창의 청구 가능성</v>
      </c>
    </row>
    <row r="49" spans="2:20" ht="14.45" customHeight="1" x14ac:dyDescent="0.2">
      <c r="B49" s="31" t="s">
        <v>443</v>
      </c>
      <c r="C49" s="42" t="s">
        <v>433</v>
      </c>
      <c r="D49" s="43" t="s">
        <v>1258</v>
      </c>
      <c r="E49" s="70" t="s">
        <v>1012</v>
      </c>
      <c r="F49" s="46" t="s">
        <v>31</v>
      </c>
      <c r="G49" s="46" t="s">
        <v>1641</v>
      </c>
      <c r="H49" s="47" t="s">
        <v>1079</v>
      </c>
      <c r="I49" s="48" t="s">
        <v>1080</v>
      </c>
      <c r="J49" s="49">
        <v>1907</v>
      </c>
      <c r="K49" s="50" t="s">
        <v>1385</v>
      </c>
      <c r="L49" s="68"/>
      <c r="M49" s="52"/>
      <c r="N49" s="53"/>
      <c r="O49" s="51" t="str">
        <f t="shared" si="0"/>
        <v>제03장 임금-제03절 통상임금-04</v>
      </c>
      <c r="Q49" s="7" t="str">
        <f t="shared" si="1"/>
        <v>2018-1-2-1</v>
      </c>
      <c r="R49" s="7" t="str">
        <f t="shared" si="2"/>
        <v>열기2-01.노동법\02.문제\[기출][1][2018-1-2]판매용역계약을 체결한 판매원이 지급받은 수수료의 통상임금 해당 여부.txt</v>
      </c>
      <c r="S49" s="7" t="str">
        <f t="shared" si="3"/>
        <v>B</v>
      </c>
      <c r="T49" s="7" t="str">
        <f t="shared" si="4"/>
        <v>판매용역계약을 체결한 판매원이 지급받은 수수료의 통상임금 해당 여부</v>
      </c>
    </row>
    <row r="50" spans="2:20" ht="14.45" customHeight="1" x14ac:dyDescent="0.2">
      <c r="B50" s="31" t="s">
        <v>443</v>
      </c>
      <c r="C50" s="42" t="s">
        <v>433</v>
      </c>
      <c r="D50" s="43" t="s">
        <v>1258</v>
      </c>
      <c r="E50" s="70" t="s">
        <v>1161</v>
      </c>
      <c r="F50" s="46" t="s">
        <v>31</v>
      </c>
      <c r="G50" s="46" t="s">
        <v>1642</v>
      </c>
      <c r="H50" s="47" t="s">
        <v>1077</v>
      </c>
      <c r="I50" s="48" t="s">
        <v>1078</v>
      </c>
      <c r="J50" s="49">
        <v>1934</v>
      </c>
      <c r="K50" s="50" t="s">
        <v>1384</v>
      </c>
      <c r="L50" s="68" t="s">
        <v>1715</v>
      </c>
      <c r="M50" s="52"/>
      <c r="N50" s="53"/>
      <c r="O50" s="51" t="str">
        <f t="shared" si="0"/>
        <v>제03장 임금-제03절 통상임금-05</v>
      </c>
      <c r="Q50" s="7" t="str">
        <f t="shared" si="1"/>
        <v>2022-2-1</v>
      </c>
      <c r="R50" s="7" t="str">
        <f t="shared" si="2"/>
        <v>열기2-01.노동법\02.문제\[기출][1][2022-2]정기상여금의 고정성에 따른 통상임금 해당 여부.txt</v>
      </c>
      <c r="S50" s="7" t="str">
        <f t="shared" si="3"/>
        <v>C</v>
      </c>
      <c r="T50" s="7" t="str">
        <f t="shared" si="4"/>
        <v>정기상여금의 고정성에 따른 통상임금 해당 여부</v>
      </c>
    </row>
    <row r="51" spans="2:20" ht="14.45" customHeight="1" x14ac:dyDescent="0.2">
      <c r="B51" s="31" t="s">
        <v>443</v>
      </c>
      <c r="C51" s="42" t="s">
        <v>433</v>
      </c>
      <c r="D51" s="43" t="s">
        <v>1650</v>
      </c>
      <c r="E51" s="70" t="s">
        <v>1566</v>
      </c>
      <c r="F51" s="46" t="s">
        <v>31</v>
      </c>
      <c r="G51" s="46" t="s">
        <v>1643</v>
      </c>
      <c r="H51" s="47" t="s">
        <v>1409</v>
      </c>
      <c r="I51" s="48" t="s">
        <v>1661</v>
      </c>
      <c r="J51" s="49">
        <v>1644</v>
      </c>
      <c r="K51" s="50" t="s">
        <v>1350</v>
      </c>
      <c r="L51" s="68"/>
      <c r="M51" s="52"/>
      <c r="N51" s="53">
        <v>46207</v>
      </c>
      <c r="O51" s="51" t="str">
        <f t="shared" si="0"/>
        <v>제03장 임금-제03절 통상임금-06</v>
      </c>
      <c r="Q51" s="7" t="str">
        <f t="shared" si="1"/>
        <v>3.03-1-1</v>
      </c>
      <c r="R51" s="7" t="str">
        <f t="shared" si="2"/>
        <v>열기2-01.노동법\02.문제\[모의][1][03.03-1]통상임금 고정성 징표의 배제 여부 및 재직조건부 정기상여금의 통상임금 인정 여부.txt</v>
      </c>
      <c r="S51" s="7" t="str">
        <f t="shared" si="3"/>
        <v>A</v>
      </c>
      <c r="T51" s="7" t="str">
        <f t="shared" si="4"/>
        <v>통상임금 고정성 징표의 배제 여부 및 재직조건부 정기상여금의 통상임금 인정 여부★</v>
      </c>
    </row>
    <row r="52" spans="2:20" ht="14.45" customHeight="1" x14ac:dyDescent="0.2">
      <c r="B52" s="31" t="s">
        <v>443</v>
      </c>
      <c r="C52" s="42" t="s">
        <v>433</v>
      </c>
      <c r="D52" s="43" t="s">
        <v>1650</v>
      </c>
      <c r="E52" s="70" t="s">
        <v>1567</v>
      </c>
      <c r="F52" s="46" t="s">
        <v>31</v>
      </c>
      <c r="G52" s="46" t="s">
        <v>1644</v>
      </c>
      <c r="H52" s="47" t="s">
        <v>1410</v>
      </c>
      <c r="I52" s="48" t="s">
        <v>1662</v>
      </c>
      <c r="J52" s="49">
        <v>1737</v>
      </c>
      <c r="K52" s="50" t="s">
        <v>1350</v>
      </c>
      <c r="L52" s="68"/>
      <c r="M52" s="52"/>
      <c r="N52" s="53">
        <v>46207</v>
      </c>
      <c r="O52" s="51" t="str">
        <f t="shared" si="0"/>
        <v>제03장 임금-제03절 통상임금-07</v>
      </c>
      <c r="Q52" s="7" t="str">
        <f t="shared" si="1"/>
        <v>3.03-2-1</v>
      </c>
      <c r="R52" s="7" t="str">
        <f t="shared" si="2"/>
        <v>열기2-01.노동법\02.문제\[모의][1][03.03-2]일정 근무일수 충족 조건부 출근수당의 소정근로 대가성 관점에서의 통상임금 해당 여부.txt</v>
      </c>
      <c r="S52" s="7" t="str">
        <f t="shared" si="3"/>
        <v>A</v>
      </c>
      <c r="T52" s="7" t="str">
        <f t="shared" si="4"/>
        <v>일정 근무일수 충족 조건부 출근수당의 소정근로 대가성 관점에서의 통상임금 해당 여부★</v>
      </c>
    </row>
    <row r="53" spans="2:20" ht="14.45" customHeight="1" x14ac:dyDescent="0.2">
      <c r="B53" s="31" t="s">
        <v>443</v>
      </c>
      <c r="C53" s="54" t="s">
        <v>433</v>
      </c>
      <c r="D53" s="55" t="s">
        <v>308</v>
      </c>
      <c r="E53" s="71" t="s">
        <v>1516</v>
      </c>
      <c r="F53" s="58" t="s">
        <v>31</v>
      </c>
      <c r="G53" s="57" t="s">
        <v>1645</v>
      </c>
      <c r="H53" s="59" t="s">
        <v>1407</v>
      </c>
      <c r="I53" s="60" t="s">
        <v>1274</v>
      </c>
      <c r="J53" s="61">
        <v>5116</v>
      </c>
      <c r="K53" s="62" t="s">
        <v>1351</v>
      </c>
      <c r="L53" s="100"/>
      <c r="M53" s="64"/>
      <c r="N53" s="65">
        <v>46207</v>
      </c>
      <c r="O53" s="63" t="str">
        <f t="shared" si="0"/>
        <v>제03장 임금-제03절 통상임금-08</v>
      </c>
      <c r="Q53" s="7" t="str">
        <f t="shared" si="1"/>
        <v>대법원 2024.12.19. 선고 2020다247190 전원합의체 판결-1</v>
      </c>
      <c r="R53" s="7" t="str">
        <f t="shared" si="2"/>
        <v>열기2-01.노동법\03.판례\[대법원 2024.12.19. 선고 2020다247190 전원합의체 판결]통상임금의 판단기준에 관한 판례 법리의 변경.txt</v>
      </c>
      <c r="S53" s="7" t="str">
        <f t="shared" si="3"/>
        <v>A</v>
      </c>
      <c r="T53" s="7" t="str">
        <f t="shared" si="4"/>
        <v>통상임금의 판단기준에 관한 판례 법리의 변경★</v>
      </c>
    </row>
    <row r="54" spans="2:20" ht="14.45" customHeight="1" x14ac:dyDescent="0.2">
      <c r="B54" s="31" t="s">
        <v>443</v>
      </c>
      <c r="C54" s="32" t="s">
        <v>444</v>
      </c>
      <c r="D54" s="33" t="s">
        <v>128</v>
      </c>
      <c r="E54" s="69" t="s">
        <v>136</v>
      </c>
      <c r="F54" s="35" t="s">
        <v>31</v>
      </c>
      <c r="G54" s="35" t="s">
        <v>1638</v>
      </c>
      <c r="H54" s="36" t="s">
        <v>140</v>
      </c>
      <c r="I54" s="6" t="s">
        <v>943</v>
      </c>
      <c r="J54" s="37">
        <v>2984</v>
      </c>
      <c r="K54" s="38" t="s">
        <v>1385</v>
      </c>
      <c r="L54" s="298" t="s">
        <v>1585</v>
      </c>
      <c r="M54" s="40"/>
      <c r="N54" s="41"/>
      <c r="O54" s="39" t="str">
        <f t="shared" si="0"/>
        <v>제03장 임금-제04절 임금지급의 원칙-01</v>
      </c>
      <c r="Q54" s="7" t="str">
        <f t="shared" si="1"/>
        <v>임금-1</v>
      </c>
      <c r="R54" s="7" t="str">
        <f t="shared" si="2"/>
        <v>열기2-01.노동법\01.본문\제03장 임금.제04절 임금지급의 원칙.txt</v>
      </c>
      <c r="S54" s="7" t="str">
        <f t="shared" si="3"/>
        <v>B</v>
      </c>
      <c r="T54" s="7" t="str">
        <f t="shared" si="4"/>
        <v>임금지급의 원칙</v>
      </c>
    </row>
    <row r="55" spans="2:20" ht="14.45" customHeight="1" x14ac:dyDescent="0.2">
      <c r="B55" s="31" t="s">
        <v>443</v>
      </c>
      <c r="C55" s="42" t="s">
        <v>444</v>
      </c>
      <c r="D55" s="43" t="s">
        <v>1635</v>
      </c>
      <c r="E55" s="70" t="s">
        <v>236</v>
      </c>
      <c r="F55" s="46" t="s">
        <v>31</v>
      </c>
      <c r="G55" s="46" t="s">
        <v>1639</v>
      </c>
      <c r="H55" s="47" t="s">
        <v>261</v>
      </c>
      <c r="I55" s="48" t="s">
        <v>924</v>
      </c>
      <c r="J55" s="49">
        <v>3523</v>
      </c>
      <c r="K55" s="50" t="s">
        <v>1385</v>
      </c>
      <c r="L55" s="68" t="s">
        <v>1552</v>
      </c>
      <c r="M55" s="52"/>
      <c r="N55" s="53"/>
      <c r="O55" s="51" t="str">
        <f t="shared" si="0"/>
        <v>제03장 임금-제04절 임금지급의 원칙-02</v>
      </c>
      <c r="Q55" s="7" t="str">
        <f t="shared" si="1"/>
        <v>2010-1-1</v>
      </c>
      <c r="R55" s="7" t="str">
        <f t="shared" si="2"/>
        <v>열기2-01.노동법\02.문제\[기출][1][2010-1]해외연수 후 의무근로기간 약정 위반 시 연수비용 반환의 적법성 및 퇴직금과 연수비용의 상계 가능성.txt</v>
      </c>
      <c r="S55" s="7" t="str">
        <f t="shared" si="3"/>
        <v>B</v>
      </c>
      <c r="T55" s="7" t="str">
        <f t="shared" si="4"/>
        <v>해외연수 후 의무근로기간 약정 위반 시 연수비용 반환의 적법성 및 퇴직금과 연수비용의 상계 가능성</v>
      </c>
    </row>
    <row r="56" spans="2:20" ht="14.45" customHeight="1" x14ac:dyDescent="0.2">
      <c r="B56" s="31" t="s">
        <v>443</v>
      </c>
      <c r="C56" s="42" t="s">
        <v>444</v>
      </c>
      <c r="D56" s="43" t="s">
        <v>1258</v>
      </c>
      <c r="E56" s="70" t="s">
        <v>1162</v>
      </c>
      <c r="F56" s="46" t="s">
        <v>31</v>
      </c>
      <c r="G56" s="46" t="s">
        <v>1640</v>
      </c>
      <c r="H56" s="47" t="s">
        <v>1085</v>
      </c>
      <c r="I56" s="48" t="s">
        <v>1086</v>
      </c>
      <c r="J56" s="49">
        <v>1367</v>
      </c>
      <c r="K56" s="50" t="s">
        <v>1385</v>
      </c>
      <c r="L56" s="68"/>
      <c r="M56" s="52"/>
      <c r="N56" s="53">
        <v>46207</v>
      </c>
      <c r="O56" s="51" t="str">
        <f t="shared" si="0"/>
        <v>제03장 임금-제04절 임금지급의 원칙-03</v>
      </c>
      <c r="Q56" s="7" t="str">
        <f t="shared" si="1"/>
        <v>2014-2-1</v>
      </c>
      <c r="R56" s="7" t="str">
        <f t="shared" si="2"/>
        <v>열기2-01.노동법\02.문제\[기출][1][2014-2]근로자의 임금채권과 사용자의 채권 간 상계 가능성.txt</v>
      </c>
      <c r="S56" s="7" t="str">
        <f t="shared" si="3"/>
        <v>B</v>
      </c>
      <c r="T56" s="7" t="str">
        <f t="shared" si="4"/>
        <v>근로자의 임금채권과 사용자의 채권 간 상계 가능성</v>
      </c>
    </row>
    <row r="57" spans="2:20" ht="14.45" customHeight="1" x14ac:dyDescent="0.2">
      <c r="B57" s="31" t="s">
        <v>443</v>
      </c>
      <c r="C57" s="42" t="s">
        <v>444</v>
      </c>
      <c r="D57" s="43" t="s">
        <v>1258</v>
      </c>
      <c r="E57" s="70" t="s">
        <v>64</v>
      </c>
      <c r="F57" s="46" t="s">
        <v>31</v>
      </c>
      <c r="G57" s="46" t="s">
        <v>1641</v>
      </c>
      <c r="H57" s="47" t="s">
        <v>1083</v>
      </c>
      <c r="I57" s="48" t="s">
        <v>1084</v>
      </c>
      <c r="J57" s="49">
        <v>1503</v>
      </c>
      <c r="K57" s="50" t="s">
        <v>1385</v>
      </c>
      <c r="L57" s="68"/>
      <c r="M57" s="52"/>
      <c r="N57" s="53">
        <v>46207</v>
      </c>
      <c r="O57" s="51" t="str">
        <f t="shared" si="0"/>
        <v>제03장 임금-제04절 임금지급의 원칙-04</v>
      </c>
      <c r="Q57" s="7" t="str">
        <f t="shared" si="1"/>
        <v>2019-2-1</v>
      </c>
      <c r="R57" s="7" t="str">
        <f t="shared" si="2"/>
        <v>열기2-01.노동법\02.문제\[기출][1][2019-2]임금채권 양수자의 청구에 대한 사용자의 지급 의무.txt</v>
      </c>
      <c r="S57" s="7" t="str">
        <f t="shared" si="3"/>
        <v>B</v>
      </c>
      <c r="T57" s="7" t="str">
        <f t="shared" si="4"/>
        <v>임금채권 양수자의 청구에 대한 사용자의 지급 의무</v>
      </c>
    </row>
    <row r="58" spans="2:20" ht="14.45" customHeight="1" x14ac:dyDescent="0.2">
      <c r="B58" s="31" t="s">
        <v>443</v>
      </c>
      <c r="C58" s="54" t="s">
        <v>444</v>
      </c>
      <c r="D58" s="55" t="s">
        <v>308</v>
      </c>
      <c r="E58" s="71" t="s">
        <v>1517</v>
      </c>
      <c r="F58" s="58" t="s">
        <v>31</v>
      </c>
      <c r="G58" s="57" t="s">
        <v>1642</v>
      </c>
      <c r="H58" s="59" t="s">
        <v>347</v>
      </c>
      <c r="I58" s="60" t="s">
        <v>1275</v>
      </c>
      <c r="J58" s="61">
        <v>3650</v>
      </c>
      <c r="K58" s="62" t="s">
        <v>1385</v>
      </c>
      <c r="L58" s="100"/>
      <c r="M58" s="64"/>
      <c r="N58" s="65"/>
      <c r="O58" s="63" t="str">
        <f t="shared" si="0"/>
        <v>제03장 임금-제04절 임금지급의 원칙-05</v>
      </c>
      <c r="Q58" s="7" t="str">
        <f t="shared" si="1"/>
        <v>대법원 2025.06.12. 선고 2025다209645 판결-1</v>
      </c>
      <c r="R58" s="7" t="str">
        <f t="shared" si="2"/>
        <v>열기2-01.노동법\03.판례\[대법원 2025.06.12. 선고 2025다209645 판결]임금 대리수령 동의의 효력.txt</v>
      </c>
      <c r="S58" s="7" t="str">
        <f t="shared" si="3"/>
        <v>B</v>
      </c>
      <c r="T58" s="7" t="str">
        <f t="shared" si="4"/>
        <v>임금 대리수령 동의의 효력</v>
      </c>
    </row>
    <row r="59" spans="2:20" ht="14.45" customHeight="1" x14ac:dyDescent="0.2">
      <c r="B59" s="31" t="s">
        <v>443</v>
      </c>
      <c r="C59" s="32" t="s">
        <v>1432</v>
      </c>
      <c r="D59" s="33" t="s">
        <v>128</v>
      </c>
      <c r="E59" s="69" t="s">
        <v>136</v>
      </c>
      <c r="F59" s="35" t="s">
        <v>31</v>
      </c>
      <c r="G59" s="35" t="s">
        <v>1638</v>
      </c>
      <c r="H59" s="36" t="s">
        <v>141</v>
      </c>
      <c r="I59" s="6" t="s">
        <v>944</v>
      </c>
      <c r="J59" s="37">
        <v>2979</v>
      </c>
      <c r="K59" s="38" t="s">
        <v>1385</v>
      </c>
      <c r="L59" s="298"/>
      <c r="M59" s="40"/>
      <c r="N59" s="41"/>
      <c r="O59" s="39" t="str">
        <f t="shared" si="0"/>
        <v>제03장 임금-제05절 휴업수당-01</v>
      </c>
      <c r="Q59" s="7" t="str">
        <f t="shared" si="1"/>
        <v>임금-1</v>
      </c>
      <c r="R59" s="7" t="str">
        <f t="shared" si="2"/>
        <v>열기2-01.노동법\01.본문\제03장 임금.제05절 휴업수당.txt</v>
      </c>
      <c r="S59" s="7" t="str">
        <f t="shared" si="3"/>
        <v>B</v>
      </c>
      <c r="T59" s="7" t="str">
        <f t="shared" si="4"/>
        <v>휴업수당</v>
      </c>
    </row>
    <row r="60" spans="2:20" ht="14.45" customHeight="1" x14ac:dyDescent="0.2">
      <c r="B60" s="31" t="s">
        <v>443</v>
      </c>
      <c r="C60" s="42" t="s">
        <v>1432</v>
      </c>
      <c r="D60" s="43" t="s">
        <v>1650</v>
      </c>
      <c r="E60" s="70" t="s">
        <v>1568</v>
      </c>
      <c r="F60" s="46" t="s">
        <v>31</v>
      </c>
      <c r="G60" s="46" t="s">
        <v>1639</v>
      </c>
      <c r="H60" s="47" t="s">
        <v>1247</v>
      </c>
      <c r="I60" s="48" t="s">
        <v>1663</v>
      </c>
      <c r="J60" s="49">
        <v>1895</v>
      </c>
      <c r="K60" s="50" t="s">
        <v>1385</v>
      </c>
      <c r="L60" s="68"/>
      <c r="M60" s="52"/>
      <c r="N60" s="53"/>
      <c r="O60" s="51" t="str">
        <f t="shared" si="0"/>
        <v>제03장 임금-제05절 휴업수당-02</v>
      </c>
      <c r="Q60" s="7" t="str">
        <f t="shared" si="1"/>
        <v>3.05-1-1</v>
      </c>
      <c r="R60" s="7" t="str">
        <f t="shared" si="2"/>
        <v>열기2-01.노동법\02.문제\[모의][1][03.05-1]매출처 파업 및 창고 부족으로 인한 휴업의 사용자 귀책사유 해당 여부.txt</v>
      </c>
      <c r="S60" s="7" t="str">
        <f t="shared" si="3"/>
        <v>B</v>
      </c>
      <c r="T60" s="7" t="str">
        <f t="shared" si="4"/>
        <v>매출처 파업 및 창고 부족으로 인한 휴업의 사용자 귀책사유 해당 여부</v>
      </c>
    </row>
    <row r="61" spans="2:20" ht="14.45" customHeight="1" x14ac:dyDescent="0.2">
      <c r="B61" s="31" t="s">
        <v>443</v>
      </c>
      <c r="C61" s="54" t="s">
        <v>1432</v>
      </c>
      <c r="D61" s="55" t="s">
        <v>1650</v>
      </c>
      <c r="E61" s="97" t="s">
        <v>1569</v>
      </c>
      <c r="F61" s="58" t="s">
        <v>31</v>
      </c>
      <c r="G61" s="58" t="s">
        <v>1640</v>
      </c>
      <c r="H61" s="59" t="s">
        <v>283</v>
      </c>
      <c r="I61" s="60" t="s">
        <v>1664</v>
      </c>
      <c r="J61" s="61">
        <v>2154</v>
      </c>
      <c r="K61" s="62" t="s">
        <v>1385</v>
      </c>
      <c r="L61" s="100"/>
      <c r="M61" s="64"/>
      <c r="N61" s="65"/>
      <c r="O61" s="63" t="str">
        <f t="shared" si="0"/>
        <v>제03장 임금-제05절 휴업수당-03</v>
      </c>
      <c r="Q61" s="7" t="str">
        <f t="shared" si="1"/>
        <v>3.05-2-1</v>
      </c>
      <c r="R61" s="7" t="str">
        <f t="shared" si="2"/>
        <v>열기2-01.노동법\02.문제\[모의][1][03.05-2]노동위원회의 휴업수당 감액 승인이 취업규칙상 유리한 규정의 효력에 미치는 영향.txt</v>
      </c>
      <c r="S61" s="7" t="str">
        <f t="shared" si="3"/>
        <v>B</v>
      </c>
      <c r="T61" s="7" t="str">
        <f t="shared" si="4"/>
        <v>노동위원회의 휴업수당 감액 승인이 취업규칙상 유리한 규정의 효력에 미치는 영향</v>
      </c>
    </row>
    <row r="62" spans="2:20" ht="14.45" customHeight="1" x14ac:dyDescent="0.2">
      <c r="B62" s="31" t="s">
        <v>443</v>
      </c>
      <c r="C62" s="101" t="s">
        <v>475</v>
      </c>
      <c r="D62" s="33" t="s">
        <v>128</v>
      </c>
      <c r="E62" s="69" t="s">
        <v>136</v>
      </c>
      <c r="F62" s="35" t="s">
        <v>31</v>
      </c>
      <c r="G62" s="35" t="s">
        <v>1638</v>
      </c>
      <c r="H62" s="36" t="s">
        <v>142</v>
      </c>
      <c r="I62" s="6" t="s">
        <v>945</v>
      </c>
      <c r="J62" s="37">
        <v>2049</v>
      </c>
      <c r="K62" s="38" t="s">
        <v>1385</v>
      </c>
      <c r="L62" s="298"/>
      <c r="M62" s="40"/>
      <c r="N62" s="41"/>
      <c r="O62" s="39" t="str">
        <f t="shared" si="0"/>
        <v>제03장 임금-제06절 임금채권의 우선변제-01</v>
      </c>
      <c r="Q62" s="7" t="str">
        <f t="shared" si="1"/>
        <v>임금-1</v>
      </c>
      <c r="R62" s="7" t="str">
        <f t="shared" si="2"/>
        <v>열기2-01.노동법\01.본문\제03장 임금.제06절 임금채권의 우선변제.txt</v>
      </c>
      <c r="S62" s="7" t="str">
        <f t="shared" si="3"/>
        <v>B</v>
      </c>
      <c r="T62" s="7" t="str">
        <f t="shared" si="4"/>
        <v>임금채권의 우선변제</v>
      </c>
    </row>
    <row r="63" spans="2:20" ht="14.45" customHeight="1" x14ac:dyDescent="0.2">
      <c r="B63" s="31" t="s">
        <v>443</v>
      </c>
      <c r="C63" s="102" t="s">
        <v>475</v>
      </c>
      <c r="D63" s="43" t="s">
        <v>1650</v>
      </c>
      <c r="E63" s="70" t="s">
        <v>1570</v>
      </c>
      <c r="F63" s="46" t="s">
        <v>31</v>
      </c>
      <c r="G63" s="46" t="s">
        <v>1639</v>
      </c>
      <c r="H63" s="47" t="s">
        <v>1017</v>
      </c>
      <c r="I63" s="48" t="s">
        <v>1665</v>
      </c>
      <c r="J63" s="49">
        <v>2031</v>
      </c>
      <c r="K63" s="50" t="s">
        <v>1385</v>
      </c>
      <c r="L63" s="68"/>
      <c r="M63" s="52"/>
      <c r="N63" s="53"/>
      <c r="O63" s="51" t="str">
        <f t="shared" si="0"/>
        <v>제03장 임금-제06절 임금채권의 우선변제-02</v>
      </c>
      <c r="Q63" s="7" t="str">
        <f t="shared" si="1"/>
        <v>3.06-1-1</v>
      </c>
      <c r="R63" s="7" t="str">
        <f t="shared" si="2"/>
        <v>열기2-01.노동법\02.문제\[모의][1][03.06-1]최우선변제 임금채권의 범위와 근저당권 채권에 대한 우선권 및 구체적 변제액 산출.txt</v>
      </c>
      <c r="S63" s="7" t="str">
        <f t="shared" si="3"/>
        <v>B</v>
      </c>
      <c r="T63" s="7" t="str">
        <f t="shared" si="4"/>
        <v>최우선변제 임금채권의 범위와 근저당권 채권에 대한 우선권 및 구체적 변제액 산출</v>
      </c>
    </row>
    <row r="64" spans="2:20" ht="14.45" customHeight="1" thickBot="1" x14ac:dyDescent="0.25">
      <c r="B64" s="74" t="s">
        <v>443</v>
      </c>
      <c r="C64" s="103" t="s">
        <v>475</v>
      </c>
      <c r="D64" s="76" t="s">
        <v>1650</v>
      </c>
      <c r="E64" s="77" t="s">
        <v>1571</v>
      </c>
      <c r="F64" s="78" t="s">
        <v>31</v>
      </c>
      <c r="G64" s="78" t="s">
        <v>1640</v>
      </c>
      <c r="H64" s="79" t="s">
        <v>97</v>
      </c>
      <c r="I64" s="80" t="s">
        <v>1666</v>
      </c>
      <c r="J64" s="81">
        <v>2127</v>
      </c>
      <c r="K64" s="82" t="s">
        <v>1385</v>
      </c>
      <c r="L64" s="161"/>
      <c r="M64" s="84"/>
      <c r="N64" s="85"/>
      <c r="O64" s="83" t="str">
        <f t="shared" si="0"/>
        <v>제03장 임금-제06절 임금채권의 우선변제-03</v>
      </c>
      <c r="Q64" s="7" t="str">
        <f t="shared" si="1"/>
        <v>3.06-2-1</v>
      </c>
      <c r="R64" s="7" t="str">
        <f t="shared" si="2"/>
        <v>열기2-01.노동법\02.문제\[모의][1][03.06-2]나머지 임금 및 퇴직금 채권의 변제 순위와 조세・공과금 및 일반 채권과의 관계.txt</v>
      </c>
      <c r="S64" s="7" t="str">
        <f t="shared" si="3"/>
        <v>B</v>
      </c>
      <c r="T64" s="7" t="str">
        <f t="shared" si="4"/>
        <v>나머지 임금 및 퇴직금 채권의 변제 순위와 조세・공과금 및 일반 채권과의 관계</v>
      </c>
    </row>
    <row r="65" spans="2:20" ht="14.45" customHeight="1" x14ac:dyDescent="0.2">
      <c r="B65" s="19" t="s">
        <v>448</v>
      </c>
      <c r="C65" s="86" t="s">
        <v>1434</v>
      </c>
      <c r="D65" s="87" t="s">
        <v>128</v>
      </c>
      <c r="E65" s="88" t="s">
        <v>143</v>
      </c>
      <c r="F65" s="89" t="s">
        <v>31</v>
      </c>
      <c r="G65" s="89" t="s">
        <v>1638</v>
      </c>
      <c r="H65" s="90" t="s">
        <v>143</v>
      </c>
      <c r="I65" s="91" t="s">
        <v>946</v>
      </c>
      <c r="J65" s="92">
        <v>2459</v>
      </c>
      <c r="K65" s="93" t="s">
        <v>1385</v>
      </c>
      <c r="L65" s="299"/>
      <c r="M65" s="95"/>
      <c r="N65" s="96"/>
      <c r="O65" s="94" t="str">
        <f t="shared" si="0"/>
        <v>제04장 근로시간-제01절 근로시간-01</v>
      </c>
      <c r="Q65" s="7" t="str">
        <f t="shared" si="1"/>
        <v>근로시간-1</v>
      </c>
      <c r="R65" s="7" t="str">
        <f t="shared" si="2"/>
        <v>열기2-01.노동법\01.본문\제04장 근로시간.제01절 근로시간.txt</v>
      </c>
      <c r="S65" s="7" t="str">
        <f t="shared" si="3"/>
        <v>B</v>
      </c>
      <c r="T65" s="7" t="str">
        <f t="shared" si="4"/>
        <v>근로시간</v>
      </c>
    </row>
    <row r="66" spans="2:20" ht="14.45" customHeight="1" x14ac:dyDescent="0.2">
      <c r="B66" s="31" t="s">
        <v>448</v>
      </c>
      <c r="C66" s="42" t="s">
        <v>1434</v>
      </c>
      <c r="D66" s="43" t="s">
        <v>1650</v>
      </c>
      <c r="E66" s="70" t="s">
        <v>1572</v>
      </c>
      <c r="F66" s="46" t="s">
        <v>31</v>
      </c>
      <c r="G66" s="46" t="s">
        <v>1639</v>
      </c>
      <c r="H66" s="47" t="s">
        <v>1636</v>
      </c>
      <c r="I66" s="48" t="s">
        <v>1667</v>
      </c>
      <c r="J66" s="49">
        <v>2262</v>
      </c>
      <c r="K66" s="50" t="s">
        <v>1385</v>
      </c>
      <c r="L66" s="68"/>
      <c r="M66" s="52"/>
      <c r="N66" s="53"/>
      <c r="O66" s="51" t="str">
        <f t="shared" si="0"/>
        <v>제04장 근로시간-제01절 근로시간-02</v>
      </c>
      <c r="Q66" s="7" t="str">
        <f t="shared" si="1"/>
        <v>4.01-1-1</v>
      </c>
      <c r="R66" s="7" t="str">
        <f t="shared" si="2"/>
        <v>열기2-01.노동법\02.문제\[모의][1][04.01-1]근로기준법상 근로시간의 개념 및 판단 기준과 운행 전 준비 시간의 근로시간 해당 여부.txt</v>
      </c>
      <c r="S66" s="7" t="str">
        <f t="shared" si="3"/>
        <v>B</v>
      </c>
      <c r="T66" s="7" t="str">
        <f t="shared" si="4"/>
        <v>근로기준법상 근로시간의 개념 및 판단 기준과 운행 전 준비 시간의 근로시간 해당 여부</v>
      </c>
    </row>
    <row r="67" spans="2:20" ht="14.45" customHeight="1" x14ac:dyDescent="0.2">
      <c r="B67" s="31" t="s">
        <v>448</v>
      </c>
      <c r="C67" s="42" t="s">
        <v>1434</v>
      </c>
      <c r="D67" s="43" t="s">
        <v>1650</v>
      </c>
      <c r="E67" s="70" t="s">
        <v>1573</v>
      </c>
      <c r="F67" s="46" t="s">
        <v>31</v>
      </c>
      <c r="G67" s="46" t="s">
        <v>1640</v>
      </c>
      <c r="H67" s="47" t="s">
        <v>98</v>
      </c>
      <c r="I67" s="48" t="s">
        <v>1668</v>
      </c>
      <c r="J67" s="49">
        <v>2233</v>
      </c>
      <c r="K67" s="50" t="s">
        <v>1385</v>
      </c>
      <c r="L67" s="68"/>
      <c r="M67" s="52"/>
      <c r="N67" s="53"/>
      <c r="O67" s="51" t="str">
        <f t="shared" si="0"/>
        <v>제04장 근로시간-제01절 근로시간-03</v>
      </c>
      <c r="Q67" s="7" t="str">
        <f t="shared" si="1"/>
        <v>4.01-2-1</v>
      </c>
      <c r="R67" s="7" t="str">
        <f t="shared" si="2"/>
        <v>열기2-01.노동법\02.문제\[모의][1][04.01-2]운행 사이 대기시간의 법적 성격 판별 기준과 사안의 대기시간이 근로시간에 포함되는지 여부.txt</v>
      </c>
      <c r="S67" s="7" t="str">
        <f t="shared" si="3"/>
        <v>B</v>
      </c>
      <c r="T67" s="7" t="str">
        <f t="shared" si="4"/>
        <v>운행 사이 대기시간의 법적 성격 판별 기준과 사안의 대기시간이 근로시간에 포함되는지 여부</v>
      </c>
    </row>
    <row r="68" spans="2:20" ht="14.45" customHeight="1" x14ac:dyDescent="0.2">
      <c r="B68" s="31" t="s">
        <v>448</v>
      </c>
      <c r="C68" s="42" t="s">
        <v>1434</v>
      </c>
      <c r="D68" s="43" t="s">
        <v>308</v>
      </c>
      <c r="E68" s="73" t="s">
        <v>1518</v>
      </c>
      <c r="F68" s="46" t="s">
        <v>31</v>
      </c>
      <c r="G68" s="45" t="s">
        <v>1641</v>
      </c>
      <c r="H68" s="47" t="s">
        <v>307</v>
      </c>
      <c r="I68" s="48" t="s">
        <v>1276</v>
      </c>
      <c r="J68" s="49">
        <v>5008</v>
      </c>
      <c r="K68" s="50" t="s">
        <v>1385</v>
      </c>
      <c r="L68" s="68"/>
      <c r="M68" s="52"/>
      <c r="N68" s="53"/>
      <c r="O68" s="51" t="str">
        <f t="shared" ref="O68:O131" si="5">B68&amp;"-"&amp;C68&amp;"-"&amp;G68</f>
        <v>제04장 근로시간-제01절 근로시간-04</v>
      </c>
      <c r="Q68" s="7" t="str">
        <f t="shared" ref="Q68:Q131" si="6">E68&amp;"-"&amp;F68</f>
        <v>대법원 2024.11.14. 선고 2021다220062 판결-1</v>
      </c>
      <c r="R68" s="7" t="str">
        <f t="shared" ref="R68:R131" si="7">I68</f>
        <v>열기2-01.노동법\03.판례\[대법원 2024.11.14. 선고 2021다220062 판결]당직 및 콜 대기 시간의 근로시간 해당 여부.txt</v>
      </c>
      <c r="S68" s="7" t="str">
        <f t="shared" ref="S68:S131" si="8">K68</f>
        <v>B</v>
      </c>
      <c r="T68" s="7" t="str">
        <f t="shared" si="4"/>
        <v>당직 및 콜 대기 시간의 근로시간 해당 여부</v>
      </c>
    </row>
    <row r="69" spans="2:20" ht="14.45" customHeight="1" x14ac:dyDescent="0.2">
      <c r="B69" s="31" t="s">
        <v>448</v>
      </c>
      <c r="C69" s="42" t="s">
        <v>1434</v>
      </c>
      <c r="D69" s="43" t="s">
        <v>308</v>
      </c>
      <c r="E69" s="73" t="s">
        <v>1520</v>
      </c>
      <c r="F69" s="46" t="s">
        <v>31</v>
      </c>
      <c r="G69" s="45" t="s">
        <v>1642</v>
      </c>
      <c r="H69" s="47" t="s">
        <v>1260</v>
      </c>
      <c r="I69" s="48" t="s">
        <v>1278</v>
      </c>
      <c r="J69" s="49">
        <v>3515</v>
      </c>
      <c r="K69" s="50" t="s">
        <v>1385</v>
      </c>
      <c r="L69" s="68"/>
      <c r="M69" s="52"/>
      <c r="N69" s="53"/>
      <c r="O69" s="51" t="str">
        <f t="shared" si="5"/>
        <v>제04장 근로시간-제01절 근로시간-05</v>
      </c>
      <c r="Q69" s="7" t="str">
        <f t="shared" si="6"/>
        <v>대법원 2024.12.26. 선고 2023다200314 판결-1</v>
      </c>
      <c r="R69" s="7" t="str">
        <f t="shared" si="7"/>
        <v>열기2-01.노동법\03.판례\[대법원 2024.12.26. 선고 2023다200314 판결]도구 개념으로서의 소정근로시간.txt</v>
      </c>
      <c r="S69" s="7" t="str">
        <f t="shared" si="8"/>
        <v>B</v>
      </c>
      <c r="T69" s="7" t="str">
        <f t="shared" ref="T69:T132" si="9">H69</f>
        <v>도구 개념으로서의 소정근로시간</v>
      </c>
    </row>
    <row r="70" spans="2:20" ht="14.45" customHeight="1" x14ac:dyDescent="0.2">
      <c r="B70" s="31" t="s">
        <v>448</v>
      </c>
      <c r="C70" s="54" t="s">
        <v>1434</v>
      </c>
      <c r="D70" s="55" t="s">
        <v>308</v>
      </c>
      <c r="E70" s="71" t="s">
        <v>1519</v>
      </c>
      <c r="F70" s="58" t="s">
        <v>31</v>
      </c>
      <c r="G70" s="57" t="s">
        <v>1643</v>
      </c>
      <c r="H70" s="59" t="s">
        <v>355</v>
      </c>
      <c r="I70" s="60" t="s">
        <v>1277</v>
      </c>
      <c r="J70" s="61">
        <v>3294</v>
      </c>
      <c r="K70" s="62" t="s">
        <v>1385</v>
      </c>
      <c r="L70" s="100"/>
      <c r="M70" s="64"/>
      <c r="N70" s="65"/>
      <c r="O70" s="63" t="str">
        <f t="shared" si="5"/>
        <v>제04장 근로시간-제01절 근로시간-06</v>
      </c>
      <c r="Q70" s="7" t="str">
        <f t="shared" si="6"/>
        <v>전주지방법원 2025.07.17. 선고 2022가합52925 판결-1</v>
      </c>
      <c r="R70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70" s="7" t="str">
        <f t="shared" si="8"/>
        <v>B</v>
      </c>
      <c r="T70" s="7" t="str">
        <f t="shared" si="9"/>
        <v>대학교 강사의 강의시간 외 부수업무 시간까지 포함하여 주당 근로시간을 해석한 사례</v>
      </c>
    </row>
    <row r="71" spans="2:20" ht="14.45" customHeight="1" x14ac:dyDescent="0.2">
      <c r="B71" s="31" t="s">
        <v>448</v>
      </c>
      <c r="C71" s="32" t="s">
        <v>474</v>
      </c>
      <c r="D71" s="33" t="s">
        <v>128</v>
      </c>
      <c r="E71" s="69" t="s">
        <v>143</v>
      </c>
      <c r="F71" s="35" t="s">
        <v>31</v>
      </c>
      <c r="G71" s="35" t="s">
        <v>1638</v>
      </c>
      <c r="H71" s="36" t="s">
        <v>144</v>
      </c>
      <c r="I71" s="6" t="s">
        <v>947</v>
      </c>
      <c r="J71" s="37">
        <v>2515</v>
      </c>
      <c r="K71" s="38" t="s">
        <v>1384</v>
      </c>
      <c r="L71" s="298"/>
      <c r="M71" s="40"/>
      <c r="N71" s="41"/>
      <c r="O71" s="39" t="str">
        <f t="shared" si="5"/>
        <v>제04장 근로시간-제02절 근로시간의 보호-01</v>
      </c>
      <c r="Q71" s="7" t="str">
        <f t="shared" si="6"/>
        <v>근로시간-1</v>
      </c>
      <c r="R71" s="7" t="str">
        <f t="shared" si="7"/>
        <v>열기2-01.노동법\01.본문\제04장 근로시간.제02절 근로시간의 보호.txt</v>
      </c>
      <c r="S71" s="7" t="str">
        <f t="shared" si="8"/>
        <v>C</v>
      </c>
      <c r="T71" s="7" t="str">
        <f t="shared" si="9"/>
        <v>근로시간의 보호</v>
      </c>
    </row>
    <row r="72" spans="2:20" ht="14.45" customHeight="1" x14ac:dyDescent="0.2">
      <c r="B72" s="31" t="s">
        <v>448</v>
      </c>
      <c r="C72" s="54" t="s">
        <v>474</v>
      </c>
      <c r="D72" s="55" t="s">
        <v>1258</v>
      </c>
      <c r="E72" s="97" t="s">
        <v>1163</v>
      </c>
      <c r="F72" s="58" t="s">
        <v>31</v>
      </c>
      <c r="G72" s="58" t="s">
        <v>1639</v>
      </c>
      <c r="H72" s="59" t="s">
        <v>1318</v>
      </c>
      <c r="I72" s="60" t="s">
        <v>1319</v>
      </c>
      <c r="J72" s="61">
        <v>1742</v>
      </c>
      <c r="K72" s="62" t="s">
        <v>1384</v>
      </c>
      <c r="L72" s="100"/>
      <c r="M72" s="64"/>
      <c r="N72" s="65"/>
      <c r="O72" s="63" t="str">
        <f t="shared" si="5"/>
        <v>제04장 근로시간-제02절 근로시간의 보호-02</v>
      </c>
      <c r="Q72" s="7" t="str">
        <f t="shared" si="6"/>
        <v>2008-2-2-1</v>
      </c>
      <c r="R72" s="7" t="str">
        <f t="shared" si="7"/>
        <v>열기2-01.노동법\02.문제\[기출][1][2008-2-2]근로기준법상 연장근로 제한의 원칙, 예외, 위반의 효과.txt</v>
      </c>
      <c r="S72" s="7" t="str">
        <f t="shared" si="8"/>
        <v>C</v>
      </c>
      <c r="T72" s="7" t="str">
        <f t="shared" si="9"/>
        <v>근로기준법상 연장근로 제한의 원칙, 예외, 위반의 효과</v>
      </c>
    </row>
    <row r="73" spans="2:20" ht="14.45" customHeight="1" x14ac:dyDescent="0.2">
      <c r="B73" s="31" t="s">
        <v>448</v>
      </c>
      <c r="C73" s="32" t="s">
        <v>464</v>
      </c>
      <c r="D73" s="33" t="s">
        <v>128</v>
      </c>
      <c r="E73" s="69" t="s">
        <v>143</v>
      </c>
      <c r="F73" s="35" t="s">
        <v>31</v>
      </c>
      <c r="G73" s="35" t="s">
        <v>1638</v>
      </c>
      <c r="H73" s="36" t="s">
        <v>145</v>
      </c>
      <c r="I73" s="6" t="s">
        <v>948</v>
      </c>
      <c r="J73" s="37">
        <v>3602</v>
      </c>
      <c r="K73" s="38" t="s">
        <v>1384</v>
      </c>
      <c r="L73" s="298"/>
      <c r="M73" s="40"/>
      <c r="N73" s="41"/>
      <c r="O73" s="39" t="str">
        <f t="shared" si="5"/>
        <v>제04장 근로시간-제03절 시간외근로-01</v>
      </c>
      <c r="Q73" s="7" t="str">
        <f t="shared" si="6"/>
        <v>근로시간-1</v>
      </c>
      <c r="R73" s="7" t="str">
        <f t="shared" si="7"/>
        <v>열기2-01.노동법\01.본문\제04장 근로시간.제03절 시간외근로.txt</v>
      </c>
      <c r="S73" s="7" t="str">
        <f t="shared" si="8"/>
        <v>C</v>
      </c>
      <c r="T73" s="7" t="str">
        <f t="shared" si="9"/>
        <v>시간외근로</v>
      </c>
    </row>
    <row r="74" spans="2:20" ht="14.45" customHeight="1" x14ac:dyDescent="0.2">
      <c r="B74" s="31" t="s">
        <v>448</v>
      </c>
      <c r="C74" s="54" t="s">
        <v>464</v>
      </c>
      <c r="D74" s="55" t="s">
        <v>1258</v>
      </c>
      <c r="E74" s="97" t="s">
        <v>1133</v>
      </c>
      <c r="F74" s="58" t="s">
        <v>31</v>
      </c>
      <c r="G74" s="58" t="s">
        <v>1639</v>
      </c>
      <c r="H74" s="59" t="s">
        <v>1332</v>
      </c>
      <c r="I74" s="60" t="s">
        <v>1333</v>
      </c>
      <c r="J74" s="61">
        <v>3091</v>
      </c>
      <c r="K74" s="62" t="s">
        <v>1384</v>
      </c>
      <c r="L74" s="100"/>
      <c r="M74" s="64"/>
      <c r="N74" s="65"/>
      <c r="O74" s="63" t="str">
        <f t="shared" si="5"/>
        <v>제04장 근로시간-제03절 시간외근로-02</v>
      </c>
      <c r="Q74" s="7" t="str">
        <f t="shared" si="6"/>
        <v>2011-1-1</v>
      </c>
      <c r="R74" s="7" t="str">
        <f t="shared" si="7"/>
        <v>열기2-01.노동법\02.문제\[기출][1][2011-1]포괄임금제의 의의, 유효요건, 유효성 판단 시 고려 사항.txt</v>
      </c>
      <c r="S74" s="7" t="str">
        <f t="shared" si="8"/>
        <v>C</v>
      </c>
      <c r="T74" s="7" t="str">
        <f t="shared" si="9"/>
        <v>포괄임금제의 의의, 유효요건, 유효성 판단 시 고려 사항</v>
      </c>
    </row>
    <row r="75" spans="2:20" ht="14.45" customHeight="1" x14ac:dyDescent="0.2">
      <c r="B75" s="31" t="s">
        <v>448</v>
      </c>
      <c r="C75" s="32" t="s">
        <v>1435</v>
      </c>
      <c r="D75" s="33" t="s">
        <v>128</v>
      </c>
      <c r="E75" s="69" t="s">
        <v>143</v>
      </c>
      <c r="F75" s="35" t="s">
        <v>31</v>
      </c>
      <c r="G75" s="35" t="s">
        <v>1638</v>
      </c>
      <c r="H75" s="36" t="s">
        <v>32</v>
      </c>
      <c r="I75" s="6" t="s">
        <v>949</v>
      </c>
      <c r="J75" s="37">
        <v>2353</v>
      </c>
      <c r="K75" s="38" t="s">
        <v>1384</v>
      </c>
      <c r="L75" s="298"/>
      <c r="M75" s="40"/>
      <c r="N75" s="41"/>
      <c r="O75" s="39" t="str">
        <f t="shared" si="5"/>
        <v>제04장 근로시간-제04절 휴게시간-01</v>
      </c>
      <c r="Q75" s="7" t="str">
        <f t="shared" si="6"/>
        <v>근로시간-1</v>
      </c>
      <c r="R75" s="7" t="str">
        <f t="shared" si="7"/>
        <v>열기2-01.노동법\01.본문\제04장 근로시간.제04절 휴게시간.txt</v>
      </c>
      <c r="S75" s="7" t="str">
        <f t="shared" si="8"/>
        <v>C</v>
      </c>
      <c r="T75" s="7" t="str">
        <f t="shared" si="9"/>
        <v>휴게시간</v>
      </c>
    </row>
    <row r="76" spans="2:20" ht="14.45" customHeight="1" x14ac:dyDescent="0.2">
      <c r="B76" s="31" t="s">
        <v>448</v>
      </c>
      <c r="C76" s="42" t="s">
        <v>1435</v>
      </c>
      <c r="D76" s="43" t="s">
        <v>1650</v>
      </c>
      <c r="E76" s="70" t="s">
        <v>1574</v>
      </c>
      <c r="F76" s="46" t="s">
        <v>31</v>
      </c>
      <c r="G76" s="46" t="s">
        <v>1639</v>
      </c>
      <c r="H76" s="47" t="s">
        <v>1364</v>
      </c>
      <c r="I76" s="48" t="s">
        <v>1669</v>
      </c>
      <c r="J76" s="49">
        <v>2381</v>
      </c>
      <c r="K76" s="50" t="s">
        <v>1384</v>
      </c>
      <c r="L76" s="68"/>
      <c r="M76" s="52"/>
      <c r="N76" s="53"/>
      <c r="O76" s="51" t="str">
        <f t="shared" si="5"/>
        <v>제04장 근로시간-제04절 휴게시간-02</v>
      </c>
      <c r="Q76" s="7" t="str">
        <f t="shared" si="6"/>
        <v>4.04-1-1</v>
      </c>
      <c r="R76" s="7" t="str">
        <f t="shared" si="7"/>
        <v>열기2-01.노동법\02.문제\[모의][1][04.04-1]근로기준법상 휴게시간의 의의와 자유이용의 원칙 및 장소적 제약이 가해진 휴게시간의 유효성.txt</v>
      </c>
      <c r="S76" s="7" t="str">
        <f t="shared" si="8"/>
        <v>C</v>
      </c>
      <c r="T76" s="7" t="str">
        <f t="shared" si="9"/>
        <v>근로기준법상 휴게시간의 의의와 자유이용의 원칙 및 장소적 제약이 가해진 휴게시간의 유효성</v>
      </c>
    </row>
    <row r="77" spans="2:20" ht="14.45" customHeight="1" x14ac:dyDescent="0.2">
      <c r="B77" s="31" t="s">
        <v>448</v>
      </c>
      <c r="C77" s="54" t="s">
        <v>1435</v>
      </c>
      <c r="D77" s="55" t="s">
        <v>1650</v>
      </c>
      <c r="E77" s="97" t="s">
        <v>1575</v>
      </c>
      <c r="F77" s="58" t="s">
        <v>31</v>
      </c>
      <c r="G77" s="58" t="s">
        <v>1640</v>
      </c>
      <c r="H77" s="59" t="s">
        <v>1381</v>
      </c>
      <c r="I77" s="60" t="s">
        <v>1670</v>
      </c>
      <c r="J77" s="61">
        <v>2339</v>
      </c>
      <c r="K77" s="62" t="s">
        <v>1384</v>
      </c>
      <c r="L77" s="100"/>
      <c r="M77" s="64"/>
      <c r="N77" s="65"/>
      <c r="O77" s="63" t="str">
        <f t="shared" si="5"/>
        <v>제04장 근로시간-제04절 휴게시간-03</v>
      </c>
      <c r="Q77" s="7" t="str">
        <f t="shared" si="6"/>
        <v>4.04-2-1</v>
      </c>
      <c r="R77" s="7" t="str">
        <f t="shared" si="7"/>
        <v>열기2-01.노동법\02.문제\[모의][1][04.04-2]휴게시간과 근로시간 구별 기준 및 근로자의 비상대기 상태에 대한 근로시간 포함 여부.txt</v>
      </c>
      <c r="S77" s="7" t="str">
        <f t="shared" si="8"/>
        <v>C</v>
      </c>
      <c r="T77" s="7" t="str">
        <f t="shared" si="9"/>
        <v>휴게시간과 근로시간 구별 기준 및 근로자의 비상대기 상태에 대한 근로시간 포함 여부</v>
      </c>
    </row>
    <row r="78" spans="2:20" ht="14.45" customHeight="1" x14ac:dyDescent="0.2">
      <c r="B78" s="31" t="s">
        <v>448</v>
      </c>
      <c r="C78" s="32" t="s">
        <v>1436</v>
      </c>
      <c r="D78" s="33" t="s">
        <v>128</v>
      </c>
      <c r="E78" s="69" t="s">
        <v>143</v>
      </c>
      <c r="F78" s="35" t="s">
        <v>31</v>
      </c>
      <c r="G78" s="35" t="s">
        <v>1638</v>
      </c>
      <c r="H78" s="36" t="s">
        <v>146</v>
      </c>
      <c r="I78" s="6" t="s">
        <v>950</v>
      </c>
      <c r="J78" s="37">
        <v>2513</v>
      </c>
      <c r="K78" s="38" t="s">
        <v>1384</v>
      </c>
      <c r="L78" s="298"/>
      <c r="M78" s="40"/>
      <c r="N78" s="41"/>
      <c r="O78" s="39" t="str">
        <f t="shared" si="5"/>
        <v>제04장 근로시간-제05절 휴일과 휴일근로-01</v>
      </c>
      <c r="Q78" s="7" t="str">
        <f t="shared" si="6"/>
        <v>근로시간-1</v>
      </c>
      <c r="R78" s="7" t="str">
        <f t="shared" si="7"/>
        <v>열기2-01.노동법\01.본문\제04장 근로시간.제05절 휴일과 휴일근로.txt</v>
      </c>
      <c r="S78" s="7" t="str">
        <f t="shared" si="8"/>
        <v>C</v>
      </c>
      <c r="T78" s="7" t="str">
        <f t="shared" si="9"/>
        <v>휴일과 휴일근로</v>
      </c>
    </row>
    <row r="79" spans="2:20" ht="14.45" customHeight="1" x14ac:dyDescent="0.2">
      <c r="B79" s="31" t="s">
        <v>448</v>
      </c>
      <c r="C79" s="42" t="s">
        <v>1436</v>
      </c>
      <c r="D79" s="43" t="s">
        <v>1650</v>
      </c>
      <c r="E79" s="70" t="s">
        <v>1576</v>
      </c>
      <c r="F79" s="46" t="s">
        <v>31</v>
      </c>
      <c r="G79" s="46" t="s">
        <v>1639</v>
      </c>
      <c r="H79" s="47" t="s">
        <v>1365</v>
      </c>
      <c r="I79" s="48" t="s">
        <v>1671</v>
      </c>
      <c r="J79" s="49">
        <v>2140</v>
      </c>
      <c r="K79" s="50" t="s">
        <v>1384</v>
      </c>
      <c r="L79" s="68"/>
      <c r="M79" s="52"/>
      <c r="N79" s="53"/>
      <c r="O79" s="51" t="str">
        <f t="shared" si="5"/>
        <v>제04장 근로시간-제05절 휴일과 휴일근로-02</v>
      </c>
      <c r="Q79" s="7" t="str">
        <f t="shared" si="6"/>
        <v>4.05-1-1</v>
      </c>
      <c r="R79" s="7" t="str">
        <f t="shared" si="7"/>
        <v>열기2-01.노동법\02.문제\[모의][1][04.05-1]휴일근로 명령의 유효요건과 개별적 동의 여부 및 근로자의 출근 거부에 따른 징계 사유의 정당성.txt</v>
      </c>
      <c r="S79" s="7" t="str">
        <f t="shared" si="8"/>
        <v>C</v>
      </c>
      <c r="T79" s="7" t="str">
        <f t="shared" si="9"/>
        <v>휴일근로 명령의 유효요건과 개별적 동의 여부 및 근로자의 출근 거부에 따른 징계 사유의 정당성</v>
      </c>
    </row>
    <row r="80" spans="2:20" ht="14.45" customHeight="1" x14ac:dyDescent="0.2">
      <c r="B80" s="31" t="s">
        <v>448</v>
      </c>
      <c r="C80" s="54" t="s">
        <v>1436</v>
      </c>
      <c r="D80" s="55" t="s">
        <v>1650</v>
      </c>
      <c r="E80" s="97" t="s">
        <v>1577</v>
      </c>
      <c r="F80" s="58" t="s">
        <v>31</v>
      </c>
      <c r="G80" s="58" t="s">
        <v>1640</v>
      </c>
      <c r="H80" s="59" t="s">
        <v>1366</v>
      </c>
      <c r="I80" s="60" t="s">
        <v>1672</v>
      </c>
      <c r="J80" s="61">
        <v>2081</v>
      </c>
      <c r="K80" s="62" t="s">
        <v>1384</v>
      </c>
      <c r="L80" s="100"/>
      <c r="M80" s="64"/>
      <c r="N80" s="65"/>
      <c r="O80" s="63" t="str">
        <f t="shared" si="5"/>
        <v>제04장 근로시간-제05절 휴일과 휴일근로-03</v>
      </c>
      <c r="Q80" s="7" t="str">
        <f t="shared" si="6"/>
        <v>4.05-2-1</v>
      </c>
      <c r="R80" s="7" t="str">
        <f t="shared" si="7"/>
        <v>열기2-01.노동법\02.문제\[모의][1][04.05-2]휴일근로 가산수당 지급 원칙과 중복할증에 관한 판례의 태도 및 회사의 임금 미지급의 타당성.txt</v>
      </c>
      <c r="S80" s="7" t="str">
        <f t="shared" si="8"/>
        <v>C</v>
      </c>
      <c r="T80" s="7" t="str">
        <f t="shared" si="9"/>
        <v>휴일근로 가산수당 지급 원칙과 중복할증에 관한 판례의 태도 및 회사의 임금 미지급의 타당성</v>
      </c>
    </row>
    <row r="81" spans="2:20" ht="14.45" customHeight="1" x14ac:dyDescent="0.2">
      <c r="B81" s="31" t="s">
        <v>448</v>
      </c>
      <c r="C81" s="32" t="s">
        <v>1328</v>
      </c>
      <c r="D81" s="33" t="s">
        <v>128</v>
      </c>
      <c r="E81" s="69" t="s">
        <v>143</v>
      </c>
      <c r="F81" s="35" t="s">
        <v>31</v>
      </c>
      <c r="G81" s="35" t="s">
        <v>1638</v>
      </c>
      <c r="H81" s="36" t="s">
        <v>39</v>
      </c>
      <c r="I81" s="6" t="s">
        <v>951</v>
      </c>
      <c r="J81" s="37">
        <v>4099</v>
      </c>
      <c r="K81" s="38" t="s">
        <v>1350</v>
      </c>
      <c r="L81" s="298"/>
      <c r="M81" s="40"/>
      <c r="N81" s="41"/>
      <c r="O81" s="39" t="str">
        <f t="shared" si="5"/>
        <v>제04장 근로시간-제06절 연차유급휴가-01</v>
      </c>
      <c r="Q81" s="7" t="str">
        <f t="shared" si="6"/>
        <v>근로시간-1</v>
      </c>
      <c r="R81" s="7" t="str">
        <f t="shared" si="7"/>
        <v>열기2-01.노동법\01.본문\제04장 근로시간.제06절 연차유급휴가.txt</v>
      </c>
      <c r="S81" s="7" t="str">
        <f t="shared" si="8"/>
        <v>A</v>
      </c>
      <c r="T81" s="7" t="str">
        <f t="shared" si="9"/>
        <v>연차유급휴가</v>
      </c>
    </row>
    <row r="82" spans="2:20" ht="14.45" customHeight="1" x14ac:dyDescent="0.2">
      <c r="B82" s="31" t="s">
        <v>448</v>
      </c>
      <c r="C82" s="102" t="s">
        <v>1328</v>
      </c>
      <c r="D82" s="43" t="s">
        <v>1258</v>
      </c>
      <c r="E82" s="70" t="s">
        <v>1164</v>
      </c>
      <c r="F82" s="46" t="s">
        <v>31</v>
      </c>
      <c r="G82" s="46" t="s">
        <v>1639</v>
      </c>
      <c r="H82" s="47" t="s">
        <v>1586</v>
      </c>
      <c r="I82" s="48" t="s">
        <v>1587</v>
      </c>
      <c r="J82" s="49">
        <v>2318</v>
      </c>
      <c r="K82" s="50" t="s">
        <v>1350</v>
      </c>
      <c r="L82" s="68" t="s">
        <v>1588</v>
      </c>
      <c r="M82" s="52"/>
      <c r="N82" s="53">
        <v>46207</v>
      </c>
      <c r="O82" s="51" t="str">
        <f t="shared" si="5"/>
        <v>제04장 근로시간-제06절 연차유급휴가-02</v>
      </c>
      <c r="Q82" s="7" t="str">
        <f t="shared" si="6"/>
        <v>2016-1-1-1</v>
      </c>
      <c r="R82" s="7" t="str">
        <f t="shared" si="7"/>
        <v>열기2-01.노동법\02.문제\[기출][1][2016-1-1]적법한 파업 참가 근로자의 출근율 및 연차유급휴가 일수 산정 방식과 회사 주장의 정당성.txt</v>
      </c>
      <c r="S82" s="7" t="str">
        <f t="shared" si="8"/>
        <v>A</v>
      </c>
      <c r="T82" s="7" t="str">
        <f t="shared" si="9"/>
        <v>적법한 파업 참가 근로자의 출근율 및 연차유급휴가 일수 산정 방식과 회사 주장의 정당성</v>
      </c>
    </row>
    <row r="83" spans="2:20" ht="14.45" customHeight="1" x14ac:dyDescent="0.2">
      <c r="B83" s="31" t="s">
        <v>448</v>
      </c>
      <c r="C83" s="102" t="s">
        <v>1328</v>
      </c>
      <c r="D83" s="43" t="s">
        <v>1650</v>
      </c>
      <c r="E83" s="70" t="s">
        <v>1578</v>
      </c>
      <c r="F83" s="46" t="s">
        <v>31</v>
      </c>
      <c r="G83" s="46" t="s">
        <v>1640</v>
      </c>
      <c r="H83" s="47" t="s">
        <v>1411</v>
      </c>
      <c r="I83" s="48" t="s">
        <v>1673</v>
      </c>
      <c r="J83" s="49">
        <v>2401</v>
      </c>
      <c r="K83" s="50" t="s">
        <v>1350</v>
      </c>
      <c r="L83" s="68"/>
      <c r="M83" s="52"/>
      <c r="N83" s="53">
        <v>46207</v>
      </c>
      <c r="O83" s="51" t="str">
        <f t="shared" si="5"/>
        <v>제04장 근로시간-제06절 연차유급휴가-03</v>
      </c>
      <c r="Q83" s="7" t="str">
        <f t="shared" si="6"/>
        <v>4.06-1-1</v>
      </c>
      <c r="R83" s="7" t="str">
        <f t="shared" si="7"/>
        <v>열기2-01.노동법\02.문제\[모의][1][04.06-1]단체협약상 연차휴가 사전신청 요건의 유효성 및 반려 조치의 시기변경권 행사 적법성.txt</v>
      </c>
      <c r="S83" s="7" t="str">
        <f t="shared" si="8"/>
        <v>A</v>
      </c>
      <c r="T83" s="7" t="str">
        <f t="shared" si="9"/>
        <v>단체협약상 연차휴가 사전신청 요건의 유효성 및 반려 조치의 시기변경권 행사 적법성★</v>
      </c>
    </row>
    <row r="84" spans="2:20" ht="14.45" customHeight="1" x14ac:dyDescent="0.2">
      <c r="B84" s="31" t="s">
        <v>448</v>
      </c>
      <c r="C84" s="102" t="s">
        <v>1328</v>
      </c>
      <c r="D84" s="43" t="s">
        <v>1650</v>
      </c>
      <c r="E84" s="70" t="s">
        <v>1579</v>
      </c>
      <c r="F84" s="46" t="s">
        <v>31</v>
      </c>
      <c r="G84" s="46" t="s">
        <v>1641</v>
      </c>
      <c r="H84" s="47" t="s">
        <v>1412</v>
      </c>
      <c r="I84" s="48" t="s">
        <v>1674</v>
      </c>
      <c r="J84" s="49">
        <v>1791</v>
      </c>
      <c r="K84" s="50" t="s">
        <v>1350</v>
      </c>
      <c r="L84" s="68" t="s">
        <v>1716</v>
      </c>
      <c r="M84" s="52"/>
      <c r="N84" s="53">
        <v>46207</v>
      </c>
      <c r="O84" s="51" t="str">
        <f t="shared" si="5"/>
        <v>제04장 근로시간-제06절 연차유급휴가-04</v>
      </c>
      <c r="Q84" s="7" t="str">
        <f t="shared" si="6"/>
        <v>4.06-2-1</v>
      </c>
      <c r="R84" s="7" t="str">
        <f t="shared" si="7"/>
        <v>열기2-01.노동법\02.문제\[모의][1][04.06-2]연차휴가 반려 후 출근하지 않은 행위의 성격 및 이를 이유로 한 감봉 처분의 정당성.txt</v>
      </c>
      <c r="S84" s="7" t="str">
        <f t="shared" si="8"/>
        <v>A</v>
      </c>
      <c r="T84" s="7" t="str">
        <f t="shared" si="9"/>
        <v>연차휴가 반려 후 출근하지 않은 행위의 성격 및 이를 이유로 한 감봉 처분의 정당성★</v>
      </c>
    </row>
    <row r="85" spans="2:20" ht="14.45" customHeight="1" thickBot="1" x14ac:dyDescent="0.25">
      <c r="B85" s="74" t="s">
        <v>448</v>
      </c>
      <c r="C85" s="103" t="s">
        <v>1328</v>
      </c>
      <c r="D85" s="76" t="s">
        <v>308</v>
      </c>
      <c r="E85" s="98" t="s">
        <v>1521</v>
      </c>
      <c r="F85" s="78" t="s">
        <v>31</v>
      </c>
      <c r="G85" s="99" t="s">
        <v>1642</v>
      </c>
      <c r="H85" s="79" t="s">
        <v>1408</v>
      </c>
      <c r="I85" s="80" t="s">
        <v>1279</v>
      </c>
      <c r="J85" s="81">
        <v>4125</v>
      </c>
      <c r="K85" s="82" t="s">
        <v>1351</v>
      </c>
      <c r="L85" s="161"/>
      <c r="M85" s="84"/>
      <c r="N85" s="85"/>
      <c r="O85" s="83" t="str">
        <f t="shared" si="5"/>
        <v>제04장 근로시간-제06절 연차유급휴가-05</v>
      </c>
      <c r="Q85" s="7" t="str">
        <f t="shared" si="6"/>
        <v>대법원 2025.07.17. 선고 2021도11886 판결-1</v>
      </c>
      <c r="R85" s="7" t="str">
        <f t="shared" si="7"/>
        <v>열기2-01.노동법\03.판례\[대법원 2025.07.17. 선고 2021도11886 판결]연차유급휴가 시기변경권 행사의 적법성 판단기준.txt</v>
      </c>
      <c r="S85" s="7" t="str">
        <f t="shared" si="8"/>
        <v>A</v>
      </c>
      <c r="T85" s="7" t="str">
        <f t="shared" si="9"/>
        <v>연차유급휴가 시기변경권 행사의 적법성 판단기준★</v>
      </c>
    </row>
    <row r="86" spans="2:20" ht="14.45" customHeight="1" x14ac:dyDescent="0.2">
      <c r="B86" s="19" t="s">
        <v>434</v>
      </c>
      <c r="C86" s="20" t="s">
        <v>1483</v>
      </c>
      <c r="D86" s="21" t="s">
        <v>128</v>
      </c>
      <c r="E86" s="22" t="s">
        <v>9</v>
      </c>
      <c r="F86" s="23" t="s">
        <v>31</v>
      </c>
      <c r="G86" s="23" t="s">
        <v>1638</v>
      </c>
      <c r="H86" s="24" t="s">
        <v>147</v>
      </c>
      <c r="I86" s="25" t="s">
        <v>952</v>
      </c>
      <c r="J86" s="26">
        <v>2556</v>
      </c>
      <c r="K86" s="27" t="s">
        <v>1385</v>
      </c>
      <c r="L86" s="297"/>
      <c r="M86" s="29"/>
      <c r="N86" s="30"/>
      <c r="O86" s="28" t="str">
        <f t="shared" si="5"/>
        <v>제05장 취업규칙-제01절 취업규칙의 의의와 작성-01</v>
      </c>
      <c r="Q86" s="7" t="str">
        <f t="shared" si="6"/>
        <v>취업규칙-1</v>
      </c>
      <c r="R86" s="7" t="str">
        <f t="shared" si="7"/>
        <v>열기2-01.노동법\01.본문\제05장 취업규칙.제01절 취업규칙의 의의와 작성.txt</v>
      </c>
      <c r="S86" s="7" t="str">
        <f t="shared" si="8"/>
        <v>B</v>
      </c>
      <c r="T86" s="7" t="str">
        <f t="shared" si="9"/>
        <v>취업규칙의 의의와 작성</v>
      </c>
    </row>
    <row r="87" spans="2:20" ht="14.45" customHeight="1" x14ac:dyDescent="0.2">
      <c r="B87" s="31" t="s">
        <v>434</v>
      </c>
      <c r="C87" s="101" t="s">
        <v>455</v>
      </c>
      <c r="D87" s="33" t="s">
        <v>128</v>
      </c>
      <c r="E87" s="69" t="s">
        <v>9</v>
      </c>
      <c r="F87" s="35" t="s">
        <v>31</v>
      </c>
      <c r="G87" s="35" t="s">
        <v>1638</v>
      </c>
      <c r="H87" s="36" t="s">
        <v>148</v>
      </c>
      <c r="I87" s="6" t="s">
        <v>953</v>
      </c>
      <c r="J87" s="37">
        <v>3804</v>
      </c>
      <c r="K87" s="38" t="s">
        <v>1385</v>
      </c>
      <c r="L87" s="298"/>
      <c r="M87" s="40"/>
      <c r="N87" s="41"/>
      <c r="O87" s="39" t="str">
        <f t="shared" si="5"/>
        <v>제05장 취업규칙-제02절 취업규칙의 변경-01</v>
      </c>
      <c r="Q87" s="7" t="str">
        <f t="shared" si="6"/>
        <v>취업규칙-1</v>
      </c>
      <c r="R87" s="7" t="str">
        <f t="shared" si="7"/>
        <v>열기2-01.노동법\01.본문\제05장 취업규칙.제02절 취업규칙의 변경.txt</v>
      </c>
      <c r="S87" s="7" t="str">
        <f t="shared" si="8"/>
        <v>B</v>
      </c>
      <c r="T87" s="7" t="str">
        <f t="shared" si="9"/>
        <v>취업규칙의 변경</v>
      </c>
    </row>
    <row r="88" spans="2:20" ht="14.45" customHeight="1" x14ac:dyDescent="0.2">
      <c r="B88" s="31" t="s">
        <v>434</v>
      </c>
      <c r="C88" s="102" t="s">
        <v>455</v>
      </c>
      <c r="D88" s="43" t="s">
        <v>1258</v>
      </c>
      <c r="E88" s="70" t="s">
        <v>68</v>
      </c>
      <c r="F88" s="46" t="s">
        <v>31</v>
      </c>
      <c r="G88" s="46" t="s">
        <v>1639</v>
      </c>
      <c r="H88" s="47" t="s">
        <v>1093</v>
      </c>
      <c r="I88" s="48" t="s">
        <v>1094</v>
      </c>
      <c r="J88" s="49">
        <v>2178</v>
      </c>
      <c r="K88" s="50" t="s">
        <v>1385</v>
      </c>
      <c r="L88" s="68"/>
      <c r="M88" s="52"/>
      <c r="N88" s="53"/>
      <c r="O88" s="51" t="str">
        <f t="shared" si="5"/>
        <v>제05장 취업규칙-제02절 취업규칙의 변경-02</v>
      </c>
      <c r="Q88" s="7" t="str">
        <f t="shared" si="6"/>
        <v>2013-1-1-1</v>
      </c>
      <c r="R88" s="7" t="str">
        <f t="shared" si="7"/>
        <v>열기2-01.노동법\02.문제\[기출][1][2013-1-1]노사협의회 의결을 거친 인사규정(취업규칙) 변경의 효력.txt</v>
      </c>
      <c r="S88" s="7" t="str">
        <f t="shared" si="8"/>
        <v>B</v>
      </c>
      <c r="T88" s="7" t="str">
        <f t="shared" si="9"/>
        <v>노사협의회 의결을 거친 인사규정(취업규칙) 변경의 효력</v>
      </c>
    </row>
    <row r="89" spans="2:20" ht="14.45" customHeight="1" x14ac:dyDescent="0.2">
      <c r="B89" s="31" t="s">
        <v>434</v>
      </c>
      <c r="C89" s="102" t="s">
        <v>455</v>
      </c>
      <c r="D89" s="43" t="s">
        <v>1258</v>
      </c>
      <c r="E89" s="70" t="s">
        <v>69</v>
      </c>
      <c r="F89" s="46" t="s">
        <v>31</v>
      </c>
      <c r="G89" s="46" t="s">
        <v>1640</v>
      </c>
      <c r="H89" s="47" t="s">
        <v>1095</v>
      </c>
      <c r="I89" s="48" t="s">
        <v>1096</v>
      </c>
      <c r="J89" s="49">
        <v>2202</v>
      </c>
      <c r="K89" s="50" t="s">
        <v>1385</v>
      </c>
      <c r="L89" s="68"/>
      <c r="M89" s="52"/>
      <c r="N89" s="53"/>
      <c r="O89" s="51" t="str">
        <f t="shared" si="5"/>
        <v>제05장 취업규칙-제02절 취업규칙의 변경-03</v>
      </c>
      <c r="Q89" s="7" t="str">
        <f t="shared" si="6"/>
        <v>2013-1-2-1</v>
      </c>
      <c r="R89" s="7" t="str">
        <f t="shared" si="7"/>
        <v>열기2-01.노동법\02.문제\[기출][1][2013-1-2]노사협의회 의결을 거친 인사규정(취업규칙)을 근거로 한 퇴직 통보의 효력.txt</v>
      </c>
      <c r="S89" s="7" t="str">
        <f t="shared" si="8"/>
        <v>B</v>
      </c>
      <c r="T89" s="7" t="str">
        <f t="shared" si="9"/>
        <v>노사협의회 의결을 거친 인사규정(취업규칙)을 근거로 한 퇴직 통보의 효력</v>
      </c>
    </row>
    <row r="90" spans="2:20" ht="14.45" customHeight="1" x14ac:dyDescent="0.2">
      <c r="B90" s="31" t="s">
        <v>434</v>
      </c>
      <c r="C90" s="102" t="s">
        <v>455</v>
      </c>
      <c r="D90" s="43" t="s">
        <v>1258</v>
      </c>
      <c r="E90" s="70" t="s">
        <v>67</v>
      </c>
      <c r="F90" s="46" t="s">
        <v>31</v>
      </c>
      <c r="G90" s="46" t="s">
        <v>1641</v>
      </c>
      <c r="H90" s="47" t="s">
        <v>1091</v>
      </c>
      <c r="I90" s="48" t="s">
        <v>1092</v>
      </c>
      <c r="J90" s="49">
        <v>2080</v>
      </c>
      <c r="K90" s="50" t="s">
        <v>1385</v>
      </c>
      <c r="L90" s="68"/>
      <c r="M90" s="52"/>
      <c r="N90" s="53"/>
      <c r="O90" s="51" t="str">
        <f t="shared" si="5"/>
        <v>제05장 취업규칙-제02절 취업규칙의 변경-04</v>
      </c>
      <c r="Q90" s="7" t="str">
        <f t="shared" si="6"/>
        <v>2015-1-i-1</v>
      </c>
      <c r="R90" s="7" t="str">
        <f t="shared" si="7"/>
        <v>열기2-01.노동법\02.문제\[기출][1][2015-1-i]노동조합 동의 없이 개별 근로자의 동의로 변경한 인사규정의 효력.txt</v>
      </c>
      <c r="S90" s="7" t="str">
        <f t="shared" si="8"/>
        <v>B</v>
      </c>
      <c r="T90" s="7" t="str">
        <f t="shared" si="9"/>
        <v>노동조합 동의 없이 개별 근로자의 동의로 변경한 인사규정의 효력</v>
      </c>
    </row>
    <row r="91" spans="2:20" ht="14.45" customHeight="1" x14ac:dyDescent="0.2">
      <c r="B91" s="31" t="s">
        <v>434</v>
      </c>
      <c r="C91" s="102" t="s">
        <v>455</v>
      </c>
      <c r="D91" s="43" t="s">
        <v>1258</v>
      </c>
      <c r="E91" s="70" t="s">
        <v>1026</v>
      </c>
      <c r="F91" s="46" t="s">
        <v>31</v>
      </c>
      <c r="G91" s="46" t="s">
        <v>1642</v>
      </c>
      <c r="H91" s="47" t="s">
        <v>1087</v>
      </c>
      <c r="I91" s="48" t="s">
        <v>1088</v>
      </c>
      <c r="J91" s="49">
        <v>2170</v>
      </c>
      <c r="K91" s="50" t="s">
        <v>1385</v>
      </c>
      <c r="L91" s="68"/>
      <c r="M91" s="52"/>
      <c r="N91" s="53"/>
      <c r="O91" s="51" t="str">
        <f t="shared" si="5"/>
        <v>제05장 취업규칙-제02절 취업규칙의 변경-05</v>
      </c>
      <c r="Q91" s="7" t="str">
        <f t="shared" si="6"/>
        <v>2021-1-1-1</v>
      </c>
      <c r="R91" s="7" t="str">
        <f t="shared" si="7"/>
        <v>열기2-01.노동법\02.문제\[기출][1][2021-1-1]비조합원에 대한 불이익 취업규칙 적용의 효력.txt</v>
      </c>
      <c r="S91" s="7" t="str">
        <f t="shared" si="8"/>
        <v>B</v>
      </c>
      <c r="T91" s="7" t="str">
        <f t="shared" si="9"/>
        <v>비조합원에 대한 불이익 취업규칙 적용의 효력</v>
      </c>
    </row>
    <row r="92" spans="2:20" ht="14.45" customHeight="1" x14ac:dyDescent="0.2">
      <c r="B92" s="31" t="s">
        <v>434</v>
      </c>
      <c r="C92" s="102" t="s">
        <v>455</v>
      </c>
      <c r="D92" s="43" t="s">
        <v>1258</v>
      </c>
      <c r="E92" s="70" t="s">
        <v>1018</v>
      </c>
      <c r="F92" s="46" t="s">
        <v>31</v>
      </c>
      <c r="G92" s="46" t="s">
        <v>1643</v>
      </c>
      <c r="H92" s="47" t="s">
        <v>1089</v>
      </c>
      <c r="I92" s="48" t="s">
        <v>1090</v>
      </c>
      <c r="J92" s="49">
        <v>2215</v>
      </c>
      <c r="K92" s="50" t="s">
        <v>1385</v>
      </c>
      <c r="L92" s="68"/>
      <c r="M92" s="52"/>
      <c r="N92" s="53"/>
      <c r="O92" s="51" t="str">
        <f t="shared" si="5"/>
        <v>제05장 취업규칙-제02절 취업규칙의 변경-06</v>
      </c>
      <c r="Q92" s="7" t="str">
        <f t="shared" si="6"/>
        <v>2021-1-2-1</v>
      </c>
      <c r="R92" s="7" t="str">
        <f t="shared" si="7"/>
        <v>열기2-01.노동법\02.문제\[기출][1][2021-1-2]개별 근로자 대상 근로계약 대비 불이익 취업규칙의 동의 없는 적용 가능 여부.txt</v>
      </c>
      <c r="S92" s="7" t="str">
        <f t="shared" si="8"/>
        <v>B</v>
      </c>
      <c r="T92" s="7" t="str">
        <f t="shared" si="9"/>
        <v>개별 근로자 대상 근로계약 대비 불이익 취업규칙의 동의 없는 적용 가능 여부</v>
      </c>
    </row>
    <row r="93" spans="2:20" ht="14.45" customHeight="1" thickBot="1" x14ac:dyDescent="0.25">
      <c r="B93" s="74" t="s">
        <v>434</v>
      </c>
      <c r="C93" s="103" t="s">
        <v>455</v>
      </c>
      <c r="D93" s="76" t="s">
        <v>308</v>
      </c>
      <c r="E93" s="98" t="s">
        <v>1522</v>
      </c>
      <c r="F93" s="78" t="s">
        <v>31</v>
      </c>
      <c r="G93" s="99" t="s">
        <v>1644</v>
      </c>
      <c r="H93" s="79" t="s">
        <v>337</v>
      </c>
      <c r="I93" s="80" t="s">
        <v>1280</v>
      </c>
      <c r="J93" s="81">
        <v>4953</v>
      </c>
      <c r="K93" s="82" t="s">
        <v>1385</v>
      </c>
      <c r="L93" s="161"/>
      <c r="M93" s="84"/>
      <c r="N93" s="85"/>
      <c r="O93" s="83" t="str">
        <f t="shared" si="5"/>
        <v>제05장 취업규칙-제02절 취업규칙의 변경-07</v>
      </c>
      <c r="Q93" s="7" t="str">
        <f t="shared" si="6"/>
        <v>대법원 2025.02.20. 선고 2024다293092 판결-1</v>
      </c>
      <c r="R93" s="7" t="str">
        <f t="shared" si="7"/>
        <v>열기2-01.노동법\03.판례\[대법원 2025.02.20. 선고 2024다293092 판결]취업규칙의 변경이 근로자에게 불이익한지 여부를 판단하는 방식.txt</v>
      </c>
      <c r="S93" s="7" t="str">
        <f t="shared" si="8"/>
        <v>B</v>
      </c>
      <c r="T93" s="7" t="str">
        <f t="shared" si="9"/>
        <v>취업규칙의 변경이 근로자에게 불이익한지 여부를 판단하는 방식</v>
      </c>
    </row>
    <row r="94" spans="2:20" ht="14.45" customHeight="1" x14ac:dyDescent="0.2">
      <c r="B94" s="19" t="s">
        <v>427</v>
      </c>
      <c r="C94" s="86" t="s">
        <v>1484</v>
      </c>
      <c r="D94" s="87" t="s">
        <v>128</v>
      </c>
      <c r="E94" s="88" t="s">
        <v>43</v>
      </c>
      <c r="F94" s="89" t="s">
        <v>31</v>
      </c>
      <c r="G94" s="89" t="s">
        <v>1638</v>
      </c>
      <c r="H94" s="90" t="s">
        <v>12</v>
      </c>
      <c r="I94" s="91" t="s">
        <v>954</v>
      </c>
      <c r="J94" s="92">
        <v>2992</v>
      </c>
      <c r="K94" s="93" t="s">
        <v>1385</v>
      </c>
      <c r="L94" s="299"/>
      <c r="M94" s="95"/>
      <c r="N94" s="96"/>
      <c r="O94" s="94" t="str">
        <f t="shared" si="5"/>
        <v>제06장 인사처분-제01절 인사이동-01</v>
      </c>
      <c r="Q94" s="7" t="str">
        <f t="shared" si="6"/>
        <v>인사처분-1</v>
      </c>
      <c r="R94" s="7" t="str">
        <f t="shared" si="7"/>
        <v>열기2-01.노동법\01.본문\제06장 인사처분.제01절 인사이동.txt</v>
      </c>
      <c r="S94" s="7" t="str">
        <f t="shared" si="8"/>
        <v>B</v>
      </c>
      <c r="T94" s="7" t="str">
        <f t="shared" si="9"/>
        <v>인사이동</v>
      </c>
    </row>
    <row r="95" spans="2:20" ht="14.45" customHeight="1" x14ac:dyDescent="0.2">
      <c r="B95" s="31" t="s">
        <v>427</v>
      </c>
      <c r="C95" s="54" t="s">
        <v>1484</v>
      </c>
      <c r="D95" s="55" t="s">
        <v>308</v>
      </c>
      <c r="E95" s="71" t="s">
        <v>1523</v>
      </c>
      <c r="F95" s="58" t="s">
        <v>31</v>
      </c>
      <c r="G95" s="57" t="s">
        <v>1639</v>
      </c>
      <c r="H95" s="59" t="s">
        <v>339</v>
      </c>
      <c r="I95" s="60" t="s">
        <v>1281</v>
      </c>
      <c r="J95" s="61">
        <v>2929</v>
      </c>
      <c r="K95" s="62" t="s">
        <v>1385</v>
      </c>
      <c r="L95" s="100"/>
      <c r="M95" s="64"/>
      <c r="N95" s="65"/>
      <c r="O95" s="63" t="str">
        <f t="shared" si="5"/>
        <v>제06장 인사처분-제01절 인사이동-02</v>
      </c>
      <c r="Q95" s="7" t="str">
        <f t="shared" si="6"/>
        <v>서울행정법원 2025.03.20. 선고 2023구합86690 판결-1</v>
      </c>
      <c r="R95" s="7" t="str">
        <f t="shared" si="7"/>
        <v>열기2-01.노동법\03.판례\[서울행정법원 2025.03.20. 선고 2023구합86690 판결]부당인사명령의 판단 구조.txt</v>
      </c>
      <c r="S95" s="7" t="str">
        <f t="shared" si="8"/>
        <v>B</v>
      </c>
      <c r="T95" s="7" t="str">
        <f t="shared" si="9"/>
        <v>부당인사명령의 판단 구조</v>
      </c>
    </row>
    <row r="96" spans="2:20" ht="14.45" customHeight="1" x14ac:dyDescent="0.2">
      <c r="B96" s="31" t="s">
        <v>427</v>
      </c>
      <c r="C96" s="32" t="s">
        <v>1485</v>
      </c>
      <c r="D96" s="33" t="s">
        <v>128</v>
      </c>
      <c r="E96" s="69" t="s">
        <v>43</v>
      </c>
      <c r="F96" s="35" t="s">
        <v>31</v>
      </c>
      <c r="G96" s="35" t="s">
        <v>1638</v>
      </c>
      <c r="H96" s="36" t="s">
        <v>13</v>
      </c>
      <c r="I96" s="6" t="s">
        <v>955</v>
      </c>
      <c r="J96" s="37">
        <v>1423</v>
      </c>
      <c r="K96" s="38" t="s">
        <v>1385</v>
      </c>
      <c r="L96" s="298"/>
      <c r="M96" s="40"/>
      <c r="N96" s="41"/>
      <c r="O96" s="39" t="str">
        <f t="shared" si="5"/>
        <v>제06장 인사처분-제02절 전직-01</v>
      </c>
      <c r="Q96" s="7" t="str">
        <f t="shared" si="6"/>
        <v>인사처분-1</v>
      </c>
      <c r="R96" s="7" t="str">
        <f t="shared" si="7"/>
        <v>열기2-01.노동법\01.본문\제06장 인사처분.제02절 전직.txt</v>
      </c>
      <c r="S96" s="7" t="str">
        <f t="shared" si="8"/>
        <v>B</v>
      </c>
      <c r="T96" s="7" t="str">
        <f t="shared" si="9"/>
        <v>전직</v>
      </c>
    </row>
    <row r="97" spans="2:20" ht="14.45" customHeight="1" x14ac:dyDescent="0.2">
      <c r="B97" s="31" t="s">
        <v>427</v>
      </c>
      <c r="C97" s="54" t="s">
        <v>1485</v>
      </c>
      <c r="D97" s="55" t="s">
        <v>308</v>
      </c>
      <c r="E97" s="71" t="s">
        <v>1524</v>
      </c>
      <c r="F97" s="58" t="s">
        <v>31</v>
      </c>
      <c r="G97" s="57" t="s">
        <v>1639</v>
      </c>
      <c r="H97" s="59" t="s">
        <v>357</v>
      </c>
      <c r="I97" s="60" t="s">
        <v>1282</v>
      </c>
      <c r="J97" s="61">
        <v>3792</v>
      </c>
      <c r="K97" s="62" t="s">
        <v>1385</v>
      </c>
      <c r="L97" s="100"/>
      <c r="M97" s="64"/>
      <c r="N97" s="65"/>
      <c r="O97" s="63" t="str">
        <f t="shared" si="5"/>
        <v>제06장 인사처분-제02절 전직-02</v>
      </c>
      <c r="Q97" s="7" t="str">
        <f t="shared" si="6"/>
        <v>서울고등법원 2025.07.11. 선고 2024나2030688 판결-1</v>
      </c>
      <c r="R97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97" s="7" t="str">
        <f t="shared" si="8"/>
        <v>B</v>
      </c>
      <c r="T97" s="7" t="str">
        <f t="shared" si="9"/>
        <v>노동조합의 사전합의권 남용 법리와 근로계약 변경에 대한 개별 동의권 배제</v>
      </c>
    </row>
    <row r="98" spans="2:20" ht="14.45" customHeight="1" x14ac:dyDescent="0.2">
      <c r="B98" s="31" t="s">
        <v>427</v>
      </c>
      <c r="C98" s="32" t="s">
        <v>468</v>
      </c>
      <c r="D98" s="33" t="s">
        <v>128</v>
      </c>
      <c r="E98" s="69" t="s">
        <v>43</v>
      </c>
      <c r="F98" s="35" t="s">
        <v>31</v>
      </c>
      <c r="G98" s="35" t="s">
        <v>1638</v>
      </c>
      <c r="H98" s="36" t="s">
        <v>14</v>
      </c>
      <c r="I98" s="6" t="s">
        <v>956</v>
      </c>
      <c r="J98" s="37">
        <v>2854</v>
      </c>
      <c r="K98" s="38" t="s">
        <v>1385</v>
      </c>
      <c r="L98" s="298"/>
      <c r="M98" s="40"/>
      <c r="N98" s="41"/>
      <c r="O98" s="39" t="str">
        <f t="shared" si="5"/>
        <v>제06장 인사처분-제03절 전적-01</v>
      </c>
      <c r="Q98" s="7" t="str">
        <f t="shared" si="6"/>
        <v>인사처분-1</v>
      </c>
      <c r="R98" s="7" t="str">
        <f t="shared" si="7"/>
        <v>열기2-01.노동법\01.본문\제06장 인사처분.제03절 전적.txt</v>
      </c>
      <c r="S98" s="7" t="str">
        <f t="shared" si="8"/>
        <v>B</v>
      </c>
      <c r="T98" s="7" t="str">
        <f t="shared" si="9"/>
        <v>전적</v>
      </c>
    </row>
    <row r="99" spans="2:20" ht="14.45" customHeight="1" x14ac:dyDescent="0.2">
      <c r="B99" s="31" t="s">
        <v>427</v>
      </c>
      <c r="C99" s="54" t="s">
        <v>468</v>
      </c>
      <c r="D99" s="55" t="s">
        <v>1258</v>
      </c>
      <c r="E99" s="97" t="s">
        <v>1014</v>
      </c>
      <c r="F99" s="58" t="s">
        <v>31</v>
      </c>
      <c r="G99" s="58" t="s">
        <v>1639</v>
      </c>
      <c r="H99" s="59" t="s">
        <v>1330</v>
      </c>
      <c r="I99" s="60" t="s">
        <v>1331</v>
      </c>
      <c r="J99" s="61">
        <v>1510</v>
      </c>
      <c r="K99" s="62" t="s">
        <v>1385</v>
      </c>
      <c r="L99" s="100"/>
      <c r="M99" s="64"/>
      <c r="N99" s="65"/>
      <c r="O99" s="63" t="str">
        <f t="shared" si="5"/>
        <v>제06장 인사처분-제03절 전적-02</v>
      </c>
      <c r="Q99" s="7" t="str">
        <f t="shared" si="6"/>
        <v>2010-2-1</v>
      </c>
      <c r="R99" s="7" t="str">
        <f t="shared" si="7"/>
        <v>열기2-01.노동법\02.문제\[기출][1][2010-2]전적명령의 법적 성격, 유효요건, 남용 판단 기준.txt</v>
      </c>
      <c r="S99" s="7" t="str">
        <f t="shared" si="8"/>
        <v>B</v>
      </c>
      <c r="T99" s="7" t="str">
        <f t="shared" si="9"/>
        <v>전적명령의 법적 성격, 유효요건, 남용 판단 기준</v>
      </c>
    </row>
    <row r="100" spans="2:20" ht="14.45" customHeight="1" x14ac:dyDescent="0.2">
      <c r="B100" s="31" t="s">
        <v>427</v>
      </c>
      <c r="C100" s="32" t="s">
        <v>457</v>
      </c>
      <c r="D100" s="33" t="s">
        <v>128</v>
      </c>
      <c r="E100" s="69" t="s">
        <v>43</v>
      </c>
      <c r="F100" s="35" t="s">
        <v>31</v>
      </c>
      <c r="G100" s="35" t="s">
        <v>1638</v>
      </c>
      <c r="H100" s="36" t="s">
        <v>15</v>
      </c>
      <c r="I100" s="6" t="s">
        <v>957</v>
      </c>
      <c r="J100" s="37">
        <v>2836</v>
      </c>
      <c r="K100" s="38" t="s">
        <v>1385</v>
      </c>
      <c r="L100" s="298"/>
      <c r="M100" s="40"/>
      <c r="N100" s="41"/>
      <c r="O100" s="39" t="str">
        <f t="shared" si="5"/>
        <v>제06장 인사처분-제04절 휴직-01</v>
      </c>
      <c r="Q100" s="7" t="str">
        <f t="shared" si="6"/>
        <v>인사처분-1</v>
      </c>
      <c r="R100" s="7" t="str">
        <f t="shared" si="7"/>
        <v>열기2-01.노동법\01.본문\제06장 인사처분.제04절 휴직.txt</v>
      </c>
      <c r="S100" s="7" t="str">
        <f t="shared" si="8"/>
        <v>B</v>
      </c>
      <c r="T100" s="7" t="str">
        <f t="shared" si="9"/>
        <v>휴직</v>
      </c>
    </row>
    <row r="101" spans="2:20" ht="14.45" customHeight="1" x14ac:dyDescent="0.2">
      <c r="B101" s="31" t="s">
        <v>427</v>
      </c>
      <c r="C101" s="54" t="s">
        <v>457</v>
      </c>
      <c r="D101" s="55" t="s">
        <v>1258</v>
      </c>
      <c r="E101" s="97" t="s">
        <v>1013</v>
      </c>
      <c r="F101" s="58" t="s">
        <v>31</v>
      </c>
      <c r="G101" s="58" t="s">
        <v>1639</v>
      </c>
      <c r="H101" s="59" t="s">
        <v>1097</v>
      </c>
      <c r="I101" s="60" t="s">
        <v>1098</v>
      </c>
      <c r="J101" s="61">
        <v>2246</v>
      </c>
      <c r="K101" s="62" t="s">
        <v>1385</v>
      </c>
      <c r="L101" s="100"/>
      <c r="M101" s="64"/>
      <c r="N101" s="65"/>
      <c r="O101" s="63" t="str">
        <f t="shared" si="5"/>
        <v>제06장 인사처분-제04절 휴직-02</v>
      </c>
      <c r="Q101" s="7" t="str">
        <f t="shared" si="6"/>
        <v>2015-1-ii-1</v>
      </c>
      <c r="R101" s="7" t="str">
        <f t="shared" si="7"/>
        <v>열기2-01.노동법\02.문제\[기출][1][2015-1-ii]노동조합 동의 없이 개별 근로자의 동의로 변경한 인사규정을 근거로 한 휴직 명령 유지의 정당성.txt</v>
      </c>
      <c r="S101" s="7" t="str">
        <f t="shared" si="8"/>
        <v>B</v>
      </c>
      <c r="T101" s="7" t="str">
        <f t="shared" si="9"/>
        <v>노동조합 동의 없이 개별 근로자의 동의로 변경한 인사규정을 근거로 한 휴직 명령 유지의 정당성</v>
      </c>
    </row>
    <row r="102" spans="2:20" ht="14.45" customHeight="1" x14ac:dyDescent="0.2">
      <c r="B102" s="31" t="s">
        <v>427</v>
      </c>
      <c r="C102" s="32" t="s">
        <v>428</v>
      </c>
      <c r="D102" s="33" t="s">
        <v>128</v>
      </c>
      <c r="E102" s="69" t="s">
        <v>149</v>
      </c>
      <c r="F102" s="35" t="s">
        <v>31</v>
      </c>
      <c r="G102" s="35" t="s">
        <v>1638</v>
      </c>
      <c r="H102" s="36" t="s">
        <v>16</v>
      </c>
      <c r="I102" s="6" t="s">
        <v>958</v>
      </c>
      <c r="J102" s="37">
        <v>2535</v>
      </c>
      <c r="K102" s="38" t="s">
        <v>1385</v>
      </c>
      <c r="L102" s="298"/>
      <c r="M102" s="40"/>
      <c r="N102" s="41"/>
      <c r="O102" s="39" t="str">
        <f t="shared" si="5"/>
        <v>제06장 인사처분-제05절 징계-01</v>
      </c>
      <c r="Q102" s="7" t="str">
        <f t="shared" si="6"/>
        <v>인사처분-1</v>
      </c>
      <c r="R102" s="7" t="str">
        <f t="shared" si="7"/>
        <v>열기2-01.노동법\01.본문\제06장 인사처분.제05절 징계.txt</v>
      </c>
      <c r="S102" s="7" t="str">
        <f t="shared" si="8"/>
        <v>B</v>
      </c>
      <c r="T102" s="7" t="str">
        <f t="shared" si="9"/>
        <v>징계</v>
      </c>
    </row>
    <row r="103" spans="2:20" ht="14.45" customHeight="1" x14ac:dyDescent="0.2">
      <c r="B103" s="31" t="s">
        <v>427</v>
      </c>
      <c r="C103" s="54" t="s">
        <v>428</v>
      </c>
      <c r="D103" s="55" t="s">
        <v>1258</v>
      </c>
      <c r="E103" s="97" t="s">
        <v>1165</v>
      </c>
      <c r="F103" s="58" t="s">
        <v>31</v>
      </c>
      <c r="G103" s="58" t="s">
        <v>1639</v>
      </c>
      <c r="H103" s="59" t="s">
        <v>1349</v>
      </c>
      <c r="I103" s="60" t="s">
        <v>1099</v>
      </c>
      <c r="J103" s="61">
        <v>3520</v>
      </c>
      <c r="K103" s="62" t="s">
        <v>1385</v>
      </c>
      <c r="L103" s="100" t="s">
        <v>1714</v>
      </c>
      <c r="M103" s="64"/>
      <c r="N103" s="65"/>
      <c r="O103" s="63" t="str">
        <f t="shared" si="5"/>
        <v>제06장 인사처분-제05절 징계-02</v>
      </c>
      <c r="Q103" s="7" t="str">
        <f t="shared" si="6"/>
        <v>2023-1-2-1</v>
      </c>
      <c r="R103" s="7" t="str">
        <f t="shared" si="7"/>
        <v>열기2-01.노동법\02.문제\[기출][1][2023-1-2]절차의 흠결이 있는 징계의 효력에 대한 노조 대표자 주장의 타당성.txt</v>
      </c>
      <c r="S103" s="7" t="str">
        <f t="shared" si="8"/>
        <v>B</v>
      </c>
      <c r="T103" s="7" t="str">
        <f t="shared" si="9"/>
        <v>절차의 흠결이 있는 징계의 효력에 대한 노조 대표자 주장의 타당성+</v>
      </c>
    </row>
    <row r="104" spans="2:20" ht="14.45" customHeight="1" x14ac:dyDescent="0.2">
      <c r="B104" s="31" t="s">
        <v>427</v>
      </c>
      <c r="C104" s="101" t="s">
        <v>459</v>
      </c>
      <c r="D104" s="33" t="s">
        <v>128</v>
      </c>
      <c r="E104" s="69" t="s">
        <v>149</v>
      </c>
      <c r="F104" s="35" t="s">
        <v>31</v>
      </c>
      <c r="G104" s="35" t="s">
        <v>1638</v>
      </c>
      <c r="H104" s="36" t="s">
        <v>17</v>
      </c>
      <c r="I104" s="6" t="s">
        <v>959</v>
      </c>
      <c r="J104" s="37">
        <v>2891</v>
      </c>
      <c r="K104" s="38" t="s">
        <v>1385</v>
      </c>
      <c r="L104" s="298"/>
      <c r="M104" s="40"/>
      <c r="N104" s="41"/>
      <c r="O104" s="39" t="str">
        <f t="shared" si="5"/>
        <v>제06장 인사처분-제06절 직위해제(대기발령)-01</v>
      </c>
      <c r="Q104" s="7" t="str">
        <f t="shared" si="6"/>
        <v>인사처분-1</v>
      </c>
      <c r="R104" s="7" t="str">
        <f t="shared" si="7"/>
        <v>열기2-01.노동법\01.본문\제06장 인사처분.제06절 직위해제(대기발령).txt</v>
      </c>
      <c r="S104" s="7" t="str">
        <f t="shared" si="8"/>
        <v>B</v>
      </c>
      <c r="T104" s="7" t="str">
        <f t="shared" si="9"/>
        <v>직위해제(대기발령)</v>
      </c>
    </row>
    <row r="105" spans="2:20" ht="14.45" customHeight="1" thickBot="1" x14ac:dyDescent="0.25">
      <c r="B105" s="74" t="s">
        <v>427</v>
      </c>
      <c r="C105" s="103" t="s">
        <v>1486</v>
      </c>
      <c r="D105" s="76" t="s">
        <v>1258</v>
      </c>
      <c r="E105" s="77" t="s">
        <v>1166</v>
      </c>
      <c r="F105" s="78" t="s">
        <v>31</v>
      </c>
      <c r="G105" s="78" t="s">
        <v>1639</v>
      </c>
      <c r="H105" s="79" t="s">
        <v>1100</v>
      </c>
      <c r="I105" s="80" t="s">
        <v>1101</v>
      </c>
      <c r="J105" s="81">
        <v>2370</v>
      </c>
      <c r="K105" s="82" t="s">
        <v>1385</v>
      </c>
      <c r="L105" s="161"/>
      <c r="M105" s="84"/>
      <c r="N105" s="85"/>
      <c r="O105" s="83" t="str">
        <f t="shared" si="5"/>
        <v>제06장 인사처분-제06절 직위해제0(대기발령)-02</v>
      </c>
      <c r="Q105" s="7" t="str">
        <f t="shared" si="6"/>
        <v>2014-1-1-1</v>
      </c>
      <c r="R105" s="7" t="str">
        <f t="shared" si="7"/>
        <v>열기2-01.노동법\02.문제\[기출][1][2014-1-1]근무성적 불량 직원에 대한 직위해제・대기발령 처분의 정당성.txt</v>
      </c>
      <c r="S105" s="7" t="str">
        <f t="shared" si="8"/>
        <v>B</v>
      </c>
      <c r="T105" s="7" t="str">
        <f t="shared" si="9"/>
        <v>근무성적 불량 직원에 대한 직위해제・대기발령 처분의 정당성</v>
      </c>
    </row>
    <row r="106" spans="2:20" ht="14.45" customHeight="1" x14ac:dyDescent="0.2">
      <c r="B106" s="19" t="s">
        <v>423</v>
      </c>
      <c r="C106" s="86" t="s">
        <v>424</v>
      </c>
      <c r="D106" s="87" t="s">
        <v>128</v>
      </c>
      <c r="E106" s="88" t="s">
        <v>150</v>
      </c>
      <c r="F106" s="89" t="s">
        <v>31</v>
      </c>
      <c r="G106" s="89" t="s">
        <v>1638</v>
      </c>
      <c r="H106" s="90" t="s">
        <v>18</v>
      </c>
      <c r="I106" s="91" t="s">
        <v>960</v>
      </c>
      <c r="J106" s="92">
        <v>2192</v>
      </c>
      <c r="K106" s="93" t="s">
        <v>1384</v>
      </c>
      <c r="L106" s="299"/>
      <c r="M106" s="95"/>
      <c r="N106" s="96"/>
      <c r="O106" s="94" t="str">
        <f t="shared" si="5"/>
        <v>제07장 근로관계의 이전-제01절 영업양도-01</v>
      </c>
      <c r="Q106" s="7" t="str">
        <f t="shared" si="6"/>
        <v>근로관계의 이전-1</v>
      </c>
      <c r="R106" s="7" t="str">
        <f t="shared" si="7"/>
        <v>열기2-01.노동법\01.본문\제07장 근로관계의 이전.제01절 영업양도.txt</v>
      </c>
      <c r="S106" s="7" t="str">
        <f t="shared" si="8"/>
        <v>C</v>
      </c>
      <c r="T106" s="7" t="str">
        <f t="shared" si="9"/>
        <v>영업양도</v>
      </c>
    </row>
    <row r="107" spans="2:20" ht="14.45" customHeight="1" x14ac:dyDescent="0.2">
      <c r="B107" s="31" t="s">
        <v>423</v>
      </c>
      <c r="C107" s="42" t="s">
        <v>424</v>
      </c>
      <c r="D107" s="43" t="s">
        <v>1258</v>
      </c>
      <c r="E107" s="70" t="s">
        <v>1167</v>
      </c>
      <c r="F107" s="46" t="s">
        <v>31</v>
      </c>
      <c r="G107" s="46" t="s">
        <v>1639</v>
      </c>
      <c r="H107" s="47" t="s">
        <v>1104</v>
      </c>
      <c r="I107" s="48" t="s">
        <v>1105</v>
      </c>
      <c r="J107" s="49">
        <v>2029</v>
      </c>
      <c r="K107" s="50" t="s">
        <v>1384</v>
      </c>
      <c r="L107" s="68"/>
      <c r="M107" s="52"/>
      <c r="N107" s="53"/>
      <c r="O107" s="51" t="str">
        <f t="shared" si="5"/>
        <v>제07장 근로관계의 이전-제01절 영업양도-02</v>
      </c>
      <c r="Q107" s="7" t="str">
        <f t="shared" si="6"/>
        <v>2013-2-1</v>
      </c>
      <c r="R107" s="7" t="str">
        <f t="shared" si="7"/>
        <v>열기2-01.노동법\02.문제\[기출][1][2013-2]영업양도 상황에서 근로관계 승계 거부 시 회사와 근로자의 법률 관계.txt</v>
      </c>
      <c r="S107" s="7" t="str">
        <f t="shared" si="8"/>
        <v>C</v>
      </c>
      <c r="T107" s="7" t="str">
        <f t="shared" si="9"/>
        <v>영업양도 상황에서 근로관계 승계 거부 시 회사와 근로자의 법률 관계</v>
      </c>
    </row>
    <row r="108" spans="2:20" ht="14.45" customHeight="1" x14ac:dyDescent="0.2">
      <c r="B108" s="31" t="s">
        <v>423</v>
      </c>
      <c r="C108" s="42" t="s">
        <v>424</v>
      </c>
      <c r="D108" s="43" t="s">
        <v>1258</v>
      </c>
      <c r="E108" s="70" t="s">
        <v>70</v>
      </c>
      <c r="F108" s="46" t="s">
        <v>31</v>
      </c>
      <c r="G108" s="46" t="s">
        <v>1640</v>
      </c>
      <c r="H108" s="47" t="s">
        <v>1102</v>
      </c>
      <c r="I108" s="48" t="s">
        <v>1103</v>
      </c>
      <c r="J108" s="49">
        <v>2945</v>
      </c>
      <c r="K108" s="50" t="s">
        <v>1384</v>
      </c>
      <c r="L108" s="68" t="s">
        <v>1729</v>
      </c>
      <c r="M108" s="52"/>
      <c r="N108" s="53"/>
      <c r="O108" s="51" t="str">
        <f t="shared" si="5"/>
        <v>제07장 근로관계의 이전-제01절 영업양도-03</v>
      </c>
      <c r="Q108" s="7" t="str">
        <f t="shared" si="6"/>
        <v>2024-1-2-1</v>
      </c>
      <c r="R108" s="7" t="str">
        <f t="shared" si="7"/>
        <v>열기2-01.노동법\02.문제\[기출][1][2024-1-2]영업양도 상황에서 회사 잔류를 희망한 근로자의 해고에 대한 정당성.txt</v>
      </c>
      <c r="S108" s="7" t="str">
        <f t="shared" si="8"/>
        <v>C</v>
      </c>
      <c r="T108" s="7" t="str">
        <f t="shared" si="9"/>
        <v>영업양도 상황에서 회사 잔류를 희망한 근로자의 해고에 대한 정당성</v>
      </c>
    </row>
    <row r="109" spans="2:20" ht="14.45" customHeight="1" x14ac:dyDescent="0.2">
      <c r="B109" s="31" t="s">
        <v>423</v>
      </c>
      <c r="C109" s="54" t="s">
        <v>424</v>
      </c>
      <c r="D109" s="55" t="s">
        <v>308</v>
      </c>
      <c r="E109" s="71" t="s">
        <v>1525</v>
      </c>
      <c r="F109" s="58" t="s">
        <v>31</v>
      </c>
      <c r="G109" s="57" t="s">
        <v>1641</v>
      </c>
      <c r="H109" s="59" t="s">
        <v>341</v>
      </c>
      <c r="I109" s="60" t="s">
        <v>1283</v>
      </c>
      <c r="J109" s="61">
        <v>2122</v>
      </c>
      <c r="K109" s="62" t="s">
        <v>1384</v>
      </c>
      <c r="L109" s="100"/>
      <c r="M109" s="64"/>
      <c r="N109" s="65"/>
      <c r="O109" s="63" t="str">
        <f t="shared" si="5"/>
        <v>제07장 근로관계의 이전-제01절 영업양도-04</v>
      </c>
      <c r="Q109" s="7" t="str">
        <f t="shared" si="6"/>
        <v>수원지방법원 안양지원 2025.02.20. 선고 2023가단113982 판결-1</v>
      </c>
      <c r="R109" s="7" t="str">
        <f t="shared" si="7"/>
        <v>열기2-01.노동법\03.판례\[수원지방법원 안양지원 2025.02.20. 선고 2023가단113982 판결]용역업체 간 고용승계 시 적용되는 근로조건.txt</v>
      </c>
      <c r="S109" s="7" t="str">
        <f t="shared" si="8"/>
        <v>C</v>
      </c>
      <c r="T109" s="7" t="str">
        <f t="shared" si="9"/>
        <v>용역업체 간 고용승계 시 적용되는 근로조건</v>
      </c>
    </row>
    <row r="110" spans="2:20" ht="14.45" customHeight="1" x14ac:dyDescent="0.2">
      <c r="B110" s="31" t="s">
        <v>423</v>
      </c>
      <c r="C110" s="32" t="s">
        <v>1438</v>
      </c>
      <c r="D110" s="33" t="s">
        <v>128</v>
      </c>
      <c r="E110" s="69" t="s">
        <v>150</v>
      </c>
      <c r="F110" s="35" t="s">
        <v>31</v>
      </c>
      <c r="G110" s="35" t="s">
        <v>1638</v>
      </c>
      <c r="H110" s="36" t="s">
        <v>20</v>
      </c>
      <c r="I110" s="6" t="s">
        <v>961</v>
      </c>
      <c r="J110" s="37">
        <v>1689</v>
      </c>
      <c r="K110" s="38" t="s">
        <v>1384</v>
      </c>
      <c r="L110" s="298"/>
      <c r="M110" s="40"/>
      <c r="N110" s="41"/>
      <c r="O110" s="39" t="str">
        <f t="shared" si="5"/>
        <v>제07장 근로관계의 이전-제02절 합병-01</v>
      </c>
      <c r="Q110" s="7" t="str">
        <f t="shared" si="6"/>
        <v>근로관계의 이전-1</v>
      </c>
      <c r="R110" s="7" t="str">
        <f t="shared" si="7"/>
        <v>열기2-01.노동법\01.본문\제07장 근로관계의 이전.제02절 합병.txt</v>
      </c>
      <c r="S110" s="7" t="str">
        <f t="shared" si="8"/>
        <v>C</v>
      </c>
      <c r="T110" s="7" t="str">
        <f t="shared" si="9"/>
        <v>합병</v>
      </c>
    </row>
    <row r="111" spans="2:20" ht="14.45" customHeight="1" x14ac:dyDescent="0.2">
      <c r="B111" s="31" t="s">
        <v>423</v>
      </c>
      <c r="C111" s="42" t="s">
        <v>1438</v>
      </c>
      <c r="D111" s="43" t="s">
        <v>1650</v>
      </c>
      <c r="E111" s="70" t="s">
        <v>1580</v>
      </c>
      <c r="F111" s="46" t="s">
        <v>31</v>
      </c>
      <c r="G111" s="46" t="s">
        <v>1639</v>
      </c>
      <c r="H111" s="47" t="s">
        <v>1367</v>
      </c>
      <c r="I111" s="48" t="s">
        <v>1675</v>
      </c>
      <c r="J111" s="49">
        <v>1746</v>
      </c>
      <c r="K111" s="50" t="s">
        <v>1384</v>
      </c>
      <c r="L111" s="68" t="s">
        <v>1729</v>
      </c>
      <c r="M111" s="52"/>
      <c r="N111" s="53"/>
      <c r="O111" s="51" t="str">
        <f t="shared" si="5"/>
        <v>제07장 근로관계의 이전-제02절 합병-02</v>
      </c>
      <c r="Q111" s="7" t="str">
        <f t="shared" si="6"/>
        <v>7.02-1-1</v>
      </c>
      <c r="R111" s="7" t="str">
        <f t="shared" si="7"/>
        <v>열기2-01.노동법\02.문제\[모의][1][07.02-1]기업 합병 시 특정 근로자에 대한 승계 거부 및 해고 통보의 법적 효력.txt</v>
      </c>
      <c r="S111" s="7" t="str">
        <f t="shared" si="8"/>
        <v>C</v>
      </c>
      <c r="T111" s="7" t="str">
        <f t="shared" si="9"/>
        <v>기업 합병 시 특정 근로자에 대한 승계 거부 및 해고 통보의 법적 효력</v>
      </c>
    </row>
    <row r="112" spans="2:20" ht="14.45" customHeight="1" x14ac:dyDescent="0.2">
      <c r="B112" s="31" t="s">
        <v>423</v>
      </c>
      <c r="C112" s="54" t="s">
        <v>1438</v>
      </c>
      <c r="D112" s="55" t="s">
        <v>1650</v>
      </c>
      <c r="E112" s="97" t="s">
        <v>1581</v>
      </c>
      <c r="F112" s="58" t="s">
        <v>31</v>
      </c>
      <c r="G112" s="58" t="s">
        <v>1640</v>
      </c>
      <c r="H112" s="59" t="s">
        <v>1368</v>
      </c>
      <c r="I112" s="60" t="s">
        <v>1676</v>
      </c>
      <c r="J112" s="61">
        <v>1821</v>
      </c>
      <c r="K112" s="62" t="s">
        <v>1384</v>
      </c>
      <c r="L112" s="100" t="s">
        <v>1706</v>
      </c>
      <c r="M112" s="64"/>
      <c r="N112" s="65"/>
      <c r="O112" s="63" t="str">
        <f t="shared" si="5"/>
        <v>제07장 근로관계의 이전-제02절 합병-03</v>
      </c>
      <c r="Q112" s="7" t="str">
        <f t="shared" si="6"/>
        <v>7.02-2-1</v>
      </c>
      <c r="R112" s="7" t="str">
        <f t="shared" si="7"/>
        <v>열기2-01.노동법\02.문제\[모의][1][07.02-2]기업 합병 후 근로조건의 일방적 변경 및 취업규칙 적용의 법적 효력.txt</v>
      </c>
      <c r="S112" s="7" t="str">
        <f t="shared" si="8"/>
        <v>C</v>
      </c>
      <c r="T112" s="7" t="str">
        <f t="shared" si="9"/>
        <v>기업 합병 후 근로조건의 일방적 변경 및 취업규칙 적용의 법적 효력</v>
      </c>
    </row>
    <row r="113" spans="2:20" ht="14.45" customHeight="1" x14ac:dyDescent="0.2">
      <c r="B113" s="31" t="s">
        <v>423</v>
      </c>
      <c r="C113" s="101" t="s">
        <v>458</v>
      </c>
      <c r="D113" s="33" t="s">
        <v>128</v>
      </c>
      <c r="E113" s="69" t="s">
        <v>150</v>
      </c>
      <c r="F113" s="35" t="s">
        <v>31</v>
      </c>
      <c r="G113" s="35" t="s">
        <v>1638</v>
      </c>
      <c r="H113" s="36" t="s">
        <v>19</v>
      </c>
      <c r="I113" s="6" t="s">
        <v>962</v>
      </c>
      <c r="J113" s="37">
        <v>1396</v>
      </c>
      <c r="K113" s="38" t="s">
        <v>1384</v>
      </c>
      <c r="L113" s="298"/>
      <c r="M113" s="40"/>
      <c r="N113" s="41"/>
      <c r="O113" s="39" t="str">
        <f t="shared" si="5"/>
        <v>제07장 근로관계의 이전-제03절 분할-01</v>
      </c>
      <c r="Q113" s="7" t="str">
        <f t="shared" si="6"/>
        <v>근로관계의 이전-1</v>
      </c>
      <c r="R113" s="7" t="str">
        <f t="shared" si="7"/>
        <v>열기2-01.노동법\01.본문\제07장 근로관계의 이전.제03절 분할.txt</v>
      </c>
      <c r="S113" s="7" t="str">
        <f t="shared" si="8"/>
        <v>C</v>
      </c>
      <c r="T113" s="7" t="str">
        <f t="shared" si="9"/>
        <v>분할</v>
      </c>
    </row>
    <row r="114" spans="2:20" ht="14.45" customHeight="1" thickBot="1" x14ac:dyDescent="0.25">
      <c r="B114" s="74" t="s">
        <v>423</v>
      </c>
      <c r="C114" s="103" t="s">
        <v>458</v>
      </c>
      <c r="D114" s="76" t="s">
        <v>1258</v>
      </c>
      <c r="E114" s="77" t="s">
        <v>1168</v>
      </c>
      <c r="F114" s="78" t="s">
        <v>31</v>
      </c>
      <c r="G114" s="78" t="s">
        <v>1639</v>
      </c>
      <c r="H114" s="79" t="s">
        <v>1624</v>
      </c>
      <c r="I114" s="80" t="s">
        <v>1625</v>
      </c>
      <c r="J114" s="81">
        <v>1568</v>
      </c>
      <c r="K114" s="82" t="s">
        <v>1384</v>
      </c>
      <c r="L114" s="161"/>
      <c r="M114" s="84"/>
      <c r="N114" s="85"/>
      <c r="O114" s="83" t="str">
        <f t="shared" si="5"/>
        <v>제07장 근로관계의 이전-제03절 분할-02</v>
      </c>
      <c r="Q114" s="7" t="str">
        <f t="shared" si="6"/>
        <v>2015-2-1</v>
      </c>
      <c r="R114" s="7" t="str">
        <f t="shared" si="7"/>
        <v>열기2-01.노동법\02.문제\[기출][1][2015-2]회사분할에 따른 근로관계 승계 시 개별 근로자의 거부권 행사 가능 여부.txt</v>
      </c>
      <c r="S114" s="7" t="str">
        <f t="shared" si="8"/>
        <v>C</v>
      </c>
      <c r="T114" s="7" t="str">
        <f t="shared" si="9"/>
        <v>회사분할에 따른 근로관계 승계 시 개별 근로자의 거부권 행사 가능 여부</v>
      </c>
    </row>
    <row r="115" spans="2:20" ht="14.45" customHeight="1" x14ac:dyDescent="0.2">
      <c r="B115" s="19" t="s">
        <v>498</v>
      </c>
      <c r="C115" s="86" t="s">
        <v>1487</v>
      </c>
      <c r="D115" s="87" t="s">
        <v>128</v>
      </c>
      <c r="E115" s="88" t="s">
        <v>151</v>
      </c>
      <c r="F115" s="89" t="s">
        <v>31</v>
      </c>
      <c r="G115" s="89" t="s">
        <v>1638</v>
      </c>
      <c r="H115" s="90" t="s">
        <v>161</v>
      </c>
      <c r="I115" s="91" t="s">
        <v>963</v>
      </c>
      <c r="J115" s="92">
        <v>2075</v>
      </c>
      <c r="K115" s="93" t="s">
        <v>1384</v>
      </c>
      <c r="L115" s="299"/>
      <c r="M115" s="95"/>
      <c r="N115" s="96"/>
      <c r="O115" s="94" t="str">
        <f t="shared" si="5"/>
        <v>제08장 근로관계의 종료-제01절 근로관계 종료의 유형-01</v>
      </c>
      <c r="Q115" s="7" t="str">
        <f t="shared" si="6"/>
        <v>근로관계의 종료-1</v>
      </c>
      <c r="R115" s="7" t="str">
        <f t="shared" si="7"/>
        <v>열기2-01.노동법\01.본문\제08장 근로관계의 종료.제01절 근로관계 종료의 유형.txt</v>
      </c>
      <c r="S115" s="7" t="str">
        <f t="shared" si="8"/>
        <v>C</v>
      </c>
      <c r="T115" s="7" t="str">
        <f t="shared" si="9"/>
        <v>근로관계 종료의 유형</v>
      </c>
    </row>
    <row r="116" spans="2:20" ht="14.45" customHeight="1" x14ac:dyDescent="0.2">
      <c r="B116" s="31" t="s">
        <v>414</v>
      </c>
      <c r="C116" s="54" t="s">
        <v>1487</v>
      </c>
      <c r="D116" s="55" t="s">
        <v>308</v>
      </c>
      <c r="E116" s="71" t="s">
        <v>1526</v>
      </c>
      <c r="F116" s="58" t="s">
        <v>419</v>
      </c>
      <c r="G116" s="57" t="s">
        <v>1639</v>
      </c>
      <c r="H116" s="59" t="s">
        <v>1252</v>
      </c>
      <c r="I116" s="60" t="s">
        <v>1284</v>
      </c>
      <c r="J116" s="61">
        <v>3135</v>
      </c>
      <c r="K116" s="62" t="s">
        <v>1384</v>
      </c>
      <c r="L116" s="100"/>
      <c r="M116" s="64"/>
      <c r="N116" s="65"/>
      <c r="O116" s="63" t="str">
        <f t="shared" si="5"/>
        <v>제08장 근로관계의 종료-제01절 근로관계 종료의 유형-02</v>
      </c>
      <c r="Q116" s="7" t="str">
        <f t="shared" si="6"/>
        <v>대법원 2025.10.16. 선고 2025다204730 판결-1</v>
      </c>
      <c r="R116" s="7" t="str">
        <f t="shared" si="7"/>
        <v>열기2-01.노동법\03.판례\[대법원 2025.10.16. 선고 2025다204730 판결]노동위원회 등에 제출하기 위해 상대방 동의 없이 녹음한 행위의 위법성 여부.txt</v>
      </c>
      <c r="S116" s="7" t="str">
        <f t="shared" si="8"/>
        <v>C</v>
      </c>
      <c r="T116" s="7" t="str">
        <f t="shared" si="9"/>
        <v>노동위원회 등에 제출하기 위해 상대방 동의 없이 녹음한 행위의 위법성 여부</v>
      </c>
    </row>
    <row r="117" spans="2:20" ht="14.45" customHeight="1" x14ac:dyDescent="0.2">
      <c r="B117" s="31" t="s">
        <v>414</v>
      </c>
      <c r="C117" s="32" t="s">
        <v>418</v>
      </c>
      <c r="D117" s="33" t="s">
        <v>128</v>
      </c>
      <c r="E117" s="69" t="s">
        <v>151</v>
      </c>
      <c r="F117" s="35" t="s">
        <v>31</v>
      </c>
      <c r="G117" s="35" t="s">
        <v>1638</v>
      </c>
      <c r="H117" s="36" t="s">
        <v>162</v>
      </c>
      <c r="I117" s="6" t="s">
        <v>964</v>
      </c>
      <c r="J117" s="37">
        <v>1950</v>
      </c>
      <c r="K117" s="38" t="s">
        <v>1385</v>
      </c>
      <c r="L117" s="298"/>
      <c r="M117" s="40"/>
      <c r="N117" s="41"/>
      <c r="O117" s="39" t="str">
        <f t="shared" si="5"/>
        <v>제08장 근로관계의 종료-제02절 해고의 실체적 정당성-01</v>
      </c>
      <c r="Q117" s="7" t="str">
        <f t="shared" si="6"/>
        <v>근로관계의 종료-1</v>
      </c>
      <c r="R117" s="7" t="str">
        <f t="shared" si="7"/>
        <v>열기2-01.노동법\01.본문\제08장 근로관계의 종료.제02절 해고의 실체적 정당성.txt</v>
      </c>
      <c r="S117" s="7" t="str">
        <f t="shared" si="8"/>
        <v>B</v>
      </c>
      <c r="T117" s="7" t="str">
        <f t="shared" si="9"/>
        <v>해고의 실체적 정당성</v>
      </c>
    </row>
    <row r="118" spans="2:20" ht="14.45" customHeight="1" x14ac:dyDescent="0.2">
      <c r="B118" s="31" t="s">
        <v>414</v>
      </c>
      <c r="C118" s="42" t="s">
        <v>418</v>
      </c>
      <c r="D118" s="43" t="s">
        <v>1258</v>
      </c>
      <c r="E118" s="70" t="s">
        <v>113</v>
      </c>
      <c r="F118" s="46" t="s">
        <v>31</v>
      </c>
      <c r="G118" s="46" t="s">
        <v>1639</v>
      </c>
      <c r="H118" s="47" t="s">
        <v>1334</v>
      </c>
      <c r="I118" s="48" t="s">
        <v>1335</v>
      </c>
      <c r="J118" s="49">
        <v>3580</v>
      </c>
      <c r="K118" s="50" t="s">
        <v>1385</v>
      </c>
      <c r="L118" s="68"/>
      <c r="M118" s="52"/>
      <c r="N118" s="53"/>
      <c r="O118" s="51" t="str">
        <f t="shared" si="5"/>
        <v>제08장 근로관계의 종료-제02절 해고의 실체적 정당성-02</v>
      </c>
      <c r="Q118" s="7" t="str">
        <f t="shared" si="6"/>
        <v>2008-1-1</v>
      </c>
      <c r="R118" s="7" t="str">
        <f t="shared" si="7"/>
        <v>열기2-01.노동법\02.문제\[기출][1][2008-1]경영상 이유에 의한 해고의 의의, 요건, 절차 및 구제, 재고용 의무.txt</v>
      </c>
      <c r="S118" s="7" t="str">
        <f t="shared" si="8"/>
        <v>B</v>
      </c>
      <c r="T118" s="7" t="str">
        <f t="shared" si="9"/>
        <v>경영상 이유에 의한 해고의 의의, 요건, 절차 및 구제, 재고용 의무</v>
      </c>
    </row>
    <row r="119" spans="2:20" ht="14.45" customHeight="1" x14ac:dyDescent="0.2">
      <c r="B119" s="31" t="s">
        <v>414</v>
      </c>
      <c r="C119" s="42" t="s">
        <v>418</v>
      </c>
      <c r="D119" s="43" t="s">
        <v>1258</v>
      </c>
      <c r="E119" s="70" t="s">
        <v>79</v>
      </c>
      <c r="F119" s="46" t="s">
        <v>31</v>
      </c>
      <c r="G119" s="46" t="s">
        <v>1640</v>
      </c>
      <c r="H119" s="47" t="s">
        <v>1626</v>
      </c>
      <c r="I119" s="48" t="s">
        <v>1627</v>
      </c>
      <c r="J119" s="49">
        <v>2766</v>
      </c>
      <c r="K119" s="50" t="s">
        <v>1385</v>
      </c>
      <c r="L119" s="68"/>
      <c r="M119" s="52"/>
      <c r="N119" s="53"/>
      <c r="O119" s="51" t="str">
        <f t="shared" si="5"/>
        <v>제08장 근로관계의 종료-제02절 해고의 실체적 정당성-03</v>
      </c>
      <c r="Q119" s="7" t="str">
        <f t="shared" si="6"/>
        <v>2014-1-2-1</v>
      </c>
      <c r="R119" s="7" t="str">
        <f t="shared" si="7"/>
        <v>열기2-01.노동법\02.문제\[기출][1][2014-1-2]직위해제 및 대기발령 이후 재발령 없이 당연퇴직된 처분의 정당성.txt</v>
      </c>
      <c r="S119" s="7" t="str">
        <f t="shared" si="8"/>
        <v>B</v>
      </c>
      <c r="T119" s="7" t="str">
        <f t="shared" si="9"/>
        <v>직위해제 및 대기발령 이후 재발령 없이 당연퇴직된 처분의 정당성</v>
      </c>
    </row>
    <row r="120" spans="2:20" ht="14.45" customHeight="1" x14ac:dyDescent="0.2">
      <c r="B120" s="31" t="s">
        <v>414</v>
      </c>
      <c r="C120" s="42" t="s">
        <v>418</v>
      </c>
      <c r="D120" s="43" t="s">
        <v>1258</v>
      </c>
      <c r="E120" s="70" t="s">
        <v>78</v>
      </c>
      <c r="F120" s="46" t="s">
        <v>31</v>
      </c>
      <c r="G120" s="46" t="s">
        <v>1641</v>
      </c>
      <c r="H120" s="47" t="s">
        <v>1116</v>
      </c>
      <c r="I120" s="48" t="s">
        <v>1117</v>
      </c>
      <c r="J120" s="49">
        <v>1795</v>
      </c>
      <c r="K120" s="50" t="s">
        <v>1385</v>
      </c>
      <c r="L120" s="68"/>
      <c r="M120" s="52"/>
      <c r="N120" s="53"/>
      <c r="O120" s="51" t="str">
        <f t="shared" si="5"/>
        <v>제08장 근로관계의 종료-제02절 해고의 실체적 정당성-04</v>
      </c>
      <c r="Q120" s="7" t="str">
        <f t="shared" si="6"/>
        <v>2016-1-2-1</v>
      </c>
      <c r="R120" s="7" t="str">
        <f t="shared" si="7"/>
        <v>열기2-01.노동법\02.문제\[기출][1][2016-1-2]이력서 허위 기재를 근거로 한 해고의 정당성.txt</v>
      </c>
      <c r="S120" s="7" t="str">
        <f t="shared" si="8"/>
        <v>B</v>
      </c>
      <c r="T120" s="7" t="str">
        <f t="shared" si="9"/>
        <v>이력서 허위 기재를 근거로 한 해고의 정당성</v>
      </c>
    </row>
    <row r="121" spans="2:20" ht="14.45" customHeight="1" x14ac:dyDescent="0.2">
      <c r="B121" s="31" t="s">
        <v>414</v>
      </c>
      <c r="C121" s="42" t="s">
        <v>418</v>
      </c>
      <c r="D121" s="43" t="s">
        <v>1258</v>
      </c>
      <c r="E121" s="70" t="s">
        <v>77</v>
      </c>
      <c r="F121" s="46" t="s">
        <v>31</v>
      </c>
      <c r="G121" s="46" t="s">
        <v>1642</v>
      </c>
      <c r="H121" s="47" t="s">
        <v>1114</v>
      </c>
      <c r="I121" s="48" t="s">
        <v>1115</v>
      </c>
      <c r="J121" s="49">
        <v>1707</v>
      </c>
      <c r="K121" s="50" t="s">
        <v>1385</v>
      </c>
      <c r="L121" s="68"/>
      <c r="M121" s="52"/>
      <c r="N121" s="53"/>
      <c r="O121" s="51" t="str">
        <f t="shared" si="5"/>
        <v>제08장 근로관계의 종료-제02절 해고의 실체적 정당성-05</v>
      </c>
      <c r="Q121" s="7" t="str">
        <f t="shared" si="6"/>
        <v>2017-1-1-1</v>
      </c>
      <c r="R121" s="7" t="str">
        <f t="shared" si="7"/>
        <v>열기2-01.노동법\02.문제\[기출][1][2017-1-1]확정되지 않은 징계사유로 단행된 해고의 정당성.txt</v>
      </c>
      <c r="S121" s="7" t="str">
        <f t="shared" si="8"/>
        <v>B</v>
      </c>
      <c r="T121" s="7" t="str">
        <f t="shared" si="9"/>
        <v>확정되지 않은 징계사유로 단행된 해고의 정당성</v>
      </c>
    </row>
    <row r="122" spans="2:20" ht="14.45" customHeight="1" x14ac:dyDescent="0.2">
      <c r="B122" s="31" t="s">
        <v>414</v>
      </c>
      <c r="C122" s="42" t="s">
        <v>418</v>
      </c>
      <c r="D122" s="43" t="s">
        <v>1258</v>
      </c>
      <c r="E122" s="70" t="s">
        <v>76</v>
      </c>
      <c r="F122" s="46" t="s">
        <v>31</v>
      </c>
      <c r="G122" s="46" t="s">
        <v>1643</v>
      </c>
      <c r="H122" s="47" t="s">
        <v>1110</v>
      </c>
      <c r="I122" s="48" t="s">
        <v>1111</v>
      </c>
      <c r="J122" s="49">
        <v>2736</v>
      </c>
      <c r="K122" s="50" t="s">
        <v>1385</v>
      </c>
      <c r="L122" s="68"/>
      <c r="M122" s="52"/>
      <c r="N122" s="53"/>
      <c r="O122" s="51" t="str">
        <f t="shared" si="5"/>
        <v>제08장 근로관계의 종료-제02절 해고의 실체적 정당성-06</v>
      </c>
      <c r="Q122" s="7" t="str">
        <f t="shared" si="6"/>
        <v>2019-1-1-1</v>
      </c>
      <c r="R122" s="7" t="str">
        <f t="shared" si="7"/>
        <v>열기2-01.노동법\02.문제\[기출][1][2019-1-1]경영상 이유에 의한 해고 대상자 선정 기준의 위법성.txt</v>
      </c>
      <c r="S122" s="7" t="str">
        <f t="shared" si="8"/>
        <v>B</v>
      </c>
      <c r="T122" s="7" t="str">
        <f t="shared" si="9"/>
        <v>경영상 이유에 의한 해고 대상자 선정 기준의 위법성</v>
      </c>
    </row>
    <row r="123" spans="2:20" ht="14.45" customHeight="1" x14ac:dyDescent="0.2">
      <c r="B123" s="31" t="s">
        <v>414</v>
      </c>
      <c r="C123" s="42" t="s">
        <v>418</v>
      </c>
      <c r="D123" s="43" t="s">
        <v>1258</v>
      </c>
      <c r="E123" s="70" t="s">
        <v>75</v>
      </c>
      <c r="F123" s="46" t="s">
        <v>31</v>
      </c>
      <c r="G123" s="46" t="s">
        <v>1644</v>
      </c>
      <c r="H123" s="47" t="s">
        <v>1591</v>
      </c>
      <c r="I123" s="48" t="s">
        <v>1592</v>
      </c>
      <c r="J123" s="49">
        <v>2722</v>
      </c>
      <c r="K123" s="50" t="s">
        <v>1385</v>
      </c>
      <c r="L123" s="68"/>
      <c r="M123" s="52"/>
      <c r="N123" s="53"/>
      <c r="O123" s="51" t="str">
        <f t="shared" si="5"/>
        <v>제08장 근로관계의 종료-제02절 해고의 실체적 정당성-07</v>
      </c>
      <c r="Q123" s="7" t="str">
        <f t="shared" si="6"/>
        <v>2022-1-1-1</v>
      </c>
      <c r="R123" s="7" t="str">
        <f t="shared" si="7"/>
        <v>열기2-01.노동법\02.문제\[기출][1][2022-1-1]근무성적 불량 저성과자 해고의 정당성 요건 및 해고처분의 타당성 여부.txt</v>
      </c>
      <c r="S123" s="7" t="str">
        <f t="shared" si="8"/>
        <v>B</v>
      </c>
      <c r="T123" s="7" t="str">
        <f t="shared" si="9"/>
        <v>근무성적 불량 저성과자 해고의 정당성 요건 및 해고처분의 타당성 여부</v>
      </c>
    </row>
    <row r="124" spans="2:20" ht="14.45" customHeight="1" x14ac:dyDescent="0.2">
      <c r="B124" s="31" t="s">
        <v>414</v>
      </c>
      <c r="C124" s="42" t="s">
        <v>418</v>
      </c>
      <c r="D124" s="43" t="s">
        <v>1258</v>
      </c>
      <c r="E124" s="70" t="s">
        <v>1169</v>
      </c>
      <c r="F124" s="46" t="s">
        <v>31</v>
      </c>
      <c r="G124" s="46" t="s">
        <v>1645</v>
      </c>
      <c r="H124" s="47" t="s">
        <v>1112</v>
      </c>
      <c r="I124" s="48" t="s">
        <v>1113</v>
      </c>
      <c r="J124" s="49">
        <v>2906</v>
      </c>
      <c r="K124" s="50" t="s">
        <v>1385</v>
      </c>
      <c r="L124" s="68"/>
      <c r="M124" s="52"/>
      <c r="N124" s="53"/>
      <c r="O124" s="51" t="str">
        <f t="shared" si="5"/>
        <v>제08장 근로관계의 종료-제02절 해고의 실체적 정당성-08</v>
      </c>
      <c r="Q124" s="7" t="str">
        <f t="shared" si="6"/>
        <v>2023-1-1-1</v>
      </c>
      <c r="R124" s="7" t="str">
        <f t="shared" si="7"/>
        <v>열기2-01.노동법\02.문제\[기출][1][2023-1-1]경영상 이유에 의한 해고 대상자 선정 기준에 대한 합리성 및 공정성.txt</v>
      </c>
      <c r="S124" s="7" t="str">
        <f t="shared" si="8"/>
        <v>B</v>
      </c>
      <c r="T124" s="7" t="str">
        <f t="shared" si="9"/>
        <v>경영상 이유에 의한 해고 대상자 선정 기준에 대한 합리성 및 공정성</v>
      </c>
    </row>
    <row r="125" spans="2:20" ht="14.45" customHeight="1" x14ac:dyDescent="0.2">
      <c r="B125" s="31" t="s">
        <v>414</v>
      </c>
      <c r="C125" s="42" t="s">
        <v>418</v>
      </c>
      <c r="D125" s="43" t="s">
        <v>1258</v>
      </c>
      <c r="E125" s="70" t="s">
        <v>1730</v>
      </c>
      <c r="F125" s="46" t="s">
        <v>419</v>
      </c>
      <c r="G125" s="46" t="s">
        <v>1731</v>
      </c>
      <c r="H125" s="47" t="s">
        <v>1736</v>
      </c>
      <c r="I125" s="48" t="s">
        <v>1737</v>
      </c>
      <c r="J125" s="49">
        <v>2945</v>
      </c>
      <c r="K125" s="50" t="s">
        <v>1384</v>
      </c>
      <c r="L125" s="68" t="s">
        <v>1732</v>
      </c>
      <c r="M125" s="52"/>
      <c r="N125" s="53"/>
      <c r="O125" s="51" t="str">
        <f t="shared" si="5"/>
        <v>제08장 근로관계의 종료-제02절 해고의 실체적 정당성-09</v>
      </c>
      <c r="Q125" s="7" t="str">
        <f t="shared" si="6"/>
        <v>2024-1-2-1</v>
      </c>
      <c r="R125" s="7" t="str">
        <f t="shared" si="7"/>
        <v>열기2-01.노동법\02.문제\[기출][1][2024-1-2]영업양도 상황에서 회사 잔류를 희망한 근로자의 해고에 대한 정당성.txt</v>
      </c>
      <c r="S125" s="7" t="str">
        <f t="shared" si="8"/>
        <v>C</v>
      </c>
      <c r="T125" s="7" t="str">
        <f t="shared" si="9"/>
        <v>영업양도 상황에서 회사 잔류를 희망한 근로자의 해고에 대한 정당성</v>
      </c>
    </row>
    <row r="126" spans="2:20" ht="14.45" customHeight="1" x14ac:dyDescent="0.2">
      <c r="B126" s="31" t="s">
        <v>414</v>
      </c>
      <c r="C126" s="42" t="s">
        <v>418</v>
      </c>
      <c r="D126" s="43" t="s">
        <v>1258</v>
      </c>
      <c r="E126" s="70" t="s">
        <v>72</v>
      </c>
      <c r="F126" s="46" t="s">
        <v>31</v>
      </c>
      <c r="G126" s="46" t="s">
        <v>453</v>
      </c>
      <c r="H126" s="47" t="s">
        <v>1106</v>
      </c>
      <c r="I126" s="48" t="s">
        <v>1107</v>
      </c>
      <c r="J126" s="49">
        <v>2027</v>
      </c>
      <c r="K126" s="50" t="s">
        <v>1385</v>
      </c>
      <c r="L126" s="68"/>
      <c r="M126" s="52"/>
      <c r="N126" s="53"/>
      <c r="O126" s="51" t="str">
        <f t="shared" si="5"/>
        <v>제08장 근로관계의 종료-제02절 해고의 실체적 정당성-10</v>
      </c>
      <c r="Q126" s="7" t="str">
        <f t="shared" si="6"/>
        <v>2025-1-1-1</v>
      </c>
      <c r="R126" s="7" t="str">
        <f t="shared" si="7"/>
        <v>열기2-01.노동법\02.문제\[기출][1][2025-1-1]우선재고용의무 위반에 따른 근로자 지위 인정 여부.txt</v>
      </c>
      <c r="S126" s="7" t="str">
        <f t="shared" si="8"/>
        <v>B</v>
      </c>
      <c r="T126" s="7" t="str">
        <f t="shared" si="9"/>
        <v>우선재고용의무 위반에 따른 근로자 지위 인정 여부</v>
      </c>
    </row>
    <row r="127" spans="2:20" ht="14.45" customHeight="1" x14ac:dyDescent="0.2">
      <c r="B127" s="31" t="s">
        <v>414</v>
      </c>
      <c r="C127" s="42" t="s">
        <v>418</v>
      </c>
      <c r="D127" s="43" t="s">
        <v>1258</v>
      </c>
      <c r="E127" s="70" t="s">
        <v>73</v>
      </c>
      <c r="F127" s="46" t="s">
        <v>31</v>
      </c>
      <c r="G127" s="46" t="s">
        <v>460</v>
      </c>
      <c r="H127" s="47" t="s">
        <v>1108</v>
      </c>
      <c r="I127" s="48" t="s">
        <v>1109</v>
      </c>
      <c r="J127" s="49">
        <v>2600</v>
      </c>
      <c r="K127" s="50" t="s">
        <v>1385</v>
      </c>
      <c r="L127" s="68"/>
      <c r="M127" s="52"/>
      <c r="N127" s="53"/>
      <c r="O127" s="51" t="str">
        <f t="shared" si="5"/>
        <v>제08장 근로관계의 종료-제02절 해고의 실체적 정당성-11</v>
      </c>
      <c r="Q127" s="7" t="str">
        <f t="shared" si="6"/>
        <v>2025-1-2-1</v>
      </c>
      <c r="R127" s="7" t="str">
        <f t="shared" si="7"/>
        <v>열기2-01.노동법\02.문제\[기출][1][2025-1-2]우선재고용의무 위반 시 손해배상의무의 발생 시점 및 배상액 산정 방식(중간수입공제).txt</v>
      </c>
      <c r="S127" s="7" t="str">
        <f t="shared" si="8"/>
        <v>B</v>
      </c>
      <c r="T127" s="7" t="str">
        <f t="shared" si="9"/>
        <v>우선재고용의무 위반 시 손해배상의무의 발생 시점 및 배상액 산정 방식(중간수입공제)</v>
      </c>
    </row>
    <row r="128" spans="2:20" ht="14.45" customHeight="1" x14ac:dyDescent="0.2">
      <c r="B128" s="31" t="s">
        <v>414</v>
      </c>
      <c r="C128" s="42" t="s">
        <v>418</v>
      </c>
      <c r="D128" s="104" t="s">
        <v>1650</v>
      </c>
      <c r="E128" s="105" t="s">
        <v>1707</v>
      </c>
      <c r="F128" s="106" t="s">
        <v>1708</v>
      </c>
      <c r="G128" s="106" t="s">
        <v>465</v>
      </c>
      <c r="H128" s="107" t="s">
        <v>1709</v>
      </c>
      <c r="I128" s="108" t="s">
        <v>1712</v>
      </c>
      <c r="J128" s="109">
        <v>3767</v>
      </c>
      <c r="K128" s="110" t="s">
        <v>1350</v>
      </c>
      <c r="L128" s="300"/>
      <c r="M128" s="111"/>
      <c r="N128" s="112"/>
      <c r="O128" s="51" t="str">
        <f t="shared" si="5"/>
        <v>제08장 근로관계의 종료-제02절 해고의 실체적 정당성-12</v>
      </c>
      <c r="Q128" s="7" t="str">
        <f t="shared" si="6"/>
        <v>8.02-1-1</v>
      </c>
      <c r="R128" s="7" t="str">
        <f t="shared" si="7"/>
        <v>열기2-01.노동법\02.문제\[모의][1][08.02-1]권고사직을 거부한 근로자에 대한 해고 방안.txt</v>
      </c>
      <c r="S128" s="7" t="str">
        <f t="shared" si="8"/>
        <v>A</v>
      </c>
      <c r="T128" s="7" t="str">
        <f t="shared" si="9"/>
        <v>권고사직을 거부한 근로자에 대한 해고 방안</v>
      </c>
    </row>
    <row r="129" spans="2:20" ht="14.45" customHeight="1" x14ac:dyDescent="0.2">
      <c r="B129" s="31" t="s">
        <v>414</v>
      </c>
      <c r="C129" s="54" t="s">
        <v>418</v>
      </c>
      <c r="D129" s="55" t="s">
        <v>308</v>
      </c>
      <c r="E129" s="71" t="s">
        <v>1527</v>
      </c>
      <c r="F129" s="58" t="s">
        <v>31</v>
      </c>
      <c r="G129" s="113">
        <v>13</v>
      </c>
      <c r="H129" s="59" t="s">
        <v>336</v>
      </c>
      <c r="I129" s="60" t="s">
        <v>1711</v>
      </c>
      <c r="J129" s="61">
        <v>2404</v>
      </c>
      <c r="K129" s="62" t="s">
        <v>1385</v>
      </c>
      <c r="L129" s="100"/>
      <c r="M129" s="64"/>
      <c r="N129" s="65"/>
      <c r="O129" s="63" t="str">
        <f t="shared" si="5"/>
        <v>제08장 근로관계의 종료-제02절 해고의 실체적 정당성-13</v>
      </c>
      <c r="Q129" s="7" t="str">
        <f t="shared" si="6"/>
        <v>서울중앙지방법원 2024.11.15. 선고 2023가합86650 판결-1</v>
      </c>
      <c r="R129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29" s="7" t="str">
        <f t="shared" si="8"/>
        <v>B</v>
      </c>
      <c r="T129" s="7" t="str">
        <f t="shared" si="9"/>
        <v>경영상 이유에 의한 해고자에 대한 우선재고용의무의 요건인 ‘같은 업무’의 판단기준</v>
      </c>
    </row>
    <row r="130" spans="2:20" ht="14.45" customHeight="1" x14ac:dyDescent="0.2">
      <c r="B130" s="31" t="s">
        <v>414</v>
      </c>
      <c r="C130" s="114" t="s">
        <v>432</v>
      </c>
      <c r="D130" s="115" t="s">
        <v>128</v>
      </c>
      <c r="E130" s="116" t="s">
        <v>151</v>
      </c>
      <c r="F130" s="117" t="s">
        <v>31</v>
      </c>
      <c r="G130" s="117" t="s">
        <v>1638</v>
      </c>
      <c r="H130" s="118" t="s">
        <v>163</v>
      </c>
      <c r="I130" s="119" t="s">
        <v>965</v>
      </c>
      <c r="J130" s="120">
        <v>2177</v>
      </c>
      <c r="K130" s="121" t="s">
        <v>1350</v>
      </c>
      <c r="L130" s="301"/>
      <c r="M130" s="123"/>
      <c r="N130" s="124"/>
      <c r="O130" s="122" t="str">
        <f t="shared" si="5"/>
        <v>제08장 근로관계의 종료-제03절 해고의 절차적 정당성-01</v>
      </c>
      <c r="Q130" s="7" t="str">
        <f t="shared" si="6"/>
        <v>근로관계의 종료-1</v>
      </c>
      <c r="R130" s="7" t="str">
        <f t="shared" si="7"/>
        <v>열기2-01.노동법\01.본문\제08장 근로관계의 종료.제03절 해고의 절차적 정당성.txt</v>
      </c>
      <c r="S130" s="7" t="str">
        <f t="shared" si="8"/>
        <v>A</v>
      </c>
      <c r="T130" s="7" t="str">
        <f t="shared" si="9"/>
        <v>해고의 절차적 정당성</v>
      </c>
    </row>
    <row r="131" spans="2:20" ht="14.45" customHeight="1" x14ac:dyDescent="0.2">
      <c r="B131" s="31" t="s">
        <v>414</v>
      </c>
      <c r="C131" s="125" t="s">
        <v>432</v>
      </c>
      <c r="D131" s="126" t="s">
        <v>1258</v>
      </c>
      <c r="E131" s="127" t="s">
        <v>82</v>
      </c>
      <c r="F131" s="128" t="s">
        <v>31</v>
      </c>
      <c r="G131" s="128" t="s">
        <v>1639</v>
      </c>
      <c r="H131" s="129" t="s">
        <v>1613</v>
      </c>
      <c r="I131" s="130" t="s">
        <v>1614</v>
      </c>
      <c r="J131" s="131">
        <v>3451</v>
      </c>
      <c r="K131" s="132" t="s">
        <v>1350</v>
      </c>
      <c r="L131" s="136"/>
      <c r="M131" s="134"/>
      <c r="N131" s="135">
        <v>46212</v>
      </c>
      <c r="O131" s="133" t="str">
        <f t="shared" si="5"/>
        <v>제08장 근로관계의 종료-제03절 해고의 절차적 정당성-02</v>
      </c>
      <c r="Q131" s="7" t="str">
        <f t="shared" si="6"/>
        <v>2009-1-1</v>
      </c>
      <c r="R131" s="7" t="str">
        <f t="shared" si="7"/>
        <v>열기2-01.노동법\02.문제\[기출][1][2009-1]해고의 예고와 해고의 서면 통지에 대한 의의, 내용, 예외, 법적 효과.txt</v>
      </c>
      <c r="S131" s="7" t="str">
        <f t="shared" si="8"/>
        <v>A</v>
      </c>
      <c r="T131" s="7" t="str">
        <f t="shared" si="9"/>
        <v>해고의 예고와 해고의 서면 통지에 대한 의의, 내용, 예외, 법적 효과</v>
      </c>
    </row>
    <row r="132" spans="2:20" ht="14.45" customHeight="1" x14ac:dyDescent="0.2">
      <c r="B132" s="31" t="s">
        <v>414</v>
      </c>
      <c r="C132" s="125" t="s">
        <v>432</v>
      </c>
      <c r="D132" s="126" t="s">
        <v>1258</v>
      </c>
      <c r="E132" s="127" t="s">
        <v>237</v>
      </c>
      <c r="F132" s="128" t="s">
        <v>31</v>
      </c>
      <c r="G132" s="128" t="s">
        <v>1640</v>
      </c>
      <c r="H132" s="129" t="s">
        <v>1119</v>
      </c>
      <c r="I132" s="130" t="s">
        <v>1120</v>
      </c>
      <c r="J132" s="131">
        <v>2588</v>
      </c>
      <c r="K132" s="132" t="s">
        <v>1350</v>
      </c>
      <c r="L132" s="136"/>
      <c r="M132" s="134"/>
      <c r="N132" s="135">
        <v>46212</v>
      </c>
      <c r="O132" s="133" t="str">
        <f t="shared" ref="O132:O195" si="10">B132&amp;"-"&amp;C132&amp;"-"&amp;G132</f>
        <v>제08장 근로관계의 종료-제03절 해고의 절차적 정당성-03</v>
      </c>
      <c r="Q132" s="7" t="str">
        <f t="shared" ref="Q132:Q195" si="11">E132&amp;"-"&amp;F132</f>
        <v>2011-2-1</v>
      </c>
      <c r="R132" s="7" t="str">
        <f t="shared" ref="R132:R195" si="12">I132</f>
        <v>열기2-01.노동법\02.문제\[기출][1][2011-2]기간제 근로자와 회사가 주장할 수 있는 해고 관련 노동법상 쟁점(해고의 절차 및 구제신청의 이익).txt</v>
      </c>
      <c r="S132" s="7" t="str">
        <f t="shared" ref="S132:S195" si="13">K132</f>
        <v>A</v>
      </c>
      <c r="T132" s="7" t="str">
        <f t="shared" si="9"/>
        <v>기간제 근로자와 회사가 주장할 수 있는 해고 관련 노동법상 쟁점(해고의 절차 및 구제신청의 이익)</v>
      </c>
    </row>
    <row r="133" spans="2:20" ht="14.45" customHeight="1" x14ac:dyDescent="0.2">
      <c r="B133" s="31" t="s">
        <v>414</v>
      </c>
      <c r="C133" s="125" t="s">
        <v>432</v>
      </c>
      <c r="D133" s="126" t="s">
        <v>1258</v>
      </c>
      <c r="E133" s="127" t="s">
        <v>79</v>
      </c>
      <c r="F133" s="128" t="s">
        <v>27</v>
      </c>
      <c r="G133" s="128" t="s">
        <v>1641</v>
      </c>
      <c r="H133" s="129" t="s">
        <v>1593</v>
      </c>
      <c r="I133" s="130" t="s">
        <v>1232</v>
      </c>
      <c r="J133" s="131">
        <v>1907</v>
      </c>
      <c r="K133" s="132" t="s">
        <v>1350</v>
      </c>
      <c r="L133" s="136"/>
      <c r="M133" s="134"/>
      <c r="N133" s="135"/>
      <c r="O133" s="133" t="str">
        <f t="shared" si="10"/>
        <v>제08장 근로관계의 종료-제03절 해고의 절차적 정당성-04</v>
      </c>
      <c r="Q133" s="7" t="str">
        <f t="shared" si="11"/>
        <v>2014-1-2-2</v>
      </c>
      <c r="R133" s="7" t="str">
        <f t="shared" si="12"/>
        <v>열기2-01.노동법\02.문제\[기출][2][2014-1-2]단체협약상 규정된 합의 없이 실시한 정리해고의 유효성.txt</v>
      </c>
      <c r="S133" s="7" t="str">
        <f t="shared" si="13"/>
        <v>A</v>
      </c>
      <c r="T133" s="7" t="str">
        <f t="shared" ref="T133:T196" si="14">H133</f>
        <v>단체협약상 규정된 합의 없이 실시한 정리해고의 유효성</v>
      </c>
    </row>
    <row r="134" spans="2:20" ht="14.45" customHeight="1" x14ac:dyDescent="0.2">
      <c r="B134" s="31" t="s">
        <v>414</v>
      </c>
      <c r="C134" s="125" t="s">
        <v>432</v>
      </c>
      <c r="D134" s="126" t="s">
        <v>1258</v>
      </c>
      <c r="E134" s="127" t="s">
        <v>1118</v>
      </c>
      <c r="F134" s="128" t="s">
        <v>31</v>
      </c>
      <c r="G134" s="128" t="s">
        <v>1642</v>
      </c>
      <c r="H134" s="129" t="s">
        <v>1075</v>
      </c>
      <c r="I134" s="130" t="s">
        <v>1076</v>
      </c>
      <c r="J134" s="131">
        <v>1523</v>
      </c>
      <c r="K134" s="132" t="s">
        <v>1350</v>
      </c>
      <c r="L134" s="136" t="s">
        <v>1552</v>
      </c>
      <c r="M134" s="134"/>
      <c r="N134" s="135">
        <v>46212</v>
      </c>
      <c r="O134" s="133" t="str">
        <f t="shared" si="10"/>
        <v>제08장 근로관계의 종료-제03절 해고의 절차적 정당성-05</v>
      </c>
      <c r="Q134" s="7" t="str">
        <f t="shared" si="11"/>
        <v>2016-2-1</v>
      </c>
      <c r="R134" s="7" t="str">
        <f t="shared" si="12"/>
        <v>열기2-01.노동법\02.문제\[기출][1][2016-2]시용기간 만료 시 본채용 거부의 해고 여부 및 구두 통보의 정당성.txt</v>
      </c>
      <c r="S134" s="7" t="str">
        <f t="shared" si="13"/>
        <v>A</v>
      </c>
      <c r="T134" s="7" t="str">
        <f t="shared" si="14"/>
        <v>시용기간 만료 시 본채용 거부의 해고 여부 및 구두 통보의 정당성</v>
      </c>
    </row>
    <row r="135" spans="2:20" ht="14.45" customHeight="1" x14ac:dyDescent="0.2">
      <c r="B135" s="31" t="s">
        <v>414</v>
      </c>
      <c r="C135" s="125" t="s">
        <v>432</v>
      </c>
      <c r="D135" s="126" t="s">
        <v>1258</v>
      </c>
      <c r="E135" s="127" t="s">
        <v>1170</v>
      </c>
      <c r="F135" s="128" t="s">
        <v>31</v>
      </c>
      <c r="G135" s="128" t="s">
        <v>1643</v>
      </c>
      <c r="H135" s="129" t="s">
        <v>1589</v>
      </c>
      <c r="I135" s="130" t="s">
        <v>1590</v>
      </c>
      <c r="J135" s="131">
        <v>2567</v>
      </c>
      <c r="K135" s="132" t="s">
        <v>1350</v>
      </c>
      <c r="L135" s="136"/>
      <c r="M135" s="134"/>
      <c r="N135" s="135">
        <v>46207</v>
      </c>
      <c r="O135" s="133" t="str">
        <f t="shared" si="10"/>
        <v>제08장 근로관계의 종료-제03절 해고의 절차적 정당성-06</v>
      </c>
      <c r="Q135" s="7" t="str">
        <f t="shared" si="11"/>
        <v>2022-1-2-1</v>
      </c>
      <c r="R135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35" s="7" t="str">
        <f t="shared" si="13"/>
        <v>A</v>
      </c>
      <c r="T135" s="7" t="str">
        <f t="shared" si="14"/>
        <v>근로자가 해고사유를 구두로 인지하고 있는 경우 해고통지서상 해고사유 기재 누락 시 근로기준법 위반 여부</v>
      </c>
    </row>
    <row r="136" spans="2:20" ht="14.45" customHeight="1" x14ac:dyDescent="0.2">
      <c r="B136" s="31" t="s">
        <v>414</v>
      </c>
      <c r="C136" s="137" t="s">
        <v>432</v>
      </c>
      <c r="D136" s="138" t="s">
        <v>1650</v>
      </c>
      <c r="E136" s="139" t="s">
        <v>1707</v>
      </c>
      <c r="F136" s="140" t="s">
        <v>1708</v>
      </c>
      <c r="G136" s="140" t="s">
        <v>1710</v>
      </c>
      <c r="H136" s="141" t="s">
        <v>1709</v>
      </c>
      <c r="I136" s="142" t="s">
        <v>1712</v>
      </c>
      <c r="J136" s="143">
        <v>3767</v>
      </c>
      <c r="K136" s="144" t="s">
        <v>1350</v>
      </c>
      <c r="L136" s="145" t="s">
        <v>1713</v>
      </c>
      <c r="M136" s="146"/>
      <c r="N136" s="147"/>
      <c r="O136" s="133" t="str">
        <f t="shared" si="10"/>
        <v>제08장 근로관계의 종료-제03절 해고의 절차적 정당성-07</v>
      </c>
      <c r="Q136" s="7" t="str">
        <f t="shared" si="11"/>
        <v>8.02-1-1</v>
      </c>
      <c r="R136" s="7" t="str">
        <f t="shared" si="12"/>
        <v>열기2-01.노동법\02.문제\[모의][1][08.02-1]권고사직을 거부한 근로자에 대한 해고 방안.txt</v>
      </c>
      <c r="S136" s="7" t="str">
        <f t="shared" si="13"/>
        <v>A</v>
      </c>
      <c r="T136" s="7" t="str">
        <f t="shared" si="14"/>
        <v>권고사직을 거부한 근로자에 대한 해고 방안</v>
      </c>
    </row>
    <row r="137" spans="2:20" ht="14.45" customHeight="1" x14ac:dyDescent="0.2">
      <c r="B137" s="31" t="s">
        <v>414</v>
      </c>
      <c r="C137" s="101" t="s">
        <v>436</v>
      </c>
      <c r="D137" s="33" t="s">
        <v>128</v>
      </c>
      <c r="E137" s="69" t="s">
        <v>151</v>
      </c>
      <c r="F137" s="35" t="s">
        <v>31</v>
      </c>
      <c r="G137" s="35" t="s">
        <v>1638</v>
      </c>
      <c r="H137" s="36" t="s">
        <v>164</v>
      </c>
      <c r="I137" s="6" t="s">
        <v>966</v>
      </c>
      <c r="J137" s="37">
        <v>2533</v>
      </c>
      <c r="K137" s="38" t="s">
        <v>1384</v>
      </c>
      <c r="L137" s="298"/>
      <c r="M137" s="40"/>
      <c r="N137" s="41"/>
      <c r="O137" s="39" t="str">
        <f t="shared" si="10"/>
        <v>제08장 근로관계의 종료-제04절 부당해고의 구제-01</v>
      </c>
      <c r="Q137" s="7" t="str">
        <f t="shared" si="11"/>
        <v>근로관계의 종료-1</v>
      </c>
      <c r="R137" s="7" t="str">
        <f t="shared" si="12"/>
        <v>열기2-01.노동법\01.본문\제08장 근로관계의 종료.제04절 부당해고의 구제.txt</v>
      </c>
      <c r="S137" s="7" t="str">
        <f t="shared" si="13"/>
        <v>C</v>
      </c>
      <c r="T137" s="7" t="str">
        <f t="shared" si="14"/>
        <v>부당해고의 구제</v>
      </c>
    </row>
    <row r="138" spans="2:20" ht="14.45" customHeight="1" x14ac:dyDescent="0.2">
      <c r="B138" s="31" t="s">
        <v>414</v>
      </c>
      <c r="C138" s="102" t="s">
        <v>436</v>
      </c>
      <c r="D138" s="43" t="s">
        <v>1258</v>
      </c>
      <c r="E138" s="70" t="s">
        <v>284</v>
      </c>
      <c r="F138" s="46" t="s">
        <v>31</v>
      </c>
      <c r="G138" s="46" t="s">
        <v>1639</v>
      </c>
      <c r="H138" s="47" t="s">
        <v>1121</v>
      </c>
      <c r="I138" s="48" t="s">
        <v>1122</v>
      </c>
      <c r="J138" s="49">
        <v>1984</v>
      </c>
      <c r="K138" s="50" t="s">
        <v>1384</v>
      </c>
      <c r="L138" s="68"/>
      <c r="M138" s="52"/>
      <c r="N138" s="53"/>
      <c r="O138" s="51" t="str">
        <f t="shared" si="10"/>
        <v>제08장 근로관계의 종료-제04절 부당해고의 구제-02</v>
      </c>
      <c r="Q138" s="7" t="str">
        <f t="shared" si="11"/>
        <v>2021-2-1</v>
      </c>
      <c r="R138" s="7" t="str">
        <f t="shared" si="12"/>
        <v>열기2-01.노동법\02.문제\[기출][1][2021-2]정년 도달로 근로관계가 종료된 경우 부당해고 재심판정취소소송의 소의 이익 존부.txt</v>
      </c>
      <c r="S138" s="7" t="str">
        <f t="shared" si="13"/>
        <v>C</v>
      </c>
      <c r="T138" s="7" t="str">
        <f t="shared" si="14"/>
        <v>정년 도달로 근로관계가 종료된 경우 부당해고 재심판정취소소송의 소의 이익 존부</v>
      </c>
    </row>
    <row r="139" spans="2:20" ht="14.45" customHeight="1" x14ac:dyDescent="0.2">
      <c r="B139" s="31" t="s">
        <v>414</v>
      </c>
      <c r="C139" s="102" t="s">
        <v>436</v>
      </c>
      <c r="D139" s="43" t="s">
        <v>1258</v>
      </c>
      <c r="E139" s="70" t="s">
        <v>282</v>
      </c>
      <c r="F139" s="46" t="s">
        <v>31</v>
      </c>
      <c r="G139" s="46" t="s">
        <v>1640</v>
      </c>
      <c r="H139" s="47" t="s">
        <v>1628</v>
      </c>
      <c r="I139" s="48" t="s">
        <v>1629</v>
      </c>
      <c r="J139" s="49">
        <v>2661</v>
      </c>
      <c r="K139" s="50" t="s">
        <v>1384</v>
      </c>
      <c r="L139" s="68"/>
      <c r="M139" s="52"/>
      <c r="N139" s="53"/>
      <c r="O139" s="51" t="str">
        <f t="shared" si="10"/>
        <v>제08장 근로관계의 종료-제04절 부당해고의 구제-03</v>
      </c>
      <c r="Q139" s="7" t="str">
        <f t="shared" si="11"/>
        <v>2024-2-1</v>
      </c>
      <c r="R139" s="7" t="str">
        <f t="shared" si="12"/>
        <v>열기2-01.노동법\02.문제\[기출][1][2024-2]부당해고 기간 중 중간수입공제의 범위와 최종 임금상당액 산정.txt</v>
      </c>
      <c r="S139" s="7" t="str">
        <f t="shared" si="13"/>
        <v>C</v>
      </c>
      <c r="T139" s="7" t="str">
        <f t="shared" si="14"/>
        <v>부당해고 기간 중 중간수입공제의 범위와 최종 임금상당액 산정</v>
      </c>
    </row>
    <row r="140" spans="2:20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1528</v>
      </c>
      <c r="F140" s="78" t="s">
        <v>31</v>
      </c>
      <c r="G140" s="99" t="s">
        <v>1641</v>
      </c>
      <c r="H140" s="79" t="s">
        <v>342</v>
      </c>
      <c r="I140" s="80" t="s">
        <v>1285</v>
      </c>
      <c r="J140" s="81">
        <v>5101</v>
      </c>
      <c r="K140" s="82" t="s">
        <v>1384</v>
      </c>
      <c r="L140" s="161"/>
      <c r="M140" s="84"/>
      <c r="N140" s="85"/>
      <c r="O140" s="83" t="str">
        <f t="shared" si="10"/>
        <v>제08장 근로관계의 종료-제04절 부당해고의 구제-04</v>
      </c>
      <c r="Q140" s="7" t="str">
        <f t="shared" si="11"/>
        <v>대법원 2025.03.13. 선고 2024두54683 판결-1</v>
      </c>
      <c r="R140" s="7" t="str">
        <f t="shared" si="12"/>
        <v>열기2-01.노동법\03.판례\[대법원 2025.03.13. 선고 2024두54683 판결]복직명령과 금전보상명령의 구제이익.txt</v>
      </c>
      <c r="S140" s="7" t="str">
        <f t="shared" si="13"/>
        <v>C</v>
      </c>
      <c r="T140" s="7" t="str">
        <f t="shared" si="14"/>
        <v>복직명령과 금전보상명령의 구제이익</v>
      </c>
    </row>
    <row r="141" spans="2:20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1638</v>
      </c>
      <c r="H141" s="90" t="s">
        <v>165</v>
      </c>
      <c r="I141" s="91" t="s">
        <v>967</v>
      </c>
      <c r="J141" s="92">
        <v>2206</v>
      </c>
      <c r="K141" s="93" t="s">
        <v>1384</v>
      </c>
      <c r="L141" s="299"/>
      <c r="M141" s="95"/>
      <c r="N141" s="96"/>
      <c r="O141" s="94" t="str">
        <f t="shared" si="10"/>
        <v>제09장 비정규근로자-제01절 기간제근로자-01</v>
      </c>
      <c r="Q141" s="7" t="str">
        <f t="shared" si="11"/>
        <v>비정규근로자-1</v>
      </c>
      <c r="R141" s="7" t="str">
        <f t="shared" si="12"/>
        <v>열기2-01.노동법\01.본문\제09장 비정규근로자.제01절 기간제근로자.txt</v>
      </c>
      <c r="S141" s="7" t="str">
        <f t="shared" si="13"/>
        <v>C</v>
      </c>
      <c r="T141" s="7" t="str">
        <f t="shared" si="14"/>
        <v>기간제근로자</v>
      </c>
    </row>
    <row r="142" spans="2:20" ht="14.45" customHeight="1" x14ac:dyDescent="0.2">
      <c r="B142" s="31" t="s">
        <v>421</v>
      </c>
      <c r="C142" s="42" t="s">
        <v>422</v>
      </c>
      <c r="D142" s="43" t="s">
        <v>1258</v>
      </c>
      <c r="E142" s="70" t="s">
        <v>237</v>
      </c>
      <c r="F142" s="46" t="s">
        <v>31</v>
      </c>
      <c r="G142" s="46" t="s">
        <v>1639</v>
      </c>
      <c r="H142" s="47" t="s">
        <v>1119</v>
      </c>
      <c r="I142" s="48" t="s">
        <v>1120</v>
      </c>
      <c r="J142" s="49">
        <v>2588</v>
      </c>
      <c r="K142" s="50" t="s">
        <v>1384</v>
      </c>
      <c r="L142" s="68" t="s">
        <v>1552</v>
      </c>
      <c r="M142" s="52"/>
      <c r="N142" s="53"/>
      <c r="O142" s="51" t="str">
        <f t="shared" si="10"/>
        <v>제09장 비정규근로자-제01절 기간제근로자-02</v>
      </c>
      <c r="Q142" s="7" t="str">
        <f t="shared" si="11"/>
        <v>2011-2-1</v>
      </c>
      <c r="R142" s="7" t="str">
        <f t="shared" si="12"/>
        <v>열기2-01.노동법\02.문제\[기출][1][2011-2]기간제 근로자와 회사가 주장할 수 있는 해고 관련 노동법상 쟁점(해고의 절차 및 구제신청의 이익).txt</v>
      </c>
      <c r="S142" s="7" t="str">
        <f t="shared" si="13"/>
        <v>C</v>
      </c>
      <c r="T142" s="7" t="str">
        <f t="shared" si="14"/>
        <v>기간제 근로자와 회사가 주장할 수 있는 해고 관련 노동법상 쟁점(해고의 절차 및 구제신청의 이익)</v>
      </c>
    </row>
    <row r="143" spans="2:20" ht="14.45" customHeight="1" x14ac:dyDescent="0.2">
      <c r="B143" s="31" t="s">
        <v>421</v>
      </c>
      <c r="C143" s="42" t="s">
        <v>422</v>
      </c>
      <c r="D143" s="43" t="s">
        <v>1258</v>
      </c>
      <c r="E143" s="70" t="s">
        <v>1171</v>
      </c>
      <c r="F143" s="46" t="s">
        <v>31</v>
      </c>
      <c r="G143" s="46" t="s">
        <v>1640</v>
      </c>
      <c r="H143" s="47" t="s">
        <v>1125</v>
      </c>
      <c r="I143" s="48" t="s">
        <v>1126</v>
      </c>
      <c r="J143" s="49">
        <v>1438</v>
      </c>
      <c r="K143" s="50" t="s">
        <v>1384</v>
      </c>
      <c r="L143" s="68"/>
      <c r="M143" s="52"/>
      <c r="N143" s="53"/>
      <c r="O143" s="51" t="str">
        <f t="shared" si="10"/>
        <v>제09장 비정규근로자-제01절 기간제근로자-03</v>
      </c>
      <c r="Q143" s="7" t="str">
        <f t="shared" si="11"/>
        <v>2018-2-1</v>
      </c>
      <c r="R143" s="7" t="str">
        <f t="shared" si="12"/>
        <v>열기2-01.노동법\02.문제\[기출][1][2018-2]기간제 근로계약 만료 시 사용자의 갱신거절이 부당해고에 해당하는지에 관한 판례법리.txt</v>
      </c>
      <c r="S143" s="7" t="str">
        <f t="shared" si="13"/>
        <v>C</v>
      </c>
      <c r="T143" s="7" t="str">
        <f t="shared" si="14"/>
        <v>기간제 근로계약 만료 시 사용자의 갱신거절이 부당해고에 해당하는지에 관한 판례법리</v>
      </c>
    </row>
    <row r="144" spans="2:20" ht="14.45" customHeight="1" x14ac:dyDescent="0.2">
      <c r="B144" s="31" t="s">
        <v>421</v>
      </c>
      <c r="C144" s="54" t="s">
        <v>422</v>
      </c>
      <c r="D144" s="55" t="s">
        <v>1258</v>
      </c>
      <c r="E144" s="97" t="s">
        <v>83</v>
      </c>
      <c r="F144" s="58" t="s">
        <v>31</v>
      </c>
      <c r="G144" s="58" t="s">
        <v>1641</v>
      </c>
      <c r="H144" s="59" t="s">
        <v>1123</v>
      </c>
      <c r="I144" s="60" t="s">
        <v>1124</v>
      </c>
      <c r="J144" s="61">
        <v>2990</v>
      </c>
      <c r="K144" s="62" t="s">
        <v>1384</v>
      </c>
      <c r="L144" s="100"/>
      <c r="M144" s="64"/>
      <c r="N144" s="65"/>
      <c r="O144" s="63" t="str">
        <f t="shared" si="10"/>
        <v>제09장 비정규근로자-제01절 기간제근로자-04</v>
      </c>
      <c r="Q144" s="7" t="str">
        <f t="shared" si="11"/>
        <v>2024-1-1-1</v>
      </c>
      <c r="R144" s="7" t="str">
        <f t="shared" si="12"/>
        <v>열기2-01.노동법\02.문제\[기출][1][2024-1-1]기간제 근로자에 대한 근무평가 결과에 기초한 갱신거절 통보의 정당성 여부.txt</v>
      </c>
      <c r="S144" s="7" t="str">
        <f t="shared" si="13"/>
        <v>C</v>
      </c>
      <c r="T144" s="7" t="str">
        <f t="shared" si="14"/>
        <v>기간제 근로자에 대한 근무평가 결과에 기초한 갱신거절 통보의 정당성 여부</v>
      </c>
    </row>
    <row r="145" spans="2:20" ht="14.45" customHeight="1" x14ac:dyDescent="0.2">
      <c r="B145" s="31" t="s">
        <v>421</v>
      </c>
      <c r="C145" s="32" t="s">
        <v>1441</v>
      </c>
      <c r="D145" s="33" t="s">
        <v>128</v>
      </c>
      <c r="E145" s="69" t="s">
        <v>152</v>
      </c>
      <c r="F145" s="35" t="s">
        <v>31</v>
      </c>
      <c r="G145" s="35" t="s">
        <v>1638</v>
      </c>
      <c r="H145" s="36" t="s">
        <v>166</v>
      </c>
      <c r="I145" s="6" t="s">
        <v>968</v>
      </c>
      <c r="J145" s="37">
        <v>2023</v>
      </c>
      <c r="K145" s="38" t="s">
        <v>1350</v>
      </c>
      <c r="L145" s="298"/>
      <c r="M145" s="40"/>
      <c r="N145" s="41"/>
      <c r="O145" s="39" t="str">
        <f t="shared" si="10"/>
        <v>제09장 비정규근로자-제02절 단시간근로자-01</v>
      </c>
      <c r="Q145" s="7" t="str">
        <f t="shared" si="11"/>
        <v>비정규근로자-1</v>
      </c>
      <c r="R145" s="7" t="str">
        <f t="shared" si="12"/>
        <v>열기2-01.노동법\01.본문\제09장 비정규근로자.제02절 단시간근로자.txt</v>
      </c>
      <c r="S145" s="7" t="str">
        <f t="shared" si="13"/>
        <v>A</v>
      </c>
      <c r="T145" s="7" t="str">
        <f t="shared" si="14"/>
        <v>단시간근로자</v>
      </c>
    </row>
    <row r="146" spans="2:20" ht="14.45" customHeight="1" x14ac:dyDescent="0.2">
      <c r="B146" s="31" t="s">
        <v>421</v>
      </c>
      <c r="C146" s="42" t="s">
        <v>1441</v>
      </c>
      <c r="D146" s="43" t="s">
        <v>1650</v>
      </c>
      <c r="E146" s="70" t="s">
        <v>1582</v>
      </c>
      <c r="F146" s="46" t="s">
        <v>31</v>
      </c>
      <c r="G146" s="46" t="s">
        <v>1639</v>
      </c>
      <c r="H146" s="47" t="s">
        <v>1369</v>
      </c>
      <c r="I146" s="48" t="s">
        <v>1677</v>
      </c>
      <c r="J146" s="49">
        <v>2051</v>
      </c>
      <c r="K146" s="50" t="s">
        <v>1351</v>
      </c>
      <c r="L146" s="68"/>
      <c r="M146" s="52"/>
      <c r="N146" s="53">
        <v>46212</v>
      </c>
      <c r="O146" s="51" t="str">
        <f t="shared" si="10"/>
        <v>제09장 비정규근로자-제02절 단시간근로자-02</v>
      </c>
      <c r="Q146" s="7" t="str">
        <f t="shared" si="11"/>
        <v>9.02-1-1</v>
      </c>
      <c r="R146" s="7" t="str">
        <f t="shared" si="12"/>
        <v>열기2-01.노동법\02.문제\[모의][1][09.02-1]단시간근로자의 초과근로 가산수당 지급 요건 및 근로자의 가산임금 청구권 인정 여부.txt</v>
      </c>
      <c r="S146" s="7" t="str">
        <f t="shared" si="13"/>
        <v>A</v>
      </c>
      <c r="T146" s="7" t="str">
        <f t="shared" si="14"/>
        <v>단시간근로자의 초과근로 가산수당 지급 요건 및 근로자의 가산임금 청구권 인정 여부</v>
      </c>
    </row>
    <row r="147" spans="2:20" ht="14.45" customHeight="1" x14ac:dyDescent="0.2">
      <c r="B147" s="31" t="s">
        <v>421</v>
      </c>
      <c r="C147" s="54" t="s">
        <v>1441</v>
      </c>
      <c r="D147" s="55" t="s">
        <v>1650</v>
      </c>
      <c r="E147" s="97" t="s">
        <v>1583</v>
      </c>
      <c r="F147" s="58" t="s">
        <v>31</v>
      </c>
      <c r="G147" s="58" t="s">
        <v>1640</v>
      </c>
      <c r="H147" s="59" t="s">
        <v>1370</v>
      </c>
      <c r="I147" s="60" t="s">
        <v>1678</v>
      </c>
      <c r="J147" s="61">
        <v>1973</v>
      </c>
      <c r="K147" s="62" t="s">
        <v>1351</v>
      </c>
      <c r="L147" s="100"/>
      <c r="M147" s="64"/>
      <c r="N147" s="65">
        <v>46212</v>
      </c>
      <c r="O147" s="63" t="str">
        <f t="shared" si="10"/>
        <v>제09장 비정규근로자-제02절 단시간근로자-03</v>
      </c>
      <c r="Q147" s="7" t="str">
        <f t="shared" si="11"/>
        <v>9.02-2-1</v>
      </c>
      <c r="R147" s="7" t="str">
        <f t="shared" si="12"/>
        <v>열기2-01.노동법\02.문제\[모의][1][09.02-2]차별적 처우 금지 원칙과 상여금 미지급의 합리적 이유 없는 차별 해당 여부.txt</v>
      </c>
      <c r="S147" s="7" t="str">
        <f t="shared" si="13"/>
        <v>A</v>
      </c>
      <c r="T147" s="7" t="str">
        <f t="shared" si="14"/>
        <v>차별적 처우 금지 원칙과 상여금 미지급의 합리적 이유 없는 차별 해당 여부</v>
      </c>
    </row>
    <row r="148" spans="2:20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1638</v>
      </c>
      <c r="H148" s="36" t="s">
        <v>167</v>
      </c>
      <c r="I148" s="6" t="s">
        <v>969</v>
      </c>
      <c r="J148" s="37">
        <v>1974</v>
      </c>
      <c r="K148" s="38" t="s">
        <v>1384</v>
      </c>
      <c r="L148" s="298"/>
      <c r="M148" s="40"/>
      <c r="N148" s="41"/>
      <c r="O148" s="39" t="str">
        <f t="shared" si="10"/>
        <v>제09장 비정규근로자-제03절 파견근로자-01</v>
      </c>
      <c r="Q148" s="7" t="str">
        <f t="shared" si="11"/>
        <v>비정규근로자-1</v>
      </c>
      <c r="R148" s="7" t="str">
        <f t="shared" si="12"/>
        <v>열기2-01.노동법\01.본문\제09장 비정규근로자.제03절 파견근로자.txt</v>
      </c>
      <c r="S148" s="7" t="str">
        <f t="shared" si="13"/>
        <v>C</v>
      </c>
      <c r="T148" s="7" t="str">
        <f t="shared" si="14"/>
        <v>파견근로자</v>
      </c>
    </row>
    <row r="149" spans="2:20" ht="14.45" customHeight="1" x14ac:dyDescent="0.2">
      <c r="B149" s="31" t="s">
        <v>421</v>
      </c>
      <c r="C149" s="42" t="s">
        <v>429</v>
      </c>
      <c r="D149" s="43" t="s">
        <v>1258</v>
      </c>
      <c r="E149" s="70" t="s">
        <v>1158</v>
      </c>
      <c r="F149" s="46" t="s">
        <v>31</v>
      </c>
      <c r="G149" s="46" t="s">
        <v>1639</v>
      </c>
      <c r="H149" s="47" t="s">
        <v>1022</v>
      </c>
      <c r="I149" s="48" t="s">
        <v>1023</v>
      </c>
      <c r="J149" s="49">
        <v>2909</v>
      </c>
      <c r="K149" s="50" t="s">
        <v>1384</v>
      </c>
      <c r="L149" s="68" t="s">
        <v>1552</v>
      </c>
      <c r="M149" s="52"/>
      <c r="N149" s="53"/>
      <c r="O149" s="51" t="str">
        <f t="shared" si="10"/>
        <v>제09장 비정규근로자-제03절 파견근로자-02</v>
      </c>
      <c r="Q149" s="7" t="str">
        <f t="shared" si="11"/>
        <v>2020-1-1-1</v>
      </c>
      <c r="R149" s="7" t="str">
        <f t="shared" si="12"/>
        <v>열기2-01.노동법\02.문제\[기출][1][2020-1-1]명목상 외주업체 소속 근로자의 실질적 사업주 판단 기준.txt</v>
      </c>
      <c r="S149" s="7" t="str">
        <f t="shared" si="13"/>
        <v>C</v>
      </c>
      <c r="T149" s="7" t="str">
        <f t="shared" si="14"/>
        <v>명목상 외주업체 소속 근로자의 실질적 사업주 판단 기준</v>
      </c>
    </row>
    <row r="150" spans="2:20" ht="14.45" customHeight="1" x14ac:dyDescent="0.2">
      <c r="B150" s="31" t="s">
        <v>421</v>
      </c>
      <c r="C150" s="42" t="s">
        <v>429</v>
      </c>
      <c r="D150" s="43" t="s">
        <v>1258</v>
      </c>
      <c r="E150" s="70" t="s">
        <v>85</v>
      </c>
      <c r="F150" s="46" t="s">
        <v>31</v>
      </c>
      <c r="G150" s="46" t="s">
        <v>1640</v>
      </c>
      <c r="H150" s="47" t="s">
        <v>1630</v>
      </c>
      <c r="I150" s="48" t="s">
        <v>1631</v>
      </c>
      <c r="J150" s="49">
        <v>2695</v>
      </c>
      <c r="K150" s="50" t="s">
        <v>1384</v>
      </c>
      <c r="L150" s="68"/>
      <c r="M150" s="52"/>
      <c r="N150" s="53"/>
      <c r="O150" s="51" t="str">
        <f t="shared" si="10"/>
        <v>제09장 비정규근로자-제03절 파견근로자-03</v>
      </c>
      <c r="Q150" s="7" t="str">
        <f t="shared" si="11"/>
        <v>2020-1-2-1</v>
      </c>
      <c r="R150" s="7" t="str">
        <f t="shared" si="12"/>
        <v>열기2-01.노동법\02.문제\[기출][1][2020-1-2]통행료 수납원의 근로자파견 여부 및 무허가 파견에 따른 직접고용의무.txt</v>
      </c>
      <c r="S150" s="7" t="str">
        <f t="shared" si="13"/>
        <v>C</v>
      </c>
      <c r="T150" s="7" t="str">
        <f t="shared" si="14"/>
        <v>통행료 수납원의 근로자파견 여부 및 무허가 파견에 따른 직접고용의무</v>
      </c>
    </row>
    <row r="151" spans="2:20" ht="14.45" customHeight="1" x14ac:dyDescent="0.2">
      <c r="B151" s="31" t="s">
        <v>421</v>
      </c>
      <c r="C151" s="42" t="s">
        <v>429</v>
      </c>
      <c r="D151" s="43" t="s">
        <v>1258</v>
      </c>
      <c r="E151" s="70" t="s">
        <v>84</v>
      </c>
      <c r="F151" s="46" t="s">
        <v>31</v>
      </c>
      <c r="G151" s="46" t="s">
        <v>1641</v>
      </c>
      <c r="H151" s="47" t="s">
        <v>1127</v>
      </c>
      <c r="I151" s="48" t="s">
        <v>1128</v>
      </c>
      <c r="J151" s="49">
        <v>1761</v>
      </c>
      <c r="K151" s="50" t="s">
        <v>1384</v>
      </c>
      <c r="L151" s="68"/>
      <c r="M151" s="52"/>
      <c r="N151" s="53"/>
      <c r="O151" s="51" t="str">
        <f t="shared" si="10"/>
        <v>제09장 비정규근로자-제03절 파견근로자-04</v>
      </c>
      <c r="Q151" s="7" t="str">
        <f t="shared" si="11"/>
        <v>2023-2-1</v>
      </c>
      <c r="R151" s="7" t="str">
        <f t="shared" si="12"/>
        <v>열기2-01.노동법\02.문제\[기출][1][2023-2]근로계약관계의 실질적 사용자 및 계약의 형태(도급, 전적, 파견)에 따른 직접고용의무 판단.txt</v>
      </c>
      <c r="S151" s="7" t="str">
        <f t="shared" si="13"/>
        <v>C</v>
      </c>
      <c r="T151" s="7" t="str">
        <f t="shared" si="14"/>
        <v>근로계약관계의 실질적 사용자 및 계약의 형태(도급, 전적, 파견)에 따른 직접고용의무 판단</v>
      </c>
    </row>
    <row r="152" spans="2:20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1530</v>
      </c>
      <c r="F152" s="46" t="s">
        <v>31</v>
      </c>
      <c r="G152" s="45" t="s">
        <v>1642</v>
      </c>
      <c r="H152" s="47" t="s">
        <v>346</v>
      </c>
      <c r="I152" s="48" t="s">
        <v>1287</v>
      </c>
      <c r="J152" s="49">
        <v>2606</v>
      </c>
      <c r="K152" s="50" t="s">
        <v>1384</v>
      </c>
      <c r="L152" s="68"/>
      <c r="M152" s="52"/>
      <c r="N152" s="53"/>
      <c r="O152" s="51" t="str">
        <f t="shared" si="10"/>
        <v>제09장 비정규근로자-제03절 파견근로자-05</v>
      </c>
      <c r="Q152" s="7" t="str">
        <f t="shared" si="11"/>
        <v>대법원 2025.06.12. 선고 2022다166, 2022다173(병합), 2022다180(병합) 판결-1</v>
      </c>
      <c r="R152" s="7" t="str">
        <f t="shared" si="12"/>
        <v>열기2-01.노동법\03.판례\[대법원 2025.06.12. 선고 2022다166, 2022다173(병합), 2022다180(병합) 판결]근로자파견관계 판단의 판단기준.txt</v>
      </c>
      <c r="S152" s="7" t="str">
        <f t="shared" si="13"/>
        <v>C</v>
      </c>
      <c r="T152" s="7" t="str">
        <f t="shared" si="14"/>
        <v>근로자파견관계 판단의 판단기준</v>
      </c>
    </row>
    <row r="153" spans="2:20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1529</v>
      </c>
      <c r="F153" s="58" t="s">
        <v>31</v>
      </c>
      <c r="G153" s="57" t="s">
        <v>1643</v>
      </c>
      <c r="H153" s="59" t="s">
        <v>343</v>
      </c>
      <c r="I153" s="60" t="s">
        <v>1286</v>
      </c>
      <c r="J153" s="61">
        <v>4099</v>
      </c>
      <c r="K153" s="62" t="s">
        <v>1384</v>
      </c>
      <c r="L153" s="100"/>
      <c r="M153" s="64"/>
      <c r="N153" s="65"/>
      <c r="O153" s="63" t="str">
        <f t="shared" si="10"/>
        <v>제09장 비정규근로자-제03절 파견근로자-06</v>
      </c>
      <c r="Q153" s="7" t="str">
        <f t="shared" si="11"/>
        <v>서울고등법원 2025.01.10. 선고 2024나2008315 판결-1</v>
      </c>
      <c r="R153" s="7" t="str">
        <f t="shared" si="12"/>
        <v>열기2-01.노동법\03.판례\[서울고등법원 2025.01.10. 선고 2024나2008315 판결]임원수행기사 도급 업무의 파견 해당 여부.txt</v>
      </c>
      <c r="S153" s="7" t="str">
        <f t="shared" si="13"/>
        <v>C</v>
      </c>
      <c r="T153" s="7" t="str">
        <f t="shared" si="14"/>
        <v>임원수행기사 도급 업무의 파견 해당 여부</v>
      </c>
    </row>
    <row r="154" spans="2:20" ht="14.45" customHeight="1" x14ac:dyDescent="0.2">
      <c r="B154" s="31" t="s">
        <v>421</v>
      </c>
      <c r="C154" s="101" t="s">
        <v>1488</v>
      </c>
      <c r="D154" s="33" t="s">
        <v>128</v>
      </c>
      <c r="E154" s="69" t="s">
        <v>152</v>
      </c>
      <c r="F154" s="35" t="s">
        <v>31</v>
      </c>
      <c r="G154" s="35" t="s">
        <v>1638</v>
      </c>
      <c r="H154" s="36" t="s">
        <v>168</v>
      </c>
      <c r="I154" s="6" t="s">
        <v>970</v>
      </c>
      <c r="J154" s="37">
        <v>2657</v>
      </c>
      <c r="K154" s="38" t="s">
        <v>1385</v>
      </c>
      <c r="L154" s="298"/>
      <c r="M154" s="40"/>
      <c r="N154" s="41"/>
      <c r="O154" s="39" t="str">
        <f t="shared" si="10"/>
        <v>제09장 비정규근로자-제04절 차별 시정-01</v>
      </c>
      <c r="Q154" s="7" t="str">
        <f t="shared" si="11"/>
        <v>비정규근로자-1</v>
      </c>
      <c r="R154" s="7" t="str">
        <f t="shared" si="12"/>
        <v>열기2-01.노동법\01.본문\제09장 비정규근로자.제04절 차별시정.txt</v>
      </c>
      <c r="S154" s="7" t="str">
        <f t="shared" si="13"/>
        <v>B</v>
      </c>
      <c r="T154" s="7" t="str">
        <f t="shared" si="14"/>
        <v>차별시정</v>
      </c>
    </row>
    <row r="155" spans="2:20" ht="14.45" customHeight="1" x14ac:dyDescent="0.2">
      <c r="B155" s="31" t="s">
        <v>421</v>
      </c>
      <c r="C155" s="102" t="s">
        <v>1488</v>
      </c>
      <c r="D155" s="43" t="s">
        <v>1258</v>
      </c>
      <c r="E155" s="70" t="s">
        <v>1172</v>
      </c>
      <c r="F155" s="46" t="s">
        <v>31</v>
      </c>
      <c r="G155" s="46" t="s">
        <v>1639</v>
      </c>
      <c r="H155" s="47" t="s">
        <v>1015</v>
      </c>
      <c r="I155" s="48" t="s">
        <v>926</v>
      </c>
      <c r="J155" s="49">
        <v>3591</v>
      </c>
      <c r="K155" s="50" t="s">
        <v>1385</v>
      </c>
      <c r="L155" s="68" t="s">
        <v>1757</v>
      </c>
      <c r="M155" s="52"/>
      <c r="N155" s="53"/>
      <c r="O155" s="51" t="str">
        <f t="shared" si="10"/>
        <v>제09장 비정규근로자-제04절 차별 시정-02</v>
      </c>
      <c r="Q155" s="7" t="str">
        <f t="shared" si="11"/>
        <v>2017-2-1</v>
      </c>
      <c r="R155" s="7" t="str">
        <f t="shared" si="12"/>
        <v>열기2-01.노동법\02.문제\[기출][1][2017-2]계약직에서 정규직으로 전환된 근로자에 대한 경력 인정 차별의 정당성 여부.txt</v>
      </c>
      <c r="S155" s="7" t="str">
        <f t="shared" si="13"/>
        <v>B</v>
      </c>
      <c r="T155" s="7" t="str">
        <f t="shared" si="14"/>
        <v>계약직에서 정규직으로 전환된 근로자에 대한 경력 인정 차별의 정당성 여부</v>
      </c>
    </row>
    <row r="156" spans="2:20" ht="14.45" customHeight="1" thickBot="1" x14ac:dyDescent="0.25">
      <c r="B156" s="74" t="s">
        <v>421</v>
      </c>
      <c r="C156" s="103" t="s">
        <v>1488</v>
      </c>
      <c r="D156" s="76" t="s">
        <v>308</v>
      </c>
      <c r="E156" s="98" t="s">
        <v>1531</v>
      </c>
      <c r="F156" s="78" t="s">
        <v>31</v>
      </c>
      <c r="G156" s="99" t="s">
        <v>1640</v>
      </c>
      <c r="H156" s="79" t="s">
        <v>329</v>
      </c>
      <c r="I156" s="80" t="s">
        <v>1288</v>
      </c>
      <c r="J156" s="81">
        <v>4718</v>
      </c>
      <c r="K156" s="82" t="s">
        <v>1385</v>
      </c>
      <c r="L156" s="161"/>
      <c r="M156" s="84"/>
      <c r="N156" s="85"/>
      <c r="O156" s="83" t="str">
        <f t="shared" si="10"/>
        <v>제09장 비정규근로자-제04절 차별 시정-03</v>
      </c>
      <c r="Q156" s="7" t="str">
        <f t="shared" si="11"/>
        <v>서울중앙지방법원 2024.10.24. 선고 2022가합557780 판결-1</v>
      </c>
      <c r="R156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3"/>
        <v>B</v>
      </c>
      <c r="T156" s="7" t="str">
        <f t="shared" si="14"/>
        <v>체험형・채용형 인턴에게 성과급을 미지급한 것이 차별적 처우인가</v>
      </c>
    </row>
    <row r="157" spans="2:20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1638</v>
      </c>
      <c r="H157" s="90" t="s">
        <v>46</v>
      </c>
      <c r="I157" s="91" t="s">
        <v>971</v>
      </c>
      <c r="J157" s="92">
        <v>1313</v>
      </c>
      <c r="K157" s="93" t="s">
        <v>1350</v>
      </c>
      <c r="L157" s="299"/>
      <c r="M157" s="95"/>
      <c r="N157" s="96"/>
      <c r="O157" s="94" t="str">
        <f t="shared" si="10"/>
        <v>제10장 업무상 재해 등-제01절 업무상 재해-01</v>
      </c>
      <c r="Q157" s="7" t="str">
        <f t="shared" si="11"/>
        <v>업무상 재해 등-1</v>
      </c>
      <c r="R157" s="7" t="str">
        <f t="shared" si="12"/>
        <v>열기2-01.노동법\01.본문\제10장 업무상 재해 등.제01절 업무상 재해.txt</v>
      </c>
      <c r="S157" s="7" t="str">
        <f t="shared" si="13"/>
        <v>A</v>
      </c>
      <c r="T157" s="7" t="str">
        <f t="shared" si="14"/>
        <v>업무상 재해</v>
      </c>
    </row>
    <row r="158" spans="2:20" ht="14.45" customHeight="1" x14ac:dyDescent="0.2">
      <c r="B158" s="31" t="s">
        <v>398</v>
      </c>
      <c r="C158" s="42" t="s">
        <v>439</v>
      </c>
      <c r="D158" s="43" t="s">
        <v>1258</v>
      </c>
      <c r="E158" s="70" t="s">
        <v>537</v>
      </c>
      <c r="F158" s="46" t="s">
        <v>419</v>
      </c>
      <c r="G158" s="46" t="s">
        <v>1639</v>
      </c>
      <c r="H158" s="47" t="s">
        <v>538</v>
      </c>
      <c r="I158" s="48" t="s">
        <v>927</v>
      </c>
      <c r="J158" s="49">
        <v>1755</v>
      </c>
      <c r="K158" s="50" t="s">
        <v>1384</v>
      </c>
      <c r="L158" s="68"/>
      <c r="M158" s="52"/>
      <c r="N158" s="53"/>
      <c r="O158" s="51" t="str">
        <f t="shared" si="10"/>
        <v>제10장 업무상 재해 등-제01절 업무상 재해-02</v>
      </c>
      <c r="Q158" s="7" t="str">
        <f t="shared" si="11"/>
        <v>2008-2-1-1</v>
      </c>
      <c r="R158" s="7" t="str">
        <f t="shared" si="12"/>
        <v>열기2-01.노동법\02.문제\[기출][1][2008-2-1]근로기준법과 민법・산업재해보상보험법 간의 재해보상 관계.txt</v>
      </c>
      <c r="S158" s="7" t="str">
        <f t="shared" si="13"/>
        <v>C</v>
      </c>
      <c r="T158" s="7" t="str">
        <f t="shared" si="14"/>
        <v>근로기준법과 민법・산업재해보상보험법 간의 재해보상 관계</v>
      </c>
    </row>
    <row r="159" spans="2:20" ht="14.45" customHeight="1" x14ac:dyDescent="0.2">
      <c r="B159" s="31" t="s">
        <v>398</v>
      </c>
      <c r="C159" s="42" t="s">
        <v>439</v>
      </c>
      <c r="D159" s="43" t="s">
        <v>1258</v>
      </c>
      <c r="E159" s="70" t="s">
        <v>1173</v>
      </c>
      <c r="F159" s="46" t="s">
        <v>31</v>
      </c>
      <c r="G159" s="46" t="s">
        <v>1640</v>
      </c>
      <c r="H159" s="47" t="s">
        <v>1615</v>
      </c>
      <c r="I159" s="48" t="s">
        <v>1616</v>
      </c>
      <c r="J159" s="49">
        <v>1960</v>
      </c>
      <c r="K159" s="50" t="s">
        <v>1385</v>
      </c>
      <c r="L159" s="68"/>
      <c r="M159" s="52"/>
      <c r="N159" s="53">
        <v>46212</v>
      </c>
      <c r="O159" s="51" t="str">
        <f t="shared" si="10"/>
        <v>제10장 업무상 재해 등-제01절 업무상 재해-03</v>
      </c>
      <c r="Q159" s="7" t="str">
        <f t="shared" si="11"/>
        <v>2020-2-1</v>
      </c>
      <c r="R159" s="7" t="str">
        <f t="shared" si="12"/>
        <v>열기2-01.노동법\02.문제\[기출][1][2020-2]산업재해보상보험법상 2차 회식의 업무상 재해 인정 여부.txt</v>
      </c>
      <c r="S159" s="7" t="str">
        <f t="shared" si="13"/>
        <v>B</v>
      </c>
      <c r="T159" s="7" t="str">
        <f t="shared" si="14"/>
        <v>산업재해보상보험법상 2차 회식의 업무상 재해 인정 여부</v>
      </c>
    </row>
    <row r="160" spans="2:20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1532</v>
      </c>
      <c r="F160" s="58" t="s">
        <v>419</v>
      </c>
      <c r="G160" s="57" t="s">
        <v>1641</v>
      </c>
      <c r="H160" s="59" t="s">
        <v>539</v>
      </c>
      <c r="I160" s="60" t="s">
        <v>1289</v>
      </c>
      <c r="J160" s="61">
        <v>3041</v>
      </c>
      <c r="K160" s="62" t="s">
        <v>1384</v>
      </c>
      <c r="L160" s="100"/>
      <c r="M160" s="64"/>
      <c r="N160" s="65"/>
      <c r="O160" s="63" t="str">
        <f t="shared" si="10"/>
        <v>제10장 업무상 재해 등-제01절 업무상 재해-04</v>
      </c>
      <c r="Q160" s="7" t="str">
        <f t="shared" si="11"/>
        <v>대법원 2024.11.21. 선고 2021다255853 판결-1</v>
      </c>
      <c r="R160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3"/>
        <v>C</v>
      </c>
      <c r="T160" s="7" t="str">
        <f t="shared" si="14"/>
        <v>직무상유족연금과 손해배상의 조정 : 공제 후 상속 → 상속 후 공제로 변경</v>
      </c>
    </row>
    <row r="161" spans="2:20" ht="14.45" customHeight="1" x14ac:dyDescent="0.2">
      <c r="B161" s="31" t="s">
        <v>398</v>
      </c>
      <c r="C161" s="32" t="s">
        <v>1442</v>
      </c>
      <c r="D161" s="33" t="s">
        <v>128</v>
      </c>
      <c r="E161" s="69" t="s">
        <v>153</v>
      </c>
      <c r="F161" s="35" t="s">
        <v>31</v>
      </c>
      <c r="G161" s="35" t="s">
        <v>1638</v>
      </c>
      <c r="H161" s="36" t="s">
        <v>231</v>
      </c>
      <c r="I161" s="6" t="s">
        <v>972</v>
      </c>
      <c r="J161" s="37">
        <v>1902</v>
      </c>
      <c r="K161" s="38" t="s">
        <v>1385</v>
      </c>
      <c r="L161" s="298"/>
      <c r="M161" s="40"/>
      <c r="N161" s="41"/>
      <c r="O161" s="39" t="str">
        <f t="shared" si="10"/>
        <v>제10장 업무상 재해 등-제02절 업무상 사고-01</v>
      </c>
      <c r="Q161" s="7" t="str">
        <f t="shared" si="11"/>
        <v>업무상 재해 등-1</v>
      </c>
      <c r="R161" s="7" t="str">
        <f t="shared" si="12"/>
        <v>열기2-01.노동법\01.본문\제10장 업무상 재해 등.제02절 업무상 사고.txt</v>
      </c>
      <c r="S161" s="7" t="str">
        <f t="shared" si="13"/>
        <v>B</v>
      </c>
      <c r="T161" s="7" t="str">
        <f t="shared" si="14"/>
        <v>업무상 사고</v>
      </c>
    </row>
    <row r="162" spans="2:20" ht="14.45" customHeight="1" x14ac:dyDescent="0.2">
      <c r="B162" s="31" t="s">
        <v>398</v>
      </c>
      <c r="C162" s="42" t="s">
        <v>1442</v>
      </c>
      <c r="D162" s="43" t="s">
        <v>1650</v>
      </c>
      <c r="E162" s="70" t="s">
        <v>1202</v>
      </c>
      <c r="F162" s="46" t="s">
        <v>31</v>
      </c>
      <c r="G162" s="46" t="s">
        <v>1639</v>
      </c>
      <c r="H162" s="47" t="s">
        <v>1371</v>
      </c>
      <c r="I162" s="48" t="s">
        <v>1679</v>
      </c>
      <c r="J162" s="49">
        <v>2095</v>
      </c>
      <c r="K162" s="50" t="s">
        <v>1385</v>
      </c>
      <c r="L162" s="68"/>
      <c r="M162" s="52"/>
      <c r="N162" s="53">
        <v>46212</v>
      </c>
      <c r="O162" s="51" t="str">
        <f t="shared" si="10"/>
        <v>제10장 업무상 재해 등-제02절 업무상 사고-02</v>
      </c>
      <c r="Q162" s="7" t="str">
        <f t="shared" si="11"/>
        <v>10.02-1-1</v>
      </c>
      <c r="R162" s="7" t="str">
        <f t="shared" si="12"/>
        <v>열기2-01.노동법\02.문제\[모의][1][10.02-1]근로자의 오토바이 사고에 대한 출퇴근 재해 인정 여부 및 법적 근거.txt</v>
      </c>
      <c r="S162" s="7" t="str">
        <f t="shared" si="13"/>
        <v>B</v>
      </c>
      <c r="T162" s="7" t="str">
        <f t="shared" si="14"/>
        <v>근로자의 오토바이 사고에 대한 출퇴근 재해 인정 여부 및 법적 근거</v>
      </c>
    </row>
    <row r="163" spans="2:20" ht="14.45" customHeight="1" x14ac:dyDescent="0.2">
      <c r="B163" s="31" t="s">
        <v>398</v>
      </c>
      <c r="C163" s="54" t="s">
        <v>1442</v>
      </c>
      <c r="D163" s="55" t="s">
        <v>1650</v>
      </c>
      <c r="E163" s="97" t="s">
        <v>1203</v>
      </c>
      <c r="F163" s="58" t="s">
        <v>31</v>
      </c>
      <c r="G163" s="58" t="s">
        <v>1640</v>
      </c>
      <c r="H163" s="59" t="s">
        <v>1372</v>
      </c>
      <c r="I163" s="60" t="s">
        <v>1680</v>
      </c>
      <c r="J163" s="61">
        <v>2326</v>
      </c>
      <c r="K163" s="62" t="s">
        <v>1385</v>
      </c>
      <c r="L163" s="100"/>
      <c r="M163" s="64"/>
      <c r="N163" s="65"/>
      <c r="O163" s="63" t="str">
        <f t="shared" si="10"/>
        <v>제10장 업무상 재해 등-제02절 업무상 사고-03</v>
      </c>
      <c r="Q163" s="7" t="str">
        <f t="shared" si="11"/>
        <v>10.02-2-1</v>
      </c>
      <c r="R163" s="7" t="str">
        <f t="shared" si="12"/>
        <v>열기2-01.노동법\02.문제\[모의][1][10.02-2]근로자의 2차 회식 중 사고에 대한 업무상 재해 인정 여부.txt</v>
      </c>
      <c r="S163" s="7" t="str">
        <f t="shared" si="13"/>
        <v>B</v>
      </c>
      <c r="T163" s="7" t="str">
        <f t="shared" si="14"/>
        <v>근로자의 2차 회식 중 사고에 대한 업무상 재해 인정 여부</v>
      </c>
    </row>
    <row r="164" spans="2:20" ht="14.45" customHeight="1" x14ac:dyDescent="0.2">
      <c r="B164" s="31" t="s">
        <v>398</v>
      </c>
      <c r="C164" s="32" t="s">
        <v>1443</v>
      </c>
      <c r="D164" s="33" t="s">
        <v>128</v>
      </c>
      <c r="E164" s="69" t="s">
        <v>153</v>
      </c>
      <c r="F164" s="35" t="s">
        <v>31</v>
      </c>
      <c r="G164" s="35" t="s">
        <v>1638</v>
      </c>
      <c r="H164" s="36" t="s">
        <v>169</v>
      </c>
      <c r="I164" s="6" t="s">
        <v>973</v>
      </c>
      <c r="J164" s="37">
        <v>1816</v>
      </c>
      <c r="K164" s="38" t="s">
        <v>1385</v>
      </c>
      <c r="L164" s="298"/>
      <c r="M164" s="40"/>
      <c r="N164" s="41"/>
      <c r="O164" s="39" t="str">
        <f t="shared" si="10"/>
        <v>제10장 업무상 재해 등-제03절 업무상 질병-01</v>
      </c>
      <c r="Q164" s="7" t="str">
        <f t="shared" si="11"/>
        <v>업무상 재해 등-1</v>
      </c>
      <c r="R164" s="7" t="str">
        <f t="shared" si="12"/>
        <v>열기2-01.노동법\01.본문\제10장 업무상 재해 등.제03절 업무상 질병.txt</v>
      </c>
      <c r="S164" s="7" t="str">
        <f t="shared" si="13"/>
        <v>B</v>
      </c>
      <c r="T164" s="7" t="str">
        <f t="shared" si="14"/>
        <v>업무상 질병</v>
      </c>
    </row>
    <row r="165" spans="2:20" ht="14.45" customHeight="1" x14ac:dyDescent="0.2">
      <c r="B165" s="31" t="s">
        <v>398</v>
      </c>
      <c r="C165" s="42" t="s">
        <v>1443</v>
      </c>
      <c r="D165" s="43" t="s">
        <v>1650</v>
      </c>
      <c r="E165" s="70" t="s">
        <v>1204</v>
      </c>
      <c r="F165" s="46" t="s">
        <v>31</v>
      </c>
      <c r="G165" s="46" t="s">
        <v>1639</v>
      </c>
      <c r="H165" s="47" t="s">
        <v>1373</v>
      </c>
      <c r="I165" s="48" t="s">
        <v>1681</v>
      </c>
      <c r="J165" s="49">
        <v>2126</v>
      </c>
      <c r="K165" s="50" t="s">
        <v>1385</v>
      </c>
      <c r="L165" s="68"/>
      <c r="M165" s="52"/>
      <c r="N165" s="53"/>
      <c r="O165" s="51" t="str">
        <f t="shared" si="10"/>
        <v>제10장 업무상 재해 등-제03절 업무상 질병-02</v>
      </c>
      <c r="Q165" s="7" t="str">
        <f t="shared" si="11"/>
        <v>10.03-1-1</v>
      </c>
      <c r="R165" s="7" t="str">
        <f t="shared" si="12"/>
        <v>열기2-01.노동법\02.문제\[모의][1][10.03-1]근로자의 만성 근로 및 단기 과로에 따른 뇌출혈의 업무상 질병 인정 여부.txt</v>
      </c>
      <c r="S165" s="7" t="str">
        <f t="shared" si="13"/>
        <v>B</v>
      </c>
      <c r="T165" s="7" t="str">
        <f t="shared" si="14"/>
        <v>근로자의 만성 근로 및 단기 과로에 따른 뇌출혈의 업무상 질병 인정 여부</v>
      </c>
    </row>
    <row r="166" spans="2:20" ht="14.45" customHeight="1" x14ac:dyDescent="0.2">
      <c r="B166" s="31" t="s">
        <v>398</v>
      </c>
      <c r="C166" s="54" t="s">
        <v>1443</v>
      </c>
      <c r="D166" s="55" t="s">
        <v>1650</v>
      </c>
      <c r="E166" s="97" t="s">
        <v>1205</v>
      </c>
      <c r="F166" s="58" t="s">
        <v>31</v>
      </c>
      <c r="G166" s="58" t="s">
        <v>1640</v>
      </c>
      <c r="H166" s="59" t="s">
        <v>1374</v>
      </c>
      <c r="I166" s="60" t="s">
        <v>1682</v>
      </c>
      <c r="J166" s="61">
        <v>1878</v>
      </c>
      <c r="K166" s="62" t="s">
        <v>1385</v>
      </c>
      <c r="L166" s="100"/>
      <c r="M166" s="64"/>
      <c r="N166" s="65"/>
      <c r="O166" s="63" t="str">
        <f t="shared" si="10"/>
        <v>제10장 업무상 재해 등-제03절 업무상 질병-03</v>
      </c>
      <c r="Q166" s="7" t="str">
        <f t="shared" si="11"/>
        <v>10.03-2-1</v>
      </c>
      <c r="R166" s="7" t="str">
        <f t="shared" si="12"/>
        <v>열기2-01.노동법\02.문제\[모의][1][10.03-2]근로자의 직장 내 괴롭힘으로 인한 우울증의 업무상 질병 인정 여부.txt</v>
      </c>
      <c r="S166" s="7" t="str">
        <f t="shared" si="13"/>
        <v>B</v>
      </c>
      <c r="T166" s="7" t="str">
        <f t="shared" si="14"/>
        <v>근로자의 직장 내 괴롭힘으로 인한 우울증의 업무상 질병 인정 여부</v>
      </c>
    </row>
    <row r="167" spans="2:20" ht="14.45" customHeight="1" x14ac:dyDescent="0.2">
      <c r="B167" s="31" t="s">
        <v>398</v>
      </c>
      <c r="C167" s="32" t="s">
        <v>1444</v>
      </c>
      <c r="D167" s="33" t="s">
        <v>21</v>
      </c>
      <c r="E167" s="69" t="s">
        <v>153</v>
      </c>
      <c r="F167" s="35" t="s">
        <v>31</v>
      </c>
      <c r="G167" s="35" t="s">
        <v>1638</v>
      </c>
      <c r="H167" s="36" t="s">
        <v>311</v>
      </c>
      <c r="I167" s="6" t="s">
        <v>974</v>
      </c>
      <c r="J167" s="37">
        <v>1610</v>
      </c>
      <c r="K167" s="38" t="s">
        <v>1385</v>
      </c>
      <c r="L167" s="298"/>
      <c r="M167" s="40"/>
      <c r="N167" s="41"/>
      <c r="O167" s="39" t="str">
        <f t="shared" si="10"/>
        <v>제10장 업무상 재해 등-제04절 출퇴근 재해-01</v>
      </c>
      <c r="Q167" s="7" t="str">
        <f t="shared" si="11"/>
        <v>업무상 재해 등-1</v>
      </c>
      <c r="R167" s="7" t="str">
        <f t="shared" si="12"/>
        <v>열기2-01.노동법\01.본문\제10장 업무상 재해 등.제04절 출퇴근 재해.txt</v>
      </c>
      <c r="S167" s="7" t="str">
        <f t="shared" si="13"/>
        <v>B</v>
      </c>
      <c r="T167" s="7" t="str">
        <f t="shared" si="14"/>
        <v>출퇴근 재해</v>
      </c>
    </row>
    <row r="168" spans="2:20" ht="14.45" customHeight="1" x14ac:dyDescent="0.2">
      <c r="B168" s="31" t="s">
        <v>398</v>
      </c>
      <c r="C168" s="102" t="s">
        <v>1444</v>
      </c>
      <c r="D168" s="43" t="s">
        <v>1650</v>
      </c>
      <c r="E168" s="70" t="s">
        <v>1206</v>
      </c>
      <c r="F168" s="46" t="s">
        <v>31</v>
      </c>
      <c r="G168" s="46" t="s">
        <v>1639</v>
      </c>
      <c r="H168" s="47" t="s">
        <v>313</v>
      </c>
      <c r="I168" s="48" t="s">
        <v>1683</v>
      </c>
      <c r="J168" s="49">
        <v>1895</v>
      </c>
      <c r="K168" s="50" t="s">
        <v>1385</v>
      </c>
      <c r="L168" s="68"/>
      <c r="M168" s="52"/>
      <c r="N168" s="53"/>
      <c r="O168" s="51" t="str">
        <f t="shared" si="10"/>
        <v>제10장 업무상 재해 등-제04절 출퇴근 재해-02</v>
      </c>
      <c r="Q168" s="7" t="str">
        <f t="shared" si="11"/>
        <v>10.04-1-1</v>
      </c>
      <c r="R168" s="7" t="str">
        <f t="shared" si="12"/>
        <v>열기2-01.노동법\02.문제\[모의][1][10.04-1]출근 중 제3자의 신호 위반 사고로 발생한 부상의 업무상 재해 인정 여부.txt</v>
      </c>
      <c r="S168" s="7" t="str">
        <f t="shared" si="13"/>
        <v>B</v>
      </c>
      <c r="T168" s="7" t="str">
        <f t="shared" si="14"/>
        <v>출근 중 제3자의 신호 위반 사고로 발생한 부상의 업무상 재해 인정 여부</v>
      </c>
    </row>
    <row r="169" spans="2:20" ht="14.45" customHeight="1" thickBot="1" x14ac:dyDescent="0.25">
      <c r="B169" s="74" t="s">
        <v>398</v>
      </c>
      <c r="C169" s="103" t="s">
        <v>1444</v>
      </c>
      <c r="D169" s="76" t="s">
        <v>1650</v>
      </c>
      <c r="E169" s="77" t="s">
        <v>1207</v>
      </c>
      <c r="F169" s="78" t="s">
        <v>31</v>
      </c>
      <c r="G169" s="78" t="s">
        <v>1640</v>
      </c>
      <c r="H169" s="79" t="s">
        <v>312</v>
      </c>
      <c r="I169" s="80" t="s">
        <v>1684</v>
      </c>
      <c r="J169" s="81">
        <v>1947</v>
      </c>
      <c r="K169" s="82" t="s">
        <v>1385</v>
      </c>
      <c r="L169" s="161"/>
      <c r="M169" s="84"/>
      <c r="N169" s="85"/>
      <c r="O169" s="83" t="str">
        <f t="shared" si="10"/>
        <v>제10장 업무상 재해 등-제04절 출퇴근 재해-03</v>
      </c>
      <c r="Q169" s="7" t="str">
        <f t="shared" si="11"/>
        <v>10.04-2-1</v>
      </c>
      <c r="R169" s="7" t="str">
        <f t="shared" si="12"/>
        <v>열기2-01.노동법\02.문제\[모의][1][10.04-2]제3자 가해로 인한 출퇴근 재해 시 산재급여와 손해배상의 조정 및 구상 관계.txt</v>
      </c>
      <c r="S169" s="7" t="str">
        <f t="shared" si="13"/>
        <v>B</v>
      </c>
      <c r="T169" s="7" t="str">
        <f t="shared" si="14"/>
        <v>제3자 가해로 인한 출퇴근 재해 시 산재급여와 손해배상의 조정 및 구상 관계</v>
      </c>
    </row>
    <row r="170" spans="2:20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1638</v>
      </c>
      <c r="H170" s="90" t="s">
        <v>170</v>
      </c>
      <c r="I170" s="91" t="s">
        <v>975</v>
      </c>
      <c r="J170" s="148">
        <v>2093</v>
      </c>
      <c r="K170" s="93" t="s">
        <v>1350</v>
      </c>
      <c r="L170" s="299"/>
      <c r="M170" s="95"/>
      <c r="N170" s="96"/>
      <c r="O170" s="94" t="str">
        <f t="shared" si="10"/>
        <v>제11장 노동조합-제01절 노동조합의 설립요건-01</v>
      </c>
      <c r="Q170" s="7" t="str">
        <f t="shared" si="11"/>
        <v>노동조합-2</v>
      </c>
      <c r="R170" s="7" t="str">
        <f t="shared" si="12"/>
        <v>열기2-01.노동법\01.본문\제11장 노동조합.제01절 노동조합의 설립요건.txt</v>
      </c>
      <c r="S170" s="7" t="str">
        <f t="shared" si="13"/>
        <v>A</v>
      </c>
      <c r="T170" s="7" t="str">
        <f t="shared" si="14"/>
        <v>노동조합의 설립요건</v>
      </c>
    </row>
    <row r="171" spans="2:20" ht="14.45" customHeight="1" x14ac:dyDescent="0.2">
      <c r="B171" s="31" t="s">
        <v>399</v>
      </c>
      <c r="C171" s="42" t="s">
        <v>487</v>
      </c>
      <c r="D171" s="43" t="s">
        <v>1258</v>
      </c>
      <c r="E171" s="70" t="s">
        <v>90</v>
      </c>
      <c r="F171" s="46">
        <v>2</v>
      </c>
      <c r="G171" s="46" t="s">
        <v>1639</v>
      </c>
      <c r="H171" s="47" t="s">
        <v>1336</v>
      </c>
      <c r="I171" s="149" t="s">
        <v>1337</v>
      </c>
      <c r="J171" s="49">
        <v>1696</v>
      </c>
      <c r="K171" s="50" t="s">
        <v>1350</v>
      </c>
      <c r="L171" s="68"/>
      <c r="M171" s="52"/>
      <c r="N171" s="53"/>
      <c r="O171" s="51" t="str">
        <f t="shared" si="10"/>
        <v>제11장 노동조합-제01절 노동조합의 설립요건-02</v>
      </c>
      <c r="Q171" s="7" t="str">
        <f t="shared" si="11"/>
        <v>2009-3-2</v>
      </c>
      <c r="R171" s="7" t="str">
        <f t="shared" si="12"/>
        <v>열기2-01.노동법\02.문제\[기출][2][2009-3]노동조합 가입 자격의 기본 원칙, 제한의 허용 범위, 한계 및 위반 시 효과.txt</v>
      </c>
      <c r="S171" s="7" t="str">
        <f t="shared" si="13"/>
        <v>A</v>
      </c>
      <c r="T171" s="7" t="str">
        <f t="shared" si="14"/>
        <v>노동조합 가입 자격의 기본 원칙, 제한의 허용 범위, 한계 및 위반 시 효과</v>
      </c>
    </row>
    <row r="172" spans="2:20" ht="14.45" customHeight="1" x14ac:dyDescent="0.2">
      <c r="B172" s="31" t="s">
        <v>399</v>
      </c>
      <c r="C172" s="42" t="s">
        <v>487</v>
      </c>
      <c r="D172" s="43" t="s">
        <v>1258</v>
      </c>
      <c r="E172" s="70" t="s">
        <v>1160</v>
      </c>
      <c r="F172" s="46">
        <v>2</v>
      </c>
      <c r="G172" s="46" t="s">
        <v>1640</v>
      </c>
      <c r="H172" s="47" t="s">
        <v>1029</v>
      </c>
      <c r="I172" s="48" t="s">
        <v>1030</v>
      </c>
      <c r="J172" s="150">
        <v>2025</v>
      </c>
      <c r="K172" s="50" t="s">
        <v>1350</v>
      </c>
      <c r="L172" s="68"/>
      <c r="M172" s="52"/>
      <c r="N172" s="53"/>
      <c r="O172" s="51" t="str">
        <f t="shared" si="10"/>
        <v>제11장 노동조합-제01절 노동조합의 설립요건-03</v>
      </c>
      <c r="Q172" s="7" t="str">
        <f t="shared" si="11"/>
        <v>2012-2-2</v>
      </c>
      <c r="R172" s="7" t="str">
        <f t="shared" si="12"/>
        <v>열기2-01.노동법\02.문제\[기출][2][2012-2]노동조합법상 노동조합 참가가 금지되는 사용자 및 그 이익대표자의 범위와 판단 기준.txt</v>
      </c>
      <c r="S172" s="7" t="str">
        <f t="shared" si="13"/>
        <v>A</v>
      </c>
      <c r="T172" s="7" t="str">
        <f t="shared" si="14"/>
        <v>노동조합법상 노동조합 참가가 금지되는 사용자 및 그 이익대표자의 범위와 판단 기준</v>
      </c>
    </row>
    <row r="173" spans="2:20" ht="14.45" customHeight="1" x14ac:dyDescent="0.2">
      <c r="B173" s="31" t="s">
        <v>399</v>
      </c>
      <c r="C173" s="54" t="s">
        <v>487</v>
      </c>
      <c r="D173" s="55" t="s">
        <v>1258</v>
      </c>
      <c r="E173" s="97" t="s">
        <v>1026</v>
      </c>
      <c r="F173" s="58" t="s">
        <v>28</v>
      </c>
      <c r="G173" s="58" t="s">
        <v>1641</v>
      </c>
      <c r="H173" s="59" t="s">
        <v>1027</v>
      </c>
      <c r="I173" s="60" t="s">
        <v>1028</v>
      </c>
      <c r="J173" s="61">
        <v>2292</v>
      </c>
      <c r="K173" s="62" t="s">
        <v>1350</v>
      </c>
      <c r="L173" s="100"/>
      <c r="M173" s="64"/>
      <c r="N173" s="65"/>
      <c r="O173" s="63" t="str">
        <f t="shared" si="10"/>
        <v>제11장 노동조합-제01절 노동조합의 설립요건-04</v>
      </c>
      <c r="Q173" s="7" t="str">
        <f t="shared" si="11"/>
        <v>2021-1-1-2</v>
      </c>
      <c r="R173" s="7" t="str">
        <f t="shared" si="12"/>
        <v>열기2-01.노동법\02.문제\[기출][2][2021-1-1]설립신고를 하지 않은 초기업 노동조합 지부의 단체협약 체결 당사자 지위 인정 여부.txt</v>
      </c>
      <c r="S173" s="7" t="str">
        <f t="shared" si="13"/>
        <v>A</v>
      </c>
      <c r="T173" s="7" t="str">
        <f t="shared" si="14"/>
        <v>설립신고를 하지 않은 초기업 노동조합 지부의 단체협약 체결 당사자 지위 인정 여부</v>
      </c>
    </row>
    <row r="174" spans="2:20" ht="14.45" customHeight="1" x14ac:dyDescent="0.2">
      <c r="B174" s="31" t="s">
        <v>399</v>
      </c>
      <c r="C174" s="32" t="s">
        <v>1445</v>
      </c>
      <c r="D174" s="33" t="s">
        <v>128</v>
      </c>
      <c r="E174" s="69" t="s">
        <v>154</v>
      </c>
      <c r="F174" s="35" t="s">
        <v>28</v>
      </c>
      <c r="G174" s="35" t="s">
        <v>1638</v>
      </c>
      <c r="H174" s="36" t="s">
        <v>171</v>
      </c>
      <c r="I174" s="6" t="s">
        <v>976</v>
      </c>
      <c r="J174" s="37">
        <v>1484</v>
      </c>
      <c r="K174" s="38" t="s">
        <v>1350</v>
      </c>
      <c r="L174" s="298"/>
      <c r="M174" s="40"/>
      <c r="N174" s="41"/>
      <c r="O174" s="39" t="str">
        <f t="shared" si="10"/>
        <v>제11장 노동조합-제02절 조합원의 지위 및 권리・의무-01</v>
      </c>
      <c r="Q174" s="7" t="str">
        <f t="shared" si="11"/>
        <v>노동조합-2</v>
      </c>
      <c r="R174" s="7" t="str">
        <f t="shared" si="12"/>
        <v>열기2-01.노동법\01.본문\제11장 노동조합.제02절 조합원의 지위 및 권리・의무.txt</v>
      </c>
      <c r="S174" s="7" t="str">
        <f t="shared" si="13"/>
        <v>A</v>
      </c>
      <c r="T174" s="7" t="str">
        <f t="shared" si="14"/>
        <v>조합원의 지위 및 권리・의무</v>
      </c>
    </row>
    <row r="175" spans="2:20" ht="14.45" customHeight="1" x14ac:dyDescent="0.2">
      <c r="B175" s="31" t="s">
        <v>399</v>
      </c>
      <c r="C175" s="42" t="s">
        <v>1445</v>
      </c>
      <c r="D175" s="43" t="s">
        <v>1650</v>
      </c>
      <c r="E175" s="70" t="s">
        <v>1208</v>
      </c>
      <c r="F175" s="46" t="s">
        <v>28</v>
      </c>
      <c r="G175" s="46" t="s">
        <v>1639</v>
      </c>
      <c r="H175" s="47" t="s">
        <v>99</v>
      </c>
      <c r="I175" s="48" t="s">
        <v>1685</v>
      </c>
      <c r="J175" s="49">
        <v>1870</v>
      </c>
      <c r="K175" s="50" t="s">
        <v>1350</v>
      </c>
      <c r="L175" s="68"/>
      <c r="M175" s="52"/>
      <c r="N175" s="53"/>
      <c r="O175" s="51" t="str">
        <f t="shared" si="10"/>
        <v>제11장 노동조합-제02절 조합원의 지위 및 권리・의무-02</v>
      </c>
      <c r="Q175" s="7" t="str">
        <f t="shared" si="11"/>
        <v>11.02-1-2</v>
      </c>
      <c r="R175" s="7" t="str">
        <f t="shared" si="12"/>
        <v>열기2-01.노동법\02.문제\[모의][2][11.02-1]유니언 숍 조항을 근거로 한 탈퇴 후 타 노조 가입자 해고의 정당성.txt</v>
      </c>
      <c r="S175" s="7" t="str">
        <f t="shared" si="13"/>
        <v>A</v>
      </c>
      <c r="T175" s="7" t="str">
        <f t="shared" si="14"/>
        <v>유니언 숍 조항을 근거로 한 탈퇴 후 타 노조 가입자 해고의 정당성</v>
      </c>
    </row>
    <row r="176" spans="2:20" ht="14.45" customHeight="1" x14ac:dyDescent="0.2">
      <c r="B176" s="31" t="s">
        <v>399</v>
      </c>
      <c r="C176" s="54" t="s">
        <v>1445</v>
      </c>
      <c r="D176" s="55" t="s">
        <v>1650</v>
      </c>
      <c r="E176" s="97" t="s">
        <v>1209</v>
      </c>
      <c r="F176" s="58" t="s">
        <v>28</v>
      </c>
      <c r="G176" s="58" t="s">
        <v>1640</v>
      </c>
      <c r="H176" s="59" t="s">
        <v>100</v>
      </c>
      <c r="I176" s="60" t="s">
        <v>1686</v>
      </c>
      <c r="J176" s="61">
        <v>1909</v>
      </c>
      <c r="K176" s="62" t="s">
        <v>1350</v>
      </c>
      <c r="L176" s="100"/>
      <c r="M176" s="64"/>
      <c r="N176" s="65"/>
      <c r="O176" s="63" t="str">
        <f t="shared" si="10"/>
        <v>제11장 노동조합-제02절 조합원의 지위 및 권리・의무-03</v>
      </c>
      <c r="Q176" s="7" t="str">
        <f t="shared" si="11"/>
        <v>11.02-2-2</v>
      </c>
      <c r="R176" s="7" t="str">
        <f t="shared" si="12"/>
        <v>열기2-01.노동법\02.문제\[모의][2][11.02-2]조합비 미납을 이유로 한 조합원 선거권 제한의 적법성.txt</v>
      </c>
      <c r="S176" s="7" t="str">
        <f t="shared" si="13"/>
        <v>A</v>
      </c>
      <c r="T176" s="7" t="str">
        <f t="shared" si="14"/>
        <v>조합비 미납을 이유로 한 조합원 선거권 제한의 적법성</v>
      </c>
    </row>
    <row r="177" spans="2:20" ht="14.45" customHeight="1" x14ac:dyDescent="0.2">
      <c r="B177" s="31" t="s">
        <v>399</v>
      </c>
      <c r="C177" s="32" t="s">
        <v>1446</v>
      </c>
      <c r="D177" s="33" t="s">
        <v>128</v>
      </c>
      <c r="E177" s="69" t="s">
        <v>154</v>
      </c>
      <c r="F177" s="35" t="s">
        <v>28</v>
      </c>
      <c r="G177" s="35" t="s">
        <v>1638</v>
      </c>
      <c r="H177" s="36" t="s">
        <v>172</v>
      </c>
      <c r="I177" s="6" t="s">
        <v>977</v>
      </c>
      <c r="J177" s="37">
        <v>1794</v>
      </c>
      <c r="K177" s="38" t="s">
        <v>1350</v>
      </c>
      <c r="L177" s="298"/>
      <c r="M177" s="40"/>
      <c r="N177" s="41"/>
      <c r="O177" s="39" t="str">
        <f t="shared" si="10"/>
        <v>제11장 노동조합-제03절 노동조합의 기구-01</v>
      </c>
      <c r="Q177" s="7" t="str">
        <f t="shared" si="11"/>
        <v>노동조합-2</v>
      </c>
      <c r="R177" s="7" t="str">
        <f t="shared" si="12"/>
        <v>열기2-01.노동법\01.본문\제11장 노동조합.제03절 노동조합의 기구.txt</v>
      </c>
      <c r="S177" s="7" t="str">
        <f t="shared" si="13"/>
        <v>A</v>
      </c>
      <c r="T177" s="7" t="str">
        <f t="shared" si="14"/>
        <v>노동조합의 기구</v>
      </c>
    </row>
    <row r="178" spans="2:20" ht="14.45" customHeight="1" x14ac:dyDescent="0.2">
      <c r="B178" s="31" t="s">
        <v>399</v>
      </c>
      <c r="C178" s="42" t="s">
        <v>1446</v>
      </c>
      <c r="D178" s="43" t="s">
        <v>1650</v>
      </c>
      <c r="E178" s="70" t="s">
        <v>1210</v>
      </c>
      <c r="F178" s="46" t="s">
        <v>28</v>
      </c>
      <c r="G178" s="46" t="s">
        <v>1639</v>
      </c>
      <c r="H178" s="47" t="s">
        <v>101</v>
      </c>
      <c r="I178" s="48" t="s">
        <v>1687</v>
      </c>
      <c r="J178" s="49">
        <v>2156</v>
      </c>
      <c r="K178" s="50" t="s">
        <v>1350</v>
      </c>
      <c r="L178" s="68"/>
      <c r="M178" s="52"/>
      <c r="N178" s="53"/>
      <c r="O178" s="51" t="str">
        <f t="shared" si="10"/>
        <v>제11장 노동조합-제03절 노동조합의 기구-02</v>
      </c>
      <c r="Q178" s="7" t="str">
        <f t="shared" si="11"/>
        <v>11.03-1-2</v>
      </c>
      <c r="R178" s="7" t="str">
        <f t="shared" si="12"/>
        <v>열기2-01.노동법\02.문제\[모의][2][11.03-1]대의원회 의결 없이 총회에서 이루어진 단체협약안 의결의 정당성.txt</v>
      </c>
      <c r="S178" s="7" t="str">
        <f t="shared" si="13"/>
        <v>A</v>
      </c>
      <c r="T178" s="7" t="str">
        <f t="shared" si="14"/>
        <v>대의원회 의결 없이 총회에서 이루어진 단체협약안 의결의 정당성</v>
      </c>
    </row>
    <row r="179" spans="2:20" ht="14.45" customHeight="1" x14ac:dyDescent="0.2">
      <c r="B179" s="31" t="s">
        <v>399</v>
      </c>
      <c r="C179" s="54" t="s">
        <v>1446</v>
      </c>
      <c r="D179" s="55" t="s">
        <v>1650</v>
      </c>
      <c r="E179" s="97" t="s">
        <v>1211</v>
      </c>
      <c r="F179" s="58" t="s">
        <v>28</v>
      </c>
      <c r="G179" s="58" t="s">
        <v>1640</v>
      </c>
      <c r="H179" s="59" t="s">
        <v>102</v>
      </c>
      <c r="I179" s="60" t="s">
        <v>1688</v>
      </c>
      <c r="J179" s="61">
        <v>2125</v>
      </c>
      <c r="K179" s="62" t="s">
        <v>1350</v>
      </c>
      <c r="L179" s="100"/>
      <c r="M179" s="64"/>
      <c r="N179" s="65"/>
      <c r="O179" s="63" t="str">
        <f t="shared" si="10"/>
        <v>제11장 노동조합-제03절 노동조합의 기구-03</v>
      </c>
      <c r="Q179" s="7" t="str">
        <f t="shared" si="11"/>
        <v>11.03-2-2</v>
      </c>
      <c r="R179" s="7" t="str">
        <f t="shared" si="12"/>
        <v>열기2-01.노동법\02.문제\[모의][2][11.03-2]총회 의결 정족수 충족 여부 및 위원장 해임결의의 유효성.txt</v>
      </c>
      <c r="S179" s="7" t="str">
        <f t="shared" si="13"/>
        <v>A</v>
      </c>
      <c r="T179" s="7" t="str">
        <f t="shared" si="14"/>
        <v>총회 의결 정족수 충족 여부 및 위원장 해임결의의 유효성</v>
      </c>
    </row>
    <row r="180" spans="2:20" ht="14.45" customHeight="1" x14ac:dyDescent="0.2">
      <c r="B180" s="31" t="s">
        <v>399</v>
      </c>
      <c r="C180" s="32" t="s">
        <v>1489</v>
      </c>
      <c r="D180" s="33" t="s">
        <v>128</v>
      </c>
      <c r="E180" s="69" t="s">
        <v>154</v>
      </c>
      <c r="F180" s="35" t="s">
        <v>28</v>
      </c>
      <c r="G180" s="35" t="s">
        <v>1638</v>
      </c>
      <c r="H180" s="36" t="s">
        <v>173</v>
      </c>
      <c r="I180" s="6" t="s">
        <v>978</v>
      </c>
      <c r="J180" s="37">
        <v>2128</v>
      </c>
      <c r="K180" s="38" t="s">
        <v>1350</v>
      </c>
      <c r="L180" s="298"/>
      <c r="M180" s="40"/>
      <c r="N180" s="41"/>
      <c r="O180" s="39" t="str">
        <f t="shared" si="10"/>
        <v>제11장 노동조합-제04절 조합활동의 정당성-01</v>
      </c>
      <c r="Q180" s="7" t="str">
        <f t="shared" si="11"/>
        <v>노동조합-2</v>
      </c>
      <c r="R180" s="7" t="str">
        <f t="shared" si="12"/>
        <v>열기2-01.노동법\01.본문\제11장 노동조합.제04절 조합활동의 정당성.txt</v>
      </c>
      <c r="S180" s="7" t="str">
        <f t="shared" si="13"/>
        <v>A</v>
      </c>
      <c r="T180" s="7" t="str">
        <f t="shared" si="14"/>
        <v>조합활동의 정당성</v>
      </c>
    </row>
    <row r="181" spans="2:20" ht="14.45" customHeight="1" x14ac:dyDescent="0.2">
      <c r="B181" s="31" t="s">
        <v>399</v>
      </c>
      <c r="C181" s="54" t="s">
        <v>1489</v>
      </c>
      <c r="D181" s="55" t="s">
        <v>1258</v>
      </c>
      <c r="E181" s="97" t="s">
        <v>1161</v>
      </c>
      <c r="F181" s="58">
        <v>2</v>
      </c>
      <c r="G181" s="58" t="s">
        <v>1639</v>
      </c>
      <c r="H181" s="59" t="s">
        <v>1031</v>
      </c>
      <c r="I181" s="60" t="s">
        <v>1032</v>
      </c>
      <c r="J181" s="61">
        <v>1671</v>
      </c>
      <c r="K181" s="62" t="s">
        <v>1350</v>
      </c>
      <c r="L181" s="100"/>
      <c r="M181" s="64"/>
      <c r="N181" s="65"/>
      <c r="O181" s="63" t="str">
        <f t="shared" si="10"/>
        <v>제11장 노동조합-제04절 조합활동의 정당성-02</v>
      </c>
      <c r="Q181" s="7" t="str">
        <f t="shared" si="11"/>
        <v>2022-2-2</v>
      </c>
      <c r="R181" s="7" t="str">
        <f t="shared" si="12"/>
        <v>열기2-01.노동법\02.문제\[기출][2][2022-2]산업안전보건법 위반 증거수집 목적의 생산공장 출입이 정당한 조합활동에 해당하는지 여부.txt</v>
      </c>
      <c r="S181" s="7" t="str">
        <f t="shared" si="13"/>
        <v>A</v>
      </c>
      <c r="T181" s="7" t="str">
        <f t="shared" si="14"/>
        <v>산업안전보건법 위반 증거수집 목적의 생산공장 출입이 정당한 조합활동에 해당하는지 여부</v>
      </c>
    </row>
    <row r="182" spans="2:20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1638</v>
      </c>
      <c r="H182" s="36" t="s">
        <v>174</v>
      </c>
      <c r="I182" s="6" t="s">
        <v>979</v>
      </c>
      <c r="J182" s="37">
        <v>1874</v>
      </c>
      <c r="K182" s="38" t="s">
        <v>1350</v>
      </c>
      <c r="L182" s="298"/>
      <c r="M182" s="40"/>
      <c r="N182" s="41"/>
      <c r="O182" s="39" t="str">
        <f t="shared" si="10"/>
        <v>제11장 노동조합-제05절 사용자의 편의제공-01</v>
      </c>
      <c r="Q182" s="7" t="str">
        <f t="shared" si="11"/>
        <v>노동조합-2</v>
      </c>
      <c r="R182" s="7" t="str">
        <f t="shared" si="12"/>
        <v>열기2-01.노동법\01.본문\제11장 노동조합.제05절 사용자의 편의제공.txt</v>
      </c>
      <c r="S182" s="7" t="str">
        <f t="shared" si="13"/>
        <v>A</v>
      </c>
      <c r="T182" s="7" t="str">
        <f t="shared" si="14"/>
        <v>사용자의 편의제공</v>
      </c>
    </row>
    <row r="183" spans="2:20" ht="14.45" customHeight="1" x14ac:dyDescent="0.2">
      <c r="B183" s="31" t="s">
        <v>399</v>
      </c>
      <c r="C183" s="42" t="s">
        <v>516</v>
      </c>
      <c r="D183" s="43" t="s">
        <v>1650</v>
      </c>
      <c r="E183" s="70" t="s">
        <v>1212</v>
      </c>
      <c r="F183" s="46" t="s">
        <v>28</v>
      </c>
      <c r="G183" s="46" t="s">
        <v>1639</v>
      </c>
      <c r="H183" s="47" t="s">
        <v>103</v>
      </c>
      <c r="I183" s="48" t="s">
        <v>1689</v>
      </c>
      <c r="J183" s="49">
        <v>2350</v>
      </c>
      <c r="K183" s="50" t="s">
        <v>1350</v>
      </c>
      <c r="L183" s="68"/>
      <c r="M183" s="52"/>
      <c r="N183" s="53"/>
      <c r="O183" s="51" t="str">
        <f t="shared" si="10"/>
        <v>제11장 노동조합-제05절 사용자의 편의제공-02</v>
      </c>
      <c r="Q183" s="7" t="str">
        <f t="shared" si="11"/>
        <v>11.05-1-2</v>
      </c>
      <c r="R183" s="7" t="str">
        <f t="shared" si="12"/>
        <v>열기2-01.노동법\02.문제\[모의][2][11.05-1]사용자의 노조 전임자 급여 지급 및 운영비 원조 행위의 부당노동행위 성립 여부와 단체협약의 효력.txt</v>
      </c>
      <c r="S183" s="7" t="str">
        <f t="shared" si="13"/>
        <v>A</v>
      </c>
      <c r="T183" s="7" t="str">
        <f t="shared" si="14"/>
        <v>사용자의 노조 전임자 급여 지급 및 운영비 원조 행위의 부당노동행위 성립 여부와 단체협약의 효력</v>
      </c>
    </row>
    <row r="184" spans="2:20" ht="14.45" customHeight="1" x14ac:dyDescent="0.2">
      <c r="B184" s="31" t="s">
        <v>399</v>
      </c>
      <c r="C184" s="54" t="s">
        <v>516</v>
      </c>
      <c r="D184" s="55" t="s">
        <v>1650</v>
      </c>
      <c r="E184" s="97" t="s">
        <v>1213</v>
      </c>
      <c r="F184" s="58" t="s">
        <v>28</v>
      </c>
      <c r="G184" s="58" t="s">
        <v>1640</v>
      </c>
      <c r="H184" s="59" t="s">
        <v>104</v>
      </c>
      <c r="I184" s="60" t="s">
        <v>1690</v>
      </c>
      <c r="J184" s="61">
        <v>2472</v>
      </c>
      <c r="K184" s="62" t="s">
        <v>1350</v>
      </c>
      <c r="L184" s="100"/>
      <c r="M184" s="64"/>
      <c r="N184" s="65"/>
      <c r="O184" s="63" t="str">
        <f t="shared" si="10"/>
        <v>제11장 노동조합-제05절 사용자의 편의제공-03</v>
      </c>
      <c r="Q184" s="7" t="str">
        <f t="shared" si="11"/>
        <v>11.05-2-2</v>
      </c>
      <c r="R184" s="7" t="str">
        <f t="shared" si="12"/>
        <v>열기2-01.노동법\02.문제\[모의][2][11.05-2]근로시간 면제 제도(Time-Off)의 한도 초과 약정의 효력 및 급여 지급의 법적 쟁점.txt</v>
      </c>
      <c r="S184" s="7" t="str">
        <f t="shared" si="13"/>
        <v>A</v>
      </c>
      <c r="T184" s="7" t="str">
        <f t="shared" si="14"/>
        <v>근로시간 면제 제도(Time-Off)의 한도 초과 약정의 효력 및 급여 지급의 법적 쟁점</v>
      </c>
    </row>
    <row r="185" spans="2:20" ht="14.45" customHeight="1" x14ac:dyDescent="0.2">
      <c r="B185" s="31" t="s">
        <v>399</v>
      </c>
      <c r="C185" s="32" t="s">
        <v>1501</v>
      </c>
      <c r="D185" s="33" t="s">
        <v>128</v>
      </c>
      <c r="E185" s="69" t="s">
        <v>154</v>
      </c>
      <c r="F185" s="35" t="s">
        <v>28</v>
      </c>
      <c r="G185" s="35" t="s">
        <v>1638</v>
      </c>
      <c r="H185" s="36" t="s">
        <v>175</v>
      </c>
      <c r="I185" s="6" t="s">
        <v>980</v>
      </c>
      <c r="J185" s="37">
        <v>1933</v>
      </c>
      <c r="K185" s="38" t="s">
        <v>1350</v>
      </c>
      <c r="L185" s="298"/>
      <c r="M185" s="40"/>
      <c r="N185" s="41"/>
      <c r="O185" s="39" t="str">
        <f t="shared" si="10"/>
        <v>제11장 노동조합-제06절 노동조합의 내부통제권-01</v>
      </c>
      <c r="Q185" s="7" t="str">
        <f t="shared" si="11"/>
        <v>노동조합-2</v>
      </c>
      <c r="R185" s="7" t="str">
        <f t="shared" si="12"/>
        <v>열기2-01.노동법\01.본문\제11장 노동조합.제06절 노동조합의 내부통제권.txt</v>
      </c>
      <c r="S185" s="7" t="str">
        <f t="shared" si="13"/>
        <v>A</v>
      </c>
      <c r="T185" s="7" t="str">
        <f t="shared" si="14"/>
        <v>노동조합의 내부통제권</v>
      </c>
    </row>
    <row r="186" spans="2:20" ht="14.45" customHeight="1" x14ac:dyDescent="0.2">
      <c r="B186" s="31" t="s">
        <v>399</v>
      </c>
      <c r="C186" s="54" t="s">
        <v>1501</v>
      </c>
      <c r="D186" s="55" t="s">
        <v>1258</v>
      </c>
      <c r="E186" s="97" t="s">
        <v>1167</v>
      </c>
      <c r="F186" s="58">
        <v>2</v>
      </c>
      <c r="G186" s="58" t="s">
        <v>1639</v>
      </c>
      <c r="H186" s="59" t="s">
        <v>1033</v>
      </c>
      <c r="I186" s="60" t="s">
        <v>1034</v>
      </c>
      <c r="J186" s="61">
        <v>1964</v>
      </c>
      <c r="K186" s="62" t="s">
        <v>1350</v>
      </c>
      <c r="L186" s="100"/>
      <c r="M186" s="64"/>
      <c r="N186" s="65"/>
      <c r="O186" s="63" t="str">
        <f t="shared" si="10"/>
        <v>제11장 노동조합-제06절 노동조합의 내부통제권-02</v>
      </c>
      <c r="Q186" s="7" t="str">
        <f t="shared" si="11"/>
        <v>2013-2-2</v>
      </c>
      <c r="R186" s="7" t="str">
        <f t="shared" si="12"/>
        <v>열기2-01.노동법\02.문제\[기출][2][2013-2]조합의 지지 정당 결정에 반하여 다른 정당을 지지한 조합원에 대한 제명처분의 효력.txt</v>
      </c>
      <c r="S186" s="7" t="str">
        <f t="shared" si="13"/>
        <v>A</v>
      </c>
      <c r="T186" s="7" t="str">
        <f t="shared" si="14"/>
        <v>조합의 지지 정당 결정에 반하여 다른 정당을 지지한 조합원에 대한 제명처분의 효력</v>
      </c>
    </row>
    <row r="187" spans="2:20" ht="14.45" customHeight="1" x14ac:dyDescent="0.2">
      <c r="B187" s="31" t="s">
        <v>399</v>
      </c>
      <c r="C187" s="32" t="s">
        <v>1814</v>
      </c>
      <c r="D187" s="33" t="s">
        <v>128</v>
      </c>
      <c r="E187" s="69" t="s">
        <v>154</v>
      </c>
      <c r="F187" s="35" t="s">
        <v>28</v>
      </c>
      <c r="G187" s="35" t="s">
        <v>1638</v>
      </c>
      <c r="H187" s="36" t="s">
        <v>1815</v>
      </c>
      <c r="I187" s="6" t="s">
        <v>1816</v>
      </c>
      <c r="J187" s="37">
        <v>1435</v>
      </c>
      <c r="K187" s="38" t="s">
        <v>1350</v>
      </c>
      <c r="L187" s="298"/>
      <c r="M187" s="40"/>
      <c r="N187" s="41"/>
      <c r="O187" s="39" t="str">
        <f t="shared" si="10"/>
        <v>제11장 노동조합-제07절 노동조합의 합병・해산・조직변경-01</v>
      </c>
      <c r="Q187" s="7" t="str">
        <f t="shared" si="11"/>
        <v>노동조합-2</v>
      </c>
      <c r="R187" s="7" t="str">
        <f t="shared" si="12"/>
        <v>열기2-01.노동법\01.본문\제11장 노동조합.제07절 노동조합의 합병・해산・조직변경.txt</v>
      </c>
      <c r="S187" s="7" t="str">
        <f t="shared" si="13"/>
        <v>A</v>
      </c>
      <c r="T187" s="7" t="str">
        <f t="shared" si="14"/>
        <v>노동조합의 합병・해산・조직변경</v>
      </c>
    </row>
    <row r="188" spans="2:20" ht="14.45" customHeight="1" thickBot="1" x14ac:dyDescent="0.25">
      <c r="B188" s="74" t="s">
        <v>399</v>
      </c>
      <c r="C188" s="103" t="s">
        <v>1814</v>
      </c>
      <c r="D188" s="76" t="s">
        <v>1258</v>
      </c>
      <c r="E188" s="77" t="s">
        <v>1174</v>
      </c>
      <c r="F188" s="78">
        <v>2</v>
      </c>
      <c r="G188" s="78" t="s">
        <v>1639</v>
      </c>
      <c r="H188" s="79" t="s">
        <v>1035</v>
      </c>
      <c r="I188" s="80" t="s">
        <v>1036</v>
      </c>
      <c r="J188" s="81">
        <v>2449</v>
      </c>
      <c r="K188" s="82" t="s">
        <v>1350</v>
      </c>
      <c r="L188" s="161"/>
      <c r="M188" s="84"/>
      <c r="N188" s="85"/>
      <c r="O188" s="83" t="str">
        <f t="shared" si="10"/>
        <v>제11장 노동조합-제07절 노동조합의 합병・해산・조직변경-02</v>
      </c>
      <c r="Q188" s="7" t="str">
        <f t="shared" si="11"/>
        <v>2019-1-2-2</v>
      </c>
      <c r="R188" s="7" t="str">
        <f t="shared" si="12"/>
        <v>열기2-01.노동법\02.문제\[기출][2][2019-1-2]초기업 노동조합 지회의 기업별 노동조합 조직형태 변경 결의의 유효성 여부.txt</v>
      </c>
      <c r="S188" s="7" t="str">
        <f t="shared" si="13"/>
        <v>A</v>
      </c>
      <c r="T188" s="7" t="str">
        <f t="shared" si="14"/>
        <v>초기업 노동조합 지회의 기업별 노동조합 조직형태 변경 결의의 유효성 여부</v>
      </c>
    </row>
    <row r="189" spans="2:20" ht="14.45" customHeight="1" x14ac:dyDescent="0.2">
      <c r="B189" s="19" t="s">
        <v>400</v>
      </c>
      <c r="C189" s="86" t="s">
        <v>1597</v>
      </c>
      <c r="D189" s="87" t="s">
        <v>128</v>
      </c>
      <c r="E189" s="88" t="s">
        <v>155</v>
      </c>
      <c r="F189" s="89" t="s">
        <v>28</v>
      </c>
      <c r="G189" s="89" t="s">
        <v>1638</v>
      </c>
      <c r="H189" s="90" t="s">
        <v>176</v>
      </c>
      <c r="I189" s="91" t="s">
        <v>982</v>
      </c>
      <c r="J189" s="92">
        <v>1504</v>
      </c>
      <c r="K189" s="93" t="s">
        <v>1350</v>
      </c>
      <c r="L189" s="299"/>
      <c r="M189" s="95"/>
      <c r="N189" s="96"/>
      <c r="O189" s="94" t="str">
        <f t="shared" si="10"/>
        <v>제12장 단체교섭-제01절 단체교섭의 당사자-01</v>
      </c>
      <c r="Q189" s="7" t="str">
        <f t="shared" si="11"/>
        <v>단체교섭-2</v>
      </c>
      <c r="R189" s="7" t="str">
        <f t="shared" si="12"/>
        <v>열기2-01.노동법\01.본문\제12장 단체교섭.제01절 단체교섭의 당사자.txt</v>
      </c>
      <c r="S189" s="7" t="str">
        <f t="shared" si="13"/>
        <v>A</v>
      </c>
      <c r="T189" s="7" t="str">
        <f t="shared" si="14"/>
        <v>단체교섭의 당사자</v>
      </c>
    </row>
    <row r="190" spans="2:20" ht="14.45" customHeight="1" x14ac:dyDescent="0.2">
      <c r="B190" s="31" t="s">
        <v>400</v>
      </c>
      <c r="C190" s="42" t="s">
        <v>502</v>
      </c>
      <c r="D190" s="151" t="s">
        <v>1258</v>
      </c>
      <c r="E190" s="152" t="s">
        <v>82</v>
      </c>
      <c r="F190" s="153">
        <v>2</v>
      </c>
      <c r="G190" s="153" t="s">
        <v>1639</v>
      </c>
      <c r="H190" s="154" t="s">
        <v>1131</v>
      </c>
      <c r="I190" s="155" t="s">
        <v>1132</v>
      </c>
      <c r="J190" s="150">
        <v>3694</v>
      </c>
      <c r="K190" s="156" t="s">
        <v>1350</v>
      </c>
      <c r="L190" s="302"/>
      <c r="M190" s="158"/>
      <c r="N190" s="159"/>
      <c r="O190" s="157" t="str">
        <f t="shared" si="10"/>
        <v>제12장 단체교섭-제01절 단체교섭의 당사자-02</v>
      </c>
      <c r="Q190" s="7" t="str">
        <f t="shared" si="11"/>
        <v>2009-1-2</v>
      </c>
      <c r="R190" s="7" t="str">
        <f t="shared" si="12"/>
        <v>열기2-01.노동법\02.문제\[기출][2][2009-1]도급 또는 파견 계약 관계에서 노조법상 사용자로서 단체교섭 의무 부담 여부.txt</v>
      </c>
      <c r="S190" s="7" t="str">
        <f t="shared" si="13"/>
        <v>A</v>
      </c>
      <c r="T190" s="7" t="str">
        <f t="shared" si="14"/>
        <v>도급 또는 파견 계약 관계에서 노조법상 사용자로서 단체교섭 의무 부담 여부</v>
      </c>
    </row>
    <row r="191" spans="2:20" ht="14.45" customHeight="1" x14ac:dyDescent="0.2">
      <c r="B191" s="31" t="s">
        <v>400</v>
      </c>
      <c r="C191" s="42" t="s">
        <v>502</v>
      </c>
      <c r="D191" s="43" t="s">
        <v>1258</v>
      </c>
      <c r="E191" s="70" t="s">
        <v>1133</v>
      </c>
      <c r="F191" s="46">
        <v>2</v>
      </c>
      <c r="G191" s="46" t="s">
        <v>1640</v>
      </c>
      <c r="H191" s="47" t="s">
        <v>1129</v>
      </c>
      <c r="I191" s="48" t="s">
        <v>1130</v>
      </c>
      <c r="J191" s="49">
        <v>3441</v>
      </c>
      <c r="K191" s="50" t="s">
        <v>1350</v>
      </c>
      <c r="L191" s="68"/>
      <c r="M191" s="52"/>
      <c r="N191" s="53"/>
      <c r="O191" s="51" t="str">
        <f t="shared" si="10"/>
        <v>제12장 단체교섭-제01절 단체교섭의 당사자-03</v>
      </c>
      <c r="Q191" s="7" t="str">
        <f t="shared" si="11"/>
        <v>2011-1-2</v>
      </c>
      <c r="R191" s="7" t="str">
        <f t="shared" si="12"/>
        <v>열기2-01.노동법\02.문제\[기출][2][2011-1]산별노동조합 지회의 단체교섭 주체성 인정 여부, 사업부 매각 결정(경영권)의 단체교섭 대상성 여부.txt</v>
      </c>
      <c r="S191" s="7" t="str">
        <f t="shared" si="13"/>
        <v>A</v>
      </c>
      <c r="T191" s="7" t="str">
        <f t="shared" si="14"/>
        <v>산별노동조합 지회의 단체교섭 주체성 인정 여부, 사업부 매각 결정(경영권)의 단체교섭 대상성 여부</v>
      </c>
    </row>
    <row r="192" spans="2:20" ht="14.45" customHeight="1" x14ac:dyDescent="0.2">
      <c r="B192" s="31" t="s">
        <v>400</v>
      </c>
      <c r="C192" s="42" t="s">
        <v>1597</v>
      </c>
      <c r="D192" s="43" t="s">
        <v>1258</v>
      </c>
      <c r="E192" s="70" t="s">
        <v>1594</v>
      </c>
      <c r="F192" s="46" t="s">
        <v>27</v>
      </c>
      <c r="G192" s="46" t="s">
        <v>1641</v>
      </c>
      <c r="H192" s="47" t="s">
        <v>1595</v>
      </c>
      <c r="I192" s="48" t="s">
        <v>1233</v>
      </c>
      <c r="J192" s="49">
        <v>2292</v>
      </c>
      <c r="K192" s="50" t="s">
        <v>1350</v>
      </c>
      <c r="L192" s="68" t="s">
        <v>1552</v>
      </c>
      <c r="M192" s="52"/>
      <c r="N192" s="53"/>
      <c r="O192" s="51" t="str">
        <f t="shared" si="10"/>
        <v>제12장 단체교섭-제01절 단체교섭의 당사자-04</v>
      </c>
      <c r="Q192" s="7" t="str">
        <f t="shared" si="11"/>
        <v>2021-1-1-2</v>
      </c>
      <c r="R192" s="7" t="str">
        <f t="shared" si="12"/>
        <v>열기2-01.노동법\02.문제\[기출][2][2021-1-1]설립신고를 하지 않은 초기업 노동조합 지부의 단체협약 체결 당사자 지위 인정 여부.txt</v>
      </c>
      <c r="S192" s="7" t="str">
        <f t="shared" si="13"/>
        <v>A</v>
      </c>
      <c r="T192" s="7" t="str">
        <f t="shared" si="14"/>
        <v>설립신고를 하지 않은 초기업 노동조합 지부의 단체협약 체결 당사자 지위 인정 여부</v>
      </c>
    </row>
    <row r="193" spans="2:20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1533</v>
      </c>
      <c r="F193" s="46" t="s">
        <v>28</v>
      </c>
      <c r="G193" s="45" t="s">
        <v>1642</v>
      </c>
      <c r="H193" s="47" t="s">
        <v>1358</v>
      </c>
      <c r="I193" s="48" t="s">
        <v>1290</v>
      </c>
      <c r="J193" s="49">
        <v>3135</v>
      </c>
      <c r="K193" s="50" t="s">
        <v>1350</v>
      </c>
      <c r="L193" s="68"/>
      <c r="M193" s="52"/>
      <c r="N193" s="53"/>
      <c r="O193" s="51" t="str">
        <f t="shared" si="10"/>
        <v>제12장 단체교섭-제01절 단체교섭의 당사자-05</v>
      </c>
      <c r="Q193" s="7" t="str">
        <f t="shared" si="11"/>
        <v>서울행정법원 2025.07.25. 선고 2022구합69230 판결-2</v>
      </c>
      <c r="R193" s="7" t="str">
        <f t="shared" si="12"/>
        <v>열기2-01.노동법\03.판례\[서울행정법원 2025.07.25. 선고 2022구합69230 판결]원하청교섭 시 원청사의 단체교섭의무 판단방법, 그리고 노란봉투법.txt</v>
      </c>
      <c r="S193" s="7" t="str">
        <f t="shared" si="13"/>
        <v>A</v>
      </c>
      <c r="T193" s="7" t="str">
        <f t="shared" si="14"/>
        <v>원하청교섭 시 원청사의 단체교섭의무 판단방법, 그리고 노란봉투법</v>
      </c>
    </row>
    <row r="194" spans="2:20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1534</v>
      </c>
      <c r="F194" s="58" t="s">
        <v>28</v>
      </c>
      <c r="G194" s="57" t="s">
        <v>1643</v>
      </c>
      <c r="H194" s="59" t="s">
        <v>353</v>
      </c>
      <c r="I194" s="60" t="s">
        <v>1291</v>
      </c>
      <c r="J194" s="61">
        <v>3184</v>
      </c>
      <c r="K194" s="62" t="s">
        <v>1385</v>
      </c>
      <c r="L194" s="100"/>
      <c r="M194" s="64"/>
      <c r="N194" s="65"/>
      <c r="O194" s="63" t="str">
        <f t="shared" si="10"/>
        <v>제12장 단체교섭-제01절 단체교섭의 당사자-06</v>
      </c>
      <c r="Q194" s="7" t="str">
        <f t="shared" si="11"/>
        <v>서울행정법원 2025.10.30. 선고 2024구합72896 판결-2</v>
      </c>
      <c r="R194" s="7" t="str">
        <f t="shared" si="12"/>
        <v>열기2-01.노동법\03.판례\[서울행정법원 2025.10.30. 선고 2024구합72896 판결]백화점・면세점의 입점(판매)노동과 단체교섭 상대방.txt</v>
      </c>
      <c r="S194" s="7" t="str">
        <f t="shared" si="13"/>
        <v>B</v>
      </c>
      <c r="T194" s="7" t="str">
        <f t="shared" si="14"/>
        <v>백화점・면세점의 입점(판매)노동과 단체교섭 상대방</v>
      </c>
    </row>
    <row r="195" spans="2:20" ht="14.45" customHeight="1" x14ac:dyDescent="0.2">
      <c r="B195" s="31" t="s">
        <v>400</v>
      </c>
      <c r="C195" s="32" t="s">
        <v>1448</v>
      </c>
      <c r="D195" s="33" t="s">
        <v>128</v>
      </c>
      <c r="E195" s="69" t="s">
        <v>155</v>
      </c>
      <c r="F195" s="35" t="s">
        <v>28</v>
      </c>
      <c r="G195" s="35" t="s">
        <v>1638</v>
      </c>
      <c r="H195" s="36" t="s">
        <v>177</v>
      </c>
      <c r="I195" s="6" t="s">
        <v>983</v>
      </c>
      <c r="J195" s="37">
        <v>1707</v>
      </c>
      <c r="K195" s="38" t="s">
        <v>1384</v>
      </c>
      <c r="L195" s="298"/>
      <c r="M195" s="40"/>
      <c r="N195" s="41"/>
      <c r="O195" s="39" t="str">
        <f t="shared" si="10"/>
        <v>제12장 단체교섭-제02절 단체교섭의 담당자-01</v>
      </c>
      <c r="Q195" s="7" t="str">
        <f t="shared" si="11"/>
        <v>단체교섭-2</v>
      </c>
      <c r="R195" s="7" t="str">
        <f t="shared" si="12"/>
        <v>열기2-01.노동법\01.본문\제12장 단체교섭.제02절 단체교섭의 담당자.txt</v>
      </c>
      <c r="S195" s="7" t="str">
        <f t="shared" si="13"/>
        <v>C</v>
      </c>
      <c r="T195" s="7" t="str">
        <f t="shared" si="14"/>
        <v>단체교섭의 담당자</v>
      </c>
    </row>
    <row r="196" spans="2:20" ht="14.45" customHeight="1" x14ac:dyDescent="0.2">
      <c r="B196" s="31" t="s">
        <v>400</v>
      </c>
      <c r="C196" s="54" t="s">
        <v>1448</v>
      </c>
      <c r="D196" s="55" t="s">
        <v>1258</v>
      </c>
      <c r="E196" s="97" t="s">
        <v>1169</v>
      </c>
      <c r="F196" s="58">
        <v>2</v>
      </c>
      <c r="G196" s="58" t="s">
        <v>1639</v>
      </c>
      <c r="H196" s="59" t="s">
        <v>1248</v>
      </c>
      <c r="I196" s="60" t="s">
        <v>1249</v>
      </c>
      <c r="J196" s="61">
        <v>2438</v>
      </c>
      <c r="K196" s="62" t="s">
        <v>1384</v>
      </c>
      <c r="L196" s="100"/>
      <c r="M196" s="64"/>
      <c r="N196" s="65"/>
      <c r="O196" s="63" t="str">
        <f t="shared" ref="O196:O259" si="15">B196&amp;"-"&amp;C196&amp;"-"&amp;G196</f>
        <v>제12장 단체교섭-제02절 단체교섭의 담당자-02</v>
      </c>
      <c r="Q196" s="7" t="str">
        <f t="shared" ref="Q196:Q259" si="16">E196&amp;"-"&amp;F196</f>
        <v>2023-1-1-2</v>
      </c>
      <c r="R196" s="7" t="str">
        <f t="shared" ref="R196:R259" si="17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18">K196</f>
        <v>C</v>
      </c>
      <c r="T196" s="7" t="str">
        <f t="shared" si="14"/>
        <v>사용자의 직장폐쇄 중 수임 상급단체의 단체교섭 요구를 계속적으로 거부한 행위의 부당노동행위 성립 여부</v>
      </c>
    </row>
    <row r="197" spans="2:20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1638</v>
      </c>
      <c r="H197" s="36" t="s">
        <v>178</v>
      </c>
      <c r="I197" s="6" t="s">
        <v>984</v>
      </c>
      <c r="J197" s="37">
        <v>2088</v>
      </c>
      <c r="K197" s="38" t="s">
        <v>1350</v>
      </c>
      <c r="L197" s="298"/>
      <c r="M197" s="40"/>
      <c r="N197" s="41"/>
      <c r="O197" s="39" t="str">
        <f t="shared" si="15"/>
        <v>제12장 단체교섭-제03절 단체교섭의 대상-01</v>
      </c>
      <c r="Q197" s="7" t="str">
        <f t="shared" si="16"/>
        <v>단체교섭-2</v>
      </c>
      <c r="R197" s="7" t="str">
        <f t="shared" si="17"/>
        <v>열기2-01.노동법\01.본문\제12장 단체교섭.제03절 단체교섭의 대상.txt</v>
      </c>
      <c r="S197" s="7" t="str">
        <f t="shared" si="18"/>
        <v>A</v>
      </c>
      <c r="T197" s="7" t="str">
        <f t="shared" ref="T197:T260" si="19">H197</f>
        <v>단체교섭의 대상</v>
      </c>
    </row>
    <row r="198" spans="2:20" ht="14.45" customHeight="1" x14ac:dyDescent="0.2">
      <c r="B198" s="31" t="s">
        <v>400</v>
      </c>
      <c r="C198" s="42" t="s">
        <v>503</v>
      </c>
      <c r="D198" s="43" t="s">
        <v>1258</v>
      </c>
      <c r="E198" s="70" t="s">
        <v>80</v>
      </c>
      <c r="F198" s="46">
        <v>2</v>
      </c>
      <c r="G198" s="46" t="s">
        <v>1639</v>
      </c>
      <c r="H198" s="47" t="s">
        <v>235</v>
      </c>
      <c r="I198" s="48" t="s">
        <v>928</v>
      </c>
      <c r="J198" s="49">
        <v>3447</v>
      </c>
      <c r="K198" s="50" t="s">
        <v>1385</v>
      </c>
      <c r="L198" s="68"/>
      <c r="M198" s="52"/>
      <c r="N198" s="53"/>
      <c r="O198" s="51" t="str">
        <f t="shared" si="15"/>
        <v>제12장 단체교섭-제03절 단체교섭의 대상-02</v>
      </c>
      <c r="Q198" s="7" t="str">
        <f t="shared" si="16"/>
        <v>2008-1-2</v>
      </c>
      <c r="R198" s="7" t="str">
        <f t="shared" si="17"/>
        <v>열기2-01.노동법\02.문제\[기출][2][2008-1]단체협약상 동의조항의 효력(노동조합의 동의권에 대한 범위), 경영권에 대한 단체교섭의 대상성.txt</v>
      </c>
      <c r="S198" s="7" t="str">
        <f t="shared" si="18"/>
        <v>B</v>
      </c>
      <c r="T198" s="7" t="str">
        <f t="shared" si="19"/>
        <v>단체협약상 동의조항의 효력(노동조합의 동의권에 대한 범위), 경영권에 대한 단체교섭의 대상성</v>
      </c>
    </row>
    <row r="199" spans="2:20" ht="14.45" customHeight="1" x14ac:dyDescent="0.2">
      <c r="B199" s="31" t="s">
        <v>400</v>
      </c>
      <c r="C199" s="42" t="s">
        <v>503</v>
      </c>
      <c r="D199" s="43" t="s">
        <v>1258</v>
      </c>
      <c r="E199" s="70" t="s">
        <v>1133</v>
      </c>
      <c r="F199" s="46">
        <v>2</v>
      </c>
      <c r="G199" s="46" t="s">
        <v>1640</v>
      </c>
      <c r="H199" s="47" t="s">
        <v>1129</v>
      </c>
      <c r="I199" s="48" t="s">
        <v>1130</v>
      </c>
      <c r="J199" s="49">
        <v>3441</v>
      </c>
      <c r="K199" s="50" t="s">
        <v>1350</v>
      </c>
      <c r="L199" s="68" t="s">
        <v>1552</v>
      </c>
      <c r="M199" s="52"/>
      <c r="N199" s="53"/>
      <c r="O199" s="51" t="str">
        <f t="shared" si="15"/>
        <v>제12장 단체교섭-제03절 단체교섭의 대상-03</v>
      </c>
      <c r="Q199" s="7" t="str">
        <f t="shared" si="16"/>
        <v>2011-1-2</v>
      </c>
      <c r="R199" s="7" t="str">
        <f t="shared" si="17"/>
        <v>열기2-01.노동법\02.문제\[기출][2][2011-1]산별노동조합 지회의 단체교섭 주체성 인정 여부, 사업부 매각 결정(경영권)의 단체교섭 대상성 여부.txt</v>
      </c>
      <c r="S199" s="7" t="str">
        <f t="shared" si="18"/>
        <v>A</v>
      </c>
      <c r="T199" s="7" t="str">
        <f t="shared" si="19"/>
        <v>산별노동조합 지회의 단체교섭 주체성 인정 여부, 사업부 매각 결정(경영권)의 단체교섭 대상성 여부</v>
      </c>
    </row>
    <row r="200" spans="2:20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1535</v>
      </c>
      <c r="F200" s="58" t="s">
        <v>28</v>
      </c>
      <c r="G200" s="57" t="s">
        <v>1641</v>
      </c>
      <c r="H200" s="59" t="s">
        <v>348</v>
      </c>
      <c r="I200" s="60" t="s">
        <v>1292</v>
      </c>
      <c r="J200" s="61">
        <v>2867</v>
      </c>
      <c r="K200" s="62" t="s">
        <v>1350</v>
      </c>
      <c r="L200" s="100"/>
      <c r="M200" s="64"/>
      <c r="N200" s="65"/>
      <c r="O200" s="63" t="str">
        <f t="shared" si="15"/>
        <v>제12장 단체교섭-제03절 단체교섭의 대상-04</v>
      </c>
      <c r="Q200" s="7" t="str">
        <f t="shared" si="16"/>
        <v>대법원 2025.07.03. 선고 2023다251718 판결-2</v>
      </c>
      <c r="R200" s="7" t="str">
        <f t="shared" si="17"/>
        <v>열기2-01.노동법\03.판례\[대법원 2025.07.03. 선고 2023다251718 판결]과거 근로조건에 대한 단체교섭의 유의미성.txt</v>
      </c>
      <c r="S200" s="7" t="str">
        <f t="shared" si="18"/>
        <v>A</v>
      </c>
      <c r="T200" s="7" t="str">
        <f t="shared" si="19"/>
        <v>과거 근로조건에 대한 단체교섭의 유의미성</v>
      </c>
    </row>
    <row r="201" spans="2:20" ht="14.45" customHeight="1" x14ac:dyDescent="0.2">
      <c r="B201" s="31" t="s">
        <v>400</v>
      </c>
      <c r="C201" s="32" t="s">
        <v>1502</v>
      </c>
      <c r="D201" s="33" t="s">
        <v>128</v>
      </c>
      <c r="E201" s="69" t="s">
        <v>155</v>
      </c>
      <c r="F201" s="35" t="s">
        <v>28</v>
      </c>
      <c r="G201" s="35" t="s">
        <v>1638</v>
      </c>
      <c r="H201" s="36" t="s">
        <v>179</v>
      </c>
      <c r="I201" s="6" t="s">
        <v>985</v>
      </c>
      <c r="J201" s="37">
        <v>2317</v>
      </c>
      <c r="K201" s="38" t="s">
        <v>1384</v>
      </c>
      <c r="L201" s="298"/>
      <c r="M201" s="40"/>
      <c r="N201" s="41"/>
      <c r="O201" s="39" t="str">
        <f t="shared" si="15"/>
        <v>제12장 단체교섭-제04절 교섭창구단일화제도-01</v>
      </c>
      <c r="Q201" s="7" t="str">
        <f t="shared" si="16"/>
        <v>단체교섭-2</v>
      </c>
      <c r="R201" s="7" t="str">
        <f t="shared" si="17"/>
        <v>열기2-01.노동법\01.본문\제12장 단체교섭.제04절 교섭창구단일화제도.txt</v>
      </c>
      <c r="S201" s="7" t="str">
        <f t="shared" si="18"/>
        <v>C</v>
      </c>
      <c r="T201" s="7" t="str">
        <f t="shared" si="19"/>
        <v>교섭창구단일화제도</v>
      </c>
    </row>
    <row r="202" spans="2:20" ht="14.45" customHeight="1" x14ac:dyDescent="0.2">
      <c r="B202" s="31" t="s">
        <v>400</v>
      </c>
      <c r="C202" s="42" t="s">
        <v>1502</v>
      </c>
      <c r="D202" s="43" t="s">
        <v>1258</v>
      </c>
      <c r="E202" s="70" t="s">
        <v>86</v>
      </c>
      <c r="F202" s="46">
        <v>2</v>
      </c>
      <c r="G202" s="46" t="s">
        <v>1639</v>
      </c>
      <c r="H202" s="47" t="s">
        <v>1253</v>
      </c>
      <c r="I202" s="48" t="s">
        <v>1254</v>
      </c>
      <c r="J202" s="49">
        <v>1629</v>
      </c>
      <c r="K202" s="50" t="s">
        <v>1384</v>
      </c>
      <c r="L202" s="68"/>
      <c r="M202" s="52"/>
      <c r="N202" s="53"/>
      <c r="O202" s="51" t="str">
        <f t="shared" si="15"/>
        <v>제12장 단체교섭-제04절 교섭창구단일화제도-02</v>
      </c>
      <c r="Q202" s="7" t="str">
        <f t="shared" si="16"/>
        <v>2020-2-2</v>
      </c>
      <c r="R202" s="7" t="str">
        <f t="shared" si="17"/>
        <v>열기2-01.노동법\02.문제\[기출][2][2020-2]소수노조 대상 노조사무실 미제공의 공정대표의무 위반 여부.txt</v>
      </c>
      <c r="S202" s="7" t="str">
        <f t="shared" si="18"/>
        <v>C</v>
      </c>
      <c r="T202" s="7" t="str">
        <f t="shared" si="19"/>
        <v>소수노조 대상 노조사무실 미제공의 공정대표의무 위반 여부</v>
      </c>
    </row>
    <row r="203" spans="2:20" ht="14.45" customHeight="1" x14ac:dyDescent="0.2">
      <c r="B203" s="31" t="s">
        <v>400</v>
      </c>
      <c r="C203" s="42" t="s">
        <v>1502</v>
      </c>
      <c r="D203" s="43" t="s">
        <v>1258</v>
      </c>
      <c r="E203" s="70" t="s">
        <v>282</v>
      </c>
      <c r="F203" s="46">
        <v>2</v>
      </c>
      <c r="G203" s="46" t="s">
        <v>1640</v>
      </c>
      <c r="H203" s="47" t="s">
        <v>1136</v>
      </c>
      <c r="I203" s="48" t="s">
        <v>1137</v>
      </c>
      <c r="J203" s="49">
        <v>2438</v>
      </c>
      <c r="K203" s="50" t="s">
        <v>1384</v>
      </c>
      <c r="L203" s="68"/>
      <c r="M203" s="52"/>
      <c r="N203" s="53"/>
      <c r="O203" s="51" t="str">
        <f t="shared" si="15"/>
        <v>제12장 단체교섭-제04절 교섭창구단일화제도-03</v>
      </c>
      <c r="Q203" s="7" t="str">
        <f t="shared" si="16"/>
        <v>2024-2-2</v>
      </c>
      <c r="R203" s="7" t="str">
        <f t="shared" si="17"/>
        <v>열기2-01.노동법\02.문제\[기출][2][2024-2]교섭대표노동조합의 공정대표의무 위반 여부.txt</v>
      </c>
      <c r="S203" s="7" t="str">
        <f t="shared" si="18"/>
        <v>C</v>
      </c>
      <c r="T203" s="7" t="str">
        <f t="shared" si="19"/>
        <v>교섭대표노동조합의 공정대표의무 위반 여부</v>
      </c>
    </row>
    <row r="204" spans="2:20" ht="14.45" customHeight="1" x14ac:dyDescent="0.2">
      <c r="B204" s="31" t="s">
        <v>400</v>
      </c>
      <c r="C204" s="42" t="s">
        <v>1502</v>
      </c>
      <c r="D204" s="43" t="s">
        <v>1258</v>
      </c>
      <c r="E204" s="70" t="s">
        <v>72</v>
      </c>
      <c r="F204" s="46">
        <v>2</v>
      </c>
      <c r="G204" s="46" t="s">
        <v>1641</v>
      </c>
      <c r="H204" s="47" t="s">
        <v>1134</v>
      </c>
      <c r="I204" s="48" t="s">
        <v>1135</v>
      </c>
      <c r="J204" s="49">
        <v>2636</v>
      </c>
      <c r="K204" s="50" t="s">
        <v>1384</v>
      </c>
      <c r="L204" s="68"/>
      <c r="M204" s="52"/>
      <c r="N204" s="53"/>
      <c r="O204" s="51" t="str">
        <f t="shared" si="15"/>
        <v>제12장 단체교섭-제04절 교섭창구단일화제도-04</v>
      </c>
      <c r="Q204" s="7" t="str">
        <f t="shared" si="16"/>
        <v>2025-1-1-2</v>
      </c>
      <c r="R204" s="7" t="str">
        <f t="shared" si="17"/>
        <v>열기2-01.노동법\02.문제\[기출][2][2025-1-1]직군이 다른 노동조합(사무직과 생산직)의 교섭단위 분리 신청 인정 여부.txt</v>
      </c>
      <c r="S204" s="7" t="str">
        <f t="shared" si="18"/>
        <v>C</v>
      </c>
      <c r="T204" s="7" t="str">
        <f t="shared" si="19"/>
        <v>직군이 다른 노동조합(사무직과 생산직)의 교섭단위 분리 신청 인정 여부</v>
      </c>
    </row>
    <row r="205" spans="2:20" ht="14.45" customHeight="1" x14ac:dyDescent="0.2">
      <c r="B205" s="31" t="s">
        <v>400</v>
      </c>
      <c r="C205" s="42" t="s">
        <v>1502</v>
      </c>
      <c r="D205" s="43" t="s">
        <v>308</v>
      </c>
      <c r="E205" s="73" t="s">
        <v>1536</v>
      </c>
      <c r="F205" s="46" t="s">
        <v>28</v>
      </c>
      <c r="G205" s="45" t="s">
        <v>1642</v>
      </c>
      <c r="H205" s="47" t="s">
        <v>345</v>
      </c>
      <c r="I205" s="48" t="s">
        <v>1293</v>
      </c>
      <c r="J205" s="49">
        <v>3388</v>
      </c>
      <c r="K205" s="50" t="s">
        <v>1384</v>
      </c>
      <c r="L205" s="68"/>
      <c r="M205" s="52"/>
      <c r="N205" s="53"/>
      <c r="O205" s="51" t="str">
        <f t="shared" si="15"/>
        <v>제12장 단체교섭-제04절 교섭창구단일화제도-05</v>
      </c>
      <c r="Q205" s="7" t="str">
        <f t="shared" si="16"/>
        <v>대법원 2025.05.15. 선고 2022두64693 판결-2</v>
      </c>
      <c r="R205" s="7" t="str">
        <f t="shared" si="17"/>
        <v>열기2-01.노동법\03.판례\[대법원 2025.05.15. 선고 2022두64693 판결]복수노조에 대한 차량 지원 관련 사용자의 공정대표의무.txt</v>
      </c>
      <c r="S205" s="7" t="str">
        <f t="shared" si="18"/>
        <v>C</v>
      </c>
      <c r="T205" s="7" t="str">
        <f t="shared" si="19"/>
        <v>복수노조에 대한 차량 지원 관련 사용자의 공정대표의무</v>
      </c>
    </row>
    <row r="206" spans="2:20" ht="14.45" customHeight="1" x14ac:dyDescent="0.2">
      <c r="B206" s="31" t="s">
        <v>400</v>
      </c>
      <c r="C206" s="54" t="s">
        <v>1502</v>
      </c>
      <c r="D206" s="55" t="s">
        <v>308</v>
      </c>
      <c r="E206" s="71" t="s">
        <v>1537</v>
      </c>
      <c r="F206" s="58" t="s">
        <v>28</v>
      </c>
      <c r="G206" s="57" t="s">
        <v>1643</v>
      </c>
      <c r="H206" s="59" t="s">
        <v>349</v>
      </c>
      <c r="I206" s="60" t="s">
        <v>1294</v>
      </c>
      <c r="J206" s="61">
        <v>3803</v>
      </c>
      <c r="K206" s="62" t="s">
        <v>1384</v>
      </c>
      <c r="L206" s="100"/>
      <c r="M206" s="64"/>
      <c r="N206" s="65"/>
      <c r="O206" s="63" t="str">
        <f t="shared" si="15"/>
        <v>제12장 단체교섭-제04절 교섭창구단일화제도-06</v>
      </c>
      <c r="Q206" s="7" t="str">
        <f t="shared" si="16"/>
        <v>대법원 2025.07.18. 선고 2023두61370 판결-2</v>
      </c>
      <c r="R206" s="7" t="str">
        <f t="shared" si="17"/>
        <v>열기2-01.노동법\03.판례\[대법원 2025.07.18. 선고 2023두61370 판결]징계위원회 구성에 대한 공정대표의무의 효력.txt</v>
      </c>
      <c r="S206" s="7" t="str">
        <f t="shared" si="18"/>
        <v>C</v>
      </c>
      <c r="T206" s="7" t="str">
        <f t="shared" si="19"/>
        <v>징계위원회 구성에 대한 공정대표의무의 효력</v>
      </c>
    </row>
    <row r="207" spans="2:20" ht="14.45" customHeight="1" x14ac:dyDescent="0.2">
      <c r="B207" s="31" t="s">
        <v>400</v>
      </c>
      <c r="C207" s="32" t="s">
        <v>1503</v>
      </c>
      <c r="D207" s="33" t="s">
        <v>128</v>
      </c>
      <c r="E207" s="69" t="s">
        <v>155</v>
      </c>
      <c r="F207" s="35" t="s">
        <v>28</v>
      </c>
      <c r="G207" s="35" t="s">
        <v>1638</v>
      </c>
      <c r="H207" s="160" t="s">
        <v>180</v>
      </c>
      <c r="I207" s="6" t="s">
        <v>986</v>
      </c>
      <c r="J207" s="37">
        <v>2137</v>
      </c>
      <c r="K207" s="38" t="s">
        <v>1384</v>
      </c>
      <c r="L207" s="298"/>
      <c r="M207" s="40"/>
      <c r="N207" s="41"/>
      <c r="O207" s="39" t="str">
        <f t="shared" si="15"/>
        <v>제12장 단체교섭-제05절 인준투표제-01</v>
      </c>
      <c r="Q207" s="7" t="str">
        <f t="shared" si="16"/>
        <v>단체교섭-2</v>
      </c>
      <c r="R207" s="7" t="str">
        <f t="shared" si="17"/>
        <v>열기2-01.노동법\01.본문\제12장 단체교섭.제05절 인준투표제.txt</v>
      </c>
      <c r="S207" s="7" t="str">
        <f t="shared" si="18"/>
        <v>C</v>
      </c>
      <c r="T207" s="7" t="str">
        <f t="shared" si="19"/>
        <v>인준투표제</v>
      </c>
    </row>
    <row r="208" spans="2:20" ht="14.45" customHeight="1" x14ac:dyDescent="0.2">
      <c r="B208" s="31" t="s">
        <v>400</v>
      </c>
      <c r="C208" s="54" t="s">
        <v>1503</v>
      </c>
      <c r="D208" s="55" t="s">
        <v>1258</v>
      </c>
      <c r="E208" s="97" t="s">
        <v>1165</v>
      </c>
      <c r="F208" s="58">
        <v>2</v>
      </c>
      <c r="G208" s="58" t="s">
        <v>1639</v>
      </c>
      <c r="H208" s="59" t="s">
        <v>1622</v>
      </c>
      <c r="I208" s="60" t="s">
        <v>1623</v>
      </c>
      <c r="J208" s="61">
        <v>2385</v>
      </c>
      <c r="K208" s="62" t="s">
        <v>1384</v>
      </c>
      <c r="L208" s="100"/>
      <c r="M208" s="64"/>
      <c r="N208" s="65"/>
      <c r="O208" s="63" t="str">
        <f t="shared" si="15"/>
        <v>제12장 단체교섭-제05절 인준투표제-02</v>
      </c>
      <c r="Q208" s="7" t="str">
        <f t="shared" si="16"/>
        <v>2023-1-2-2</v>
      </c>
      <c r="R208" s="7" t="str">
        <f t="shared" si="17"/>
        <v>열기2-01.노동법\02.문제\[기출][2][2023-1-2]노동조합 대표자가 규약 절차를 위반하여 체결한 단체협약의 법적 효력.txt</v>
      </c>
      <c r="S208" s="7" t="str">
        <f t="shared" si="18"/>
        <v>C</v>
      </c>
      <c r="T208" s="7" t="str">
        <f t="shared" si="19"/>
        <v>노동조합 대표자가 규약 절차를 위반하여 체결한 단체협약의 법적 효력</v>
      </c>
    </row>
    <row r="209" spans="2:20" ht="14.45" customHeight="1" x14ac:dyDescent="0.2">
      <c r="B209" s="31" t="s">
        <v>400</v>
      </c>
      <c r="C209" s="32" t="s">
        <v>1449</v>
      </c>
      <c r="D209" s="33" t="s">
        <v>128</v>
      </c>
      <c r="E209" s="69" t="s">
        <v>155</v>
      </c>
      <c r="F209" s="35" t="s">
        <v>28</v>
      </c>
      <c r="G209" s="35" t="s">
        <v>1638</v>
      </c>
      <c r="H209" s="36" t="s">
        <v>181</v>
      </c>
      <c r="I209" s="6" t="s">
        <v>987</v>
      </c>
      <c r="J209" s="37">
        <v>1512</v>
      </c>
      <c r="K209" s="38" t="s">
        <v>1350</v>
      </c>
      <c r="L209" s="298"/>
      <c r="M209" s="40"/>
      <c r="N209" s="41"/>
      <c r="O209" s="39" t="str">
        <f t="shared" si="15"/>
        <v>제12장 단체교섭-제06절 성실교섭의무-01</v>
      </c>
      <c r="Q209" s="7" t="str">
        <f t="shared" si="16"/>
        <v>단체교섭-2</v>
      </c>
      <c r="R209" s="7" t="str">
        <f t="shared" si="17"/>
        <v>열기2-01.노동법\01.본문\제12장 단체교섭.제06절 성실교섭의무.txt</v>
      </c>
      <c r="S209" s="7" t="str">
        <f t="shared" si="18"/>
        <v>A</v>
      </c>
      <c r="T209" s="7" t="str">
        <f t="shared" si="19"/>
        <v>성실교섭의무</v>
      </c>
    </row>
    <row r="210" spans="2:20" ht="14.45" customHeight="1" x14ac:dyDescent="0.2">
      <c r="B210" s="31" t="s">
        <v>400</v>
      </c>
      <c r="C210" s="102" t="s">
        <v>1449</v>
      </c>
      <c r="D210" s="43" t="s">
        <v>1650</v>
      </c>
      <c r="E210" s="70" t="s">
        <v>1214</v>
      </c>
      <c r="F210" s="46" t="s">
        <v>28</v>
      </c>
      <c r="G210" s="46" t="s">
        <v>1639</v>
      </c>
      <c r="H210" s="47" t="s">
        <v>1250</v>
      </c>
      <c r="I210" s="48" t="s">
        <v>1691</v>
      </c>
      <c r="J210" s="49">
        <v>2196</v>
      </c>
      <c r="K210" s="50" t="s">
        <v>1350</v>
      </c>
      <c r="L210" s="68" t="s">
        <v>1764</v>
      </c>
      <c r="M210" s="52"/>
      <c r="N210" s="53"/>
      <c r="O210" s="51" t="str">
        <f t="shared" si="15"/>
        <v>제12장 단체교섭-제06절 성실교섭의무-02</v>
      </c>
      <c r="Q210" s="7" t="str">
        <f t="shared" si="16"/>
        <v>12.06-1-2</v>
      </c>
      <c r="R210" s="7" t="str">
        <f t="shared" si="17"/>
        <v>열기2-01.노동법\02.문제\[모의][2][12.06-1]단체교섭 중 사용자의 구체적 대안 제시 거부 및 경영 자료 제공 거부의 부당노동행위 성립 여부.txt</v>
      </c>
      <c r="S210" s="7" t="str">
        <f t="shared" si="18"/>
        <v>A</v>
      </c>
      <c r="T210" s="7" t="str">
        <f t="shared" si="19"/>
        <v>단체교섭 중 사용자의 구체적 대안 제시 거부 및 경영 자료 제공 거부의 부당노동행위 성립 여부</v>
      </c>
    </row>
    <row r="211" spans="2:20" ht="14.45" customHeight="1" thickBot="1" x14ac:dyDescent="0.25">
      <c r="B211" s="74" t="s">
        <v>400</v>
      </c>
      <c r="C211" s="103" t="s">
        <v>1449</v>
      </c>
      <c r="D211" s="76" t="s">
        <v>1650</v>
      </c>
      <c r="E211" s="77" t="s">
        <v>1215</v>
      </c>
      <c r="F211" s="78" t="s">
        <v>28</v>
      </c>
      <c r="G211" s="78" t="s">
        <v>1640</v>
      </c>
      <c r="H211" s="79" t="s">
        <v>105</v>
      </c>
      <c r="I211" s="80" t="s">
        <v>1692</v>
      </c>
      <c r="J211" s="81">
        <v>2516</v>
      </c>
      <c r="K211" s="82" t="s">
        <v>1350</v>
      </c>
      <c r="L211" s="161" t="s">
        <v>1764</v>
      </c>
      <c r="M211" s="84"/>
      <c r="N211" s="85"/>
      <c r="O211" s="83" t="str">
        <f t="shared" si="15"/>
        <v>제12장 단체교섭-제06절 성실교섭의무-03</v>
      </c>
      <c r="Q211" s="7" t="str">
        <f t="shared" si="16"/>
        <v>12.06-2-2</v>
      </c>
      <c r="R211" s="7" t="str">
        <f t="shared" si="17"/>
        <v>열기2-01.노동법\02.문제\[모의][2][12.06-2]교섭 권한 없는 자로의 위임 및 교섭 불참과 성실교섭의무 위반의 판단 기준.txt</v>
      </c>
      <c r="S211" s="7" t="str">
        <f t="shared" si="18"/>
        <v>A</v>
      </c>
      <c r="T211" s="7" t="str">
        <f t="shared" si="19"/>
        <v>교섭 권한 없는 자로의 위임 및 교섭 불참과 성실교섭의무 위반의 판단 기준</v>
      </c>
    </row>
    <row r="212" spans="2:20" ht="14.45" customHeight="1" x14ac:dyDescent="0.2">
      <c r="B212" s="19" t="s">
        <v>401</v>
      </c>
      <c r="C212" s="20" t="s">
        <v>1491</v>
      </c>
      <c r="D212" s="21" t="s">
        <v>128</v>
      </c>
      <c r="E212" s="22" t="s">
        <v>157</v>
      </c>
      <c r="F212" s="23" t="s">
        <v>28</v>
      </c>
      <c r="G212" s="23" t="s">
        <v>1638</v>
      </c>
      <c r="H212" s="24" t="s">
        <v>592</v>
      </c>
      <c r="I212" s="25" t="s">
        <v>988</v>
      </c>
      <c r="J212" s="26">
        <v>980</v>
      </c>
      <c r="K212" s="27" t="s">
        <v>1385</v>
      </c>
      <c r="L212" s="297"/>
      <c r="M212" s="29"/>
      <c r="N212" s="30"/>
      <c r="O212" s="28" t="str">
        <f t="shared" si="15"/>
        <v>제13장 단체협약-제01절 단체협약의 서설-01</v>
      </c>
      <c r="Q212" s="7" t="str">
        <f t="shared" si="16"/>
        <v>단체협약-2</v>
      </c>
      <c r="R212" s="7" t="str">
        <f t="shared" si="17"/>
        <v>열기2-01.노동법\01.본문\제13장 단체협약.제01절 단체협약의 서설.txt</v>
      </c>
      <c r="S212" s="7" t="str">
        <f t="shared" si="18"/>
        <v>B</v>
      </c>
      <c r="T212" s="7" t="str">
        <f t="shared" si="19"/>
        <v>단체협약의 서설</v>
      </c>
    </row>
    <row r="213" spans="2:20" ht="14.45" customHeight="1" x14ac:dyDescent="0.2">
      <c r="B213" s="31" t="s">
        <v>401</v>
      </c>
      <c r="C213" s="32" t="s">
        <v>1450</v>
      </c>
      <c r="D213" s="33" t="s">
        <v>128</v>
      </c>
      <c r="E213" s="69" t="s">
        <v>157</v>
      </c>
      <c r="F213" s="35" t="s">
        <v>28</v>
      </c>
      <c r="G213" s="35" t="s">
        <v>1638</v>
      </c>
      <c r="H213" s="36" t="s">
        <v>182</v>
      </c>
      <c r="I213" s="6" t="s">
        <v>989</v>
      </c>
      <c r="J213" s="37">
        <v>1017</v>
      </c>
      <c r="K213" s="38" t="s">
        <v>1385</v>
      </c>
      <c r="L213" s="298"/>
      <c r="M213" s="40"/>
      <c r="N213" s="41"/>
      <c r="O213" s="39" t="str">
        <f t="shared" si="15"/>
        <v>제13장 단체협약-제02절 단체협약의 성립-01</v>
      </c>
      <c r="Q213" s="7" t="str">
        <f t="shared" si="16"/>
        <v>단체협약-2</v>
      </c>
      <c r="R213" s="7" t="str">
        <f t="shared" si="17"/>
        <v>열기2-01.노동법\01.본문\제13장 단체협약.제02절 단체협약의 성립.txt</v>
      </c>
      <c r="S213" s="7" t="str">
        <f t="shared" si="18"/>
        <v>B</v>
      </c>
      <c r="T213" s="7" t="str">
        <f t="shared" si="19"/>
        <v>단체협약의 성립</v>
      </c>
    </row>
    <row r="214" spans="2:20" ht="14.45" customHeight="1" x14ac:dyDescent="0.2">
      <c r="B214" s="31" t="s">
        <v>401</v>
      </c>
      <c r="C214" s="42" t="s">
        <v>1450</v>
      </c>
      <c r="D214" s="43" t="s">
        <v>1650</v>
      </c>
      <c r="E214" s="70" t="s">
        <v>1216</v>
      </c>
      <c r="F214" s="46" t="s">
        <v>28</v>
      </c>
      <c r="G214" s="46" t="s">
        <v>1639</v>
      </c>
      <c r="H214" s="47" t="s">
        <v>106</v>
      </c>
      <c r="I214" s="48" t="s">
        <v>1693</v>
      </c>
      <c r="J214" s="49">
        <v>2330</v>
      </c>
      <c r="K214" s="50" t="s">
        <v>1385</v>
      </c>
      <c r="L214" s="68"/>
      <c r="M214" s="52"/>
      <c r="N214" s="53"/>
      <c r="O214" s="51" t="str">
        <f t="shared" si="15"/>
        <v>제13장 단체협약-제02절 단체협약의 성립-02</v>
      </c>
      <c r="Q214" s="7" t="str">
        <f t="shared" si="16"/>
        <v>13.02-1-2</v>
      </c>
      <c r="R214" s="7" t="str">
        <f t="shared" si="17"/>
        <v>열기2-01.노동법\02.문제\[모의][2][13.02-1]단체협약의 성립요건인 서면 작성 및 서명・날인의 법적 의미와 자필 서명의 효력.txt</v>
      </c>
      <c r="S214" s="7" t="str">
        <f t="shared" si="18"/>
        <v>B</v>
      </c>
      <c r="T214" s="7" t="str">
        <f t="shared" si="19"/>
        <v>단체협약의 성립요건인 서면 작성 및 서명・날인의 법적 의미와 자필 서명의 효력</v>
      </c>
    </row>
    <row r="215" spans="2:20" ht="14.45" customHeight="1" x14ac:dyDescent="0.2">
      <c r="B215" s="31" t="s">
        <v>401</v>
      </c>
      <c r="C215" s="54" t="s">
        <v>1450</v>
      </c>
      <c r="D215" s="55" t="s">
        <v>1650</v>
      </c>
      <c r="E215" s="97" t="s">
        <v>1217</v>
      </c>
      <c r="F215" s="58" t="s">
        <v>28</v>
      </c>
      <c r="G215" s="58" t="s">
        <v>1640</v>
      </c>
      <c r="H215" s="59" t="s">
        <v>107</v>
      </c>
      <c r="I215" s="60" t="s">
        <v>1694</v>
      </c>
      <c r="J215" s="61">
        <v>2171</v>
      </c>
      <c r="K215" s="62" t="s">
        <v>1385</v>
      </c>
      <c r="L215" s="100" t="s">
        <v>1724</v>
      </c>
      <c r="M215" s="64"/>
      <c r="N215" s="65"/>
      <c r="O215" s="63" t="str">
        <f t="shared" si="15"/>
        <v>제13장 단체협약-제02절 단체협약의 성립-03</v>
      </c>
      <c r="Q215" s="7" t="str">
        <f t="shared" si="16"/>
        <v>13.02-2-2</v>
      </c>
      <c r="R215" s="7" t="str">
        <f t="shared" si="17"/>
        <v>열기2-01.노동법\02.문제\[모의][2][13.02-2]조합원 인준투표 부결이 단체협약의 성립 및 효력 발생에 미치는 영향.txt</v>
      </c>
      <c r="S215" s="7" t="str">
        <f t="shared" si="18"/>
        <v>B</v>
      </c>
      <c r="T215" s="7" t="str">
        <f t="shared" si="19"/>
        <v>조합원 인준투표 부결이 단체협약의 성립 및 효력 발생에 미치는 영향</v>
      </c>
    </row>
    <row r="216" spans="2:20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1638</v>
      </c>
      <c r="H216" s="36" t="s">
        <v>183</v>
      </c>
      <c r="I216" s="6" t="s">
        <v>990</v>
      </c>
      <c r="J216" s="37">
        <v>1943</v>
      </c>
      <c r="K216" s="38" t="s">
        <v>1384</v>
      </c>
      <c r="L216" s="298"/>
      <c r="M216" s="40"/>
      <c r="N216" s="41"/>
      <c r="O216" s="39" t="str">
        <f t="shared" si="15"/>
        <v>제13장 단체협약-제03절 단체협약의 효력-01</v>
      </c>
      <c r="Q216" s="7" t="str">
        <f t="shared" si="16"/>
        <v>단체협약-2</v>
      </c>
      <c r="R216" s="7" t="str">
        <f t="shared" si="17"/>
        <v>열기2-01.노동법\01.본문\제13장 단체협약.제03절 단체협약의 효력.txt</v>
      </c>
      <c r="S216" s="7" t="str">
        <f t="shared" si="18"/>
        <v>C</v>
      </c>
      <c r="T216" s="7" t="str">
        <f t="shared" si="19"/>
        <v>단체협약의 효력</v>
      </c>
    </row>
    <row r="217" spans="2:20" ht="14.45" customHeight="1" x14ac:dyDescent="0.2">
      <c r="B217" s="31" t="s">
        <v>401</v>
      </c>
      <c r="C217" s="42" t="s">
        <v>484</v>
      </c>
      <c r="D217" s="43" t="s">
        <v>1258</v>
      </c>
      <c r="E217" s="70" t="s">
        <v>62</v>
      </c>
      <c r="F217" s="46">
        <v>2</v>
      </c>
      <c r="G217" s="46" t="s">
        <v>1639</v>
      </c>
      <c r="H217" s="47" t="s">
        <v>1138</v>
      </c>
      <c r="I217" s="48" t="s">
        <v>1139</v>
      </c>
      <c r="J217" s="49">
        <v>2009</v>
      </c>
      <c r="K217" s="50" t="s">
        <v>1384</v>
      </c>
      <c r="L217" s="68" t="s">
        <v>1765</v>
      </c>
      <c r="M217" s="52"/>
      <c r="N217" s="53"/>
      <c r="O217" s="51" t="str">
        <f t="shared" si="15"/>
        <v>제13장 단체협약-제03절 단체협약의 효력-02</v>
      </c>
      <c r="Q217" s="7" t="str">
        <f t="shared" si="16"/>
        <v>2012-1-1-2</v>
      </c>
      <c r="R217" s="7" t="str">
        <f t="shared" si="17"/>
        <v>열기2-01.노동법\02.문제\[기출][2][2012-1-1]특별노사합의를 통한 고정상여금 미지급 결정의 효력 및 조합원 개별 동의의 필요성 여부.txt</v>
      </c>
      <c r="S217" s="7" t="str">
        <f t="shared" si="18"/>
        <v>C</v>
      </c>
      <c r="T217" s="7" t="str">
        <f t="shared" si="19"/>
        <v>특별노사합의를 통한 고정상여금 미지급 결정의 효력 및 조합원 개별 동의의 필요성 여부</v>
      </c>
    </row>
    <row r="218" spans="2:20" ht="14.45" customHeight="1" x14ac:dyDescent="0.2">
      <c r="B218" s="31" t="s">
        <v>401</v>
      </c>
      <c r="C218" s="42" t="s">
        <v>484</v>
      </c>
      <c r="D218" s="43" t="s">
        <v>1258</v>
      </c>
      <c r="E218" s="70" t="s">
        <v>63</v>
      </c>
      <c r="F218" s="46">
        <v>2</v>
      </c>
      <c r="G218" s="46" t="s">
        <v>1640</v>
      </c>
      <c r="H218" s="47" t="s">
        <v>1140</v>
      </c>
      <c r="I218" s="48" t="s">
        <v>1141</v>
      </c>
      <c r="J218" s="49">
        <v>2019</v>
      </c>
      <c r="K218" s="50" t="s">
        <v>1384</v>
      </c>
      <c r="L218" s="68"/>
      <c r="M218" s="52"/>
      <c r="N218" s="53"/>
      <c r="O218" s="51" t="str">
        <f t="shared" si="15"/>
        <v>제13장 단체협약-제03절 단체협약의 효력-03</v>
      </c>
      <c r="Q218" s="7" t="str">
        <f t="shared" si="16"/>
        <v>2012-1-2-2</v>
      </c>
      <c r="R218" s="7" t="str">
        <f t="shared" si="17"/>
        <v>열기2-01.노동법\02.문제\[기출][2][2012-1-2]특별노사합의를 통한 무단결근 면직기준 단축의 효력 및 조합원에 대한 적용 정당성 여부.txt</v>
      </c>
      <c r="S218" s="7" t="str">
        <f t="shared" si="18"/>
        <v>C</v>
      </c>
      <c r="T218" s="7" t="str">
        <f t="shared" si="19"/>
        <v>특별노사합의를 통한 무단결근 면직기준 단축의 효력 및 조합원에 대한 적용 정당성 여부</v>
      </c>
    </row>
    <row r="219" spans="2:20" ht="14.45" customHeight="1" x14ac:dyDescent="0.2">
      <c r="B219" s="31" t="s">
        <v>401</v>
      </c>
      <c r="C219" s="42" t="s">
        <v>484</v>
      </c>
      <c r="D219" s="43" t="s">
        <v>1258</v>
      </c>
      <c r="E219" s="70" t="s">
        <v>60</v>
      </c>
      <c r="F219" s="46">
        <v>2</v>
      </c>
      <c r="G219" s="46" t="s">
        <v>1641</v>
      </c>
      <c r="H219" s="47" t="s">
        <v>1255</v>
      </c>
      <c r="I219" s="48" t="s">
        <v>1256</v>
      </c>
      <c r="J219" s="49">
        <v>1844</v>
      </c>
      <c r="K219" s="50" t="s">
        <v>1384</v>
      </c>
      <c r="L219" s="68"/>
      <c r="M219" s="52"/>
      <c r="N219" s="53"/>
      <c r="O219" s="51" t="str">
        <f t="shared" si="15"/>
        <v>제13장 단체협약-제03절 단체협약의 효력-04</v>
      </c>
      <c r="Q219" s="7" t="str">
        <f t="shared" si="16"/>
        <v>2016-2-2</v>
      </c>
      <c r="R219" s="7" t="str">
        <f t="shared" si="17"/>
        <v>열기2-01.노동법\02.문제\[기출][2][2016-2]비조합원에 대한 징계처분 시 단체협약상 재심절차 준수 필요 여부.txt</v>
      </c>
      <c r="S219" s="7" t="str">
        <f t="shared" si="18"/>
        <v>C</v>
      </c>
      <c r="T219" s="7" t="str">
        <f t="shared" si="19"/>
        <v>비조합원에 대한 징계처분 시 단체협약상 재심절차 준수 필요 여부</v>
      </c>
    </row>
    <row r="220" spans="2:20" ht="14.45" customHeight="1" x14ac:dyDescent="0.2">
      <c r="B220" s="31" t="s">
        <v>401</v>
      </c>
      <c r="C220" s="54" t="s">
        <v>484</v>
      </c>
      <c r="D220" s="55" t="s">
        <v>1258</v>
      </c>
      <c r="E220" s="97" t="s">
        <v>1175</v>
      </c>
      <c r="F220" s="58">
        <v>2</v>
      </c>
      <c r="G220" s="58" t="s">
        <v>1642</v>
      </c>
      <c r="H220" s="59" t="s">
        <v>1646</v>
      </c>
      <c r="I220" s="60" t="s">
        <v>1647</v>
      </c>
      <c r="J220" s="61">
        <v>2260</v>
      </c>
      <c r="K220" s="62" t="s">
        <v>1384</v>
      </c>
      <c r="L220" s="100"/>
      <c r="M220" s="64"/>
      <c r="N220" s="65"/>
      <c r="O220" s="63" t="str">
        <f t="shared" si="15"/>
        <v>제13장 단체협약-제03절 단체협약의 효력-05</v>
      </c>
      <c r="Q220" s="7" t="str">
        <f t="shared" si="16"/>
        <v>2023-2-2</v>
      </c>
      <c r="R220" s="7" t="str">
        <f t="shared" si="17"/>
        <v>열기2-01.노동법\02.문제\[기출][2][2023-2]개별 동의 없는 불이익 단체협약의 규범적 효력과 기득이익의 관계.txt</v>
      </c>
      <c r="S220" s="7" t="str">
        <f t="shared" si="18"/>
        <v>C</v>
      </c>
      <c r="T220" s="7" t="str">
        <f t="shared" si="19"/>
        <v>개별 동의 없는 불이익 단체협약의 규범적 효력과 기득이익의 관계</v>
      </c>
    </row>
    <row r="221" spans="2:20" ht="14.45" customHeight="1" x14ac:dyDescent="0.2">
      <c r="B221" s="31" t="s">
        <v>401</v>
      </c>
      <c r="C221" s="32" t="s">
        <v>1451</v>
      </c>
      <c r="D221" s="33" t="s">
        <v>128</v>
      </c>
      <c r="E221" s="69" t="s">
        <v>156</v>
      </c>
      <c r="F221" s="35" t="s">
        <v>28</v>
      </c>
      <c r="G221" s="35" t="s">
        <v>1638</v>
      </c>
      <c r="H221" s="36" t="s">
        <v>184</v>
      </c>
      <c r="I221" s="6" t="s">
        <v>991</v>
      </c>
      <c r="J221" s="37">
        <v>1930</v>
      </c>
      <c r="K221" s="38" t="s">
        <v>1385</v>
      </c>
      <c r="L221" s="298"/>
      <c r="M221" s="40"/>
      <c r="N221" s="41"/>
      <c r="O221" s="39" t="str">
        <f t="shared" si="15"/>
        <v>제13장 단체협약-제04절 평화의무-01</v>
      </c>
      <c r="Q221" s="7" t="str">
        <f t="shared" si="16"/>
        <v>단체협약-2</v>
      </c>
      <c r="R221" s="7" t="str">
        <f t="shared" si="17"/>
        <v>열기2-01.노동법\01.본문\제13장 단체협약.제04절 평화의무.txt</v>
      </c>
      <c r="S221" s="7" t="str">
        <f t="shared" si="18"/>
        <v>B</v>
      </c>
      <c r="T221" s="7" t="str">
        <f t="shared" si="19"/>
        <v>평화의무</v>
      </c>
    </row>
    <row r="222" spans="2:20" ht="14.45" customHeight="1" x14ac:dyDescent="0.2">
      <c r="B222" s="31" t="s">
        <v>401</v>
      </c>
      <c r="C222" s="42" t="s">
        <v>1451</v>
      </c>
      <c r="D222" s="43" t="s">
        <v>1650</v>
      </c>
      <c r="E222" s="70" t="s">
        <v>1218</v>
      </c>
      <c r="F222" s="46" t="s">
        <v>28</v>
      </c>
      <c r="G222" s="46" t="s">
        <v>1639</v>
      </c>
      <c r="H222" s="47" t="s">
        <v>108</v>
      </c>
      <c r="I222" s="48" t="s">
        <v>1695</v>
      </c>
      <c r="J222" s="49">
        <v>2061</v>
      </c>
      <c r="K222" s="50" t="s">
        <v>1385</v>
      </c>
      <c r="L222" s="68"/>
      <c r="M222" s="52"/>
      <c r="N222" s="53"/>
      <c r="O222" s="51" t="str">
        <f t="shared" si="15"/>
        <v>제13장 단체협약-제04절 평화의무-02</v>
      </c>
      <c r="Q222" s="7" t="str">
        <f t="shared" si="16"/>
        <v>13.04-1-2</v>
      </c>
      <c r="R222" s="7" t="str">
        <f t="shared" si="17"/>
        <v>열기2-01.노동법\02.문제\[모의][2][13.04-1]평화의무의 개념, 근거 및 명시적 조항 부재 시 인정 여부.txt</v>
      </c>
      <c r="S222" s="7" t="str">
        <f t="shared" si="18"/>
        <v>B</v>
      </c>
      <c r="T222" s="7" t="str">
        <f t="shared" si="19"/>
        <v>평화의무의 개념, 근거 및 명시적 조항 부재 시 인정 여부</v>
      </c>
    </row>
    <row r="223" spans="2:20" ht="14.45" customHeight="1" x14ac:dyDescent="0.2">
      <c r="B223" s="31" t="s">
        <v>401</v>
      </c>
      <c r="C223" s="54" t="s">
        <v>1451</v>
      </c>
      <c r="D223" s="55" t="s">
        <v>1650</v>
      </c>
      <c r="E223" s="97" t="s">
        <v>1219</v>
      </c>
      <c r="F223" s="58" t="s">
        <v>28</v>
      </c>
      <c r="G223" s="58" t="s">
        <v>1640</v>
      </c>
      <c r="H223" s="59" t="s">
        <v>109</v>
      </c>
      <c r="I223" s="60" t="s">
        <v>1696</v>
      </c>
      <c r="J223" s="61">
        <v>2267</v>
      </c>
      <c r="K223" s="62" t="s">
        <v>1385</v>
      </c>
      <c r="L223" s="100"/>
      <c r="M223" s="64"/>
      <c r="N223" s="65"/>
      <c r="O223" s="63" t="str">
        <f t="shared" si="15"/>
        <v>제13장 단체협약-제04절 평화의무-03</v>
      </c>
      <c r="Q223" s="7" t="str">
        <f t="shared" si="16"/>
        <v>13.04-2-2</v>
      </c>
      <c r="R223" s="7" t="str">
        <f t="shared" si="17"/>
        <v>열기2-01.노동법\02.문제\[모의][2][13.04-2]평화의무 위반 쟁의행위의 정당성 유무 및 법적 책임.txt</v>
      </c>
      <c r="S223" s="7" t="str">
        <f t="shared" si="18"/>
        <v>B</v>
      </c>
      <c r="T223" s="7" t="str">
        <f t="shared" si="19"/>
        <v>평화의무 위반 쟁의행위의 정당성 유무 및 법적 책임</v>
      </c>
    </row>
    <row r="224" spans="2:20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1638</v>
      </c>
      <c r="H224" s="36" t="s">
        <v>185</v>
      </c>
      <c r="I224" s="6" t="s">
        <v>992</v>
      </c>
      <c r="J224" s="37">
        <v>1642</v>
      </c>
      <c r="K224" s="38" t="s">
        <v>1385</v>
      </c>
      <c r="L224" s="298"/>
      <c r="M224" s="40"/>
      <c r="N224" s="41"/>
      <c r="O224" s="39" t="str">
        <f t="shared" si="15"/>
        <v>제13장 단체협약-제05절 단체협약의 해석-01</v>
      </c>
      <c r="Q224" s="7" t="str">
        <f t="shared" si="16"/>
        <v>단체협약-2</v>
      </c>
      <c r="R224" s="7" t="str">
        <f t="shared" si="17"/>
        <v>열기2-01.노동법\01.본문\제13장 단체협약.제05절 단체협약의 해석.txt</v>
      </c>
      <c r="S224" s="7" t="str">
        <f t="shared" si="18"/>
        <v>B</v>
      </c>
      <c r="T224" s="7" t="str">
        <f t="shared" si="19"/>
        <v>단체협약의 해석</v>
      </c>
    </row>
    <row r="225" spans="2:20" ht="14.45" customHeight="1" x14ac:dyDescent="0.2">
      <c r="B225" s="31" t="s">
        <v>401</v>
      </c>
      <c r="C225" s="54" t="s">
        <v>496</v>
      </c>
      <c r="D225" s="55" t="s">
        <v>1258</v>
      </c>
      <c r="E225" s="97" t="s">
        <v>1166</v>
      </c>
      <c r="F225" s="58">
        <v>2</v>
      </c>
      <c r="G225" s="58" t="s">
        <v>1639</v>
      </c>
      <c r="H225" s="59" t="s">
        <v>1142</v>
      </c>
      <c r="I225" s="60" t="s">
        <v>1143</v>
      </c>
      <c r="J225" s="61">
        <v>1866</v>
      </c>
      <c r="K225" s="62" t="s">
        <v>1385</v>
      </c>
      <c r="L225" s="100"/>
      <c r="M225" s="64"/>
      <c r="N225" s="65"/>
      <c r="O225" s="63" t="str">
        <f t="shared" si="15"/>
        <v>제13장 단체협약-제05절 단체협약의 해석-02</v>
      </c>
      <c r="Q225" s="7" t="str">
        <f t="shared" si="16"/>
        <v>2014-1-1-2</v>
      </c>
      <c r="R225" s="7" t="str">
        <f t="shared" si="17"/>
        <v>열기2-01.노동법\02.문제\[기출][2][2014-1-1]특별단체협약상 정리해고에 대한 합의 조항을 협의로 변형 해석할 수 있는지 여부.txt</v>
      </c>
      <c r="S225" s="7" t="str">
        <f t="shared" si="18"/>
        <v>B</v>
      </c>
      <c r="T225" s="7" t="str">
        <f t="shared" si="19"/>
        <v>특별단체협약상 정리해고에 대한 합의 조항을 협의로 변형 해석할 수 있는지 여부</v>
      </c>
    </row>
    <row r="226" spans="2:20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1638</v>
      </c>
      <c r="H226" s="36" t="s">
        <v>186</v>
      </c>
      <c r="I226" s="6" t="s">
        <v>993</v>
      </c>
      <c r="J226" s="37">
        <v>2103</v>
      </c>
      <c r="K226" s="38" t="s">
        <v>1385</v>
      </c>
      <c r="L226" s="298"/>
      <c r="M226" s="40"/>
      <c r="N226" s="41"/>
      <c r="O226" s="39" t="str">
        <f t="shared" si="15"/>
        <v>제13장 단체협약-제06절 단체협약의 중요조항-01</v>
      </c>
      <c r="Q226" s="7" t="str">
        <f t="shared" si="16"/>
        <v>단체협약-2</v>
      </c>
      <c r="R226" s="7" t="str">
        <f t="shared" si="17"/>
        <v>열기2-01.노동법\01.본문\제13장 단체협약.제06절 단체협약의 중요조항.txt</v>
      </c>
      <c r="S226" s="7" t="str">
        <f t="shared" si="18"/>
        <v>B</v>
      </c>
      <c r="T226" s="7" t="str">
        <f t="shared" si="19"/>
        <v>단체협약의 중요조항</v>
      </c>
    </row>
    <row r="227" spans="2:20" ht="14.45" customHeight="1" x14ac:dyDescent="0.2">
      <c r="B227" s="31" t="s">
        <v>401</v>
      </c>
      <c r="C227" s="54" t="s">
        <v>508</v>
      </c>
      <c r="D227" s="55" t="s">
        <v>1258</v>
      </c>
      <c r="E227" s="97" t="s">
        <v>113</v>
      </c>
      <c r="F227" s="58">
        <v>2</v>
      </c>
      <c r="G227" s="58" t="s">
        <v>1639</v>
      </c>
      <c r="H227" s="59" t="s">
        <v>235</v>
      </c>
      <c r="I227" s="60" t="s">
        <v>928</v>
      </c>
      <c r="J227" s="61">
        <v>3447</v>
      </c>
      <c r="K227" s="62" t="s">
        <v>1385</v>
      </c>
      <c r="L227" s="100" t="s">
        <v>1552</v>
      </c>
      <c r="M227" s="64"/>
      <c r="N227" s="65"/>
      <c r="O227" s="63" t="str">
        <f t="shared" si="15"/>
        <v>제13장 단체협약-제06절 단체협약의 중요조항-02</v>
      </c>
      <c r="Q227" s="7" t="str">
        <f t="shared" si="16"/>
        <v>2008-1-2</v>
      </c>
      <c r="R227" s="7" t="str">
        <f t="shared" si="17"/>
        <v>열기2-01.노동법\02.문제\[기출][2][2008-1]단체협약상 동의조항의 효력(노동조합의 동의권에 대한 범위), 경영권에 대한 단체교섭의 대상성.txt</v>
      </c>
      <c r="S227" s="7" t="str">
        <f t="shared" si="18"/>
        <v>B</v>
      </c>
      <c r="T227" s="7" t="str">
        <f t="shared" si="19"/>
        <v>단체협약상 동의조항의 효력(노동조합의 동의권에 대한 범위), 경영권에 대한 단체교섭의 대상성</v>
      </c>
    </row>
    <row r="228" spans="2:20" ht="14.45" customHeight="1" x14ac:dyDescent="0.2">
      <c r="B228" s="31" t="s">
        <v>401</v>
      </c>
      <c r="C228" s="32" t="s">
        <v>1452</v>
      </c>
      <c r="D228" s="33" t="s">
        <v>128</v>
      </c>
      <c r="E228" s="69" t="s">
        <v>156</v>
      </c>
      <c r="F228" s="35" t="s">
        <v>28</v>
      </c>
      <c r="G228" s="35" t="s">
        <v>1638</v>
      </c>
      <c r="H228" s="36" t="s">
        <v>187</v>
      </c>
      <c r="I228" s="6" t="s">
        <v>994</v>
      </c>
      <c r="J228" s="37">
        <v>1260</v>
      </c>
      <c r="K228" s="38" t="s">
        <v>1385</v>
      </c>
      <c r="L228" s="298"/>
      <c r="M228" s="40"/>
      <c r="N228" s="41"/>
      <c r="O228" s="39" t="str">
        <f t="shared" si="15"/>
        <v>제13장 단체협약-제07절 단체협약의 효력확장-01</v>
      </c>
      <c r="Q228" s="7" t="str">
        <f t="shared" si="16"/>
        <v>단체협약-2</v>
      </c>
      <c r="R228" s="7" t="str">
        <f t="shared" si="17"/>
        <v>열기2-01.노동법\01.본문\제13장 단체협약.제07절 단체협약의 효력확장.txt</v>
      </c>
      <c r="S228" s="7" t="str">
        <f t="shared" si="18"/>
        <v>B</v>
      </c>
      <c r="T228" s="7" t="str">
        <f t="shared" si="19"/>
        <v>단체협약의 효력확장</v>
      </c>
    </row>
    <row r="229" spans="2:20" ht="14.45" customHeight="1" x14ac:dyDescent="0.2">
      <c r="B229" s="31" t="s">
        <v>401</v>
      </c>
      <c r="C229" s="42" t="s">
        <v>1452</v>
      </c>
      <c r="D229" s="43" t="s">
        <v>1650</v>
      </c>
      <c r="E229" s="70" t="s">
        <v>1220</v>
      </c>
      <c r="F229" s="46" t="s">
        <v>28</v>
      </c>
      <c r="G229" s="46" t="s">
        <v>1639</v>
      </c>
      <c r="H229" s="47" t="s">
        <v>1766</v>
      </c>
      <c r="I229" s="48" t="s">
        <v>1767</v>
      </c>
      <c r="J229" s="49">
        <v>2410</v>
      </c>
      <c r="K229" s="50" t="s">
        <v>1385</v>
      </c>
      <c r="L229" s="68"/>
      <c r="M229" s="52"/>
      <c r="N229" s="53"/>
      <c r="O229" s="51" t="str">
        <f t="shared" si="15"/>
        <v>제13장 단체협약-제07절 단체협약의 효력확장-02</v>
      </c>
      <c r="Q229" s="7" t="str">
        <f t="shared" si="16"/>
        <v>13.07-1-2</v>
      </c>
      <c r="R229" s="7" t="str">
        <f t="shared" si="17"/>
        <v>열기2-01.노동법\02.문제\[모의][2][13.07-1]사업장 단위 효력확장 제도의 의의 및 취지, 생산직 비조합원에 대한 요건 충족 여부.txt</v>
      </c>
      <c r="S229" s="7" t="str">
        <f t="shared" si="18"/>
        <v>B</v>
      </c>
      <c r="T229" s="7" t="str">
        <f t="shared" si="19"/>
        <v>사업장 단위 효력확장 제도의 의의 및 취지, 생산직 비조합원에 대한 요건 충족 여부</v>
      </c>
    </row>
    <row r="230" spans="2:20" ht="14.45" customHeight="1" x14ac:dyDescent="0.2">
      <c r="B230" s="31" t="s">
        <v>401</v>
      </c>
      <c r="C230" s="54" t="s">
        <v>1452</v>
      </c>
      <c r="D230" s="55" t="s">
        <v>1650</v>
      </c>
      <c r="E230" s="97" t="s">
        <v>1221</v>
      </c>
      <c r="F230" s="58" t="s">
        <v>28</v>
      </c>
      <c r="G230" s="58" t="s">
        <v>1640</v>
      </c>
      <c r="H230" s="59" t="s">
        <v>110</v>
      </c>
      <c r="I230" s="60" t="s">
        <v>1697</v>
      </c>
      <c r="J230" s="61">
        <v>2062</v>
      </c>
      <c r="K230" s="62" t="s">
        <v>1385</v>
      </c>
      <c r="L230" s="100"/>
      <c r="M230" s="64"/>
      <c r="N230" s="65"/>
      <c r="O230" s="63" t="str">
        <f t="shared" si="15"/>
        <v>제13장 단체협약-제07절 단체협약의 효력확장-03</v>
      </c>
      <c r="Q230" s="7" t="str">
        <f t="shared" si="16"/>
        <v>13.07-2-2</v>
      </c>
      <c r="R230" s="7" t="str">
        <f t="shared" si="17"/>
        <v>열기2-01.노동법\02.문제\[모의][2][13.07-2]사무직 근로자에 대한 효력확장 여부 및 확장의 범위(채무적 부분 포함 여부).txt</v>
      </c>
      <c r="S230" s="7" t="str">
        <f t="shared" si="18"/>
        <v>B</v>
      </c>
      <c r="T230" s="7" t="str">
        <f t="shared" si="19"/>
        <v>사무직 근로자에 대한 효력확장 여부 및 확장의 범위(채무적 부분 포함 여부)</v>
      </c>
    </row>
    <row r="231" spans="2:20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1638</v>
      </c>
      <c r="H231" s="36" t="s">
        <v>188</v>
      </c>
      <c r="I231" s="6" t="s">
        <v>995</v>
      </c>
      <c r="J231" s="37">
        <v>1397</v>
      </c>
      <c r="K231" s="38" t="s">
        <v>1350</v>
      </c>
      <c r="L231" s="298"/>
      <c r="M231" s="40"/>
      <c r="N231" s="41"/>
      <c r="O231" s="39" t="str">
        <f t="shared" si="15"/>
        <v>제13장 단체협약-제08절 단체협약의 실효 및 실효 후의 근로관계-01</v>
      </c>
      <c r="Q231" s="7" t="str">
        <f t="shared" si="16"/>
        <v>단체협약-2</v>
      </c>
      <c r="R231" s="7" t="str">
        <f t="shared" si="17"/>
        <v>열기2-01.노동법\01.본문\제13장 단체협약.제08절 단체협약의 실효 및 실효 후의 근로관계.txt</v>
      </c>
      <c r="S231" s="7" t="str">
        <f t="shared" si="18"/>
        <v>A</v>
      </c>
      <c r="T231" s="7" t="str">
        <f t="shared" si="19"/>
        <v>단체협약의 실효 및 실효 후의 근로관계</v>
      </c>
    </row>
    <row r="232" spans="2:20" ht="14.45" customHeight="1" x14ac:dyDescent="0.2">
      <c r="B232" s="31" t="s">
        <v>401</v>
      </c>
      <c r="C232" s="102" t="s">
        <v>489</v>
      </c>
      <c r="D232" s="43" t="s">
        <v>1258</v>
      </c>
      <c r="E232" s="70" t="s">
        <v>91</v>
      </c>
      <c r="F232" s="46">
        <v>2</v>
      </c>
      <c r="G232" s="46" t="s">
        <v>1639</v>
      </c>
      <c r="H232" s="47" t="s">
        <v>1144</v>
      </c>
      <c r="I232" s="48" t="s">
        <v>1145</v>
      </c>
      <c r="J232" s="49">
        <v>6951</v>
      </c>
      <c r="K232" s="50" t="s">
        <v>1350</v>
      </c>
      <c r="L232" s="68" t="s">
        <v>1714</v>
      </c>
      <c r="M232" s="52"/>
      <c r="N232" s="53"/>
      <c r="O232" s="51" t="str">
        <f t="shared" si="15"/>
        <v>제13장 단체협약-제08절 단체협약의 실효 및 실효 후의 근로관계-02</v>
      </c>
      <c r="Q232" s="7" t="str">
        <f t="shared" si="16"/>
        <v>2010-1-2</v>
      </c>
      <c r="R232" s="7" t="str">
        <f t="shared" si="17"/>
        <v>열기2-01.노동법\02.문제\[기출][2][2010-1]단체협약 만료 후 법정연장기간 내에 노동조합과의 사전합의 없이 행해진 해고의 효력.txt</v>
      </c>
      <c r="S232" s="7" t="str">
        <f t="shared" si="18"/>
        <v>A</v>
      </c>
      <c r="T232" s="7" t="str">
        <f t="shared" si="19"/>
        <v>단체협약 만료 후 법정연장기간 내에 노동조합과의 사전합의 없이 행해진 해고의 효력</v>
      </c>
    </row>
    <row r="233" spans="2:20" ht="14.45" customHeight="1" thickBot="1" x14ac:dyDescent="0.25">
      <c r="B233" s="74" t="s">
        <v>401</v>
      </c>
      <c r="C233" s="103" t="s">
        <v>489</v>
      </c>
      <c r="D233" s="76" t="s">
        <v>1258</v>
      </c>
      <c r="E233" s="77" t="s">
        <v>1018</v>
      </c>
      <c r="F233" s="78">
        <v>2</v>
      </c>
      <c r="G233" s="78" t="s">
        <v>1640</v>
      </c>
      <c r="H233" s="79" t="s">
        <v>1648</v>
      </c>
      <c r="I233" s="80" t="s">
        <v>1649</v>
      </c>
      <c r="J233" s="81">
        <v>2772</v>
      </c>
      <c r="K233" s="82" t="s">
        <v>1350</v>
      </c>
      <c r="L233" s="161"/>
      <c r="M233" s="84"/>
      <c r="N233" s="85"/>
      <c r="O233" s="83" t="str">
        <f t="shared" si="15"/>
        <v>제13장 단체협약-제08절 단체협약의 실효 및 실효 후의 근로관계-03</v>
      </c>
      <c r="Q233" s="7" t="str">
        <f t="shared" si="16"/>
        <v>2021-1-2-2</v>
      </c>
      <c r="R233" s="7" t="str">
        <f t="shared" si="17"/>
        <v>열기2-01.노동법\02.문제\[기출][2][2021-1-2]자동연장된 단체협약의 해지권 제한 약정의 효력 및 해지 통보의 유효성.txt</v>
      </c>
      <c r="S233" s="7" t="str">
        <f t="shared" si="18"/>
        <v>A</v>
      </c>
      <c r="T233" s="7" t="str">
        <f t="shared" si="19"/>
        <v>자동연장된 단체협약의 해지권 제한 약정의 효력 및 해지 통보의 유효성</v>
      </c>
    </row>
    <row r="234" spans="2:20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1638</v>
      </c>
      <c r="H234" s="90" t="s">
        <v>189</v>
      </c>
      <c r="I234" s="91" t="s">
        <v>996</v>
      </c>
      <c r="J234" s="92">
        <v>1171</v>
      </c>
      <c r="K234" s="93" t="s">
        <v>1350</v>
      </c>
      <c r="L234" s="299"/>
      <c r="M234" s="95"/>
      <c r="N234" s="96"/>
      <c r="O234" s="94" t="str">
        <f t="shared" si="15"/>
        <v>제14장 쟁의행위-제01절 쟁의행위 주체의 정당성-01</v>
      </c>
      <c r="Q234" s="7" t="str">
        <f t="shared" si="16"/>
        <v>쟁의행위-2</v>
      </c>
      <c r="R234" s="7" t="str">
        <f t="shared" si="17"/>
        <v>열기2-01.노동법\01.본문\제14장 쟁의행위.제01절 쟁의행위 주체의 정당성.txt</v>
      </c>
      <c r="S234" s="7" t="str">
        <f t="shared" si="18"/>
        <v>A</v>
      </c>
      <c r="T234" s="7" t="str">
        <f t="shared" si="19"/>
        <v>쟁의행위 주체의 정당성</v>
      </c>
    </row>
    <row r="235" spans="2:20" ht="14.45" customHeight="1" x14ac:dyDescent="0.2">
      <c r="B235" s="31" t="s">
        <v>402</v>
      </c>
      <c r="C235" s="54" t="s">
        <v>499</v>
      </c>
      <c r="D235" s="55" t="s">
        <v>1258</v>
      </c>
      <c r="E235" s="97" t="s">
        <v>1176</v>
      </c>
      <c r="F235" s="58">
        <v>2</v>
      </c>
      <c r="G235" s="58" t="s">
        <v>1639</v>
      </c>
      <c r="H235" s="59" t="s">
        <v>1774</v>
      </c>
      <c r="I235" s="60" t="s">
        <v>1775</v>
      </c>
      <c r="J235" s="61">
        <v>2164</v>
      </c>
      <c r="K235" s="62" t="s">
        <v>1350</v>
      </c>
      <c r="L235" s="100"/>
      <c r="M235" s="64"/>
      <c r="N235" s="65"/>
      <c r="O235" s="63" t="str">
        <f t="shared" si="15"/>
        <v>제14장 쟁의행위-제01절 쟁의행위 주체의 정당성-02</v>
      </c>
      <c r="Q235" s="7" t="str">
        <f t="shared" si="16"/>
        <v>2013-1-1-2</v>
      </c>
      <c r="R235" s="7" t="str">
        <f t="shared" si="17"/>
        <v>열기2-01.노동법\02.문제\[기출][2][2013-1-1]설립 미신고 지부노동조합의 쟁의행위에 대한 주체의 정당성.txt</v>
      </c>
      <c r="S235" s="7" t="str">
        <f t="shared" si="18"/>
        <v>A</v>
      </c>
      <c r="T235" s="7" t="str">
        <f t="shared" si="19"/>
        <v>설립 미신고 지부노동조합의 쟁의행위에 대한 주체의 정당성</v>
      </c>
    </row>
    <row r="236" spans="2:20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1638</v>
      </c>
      <c r="H236" s="36" t="s">
        <v>190</v>
      </c>
      <c r="I236" s="6" t="s">
        <v>997</v>
      </c>
      <c r="J236" s="37">
        <v>2061</v>
      </c>
      <c r="K236" s="38" t="s">
        <v>1350</v>
      </c>
      <c r="L236" s="298"/>
      <c r="M236" s="40"/>
      <c r="N236" s="41"/>
      <c r="O236" s="39" t="str">
        <f t="shared" si="15"/>
        <v>제14장 쟁의행위-제02절 쟁의행위 목적의 정당성-01</v>
      </c>
      <c r="Q236" s="7" t="str">
        <f t="shared" si="16"/>
        <v>쟁의행위-2</v>
      </c>
      <c r="R236" s="7" t="str">
        <f t="shared" si="17"/>
        <v>열기2-01.노동법\01.본문\제14장 쟁의행위.제02절 쟁의행위 목적의 정당성.txt</v>
      </c>
      <c r="S236" s="7" t="str">
        <f t="shared" si="18"/>
        <v>A</v>
      </c>
      <c r="T236" s="7" t="str">
        <f t="shared" si="19"/>
        <v>쟁의행위 목적의 정당성</v>
      </c>
    </row>
    <row r="237" spans="2:20" ht="14.45" customHeight="1" x14ac:dyDescent="0.2">
      <c r="B237" s="31" t="s">
        <v>402</v>
      </c>
      <c r="C237" s="42" t="s">
        <v>491</v>
      </c>
      <c r="D237" s="43" t="s">
        <v>1258</v>
      </c>
      <c r="E237" s="70" t="s">
        <v>1177</v>
      </c>
      <c r="F237" s="46">
        <v>2</v>
      </c>
      <c r="G237" s="46" t="s">
        <v>1639</v>
      </c>
      <c r="H237" s="47" t="s">
        <v>1773</v>
      </c>
      <c r="I237" s="48" t="s">
        <v>1776</v>
      </c>
      <c r="J237" s="49">
        <v>2053</v>
      </c>
      <c r="K237" s="50" t="s">
        <v>1350</v>
      </c>
      <c r="L237" s="68"/>
      <c r="M237" s="52"/>
      <c r="N237" s="53"/>
      <c r="O237" s="51" t="str">
        <f t="shared" si="15"/>
        <v>제14장 쟁의행위-제02절 쟁의행위 목적의 정당성-02</v>
      </c>
      <c r="Q237" s="7" t="str">
        <f t="shared" si="16"/>
        <v>2013-1-2-2</v>
      </c>
      <c r="R237" s="7" t="str">
        <f t="shared" si="17"/>
        <v>열기2-01.노동법\02.문제\[기출][2][2013-1-2]설립 미신고 지부노동조합의 쟁의행위에 대한 목적의 정당성.txt</v>
      </c>
      <c r="S237" s="7" t="str">
        <f t="shared" si="18"/>
        <v>A</v>
      </c>
      <c r="T237" s="7" t="str">
        <f t="shared" si="19"/>
        <v>설립 미신고 지부노동조합의 쟁의행위에 대한 목적의 정당성</v>
      </c>
    </row>
    <row r="238" spans="2:20" ht="14.45" customHeight="1" x14ac:dyDescent="0.2">
      <c r="B238" s="31" t="s">
        <v>402</v>
      </c>
      <c r="C238" s="54" t="s">
        <v>491</v>
      </c>
      <c r="D238" s="55" t="s">
        <v>1258</v>
      </c>
      <c r="E238" s="97" t="s">
        <v>284</v>
      </c>
      <c r="F238" s="58">
        <v>2</v>
      </c>
      <c r="G238" s="58" t="s">
        <v>1640</v>
      </c>
      <c r="H238" s="59" t="s">
        <v>1146</v>
      </c>
      <c r="I238" s="60" t="s">
        <v>1147</v>
      </c>
      <c r="J238" s="61">
        <v>2416</v>
      </c>
      <c r="K238" s="62" t="s">
        <v>1350</v>
      </c>
      <c r="L238" s="100" t="s">
        <v>1777</v>
      </c>
      <c r="M238" s="64"/>
      <c r="N238" s="65"/>
      <c r="O238" s="63" t="str">
        <f t="shared" si="15"/>
        <v>제14장 쟁의행위-제02절 쟁의행위 목적의 정당성-03</v>
      </c>
      <c r="Q238" s="7" t="str">
        <f t="shared" si="16"/>
        <v>2021-2-2</v>
      </c>
      <c r="R238" s="7" t="str">
        <f t="shared" si="17"/>
        <v>열기2-01.노동법\02.문제\[기출][2][2021-2]임금협약의 유효기간 중 재교섭을 요구하며 개시한 파업의 정당성 여부.txt</v>
      </c>
      <c r="S238" s="7" t="str">
        <f t="shared" si="18"/>
        <v>A</v>
      </c>
      <c r="T238" s="7" t="str">
        <f t="shared" si="19"/>
        <v>임금협약의 유효기간 중 재교섭을 요구하며 개시한 파업의 정당성 여부</v>
      </c>
    </row>
    <row r="239" spans="2:20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1638</v>
      </c>
      <c r="H239" s="36" t="s">
        <v>191</v>
      </c>
      <c r="I239" s="6" t="s">
        <v>998</v>
      </c>
      <c r="J239" s="37">
        <v>2341</v>
      </c>
      <c r="K239" s="38" t="s">
        <v>1350</v>
      </c>
      <c r="L239" s="298"/>
      <c r="M239" s="40"/>
      <c r="N239" s="41"/>
      <c r="O239" s="39" t="str">
        <f t="shared" si="15"/>
        <v>제14장 쟁의행위-제03절 쟁의행위 시기・절차의 정당성-01</v>
      </c>
      <c r="Q239" s="7" t="str">
        <f t="shared" si="16"/>
        <v>쟁의행위-2</v>
      </c>
      <c r="R239" s="7" t="str">
        <f t="shared" si="17"/>
        <v>열기2-01.노동법\01.본문\제14장 쟁의행위.제03절 쟁의행위 시기・절차의 정당성.txt</v>
      </c>
      <c r="S239" s="7" t="str">
        <f t="shared" si="18"/>
        <v>A</v>
      </c>
      <c r="T239" s="7" t="str">
        <f t="shared" si="19"/>
        <v>쟁의행위 시기・절차의 정당성</v>
      </c>
    </row>
    <row r="240" spans="2:20" ht="14.45" customHeight="1" x14ac:dyDescent="0.2">
      <c r="B240" s="31" t="s">
        <v>402</v>
      </c>
      <c r="C240" s="54" t="s">
        <v>505</v>
      </c>
      <c r="D240" s="55" t="s">
        <v>1258</v>
      </c>
      <c r="E240" s="97" t="s">
        <v>1014</v>
      </c>
      <c r="F240" s="58">
        <v>2</v>
      </c>
      <c r="G240" s="58" t="s">
        <v>1639</v>
      </c>
      <c r="H240" s="59" t="s">
        <v>1338</v>
      </c>
      <c r="I240" s="60" t="s">
        <v>1339</v>
      </c>
      <c r="J240" s="61">
        <v>1517</v>
      </c>
      <c r="K240" s="62" t="s">
        <v>1350</v>
      </c>
      <c r="L240" s="100"/>
      <c r="M240" s="64"/>
      <c r="N240" s="65"/>
      <c r="O240" s="63" t="str">
        <f t="shared" si="15"/>
        <v>제14장 쟁의행위-제03절 쟁의행위 시기・절차의 정당성-02</v>
      </c>
      <c r="Q240" s="7" t="str">
        <f t="shared" si="16"/>
        <v>2010-2-2</v>
      </c>
      <c r="R240" s="7" t="str">
        <f t="shared" si="17"/>
        <v>열기2-01.노동법\02.문제\[기출][2][2010-2]노동조합 쟁의행위의 절차적 정당성의 요건, 절차 위반 시 효력.txt</v>
      </c>
      <c r="S240" s="7" t="str">
        <f t="shared" si="18"/>
        <v>A</v>
      </c>
      <c r="T240" s="7" t="str">
        <f t="shared" si="19"/>
        <v>노동조합 쟁의행위의 절차적 정당성의 요건, 절차 위반 시 효력</v>
      </c>
    </row>
    <row r="241" spans="2:20" ht="14.45" customHeight="1" x14ac:dyDescent="0.2">
      <c r="B241" s="31" t="s">
        <v>402</v>
      </c>
      <c r="C241" s="32" t="s">
        <v>1453</v>
      </c>
      <c r="D241" s="33" t="s">
        <v>128</v>
      </c>
      <c r="E241" s="69" t="s">
        <v>158</v>
      </c>
      <c r="F241" s="35" t="s">
        <v>28</v>
      </c>
      <c r="G241" s="35" t="s">
        <v>1638</v>
      </c>
      <c r="H241" s="36" t="s">
        <v>192</v>
      </c>
      <c r="I241" s="6" t="s">
        <v>999</v>
      </c>
      <c r="J241" s="37">
        <v>1750</v>
      </c>
      <c r="K241" s="38" t="s">
        <v>1350</v>
      </c>
      <c r="L241" s="298"/>
      <c r="M241" s="40"/>
      <c r="N241" s="41"/>
      <c r="O241" s="39" t="str">
        <f t="shared" si="15"/>
        <v>제14장 쟁의행위-제04절 쟁의행위 수단・방법의 정당성-01</v>
      </c>
      <c r="Q241" s="7" t="str">
        <f t="shared" si="16"/>
        <v>쟁의행위-2</v>
      </c>
      <c r="R241" s="7" t="str">
        <f t="shared" si="17"/>
        <v>열기2-01.노동법\01.본문\제14장 쟁의행위.제04절 쟁의행위 수단・방법의 정당성.txt</v>
      </c>
      <c r="S241" s="7" t="str">
        <f t="shared" si="18"/>
        <v>A</v>
      </c>
      <c r="T241" s="7" t="str">
        <f t="shared" si="19"/>
        <v>쟁의행위 수단・방법의 정당성</v>
      </c>
    </row>
    <row r="242" spans="2:20" ht="14.45" customHeight="1" x14ac:dyDescent="0.2">
      <c r="B242" s="31" t="s">
        <v>402</v>
      </c>
      <c r="C242" s="42" t="s">
        <v>1453</v>
      </c>
      <c r="D242" s="43" t="s">
        <v>1258</v>
      </c>
      <c r="E242" s="70" t="s">
        <v>1171</v>
      </c>
      <c r="F242" s="46">
        <v>2</v>
      </c>
      <c r="G242" s="46" t="s">
        <v>1640</v>
      </c>
      <c r="H242" s="47" t="s">
        <v>1148</v>
      </c>
      <c r="I242" s="48" t="s">
        <v>1149</v>
      </c>
      <c r="J242" s="49">
        <v>1562</v>
      </c>
      <c r="K242" s="50" t="s">
        <v>1350</v>
      </c>
      <c r="L242" s="68" t="s">
        <v>1787</v>
      </c>
      <c r="M242" s="52"/>
      <c r="N242" s="53"/>
      <c r="O242" s="51" t="str">
        <f t="shared" si="15"/>
        <v>제14장 쟁의행위-제04절 쟁의행위 수단・방법의 정당성-03</v>
      </c>
      <c r="Q242" s="7" t="str">
        <f t="shared" si="16"/>
        <v>2018-2-2</v>
      </c>
      <c r="R242" s="7" t="str">
        <f t="shared" si="17"/>
        <v>열기2-01.노동법\02.문제\[기출][2][2018-2]직장폐쇄 후 조합원들의 임원회의실 점거 지속 및 퇴거요구 불응에 따른 정당성 상실 여부.txt</v>
      </c>
      <c r="S242" s="7" t="str">
        <f t="shared" si="18"/>
        <v>A</v>
      </c>
      <c r="T242" s="7" t="str">
        <f t="shared" si="19"/>
        <v>직장폐쇄 후 조합원들의 임원회의실 점거 지속 및 퇴거요구 불응에 따른 정당성 상실 여부</v>
      </c>
    </row>
    <row r="243" spans="2:20" ht="14.45" customHeight="1" x14ac:dyDescent="0.2">
      <c r="B243" s="31" t="s">
        <v>402</v>
      </c>
      <c r="C243" s="54" t="s">
        <v>1453</v>
      </c>
      <c r="D243" s="55" t="s">
        <v>1258</v>
      </c>
      <c r="E243" s="97" t="s">
        <v>75</v>
      </c>
      <c r="F243" s="58">
        <v>2</v>
      </c>
      <c r="G243" s="58" t="s">
        <v>1641</v>
      </c>
      <c r="H243" s="59" t="s">
        <v>1789</v>
      </c>
      <c r="I243" s="60" t="s">
        <v>1790</v>
      </c>
      <c r="J243" s="61">
        <v>2638</v>
      </c>
      <c r="K243" s="62" t="s">
        <v>1350</v>
      </c>
      <c r="L243" s="100"/>
      <c r="M243" s="64"/>
      <c r="N243" s="65"/>
      <c r="O243" s="63" t="str">
        <f t="shared" si="15"/>
        <v>제14장 쟁의행위-제04절 쟁의행위 수단・방법의 정당성-04</v>
      </c>
      <c r="Q243" s="7" t="str">
        <f t="shared" si="16"/>
        <v>2022-1-1-2</v>
      </c>
      <c r="R243" s="7" t="str">
        <f t="shared" si="17"/>
        <v>열기2-01.노동법\02.문제\[기출][2][2022-1-1]원청 사업장에서 쟁의행위를 실시한 하청 노동조합에 대한 퇴거불응죄 성립 여부.txt</v>
      </c>
      <c r="S243" s="7" t="str">
        <f t="shared" si="18"/>
        <v>A</v>
      </c>
      <c r="T243" s="7" t="str">
        <f t="shared" si="19"/>
        <v>원청 사업장에서 쟁의행위를 실시한 하청 노동조합에 대한 퇴거불응죄 성립 여부</v>
      </c>
    </row>
    <row r="244" spans="2:20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1638</v>
      </c>
      <c r="H244" s="36" t="s">
        <v>193</v>
      </c>
      <c r="I244" s="6" t="s">
        <v>1000</v>
      </c>
      <c r="J244" s="37">
        <v>1601</v>
      </c>
      <c r="K244" s="38" t="s">
        <v>1350</v>
      </c>
      <c r="L244" s="298"/>
      <c r="M244" s="40"/>
      <c r="N244" s="41"/>
      <c r="O244" s="39" t="str">
        <f t="shared" si="15"/>
        <v>제14장 쟁의행위-제05절 준법투쟁-01</v>
      </c>
      <c r="Q244" s="7" t="str">
        <f t="shared" si="16"/>
        <v>쟁의행위-2</v>
      </c>
      <c r="R244" s="7" t="str">
        <f t="shared" si="17"/>
        <v>열기2-01.노동법\01.본문\제14장 쟁의행위.제05절 준법투쟁.txt</v>
      </c>
      <c r="S244" s="7" t="str">
        <f t="shared" si="18"/>
        <v>A</v>
      </c>
      <c r="T244" s="7" t="str">
        <f t="shared" si="19"/>
        <v>준법투쟁</v>
      </c>
    </row>
    <row r="245" spans="2:20" ht="14.45" customHeight="1" x14ac:dyDescent="0.2">
      <c r="B245" s="31" t="s">
        <v>402</v>
      </c>
      <c r="C245" s="42" t="s">
        <v>494</v>
      </c>
      <c r="D245" s="43" t="s">
        <v>1258</v>
      </c>
      <c r="E245" s="70" t="s">
        <v>237</v>
      </c>
      <c r="F245" s="46">
        <v>2</v>
      </c>
      <c r="G245" s="46" t="s">
        <v>1639</v>
      </c>
      <c r="H245" s="47" t="s">
        <v>1340</v>
      </c>
      <c r="I245" s="48" t="s">
        <v>1341</v>
      </c>
      <c r="J245" s="49">
        <v>1864</v>
      </c>
      <c r="K245" s="50" t="s">
        <v>1350</v>
      </c>
      <c r="L245" s="68"/>
      <c r="M245" s="52"/>
      <c r="N245" s="53"/>
      <c r="O245" s="51" t="str">
        <f t="shared" si="15"/>
        <v>제14장 쟁의행위-제05절 준법투쟁-02</v>
      </c>
      <c r="Q245" s="7" t="str">
        <f t="shared" si="16"/>
        <v>2011-2-2</v>
      </c>
      <c r="R245" s="7" t="str">
        <f t="shared" si="17"/>
        <v>열기2-01.노동법\02.문제\[기출][2][2011-2]준법투쟁의 개념과 법적 성격, 유형, 관련 판례법리, 효과 및 활용.txt</v>
      </c>
      <c r="S245" s="7" t="str">
        <f t="shared" si="18"/>
        <v>A</v>
      </c>
      <c r="T245" s="7" t="str">
        <f t="shared" si="19"/>
        <v>준법투쟁의 개념과 법적 성격, 유형, 관련 판례법리, 효과 및 활용</v>
      </c>
    </row>
    <row r="246" spans="2:20" ht="14.45" customHeight="1" x14ac:dyDescent="0.2">
      <c r="B246" s="31" t="s">
        <v>402</v>
      </c>
      <c r="C246" s="54" t="s">
        <v>494</v>
      </c>
      <c r="D246" s="55" t="s">
        <v>1258</v>
      </c>
      <c r="E246" s="97" t="s">
        <v>77</v>
      </c>
      <c r="F246" s="58">
        <v>2</v>
      </c>
      <c r="G246" s="58" t="s">
        <v>1640</v>
      </c>
      <c r="H246" s="59" t="s">
        <v>1633</v>
      </c>
      <c r="I246" s="60" t="s">
        <v>1634</v>
      </c>
      <c r="J246" s="61">
        <v>1927</v>
      </c>
      <c r="K246" s="62" t="s">
        <v>1350</v>
      </c>
      <c r="L246" s="100"/>
      <c r="M246" s="64"/>
      <c r="N246" s="65"/>
      <c r="O246" s="63" t="str">
        <f t="shared" si="15"/>
        <v>제14장 쟁의행위-제05절 준법투쟁-03</v>
      </c>
      <c r="Q246" s="7" t="str">
        <f t="shared" si="16"/>
        <v>2017-1-1-2</v>
      </c>
      <c r="R246" s="7" t="str">
        <f t="shared" si="17"/>
        <v>열기2-01.노동법\02.문제\[기출][2][2017-1-1]관행적 연장근로에 대한 집단적 거부가 노조법상 쟁의행위에 해당하는지 여부.txt</v>
      </c>
      <c r="S246" s="7" t="str">
        <f t="shared" si="18"/>
        <v>A</v>
      </c>
      <c r="T246" s="7" t="str">
        <f t="shared" si="19"/>
        <v>관행적 연장근로에 대한 집단적 거부가 노조법상 쟁의행위에 해당하는지 여부</v>
      </c>
    </row>
    <row r="247" spans="2:20" ht="14.45" customHeight="1" x14ac:dyDescent="0.2">
      <c r="B247" s="31" t="s">
        <v>402</v>
      </c>
      <c r="C247" s="32" t="s">
        <v>1785</v>
      </c>
      <c r="D247" s="33" t="s">
        <v>128</v>
      </c>
      <c r="E247" s="69" t="s">
        <v>158</v>
      </c>
      <c r="F247" s="35" t="s">
        <v>28</v>
      </c>
      <c r="G247" s="35" t="s">
        <v>1638</v>
      </c>
      <c r="H247" s="36" t="s">
        <v>194</v>
      </c>
      <c r="I247" s="6" t="s">
        <v>1001</v>
      </c>
      <c r="J247" s="37">
        <v>1876</v>
      </c>
      <c r="K247" s="38" t="s">
        <v>1350</v>
      </c>
      <c r="L247" s="298"/>
      <c r="M247" s="40"/>
      <c r="N247" s="41"/>
      <c r="O247" s="39" t="str">
        <f t="shared" si="15"/>
        <v>제14장 쟁의행위-제06절 사용자의 쟁의행위-01</v>
      </c>
      <c r="Q247" s="7" t="str">
        <f t="shared" si="16"/>
        <v>쟁의행위-2</v>
      </c>
      <c r="R247" s="7" t="str">
        <f t="shared" si="17"/>
        <v>열기2-01.노동법\01.본문\제14장 쟁의행위.제06절 사용자의 쟁의행위.txt</v>
      </c>
      <c r="S247" s="7" t="str">
        <f t="shared" si="18"/>
        <v>A</v>
      </c>
      <c r="T247" s="7" t="str">
        <f t="shared" si="19"/>
        <v>사용자의 쟁의행위</v>
      </c>
    </row>
    <row r="248" spans="2:20" ht="14.45" customHeight="1" x14ac:dyDescent="0.2">
      <c r="B248" s="31" t="s">
        <v>485</v>
      </c>
      <c r="C248" s="42" t="s">
        <v>1785</v>
      </c>
      <c r="D248" s="151" t="s">
        <v>1258</v>
      </c>
      <c r="E248" s="152" t="s">
        <v>92</v>
      </c>
      <c r="F248" s="153">
        <v>2</v>
      </c>
      <c r="G248" s="153" t="s">
        <v>486</v>
      </c>
      <c r="H248" s="154" t="s">
        <v>1779</v>
      </c>
      <c r="I248" s="155" t="s">
        <v>1783</v>
      </c>
      <c r="J248" s="150">
        <v>1686</v>
      </c>
      <c r="K248" s="156" t="s">
        <v>1350</v>
      </c>
      <c r="L248" s="302" t="s">
        <v>1786</v>
      </c>
      <c r="M248" s="158"/>
      <c r="N248" s="159"/>
      <c r="O248" s="157" t="s">
        <v>1784</v>
      </c>
      <c r="Q248" s="7" t="str">
        <f t="shared" ref="Q248" si="20">E248&amp;"-"&amp;F248</f>
        <v>2009-2-2</v>
      </c>
      <c r="R248" s="7" t="str">
        <f t="shared" ref="R248" si="21">I248</f>
        <v>열기2-01.노동법\02.문제\[기출][2][2009-2]직장점거 중 단행된 사용자의 직장폐쇄에 따른 법률적 효과.txt</v>
      </c>
      <c r="S248" s="7" t="str">
        <f t="shared" ref="S248" si="22">K248</f>
        <v>A</v>
      </c>
      <c r="T248" s="7" t="str">
        <f t="shared" si="19"/>
        <v>직장점거 중 단행된 사용자의 직장폐쇄에 따른 법률적 효과</v>
      </c>
    </row>
    <row r="249" spans="2:20" ht="14.45" customHeight="1" x14ac:dyDescent="0.2">
      <c r="B249" s="31" t="s">
        <v>402</v>
      </c>
      <c r="C249" s="42" t="s">
        <v>493</v>
      </c>
      <c r="D249" s="43" t="s">
        <v>1258</v>
      </c>
      <c r="E249" s="70" t="s">
        <v>71</v>
      </c>
      <c r="F249" s="46">
        <v>2</v>
      </c>
      <c r="G249" s="46" t="s">
        <v>426</v>
      </c>
      <c r="H249" s="47" t="s">
        <v>1152</v>
      </c>
      <c r="I249" s="48" t="s">
        <v>1153</v>
      </c>
      <c r="J249" s="49">
        <v>1304</v>
      </c>
      <c r="K249" s="50" t="s">
        <v>1350</v>
      </c>
      <c r="L249" s="68"/>
      <c r="M249" s="52"/>
      <c r="N249" s="53"/>
      <c r="O249" s="51" t="str">
        <f t="shared" si="15"/>
        <v>제14장 쟁의행위-제06절 사용자의 쟁의행위-03</v>
      </c>
      <c r="Q249" s="7" t="str">
        <f t="shared" si="16"/>
        <v>2015-2-2</v>
      </c>
      <c r="R249" s="7" t="str">
        <f t="shared" si="17"/>
        <v>열기2-01.노동법\02.문제\[기출][2][2015-2]사용자의 정당한 직장폐쇄의 개념, 요건, 법적 효과.txt</v>
      </c>
      <c r="S249" s="7" t="str">
        <f t="shared" si="18"/>
        <v>A</v>
      </c>
      <c r="T249" s="7" t="str">
        <f t="shared" si="19"/>
        <v>사용자의 정당한 직장폐쇄의 개념, 요건, 법적 효과</v>
      </c>
    </row>
    <row r="250" spans="2:20" ht="14.45" customHeight="1" x14ac:dyDescent="0.2">
      <c r="B250" s="31" t="s">
        <v>402</v>
      </c>
      <c r="C250" s="42" t="s">
        <v>493</v>
      </c>
      <c r="D250" s="43" t="s">
        <v>1258</v>
      </c>
      <c r="E250" s="70" t="s">
        <v>1178</v>
      </c>
      <c r="F250" s="46">
        <v>2</v>
      </c>
      <c r="G250" s="46" t="s">
        <v>430</v>
      </c>
      <c r="H250" s="47" t="s">
        <v>1150</v>
      </c>
      <c r="I250" s="48" t="s">
        <v>1151</v>
      </c>
      <c r="J250" s="49">
        <v>2300</v>
      </c>
      <c r="K250" s="50" t="s">
        <v>1350</v>
      </c>
      <c r="L250" s="68"/>
      <c r="M250" s="52"/>
      <c r="N250" s="53"/>
      <c r="O250" s="51" t="str">
        <f t="shared" si="15"/>
        <v>제14장 쟁의행위-제06절 사용자의 쟁의행위-04</v>
      </c>
      <c r="Q250" s="7" t="str">
        <f t="shared" si="16"/>
        <v>2017-1-2-2</v>
      </c>
      <c r="R250" s="7" t="str">
        <f t="shared" si="17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18"/>
        <v>A</v>
      </c>
      <c r="T250" s="7" t="str">
        <f t="shared" si="19"/>
        <v>근로자의 집단적 연장근로 거부 및 태업에 대응하여 단행한 사용자의 직장폐쇄 개시 및 유지의 정당성 여부</v>
      </c>
    </row>
    <row r="251" spans="2:20" ht="14.45" customHeight="1" x14ac:dyDescent="0.2">
      <c r="B251" s="31" t="s">
        <v>402</v>
      </c>
      <c r="C251" s="42" t="s">
        <v>493</v>
      </c>
      <c r="D251" s="43" t="s">
        <v>1258</v>
      </c>
      <c r="E251" s="70" t="s">
        <v>76</v>
      </c>
      <c r="F251" s="46">
        <v>2</v>
      </c>
      <c r="G251" s="46" t="s">
        <v>431</v>
      </c>
      <c r="H251" s="47" t="s">
        <v>1618</v>
      </c>
      <c r="I251" s="48" t="s">
        <v>1619</v>
      </c>
      <c r="J251" s="49">
        <v>2228</v>
      </c>
      <c r="K251" s="50" t="s">
        <v>1350</v>
      </c>
      <c r="L251" s="68"/>
      <c r="M251" s="52"/>
      <c r="N251" s="53"/>
      <c r="O251" s="51" t="str">
        <f t="shared" si="15"/>
        <v>제14장 쟁의행위-제06절 사용자의 쟁의행위-05</v>
      </c>
      <c r="Q251" s="7" t="str">
        <f t="shared" si="16"/>
        <v>2019-1-1-2</v>
      </c>
      <c r="R251" s="7" t="str">
        <f t="shared" si="17"/>
        <v>열기2-01.노동법\02.문제\[기출][2][2019-1-1]직장폐쇄를 단행하며 노조사무실 출입을 전면 금지한 행위의 정당성 여부.txt</v>
      </c>
      <c r="S251" s="7" t="str">
        <f t="shared" si="18"/>
        <v>A</v>
      </c>
      <c r="T251" s="7" t="str">
        <f t="shared" si="19"/>
        <v>직장폐쇄를 단행하며 노조사무실 출입을 전면 금지한 행위의 정당성 여부</v>
      </c>
    </row>
    <row r="252" spans="2:20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1538</v>
      </c>
      <c r="F252" s="58" t="s">
        <v>28</v>
      </c>
      <c r="G252" s="57" t="s">
        <v>435</v>
      </c>
      <c r="H252" s="59" t="s">
        <v>351</v>
      </c>
      <c r="I252" s="60" t="s">
        <v>1295</v>
      </c>
      <c r="J252" s="61">
        <v>4559</v>
      </c>
      <c r="K252" s="62" t="s">
        <v>1350</v>
      </c>
      <c r="L252" s="100"/>
      <c r="M252" s="64"/>
      <c r="N252" s="65"/>
      <c r="O252" s="63" t="str">
        <f t="shared" si="15"/>
        <v>제14장 쟁의행위-제06절 사용자의 쟁의행위-06</v>
      </c>
      <c r="Q252" s="7" t="str">
        <f t="shared" si="16"/>
        <v>춘천지방법원 2025.07.09. 선고 2024나33324 판결-2</v>
      </c>
      <c r="R252" s="7" t="str">
        <f t="shared" si="17"/>
        <v>열기2-01.노동법\03.판례\[춘천지방법원 2025.07.09. 선고 2024나33324 판결]업무복귀 의사표시 이후에도 유지된 집화중단조치(직장폐쇄)의 위법성.txt</v>
      </c>
      <c r="S252" s="7" t="str">
        <f t="shared" si="18"/>
        <v>A</v>
      </c>
      <c r="T252" s="7" t="str">
        <f t="shared" si="19"/>
        <v>업무복귀 의사표시 이후에도 유지된 집화중단조치(직장폐쇄)의 위법성</v>
      </c>
    </row>
    <row r="253" spans="2:20" ht="14.45" customHeight="1" x14ac:dyDescent="0.2">
      <c r="B253" s="31" t="s">
        <v>402</v>
      </c>
      <c r="C253" s="32" t="s">
        <v>1454</v>
      </c>
      <c r="D253" s="33" t="s">
        <v>128</v>
      </c>
      <c r="E253" s="69" t="s">
        <v>158</v>
      </c>
      <c r="F253" s="35" t="s">
        <v>28</v>
      </c>
      <c r="G253" s="35" t="s">
        <v>1638</v>
      </c>
      <c r="H253" s="36" t="s">
        <v>195</v>
      </c>
      <c r="I253" s="6" t="s">
        <v>1002</v>
      </c>
      <c r="J253" s="37">
        <v>1751</v>
      </c>
      <c r="K253" s="38" t="s">
        <v>1385</v>
      </c>
      <c r="L253" s="298"/>
      <c r="M253" s="40"/>
      <c r="N253" s="41"/>
      <c r="O253" s="39" t="str">
        <f t="shared" si="15"/>
        <v>제14장 쟁의행위-제07절 불법쟁의행위와 법적 책임-01</v>
      </c>
      <c r="Q253" s="7" t="str">
        <f t="shared" si="16"/>
        <v>쟁의행위-2</v>
      </c>
      <c r="R253" s="7" t="str">
        <f t="shared" si="17"/>
        <v>열기2-01.노동법\01.본문\제14장 쟁의행위.제07절 불법쟁의행위와 법적 책임.txt</v>
      </c>
      <c r="S253" s="7" t="str">
        <f t="shared" si="18"/>
        <v>B</v>
      </c>
      <c r="T253" s="7" t="str">
        <f t="shared" si="19"/>
        <v>불법쟁의행위와 법적 책임</v>
      </c>
    </row>
    <row r="254" spans="2:20" ht="14.45" customHeight="1" x14ac:dyDescent="0.2">
      <c r="B254" s="31" t="s">
        <v>402</v>
      </c>
      <c r="C254" s="42" t="s">
        <v>1454</v>
      </c>
      <c r="D254" s="43" t="s">
        <v>1650</v>
      </c>
      <c r="E254" s="70" t="s">
        <v>1222</v>
      </c>
      <c r="F254" s="46" t="s">
        <v>28</v>
      </c>
      <c r="G254" s="46" t="s">
        <v>1639</v>
      </c>
      <c r="H254" s="47" t="s">
        <v>1375</v>
      </c>
      <c r="I254" s="48" t="s">
        <v>1698</v>
      </c>
      <c r="J254" s="49">
        <v>2429</v>
      </c>
      <c r="K254" s="50" t="s">
        <v>1385</v>
      </c>
      <c r="L254" s="68" t="s">
        <v>1725</v>
      </c>
      <c r="M254" s="52"/>
      <c r="N254" s="53"/>
      <c r="O254" s="51" t="str">
        <f t="shared" si="15"/>
        <v>제14장 쟁의행위-제07절 불법쟁의행위와 법적 책임-02</v>
      </c>
      <c r="Q254" s="7" t="str">
        <f t="shared" si="16"/>
        <v>14.07-1-2</v>
      </c>
      <c r="R254" s="7" t="str">
        <f t="shared" si="17"/>
        <v>열기2-01.노동법\02.문제\[모의][2][14.07-1]쟁의행위의 정당성 결여 판단 및 민사상 손해배상 책임의 주체와 책임의 성질.txt</v>
      </c>
      <c r="S254" s="7" t="str">
        <f t="shared" si="18"/>
        <v>B</v>
      </c>
      <c r="T254" s="7" t="str">
        <f t="shared" si="19"/>
        <v>쟁의행위의 정당성 결여 판단 및 민사상 손해배상 책임의 주체와 책임의 성질</v>
      </c>
    </row>
    <row r="255" spans="2:20" ht="14.45" customHeight="1" x14ac:dyDescent="0.2">
      <c r="B255" s="31" t="s">
        <v>402</v>
      </c>
      <c r="C255" s="54" t="s">
        <v>1454</v>
      </c>
      <c r="D255" s="55" t="s">
        <v>1650</v>
      </c>
      <c r="E255" s="97" t="s">
        <v>1223</v>
      </c>
      <c r="F255" s="58" t="s">
        <v>28</v>
      </c>
      <c r="G255" s="58" t="s">
        <v>1640</v>
      </c>
      <c r="H255" s="59" t="s">
        <v>1376</v>
      </c>
      <c r="I255" s="60" t="s">
        <v>1699</v>
      </c>
      <c r="J255" s="61">
        <v>2212</v>
      </c>
      <c r="K255" s="62" t="s">
        <v>1385</v>
      </c>
      <c r="L255" s="100"/>
      <c r="M255" s="64"/>
      <c r="N255" s="65"/>
      <c r="O255" s="63" t="str">
        <f t="shared" si="15"/>
        <v>제14장 쟁의행위-제07절 불법쟁의행위와 법적 책임-03</v>
      </c>
      <c r="Q255" s="7" t="str">
        <f t="shared" si="16"/>
        <v>14.07-2-2</v>
      </c>
      <c r="R255" s="7" t="str">
        <f t="shared" si="17"/>
        <v>열기2-01.노동법\02.문제\[모의][2][14.07-2]책임 제한의 개별화 원칙 적용 여부와 구체적인 판단 기준.txt</v>
      </c>
      <c r="S255" s="7" t="str">
        <f t="shared" si="18"/>
        <v>B</v>
      </c>
      <c r="T255" s="7" t="str">
        <f t="shared" si="19"/>
        <v>책임 제한의 개별화 원칙 적용 여부와 구체적인 판단 기준</v>
      </c>
    </row>
    <row r="256" spans="2:20" ht="14.45" customHeight="1" x14ac:dyDescent="0.2">
      <c r="B256" s="31" t="s">
        <v>402</v>
      </c>
      <c r="C256" s="32" t="s">
        <v>1455</v>
      </c>
      <c r="D256" s="33" t="s">
        <v>128</v>
      </c>
      <c r="E256" s="69" t="s">
        <v>158</v>
      </c>
      <c r="F256" s="35" t="s">
        <v>28</v>
      </c>
      <c r="G256" s="35" t="s">
        <v>1638</v>
      </c>
      <c r="H256" s="36" t="s">
        <v>196</v>
      </c>
      <c r="I256" s="6" t="s">
        <v>1003</v>
      </c>
      <c r="J256" s="37">
        <v>1803</v>
      </c>
      <c r="K256" s="38" t="s">
        <v>1385</v>
      </c>
      <c r="L256" s="298"/>
      <c r="M256" s="40"/>
      <c r="N256" s="41"/>
      <c r="O256" s="39" t="str">
        <f t="shared" si="15"/>
        <v>제14장 쟁의행위-제08절 쟁의행위와 노사당사자 간의 법률관계-01</v>
      </c>
      <c r="Q256" s="7" t="str">
        <f t="shared" si="16"/>
        <v>쟁의행위-2</v>
      </c>
      <c r="R256" s="7" t="str">
        <f t="shared" si="17"/>
        <v>열기2-01.노동법\01.본문\제14장 쟁의행위.제08절 쟁의행위와 노사당사자 간의 법률관계.txt</v>
      </c>
      <c r="S256" s="7" t="str">
        <f t="shared" si="18"/>
        <v>B</v>
      </c>
      <c r="T256" s="7" t="str">
        <f t="shared" si="19"/>
        <v>쟁의행위와 노사당사자 간의 법률관계</v>
      </c>
    </row>
    <row r="257" spans="2:20" ht="14.45" customHeight="1" x14ac:dyDescent="0.2">
      <c r="B257" s="31" t="s">
        <v>402</v>
      </c>
      <c r="C257" s="42" t="s">
        <v>1455</v>
      </c>
      <c r="D257" s="43" t="s">
        <v>1650</v>
      </c>
      <c r="E257" s="70" t="s">
        <v>1224</v>
      </c>
      <c r="F257" s="46" t="s">
        <v>28</v>
      </c>
      <c r="G257" s="46" t="s">
        <v>1639</v>
      </c>
      <c r="H257" s="47" t="s">
        <v>1377</v>
      </c>
      <c r="I257" s="48" t="s">
        <v>1700</v>
      </c>
      <c r="J257" s="49">
        <v>2002</v>
      </c>
      <c r="K257" s="50" t="s">
        <v>1385</v>
      </c>
      <c r="L257" s="68" t="s">
        <v>1796</v>
      </c>
      <c r="M257" s="52"/>
      <c r="N257" s="53"/>
      <c r="O257" s="51" t="str">
        <f t="shared" si="15"/>
        <v>제14장 쟁의행위-제08절 쟁의행위와 노사당사자 간의 법률관계-02</v>
      </c>
      <c r="Q257" s="7" t="str">
        <f t="shared" si="16"/>
        <v>14.08-1-2</v>
      </c>
      <c r="R257" s="7" t="str">
        <f t="shared" si="17"/>
        <v>열기2-01.노동법\02.문제\[모의][2][14.08-1]정당한 쟁의행위 기간 중 가족수당 및 근속수당 지급 의무 여부(무노동 무임금 원칙 적용 범위).txt</v>
      </c>
      <c r="S257" s="7" t="str">
        <f t="shared" si="18"/>
        <v>B</v>
      </c>
      <c r="T257" s="7" t="str">
        <f t="shared" si="19"/>
        <v>정당한 쟁의행위 기간 중 가족수당 및 근속수당 지급 의무 여부(무노동 무임금 원칙 적용 범위)</v>
      </c>
    </row>
    <row r="258" spans="2:20" ht="14.45" customHeight="1" x14ac:dyDescent="0.2">
      <c r="B258" s="31" t="s">
        <v>402</v>
      </c>
      <c r="C258" s="54" t="s">
        <v>1455</v>
      </c>
      <c r="D258" s="55" t="s">
        <v>1650</v>
      </c>
      <c r="E258" s="97" t="s">
        <v>1225</v>
      </c>
      <c r="F258" s="58" t="s">
        <v>28</v>
      </c>
      <c r="G258" s="58" t="s">
        <v>1640</v>
      </c>
      <c r="H258" s="59" t="s">
        <v>1378</v>
      </c>
      <c r="I258" s="60" t="s">
        <v>1701</v>
      </c>
      <c r="J258" s="61">
        <v>2373</v>
      </c>
      <c r="K258" s="62" t="s">
        <v>1385</v>
      </c>
      <c r="L258" s="100" t="s">
        <v>1726</v>
      </c>
      <c r="M258" s="64"/>
      <c r="N258" s="65"/>
      <c r="O258" s="63" t="str">
        <f t="shared" si="15"/>
        <v>제14장 쟁의행위-제08절 쟁의행위와 노사당사자 간의 법률관계-03</v>
      </c>
      <c r="Q258" s="7" t="str">
        <f t="shared" si="16"/>
        <v>14.08-2-2</v>
      </c>
      <c r="R258" s="7" t="str">
        <f t="shared" si="17"/>
        <v>열기2-01.노동법\02.문제\[모의][2][14.08-2]쟁의행위 및 징계(정직) 기간의 연차휴가 산정 시 출근지수 처리 방식.txt</v>
      </c>
      <c r="S258" s="7" t="str">
        <f t="shared" si="18"/>
        <v>B</v>
      </c>
      <c r="T258" s="7" t="str">
        <f t="shared" si="19"/>
        <v>쟁의행위 및 징계(정직) 기간의 연차휴가 산정 시 출근지수 처리 방식</v>
      </c>
    </row>
    <row r="259" spans="2:20" ht="14.45" customHeight="1" x14ac:dyDescent="0.2">
      <c r="B259" s="31" t="s">
        <v>402</v>
      </c>
      <c r="C259" s="32" t="s">
        <v>1456</v>
      </c>
      <c r="D259" s="33" t="s">
        <v>128</v>
      </c>
      <c r="E259" s="69" t="s">
        <v>158</v>
      </c>
      <c r="F259" s="35" t="s">
        <v>28</v>
      </c>
      <c r="G259" s="35" t="s">
        <v>1638</v>
      </c>
      <c r="H259" s="36" t="s">
        <v>197</v>
      </c>
      <c r="I259" s="6" t="s">
        <v>1004</v>
      </c>
      <c r="J259" s="37">
        <v>1941</v>
      </c>
      <c r="K259" s="38" t="s">
        <v>1385</v>
      </c>
      <c r="L259" s="298"/>
      <c r="M259" s="40"/>
      <c r="N259" s="41"/>
      <c r="O259" s="39" t="str">
        <f t="shared" si="15"/>
        <v>제14장 쟁의행위-제09절 안전보호시설과 필수유지업무-01</v>
      </c>
      <c r="Q259" s="7" t="str">
        <f t="shared" si="16"/>
        <v>쟁의행위-2</v>
      </c>
      <c r="R259" s="7" t="str">
        <f t="shared" si="17"/>
        <v>열기2-01.노동법\01.본문\제14장 쟁의행위.제09절 안전보호시설과 필수유지업무.txt</v>
      </c>
      <c r="S259" s="7" t="str">
        <f t="shared" si="18"/>
        <v>B</v>
      </c>
      <c r="T259" s="7" t="str">
        <f t="shared" si="19"/>
        <v>안전보호시설과 필수유지업무</v>
      </c>
    </row>
    <row r="260" spans="2:20" ht="14.45" customHeight="1" x14ac:dyDescent="0.2">
      <c r="B260" s="31" t="s">
        <v>402</v>
      </c>
      <c r="C260" s="42" t="s">
        <v>1456</v>
      </c>
      <c r="D260" s="43" t="s">
        <v>1650</v>
      </c>
      <c r="E260" s="70" t="s">
        <v>1226</v>
      </c>
      <c r="F260" s="46" t="s">
        <v>28</v>
      </c>
      <c r="G260" s="46" t="s">
        <v>1639</v>
      </c>
      <c r="H260" s="47" t="s">
        <v>1379</v>
      </c>
      <c r="I260" s="48" t="s">
        <v>1702</v>
      </c>
      <c r="J260" s="49">
        <v>2253</v>
      </c>
      <c r="K260" s="50" t="s">
        <v>1385</v>
      </c>
      <c r="L260" s="68"/>
      <c r="M260" s="52"/>
      <c r="N260" s="53"/>
      <c r="O260" s="51" t="str">
        <f t="shared" ref="O260:O310" si="23">B260&amp;"-"&amp;C260&amp;"-"&amp;G260</f>
        <v>제14장 쟁의행위-제09절 안전보호시설과 필수유지업무-02</v>
      </c>
      <c r="Q260" s="7" t="str">
        <f t="shared" ref="Q260:Q310" si="24">E260&amp;"-"&amp;F260</f>
        <v>14.09-1-2</v>
      </c>
      <c r="R260" s="7" t="str">
        <f t="shared" ref="R260:R310" si="25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26">K260</f>
        <v>B</v>
      </c>
      <c r="T260" s="7" t="str">
        <f t="shared" si="19"/>
        <v>안전보호시설의 정의와 쟁의행위 제한 취지 및 중앙제어실 파업 동참 행위의 정당성 여부</v>
      </c>
    </row>
    <row r="261" spans="2:20" ht="14.45" customHeight="1" x14ac:dyDescent="0.2">
      <c r="B261" s="31" t="s">
        <v>402</v>
      </c>
      <c r="C261" s="54" t="s">
        <v>1456</v>
      </c>
      <c r="D261" s="55" t="s">
        <v>1650</v>
      </c>
      <c r="E261" s="97" t="s">
        <v>1227</v>
      </c>
      <c r="F261" s="58" t="s">
        <v>28</v>
      </c>
      <c r="G261" s="58" t="s">
        <v>1640</v>
      </c>
      <c r="H261" s="59" t="s">
        <v>111</v>
      </c>
      <c r="I261" s="60" t="s">
        <v>1703</v>
      </c>
      <c r="J261" s="61">
        <v>2214</v>
      </c>
      <c r="K261" s="62" t="s">
        <v>1385</v>
      </c>
      <c r="L261" s="100"/>
      <c r="M261" s="64"/>
      <c r="N261" s="65"/>
      <c r="O261" s="63" t="str">
        <f t="shared" si="23"/>
        <v>제14장 쟁의행위-제09절 안전보호시설과 필수유지업무-03</v>
      </c>
      <c r="Q261" s="7" t="str">
        <f t="shared" si="24"/>
        <v>14.09-2-2</v>
      </c>
      <c r="R261" s="7" t="str">
        <f t="shared" si="25"/>
        <v>열기2-01.노동법\02.문제\[모의][2][14.09-2]필수유지업무 제도의 적용 범위・절차 및 일반 사업장에서의 사용자 일방 지정 가능성.txt</v>
      </c>
      <c r="S261" s="7" t="str">
        <f t="shared" si="26"/>
        <v>B</v>
      </c>
      <c r="T261" s="7" t="str">
        <f t="shared" ref="T261:T310" si="27">H261</f>
        <v>필수유지업무 제도의 적용 범위・절차 및 일반 사업장에서의 사용자 일방 지정 가능성</v>
      </c>
    </row>
    <row r="262" spans="2:20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1638</v>
      </c>
      <c r="H262" s="36" t="s">
        <v>198</v>
      </c>
      <c r="I262" s="6" t="s">
        <v>1005</v>
      </c>
      <c r="J262" s="37">
        <v>1786</v>
      </c>
      <c r="K262" s="38" t="s">
        <v>1350</v>
      </c>
      <c r="L262" s="298"/>
      <c r="M262" s="40"/>
      <c r="N262" s="41"/>
      <c r="O262" s="39" t="str">
        <f t="shared" si="23"/>
        <v>제14장 쟁의행위-제10절 쟁의기간 중 대체근로의 제한-01</v>
      </c>
      <c r="Q262" s="7" t="str">
        <f t="shared" si="24"/>
        <v>쟁의행위-2</v>
      </c>
      <c r="R262" s="7" t="str">
        <f t="shared" si="25"/>
        <v>열기2-01.노동법\01.본문\제14장 쟁의행위.제10절 쟁의기간 중 대체근로의 제한.txt</v>
      </c>
      <c r="S262" s="7" t="str">
        <f t="shared" si="26"/>
        <v>A</v>
      </c>
      <c r="T262" s="7" t="str">
        <f t="shared" si="27"/>
        <v>쟁의기간 중 대체근로의 제한</v>
      </c>
    </row>
    <row r="263" spans="2:20" ht="14.45" customHeight="1" x14ac:dyDescent="0.2">
      <c r="B263" s="31" t="s">
        <v>402</v>
      </c>
      <c r="C263" s="102" t="s">
        <v>403</v>
      </c>
      <c r="D263" s="43" t="s">
        <v>1258</v>
      </c>
      <c r="E263" s="70" t="s">
        <v>93</v>
      </c>
      <c r="F263" s="46">
        <v>2</v>
      </c>
      <c r="G263" s="46" t="s">
        <v>1639</v>
      </c>
      <c r="H263" s="47" t="s">
        <v>1342</v>
      </c>
      <c r="I263" s="48" t="s">
        <v>1343</v>
      </c>
      <c r="J263" s="49">
        <v>1602</v>
      </c>
      <c r="K263" s="50" t="s">
        <v>1350</v>
      </c>
      <c r="L263" s="68"/>
      <c r="M263" s="52"/>
      <c r="N263" s="53"/>
      <c r="O263" s="51" t="str">
        <f t="shared" si="23"/>
        <v>제14장 쟁의행위-제10절 쟁의기간 중 대체근로의 제한-02</v>
      </c>
      <c r="Q263" s="7" t="str">
        <f t="shared" si="24"/>
        <v>2008-2-2</v>
      </c>
      <c r="R263" s="7" t="str">
        <f t="shared" si="25"/>
        <v>열기2-01.노동법\02.문제\[기출][2][2008-2]쟁의행위 기간 중 사용자의 채용 제한의 원칙, 필수공익사업의 특례, 위반 시 쟁점.txt</v>
      </c>
      <c r="S263" s="7" t="str">
        <f t="shared" si="26"/>
        <v>A</v>
      </c>
      <c r="T263" s="7" t="str">
        <f t="shared" si="27"/>
        <v>쟁의행위 기간 중 사용자의 채용 제한의 원칙, 필수공익사업의 특례, 위반 시 쟁점</v>
      </c>
    </row>
    <row r="264" spans="2:20" ht="14.45" customHeight="1" x14ac:dyDescent="0.2">
      <c r="B264" s="31" t="s">
        <v>402</v>
      </c>
      <c r="C264" s="102" t="s">
        <v>403</v>
      </c>
      <c r="D264" s="43" t="s">
        <v>1258</v>
      </c>
      <c r="E264" s="70" t="s">
        <v>1158</v>
      </c>
      <c r="F264" s="46">
        <v>2</v>
      </c>
      <c r="G264" s="46" t="s">
        <v>1640</v>
      </c>
      <c r="H264" s="47" t="s">
        <v>1181</v>
      </c>
      <c r="I264" s="48" t="s">
        <v>1182</v>
      </c>
      <c r="J264" s="49">
        <v>4081</v>
      </c>
      <c r="K264" s="50" t="s">
        <v>1350</v>
      </c>
      <c r="L264" s="68" t="s">
        <v>1721</v>
      </c>
      <c r="M264" s="52"/>
      <c r="N264" s="53"/>
      <c r="O264" s="51" t="str">
        <f t="shared" si="23"/>
        <v>제14장 쟁의행위-제10절 쟁의기간 중 대체근로의 제한-03</v>
      </c>
      <c r="Q264" s="7" t="str">
        <f t="shared" si="24"/>
        <v>2020-1-1-2</v>
      </c>
      <c r="R264" s="7" t="str">
        <f t="shared" si="25"/>
        <v>열기2-01.노동법\02.문제\[기출][2][2020-1-1]대체인력 투입이 대체근로 제한에 위배되어 위법한지 여부.txt</v>
      </c>
      <c r="S264" s="7" t="str">
        <f t="shared" si="26"/>
        <v>A</v>
      </c>
      <c r="T264" s="7" t="str">
        <f t="shared" si="27"/>
        <v>대체인력 투입이 대체근로 제한에 위배되어 위법한지 여부</v>
      </c>
    </row>
    <row r="265" spans="2:20" ht="14.45" customHeight="1" x14ac:dyDescent="0.2">
      <c r="B265" s="31" t="s">
        <v>402</v>
      </c>
      <c r="C265" s="102" t="s">
        <v>403</v>
      </c>
      <c r="D265" s="43" t="s">
        <v>1258</v>
      </c>
      <c r="E265" s="70" t="s">
        <v>85</v>
      </c>
      <c r="F265" s="46">
        <v>2</v>
      </c>
      <c r="G265" s="46" t="s">
        <v>1641</v>
      </c>
      <c r="H265" s="47" t="s">
        <v>1186</v>
      </c>
      <c r="I265" s="48" t="s">
        <v>1183</v>
      </c>
      <c r="J265" s="49">
        <v>3964</v>
      </c>
      <c r="K265" s="50" t="s">
        <v>1350</v>
      </c>
      <c r="L265" s="68" t="s">
        <v>1721</v>
      </c>
      <c r="M265" s="52"/>
      <c r="N265" s="53"/>
      <c r="O265" s="51" t="str">
        <f t="shared" si="23"/>
        <v>제14장 쟁의행위-제10절 쟁의기간 중 대체근로의 제한-04</v>
      </c>
      <c r="Q265" s="7" t="str">
        <f t="shared" si="24"/>
        <v>2020-1-2-2</v>
      </c>
      <c r="R265" s="7" t="str">
        <f t="shared" si="25"/>
        <v>열기2-01.노동법\02.문제\[기출][2][2020-1-2]대체인력 투입의 지배・개입 부당노동행위 성립 여부.txt</v>
      </c>
      <c r="S265" s="7" t="str">
        <f t="shared" si="26"/>
        <v>A</v>
      </c>
      <c r="T265" s="7" t="str">
        <f t="shared" si="27"/>
        <v>대체인력 투입의 지배・개입 부당노동행위 성립 여부</v>
      </c>
    </row>
    <row r="266" spans="2:20" ht="14.45" customHeight="1" thickBot="1" x14ac:dyDescent="0.25">
      <c r="B266" s="74" t="s">
        <v>402</v>
      </c>
      <c r="C266" s="103" t="s">
        <v>403</v>
      </c>
      <c r="D266" s="76" t="s">
        <v>1258</v>
      </c>
      <c r="E266" s="77" t="s">
        <v>81</v>
      </c>
      <c r="F266" s="78">
        <v>2</v>
      </c>
      <c r="G266" s="78" t="s">
        <v>1642</v>
      </c>
      <c r="H266" s="79" t="s">
        <v>1155</v>
      </c>
      <c r="I266" s="80" t="s">
        <v>1154</v>
      </c>
      <c r="J266" s="81">
        <v>2595</v>
      </c>
      <c r="K266" s="82" t="s">
        <v>1350</v>
      </c>
      <c r="L266" s="161"/>
      <c r="M266" s="84"/>
      <c r="N266" s="85"/>
      <c r="O266" s="83" t="str">
        <f t="shared" si="23"/>
        <v>제14장 쟁의행위-제10절 쟁의기간 중 대체근로의 제한-05</v>
      </c>
      <c r="Q266" s="7" t="str">
        <f t="shared" si="24"/>
        <v>2022-1-2-2</v>
      </c>
      <c r="R266" s="7" t="str">
        <f t="shared" si="25"/>
        <v>열기2-01.노동법\02.문제\[기출][2][2022-1-2]용역업체의 대체근로 저지행위에 대한 형사상 위법성 여부.txt</v>
      </c>
      <c r="S266" s="7" t="str">
        <f t="shared" si="26"/>
        <v>A</v>
      </c>
      <c r="T266" s="7" t="str">
        <f t="shared" si="27"/>
        <v>용역업체의 대체근로 저지행위에 대한 형사상 위법성 여부</v>
      </c>
    </row>
    <row r="267" spans="2:20" ht="14.45" customHeight="1" x14ac:dyDescent="0.2">
      <c r="B267" s="19" t="s">
        <v>404</v>
      </c>
      <c r="C267" s="20" t="s">
        <v>1468</v>
      </c>
      <c r="D267" s="21" t="s">
        <v>128</v>
      </c>
      <c r="E267" s="22" t="s">
        <v>159</v>
      </c>
      <c r="F267" s="23" t="s">
        <v>28</v>
      </c>
      <c r="G267" s="23" t="s">
        <v>1638</v>
      </c>
      <c r="H267" s="24" t="s">
        <v>199</v>
      </c>
      <c r="I267" s="25" t="s">
        <v>1006</v>
      </c>
      <c r="J267" s="26">
        <v>1603</v>
      </c>
      <c r="K267" s="27" t="s">
        <v>1385</v>
      </c>
      <c r="L267" s="297"/>
      <c r="M267" s="29"/>
      <c r="N267" s="30"/>
      <c r="O267" s="28" t="str">
        <f t="shared" si="23"/>
        <v>제15장 부당노동행위-제01절 부당노동행위제도의 의의-01</v>
      </c>
      <c r="Q267" s="7" t="str">
        <f t="shared" si="24"/>
        <v>부당노동행위-2</v>
      </c>
      <c r="R267" s="7" t="str">
        <f t="shared" si="25"/>
        <v>열기2-01.노동법\01.본문\제15장 부당노동행위.제01절 부당노동행위제도의 의의.txt</v>
      </c>
      <c r="S267" s="7" t="str">
        <f t="shared" si="26"/>
        <v>B</v>
      </c>
      <c r="T267" s="7" t="str">
        <f t="shared" si="27"/>
        <v>부당노동행위제도의 의의</v>
      </c>
    </row>
    <row r="268" spans="2:20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1639</v>
      </c>
      <c r="H268" s="36" t="s">
        <v>310</v>
      </c>
      <c r="I268" s="6" t="s">
        <v>1007</v>
      </c>
      <c r="J268" s="37">
        <v>2020</v>
      </c>
      <c r="K268" s="38" t="s">
        <v>1384</v>
      </c>
      <c r="L268" s="298"/>
      <c r="M268" s="40"/>
      <c r="N268" s="41"/>
      <c r="O268" s="39" t="str">
        <f t="shared" si="23"/>
        <v>제15장 부당노동행위-제02절 불이익취급-02</v>
      </c>
      <c r="Q268" s="7" t="str">
        <f t="shared" si="24"/>
        <v>부당노동행위-2</v>
      </c>
      <c r="R268" s="7" t="str">
        <f t="shared" si="25"/>
        <v>열기2-01.노동법\01.본문\제15장 부당노동행위.제02절 불이익취급.txt</v>
      </c>
      <c r="S268" s="7" t="str">
        <f t="shared" si="26"/>
        <v>C</v>
      </c>
      <c r="T268" s="7" t="str">
        <f t="shared" si="27"/>
        <v>불이익취급</v>
      </c>
    </row>
    <row r="269" spans="2:20" ht="14.45" customHeight="1" x14ac:dyDescent="0.2">
      <c r="B269" s="31" t="s">
        <v>404</v>
      </c>
      <c r="C269" s="42" t="s">
        <v>481</v>
      </c>
      <c r="D269" s="43" t="s">
        <v>1258</v>
      </c>
      <c r="E269" s="70" t="s">
        <v>94</v>
      </c>
      <c r="F269" s="46">
        <v>2</v>
      </c>
      <c r="G269" s="46" t="s">
        <v>1640</v>
      </c>
      <c r="H269" s="47" t="s">
        <v>1189</v>
      </c>
      <c r="I269" s="48" t="s">
        <v>1190</v>
      </c>
      <c r="J269" s="49">
        <v>4101</v>
      </c>
      <c r="K269" s="50" t="s">
        <v>1384</v>
      </c>
      <c r="L269" s="68"/>
      <c r="M269" s="52"/>
      <c r="N269" s="53"/>
      <c r="O269" s="51" t="str">
        <f t="shared" si="23"/>
        <v>제15장 부당노동행위-제02절 불이익취급-03</v>
      </c>
      <c r="Q269" s="7" t="str">
        <f t="shared" si="24"/>
        <v>2015-1-2</v>
      </c>
      <c r="R269" s="7" t="str">
        <f t="shared" si="25"/>
        <v>열기2-01.노동법\02.문제\[기출][2][2015-1]사내 무단 유인물 배포를 이유로 한 징계해고의 정당성 및 불이익취급 부당노동행위 성립 여부.txt</v>
      </c>
      <c r="S269" s="7" t="str">
        <f t="shared" si="26"/>
        <v>C</v>
      </c>
      <c r="T269" s="7" t="str">
        <f t="shared" si="27"/>
        <v>사내 무단 유인물 배포를 이유로 한 징계해고의 정당성 및 불이익취급 부당노동행위 성립 여부</v>
      </c>
    </row>
    <row r="270" spans="2:20" ht="14.45" customHeight="1" x14ac:dyDescent="0.2">
      <c r="B270" s="31" t="s">
        <v>404</v>
      </c>
      <c r="C270" s="42" t="s">
        <v>481</v>
      </c>
      <c r="D270" s="43" t="s">
        <v>1258</v>
      </c>
      <c r="E270" s="70" t="s">
        <v>1179</v>
      </c>
      <c r="F270" s="46">
        <v>2</v>
      </c>
      <c r="G270" s="46" t="s">
        <v>1641</v>
      </c>
      <c r="H270" s="47" t="s">
        <v>1187</v>
      </c>
      <c r="I270" s="48" t="s">
        <v>1188</v>
      </c>
      <c r="J270" s="49">
        <v>2151</v>
      </c>
      <c r="K270" s="50" t="s">
        <v>1384</v>
      </c>
      <c r="L270" s="68"/>
      <c r="M270" s="52"/>
      <c r="N270" s="53"/>
      <c r="O270" s="51" t="str">
        <f t="shared" si="23"/>
        <v>제15장 부당노동행위-제02절 불이익취급-04</v>
      </c>
      <c r="Q270" s="7" t="str">
        <f t="shared" si="24"/>
        <v>2016-1-2-2</v>
      </c>
      <c r="R270" s="7" t="str">
        <f t="shared" si="25"/>
        <v>열기2-01.노동법\02.문제\[기출][2][2016-1-2]정리해고의 불이익 취급 부당노동행위 성립에 관한 입증책임의 소재 및 구체적인 입증방법.txt</v>
      </c>
      <c r="S270" s="7" t="str">
        <f t="shared" si="26"/>
        <v>C</v>
      </c>
      <c r="T270" s="7" t="str">
        <f t="shared" si="27"/>
        <v>정리해고의 불이익 취급 부당노동행위 성립에 관한 입증책임의 소재 및 구체적인 입증방법</v>
      </c>
    </row>
    <row r="271" spans="2:20" ht="14.45" customHeight="1" x14ac:dyDescent="0.2">
      <c r="B271" s="31" t="s">
        <v>404</v>
      </c>
      <c r="C271" s="54" t="s">
        <v>481</v>
      </c>
      <c r="D271" s="55" t="s">
        <v>1258</v>
      </c>
      <c r="E271" s="97" t="s">
        <v>70</v>
      </c>
      <c r="F271" s="58">
        <v>2</v>
      </c>
      <c r="G271" s="58" t="s">
        <v>1642</v>
      </c>
      <c r="H271" s="59" t="s">
        <v>1184</v>
      </c>
      <c r="I271" s="60" t="s">
        <v>1185</v>
      </c>
      <c r="J271" s="61">
        <v>2810</v>
      </c>
      <c r="K271" s="62" t="s">
        <v>1384</v>
      </c>
      <c r="L271" s="100"/>
      <c r="M271" s="64"/>
      <c r="N271" s="65"/>
      <c r="O271" s="63" t="str">
        <f t="shared" si="23"/>
        <v>제15장 부당노동행위-제02절 불이익취급-05</v>
      </c>
      <c r="Q271" s="7" t="str">
        <f t="shared" si="24"/>
        <v>2024-1-2-2</v>
      </c>
      <c r="R271" s="7" t="str">
        <f t="shared" si="25"/>
        <v>열기2-01.노동법\02.문제\[기출][2][2024-1-2]카마스터들에 대한 용역계약 해지의 불이익 취급 부당노동행위 성립 여부 및 사유 정당성.txt</v>
      </c>
      <c r="S271" s="7" t="str">
        <f t="shared" si="26"/>
        <v>C</v>
      </c>
      <c r="T271" s="7" t="str">
        <f t="shared" si="27"/>
        <v>카마스터들에 대한 용역계약 해지의 불이익 취급 부당노동행위 성립 여부 및 사유 정당성</v>
      </c>
    </row>
    <row r="272" spans="2:20" ht="14.45" customHeight="1" x14ac:dyDescent="0.2">
      <c r="B272" s="31" t="s">
        <v>404</v>
      </c>
      <c r="C272" s="32" t="s">
        <v>1457</v>
      </c>
      <c r="D272" s="33" t="s">
        <v>128</v>
      </c>
      <c r="E272" s="69" t="s">
        <v>159</v>
      </c>
      <c r="F272" s="35" t="s">
        <v>28</v>
      </c>
      <c r="G272" s="35" t="s">
        <v>1638</v>
      </c>
      <c r="H272" s="36" t="s">
        <v>200</v>
      </c>
      <c r="I272" s="6" t="s">
        <v>1008</v>
      </c>
      <c r="J272" s="37">
        <v>1686</v>
      </c>
      <c r="K272" s="38" t="s">
        <v>1350</v>
      </c>
      <c r="L272" s="298"/>
      <c r="M272" s="40"/>
      <c r="N272" s="41"/>
      <c r="O272" s="39" t="str">
        <f t="shared" si="23"/>
        <v>제15장 부당노동행위-제03절 반조합계약(비열계약, 황견계약)-01</v>
      </c>
      <c r="Q272" s="7" t="str">
        <f t="shared" si="24"/>
        <v>부당노동행위-2</v>
      </c>
      <c r="R272" s="7" t="str">
        <f t="shared" si="25"/>
        <v>열기2-01.노동법\01.본문\제15장 부당노동행위.제03절 반조합계약(비열계약, 황견계약).txt</v>
      </c>
      <c r="S272" s="7" t="str">
        <f t="shared" si="26"/>
        <v>A</v>
      </c>
      <c r="T272" s="7" t="str">
        <f t="shared" si="27"/>
        <v>반조합계약(비열계약, 황견계약)</v>
      </c>
    </row>
    <row r="273" spans="2:20" ht="14.45" customHeight="1" x14ac:dyDescent="0.2">
      <c r="B273" s="31" t="s">
        <v>404</v>
      </c>
      <c r="C273" s="42" t="s">
        <v>1457</v>
      </c>
      <c r="D273" s="43" t="s">
        <v>1650</v>
      </c>
      <c r="E273" s="70" t="s">
        <v>1228</v>
      </c>
      <c r="F273" s="46" t="s">
        <v>28</v>
      </c>
      <c r="G273" s="46" t="s">
        <v>1639</v>
      </c>
      <c r="H273" s="47" t="s">
        <v>112</v>
      </c>
      <c r="I273" s="48" t="s">
        <v>1704</v>
      </c>
      <c r="J273" s="49">
        <v>2140</v>
      </c>
      <c r="K273" s="50" t="s">
        <v>1350</v>
      </c>
      <c r="L273" s="68"/>
      <c r="M273" s="52"/>
      <c r="N273" s="53"/>
      <c r="O273" s="51" t="str">
        <f t="shared" si="23"/>
        <v>제15장 부당노동행위-제03절 반조합계약(비열계약, 황견계약)-02</v>
      </c>
      <c r="Q273" s="7" t="str">
        <f t="shared" si="24"/>
        <v>15.03-1-2</v>
      </c>
      <c r="R273" s="7" t="str">
        <f t="shared" si="25"/>
        <v>열기2-01.노동법\02.문제\[모의][2][15.03-1]유니온 숍 조항의 성립 요건 및 소수 노조 조합원에 대한 효력 범위.txt</v>
      </c>
      <c r="S273" s="7" t="str">
        <f t="shared" si="26"/>
        <v>A</v>
      </c>
      <c r="T273" s="7" t="str">
        <f t="shared" si="27"/>
        <v>유니온 숍 조항의 성립 요건 및 소수 노조 조합원에 대한 효력 범위</v>
      </c>
    </row>
    <row r="274" spans="2:20" ht="14.45" customHeight="1" x14ac:dyDescent="0.2">
      <c r="B274" s="31" t="s">
        <v>404</v>
      </c>
      <c r="C274" s="54" t="s">
        <v>1457</v>
      </c>
      <c r="D274" s="55" t="s">
        <v>1650</v>
      </c>
      <c r="E274" s="97" t="s">
        <v>1229</v>
      </c>
      <c r="F274" s="58" t="s">
        <v>28</v>
      </c>
      <c r="G274" s="58" t="s">
        <v>1640</v>
      </c>
      <c r="H274" s="59" t="s">
        <v>1380</v>
      </c>
      <c r="I274" s="60" t="s">
        <v>1705</v>
      </c>
      <c r="J274" s="61">
        <v>2538</v>
      </c>
      <c r="K274" s="62" t="s">
        <v>1350</v>
      </c>
      <c r="L274" s="100"/>
      <c r="M274" s="64"/>
      <c r="N274" s="65"/>
      <c r="O274" s="63" t="str">
        <f t="shared" si="23"/>
        <v>제15장 부당노동행위-제03절 반조합계약(비열계약, 황견계약)-03</v>
      </c>
      <c r="Q274" s="7" t="str">
        <f t="shared" si="24"/>
        <v>15.03-2-2</v>
      </c>
      <c r="R274" s="7" t="str">
        <f t="shared" si="25"/>
        <v>열기2-01.노동법\02.문제\[모의][2][15.03-2]탈퇴 후 신규 노조 설립 준비 중인 근로자에 대한 해고의 부당노동행위 및 부당해고 해당 여부.txt</v>
      </c>
      <c r="S274" s="7" t="str">
        <f t="shared" si="26"/>
        <v>A</v>
      </c>
      <c r="T274" s="7" t="str">
        <f t="shared" si="27"/>
        <v>탈퇴 후 신규 노조 설립 준비 중인 근로자에 대한 해고의 부당노동행위 및 부당해고 해당 여부</v>
      </c>
    </row>
    <row r="275" spans="2:20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1638</v>
      </c>
      <c r="H275" s="36" t="s">
        <v>201</v>
      </c>
      <c r="I275" s="6" t="s">
        <v>1009</v>
      </c>
      <c r="J275" s="37">
        <v>1806</v>
      </c>
      <c r="K275" s="38" t="s">
        <v>1384</v>
      </c>
      <c r="L275" s="298"/>
      <c r="M275" s="40"/>
      <c r="N275" s="41"/>
      <c r="O275" s="39" t="str">
        <f t="shared" si="23"/>
        <v>제15장 부당노동행위-제04절 단체교섭의 거부・해태-01</v>
      </c>
      <c r="Q275" s="7" t="str">
        <f t="shared" si="24"/>
        <v>부당노동행위-2</v>
      </c>
      <c r="R275" s="7" t="str">
        <f t="shared" si="25"/>
        <v>열기2-01.노동법\01.본문\제15장 부당노동행위.제04절 단체교섭의 거부・해태.txt</v>
      </c>
      <c r="S275" s="7" t="str">
        <f t="shared" si="26"/>
        <v>C</v>
      </c>
      <c r="T275" s="7" t="str">
        <f t="shared" si="27"/>
        <v>단체교섭의 거부・해태</v>
      </c>
    </row>
    <row r="276" spans="2:20" ht="14.45" customHeight="1" x14ac:dyDescent="0.2">
      <c r="B276" s="31" t="s">
        <v>404</v>
      </c>
      <c r="C276" s="42" t="s">
        <v>482</v>
      </c>
      <c r="D276" s="43" t="s">
        <v>1258</v>
      </c>
      <c r="E276" s="70" t="s">
        <v>1156</v>
      </c>
      <c r="F276" s="46">
        <v>2</v>
      </c>
      <c r="G276" s="46" t="s">
        <v>1639</v>
      </c>
      <c r="H276" s="47" t="s">
        <v>1191</v>
      </c>
      <c r="I276" s="48" t="s">
        <v>1192</v>
      </c>
      <c r="J276" s="49">
        <v>1997</v>
      </c>
      <c r="K276" s="50" t="s">
        <v>1384</v>
      </c>
      <c r="L276" s="68"/>
      <c r="M276" s="52"/>
      <c r="N276" s="53"/>
      <c r="O276" s="51" t="str">
        <f t="shared" si="23"/>
        <v>제15장 부당노동행위-제04절 단체교섭의 거부・해태-02</v>
      </c>
      <c r="Q276" s="7" t="str">
        <f t="shared" si="24"/>
        <v>2018-1-1-2</v>
      </c>
      <c r="R276" s="7" t="str">
        <f t="shared" si="25"/>
        <v>열기2-01.노동법\02.문제\[기출][2][2018-1-1]규약상 교섭안 마련 및 조합원 총의 수렴 조항을 이유로 한 사용자의 단체교섭 거부의 정당성 여부.txt</v>
      </c>
      <c r="S276" s="7" t="str">
        <f t="shared" si="26"/>
        <v>C</v>
      </c>
      <c r="T276" s="7" t="str">
        <f t="shared" si="27"/>
        <v>규약상 교섭안 마련 및 조합원 총의 수렴 조항을 이유로 한 사용자의 단체교섭 거부의 정당성 여부</v>
      </c>
    </row>
    <row r="277" spans="2:20" ht="14.45" customHeight="1" x14ac:dyDescent="0.2">
      <c r="B277" s="31" t="s">
        <v>404</v>
      </c>
      <c r="C277" s="42" t="s">
        <v>482</v>
      </c>
      <c r="D277" s="43" t="s">
        <v>1258</v>
      </c>
      <c r="E277" s="70" t="s">
        <v>61</v>
      </c>
      <c r="F277" s="46">
        <v>2</v>
      </c>
      <c r="G277" s="46" t="s">
        <v>1640</v>
      </c>
      <c r="H277" s="47" t="s">
        <v>1193</v>
      </c>
      <c r="I277" s="48" t="s">
        <v>1194</v>
      </c>
      <c r="J277" s="49">
        <v>2538</v>
      </c>
      <c r="K277" s="50" t="s">
        <v>1384</v>
      </c>
      <c r="L277" s="68"/>
      <c r="M277" s="52"/>
      <c r="N277" s="53"/>
      <c r="O277" s="51" t="str">
        <f t="shared" si="23"/>
        <v>제15장 부당노동행위-제04절 단체교섭의 거부・해태-03</v>
      </c>
      <c r="Q277" s="7" t="str">
        <f t="shared" si="24"/>
        <v>2018-1-2-2</v>
      </c>
      <c r="R277" s="7" t="str">
        <f t="shared" si="25"/>
        <v>열기2-01.노동법\02.문제\[기출][2][2018-1-2]법원의 가처분 결정 이후 사용자의 단체교섭 계속 거부의 불법행위 성립 여부.txt</v>
      </c>
      <c r="S277" s="7" t="str">
        <f t="shared" si="26"/>
        <v>C</v>
      </c>
      <c r="T277" s="7" t="str">
        <f t="shared" si="27"/>
        <v>법원의 가처분 결정 이후 사용자의 단체교섭 계속 거부의 불법행위 성립 여부</v>
      </c>
    </row>
    <row r="278" spans="2:20" ht="14.45" customHeight="1" x14ac:dyDescent="0.2">
      <c r="B278" s="31" t="s">
        <v>404</v>
      </c>
      <c r="C278" s="42" t="s">
        <v>482</v>
      </c>
      <c r="D278" s="43" t="s">
        <v>1258</v>
      </c>
      <c r="E278" s="70" t="s">
        <v>74</v>
      </c>
      <c r="F278" s="46">
        <v>2</v>
      </c>
      <c r="G278" s="46" t="s">
        <v>1641</v>
      </c>
      <c r="H278" s="47" t="s">
        <v>1248</v>
      </c>
      <c r="I278" s="48" t="s">
        <v>1249</v>
      </c>
      <c r="J278" s="49">
        <v>2438</v>
      </c>
      <c r="K278" s="50" t="s">
        <v>1384</v>
      </c>
      <c r="L278" s="68" t="s">
        <v>1552</v>
      </c>
      <c r="M278" s="52"/>
      <c r="N278" s="53"/>
      <c r="O278" s="51" t="str">
        <f t="shared" si="23"/>
        <v>제15장 부당노동행위-제04절 단체교섭의 거부・해태-04</v>
      </c>
      <c r="Q278" s="7" t="str">
        <f t="shared" si="24"/>
        <v>2023-1-1-2</v>
      </c>
      <c r="R278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26"/>
        <v>C</v>
      </c>
      <c r="T278" s="7" t="str">
        <f t="shared" si="27"/>
        <v>사용자의 직장폐쇄 중 수임 상급단체의 단체교섭 요구를 계속적으로 거부한 행위의 부당노동행위 성립 여부</v>
      </c>
    </row>
    <row r="279" spans="2:20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1539</v>
      </c>
      <c r="F279" s="58" t="s">
        <v>28</v>
      </c>
      <c r="G279" s="57" t="s">
        <v>1642</v>
      </c>
      <c r="H279" s="59" t="s">
        <v>1261</v>
      </c>
      <c r="I279" s="60" t="s">
        <v>1262</v>
      </c>
      <c r="J279" s="61">
        <v>2276</v>
      </c>
      <c r="K279" s="62" t="s">
        <v>1384</v>
      </c>
      <c r="L279" s="100"/>
      <c r="M279" s="64"/>
      <c r="N279" s="65"/>
      <c r="O279" s="63" t="str">
        <f t="shared" si="23"/>
        <v>제15장 부당노동행위-제04절 단체교섭의 거부・해태-05</v>
      </c>
      <c r="Q279" s="7" t="str">
        <f t="shared" si="24"/>
        <v>광주고등법원 2025.02.05. 자 2024라1091 결정-2</v>
      </c>
      <c r="R279" s="7" t="str">
        <f t="shared" si="25"/>
        <v>열기2-01.노동법\03.판례\[광주고등법원 2025.02.05. 자 2024라1091 결정]단체교섭응낙가처분의 인정 여부.txt</v>
      </c>
      <c r="S279" s="7" t="str">
        <f t="shared" si="26"/>
        <v>C</v>
      </c>
      <c r="T279" s="7" t="str">
        <f t="shared" si="27"/>
        <v>단체교섭응낙가처분의 인정 여부</v>
      </c>
    </row>
    <row r="280" spans="2:20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1638</v>
      </c>
      <c r="H280" s="36" t="s">
        <v>202</v>
      </c>
      <c r="I280" s="6" t="s">
        <v>1010</v>
      </c>
      <c r="J280" s="37">
        <v>2379</v>
      </c>
      <c r="K280" s="38" t="s">
        <v>1350</v>
      </c>
      <c r="L280" s="298"/>
      <c r="M280" s="40"/>
      <c r="N280" s="41"/>
      <c r="O280" s="39" t="str">
        <f t="shared" si="23"/>
        <v>제15장 부당노동행위-제05절 지배・개입-01</v>
      </c>
      <c r="Q280" s="7" t="str">
        <f t="shared" si="24"/>
        <v>부당노동행위-2</v>
      </c>
      <c r="R280" s="7" t="str">
        <f t="shared" si="25"/>
        <v>열기2-01.노동법\01.본문\제15장 부당노동행위.제05절 지배・개입.txt</v>
      </c>
      <c r="S280" s="7" t="str">
        <f t="shared" si="26"/>
        <v>A</v>
      </c>
      <c r="T280" s="7" t="str">
        <f t="shared" si="27"/>
        <v>지배・개입</v>
      </c>
    </row>
    <row r="281" spans="2:20" ht="14.45" customHeight="1" x14ac:dyDescent="0.2">
      <c r="B281" s="31" t="s">
        <v>404</v>
      </c>
      <c r="C281" s="42" t="s">
        <v>492</v>
      </c>
      <c r="D281" s="43" t="s">
        <v>1258</v>
      </c>
      <c r="E281" s="70" t="s">
        <v>65</v>
      </c>
      <c r="F281" s="46">
        <v>2</v>
      </c>
      <c r="G281" s="46" t="s">
        <v>1639</v>
      </c>
      <c r="H281" s="47" t="s">
        <v>30</v>
      </c>
      <c r="I281" s="48" t="s">
        <v>929</v>
      </c>
      <c r="J281" s="49">
        <v>2130</v>
      </c>
      <c r="K281" s="50" t="s">
        <v>1350</v>
      </c>
      <c r="L281" s="68"/>
      <c r="M281" s="52"/>
      <c r="N281" s="53"/>
      <c r="O281" s="51" t="str">
        <f t="shared" si="23"/>
        <v>제15장 부당노동행위-제05절 지배・개입-02</v>
      </c>
      <c r="Q281" s="7" t="str">
        <f t="shared" si="24"/>
        <v>2014-2-2</v>
      </c>
      <c r="R281" s="7" t="str">
        <f t="shared" si="25"/>
        <v>열기2-01.노동법\02.문제\[기출][2][2014-2]사용자의 언론의 자유와 부당노동행위의 관계.txt</v>
      </c>
      <c r="S281" s="7" t="str">
        <f t="shared" si="26"/>
        <v>A</v>
      </c>
      <c r="T281" s="7" t="str">
        <f t="shared" si="27"/>
        <v>사용자의 언론의 자유와 부당노동행위의 관계</v>
      </c>
    </row>
    <row r="282" spans="2:20" ht="14.45" customHeight="1" x14ac:dyDescent="0.2">
      <c r="B282" s="31" t="s">
        <v>404</v>
      </c>
      <c r="C282" s="42" t="s">
        <v>492</v>
      </c>
      <c r="D282" s="43" t="s">
        <v>1258</v>
      </c>
      <c r="E282" s="70" t="s">
        <v>66</v>
      </c>
      <c r="F282" s="46">
        <v>2</v>
      </c>
      <c r="G282" s="46" t="s">
        <v>1640</v>
      </c>
      <c r="H282" s="47" t="s">
        <v>1399</v>
      </c>
      <c r="I282" s="48" t="s">
        <v>1400</v>
      </c>
      <c r="J282" s="49">
        <v>1996</v>
      </c>
      <c r="K282" s="50" t="s">
        <v>1350</v>
      </c>
      <c r="L282" s="68"/>
      <c r="M282" s="52"/>
      <c r="N282" s="53"/>
      <c r="O282" s="51" t="str">
        <f t="shared" si="23"/>
        <v>제15장 부당노동행위-제05절 지배・개입-03</v>
      </c>
      <c r="Q282" s="7" t="str">
        <f t="shared" si="24"/>
        <v>2016-1-1-2</v>
      </c>
      <c r="R282" s="7" t="str">
        <f t="shared" si="25"/>
        <v>열기2-01.노동법\02.문제\[기출][2][2016-1-1]무효인 단체협약을 근거로 지급되던 노동조합 운영비 지급 중단의 정당성.txt</v>
      </c>
      <c r="S282" s="7" t="str">
        <f t="shared" si="26"/>
        <v>A</v>
      </c>
      <c r="T282" s="7" t="str">
        <f t="shared" si="27"/>
        <v>무효인 단체협약을 근거로 지급되던 노동조합 운영비 지급 중단의 정당성</v>
      </c>
    </row>
    <row r="283" spans="2:20" ht="14.45" customHeight="1" x14ac:dyDescent="0.2">
      <c r="B283" s="31" t="s">
        <v>404</v>
      </c>
      <c r="C283" s="42" t="s">
        <v>492</v>
      </c>
      <c r="D283" s="43" t="s">
        <v>1258</v>
      </c>
      <c r="E283" s="70" t="s">
        <v>1172</v>
      </c>
      <c r="F283" s="46">
        <v>2</v>
      </c>
      <c r="G283" s="46" t="s">
        <v>1641</v>
      </c>
      <c r="H283" s="47" t="s">
        <v>1195</v>
      </c>
      <c r="I283" s="48" t="s">
        <v>1196</v>
      </c>
      <c r="J283" s="49">
        <v>1607</v>
      </c>
      <c r="K283" s="50" t="s">
        <v>1350</v>
      </c>
      <c r="L283" s="68"/>
      <c r="M283" s="52"/>
      <c r="N283" s="53"/>
      <c r="O283" s="51" t="str">
        <f t="shared" si="23"/>
        <v>제15장 부당노동행위-제05절 지배・개입-04</v>
      </c>
      <c r="Q283" s="7" t="str">
        <f t="shared" si="24"/>
        <v>2017-2-2</v>
      </c>
      <c r="R283" s="7" t="str">
        <f t="shared" si="25"/>
        <v>열기2-01.노동법\02.문제\[기출][2][2017-2]근로시간면제한도를 현저히 초과하여 체결한 단체협약의 부당노동행위 성립 여부.txt</v>
      </c>
      <c r="S283" s="7" t="str">
        <f t="shared" si="26"/>
        <v>A</v>
      </c>
      <c r="T283" s="7" t="str">
        <f t="shared" si="27"/>
        <v>근로시간면제한도를 현저히 초과하여 체결한 단체협약의 부당노동행위 성립 여부</v>
      </c>
    </row>
    <row r="284" spans="2:20" ht="14.45" customHeight="1" x14ac:dyDescent="0.2">
      <c r="B284" s="31" t="s">
        <v>404</v>
      </c>
      <c r="C284" s="54" t="s">
        <v>492</v>
      </c>
      <c r="D284" s="55" t="s">
        <v>1258</v>
      </c>
      <c r="E284" s="97" t="s">
        <v>85</v>
      </c>
      <c r="F284" s="58">
        <v>2</v>
      </c>
      <c r="G284" s="58" t="s">
        <v>1642</v>
      </c>
      <c r="H284" s="59" t="s">
        <v>1186</v>
      </c>
      <c r="I284" s="60" t="s">
        <v>1183</v>
      </c>
      <c r="J284" s="61">
        <v>3964</v>
      </c>
      <c r="K284" s="62" t="s">
        <v>1350</v>
      </c>
      <c r="L284" s="100" t="s">
        <v>1722</v>
      </c>
      <c r="M284" s="64"/>
      <c r="N284" s="65"/>
      <c r="O284" s="63" t="str">
        <f t="shared" si="23"/>
        <v>제15장 부당노동행위-제05절 지배・개입-05</v>
      </c>
      <c r="Q284" s="7" t="str">
        <f t="shared" si="24"/>
        <v>2020-1-2-2</v>
      </c>
      <c r="R284" s="7" t="str">
        <f t="shared" si="25"/>
        <v>열기2-01.노동법\02.문제\[기출][2][2020-1-2]대체인력 투입의 지배・개입 부당노동행위 성립 여부.txt</v>
      </c>
      <c r="S284" s="7" t="str">
        <f t="shared" si="26"/>
        <v>A</v>
      </c>
      <c r="T284" s="7" t="str">
        <f t="shared" si="27"/>
        <v>대체인력 투입의 지배・개입 부당노동행위 성립 여부</v>
      </c>
    </row>
    <row r="285" spans="2:20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1638</v>
      </c>
      <c r="H285" s="36" t="s">
        <v>203</v>
      </c>
      <c r="I285" s="6" t="s">
        <v>1011</v>
      </c>
      <c r="J285" s="37">
        <v>1204</v>
      </c>
      <c r="K285" s="38" t="s">
        <v>1384</v>
      </c>
      <c r="L285" s="298"/>
      <c r="M285" s="40"/>
      <c r="N285" s="41"/>
      <c r="O285" s="39" t="str">
        <f t="shared" si="23"/>
        <v>제15장 부당노동행위-제06절 부당노동행위에 대한 구제-01</v>
      </c>
      <c r="Q285" s="7" t="str">
        <f t="shared" si="24"/>
        <v>부당노동행위-2</v>
      </c>
      <c r="R285" s="7" t="str">
        <f t="shared" si="25"/>
        <v>열기2-01.노동법\01.본문\제15장 부당노동행위.제06절 부당노동행위에 대한 구제.txt</v>
      </c>
      <c r="S285" s="7" t="str">
        <f t="shared" si="26"/>
        <v>C</v>
      </c>
      <c r="T285" s="7" t="str">
        <f t="shared" si="27"/>
        <v>부당노동행위에 대한 구제</v>
      </c>
    </row>
    <row r="286" spans="2:20" ht="14.45" customHeight="1" x14ac:dyDescent="0.2">
      <c r="B286" s="31" t="s">
        <v>404</v>
      </c>
      <c r="C286" s="102" t="s">
        <v>467</v>
      </c>
      <c r="D286" s="43" t="s">
        <v>1258</v>
      </c>
      <c r="E286" s="70" t="s">
        <v>237</v>
      </c>
      <c r="F286" s="46" t="s">
        <v>31</v>
      </c>
      <c r="G286" s="46" t="s">
        <v>1639</v>
      </c>
      <c r="H286" s="47" t="s">
        <v>1119</v>
      </c>
      <c r="I286" s="48" t="s">
        <v>1120</v>
      </c>
      <c r="J286" s="49">
        <v>2588</v>
      </c>
      <c r="K286" s="50" t="s">
        <v>1384</v>
      </c>
      <c r="L286" s="68" t="s">
        <v>1555</v>
      </c>
      <c r="M286" s="52"/>
      <c r="N286" s="53"/>
      <c r="O286" s="51" t="str">
        <f t="shared" si="23"/>
        <v>제15장 부당노동행위-제06절 부당노동행위에 대한 구제-02</v>
      </c>
      <c r="Q286" s="7" t="str">
        <f t="shared" si="24"/>
        <v>2011-2-1</v>
      </c>
      <c r="R286" s="7" t="str">
        <f t="shared" si="25"/>
        <v>열기2-01.노동법\02.문제\[기출][1][2011-2]기간제 근로자와 회사가 주장할 수 있는 해고 관련 노동법상 쟁점(해고의 절차 및 구제신청의 이익).txt</v>
      </c>
      <c r="S286" s="7" t="str">
        <f t="shared" si="26"/>
        <v>C</v>
      </c>
      <c r="T286" s="7" t="str">
        <f t="shared" si="27"/>
        <v>기간제 근로자와 회사가 주장할 수 있는 해고 관련 노동법상 쟁점(해고의 절차 및 구제신청의 이익)</v>
      </c>
    </row>
    <row r="287" spans="2:20" ht="14.45" customHeight="1" x14ac:dyDescent="0.2">
      <c r="B287" s="31" t="s">
        <v>404</v>
      </c>
      <c r="C287" s="102" t="s">
        <v>467</v>
      </c>
      <c r="D287" s="43" t="s">
        <v>1258</v>
      </c>
      <c r="E287" s="70" t="s">
        <v>1180</v>
      </c>
      <c r="F287" s="46">
        <v>2</v>
      </c>
      <c r="G287" s="46" t="s">
        <v>1640</v>
      </c>
      <c r="H287" s="47" t="s">
        <v>1344</v>
      </c>
      <c r="I287" s="48" t="s">
        <v>1197</v>
      </c>
      <c r="J287" s="49">
        <v>4082</v>
      </c>
      <c r="K287" s="50" t="s">
        <v>1384</v>
      </c>
      <c r="L287" s="68" t="s">
        <v>1714</v>
      </c>
      <c r="M287" s="52"/>
      <c r="N287" s="53"/>
      <c r="O287" s="51" t="str">
        <f t="shared" si="23"/>
        <v>제15장 부당노동행위-제06절 부당노동행위에 대한 구제-03</v>
      </c>
      <c r="Q287" s="7" t="str">
        <f t="shared" si="24"/>
        <v>2025-1-2-2</v>
      </c>
      <c r="R287" s="7" t="str">
        <f t="shared" si="25"/>
        <v>열기2-01.노동법\02.문제\[기출][2][2025-1-2]하위 인사고과 부여 및 이에 따른 임금 감액의 부당노동행위 구제신청기간 도과 여부.txt</v>
      </c>
      <c r="S287" s="7" t="str">
        <f t="shared" si="26"/>
        <v>C</v>
      </c>
      <c r="T287" s="7" t="str">
        <f t="shared" si="27"/>
        <v>하위 인사고과 부여 및 이에 따른 임금 감액의 부당노동행위 구제신청기간 도과 여부+</v>
      </c>
    </row>
    <row r="288" spans="2:20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1540</v>
      </c>
      <c r="F288" s="46" t="s">
        <v>28</v>
      </c>
      <c r="G288" s="45" t="s">
        <v>1641</v>
      </c>
      <c r="H288" s="47" t="s">
        <v>340</v>
      </c>
      <c r="I288" s="48" t="s">
        <v>1296</v>
      </c>
      <c r="J288" s="49">
        <v>4716</v>
      </c>
      <c r="K288" s="50" t="s">
        <v>1384</v>
      </c>
      <c r="L288" s="68"/>
      <c r="M288" s="52"/>
      <c r="N288" s="53"/>
      <c r="O288" s="51" t="str">
        <f t="shared" si="23"/>
        <v>제15장 부당노동행위-제06절 부당노동행위에 대한 구제-04</v>
      </c>
      <c r="Q288" s="7" t="str">
        <f t="shared" si="24"/>
        <v>대법원 2025.04.03. 선고 2023두41864, 41871 판결-2</v>
      </c>
      <c r="R288" s="7" t="str">
        <f t="shared" si="25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26"/>
        <v>C</v>
      </c>
      <c r="T288" s="7" t="str">
        <f t="shared" si="27"/>
        <v>차별적 인사고과에 대한 부당노동행위 구제신청기간의 산정기준과 방법(계속하는 행위)</v>
      </c>
    </row>
    <row r="289" spans="2:20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1541</v>
      </c>
      <c r="F289" s="78" t="s">
        <v>28</v>
      </c>
      <c r="G289" s="99" t="s">
        <v>1642</v>
      </c>
      <c r="H289" s="79" t="s">
        <v>352</v>
      </c>
      <c r="I289" s="80" t="s">
        <v>1297</v>
      </c>
      <c r="J289" s="81">
        <v>4592</v>
      </c>
      <c r="K289" s="82" t="s">
        <v>1384</v>
      </c>
      <c r="L289" s="161"/>
      <c r="M289" s="84"/>
      <c r="N289" s="85"/>
      <c r="O289" s="83" t="str">
        <f t="shared" si="23"/>
        <v>제15장 부당노동행위-제06절 부당노동행위에 대한 구제-05</v>
      </c>
      <c r="Q289" s="7" t="str">
        <f t="shared" si="24"/>
        <v>서울행정법원 2025.08.29. 선고 2024구합65959 판결-2</v>
      </c>
      <c r="R289" s="7" t="str">
        <f t="shared" si="25"/>
        <v>열기2-01.노동법\03.판례\[서울행정법원 2025.08.29. 선고 2024구합65959 판결]승진 탈락과 이로 인한 임금상 불이익의 부당노동행위.txt</v>
      </c>
      <c r="S289" s="7" t="str">
        <f t="shared" si="26"/>
        <v>C</v>
      </c>
      <c r="T289" s="7" t="str">
        <f t="shared" si="27"/>
        <v>승진 탈락과 이로 인한 임금상 불이익의 부당노동행위</v>
      </c>
    </row>
    <row r="290" spans="2:20" ht="14.45" customHeight="1" x14ac:dyDescent="0.2">
      <c r="B290" s="19" t="s">
        <v>420</v>
      </c>
      <c r="C290" s="20" t="s">
        <v>1492</v>
      </c>
      <c r="D290" s="21" t="s">
        <v>518</v>
      </c>
      <c r="E290" s="22" t="s">
        <v>160</v>
      </c>
      <c r="F290" s="23" t="s">
        <v>31</v>
      </c>
      <c r="G290" s="23" t="s">
        <v>1638</v>
      </c>
      <c r="H290" s="24" t="s">
        <v>396</v>
      </c>
      <c r="I290" s="25" t="s">
        <v>1236</v>
      </c>
      <c r="J290" s="26">
        <v>28665</v>
      </c>
      <c r="K290" s="27" t="s">
        <v>1384</v>
      </c>
      <c r="L290" s="297"/>
      <c r="M290" s="29"/>
      <c r="N290" s="30"/>
      <c r="O290" s="28" t="str">
        <f t="shared" si="23"/>
        <v>제16장 부속법령-제01절 근기법-01</v>
      </c>
      <c r="Q290" s="7" t="str">
        <f t="shared" si="24"/>
        <v>부속법령-1</v>
      </c>
      <c r="R290" s="7" t="str">
        <f t="shared" si="25"/>
        <v>열기3-01.관련법령\01.노동법1\01-1.근로기준법(법률).txt</v>
      </c>
      <c r="S290" s="7" t="str">
        <f t="shared" si="26"/>
        <v>C</v>
      </c>
      <c r="T290" s="7" t="str">
        <f t="shared" si="27"/>
        <v>근로기준법</v>
      </c>
    </row>
    <row r="291" spans="2:20" ht="14.45" customHeight="1" x14ac:dyDescent="0.2">
      <c r="B291" s="31" t="s">
        <v>420</v>
      </c>
      <c r="C291" s="162" t="s">
        <v>1493</v>
      </c>
      <c r="D291" s="163" t="s">
        <v>518</v>
      </c>
      <c r="E291" s="164" t="s">
        <v>519</v>
      </c>
      <c r="F291" s="165" t="s">
        <v>31</v>
      </c>
      <c r="G291" s="165" t="s">
        <v>1638</v>
      </c>
      <c r="H291" s="166" t="s">
        <v>520</v>
      </c>
      <c r="I291" s="167" t="s">
        <v>1040</v>
      </c>
      <c r="J291" s="168">
        <v>12360</v>
      </c>
      <c r="K291" s="169" t="s">
        <v>1384</v>
      </c>
      <c r="L291" s="303"/>
      <c r="M291" s="171"/>
      <c r="N291" s="172"/>
      <c r="O291" s="170" t="str">
        <f t="shared" si="23"/>
        <v>제16장 부속법령-제02절 파견법-01</v>
      </c>
      <c r="Q291" s="7" t="str">
        <f t="shared" si="24"/>
        <v>부속법령-1</v>
      </c>
      <c r="R291" s="7" t="str">
        <f t="shared" si="25"/>
        <v>열기3-01.관련법령\01.노동법1\07-1.파견근로자 보호 등에 관한 법률(법률).txt</v>
      </c>
      <c r="S291" s="7" t="str">
        <f t="shared" si="26"/>
        <v>C</v>
      </c>
      <c r="T291" s="7" t="str">
        <f t="shared" si="27"/>
        <v>파견근로자 보호 등에 관한 법률</v>
      </c>
    </row>
    <row r="292" spans="2:20" ht="14.45" customHeight="1" x14ac:dyDescent="0.2">
      <c r="B292" s="31" t="s">
        <v>420</v>
      </c>
      <c r="C292" s="162" t="s">
        <v>1494</v>
      </c>
      <c r="D292" s="163" t="s">
        <v>518</v>
      </c>
      <c r="E292" s="164" t="s">
        <v>160</v>
      </c>
      <c r="F292" s="165" t="s">
        <v>31</v>
      </c>
      <c r="G292" s="165" t="s">
        <v>1638</v>
      </c>
      <c r="H292" s="166" t="s">
        <v>206</v>
      </c>
      <c r="I292" s="167" t="s">
        <v>1043</v>
      </c>
      <c r="J292" s="168">
        <v>5710</v>
      </c>
      <c r="K292" s="169" t="s">
        <v>1384</v>
      </c>
      <c r="L292" s="303"/>
      <c r="M292" s="171"/>
      <c r="N292" s="172"/>
      <c r="O292" s="170" t="str">
        <f t="shared" si="23"/>
        <v>제16장 부속법령-제03절 기단법-01</v>
      </c>
      <c r="Q292" s="7" t="str">
        <f t="shared" si="24"/>
        <v>부속법령-1</v>
      </c>
      <c r="R292" s="7" t="str">
        <f t="shared" si="25"/>
        <v>열기3-01.관련법령\01.노동법1\11-1.기간제 및 단시간근로자 보호 등에 관한 법률(법률).txt</v>
      </c>
      <c r="S292" s="7" t="str">
        <f t="shared" si="26"/>
        <v>C</v>
      </c>
      <c r="T292" s="7" t="str">
        <f t="shared" si="27"/>
        <v>기간제 및 단시간근로자 보호 등에 관한 법률</v>
      </c>
    </row>
    <row r="293" spans="2:20" ht="14.45" customHeight="1" x14ac:dyDescent="0.2">
      <c r="B293" s="31" t="s">
        <v>420</v>
      </c>
      <c r="C293" s="32" t="s">
        <v>1495</v>
      </c>
      <c r="D293" s="33" t="s">
        <v>518</v>
      </c>
      <c r="E293" s="69" t="s">
        <v>160</v>
      </c>
      <c r="F293" s="35" t="s">
        <v>31</v>
      </c>
      <c r="G293" s="35" t="s">
        <v>1638</v>
      </c>
      <c r="H293" s="36" t="s">
        <v>204</v>
      </c>
      <c r="I293" s="6" t="s">
        <v>1046</v>
      </c>
      <c r="J293" s="37">
        <v>64350</v>
      </c>
      <c r="K293" s="38" t="s">
        <v>1384</v>
      </c>
      <c r="L293" s="298"/>
      <c r="M293" s="40"/>
      <c r="N293" s="41"/>
      <c r="O293" s="39" t="str">
        <f t="shared" si="23"/>
        <v>제16장 부속법령-제04절 산안법-01</v>
      </c>
      <c r="Q293" s="7" t="str">
        <f t="shared" si="24"/>
        <v>부속법령-1</v>
      </c>
      <c r="R293" s="7" t="str">
        <f t="shared" si="25"/>
        <v>열기3-01.관련법령\01.노동법1\03-1.산업안전보건법(법률).txt</v>
      </c>
      <c r="S293" s="7" t="str">
        <f t="shared" si="26"/>
        <v>C</v>
      </c>
      <c r="T293" s="7" t="str">
        <f t="shared" si="27"/>
        <v>산업안전보건법</v>
      </c>
    </row>
    <row r="294" spans="2:20" ht="14.45" customHeight="1" x14ac:dyDescent="0.2">
      <c r="B294" s="31" t="s">
        <v>420</v>
      </c>
      <c r="C294" s="42" t="s">
        <v>1495</v>
      </c>
      <c r="D294" s="43" t="s">
        <v>1258</v>
      </c>
      <c r="E294" s="70" t="s">
        <v>87</v>
      </c>
      <c r="F294" s="46" t="s">
        <v>31</v>
      </c>
      <c r="G294" s="46" t="s">
        <v>1639</v>
      </c>
      <c r="H294" s="47" t="s">
        <v>1198</v>
      </c>
      <c r="I294" s="48" t="s">
        <v>1199</v>
      </c>
      <c r="J294" s="49">
        <v>2716</v>
      </c>
      <c r="K294" s="50" t="s">
        <v>1384</v>
      </c>
      <c r="L294" s="68"/>
      <c r="M294" s="52"/>
      <c r="N294" s="53"/>
      <c r="O294" s="51" t="str">
        <f t="shared" si="23"/>
        <v>제16장 부속법령-제04절 산안법-02</v>
      </c>
      <c r="Q294" s="7" t="str">
        <f t="shared" si="24"/>
        <v>2025-2-1</v>
      </c>
      <c r="R294" s="7" t="str">
        <f t="shared" si="25"/>
        <v>열기2-01.노동법\02.문제\[기출][1][2025-2]화학물질 누출 사고에 따른 근로자 및 노동조합 위원장의 작업중지권 행사의 정당성 여부.txt</v>
      </c>
      <c r="S294" s="7" t="str">
        <f t="shared" si="26"/>
        <v>C</v>
      </c>
      <c r="T294" s="7" t="str">
        <f t="shared" si="27"/>
        <v>화학물질 누출 사고에 따른 근로자 및 노동조합 위원장의 작업중지권 행사의 정당성 여부</v>
      </c>
    </row>
    <row r="295" spans="2:20" ht="14.45" customHeight="1" x14ac:dyDescent="0.2">
      <c r="B295" s="31" t="s">
        <v>420</v>
      </c>
      <c r="C295" s="42" t="s">
        <v>1495</v>
      </c>
      <c r="D295" s="43" t="s">
        <v>308</v>
      </c>
      <c r="E295" s="73" t="s">
        <v>1542</v>
      </c>
      <c r="F295" s="46" t="s">
        <v>31</v>
      </c>
      <c r="G295" s="45" t="s">
        <v>1640</v>
      </c>
      <c r="H295" s="47" t="s">
        <v>309</v>
      </c>
      <c r="I295" s="48" t="s">
        <v>1298</v>
      </c>
      <c r="J295" s="49">
        <v>3065</v>
      </c>
      <c r="K295" s="50" t="s">
        <v>1384</v>
      </c>
      <c r="L295" s="68"/>
      <c r="M295" s="52"/>
      <c r="N295" s="53"/>
      <c r="O295" s="51" t="str">
        <f t="shared" si="23"/>
        <v>제16장 부속법령-제04절 산안법-03</v>
      </c>
      <c r="Q295" s="7" t="str">
        <f t="shared" si="24"/>
        <v>대법원 2024.11.14. 선고 2023도14674 판결-1</v>
      </c>
      <c r="R295" s="7" t="str">
        <f t="shared" si="25"/>
        <v>열기2-01.노동법\03.판례\[대법원 2024.11.14. 선고 2023도14674 판결]산업안전보건법상 건설공사발주자와 도급인의 구별 기준.txt</v>
      </c>
      <c r="S295" s="7" t="str">
        <f t="shared" si="26"/>
        <v>C</v>
      </c>
      <c r="T295" s="7" t="str">
        <f t="shared" si="27"/>
        <v>산업안전보건법상 건설공사발주자와 도급인의 구별 기준</v>
      </c>
    </row>
    <row r="296" spans="2:20" ht="14.45" customHeight="1" x14ac:dyDescent="0.2">
      <c r="B296" s="31" t="s">
        <v>420</v>
      </c>
      <c r="C296" s="54" t="s">
        <v>1495</v>
      </c>
      <c r="D296" s="55" t="s">
        <v>308</v>
      </c>
      <c r="E296" s="71" t="s">
        <v>1543</v>
      </c>
      <c r="F296" s="58" t="s">
        <v>31</v>
      </c>
      <c r="G296" s="57" t="s">
        <v>1641</v>
      </c>
      <c r="H296" s="59" t="s">
        <v>356</v>
      </c>
      <c r="I296" s="60" t="s">
        <v>1299</v>
      </c>
      <c r="J296" s="61">
        <v>3751</v>
      </c>
      <c r="K296" s="62" t="s">
        <v>1384</v>
      </c>
      <c r="L296" s="100"/>
      <c r="M296" s="64"/>
      <c r="N296" s="65"/>
      <c r="O296" s="63" t="str">
        <f t="shared" si="23"/>
        <v>제16장 부속법령-제04절 산안법-04</v>
      </c>
      <c r="Q296" s="7" t="str">
        <f t="shared" si="24"/>
        <v>대법원 2025.09.26. 선고 2025도10267 판결-1</v>
      </c>
      <c r="R296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26"/>
        <v>C</v>
      </c>
      <c r="T296" s="7" t="str">
        <f t="shared" si="27"/>
        <v>안전 의무 위반으로 인한 근로자 사망 사고에서의 산업안전보건법, 중대재해 처벌 등에 관한 법률 위반 판단</v>
      </c>
    </row>
    <row r="297" spans="2:20" ht="14.45" customHeight="1" x14ac:dyDescent="0.2">
      <c r="B297" s="31" t="s">
        <v>420</v>
      </c>
      <c r="C297" s="162" t="s">
        <v>1496</v>
      </c>
      <c r="D297" s="163" t="s">
        <v>518</v>
      </c>
      <c r="E297" s="164" t="s">
        <v>160</v>
      </c>
      <c r="F297" s="165" t="s">
        <v>31</v>
      </c>
      <c r="G297" s="165" t="s">
        <v>1638</v>
      </c>
      <c r="H297" s="166" t="s">
        <v>212</v>
      </c>
      <c r="I297" s="167" t="s">
        <v>1049</v>
      </c>
      <c r="J297" s="168">
        <v>44743</v>
      </c>
      <c r="K297" s="169" t="s">
        <v>1384</v>
      </c>
      <c r="L297" s="303"/>
      <c r="M297" s="171"/>
      <c r="N297" s="172"/>
      <c r="O297" s="170" t="str">
        <f t="shared" si="23"/>
        <v>제16장 부속법령-제05절 산재법-01</v>
      </c>
      <c r="Q297" s="7" t="str">
        <f t="shared" si="24"/>
        <v>부속법령-1</v>
      </c>
      <c r="R297" s="7" t="str">
        <f t="shared" si="25"/>
        <v>열기3-01.관련법령\04.사회보험법\03-1.산업재해보상보험법(법률).txt</v>
      </c>
      <c r="S297" s="7" t="str">
        <f t="shared" si="26"/>
        <v>C</v>
      </c>
      <c r="T297" s="7" t="str">
        <f t="shared" si="27"/>
        <v>산업재해보상보험법</v>
      </c>
    </row>
    <row r="298" spans="2:20" ht="14.45" customHeight="1" x14ac:dyDescent="0.2">
      <c r="B298" s="31" t="s">
        <v>420</v>
      </c>
      <c r="C298" s="32" t="s">
        <v>1497</v>
      </c>
      <c r="D298" s="33" t="s">
        <v>518</v>
      </c>
      <c r="E298" s="69" t="s">
        <v>160</v>
      </c>
      <c r="F298" s="35" t="s">
        <v>31</v>
      </c>
      <c r="G298" s="35" t="s">
        <v>1638</v>
      </c>
      <c r="H298" s="36" t="s">
        <v>211</v>
      </c>
      <c r="I298" s="6" t="s">
        <v>1052</v>
      </c>
      <c r="J298" s="37">
        <v>46832</v>
      </c>
      <c r="K298" s="38" t="s">
        <v>1384</v>
      </c>
      <c r="L298" s="298"/>
      <c r="M298" s="40"/>
      <c r="N298" s="41"/>
      <c r="O298" s="39" t="str">
        <f t="shared" si="23"/>
        <v>제16장 부속법령-제06절 고보법-01</v>
      </c>
      <c r="Q298" s="7" t="str">
        <f t="shared" si="24"/>
        <v>부속법령-1</v>
      </c>
      <c r="R298" s="7" t="str">
        <f t="shared" si="25"/>
        <v>열기3-01.관련법령\04.사회보험법\02-1.고용보험법(법률).txt</v>
      </c>
      <c r="S298" s="7" t="str">
        <f t="shared" si="26"/>
        <v>C</v>
      </c>
      <c r="T298" s="7" t="str">
        <f t="shared" si="27"/>
        <v>고용보험법</v>
      </c>
    </row>
    <row r="299" spans="2:20" ht="14.45" customHeight="1" x14ac:dyDescent="0.2">
      <c r="B299" s="31" t="s">
        <v>420</v>
      </c>
      <c r="C299" s="42" t="s">
        <v>1497</v>
      </c>
      <c r="D299" s="43" t="s">
        <v>1258</v>
      </c>
      <c r="E299" s="70" t="s">
        <v>89</v>
      </c>
      <c r="F299" s="46" t="s">
        <v>31</v>
      </c>
      <c r="G299" s="46" t="s">
        <v>1639</v>
      </c>
      <c r="H299" s="47" t="s">
        <v>1345</v>
      </c>
      <c r="I299" s="48" t="s">
        <v>1346</v>
      </c>
      <c r="J299" s="49">
        <v>1696</v>
      </c>
      <c r="K299" s="50" t="s">
        <v>1385</v>
      </c>
      <c r="L299" s="68"/>
      <c r="M299" s="52"/>
      <c r="N299" s="53"/>
      <c r="O299" s="51" t="str">
        <f t="shared" si="23"/>
        <v>제16장 부속법령-제06절 고보법-02</v>
      </c>
      <c r="Q299" s="7" t="str">
        <f t="shared" si="24"/>
        <v>2009-2-2-1</v>
      </c>
      <c r="R299" s="7" t="str">
        <f t="shared" si="25"/>
        <v>열기2-01.노동법\02.문제\[기출][1][2009-2-2]고용보험법상 육아휴직 급여의 의의, 지급 요건, 지급 기간 및 금액, 특례 및 기타 사항.txt</v>
      </c>
      <c r="S299" s="7" t="str">
        <f t="shared" si="26"/>
        <v>B</v>
      </c>
      <c r="T299" s="7" t="str">
        <f t="shared" si="27"/>
        <v>고용보험법상 육아휴직 급여의 의의, 지급 요건, 지급 기간 및 금액, 특례 및 기타 사항</v>
      </c>
    </row>
    <row r="300" spans="2:20" ht="14.45" customHeight="1" x14ac:dyDescent="0.2">
      <c r="B300" s="31" t="s">
        <v>420</v>
      </c>
      <c r="C300" s="54" t="s">
        <v>1497</v>
      </c>
      <c r="D300" s="55" t="s">
        <v>308</v>
      </c>
      <c r="E300" s="71" t="s">
        <v>1544</v>
      </c>
      <c r="F300" s="58" t="s">
        <v>31</v>
      </c>
      <c r="G300" s="57" t="s">
        <v>1640</v>
      </c>
      <c r="H300" s="59" t="s">
        <v>338</v>
      </c>
      <c r="I300" s="60" t="s">
        <v>1300</v>
      </c>
      <c r="J300" s="61">
        <v>3174</v>
      </c>
      <c r="K300" s="62" t="s">
        <v>1385</v>
      </c>
      <c r="L300" s="100"/>
      <c r="M300" s="64"/>
      <c r="N300" s="65"/>
      <c r="O300" s="63" t="str">
        <f t="shared" si="23"/>
        <v>제16장 부속법령-제06절 고보법-03</v>
      </c>
      <c r="Q300" s="7" t="str">
        <f t="shared" si="24"/>
        <v>헌법재판소 2025.04.10. 선고 2021헌마1362 결정-1</v>
      </c>
      <c r="R300" s="7" t="str">
        <f t="shared" si="25"/>
        <v>열기2-01.노동법\03.판례\[헌법재판소 2025.04.10. 선고 2021헌마1362 결정]육아휴직급여 사후지급금 제도(고보법 시행령) 위헌 여부.txt</v>
      </c>
      <c r="S300" s="7" t="str">
        <f t="shared" si="26"/>
        <v>B</v>
      </c>
      <c r="T300" s="7" t="str">
        <f t="shared" si="27"/>
        <v>육아휴직급여 사후지급금 제도(고보법 시행령) 위헌 여부</v>
      </c>
    </row>
    <row r="301" spans="2:20" ht="14.45" customHeight="1" x14ac:dyDescent="0.2">
      <c r="B301" s="31" t="s">
        <v>420</v>
      </c>
      <c r="C301" s="162" t="s">
        <v>1498</v>
      </c>
      <c r="D301" s="163" t="s">
        <v>518</v>
      </c>
      <c r="E301" s="164" t="s">
        <v>160</v>
      </c>
      <c r="F301" s="165" t="s">
        <v>28</v>
      </c>
      <c r="G301" s="165" t="s">
        <v>1638</v>
      </c>
      <c r="H301" s="166" t="s">
        <v>397</v>
      </c>
      <c r="I301" s="167" t="s">
        <v>1055</v>
      </c>
      <c r="J301" s="168">
        <v>21870</v>
      </c>
      <c r="K301" s="169" t="s">
        <v>1384</v>
      </c>
      <c r="L301" s="303"/>
      <c r="M301" s="171"/>
      <c r="N301" s="172"/>
      <c r="O301" s="170" t="str">
        <f t="shared" si="23"/>
        <v>제16장 부속법령-제07절 노조법-01</v>
      </c>
      <c r="Q301" s="7" t="str">
        <f t="shared" si="24"/>
        <v>부속법령-2</v>
      </c>
      <c r="R301" s="7" t="str">
        <f t="shared" si="25"/>
        <v>열기3-01.관련법령\02.노동법2\01-1.노동조합 및 노동관계조정법(법률).txt</v>
      </c>
      <c r="S301" s="7" t="str">
        <f t="shared" si="26"/>
        <v>C</v>
      </c>
      <c r="T301" s="7" t="str">
        <f t="shared" si="27"/>
        <v>노동조합 및 노동관계조정법</v>
      </c>
    </row>
    <row r="302" spans="2:20" ht="14.45" customHeight="1" x14ac:dyDescent="0.2">
      <c r="B302" s="31" t="s">
        <v>420</v>
      </c>
      <c r="C302" s="162" t="s">
        <v>1499</v>
      </c>
      <c r="D302" s="163" t="s">
        <v>518</v>
      </c>
      <c r="E302" s="164" t="s">
        <v>160</v>
      </c>
      <c r="F302" s="165" t="s">
        <v>28</v>
      </c>
      <c r="G302" s="165" t="s">
        <v>1639</v>
      </c>
      <c r="H302" s="166" t="s">
        <v>208</v>
      </c>
      <c r="I302" s="167" t="s">
        <v>1058</v>
      </c>
      <c r="J302" s="168">
        <v>4918</v>
      </c>
      <c r="K302" s="169" t="s">
        <v>1384</v>
      </c>
      <c r="L302" s="303"/>
      <c r="M302" s="171"/>
      <c r="N302" s="172"/>
      <c r="O302" s="170" t="str">
        <f t="shared" si="23"/>
        <v>제16장 부속법령-제08절 근참법-02</v>
      </c>
      <c r="Q302" s="7" t="str">
        <f t="shared" si="24"/>
        <v>부속법령-2</v>
      </c>
      <c r="R302" s="7" t="str">
        <f t="shared" si="25"/>
        <v>열기3-01.관련법령\02.노동법2\03-1.근로자참여 및 협력증진에 관한 법률(법률).txt</v>
      </c>
      <c r="S302" s="7" t="str">
        <f t="shared" si="26"/>
        <v>C</v>
      </c>
      <c r="T302" s="7" t="str">
        <f t="shared" si="27"/>
        <v>근로자참여 및 협력증진에 관한 법률</v>
      </c>
    </row>
    <row r="303" spans="2:20" ht="14.45" customHeight="1" x14ac:dyDescent="0.2">
      <c r="B303" s="31" t="s">
        <v>420</v>
      </c>
      <c r="C303" s="32" t="s">
        <v>1500</v>
      </c>
      <c r="D303" s="33" t="s">
        <v>518</v>
      </c>
      <c r="E303" s="69" t="s">
        <v>160</v>
      </c>
      <c r="F303" s="35" t="s">
        <v>28</v>
      </c>
      <c r="G303" s="35" t="s">
        <v>1638</v>
      </c>
      <c r="H303" s="36" t="s">
        <v>207</v>
      </c>
      <c r="I303" s="6" t="s">
        <v>1061</v>
      </c>
      <c r="J303" s="37">
        <v>11248</v>
      </c>
      <c r="K303" s="38" t="s">
        <v>1384</v>
      </c>
      <c r="L303" s="298"/>
      <c r="M303" s="40"/>
      <c r="N303" s="41"/>
      <c r="O303" s="39" t="str">
        <f t="shared" si="23"/>
        <v>제16장 부속법령-제09절 노위법-01</v>
      </c>
      <c r="Q303" s="7" t="str">
        <f t="shared" si="24"/>
        <v>부속법령-2</v>
      </c>
      <c r="R303" s="7" t="str">
        <f t="shared" si="25"/>
        <v>열기3-01.관련법령\02.노동법2\02-1.노동위원회법(법률).txt</v>
      </c>
      <c r="S303" s="7" t="str">
        <f t="shared" si="26"/>
        <v>C</v>
      </c>
      <c r="T303" s="7" t="str">
        <f t="shared" si="27"/>
        <v>노동위원회법</v>
      </c>
    </row>
    <row r="304" spans="2:20" ht="14.45" customHeight="1" x14ac:dyDescent="0.2">
      <c r="B304" s="31" t="s">
        <v>420</v>
      </c>
      <c r="C304" s="54" t="s">
        <v>1500</v>
      </c>
      <c r="D304" s="55" t="s">
        <v>1258</v>
      </c>
      <c r="E304" s="97" t="s">
        <v>95</v>
      </c>
      <c r="F304" s="58">
        <v>2</v>
      </c>
      <c r="G304" s="58" t="s">
        <v>1639</v>
      </c>
      <c r="H304" s="59" t="s">
        <v>1347</v>
      </c>
      <c r="I304" s="60" t="s">
        <v>1348</v>
      </c>
      <c r="J304" s="61">
        <v>1491</v>
      </c>
      <c r="K304" s="62" t="s">
        <v>1384</v>
      </c>
      <c r="L304" s="100"/>
      <c r="M304" s="64"/>
      <c r="N304" s="65"/>
      <c r="O304" s="63" t="str">
        <f t="shared" si="23"/>
        <v>제16장 부속법령-제09절 노위법-02</v>
      </c>
      <c r="Q304" s="7" t="str">
        <f t="shared" si="24"/>
        <v>2008-3-2</v>
      </c>
      <c r="R304" s="7" t="str">
        <f t="shared" si="25"/>
        <v>열기2-01.노동법\02.문제\[기출][2][2008-3]노동위원회의 관할(사건 관할, 지역 관할).txt</v>
      </c>
      <c r="S304" s="7" t="str">
        <f t="shared" si="26"/>
        <v>C</v>
      </c>
      <c r="T304" s="7" t="str">
        <f t="shared" si="27"/>
        <v>노동위원회의 관할(사건 관할, 지역 관할)</v>
      </c>
    </row>
    <row r="305" spans="2:20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1638</v>
      </c>
      <c r="H305" s="166" t="s">
        <v>210</v>
      </c>
      <c r="I305" s="167" t="s">
        <v>1064</v>
      </c>
      <c r="J305" s="168">
        <v>5863</v>
      </c>
      <c r="K305" s="169" t="s">
        <v>1384</v>
      </c>
      <c r="L305" s="303"/>
      <c r="M305" s="171"/>
      <c r="N305" s="172"/>
      <c r="O305" s="170" t="str">
        <f t="shared" si="23"/>
        <v>제16장 부속법령-제10절 공노법-01</v>
      </c>
      <c r="Q305" s="7" t="str">
        <f t="shared" si="24"/>
        <v>부속법령-2</v>
      </c>
      <c r="R305" s="7" t="str">
        <f t="shared" si="25"/>
        <v>열기3-01.관련법령\02.노동법2\05-1.공무원의 노동조합 설립 및 운영 등에 관한 법률(법률).txt</v>
      </c>
      <c r="S305" s="7" t="str">
        <f t="shared" si="26"/>
        <v>C</v>
      </c>
      <c r="T305" s="7" t="str">
        <f t="shared" si="27"/>
        <v>공무원의 노동조합 설립 및 운영 등에 관한 법률</v>
      </c>
    </row>
    <row r="306" spans="2:20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1638</v>
      </c>
      <c r="H306" s="36" t="s">
        <v>209</v>
      </c>
      <c r="I306" s="6" t="s">
        <v>1067</v>
      </c>
      <c r="J306" s="37">
        <v>5026</v>
      </c>
      <c r="K306" s="38" t="s">
        <v>1384</v>
      </c>
      <c r="L306" s="298"/>
      <c r="M306" s="40"/>
      <c r="N306" s="41"/>
      <c r="O306" s="39" t="str">
        <f t="shared" si="23"/>
        <v>제16장 부속법령-제11절 교노법-01</v>
      </c>
      <c r="Q306" s="7" t="str">
        <f t="shared" si="24"/>
        <v>부속법령-2</v>
      </c>
      <c r="R306" s="7" t="str">
        <f t="shared" si="25"/>
        <v>열기3-01.관련법령\02.노동법2\04-1.교원의 노동조합 설립 및 운영 등에 관한 법률(법률).txt</v>
      </c>
      <c r="S306" s="7" t="str">
        <f t="shared" si="26"/>
        <v>C</v>
      </c>
      <c r="T306" s="7" t="str">
        <f t="shared" si="27"/>
        <v>교원의 노동조합 설립 및 운영 등에 관한 법률</v>
      </c>
    </row>
    <row r="307" spans="2:20" ht="14.45" customHeight="1" x14ac:dyDescent="0.2">
      <c r="B307" s="31" t="s">
        <v>420</v>
      </c>
      <c r="C307" s="54" t="s">
        <v>589</v>
      </c>
      <c r="D307" s="55" t="s">
        <v>1258</v>
      </c>
      <c r="E307" s="97" t="s">
        <v>87</v>
      </c>
      <c r="F307" s="58">
        <v>2</v>
      </c>
      <c r="G307" s="58" t="s">
        <v>1639</v>
      </c>
      <c r="H307" s="59" t="s">
        <v>1401</v>
      </c>
      <c r="I307" s="60" t="s">
        <v>1402</v>
      </c>
      <c r="J307" s="61">
        <v>3510</v>
      </c>
      <c r="K307" s="62" t="s">
        <v>1384</v>
      </c>
      <c r="L307" s="100" t="s">
        <v>1862</v>
      </c>
      <c r="M307" s="64"/>
      <c r="N307" s="65"/>
      <c r="O307" s="63" t="str">
        <f t="shared" si="23"/>
        <v>제16장 부속법령-제11절 교노법-02</v>
      </c>
      <c r="Q307" s="7" t="str">
        <f t="shared" si="24"/>
        <v>2025-2-2</v>
      </c>
      <c r="R307" s="7" t="str">
        <f t="shared" si="25"/>
        <v>열기2-01.노동법\02.문제\[기출][2][2025-2]중재재정 조항의 교원노조법상 단체교섭 대상 여부.txt</v>
      </c>
      <c r="S307" s="7" t="str">
        <f t="shared" si="26"/>
        <v>C</v>
      </c>
      <c r="T307" s="7" t="str">
        <f t="shared" si="27"/>
        <v>중재재정 조항의 교원노조법상 단체교섭 대상 여부</v>
      </c>
    </row>
    <row r="308" spans="2:20" ht="14.45" customHeight="1" x14ac:dyDescent="0.2">
      <c r="B308" s="31" t="s">
        <v>420</v>
      </c>
      <c r="C308" s="173" t="s">
        <v>1406</v>
      </c>
      <c r="D308" s="151" t="s">
        <v>518</v>
      </c>
      <c r="E308" s="174" t="s">
        <v>160</v>
      </c>
      <c r="F308" s="153" t="s">
        <v>31</v>
      </c>
      <c r="G308" s="153" t="s">
        <v>1638</v>
      </c>
      <c r="H308" s="175" t="s">
        <v>205</v>
      </c>
      <c r="I308" s="155" t="s">
        <v>1070</v>
      </c>
      <c r="J308" s="150">
        <v>23704</v>
      </c>
      <c r="K308" s="156" t="s">
        <v>1384</v>
      </c>
      <c r="L308" s="302"/>
      <c r="M308" s="158"/>
      <c r="N308" s="159"/>
      <c r="O308" s="157" t="str">
        <f t="shared" si="23"/>
        <v>제16장 부속법령-제12절 근퇴법-01</v>
      </c>
      <c r="Q308" s="7" t="str">
        <f t="shared" si="24"/>
        <v>부속법령-1</v>
      </c>
      <c r="R308" s="7" t="str">
        <f t="shared" si="25"/>
        <v>열기3-01.관련법령\01.노동법1\10-1.근로자퇴직급여 보장법(법률).txt</v>
      </c>
      <c r="S308" s="7" t="str">
        <f t="shared" si="26"/>
        <v>C</v>
      </c>
      <c r="T308" s="7" t="str">
        <f t="shared" si="27"/>
        <v>근로자퇴직급여 보장법</v>
      </c>
    </row>
    <row r="309" spans="2:20" ht="14.45" customHeight="1" x14ac:dyDescent="0.2">
      <c r="B309" s="31" t="s">
        <v>420</v>
      </c>
      <c r="C309" s="176" t="s">
        <v>1406</v>
      </c>
      <c r="D309" s="43" t="s">
        <v>1258</v>
      </c>
      <c r="E309" s="70" t="s">
        <v>88</v>
      </c>
      <c r="F309" s="46" t="s">
        <v>31</v>
      </c>
      <c r="G309" s="46" t="s">
        <v>1639</v>
      </c>
      <c r="H309" s="47" t="s">
        <v>1200</v>
      </c>
      <c r="I309" s="48" t="s">
        <v>1201</v>
      </c>
      <c r="J309" s="49">
        <v>1577</v>
      </c>
      <c r="K309" s="50" t="s">
        <v>1384</v>
      </c>
      <c r="L309" s="68" t="s">
        <v>1762</v>
      </c>
      <c r="M309" s="52"/>
      <c r="N309" s="53"/>
      <c r="O309" s="51" t="str">
        <f t="shared" si="23"/>
        <v>제16장 부속법령-제12절 근퇴법-02</v>
      </c>
      <c r="Q309" s="7" t="str">
        <f t="shared" si="24"/>
        <v>2017-1-2-1</v>
      </c>
      <c r="R309" s="7" t="str">
        <f t="shared" si="25"/>
        <v>열기2-01.노동법\02.문제\[기출][1][2017-1-2]매월 균분하여 지급받은 퇴직금 분할 약정의 효력.txt</v>
      </c>
      <c r="S309" s="7" t="str">
        <f t="shared" si="26"/>
        <v>C</v>
      </c>
      <c r="T309" s="7" t="str">
        <f t="shared" si="27"/>
        <v>매월 균분하여 지급받은 퇴직금 분할 약정의 효력</v>
      </c>
    </row>
    <row r="310" spans="2:20" ht="14.45" customHeight="1" thickBot="1" x14ac:dyDescent="0.25">
      <c r="B310" s="74" t="s">
        <v>420</v>
      </c>
      <c r="C310" s="177" t="s">
        <v>1406</v>
      </c>
      <c r="D310" s="76" t="s">
        <v>308</v>
      </c>
      <c r="E310" s="98" t="s">
        <v>1545</v>
      </c>
      <c r="F310" s="78" t="s">
        <v>31</v>
      </c>
      <c r="G310" s="99" t="s">
        <v>1640</v>
      </c>
      <c r="H310" s="79" t="s">
        <v>335</v>
      </c>
      <c r="I310" s="80" t="s">
        <v>1301</v>
      </c>
      <c r="J310" s="81">
        <v>4412</v>
      </c>
      <c r="K310" s="82" t="s">
        <v>1384</v>
      </c>
      <c r="L310" s="161"/>
      <c r="M310" s="84"/>
      <c r="N310" s="85"/>
      <c r="O310" s="83" t="str">
        <f t="shared" si="23"/>
        <v>제16장 부속법령-제12절 근퇴법-03</v>
      </c>
      <c r="Q310" s="7" t="str">
        <f t="shared" si="24"/>
        <v>서울고등법원(춘천재판부) 2024.12.12. 선고 2024나1090 판결-1</v>
      </c>
      <c r="R310" s="7" t="str">
        <f t="shared" si="25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26"/>
        <v>C</v>
      </c>
      <c r="T310" s="7" t="str">
        <f t="shared" si="27"/>
        <v>직접 고용된 파견근로자의 퇴직금 기산일에 관한 합의의 법적 성격과 효력</v>
      </c>
    </row>
  </sheetData>
  <autoFilter ref="B3:T310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T174"/>
  <sheetViews>
    <sheetView showGridLines="0" tabSelected="1" workbookViewId="0">
      <pane ySplit="3" topLeftCell="A26" activePane="bottomLeft" state="frozen"/>
      <selection pane="bottomLeft" activeCell="I79" sqref="I79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27.7109375" style="180" customWidth="1"/>
    <col min="15" max="18" width="6.7109375" style="180" customWidth="1"/>
    <col min="19" max="19" width="1.7109375" style="180" customWidth="1"/>
    <col min="20" max="16384" width="9.140625" style="180"/>
  </cols>
  <sheetData>
    <row r="2" spans="1:20" ht="14.45" customHeight="1" x14ac:dyDescent="0.2">
      <c r="B2" s="181" t="s">
        <v>405</v>
      </c>
      <c r="C2" s="182" t="s">
        <v>406</v>
      </c>
      <c r="D2" s="375" t="s">
        <v>407</v>
      </c>
      <c r="E2" s="376"/>
      <c r="F2" s="377"/>
      <c r="G2" s="378" t="s">
        <v>3</v>
      </c>
      <c r="H2" s="379"/>
      <c r="I2" s="379"/>
      <c r="J2" s="380"/>
      <c r="K2" s="183" t="s">
        <v>408</v>
      </c>
      <c r="L2" s="183" t="s">
        <v>1231</v>
      </c>
      <c r="M2" s="183" t="s">
        <v>1235</v>
      </c>
      <c r="N2" s="183" t="s">
        <v>409</v>
      </c>
      <c r="O2" s="378" t="s">
        <v>476</v>
      </c>
      <c r="P2" s="379"/>
      <c r="Q2" s="379"/>
      <c r="R2" s="379"/>
    </row>
    <row r="3" spans="1:20" ht="14.45" customHeight="1" x14ac:dyDescent="0.2">
      <c r="B3" s="184"/>
      <c r="C3" s="185"/>
      <c r="D3" s="311"/>
      <c r="E3" s="310" t="s">
        <v>1758</v>
      </c>
      <c r="F3" s="306"/>
      <c r="G3" s="378" t="s">
        <v>0</v>
      </c>
      <c r="H3" s="380"/>
      <c r="I3" s="378" t="s">
        <v>1</v>
      </c>
      <c r="J3" s="380"/>
      <c r="K3" s="184"/>
      <c r="L3" s="186"/>
      <c r="M3" s="186"/>
      <c r="N3" s="184"/>
      <c r="O3" s="187" t="s">
        <v>1302</v>
      </c>
      <c r="P3" s="187" t="s">
        <v>1728</v>
      </c>
      <c r="Q3" s="187" t="s">
        <v>410</v>
      </c>
      <c r="R3" s="187" t="s">
        <v>411</v>
      </c>
      <c r="T3" s="180" t="s">
        <v>1759</v>
      </c>
    </row>
    <row r="4" spans="1:20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479</v>
      </c>
      <c r="H4" s="190" t="s">
        <v>469</v>
      </c>
      <c r="I4" s="352" t="s">
        <v>1457</v>
      </c>
      <c r="J4" s="190" t="s">
        <v>415</v>
      </c>
      <c r="K4" s="191" t="s">
        <v>1865</v>
      </c>
      <c r="L4" s="192" t="str">
        <f>VLOOKUP(T4,통합목록!$Q$4:$T$310,2,0)</f>
        <v>열기2-01.노동법\02.문제\[모의][2][15.03-1]유니온 숍 조항의 성립 요건 및 소수 노조 조합원에 대한 효력 범위.txt</v>
      </c>
      <c r="M4" s="192" t="s">
        <v>1650</v>
      </c>
      <c r="N4" s="193"/>
      <c r="O4" s="192" t="str">
        <f t="shared" ref="O4:O35" si="1">G4&amp;"&gt;"&amp;H4&amp;"&gt;"&amp;D4&amp;"&gt;"&amp;N4</f>
        <v>제15장 부당노동행위&gt;13&gt;1&gt;</v>
      </c>
      <c r="P4" s="192" t="str">
        <f t="shared" ref="P4:P35" si="2">G4&amp;"&gt;"&amp;I4&amp;"&gt;"&amp;J4</f>
        <v>제15장 부당노동행위&gt;제03절 반조합계약(비열계약, 황견계약)&gt;01</v>
      </c>
      <c r="Q4" s="192" t="str">
        <f t="shared" ref="Q4:Q35" si="3">E4&amp;"&gt;"&amp;M4&amp;"&gt;"&amp;C4&amp;"&gt;"&amp;F4</f>
        <v>2&gt;모의&gt;15.03&gt;2</v>
      </c>
      <c r="R4" s="192" t="str">
        <f t="shared" ref="R4:R35" si="4">E4&amp;"&gt;"&amp;M4&amp;"&gt;"&amp;C4&amp;"&gt;"&amp;D4</f>
        <v>2&gt;모의&gt;15.03&gt;1</v>
      </c>
      <c r="S4" s="180"/>
      <c r="T4" s="3" t="str">
        <f t="shared" ref="T4:T35" si="5">C4&amp;"-"&amp;D4&amp;"-"&amp;E4</f>
        <v>15.03-1-2</v>
      </c>
    </row>
    <row r="5" spans="1:20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479</v>
      </c>
      <c r="H5" s="190" t="s">
        <v>472</v>
      </c>
      <c r="I5" s="352" t="s">
        <v>1457</v>
      </c>
      <c r="J5" s="190" t="s">
        <v>417</v>
      </c>
      <c r="K5" s="191" t="s">
        <v>1866</v>
      </c>
      <c r="L5" s="192" t="str">
        <f>VLOOKUP(T5,통합목록!$Q$4:$T$310,2,0)</f>
        <v>열기2-01.노동법\02.문제\[모의][2][15.03-2]탈퇴 후 신규 노조 설립 준비 중인 근로자에 대한 해고의 부당노동행위 및 부당해고 해당 여부.txt</v>
      </c>
      <c r="M5" s="192" t="s">
        <v>1650</v>
      </c>
      <c r="N5" s="193"/>
      <c r="O5" s="192" t="str">
        <f t="shared" si="1"/>
        <v>제15장 부당노동행위&gt;14&gt;2&gt;</v>
      </c>
      <c r="P5" s="192" t="str">
        <f t="shared" si="2"/>
        <v>제15장 부당노동행위&gt;제03절 반조합계약(비열계약, 황견계약)&gt;02</v>
      </c>
      <c r="Q5" s="192" t="str">
        <f t="shared" si="3"/>
        <v>2&gt;모의&gt;15.03&gt;1</v>
      </c>
      <c r="R5" s="192" t="str">
        <f t="shared" si="4"/>
        <v>2&gt;모의&gt;15.03&gt;2</v>
      </c>
      <c r="S5" s="180"/>
      <c r="T5" s="3" t="str">
        <f t="shared" si="5"/>
        <v>15.03-2-2</v>
      </c>
    </row>
    <row r="6" spans="1:20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485</v>
      </c>
      <c r="H6" s="190" t="s">
        <v>510</v>
      </c>
      <c r="I6" s="352" t="s">
        <v>1456</v>
      </c>
      <c r="J6" s="190" t="s">
        <v>415</v>
      </c>
      <c r="K6" s="191" t="s">
        <v>1867</v>
      </c>
      <c r="L6" s="192" t="str">
        <f>VLOOKUP(T6,통합목록!$Q$4:$T$310,2,0)</f>
        <v>열기2-01.노동법\02.문제\[모의][2][14.09-1]안전보호시설의 정의와 쟁의행위 제한 취지 및 중앙제어실 파업 동참 행위의 정당성 여부.txt</v>
      </c>
      <c r="M6" s="192" t="s">
        <v>1650</v>
      </c>
      <c r="N6" s="193"/>
      <c r="O6" s="192" t="str">
        <f t="shared" si="1"/>
        <v>제14장 쟁의행위&gt;23&gt;1&gt;</v>
      </c>
      <c r="P6" s="192" t="str">
        <f t="shared" si="2"/>
        <v>제14장 쟁의행위&gt;제09절 안전보호시설과 필수유지업무&gt;01</v>
      </c>
      <c r="Q6" s="192" t="str">
        <f t="shared" si="3"/>
        <v>2&gt;모의&gt;14.09&gt;2</v>
      </c>
      <c r="R6" s="192" t="str">
        <f t="shared" si="4"/>
        <v>2&gt;모의&gt;14.09&gt;1</v>
      </c>
      <c r="S6" s="180"/>
      <c r="T6" s="3" t="str">
        <f t="shared" si="5"/>
        <v>14.09-1-2</v>
      </c>
    </row>
    <row r="7" spans="1:20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485</v>
      </c>
      <c r="H7" s="190" t="s">
        <v>511</v>
      </c>
      <c r="I7" s="352" t="s">
        <v>1456</v>
      </c>
      <c r="J7" s="190" t="s">
        <v>417</v>
      </c>
      <c r="K7" s="191" t="s">
        <v>1868</v>
      </c>
      <c r="L7" s="192" t="str">
        <f>VLOOKUP(T7,통합목록!$Q$4:$T$310,2,0)</f>
        <v>열기2-01.노동법\02.문제\[모의][2][14.09-2]필수유지업무 제도의 적용 범위・절차 및 일반 사업장에서의 사용자 일방 지정 가능성.txt</v>
      </c>
      <c r="M7" s="192" t="s">
        <v>1650</v>
      </c>
      <c r="N7" s="193"/>
      <c r="O7" s="192" t="str">
        <f t="shared" si="1"/>
        <v>제14장 쟁의행위&gt;24&gt;2&gt;</v>
      </c>
      <c r="P7" s="192" t="str">
        <f t="shared" si="2"/>
        <v>제14장 쟁의행위&gt;제09절 안전보호시설과 필수유지업무&gt;02</v>
      </c>
      <c r="Q7" s="192" t="str">
        <f t="shared" si="3"/>
        <v>2&gt;모의&gt;14.09&gt;1</v>
      </c>
      <c r="R7" s="192" t="str">
        <f t="shared" si="4"/>
        <v>2&gt;모의&gt;14.09&gt;2</v>
      </c>
      <c r="S7" s="180"/>
      <c r="T7" s="3" t="str">
        <f t="shared" si="5"/>
        <v>14.09-2-2</v>
      </c>
    </row>
    <row r="8" spans="1:20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485</v>
      </c>
      <c r="H8" s="190" t="s">
        <v>512</v>
      </c>
      <c r="I8" s="352" t="s">
        <v>1455</v>
      </c>
      <c r="J8" s="190" t="s">
        <v>415</v>
      </c>
      <c r="K8" s="191" t="s">
        <v>1869</v>
      </c>
      <c r="L8" s="192" t="str">
        <f>VLOOKUP(T8,통합목록!$Q$4:$T$310,2,0)</f>
        <v>열기2-01.노동법\02.문제\[모의][2][14.08-1]정당한 쟁의행위 기간 중 가족수당 및 근속수당 지급 의무 여부(무노동 무임금 원칙 적용 범위).txt</v>
      </c>
      <c r="M8" s="192" t="s">
        <v>1650</v>
      </c>
      <c r="N8" s="193"/>
      <c r="O8" s="192" t="str">
        <f t="shared" si="1"/>
        <v>제14장 쟁의행위&gt;21&gt;1&gt;</v>
      </c>
      <c r="P8" s="192" t="str">
        <f t="shared" si="2"/>
        <v>제14장 쟁의행위&gt;제08절 쟁의행위와 노사당사자 간의 법률관계&gt;01</v>
      </c>
      <c r="Q8" s="192" t="str">
        <f t="shared" si="3"/>
        <v>2&gt;모의&gt;14.08&gt;2</v>
      </c>
      <c r="R8" s="192" t="str">
        <f t="shared" si="4"/>
        <v>2&gt;모의&gt;14.08&gt;1</v>
      </c>
      <c r="S8" s="180"/>
      <c r="T8" s="3" t="str">
        <f t="shared" si="5"/>
        <v>14.08-1-2</v>
      </c>
    </row>
    <row r="9" spans="1:20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485</v>
      </c>
      <c r="H9" s="190" t="s">
        <v>513</v>
      </c>
      <c r="I9" s="352" t="s">
        <v>1455</v>
      </c>
      <c r="J9" s="190" t="s">
        <v>417</v>
      </c>
      <c r="K9" s="191" t="s">
        <v>1870</v>
      </c>
      <c r="L9" s="192" t="str">
        <f>VLOOKUP(T9,통합목록!$Q$4:$T$310,2,0)</f>
        <v>열기2-01.노동법\02.문제\[모의][2][14.08-2]쟁의행위 및 징계(정직) 기간의 연차휴가 산정 시 출근지수 처리 방식.txt</v>
      </c>
      <c r="M9" s="192" t="s">
        <v>1650</v>
      </c>
      <c r="N9" s="193"/>
      <c r="O9" s="192" t="str">
        <f t="shared" si="1"/>
        <v>제14장 쟁의행위&gt;22&gt;2&gt;</v>
      </c>
      <c r="P9" s="192" t="str">
        <f t="shared" si="2"/>
        <v>제14장 쟁의행위&gt;제08절 쟁의행위와 노사당사자 간의 법률관계&gt;02</v>
      </c>
      <c r="Q9" s="192" t="str">
        <f t="shared" si="3"/>
        <v>2&gt;모의&gt;14.08&gt;1</v>
      </c>
      <c r="R9" s="192" t="str">
        <f t="shared" si="4"/>
        <v>2&gt;모의&gt;14.08&gt;2</v>
      </c>
      <c r="S9" s="180"/>
      <c r="T9" s="3" t="str">
        <f t="shared" si="5"/>
        <v>14.08-2-2</v>
      </c>
    </row>
    <row r="10" spans="1:20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485</v>
      </c>
      <c r="H10" s="190" t="s">
        <v>514</v>
      </c>
      <c r="I10" s="352" t="s">
        <v>1454</v>
      </c>
      <c r="J10" s="190" t="s">
        <v>415</v>
      </c>
      <c r="K10" s="191" t="s">
        <v>1871</v>
      </c>
      <c r="L10" s="192" t="str">
        <f>VLOOKUP(T10,통합목록!$Q$4:$T$310,2,0)</f>
        <v>열기2-01.노동법\02.문제\[모의][2][14.07-1]쟁의행위의 정당성 결여 판단 및 민사상 손해배상 책임의 주체와 책임의 성질.txt</v>
      </c>
      <c r="M10" s="192" t="s">
        <v>1650</v>
      </c>
      <c r="N10" s="193"/>
      <c r="O10" s="192" t="str">
        <f t="shared" si="1"/>
        <v>제14장 쟁의행위&gt;19&gt;1&gt;</v>
      </c>
      <c r="P10" s="192" t="str">
        <f t="shared" si="2"/>
        <v>제14장 쟁의행위&gt;제07절 불법쟁의행위와 법적 책임&gt;01</v>
      </c>
      <c r="Q10" s="192" t="str">
        <f t="shared" si="3"/>
        <v>2&gt;모의&gt;14.07&gt;2</v>
      </c>
      <c r="R10" s="192" t="str">
        <f t="shared" si="4"/>
        <v>2&gt;모의&gt;14.07&gt;1</v>
      </c>
      <c r="S10" s="180"/>
      <c r="T10" s="3" t="str">
        <f t="shared" si="5"/>
        <v>14.07-1-2</v>
      </c>
    </row>
    <row r="11" spans="1:20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485</v>
      </c>
      <c r="H11" s="190" t="s">
        <v>515</v>
      </c>
      <c r="I11" s="352" t="s">
        <v>1454</v>
      </c>
      <c r="J11" s="190" t="s">
        <v>417</v>
      </c>
      <c r="K11" s="191" t="s">
        <v>1872</v>
      </c>
      <c r="L11" s="192" t="str">
        <f>VLOOKUP(T11,통합목록!$Q$4:$T$310,2,0)</f>
        <v>열기2-01.노동법\02.문제\[모의][2][14.07-2]책임 제한의 개별화 원칙 적용 여부와 구체적인 판단 기준.txt</v>
      </c>
      <c r="M11" s="192" t="s">
        <v>1650</v>
      </c>
      <c r="N11" s="193"/>
      <c r="O11" s="192" t="str">
        <f t="shared" si="1"/>
        <v>제14장 쟁의행위&gt;20&gt;2&gt;</v>
      </c>
      <c r="P11" s="192" t="str">
        <f t="shared" si="2"/>
        <v>제14장 쟁의행위&gt;제07절 불법쟁의행위와 법적 책임&gt;02</v>
      </c>
      <c r="Q11" s="192" t="str">
        <f t="shared" si="3"/>
        <v>2&gt;모의&gt;14.07&gt;1</v>
      </c>
      <c r="R11" s="192" t="str">
        <f t="shared" si="4"/>
        <v>2&gt;모의&gt;14.07&gt;2</v>
      </c>
      <c r="S11" s="180"/>
      <c r="T11" s="3" t="str">
        <f t="shared" si="5"/>
        <v>14.07-2-2</v>
      </c>
    </row>
    <row r="12" spans="1:20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488</v>
      </c>
      <c r="H12" s="190" t="s">
        <v>469</v>
      </c>
      <c r="I12" s="352" t="s">
        <v>1452</v>
      </c>
      <c r="J12" s="190" t="s">
        <v>415</v>
      </c>
      <c r="K12" s="191" t="s">
        <v>1873</v>
      </c>
      <c r="L12" s="192" t="str">
        <f>VLOOKUP(T12,통합목록!$Q$4:$T$310,2,0)</f>
        <v>열기2-01.노동법\02.문제\[모의][2][13.07-1]사업장 단위 효력확장 제도의 의의 및 취지, 생산직 비조합원에 대한 요건 충족 여부.txt</v>
      </c>
      <c r="M12" s="192" t="s">
        <v>1650</v>
      </c>
      <c r="N12" s="193"/>
      <c r="O12" s="192" t="str">
        <f t="shared" si="1"/>
        <v>제13장 단체협약&gt;13&gt;1&gt;</v>
      </c>
      <c r="P12" s="192" t="str">
        <f t="shared" si="2"/>
        <v>제13장 단체협약&gt;제07절 단체협약의 효력확장&gt;01</v>
      </c>
      <c r="Q12" s="192" t="str">
        <f t="shared" si="3"/>
        <v>2&gt;모의&gt;13.07&gt;2</v>
      </c>
      <c r="R12" s="192" t="str">
        <f t="shared" si="4"/>
        <v>2&gt;모의&gt;13.07&gt;1</v>
      </c>
      <c r="S12" s="180"/>
      <c r="T12" s="3" t="str">
        <f t="shared" si="5"/>
        <v>13.07-1-2</v>
      </c>
    </row>
    <row r="13" spans="1:20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488</v>
      </c>
      <c r="H13" s="190" t="s">
        <v>472</v>
      </c>
      <c r="I13" s="352" t="s">
        <v>1452</v>
      </c>
      <c r="J13" s="190" t="s">
        <v>417</v>
      </c>
      <c r="K13" s="191" t="s">
        <v>1874</v>
      </c>
      <c r="L13" s="192" t="str">
        <f>VLOOKUP(T13,통합목록!$Q$4:$T$310,2,0)</f>
        <v>열기2-01.노동법\02.문제\[모의][2][13.07-2]사무직 근로자에 대한 효력확장 여부 및 확장의 범위(채무적 부분 포함 여부).txt</v>
      </c>
      <c r="M13" s="192" t="s">
        <v>1650</v>
      </c>
      <c r="N13" s="193"/>
      <c r="O13" s="192" t="str">
        <f t="shared" si="1"/>
        <v>제13장 단체협약&gt;14&gt;2&gt;</v>
      </c>
      <c r="P13" s="192" t="str">
        <f t="shared" si="2"/>
        <v>제13장 단체협약&gt;제07절 단체협약의 효력확장&gt;02</v>
      </c>
      <c r="Q13" s="192" t="str">
        <f t="shared" si="3"/>
        <v>2&gt;모의&gt;13.07&gt;1</v>
      </c>
      <c r="R13" s="192" t="str">
        <f t="shared" si="4"/>
        <v>2&gt;모의&gt;13.07&gt;2</v>
      </c>
      <c r="S13" s="180"/>
      <c r="T13" s="3" t="str">
        <f t="shared" si="5"/>
        <v>13.07-2-2</v>
      </c>
    </row>
    <row r="14" spans="1:20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488</v>
      </c>
      <c r="H14" s="190" t="s">
        <v>460</v>
      </c>
      <c r="I14" s="352" t="s">
        <v>1451</v>
      </c>
      <c r="J14" s="190" t="s">
        <v>415</v>
      </c>
      <c r="K14" s="191" t="s">
        <v>1875</v>
      </c>
      <c r="L14" s="192" t="str">
        <f>VLOOKUP(T14,통합목록!$Q$4:$T$310,2,0)</f>
        <v>열기2-01.노동법\02.문제\[모의][2][13.04-1]평화의무의 개념, 근거 및 명시적 조항 부재 시 인정 여부.txt</v>
      </c>
      <c r="M14" s="192" t="s">
        <v>1650</v>
      </c>
      <c r="N14" s="193"/>
      <c r="O14" s="192" t="str">
        <f t="shared" si="1"/>
        <v>제13장 단체협약&gt;11&gt;1&gt;</v>
      </c>
      <c r="P14" s="192" t="str">
        <f t="shared" si="2"/>
        <v>제13장 단체협약&gt;제04절 평화의무&gt;01</v>
      </c>
      <c r="Q14" s="192" t="str">
        <f t="shared" si="3"/>
        <v>2&gt;모의&gt;13.04&gt;2</v>
      </c>
      <c r="R14" s="192" t="str">
        <f t="shared" si="4"/>
        <v>2&gt;모의&gt;13.04&gt;1</v>
      </c>
      <c r="S14" s="180"/>
      <c r="T14" s="3" t="str">
        <f t="shared" si="5"/>
        <v>13.04-1-2</v>
      </c>
    </row>
    <row r="15" spans="1:20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488</v>
      </c>
      <c r="H15" s="190" t="s">
        <v>465</v>
      </c>
      <c r="I15" s="352" t="s">
        <v>1451</v>
      </c>
      <c r="J15" s="190" t="s">
        <v>417</v>
      </c>
      <c r="K15" s="191" t="s">
        <v>1876</v>
      </c>
      <c r="L15" s="192" t="str">
        <f>VLOOKUP(T15,통합목록!$Q$4:$T$310,2,0)</f>
        <v>열기2-01.노동법\02.문제\[모의][2][13.04-2]평화의무 위반 쟁의행위의 정당성 유무 및 법적 책임.txt</v>
      </c>
      <c r="M15" s="192" t="s">
        <v>1650</v>
      </c>
      <c r="N15" s="193"/>
      <c r="O15" s="192" t="str">
        <f t="shared" si="1"/>
        <v>제13장 단체협약&gt;12&gt;2&gt;</v>
      </c>
      <c r="P15" s="192" t="str">
        <f t="shared" si="2"/>
        <v>제13장 단체협약&gt;제04절 평화의무&gt;02</v>
      </c>
      <c r="Q15" s="192" t="str">
        <f t="shared" si="3"/>
        <v>2&gt;모의&gt;13.04&gt;1</v>
      </c>
      <c r="R15" s="192" t="str">
        <f t="shared" si="4"/>
        <v>2&gt;모의&gt;13.04&gt;2</v>
      </c>
      <c r="S15" s="180"/>
      <c r="T15" s="3" t="str">
        <f t="shared" si="5"/>
        <v>13.04-2-2</v>
      </c>
    </row>
    <row r="16" spans="1:20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488</v>
      </c>
      <c r="H16" s="190" t="s">
        <v>450</v>
      </c>
      <c r="I16" s="352" t="s">
        <v>1450</v>
      </c>
      <c r="J16" s="190" t="s">
        <v>415</v>
      </c>
      <c r="K16" s="191" t="s">
        <v>1877</v>
      </c>
      <c r="L16" s="192" t="str">
        <f>VLOOKUP(T16,통합목록!$Q$4:$T$310,2,0)</f>
        <v>열기2-01.노동법\02.문제\[모의][2][13.02-1]단체협약의 성립요건인 서면 작성 및 서명・날인의 법적 의미와 자필 서명의 효력.txt</v>
      </c>
      <c r="M16" s="192" t="s">
        <v>1650</v>
      </c>
      <c r="N16" s="193"/>
      <c r="O16" s="192" t="str">
        <f t="shared" si="1"/>
        <v>제13장 단체협약&gt;09&gt;1&gt;</v>
      </c>
      <c r="P16" s="192" t="str">
        <f t="shared" si="2"/>
        <v>제13장 단체협약&gt;제02절 단체협약의 성립&gt;01</v>
      </c>
      <c r="Q16" s="192" t="str">
        <f t="shared" si="3"/>
        <v>2&gt;모의&gt;13.02&gt;2</v>
      </c>
      <c r="R16" s="192" t="str">
        <f t="shared" si="4"/>
        <v>2&gt;모의&gt;13.02&gt;1</v>
      </c>
      <c r="S16" s="180"/>
      <c r="T16" s="3" t="str">
        <f t="shared" si="5"/>
        <v>13.02-1-2</v>
      </c>
    </row>
    <row r="17" spans="1:20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488</v>
      </c>
      <c r="H17" s="190" t="s">
        <v>453</v>
      </c>
      <c r="I17" s="352" t="s">
        <v>1450</v>
      </c>
      <c r="J17" s="190" t="s">
        <v>417</v>
      </c>
      <c r="K17" s="191" t="s">
        <v>1878</v>
      </c>
      <c r="L17" s="192" t="str">
        <f>VLOOKUP(T17,통합목록!$Q$4:$T$310,2,0)</f>
        <v>열기2-01.노동법\02.문제\[모의][2][13.02-2]조합원 인준투표 부결이 단체협약의 성립 및 효력 발생에 미치는 영향.txt</v>
      </c>
      <c r="M17" s="192" t="s">
        <v>1650</v>
      </c>
      <c r="N17" s="193"/>
      <c r="O17" s="192" t="str">
        <f t="shared" si="1"/>
        <v>제13장 단체협약&gt;10&gt;2&gt;</v>
      </c>
      <c r="P17" s="192" t="str">
        <f t="shared" si="2"/>
        <v>제13장 단체협약&gt;제02절 단체협약의 성립&gt;02</v>
      </c>
      <c r="Q17" s="192" t="str">
        <f t="shared" si="3"/>
        <v>2&gt;모의&gt;13.02&gt;1</v>
      </c>
      <c r="R17" s="192" t="str">
        <f t="shared" si="4"/>
        <v>2&gt;모의&gt;13.02&gt;2</v>
      </c>
      <c r="S17" s="180"/>
      <c r="T17" s="3" t="str">
        <f t="shared" si="5"/>
        <v>13.02-2-2</v>
      </c>
    </row>
    <row r="18" spans="1:20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477</v>
      </c>
      <c r="H18" s="190" t="s">
        <v>460</v>
      </c>
      <c r="I18" s="352" t="s">
        <v>1449</v>
      </c>
      <c r="J18" s="190" t="s">
        <v>415</v>
      </c>
      <c r="K18" s="191" t="s">
        <v>1879</v>
      </c>
      <c r="L18" s="192" t="str">
        <f>VLOOKUP(T18,통합목록!$Q$4:$T$310,2,0)</f>
        <v>열기2-01.노동법\02.문제\[모의][2][12.06-1]단체교섭 중 사용자의 구체적 대안 제시 거부 및 경영 자료 제공 거부의 부당노동행위 성립 여부.txt</v>
      </c>
      <c r="M18" s="192" t="s">
        <v>1650</v>
      </c>
      <c r="N18" s="193"/>
      <c r="O18" s="192" t="str">
        <f t="shared" si="1"/>
        <v>제12장 단체교섭&gt;11&gt;1&gt;</v>
      </c>
      <c r="P18" s="192" t="str">
        <f t="shared" si="2"/>
        <v>제12장 단체교섭&gt;제06절 성실교섭의무&gt;01</v>
      </c>
      <c r="Q18" s="192" t="str">
        <f t="shared" si="3"/>
        <v>2&gt;모의&gt;12.06&gt;2</v>
      </c>
      <c r="R18" s="192" t="str">
        <f t="shared" si="4"/>
        <v>2&gt;모의&gt;12.06&gt;1</v>
      </c>
      <c r="S18" s="180"/>
      <c r="T18" s="3" t="str">
        <f t="shared" si="5"/>
        <v>12.06-1-2</v>
      </c>
    </row>
    <row r="19" spans="1:20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477</v>
      </c>
      <c r="H19" s="190" t="s">
        <v>465</v>
      </c>
      <c r="I19" s="352" t="s">
        <v>1449</v>
      </c>
      <c r="J19" s="190" t="s">
        <v>417</v>
      </c>
      <c r="K19" s="191" t="s">
        <v>1880</v>
      </c>
      <c r="L19" s="192" t="str">
        <f>VLOOKUP(T19,통합목록!$Q$4:$T$310,2,0)</f>
        <v>열기2-01.노동법\02.문제\[모의][2][12.06-2]교섭 권한 없는 자로의 위임 및 교섭 불참과 성실교섭의무 위반의 판단 기준.txt</v>
      </c>
      <c r="M19" s="192" t="s">
        <v>1650</v>
      </c>
      <c r="N19" s="193"/>
      <c r="O19" s="192" t="str">
        <f t="shared" si="1"/>
        <v>제12장 단체교섭&gt;12&gt;2&gt;</v>
      </c>
      <c r="P19" s="192" t="str">
        <f t="shared" si="2"/>
        <v>제12장 단체교섭&gt;제06절 성실교섭의무&gt;02</v>
      </c>
      <c r="Q19" s="192" t="str">
        <f t="shared" si="3"/>
        <v>2&gt;모의&gt;12.06&gt;1</v>
      </c>
      <c r="R19" s="192" t="str">
        <f t="shared" si="4"/>
        <v>2&gt;모의&gt;12.06&gt;2</v>
      </c>
      <c r="S19" s="180"/>
      <c r="T19" s="3" t="str">
        <f t="shared" si="5"/>
        <v>12.06-2-2</v>
      </c>
    </row>
    <row r="20" spans="1:20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1603</v>
      </c>
      <c r="H20" s="190" t="s">
        <v>460</v>
      </c>
      <c r="I20" s="352" t="s">
        <v>1447</v>
      </c>
      <c r="J20" s="190" t="s">
        <v>415</v>
      </c>
      <c r="K20" s="191" t="s">
        <v>1881</v>
      </c>
      <c r="L20" s="192" t="str">
        <f>VLOOKUP(T20,통합목록!$Q$4:$T$310,2,0)</f>
        <v>열기2-01.노동법\02.문제\[모의][2][11.05-1]사용자의 노조 전임자 급여 지급 및 운영비 원조 행위의 부당노동행위 성립 여부와 단체협약의 효력.txt</v>
      </c>
      <c r="M20" s="192" t="s">
        <v>1650</v>
      </c>
      <c r="N20" s="193"/>
      <c r="O20" s="192" t="str">
        <f t="shared" si="1"/>
        <v>제11장 노동조합&gt;11&gt;1&gt;</v>
      </c>
      <c r="P20" s="192" t="str">
        <f t="shared" si="2"/>
        <v>제11장 노동조합&gt;제05절 사용자의 편의제공&gt;01</v>
      </c>
      <c r="Q20" s="192" t="str">
        <f t="shared" si="3"/>
        <v>2&gt;모의&gt;11.05&gt;2</v>
      </c>
      <c r="R20" s="192" t="str">
        <f t="shared" si="4"/>
        <v>2&gt;모의&gt;11.05&gt;1</v>
      </c>
      <c r="S20" s="180"/>
      <c r="T20" s="3" t="str">
        <f t="shared" si="5"/>
        <v>11.05-1-2</v>
      </c>
    </row>
    <row r="21" spans="1:20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1603</v>
      </c>
      <c r="H21" s="190" t="s">
        <v>465</v>
      </c>
      <c r="I21" s="352" t="s">
        <v>1447</v>
      </c>
      <c r="J21" s="190" t="s">
        <v>417</v>
      </c>
      <c r="K21" s="191" t="s">
        <v>1882</v>
      </c>
      <c r="L21" s="192" t="str">
        <f>VLOOKUP(T21,통합목록!$Q$4:$T$310,2,0)</f>
        <v>열기2-01.노동법\02.문제\[모의][2][11.05-2]근로시간 면제 제도(Time-Off)의 한도 초과 약정의 효력 및 급여 지급의 법적 쟁점.txt</v>
      </c>
      <c r="M21" s="192" t="s">
        <v>1650</v>
      </c>
      <c r="N21" s="193"/>
      <c r="O21" s="192" t="str">
        <f t="shared" si="1"/>
        <v>제11장 노동조합&gt;12&gt;2&gt;</v>
      </c>
      <c r="P21" s="192" t="str">
        <f t="shared" si="2"/>
        <v>제11장 노동조합&gt;제05절 사용자의 편의제공&gt;02</v>
      </c>
      <c r="Q21" s="192" t="str">
        <f t="shared" si="3"/>
        <v>2&gt;모의&gt;11.05&gt;1</v>
      </c>
      <c r="R21" s="192" t="str">
        <f t="shared" si="4"/>
        <v>2&gt;모의&gt;11.05&gt;2</v>
      </c>
      <c r="S21" s="180"/>
      <c r="T21" s="3" t="str">
        <f t="shared" si="5"/>
        <v>11.05-2-2</v>
      </c>
    </row>
    <row r="22" spans="1:20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1603</v>
      </c>
      <c r="H22" s="190" t="s">
        <v>450</v>
      </c>
      <c r="I22" s="352" t="s">
        <v>1446</v>
      </c>
      <c r="J22" s="190" t="s">
        <v>415</v>
      </c>
      <c r="K22" s="191" t="s">
        <v>1883</v>
      </c>
      <c r="L22" s="192" t="str">
        <f>VLOOKUP(T22,통합목록!$Q$4:$T$310,2,0)</f>
        <v>열기2-01.노동법\02.문제\[모의][2][11.03-1]대의원회 의결 없이 총회에서 이루어진 단체협약안 의결의 정당성.txt</v>
      </c>
      <c r="M22" s="192" t="s">
        <v>1650</v>
      </c>
      <c r="N22" s="193"/>
      <c r="O22" s="192" t="str">
        <f t="shared" si="1"/>
        <v>제11장 노동조합&gt;09&gt;1&gt;</v>
      </c>
      <c r="P22" s="192" t="str">
        <f t="shared" si="2"/>
        <v>제11장 노동조합&gt;제03절 노동조합의 기구&gt;01</v>
      </c>
      <c r="Q22" s="192" t="str">
        <f t="shared" si="3"/>
        <v>2&gt;모의&gt;11.03&gt;2</v>
      </c>
      <c r="R22" s="192" t="str">
        <f t="shared" si="4"/>
        <v>2&gt;모의&gt;11.03&gt;1</v>
      </c>
      <c r="S22" s="180"/>
      <c r="T22" s="3" t="str">
        <f t="shared" si="5"/>
        <v>11.03-1-2</v>
      </c>
    </row>
    <row r="23" spans="1:20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1603</v>
      </c>
      <c r="H23" s="190" t="s">
        <v>453</v>
      </c>
      <c r="I23" s="352" t="s">
        <v>1446</v>
      </c>
      <c r="J23" s="190" t="s">
        <v>417</v>
      </c>
      <c r="K23" s="191" t="s">
        <v>1884</v>
      </c>
      <c r="L23" s="192" t="str">
        <f>VLOOKUP(T23,통합목록!$Q$4:$T$310,2,0)</f>
        <v>열기2-01.노동법\02.문제\[모의][2][11.03-2]총회 의결 정족수 충족 여부 및 위원장 해임결의의 유효성.txt</v>
      </c>
      <c r="M23" s="192" t="s">
        <v>1650</v>
      </c>
      <c r="N23" s="193"/>
      <c r="O23" s="192" t="str">
        <f t="shared" si="1"/>
        <v>제11장 노동조합&gt;10&gt;2&gt;</v>
      </c>
      <c r="P23" s="192" t="str">
        <f t="shared" si="2"/>
        <v>제11장 노동조합&gt;제03절 노동조합의 기구&gt;02</v>
      </c>
      <c r="Q23" s="192" t="str">
        <f t="shared" si="3"/>
        <v>2&gt;모의&gt;11.03&gt;1</v>
      </c>
      <c r="R23" s="192" t="str">
        <f t="shared" si="4"/>
        <v>2&gt;모의&gt;11.03&gt;2</v>
      </c>
      <c r="S23" s="180"/>
      <c r="T23" s="3" t="str">
        <f t="shared" si="5"/>
        <v>11.03-2-2</v>
      </c>
    </row>
    <row r="24" spans="1:20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1603</v>
      </c>
      <c r="H24" s="190" t="s">
        <v>440</v>
      </c>
      <c r="I24" s="352" t="s">
        <v>1445</v>
      </c>
      <c r="J24" s="190" t="s">
        <v>415</v>
      </c>
      <c r="K24" s="191" t="s">
        <v>1885</v>
      </c>
      <c r="L24" s="192" t="str">
        <f>VLOOKUP(T24,통합목록!$Q$4:$T$310,2,0)</f>
        <v>열기2-01.노동법\02.문제\[모의][2][11.02-1]유니언 숍 조항을 근거로 한 탈퇴 후 타 노조 가입자 해고의 정당성.txt</v>
      </c>
      <c r="M24" s="192" t="s">
        <v>1650</v>
      </c>
      <c r="N24" s="193"/>
      <c r="O24" s="192" t="str">
        <f t="shared" si="1"/>
        <v>제11장 노동조합&gt;07&gt;1&gt;</v>
      </c>
      <c r="P24" s="192" t="str">
        <f t="shared" si="2"/>
        <v>제11장 노동조합&gt;제02절 조합원의 지위 및 권리・의무&gt;01</v>
      </c>
      <c r="Q24" s="192" t="str">
        <f t="shared" si="3"/>
        <v>2&gt;모의&gt;11.02&gt;2</v>
      </c>
      <c r="R24" s="192" t="str">
        <f t="shared" si="4"/>
        <v>2&gt;모의&gt;11.02&gt;1</v>
      </c>
      <c r="S24" s="180"/>
      <c r="T24" s="3" t="str">
        <f t="shared" si="5"/>
        <v>11.02-1-2</v>
      </c>
    </row>
    <row r="25" spans="1:20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1603</v>
      </c>
      <c r="H25" s="190" t="s">
        <v>447</v>
      </c>
      <c r="I25" s="352" t="s">
        <v>1445</v>
      </c>
      <c r="J25" s="190" t="s">
        <v>417</v>
      </c>
      <c r="K25" s="191" t="s">
        <v>1886</v>
      </c>
      <c r="L25" s="192" t="str">
        <f>VLOOKUP(T25,통합목록!$Q$4:$T$310,2,0)</f>
        <v>열기2-01.노동법\02.문제\[모의][2][11.02-2]조합비 미납을 이유로 한 조합원 선거권 제한의 적법성.txt</v>
      </c>
      <c r="M25" s="192" t="s">
        <v>1650</v>
      </c>
      <c r="N25" s="193"/>
      <c r="O25" s="192" t="str">
        <f t="shared" si="1"/>
        <v>제11장 노동조합&gt;08&gt;2&gt;</v>
      </c>
      <c r="P25" s="192" t="str">
        <f t="shared" si="2"/>
        <v>제11장 노동조합&gt;제02절 조합원의 지위 및 권리・의무&gt;02</v>
      </c>
      <c r="Q25" s="192" t="str">
        <f t="shared" si="3"/>
        <v>2&gt;모의&gt;11.02&gt;1</v>
      </c>
      <c r="R25" s="192" t="str">
        <f t="shared" si="4"/>
        <v>2&gt;모의&gt;11.02&gt;2</v>
      </c>
      <c r="S25" s="180"/>
      <c r="T25" s="3" t="str">
        <f t="shared" si="5"/>
        <v>11.02-2-2</v>
      </c>
    </row>
    <row r="26" spans="1:20" ht="14.45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">
        <v>477</v>
      </c>
      <c r="H26" s="190" t="s">
        <v>415</v>
      </c>
      <c r="I26" s="352" t="s">
        <v>478</v>
      </c>
      <c r="J26" s="190" t="s">
        <v>415</v>
      </c>
      <c r="K26" s="191" t="s">
        <v>1979</v>
      </c>
      <c r="L26" s="192" t="str">
        <f>VLOOKUP(T26,통합목록!$Q$4:$T$310,2,0)</f>
        <v>열기2-01.노동법\02.문제\[기출][2][2025-1-1]직군이 다른 노동조합(사무직과 생산직)의 교섭단위 분리 신청 인정 여부.txt</v>
      </c>
      <c r="M26" s="192" t="s">
        <v>1234</v>
      </c>
      <c r="N26" s="193"/>
      <c r="O26" s="192" t="str">
        <f t="shared" si="1"/>
        <v>제12장 단체교섭&gt;01&gt;1-1&gt;</v>
      </c>
      <c r="P26" s="192" t="str">
        <f t="shared" si="2"/>
        <v>제12장 단체교섭&gt;제04절 교섭창구단일화제도&gt;01</v>
      </c>
      <c r="Q26" s="192" t="str">
        <f t="shared" si="3"/>
        <v>2&gt;기출&gt;2025&gt;3</v>
      </c>
      <c r="R26" s="192" t="str">
        <f t="shared" si="4"/>
        <v>2&gt;기출&gt;2025&gt;1-1</v>
      </c>
      <c r="S26" s="3"/>
      <c r="T26" s="3" t="str">
        <f t="shared" si="5"/>
        <v>2025-1-1-2</v>
      </c>
    </row>
    <row r="27" spans="1:20" ht="14.45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">
        <v>479</v>
      </c>
      <c r="H27" s="190" t="s">
        <v>1386</v>
      </c>
      <c r="I27" s="352" t="s">
        <v>480</v>
      </c>
      <c r="J27" s="190" t="s">
        <v>415</v>
      </c>
      <c r="K27" s="191" t="s">
        <v>1980</v>
      </c>
      <c r="L27" s="192" t="str">
        <f>VLOOKUP(T27,통합목록!$Q$4:$T$310,2,0)</f>
        <v>열기2-01.노동법\02.문제\[기출][2][2025-1-2]하위 인사고과 부여 및 이에 따른 임금 감액의 부당노동행위 구제신청기간 도과 여부.txt</v>
      </c>
      <c r="M27" s="192" t="s">
        <v>1234</v>
      </c>
      <c r="N27" s="193" t="s">
        <v>1398</v>
      </c>
      <c r="O27" s="192" t="str">
        <f t="shared" si="1"/>
        <v>제15장 부당노동행위&gt;01&gt;1-2&gt;계속되는 행위</v>
      </c>
      <c r="P27" s="192" t="str">
        <f t="shared" si="2"/>
        <v>제15장 부당노동행위&gt;제06절 부당노동행위에 대한 구제&gt;01</v>
      </c>
      <c r="Q27" s="192" t="str">
        <f t="shared" si="3"/>
        <v>2&gt;기출&gt;2025&gt;2</v>
      </c>
      <c r="R27" s="192" t="str">
        <f t="shared" si="4"/>
        <v>2&gt;기출&gt;2025&gt;1-2</v>
      </c>
      <c r="S27" s="3"/>
      <c r="T27" s="3" t="str">
        <f t="shared" si="5"/>
        <v>2025-1-2-2</v>
      </c>
    </row>
    <row r="28" spans="1:20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1382</v>
      </c>
      <c r="H28" s="190" t="s">
        <v>417</v>
      </c>
      <c r="I28" s="352" t="s">
        <v>1458</v>
      </c>
      <c r="J28" s="190" t="s">
        <v>415</v>
      </c>
      <c r="K28" s="191" t="s">
        <v>1981</v>
      </c>
      <c r="L28" s="192" t="str">
        <f>VLOOKUP(T28,통합목록!$Q$4:$T$310,2,0)</f>
        <v>열기2-01.노동법\02.문제\[기출][2][2025-2]중재재정 조항의 교원노조법상 단체교섭 대상 여부.txt</v>
      </c>
      <c r="M28" s="192" t="s">
        <v>1234</v>
      </c>
      <c r="N28" s="193"/>
      <c r="O28" s="192" t="str">
        <f t="shared" si="1"/>
        <v>제16장 부속법령&gt;02&gt;2&gt;</v>
      </c>
      <c r="P28" s="192" t="str">
        <f t="shared" si="2"/>
        <v>제16장 부속법령&gt;제11절 교노법&gt;01</v>
      </c>
      <c r="Q28" s="192" t="str">
        <f t="shared" si="3"/>
        <v>2&gt;기출&gt;2025&gt;1</v>
      </c>
      <c r="R28" s="192" t="str">
        <f t="shared" si="4"/>
        <v>2&gt;기출&gt;2025&gt;2</v>
      </c>
      <c r="S28" s="3"/>
      <c r="T28" s="3" t="str">
        <f t="shared" si="5"/>
        <v>2025-2-2</v>
      </c>
    </row>
    <row r="29" spans="1:20" ht="14.45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">
        <v>1478</v>
      </c>
      <c r="H29" s="190" t="s">
        <v>415</v>
      </c>
      <c r="I29" s="352" t="s">
        <v>1480</v>
      </c>
      <c r="J29" s="190" t="s">
        <v>415</v>
      </c>
      <c r="K29" s="191" t="s">
        <v>1982</v>
      </c>
      <c r="L29" s="192" t="str">
        <f>VLOOKUP(T29,통합목록!$Q$4:$T$310,2,0)</f>
        <v>열기2-01.노동법\02.문제\[기출][2][2024-1-1]자동차 대리점에 근무하는 판매원의 노동조합법상 근로자성 판단 기준.txt</v>
      </c>
      <c r="M29" s="192" t="s">
        <v>1234</v>
      </c>
      <c r="N29" s="193"/>
      <c r="O29" s="192" t="str">
        <f t="shared" si="1"/>
        <v>제01장 노동법 총론&gt;01&gt;1-1&gt;</v>
      </c>
      <c r="P29" s="192" t="str">
        <f t="shared" si="2"/>
        <v>제01장 노동법 총론&gt;제05절 노동조합법상 근로자&gt;01</v>
      </c>
      <c r="Q29" s="192" t="str">
        <f t="shared" si="3"/>
        <v>2&gt;기출&gt;2024&gt;3</v>
      </c>
      <c r="R29" s="192" t="str">
        <f t="shared" si="4"/>
        <v>2&gt;기출&gt;2024&gt;1-1</v>
      </c>
      <c r="S29" s="3"/>
      <c r="T29" s="3" t="str">
        <f t="shared" si="5"/>
        <v>2024-1-1-2</v>
      </c>
    </row>
    <row r="30" spans="1:20" ht="14.45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">
        <v>479</v>
      </c>
      <c r="H30" s="190" t="s">
        <v>1387</v>
      </c>
      <c r="I30" s="352" t="s">
        <v>481</v>
      </c>
      <c r="J30" s="190" t="s">
        <v>415</v>
      </c>
      <c r="K30" s="191" t="s">
        <v>1983</v>
      </c>
      <c r="L30" s="192" t="str">
        <f>VLOOKUP(T30,통합목록!$Q$4:$T$310,2,0)</f>
        <v>열기2-01.노동법\02.문제\[기출][2][2024-1-2]카마스터들에 대한 용역계약 해지의 불이익 취급 부당노동행위 성립 여부 및 사유 정당성.txt</v>
      </c>
      <c r="M30" s="192" t="s">
        <v>1234</v>
      </c>
      <c r="N30" s="193"/>
      <c r="O30" s="192" t="str">
        <f t="shared" si="1"/>
        <v>제15장 부당노동행위&gt;02&gt;1-2&gt;</v>
      </c>
      <c r="P30" s="192" t="str">
        <f t="shared" si="2"/>
        <v>제15장 부당노동행위&gt;제02절 불이익취급&gt;01</v>
      </c>
      <c r="Q30" s="192" t="str">
        <f t="shared" si="3"/>
        <v>2&gt;기출&gt;2024&gt;2</v>
      </c>
      <c r="R30" s="192" t="str">
        <f t="shared" si="4"/>
        <v>2&gt;기출&gt;2024&gt;1-2</v>
      </c>
      <c r="S30" s="3"/>
      <c r="T30" s="3" t="str">
        <f t="shared" si="5"/>
        <v>2024-1-2-2</v>
      </c>
    </row>
    <row r="31" spans="1:20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">
        <v>477</v>
      </c>
      <c r="H31" s="190" t="s">
        <v>417</v>
      </c>
      <c r="I31" s="352" t="s">
        <v>478</v>
      </c>
      <c r="J31" s="190" t="s">
        <v>417</v>
      </c>
      <c r="K31" s="191" t="s">
        <v>1984</v>
      </c>
      <c r="L31" s="192" t="str">
        <f>VLOOKUP(T31,통합목록!$Q$4:$T$310,2,0)</f>
        <v>열기2-01.노동법\02.문제\[기출][2][2024-2]교섭대표노동조합의 공정대표의무 위반 여부.txt</v>
      </c>
      <c r="M31" s="192" t="s">
        <v>1234</v>
      </c>
      <c r="N31" s="193"/>
      <c r="O31" s="192" t="str">
        <f t="shared" si="1"/>
        <v>제12장 단체교섭&gt;02&gt;2&gt;</v>
      </c>
      <c r="P31" s="192" t="str">
        <f t="shared" si="2"/>
        <v>제12장 단체교섭&gt;제04절 교섭창구단일화제도&gt;02</v>
      </c>
      <c r="Q31" s="192" t="str">
        <f t="shared" si="3"/>
        <v>2&gt;기출&gt;2024&gt;1</v>
      </c>
      <c r="R31" s="192" t="str">
        <f t="shared" si="4"/>
        <v>2&gt;기출&gt;2024&gt;2</v>
      </c>
      <c r="S31" s="3"/>
      <c r="T31" s="3" t="str">
        <f t="shared" si="5"/>
        <v>2024-2-2</v>
      </c>
    </row>
    <row r="32" spans="1:20" ht="14.45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1551</v>
      </c>
      <c r="G32" s="191" t="s">
        <v>477</v>
      </c>
      <c r="H32" s="190" t="s">
        <v>426</v>
      </c>
      <c r="I32" s="352" t="s">
        <v>1448</v>
      </c>
      <c r="J32" s="190" t="s">
        <v>415</v>
      </c>
      <c r="K32" s="191" t="s">
        <v>1985</v>
      </c>
      <c r="L32" s="192" t="str">
        <f>VLOOKUP(T32,통합목록!$Q$4:$T$310,2,0)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1234</v>
      </c>
      <c r="N32" s="193"/>
      <c r="O32" s="192" t="str">
        <f t="shared" si="1"/>
        <v>제12장 단체교섭&gt;03&gt;1-1&gt;</v>
      </c>
      <c r="P32" s="192" t="str">
        <f t="shared" si="2"/>
        <v>제12장 단체교섭&gt;제02절 단체교섭의 담당자&gt;01</v>
      </c>
      <c r="Q32" s="192" t="str">
        <f t="shared" si="3"/>
        <v>2&gt;기출&gt;2023&gt;4</v>
      </c>
      <c r="R32" s="192" t="str">
        <f t="shared" si="4"/>
        <v>2&gt;기출&gt;2023&gt;1-1</v>
      </c>
      <c r="S32" s="3"/>
      <c r="T32" s="3" t="str">
        <f t="shared" si="5"/>
        <v>2023-1-1-2</v>
      </c>
    </row>
    <row r="33" spans="2:20" ht="14.45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1550</v>
      </c>
      <c r="G33" s="191" t="s">
        <v>1822</v>
      </c>
      <c r="H33" s="190" t="s">
        <v>1388</v>
      </c>
      <c r="I33" s="352" t="s">
        <v>1823</v>
      </c>
      <c r="J33" s="190" t="s">
        <v>415</v>
      </c>
      <c r="K33" s="191" t="s">
        <v>1887</v>
      </c>
      <c r="L33" s="192" t="str">
        <f>VLOOKUP(T33,통합목록!$Q$4:$T$310,2,0)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1234</v>
      </c>
      <c r="N33" s="193"/>
      <c r="O33" s="192" t="str">
        <f t="shared" si="1"/>
        <v>제15장 부당노동행위&gt;03&gt;1-1&gt;</v>
      </c>
      <c r="P33" s="192" t="str">
        <f t="shared" si="2"/>
        <v>제15장 부당노동행위&gt;제04절 단체교섭의 거부・해태&gt;01</v>
      </c>
      <c r="Q33" s="192" t="str">
        <f t="shared" si="3"/>
        <v>2&gt;기출&gt;2023&gt;3</v>
      </c>
      <c r="R33" s="192" t="str">
        <f t="shared" si="4"/>
        <v>2&gt;기출&gt;2023&gt;1-1</v>
      </c>
      <c r="S33" s="3"/>
      <c r="T33" s="3" t="str">
        <f t="shared" si="5"/>
        <v>2023-1-1-2</v>
      </c>
    </row>
    <row r="34" spans="2:20" ht="14.45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">
        <v>477</v>
      </c>
      <c r="H34" s="190" t="s">
        <v>430</v>
      </c>
      <c r="I34" s="352" t="s">
        <v>483</v>
      </c>
      <c r="J34" s="190" t="s">
        <v>415</v>
      </c>
      <c r="K34" s="191" t="s">
        <v>1986</v>
      </c>
      <c r="L34" s="192" t="str">
        <f>VLOOKUP(T34,통합목록!$Q$4:$T$310,2,0)</f>
        <v>열기2-01.노동법\02.문제\[기출][2][2023-1-2]노동조합 대표자가 규약 절차를 위반하여 체결한 단체협약의 법적 효력.txt</v>
      </c>
      <c r="M34" s="192" t="s">
        <v>1234</v>
      </c>
      <c r="N34" s="193"/>
      <c r="O34" s="192" t="str">
        <f t="shared" si="1"/>
        <v>제12장 단체교섭&gt;04&gt;1-2&gt;</v>
      </c>
      <c r="P34" s="192" t="str">
        <f t="shared" si="2"/>
        <v>제12장 단체교섭&gt;제05절 인준투표제&gt;01</v>
      </c>
      <c r="Q34" s="192" t="str">
        <f t="shared" si="3"/>
        <v>2&gt;기출&gt;2023&gt;2</v>
      </c>
      <c r="R34" s="192" t="str">
        <f t="shared" si="4"/>
        <v>2&gt;기출&gt;2023&gt;1-2</v>
      </c>
      <c r="S34" s="3"/>
      <c r="T34" s="3" t="str">
        <f t="shared" si="5"/>
        <v>2023-1-2-2</v>
      </c>
    </row>
    <row r="35" spans="2:20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">
        <v>488</v>
      </c>
      <c r="H35" s="190" t="s">
        <v>415</v>
      </c>
      <c r="I35" s="352" t="s">
        <v>484</v>
      </c>
      <c r="J35" s="190" t="s">
        <v>415</v>
      </c>
      <c r="K35" s="191" t="s">
        <v>1987</v>
      </c>
      <c r="L35" s="192" t="str">
        <f>VLOOKUP(T35,통합목록!$Q$4:$T$310,2,0)</f>
        <v>열기2-01.노동법\02.문제\[기출][2][2023-2]개별 동의 없는 불이익 단체협약의 규범적 효력과 기득이익의 관계.txt</v>
      </c>
      <c r="M35" s="192" t="s">
        <v>1234</v>
      </c>
      <c r="N35" s="193"/>
      <c r="O35" s="192" t="str">
        <f t="shared" si="1"/>
        <v>제13장 단체협약&gt;01&gt;2&gt;</v>
      </c>
      <c r="P35" s="192" t="str">
        <f t="shared" si="2"/>
        <v>제13장 단체협약&gt;제03절 단체협약의 효력&gt;01</v>
      </c>
      <c r="Q35" s="192" t="str">
        <f t="shared" si="3"/>
        <v>2&gt;기출&gt;2023&gt;1</v>
      </c>
      <c r="R35" s="192" t="str">
        <f t="shared" si="4"/>
        <v>2&gt;기출&gt;2023&gt;2</v>
      </c>
      <c r="S35" s="3"/>
      <c r="T35" s="3" t="str">
        <f t="shared" si="5"/>
        <v>2023-2-2</v>
      </c>
    </row>
    <row r="36" spans="2:20" ht="14.45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">
        <v>485</v>
      </c>
      <c r="H36" s="190" t="s">
        <v>415</v>
      </c>
      <c r="I36" s="352" t="s">
        <v>1453</v>
      </c>
      <c r="J36" s="190" t="s">
        <v>415</v>
      </c>
      <c r="K36" s="191" t="s">
        <v>1988</v>
      </c>
      <c r="L36" s="192" t="str">
        <f>VLOOKUP(T36,통합목록!$Q$4:$T$310,2,0)</f>
        <v>열기2-01.노동법\02.문제\[기출][2][2022-1-1]원청 사업장에서 쟁의행위를 실시한 하청 노동조합에 대한 퇴거불응죄 성립 여부.txt</v>
      </c>
      <c r="M36" s="192" t="s">
        <v>1234</v>
      </c>
      <c r="N36" s="193"/>
      <c r="O36" s="192" t="str">
        <f t="shared" ref="O36:O67" si="7">G36&amp;"&gt;"&amp;H36&amp;"&gt;"&amp;D36&amp;"&gt;"&amp;N36</f>
        <v>제14장 쟁의행위&gt;01&gt;1-1&gt;</v>
      </c>
      <c r="P36" s="192" t="str">
        <f t="shared" ref="P36:P67" si="8">G36&amp;"&gt;"&amp;I36&amp;"&gt;"&amp;J36</f>
        <v>제14장 쟁의행위&gt;제04절 쟁의행위 수단・방법의 정당성&gt;01</v>
      </c>
      <c r="Q36" s="192" t="str">
        <f t="shared" ref="Q36:Q67" si="9">E36&amp;"&gt;"&amp;M36&amp;"&gt;"&amp;C36&amp;"&gt;"&amp;F36</f>
        <v>2&gt;기출&gt;2022&gt;3</v>
      </c>
      <c r="R36" s="192" t="str">
        <f t="shared" ref="R36:R67" si="10">E36&amp;"&gt;"&amp;M36&amp;"&gt;"&amp;C36&amp;"&gt;"&amp;D36</f>
        <v>2&gt;기출&gt;2022&gt;1-1</v>
      </c>
      <c r="S36" s="3"/>
      <c r="T36" s="3" t="str">
        <f t="shared" ref="T36:T67" si="11">C36&amp;"-"&amp;D36&amp;"-"&amp;E36</f>
        <v>2022-1-1-2</v>
      </c>
    </row>
    <row r="37" spans="2:20" ht="14.45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">
        <v>485</v>
      </c>
      <c r="H37" s="190" t="s">
        <v>486</v>
      </c>
      <c r="I37" s="352" t="s">
        <v>2</v>
      </c>
      <c r="J37" s="190" t="s">
        <v>415</v>
      </c>
      <c r="K37" s="191" t="s">
        <v>1989</v>
      </c>
      <c r="L37" s="192" t="str">
        <f>VLOOKUP(T37,통합목록!$Q$4:$T$310,2,0)</f>
        <v>열기2-01.노동법\02.문제\[기출][2][2022-1-2]용역업체의 대체근로 저지행위에 대한 형사상 위법성 여부.txt</v>
      </c>
      <c r="M37" s="192" t="s">
        <v>1234</v>
      </c>
      <c r="N37" s="193" t="s">
        <v>1721</v>
      </c>
      <c r="O37" s="192" t="str">
        <f t="shared" si="7"/>
        <v>제14장 쟁의행위&gt;02&gt;1-2&gt;보충 포함</v>
      </c>
      <c r="P37" s="192" t="str">
        <f t="shared" si="8"/>
        <v>제14장 쟁의행위&gt;제10절 쟁의기간 중 대체근로의 제한&gt;01</v>
      </c>
      <c r="Q37" s="192" t="str">
        <f t="shared" si="9"/>
        <v>2&gt;기출&gt;2022&gt;2</v>
      </c>
      <c r="R37" s="192" t="str">
        <f t="shared" si="10"/>
        <v>2&gt;기출&gt;2022&gt;1-2</v>
      </c>
      <c r="S37" s="3"/>
      <c r="T37" s="3" t="str">
        <f t="shared" si="11"/>
        <v>2022-1-2-2</v>
      </c>
    </row>
    <row r="38" spans="2:20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">
        <v>1603</v>
      </c>
      <c r="H38" s="190" t="s">
        <v>415</v>
      </c>
      <c r="I38" s="352" t="s">
        <v>1489</v>
      </c>
      <c r="J38" s="190" t="s">
        <v>415</v>
      </c>
      <c r="K38" s="191" t="s">
        <v>1990</v>
      </c>
      <c r="L38" s="192" t="str">
        <f>VLOOKUP(T38,통합목록!$Q$4:$T$310,2,0)</f>
        <v>열기2-01.노동법\02.문제\[기출][2][2022-2]산업안전보건법 위반 증거수집 목적의 생산공장 출입이 정당한 조합활동에 해당하는지 여부.txt</v>
      </c>
      <c r="M38" s="192" t="s">
        <v>1234</v>
      </c>
      <c r="N38" s="193"/>
      <c r="O38" s="192" t="str">
        <f t="shared" si="7"/>
        <v>제11장 노동조합&gt;01&gt;2&gt;</v>
      </c>
      <c r="P38" s="192" t="str">
        <f t="shared" si="8"/>
        <v>제11장 노동조합&gt;제04절 조합활동의 정당성&gt;01</v>
      </c>
      <c r="Q38" s="192" t="str">
        <f t="shared" si="9"/>
        <v>2&gt;기출&gt;2022&gt;1</v>
      </c>
      <c r="R38" s="192" t="str">
        <f t="shared" si="10"/>
        <v>2&gt;기출&gt;2022&gt;2</v>
      </c>
      <c r="S38" s="3"/>
      <c r="T38" s="3" t="str">
        <f t="shared" si="11"/>
        <v>2022-2-2</v>
      </c>
    </row>
    <row r="39" spans="2:20" ht="14.45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1599</v>
      </c>
      <c r="G39" s="191" t="s">
        <v>1603</v>
      </c>
      <c r="H39" s="190" t="s">
        <v>417</v>
      </c>
      <c r="I39" s="352" t="s">
        <v>487</v>
      </c>
      <c r="J39" s="190" t="s">
        <v>415</v>
      </c>
      <c r="K39" s="191" t="s">
        <v>1991</v>
      </c>
      <c r="L39" s="192" t="str">
        <f>VLOOKUP(T39,통합목록!$Q$4:$T$310,2,0)</f>
        <v>열기2-01.노동법\02.문제\[기출][2][2021-1-1]설립신고를 하지 않은 초기업 노동조합 지부의 단체협약 체결 당사자 지위 인정 여부.txt</v>
      </c>
      <c r="M39" s="192" t="s">
        <v>1234</v>
      </c>
      <c r="N39" s="193"/>
      <c r="O39" s="192" t="str">
        <f t="shared" si="7"/>
        <v>제11장 노동조합&gt;02&gt;1-1&gt;</v>
      </c>
      <c r="P39" s="192" t="str">
        <f t="shared" si="8"/>
        <v>제11장 노동조합&gt;제01절 노동조합의 설립요건&gt;01</v>
      </c>
      <c r="Q39" s="192" t="str">
        <f t="shared" si="9"/>
        <v>2&gt;기출&gt;2021&gt;4</v>
      </c>
      <c r="R39" s="192" t="str">
        <f t="shared" si="10"/>
        <v>2&gt;기출&gt;2021&gt;1-1</v>
      </c>
      <c r="S39" s="3"/>
      <c r="T39" s="3" t="str">
        <f t="shared" si="11"/>
        <v>2021-1-1-2</v>
      </c>
    </row>
    <row r="40" spans="2:20" ht="14.45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">
        <v>1824</v>
      </c>
      <c r="H40" s="190" t="s">
        <v>1598</v>
      </c>
      <c r="I40" s="352" t="s">
        <v>1825</v>
      </c>
      <c r="J40" s="190" t="s">
        <v>1596</v>
      </c>
      <c r="K40" s="191" t="s">
        <v>1595</v>
      </c>
      <c r="L40" s="192" t="str">
        <f>VLOOKUP(T40,통합목록!$Q$4:$T$310,2,0)</f>
        <v>열기2-01.노동법\02.문제\[기출][2][2021-1-1]설립신고를 하지 않은 초기업 노동조합 지부의 단체협약 체결 당사자 지위 인정 여부.txt</v>
      </c>
      <c r="M40" s="192" t="s">
        <v>1258</v>
      </c>
      <c r="N40" s="193"/>
      <c r="O40" s="192" t="str">
        <f t="shared" si="7"/>
        <v>제12장 단체교섭&gt;05&gt;1-1&gt;</v>
      </c>
      <c r="P40" s="192" t="str">
        <f t="shared" si="8"/>
        <v>제12장 단체교섭&gt;제01절 단체교섭의 당사자&gt;01</v>
      </c>
      <c r="Q40" s="192" t="str">
        <f t="shared" si="9"/>
        <v>2&gt;기출&gt;2021&gt;3</v>
      </c>
      <c r="R40" s="192" t="str">
        <f t="shared" si="10"/>
        <v>2&gt;기출&gt;2021&gt;1-1</v>
      </c>
      <c r="S40" s="3"/>
      <c r="T40" s="3" t="str">
        <f t="shared" si="11"/>
        <v>2021-1-1-2</v>
      </c>
    </row>
    <row r="41" spans="2:20" ht="14.45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">
        <v>488</v>
      </c>
      <c r="H41" s="190" t="s">
        <v>417</v>
      </c>
      <c r="I41" s="352" t="s">
        <v>489</v>
      </c>
      <c r="J41" s="190" t="s">
        <v>415</v>
      </c>
      <c r="K41" s="191" t="s">
        <v>1992</v>
      </c>
      <c r="L41" s="192" t="str">
        <f>VLOOKUP(T41,통합목록!$Q$4:$T$310,2,0)</f>
        <v>열기2-01.노동법\02.문제\[기출][2][2021-1-2]자동연장된 단체협약의 해지권 제한 약정의 효력 및 해지 통보의 유효성.txt</v>
      </c>
      <c r="M41" s="192" t="s">
        <v>1234</v>
      </c>
      <c r="N41" s="193"/>
      <c r="O41" s="192" t="str">
        <f t="shared" si="7"/>
        <v>제13장 단체협약&gt;02&gt;1-2&gt;</v>
      </c>
      <c r="P41" s="192" t="str">
        <f t="shared" si="8"/>
        <v>제13장 단체협약&gt;제08절 단체협약의 실효 및 실효 후의 근로관계&gt;01</v>
      </c>
      <c r="Q41" s="192" t="str">
        <f t="shared" si="9"/>
        <v>2&gt;기출&gt;2021&gt;2</v>
      </c>
      <c r="R41" s="192" t="str">
        <f t="shared" si="10"/>
        <v>2&gt;기출&gt;2021&gt;1-2</v>
      </c>
      <c r="S41" s="3"/>
      <c r="T41" s="3" t="str">
        <f t="shared" si="11"/>
        <v>2021-1-2-2</v>
      </c>
    </row>
    <row r="42" spans="2:20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">
        <v>485</v>
      </c>
      <c r="H42" s="190" t="s">
        <v>490</v>
      </c>
      <c r="I42" s="352" t="s">
        <v>491</v>
      </c>
      <c r="J42" s="190" t="s">
        <v>415</v>
      </c>
      <c r="K42" s="191" t="s">
        <v>1993</v>
      </c>
      <c r="L42" s="192" t="str">
        <f>VLOOKUP(T42,통합목록!$Q$4:$T$310,2,0)</f>
        <v>열기2-01.노동법\02.문제\[기출][2][2021-2]임금협약의 유효기간 중 재교섭을 요구하며 개시한 파업의 정당성 여부.txt</v>
      </c>
      <c r="M42" s="192" t="s">
        <v>1234</v>
      </c>
      <c r="N42" s="193"/>
      <c r="O42" s="192" t="str">
        <f t="shared" si="7"/>
        <v>제14장 쟁의행위&gt;03&gt;2&gt;</v>
      </c>
      <c r="P42" s="192" t="str">
        <f t="shared" si="8"/>
        <v>제14장 쟁의행위&gt;제02절 쟁의행위 목적의 정당성&gt;01</v>
      </c>
      <c r="Q42" s="192" t="str">
        <f t="shared" si="9"/>
        <v>2&gt;기출&gt;2021&gt;1</v>
      </c>
      <c r="R42" s="192" t="str">
        <f t="shared" si="10"/>
        <v>2&gt;기출&gt;2021&gt;2</v>
      </c>
      <c r="S42" s="3"/>
      <c r="T42" s="3" t="str">
        <f t="shared" si="11"/>
        <v>2021-2-2</v>
      </c>
    </row>
    <row r="43" spans="2:20" ht="14.45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">
        <v>485</v>
      </c>
      <c r="H43" s="190" t="s">
        <v>430</v>
      </c>
      <c r="I43" s="352" t="s">
        <v>2</v>
      </c>
      <c r="J43" s="190" t="s">
        <v>417</v>
      </c>
      <c r="K43" s="191" t="s">
        <v>1994</v>
      </c>
      <c r="L43" s="192" t="str">
        <f>VLOOKUP(T43,통합목록!$Q$4:$T$310,2,0)</f>
        <v>열기2-01.노동법\02.문제\[기출][2][2020-1-1]대체인력 투입이 대체근로 제한에 위배되어 위법한지 여부.txt</v>
      </c>
      <c r="M43" s="192" t="s">
        <v>1234</v>
      </c>
      <c r="N43" s="193" t="s">
        <v>1721</v>
      </c>
      <c r="O43" s="192" t="str">
        <f t="shared" si="7"/>
        <v>제14장 쟁의행위&gt;04&gt;1-1&gt;보충 포함</v>
      </c>
      <c r="P43" s="192" t="str">
        <f t="shared" si="8"/>
        <v>제14장 쟁의행위&gt;제10절 쟁의기간 중 대체근로의 제한&gt;02</v>
      </c>
      <c r="Q43" s="192" t="str">
        <f t="shared" si="9"/>
        <v>2&gt;기출&gt;2020&gt;4</v>
      </c>
      <c r="R43" s="192" t="str">
        <f t="shared" si="10"/>
        <v>2&gt;기출&gt;2020&gt;1-1</v>
      </c>
      <c r="S43" s="3"/>
      <c r="T43" s="3" t="str">
        <f t="shared" si="11"/>
        <v>2020-1-1-2</v>
      </c>
    </row>
    <row r="44" spans="2:20" ht="14.45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1550</v>
      </c>
      <c r="G44" s="191" t="s">
        <v>485</v>
      </c>
      <c r="H44" s="190" t="s">
        <v>431</v>
      </c>
      <c r="I44" s="352" t="s">
        <v>2</v>
      </c>
      <c r="J44" s="190" t="s">
        <v>426</v>
      </c>
      <c r="K44" s="191" t="s">
        <v>1995</v>
      </c>
      <c r="L44" s="192" t="str">
        <f>VLOOKUP(T44,통합목록!$Q$4:$T$310,2,0)</f>
        <v>열기2-01.노동법\02.문제\[기출][2][2020-1-2]대체인력 투입의 지배・개입 부당노동행위 성립 여부.txt</v>
      </c>
      <c r="M44" s="192" t="s">
        <v>1234</v>
      </c>
      <c r="N44" s="193" t="s">
        <v>1721</v>
      </c>
      <c r="O44" s="192" t="str">
        <f t="shared" si="7"/>
        <v>제14장 쟁의행위&gt;05&gt;1-2&gt;보충 포함</v>
      </c>
      <c r="P44" s="192" t="str">
        <f t="shared" si="8"/>
        <v>제14장 쟁의행위&gt;제10절 쟁의기간 중 대체근로의 제한&gt;03</v>
      </c>
      <c r="Q44" s="192" t="str">
        <f t="shared" si="9"/>
        <v>2&gt;기출&gt;2020&gt;3</v>
      </c>
      <c r="R44" s="192" t="str">
        <f t="shared" si="10"/>
        <v>2&gt;기출&gt;2020&gt;1-2</v>
      </c>
      <c r="S44" s="3"/>
      <c r="T44" s="3" t="str">
        <f t="shared" si="11"/>
        <v>2020-1-2-2</v>
      </c>
    </row>
    <row r="45" spans="2:20" ht="14.45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1553</v>
      </c>
      <c r="G45" s="191" t="s">
        <v>1822</v>
      </c>
      <c r="H45" s="190" t="s">
        <v>1389</v>
      </c>
      <c r="I45" s="352" t="s">
        <v>1826</v>
      </c>
      <c r="J45" s="190" t="s">
        <v>415</v>
      </c>
      <c r="K45" s="191" t="s">
        <v>1888</v>
      </c>
      <c r="L45" s="192" t="str">
        <f>VLOOKUP(T45,통합목록!$Q$4:$T$310,2,0)</f>
        <v>열기2-01.노동법\02.문제\[기출][2][2020-1-2]대체인력 투입의 지배・개입 부당노동행위 성립 여부.txt</v>
      </c>
      <c r="M45" s="192" t="s">
        <v>1234</v>
      </c>
      <c r="N45" s="193" t="s">
        <v>1721</v>
      </c>
      <c r="O45" s="192" t="str">
        <f t="shared" si="7"/>
        <v>제15장 부당노동행위&gt;04&gt;1-2&gt;보충 포함</v>
      </c>
      <c r="P45" s="192" t="str">
        <f t="shared" si="8"/>
        <v>제15장 부당노동행위&gt;제05절 지배・개입&gt;01</v>
      </c>
      <c r="Q45" s="192" t="str">
        <f t="shared" si="9"/>
        <v>2&gt;기출&gt;2020&gt;2</v>
      </c>
      <c r="R45" s="192" t="str">
        <f t="shared" si="10"/>
        <v>2&gt;기출&gt;2020&gt;1-2</v>
      </c>
      <c r="S45" s="3"/>
      <c r="T45" s="3" t="str">
        <f t="shared" si="11"/>
        <v>2020-1-2-2</v>
      </c>
    </row>
    <row r="46" spans="2:20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">
        <v>477</v>
      </c>
      <c r="H46" s="190" t="s">
        <v>435</v>
      </c>
      <c r="I46" s="352" t="s">
        <v>478</v>
      </c>
      <c r="J46" s="190" t="s">
        <v>426</v>
      </c>
      <c r="K46" s="191" t="s">
        <v>1996</v>
      </c>
      <c r="L46" s="192" t="str">
        <f>VLOOKUP(T46,통합목록!$Q$4:$T$310,2,0)</f>
        <v>열기2-01.노동법\02.문제\[기출][2][2020-2]소수노조 대상 노조사무실 미제공의 공정대표의무 위반 여부.txt</v>
      </c>
      <c r="M46" s="192" t="s">
        <v>1234</v>
      </c>
      <c r="N46" s="193"/>
      <c r="O46" s="192" t="str">
        <f t="shared" si="7"/>
        <v>제12장 단체교섭&gt;06&gt;2&gt;</v>
      </c>
      <c r="P46" s="192" t="str">
        <f t="shared" si="8"/>
        <v>제12장 단체교섭&gt;제04절 교섭창구단일화제도&gt;03</v>
      </c>
      <c r="Q46" s="192" t="str">
        <f t="shared" si="9"/>
        <v>2&gt;기출&gt;2020&gt;1</v>
      </c>
      <c r="R46" s="192" t="str">
        <f t="shared" si="10"/>
        <v>2&gt;기출&gt;2020&gt;2</v>
      </c>
      <c r="S46" s="3"/>
      <c r="T46" s="3" t="str">
        <f t="shared" si="11"/>
        <v>2020-2-2</v>
      </c>
    </row>
    <row r="47" spans="2:20" ht="14.45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">
        <v>485</v>
      </c>
      <c r="H47" s="190" t="s">
        <v>435</v>
      </c>
      <c r="I47" s="352" t="s">
        <v>493</v>
      </c>
      <c r="J47" s="190" t="s">
        <v>415</v>
      </c>
      <c r="K47" s="191" t="s">
        <v>1997</v>
      </c>
      <c r="L47" s="192" t="str">
        <f>VLOOKUP(T47,통합목록!$Q$4:$T$310,2,0)</f>
        <v>열기2-01.노동법\02.문제\[기출][2][2019-1-1]직장폐쇄를 단행하며 노조사무실 출입을 전면 금지한 행위의 정당성 여부.txt</v>
      </c>
      <c r="M47" s="192" t="s">
        <v>1234</v>
      </c>
      <c r="N47" s="193"/>
      <c r="O47" s="192" t="str">
        <f t="shared" si="7"/>
        <v>제14장 쟁의행위&gt;06&gt;1-1&gt;</v>
      </c>
      <c r="P47" s="192" t="str">
        <f t="shared" si="8"/>
        <v>제14장 쟁의행위&gt;제06절 사용자의 쟁의행위&gt;01</v>
      </c>
      <c r="Q47" s="192" t="str">
        <f t="shared" si="9"/>
        <v>2&gt;기출&gt;2019&gt;3</v>
      </c>
      <c r="R47" s="192" t="str">
        <f t="shared" si="10"/>
        <v>2&gt;기출&gt;2019&gt;1-1</v>
      </c>
      <c r="S47" s="3"/>
      <c r="T47" s="3" t="str">
        <f t="shared" si="11"/>
        <v>2019-1-1-2</v>
      </c>
    </row>
    <row r="48" spans="2:20" ht="14.45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">
        <v>1603</v>
      </c>
      <c r="H48" s="190" t="s">
        <v>426</v>
      </c>
      <c r="I48" s="352" t="s">
        <v>1821</v>
      </c>
      <c r="J48" s="190" t="s">
        <v>415</v>
      </c>
      <c r="K48" s="191" t="s">
        <v>1998</v>
      </c>
      <c r="L48" s="192" t="str">
        <f>VLOOKUP(T48,통합목록!$Q$4:$T$310,2,0)</f>
        <v>열기2-01.노동법\02.문제\[기출][2][2019-1-2]초기업 노동조합 지회의 기업별 노동조합 조직형태 변경 결의의 유효성 여부.txt</v>
      </c>
      <c r="M48" s="192" t="s">
        <v>1234</v>
      </c>
      <c r="N48" s="193"/>
      <c r="O48" s="192" t="str">
        <f t="shared" si="7"/>
        <v>제11장 노동조합&gt;03&gt;1-2&gt;</v>
      </c>
      <c r="P48" s="192" t="str">
        <f t="shared" si="8"/>
        <v>제11장 노동조합&gt;제07절 노동조합의 합병・해산・조직변경&gt;01</v>
      </c>
      <c r="Q48" s="192" t="str">
        <f t="shared" si="9"/>
        <v>2&gt;기출&gt;2019&gt;2</v>
      </c>
      <c r="R48" s="192" t="str">
        <f t="shared" si="10"/>
        <v>2&gt;기출&gt;2019&gt;1-2</v>
      </c>
      <c r="T48" s="3" t="str">
        <f t="shared" si="11"/>
        <v>2019-1-2-2</v>
      </c>
    </row>
    <row r="49" spans="2:20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">
        <v>1478</v>
      </c>
      <c r="H49" s="190" t="s">
        <v>426</v>
      </c>
      <c r="I49" s="352" t="s">
        <v>1481</v>
      </c>
      <c r="J49" s="190" t="s">
        <v>415</v>
      </c>
      <c r="K49" s="191" t="s">
        <v>1999</v>
      </c>
      <c r="L49" s="192" t="str">
        <f>VLOOKUP(T49,통합목록!$Q$4:$T$310,2,0)</f>
        <v>열기2-01.노동법\02.문제\[기출][2][2019-2]부당노동행위의 주체로서 사용자 개념의 확장.txt</v>
      </c>
      <c r="M49" s="192" t="s">
        <v>1234</v>
      </c>
      <c r="N49" s="193"/>
      <c r="O49" s="192" t="str">
        <f t="shared" si="7"/>
        <v>제01장 노동법 총론&gt;03&gt;2&gt;</v>
      </c>
      <c r="P49" s="192" t="str">
        <f t="shared" si="8"/>
        <v>제01장 노동법 총론&gt;제07절 노동조합법상 사용자&gt;01</v>
      </c>
      <c r="Q49" s="192" t="str">
        <f t="shared" si="9"/>
        <v>2&gt;기출&gt;2019&gt;1</v>
      </c>
      <c r="R49" s="192" t="str">
        <f t="shared" si="10"/>
        <v>2&gt;기출&gt;2019&gt;2</v>
      </c>
      <c r="T49" s="3" t="str">
        <f t="shared" si="11"/>
        <v>2019-2-2</v>
      </c>
    </row>
    <row r="50" spans="2:20" ht="14.45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">
        <v>479</v>
      </c>
      <c r="H50" s="190" t="s">
        <v>1390</v>
      </c>
      <c r="I50" s="352" t="s">
        <v>482</v>
      </c>
      <c r="J50" s="190" t="s">
        <v>417</v>
      </c>
      <c r="K50" s="191" t="s">
        <v>2000</v>
      </c>
      <c r="L50" s="192" t="str">
        <f>VLOOKUP(T50,통합목록!$Q$4:$T$310,2,0)</f>
        <v>열기2-01.노동법\02.문제\[기출][2][2018-1-1]규약상 교섭안 마련 및 조합원 총의 수렴 조항을 이유로 한 사용자의 단체교섭 거부의 정당성 여부.txt</v>
      </c>
      <c r="M50" s="192" t="s">
        <v>1234</v>
      </c>
      <c r="N50" s="193"/>
      <c r="O50" s="192" t="str">
        <f t="shared" si="7"/>
        <v>제15장 부당노동행위&gt;05&gt;1-1&gt;</v>
      </c>
      <c r="P50" s="192" t="str">
        <f t="shared" si="8"/>
        <v>제15장 부당노동행위&gt;제04절 단체교섭의 거부・해태&gt;02</v>
      </c>
      <c r="Q50" s="192" t="str">
        <f t="shared" si="9"/>
        <v>2&gt;기출&gt;2018&gt;3</v>
      </c>
      <c r="R50" s="192" t="str">
        <f t="shared" si="10"/>
        <v>2&gt;기출&gt;2018&gt;1-1</v>
      </c>
      <c r="T50" s="3" t="str">
        <f t="shared" si="11"/>
        <v>2018-1-1-2</v>
      </c>
    </row>
    <row r="51" spans="2:20" ht="14.45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">
        <v>479</v>
      </c>
      <c r="H51" s="190" t="s">
        <v>1391</v>
      </c>
      <c r="I51" s="352" t="s">
        <v>482</v>
      </c>
      <c r="J51" s="190" t="s">
        <v>426</v>
      </c>
      <c r="K51" s="191" t="s">
        <v>2001</v>
      </c>
      <c r="L51" s="192" t="str">
        <f>VLOOKUP(T51,통합목록!$Q$4:$T$310,2,0)</f>
        <v>열기2-01.노동법\02.문제\[기출][2][2018-1-2]법원의 가처분 결정 이후 사용자의 단체교섭 계속 거부의 불법행위 성립 여부.txt</v>
      </c>
      <c r="M51" s="192" t="s">
        <v>1234</v>
      </c>
      <c r="N51" s="193"/>
      <c r="O51" s="192" t="str">
        <f t="shared" si="7"/>
        <v>제15장 부당노동행위&gt;06&gt;1-2&gt;</v>
      </c>
      <c r="P51" s="192" t="str">
        <f t="shared" si="8"/>
        <v>제15장 부당노동행위&gt;제04절 단체교섭의 거부・해태&gt;03</v>
      </c>
      <c r="Q51" s="192" t="str">
        <f t="shared" si="9"/>
        <v>2&gt;기출&gt;2018&gt;2</v>
      </c>
      <c r="R51" s="192" t="str">
        <f t="shared" si="10"/>
        <v>2&gt;기출&gt;2018&gt;1-2</v>
      </c>
      <c r="T51" s="3" t="str">
        <f t="shared" si="11"/>
        <v>2018-1-2-2</v>
      </c>
    </row>
    <row r="52" spans="2:20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485</v>
      </c>
      <c r="H52" s="190" t="s">
        <v>440</v>
      </c>
      <c r="I52" s="352" t="s">
        <v>1453</v>
      </c>
      <c r="J52" s="190" t="s">
        <v>417</v>
      </c>
      <c r="K52" s="191" t="s">
        <v>2002</v>
      </c>
      <c r="L52" s="192" t="str">
        <f>VLOOKUP(T52,통합목록!$Q$4:$T$310,2,0)</f>
        <v>열기2-01.노동법\02.문제\[기출][2][2018-2]직장폐쇄 후 조합원들의 임원회의실 점거 지속 및 퇴거요구 불응에 따른 정당성 상실 여부.txt</v>
      </c>
      <c r="M52" s="192" t="s">
        <v>1234</v>
      </c>
      <c r="N52" s="193" t="s">
        <v>1788</v>
      </c>
      <c r="O52" s="192" t="str">
        <f t="shared" si="7"/>
        <v>제14장 쟁의행위&gt;07&gt;2&gt;제6절과 연관</v>
      </c>
      <c r="P52" s="192" t="str">
        <f t="shared" si="8"/>
        <v>제14장 쟁의행위&gt;제04절 쟁의행위 수단・방법의 정당성&gt;02</v>
      </c>
      <c r="Q52" s="192" t="str">
        <f t="shared" si="9"/>
        <v>2&gt;기출&gt;2018&gt;1</v>
      </c>
      <c r="R52" s="192" t="str">
        <f t="shared" si="10"/>
        <v>2&gt;기출&gt;2018&gt;2</v>
      </c>
      <c r="T52" s="3" t="str">
        <f t="shared" si="11"/>
        <v>2018-2-2</v>
      </c>
    </row>
    <row r="53" spans="2:20" ht="14.45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">
        <v>485</v>
      </c>
      <c r="H53" s="190" t="s">
        <v>450</v>
      </c>
      <c r="I53" s="352" t="s">
        <v>494</v>
      </c>
      <c r="J53" s="190" t="s">
        <v>415</v>
      </c>
      <c r="K53" s="191" t="s">
        <v>2003</v>
      </c>
      <c r="L53" s="192" t="str">
        <f>VLOOKUP(T53,통합목록!$Q$4:$T$310,2,0)</f>
        <v>열기2-01.노동법\02.문제\[기출][2][2017-1-1]관행적 연장근로에 대한 집단적 거부가 노조법상 쟁의행위에 해당하는지 여부.txt</v>
      </c>
      <c r="M53" s="192" t="s">
        <v>1234</v>
      </c>
      <c r="N53" s="193"/>
      <c r="O53" s="192" t="str">
        <f t="shared" si="7"/>
        <v>제14장 쟁의행위&gt;09&gt;1-1&gt;</v>
      </c>
      <c r="P53" s="192" t="str">
        <f t="shared" si="8"/>
        <v>제14장 쟁의행위&gt;제05절 준법투쟁&gt;01</v>
      </c>
      <c r="Q53" s="192" t="str">
        <f t="shared" si="9"/>
        <v>2&gt;기출&gt;2017&gt;3</v>
      </c>
      <c r="R53" s="192" t="str">
        <f t="shared" si="10"/>
        <v>2&gt;기출&gt;2017&gt;1-1</v>
      </c>
      <c r="T53" s="3" t="str">
        <f t="shared" si="11"/>
        <v>2017-1-1-2</v>
      </c>
    </row>
    <row r="54" spans="2:20" ht="14.45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">
        <v>485</v>
      </c>
      <c r="H54" s="190" t="s">
        <v>453</v>
      </c>
      <c r="I54" s="352" t="s">
        <v>493</v>
      </c>
      <c r="J54" s="190" t="s">
        <v>417</v>
      </c>
      <c r="K54" s="191" t="s">
        <v>2004</v>
      </c>
      <c r="L54" s="192" t="str">
        <f>VLOOKUP(T54,통합목록!$Q$4:$T$310,2,0)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1234</v>
      </c>
      <c r="N54" s="193"/>
      <c r="O54" s="192" t="str">
        <f t="shared" si="7"/>
        <v>제14장 쟁의행위&gt;10&gt;1-2&gt;</v>
      </c>
      <c r="P54" s="192" t="str">
        <f t="shared" si="8"/>
        <v>제14장 쟁의행위&gt;제06절 사용자의 쟁의행위&gt;02</v>
      </c>
      <c r="Q54" s="192" t="str">
        <f t="shared" si="9"/>
        <v>2&gt;기출&gt;2017&gt;2</v>
      </c>
      <c r="R54" s="192" t="str">
        <f t="shared" si="10"/>
        <v>2&gt;기출&gt;2017&gt;1-2</v>
      </c>
      <c r="T54" s="3" t="str">
        <f t="shared" si="11"/>
        <v>2017-1-2-2</v>
      </c>
    </row>
    <row r="55" spans="2:20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">
        <v>479</v>
      </c>
      <c r="H55" s="190" t="s">
        <v>1392</v>
      </c>
      <c r="I55" s="352" t="s">
        <v>492</v>
      </c>
      <c r="J55" s="190" t="s">
        <v>417</v>
      </c>
      <c r="K55" s="191" t="s">
        <v>2005</v>
      </c>
      <c r="L55" s="192" t="str">
        <f>VLOOKUP(T55,통합목록!$Q$4:$T$310,2,0)</f>
        <v>열기2-01.노동법\02.문제\[기출][2][2017-2]근로시간면제한도를 현저히 초과하여 체결한 단체협약의 부당노동행위 성립 여부.txt</v>
      </c>
      <c r="M55" s="192" t="s">
        <v>1234</v>
      </c>
      <c r="N55" s="193"/>
      <c r="O55" s="192" t="str">
        <f t="shared" si="7"/>
        <v>제15장 부당노동행위&gt;07&gt;2&gt;</v>
      </c>
      <c r="P55" s="192" t="str">
        <f t="shared" si="8"/>
        <v>제15장 부당노동행위&gt;제05절 지배・개입&gt;02</v>
      </c>
      <c r="Q55" s="192" t="str">
        <f t="shared" si="9"/>
        <v>2&gt;기출&gt;2017&gt;1</v>
      </c>
      <c r="R55" s="192" t="str">
        <f t="shared" si="10"/>
        <v>2&gt;기출&gt;2017&gt;2</v>
      </c>
      <c r="T55" s="3" t="str">
        <f t="shared" si="11"/>
        <v>2017-2-2</v>
      </c>
    </row>
    <row r="56" spans="2:20" ht="14.45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">
        <v>479</v>
      </c>
      <c r="H56" s="190" t="s">
        <v>1393</v>
      </c>
      <c r="I56" s="352" t="s">
        <v>492</v>
      </c>
      <c r="J56" s="190" t="s">
        <v>426</v>
      </c>
      <c r="K56" s="191" t="s">
        <v>2006</v>
      </c>
      <c r="L56" s="192" t="str">
        <f>VLOOKUP(T56,통합목록!$Q$4:$T$310,2,0)</f>
        <v>열기2-01.노동법\02.문제\[기출][2][2016-1-1]무효인 단체협약을 근거로 지급되던 노동조합 운영비 지급 중단의 정당성.txt</v>
      </c>
      <c r="M56" s="192" t="s">
        <v>1234</v>
      </c>
      <c r="N56" s="193"/>
      <c r="O56" s="192" t="str">
        <f t="shared" si="7"/>
        <v>제15장 부당노동행위&gt;08&gt;1-1&gt;</v>
      </c>
      <c r="P56" s="192" t="str">
        <f t="shared" si="8"/>
        <v>제15장 부당노동행위&gt;제05절 지배・개입&gt;03</v>
      </c>
      <c r="Q56" s="192" t="str">
        <f t="shared" si="9"/>
        <v>2&gt;기출&gt;2016&gt;3</v>
      </c>
      <c r="R56" s="192" t="str">
        <f t="shared" si="10"/>
        <v>2&gt;기출&gt;2016&gt;1-1</v>
      </c>
      <c r="T56" s="3" t="str">
        <f t="shared" si="11"/>
        <v>2016-1-1-2</v>
      </c>
    </row>
    <row r="57" spans="2:20" ht="14.45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">
        <v>479</v>
      </c>
      <c r="H57" s="190" t="s">
        <v>1394</v>
      </c>
      <c r="I57" s="352" t="s">
        <v>481</v>
      </c>
      <c r="J57" s="190" t="s">
        <v>417</v>
      </c>
      <c r="K57" s="191" t="s">
        <v>2007</v>
      </c>
      <c r="L57" s="192" t="str">
        <f>VLOOKUP(T57,통합목록!$Q$4:$T$310,2,0)</f>
        <v>열기2-01.노동법\02.문제\[기출][2][2016-1-2]정리해고의 불이익 취급 부당노동행위 성립에 관한 입증책임의 소재 및 구체적인 입증방법.txt</v>
      </c>
      <c r="M57" s="192" t="s">
        <v>1234</v>
      </c>
      <c r="N57" s="193"/>
      <c r="O57" s="192" t="str">
        <f t="shared" si="7"/>
        <v>제15장 부당노동행위&gt;09&gt;1-2&gt;</v>
      </c>
      <c r="P57" s="192" t="str">
        <f t="shared" si="8"/>
        <v>제15장 부당노동행위&gt;제02절 불이익취급&gt;02</v>
      </c>
      <c r="Q57" s="192" t="str">
        <f t="shared" si="9"/>
        <v>2&gt;기출&gt;2016&gt;2</v>
      </c>
      <c r="R57" s="192" t="str">
        <f t="shared" si="10"/>
        <v>2&gt;기출&gt;2016&gt;1-2</v>
      </c>
      <c r="T57" s="3" t="str">
        <f t="shared" si="11"/>
        <v>2016-1-2-2</v>
      </c>
    </row>
    <row r="58" spans="2:20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">
        <v>488</v>
      </c>
      <c r="H58" s="190" t="s">
        <v>426</v>
      </c>
      <c r="I58" s="352" t="s">
        <v>484</v>
      </c>
      <c r="J58" s="190" t="s">
        <v>417</v>
      </c>
      <c r="K58" s="191" t="s">
        <v>2008</v>
      </c>
      <c r="L58" s="192" t="str">
        <f>VLOOKUP(T58,통합목록!$Q$4:$T$310,2,0)</f>
        <v>열기2-01.노동법\02.문제\[기출][2][2016-2]비조합원에 대한 징계처분 시 단체협약상 재심절차 준수 필요 여부.txt</v>
      </c>
      <c r="M58" s="192" t="s">
        <v>1234</v>
      </c>
      <c r="N58" s="193" t="s">
        <v>495</v>
      </c>
      <c r="O58" s="192" t="str">
        <f t="shared" si="7"/>
        <v>제13장 단체협약&gt;03&gt;2&gt;노조법 제35조</v>
      </c>
      <c r="P58" s="192" t="str">
        <f t="shared" si="8"/>
        <v>제13장 단체협약&gt;제03절 단체협약의 효력&gt;02</v>
      </c>
      <c r="Q58" s="192" t="str">
        <f t="shared" si="9"/>
        <v>2&gt;기출&gt;2016&gt;1</v>
      </c>
      <c r="R58" s="192" t="str">
        <f t="shared" si="10"/>
        <v>2&gt;기출&gt;2016&gt;2</v>
      </c>
      <c r="T58" s="3" t="str">
        <f t="shared" si="11"/>
        <v>2016-2-2</v>
      </c>
    </row>
    <row r="59" spans="2:20" ht="14.45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">
        <v>479</v>
      </c>
      <c r="H59" s="190" t="s">
        <v>1395</v>
      </c>
      <c r="I59" s="352" t="s">
        <v>481</v>
      </c>
      <c r="J59" s="190" t="s">
        <v>426</v>
      </c>
      <c r="K59" s="191" t="s">
        <v>2009</v>
      </c>
      <c r="L59" s="192" t="str">
        <f>VLOOKUP(T59,통합목록!$Q$4:$T$310,2,0)</f>
        <v>열기2-01.노동법\02.문제\[기출][2][2015-1]사내 무단 유인물 배포를 이유로 한 징계해고의 정당성 및 불이익취급 부당노동행위 성립 여부.txt</v>
      </c>
      <c r="M59" s="192" t="s">
        <v>1234</v>
      </c>
      <c r="N59" s="193"/>
      <c r="O59" s="192" t="str">
        <f t="shared" si="7"/>
        <v>제15장 부당노동행위&gt;10&gt;1&gt;</v>
      </c>
      <c r="P59" s="192" t="str">
        <f t="shared" si="8"/>
        <v>제15장 부당노동행위&gt;제02절 불이익취급&gt;03</v>
      </c>
      <c r="Q59" s="192" t="str">
        <f t="shared" si="9"/>
        <v>2&gt;기출&gt;2015&gt;2</v>
      </c>
      <c r="R59" s="192" t="str">
        <f t="shared" si="10"/>
        <v>2&gt;기출&gt;2015&gt;1</v>
      </c>
      <c r="T59" s="3" t="str">
        <f t="shared" si="11"/>
        <v>2015-1-2</v>
      </c>
    </row>
    <row r="60" spans="2:20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">
        <v>485</v>
      </c>
      <c r="H60" s="190" t="s">
        <v>460</v>
      </c>
      <c r="I60" s="352" t="s">
        <v>493</v>
      </c>
      <c r="J60" s="190" t="s">
        <v>426</v>
      </c>
      <c r="K60" s="191" t="s">
        <v>2010</v>
      </c>
      <c r="L60" s="192" t="str">
        <f>VLOOKUP(T60,통합목록!$Q$4:$T$310,2,0)</f>
        <v>열기2-01.노동법\02.문제\[기출][2][2015-2]사용자의 정당한 직장폐쇄의 개념, 요건, 법적 효과.txt</v>
      </c>
      <c r="M60" s="192" t="s">
        <v>1234</v>
      </c>
      <c r="N60" s="193"/>
      <c r="O60" s="192" t="str">
        <f t="shared" si="7"/>
        <v>제14장 쟁의행위&gt;11&gt;2&gt;</v>
      </c>
      <c r="P60" s="192" t="str">
        <f t="shared" si="8"/>
        <v>제14장 쟁의행위&gt;제06절 사용자의 쟁의행위&gt;03</v>
      </c>
      <c r="Q60" s="192" t="str">
        <f t="shared" si="9"/>
        <v>2&gt;기출&gt;2015&gt;1</v>
      </c>
      <c r="R60" s="192" t="str">
        <f t="shared" si="10"/>
        <v>2&gt;기출&gt;2015&gt;2</v>
      </c>
      <c r="T60" s="3" t="str">
        <f t="shared" si="11"/>
        <v>2015-2-2</v>
      </c>
    </row>
    <row r="61" spans="2:20" ht="14.45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">
        <v>488</v>
      </c>
      <c r="H61" s="190" t="s">
        <v>430</v>
      </c>
      <c r="I61" s="352" t="s">
        <v>496</v>
      </c>
      <c r="J61" s="190" t="s">
        <v>415</v>
      </c>
      <c r="K61" s="191" t="s">
        <v>2011</v>
      </c>
      <c r="L61" s="192" t="str">
        <f>VLOOKUP(T61,통합목록!$Q$4:$T$310,2,0)</f>
        <v>열기2-01.노동법\02.문제\[기출][2][2014-1-1]특별단체협약상 정리해고에 대한 합의 조항을 협의로 변형 해석할 수 있는지 여부.txt</v>
      </c>
      <c r="M61" s="192" t="s">
        <v>1234</v>
      </c>
      <c r="N61" s="193"/>
      <c r="O61" s="192" t="str">
        <f t="shared" si="7"/>
        <v>제13장 단체협약&gt;04&gt;1-1&gt;</v>
      </c>
      <c r="P61" s="192" t="str">
        <f t="shared" si="8"/>
        <v>제13장 단체협약&gt;제05절 단체협약의 해석&gt;01</v>
      </c>
      <c r="Q61" s="192" t="str">
        <f t="shared" si="9"/>
        <v>2&gt;기출&gt;2014&gt;3</v>
      </c>
      <c r="R61" s="192" t="str">
        <f t="shared" si="10"/>
        <v>2&gt;기출&gt;2014&gt;1-1</v>
      </c>
      <c r="T61" s="3" t="str">
        <f t="shared" si="11"/>
        <v>2014-1-1-2</v>
      </c>
    </row>
    <row r="62" spans="2:20" ht="14.45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">
        <v>414</v>
      </c>
      <c r="H62" s="190" t="s">
        <v>472</v>
      </c>
      <c r="I62" s="352" t="s">
        <v>432</v>
      </c>
      <c r="J62" s="190" t="s">
        <v>426</v>
      </c>
      <c r="K62" s="191" t="s">
        <v>2012</v>
      </c>
      <c r="L62" s="192" t="str">
        <f>VLOOKUP(T62,통합목록!$Q$4:$T$310,2,0)</f>
        <v>열기2-01.노동법\02.문제\[기출][2][2014-1-2]단체협약상 규정된 합의 없이 실시한 정리해고의 유효성.txt</v>
      </c>
      <c r="M62" s="192" t="s">
        <v>1234</v>
      </c>
      <c r="N62" s="193"/>
      <c r="O62" s="192" t="str">
        <f t="shared" si="7"/>
        <v>제08장 근로관계의 종료&gt;14&gt;1-2&gt;</v>
      </c>
      <c r="P62" s="192" t="str">
        <f t="shared" si="8"/>
        <v>제08장 근로관계의 종료&gt;제03절 해고의 절차적 정당성&gt;03</v>
      </c>
      <c r="Q62" s="192" t="str">
        <f t="shared" si="9"/>
        <v>2&gt;기출&gt;2014&gt;2</v>
      </c>
      <c r="R62" s="192" t="str">
        <f t="shared" si="10"/>
        <v>2&gt;기출&gt;2014&gt;1-2</v>
      </c>
      <c r="T62" s="3" t="str">
        <f t="shared" si="11"/>
        <v>2014-1-2-2</v>
      </c>
    </row>
    <row r="63" spans="2:20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479</v>
      </c>
      <c r="H63" s="190" t="s">
        <v>1396</v>
      </c>
      <c r="I63" s="352" t="s">
        <v>492</v>
      </c>
      <c r="J63" s="190" t="s">
        <v>430</v>
      </c>
      <c r="K63" s="191" t="s">
        <v>2013</v>
      </c>
      <c r="L63" s="192" t="str">
        <f>VLOOKUP(T63,통합목록!$Q$4:$T$310,2,0)</f>
        <v>열기2-01.노동법\02.문제\[기출][2][2014-2]사용자의 언론의 자유와 부당노동행위의 관계.txt</v>
      </c>
      <c r="M63" s="192" t="s">
        <v>1234</v>
      </c>
      <c r="N63" s="193"/>
      <c r="O63" s="192" t="str">
        <f t="shared" si="7"/>
        <v>제15장 부당노동행위&gt;11&gt;2&gt;</v>
      </c>
      <c r="P63" s="192" t="str">
        <f t="shared" si="8"/>
        <v>제15장 부당노동행위&gt;제05절 지배・개입&gt;04</v>
      </c>
      <c r="Q63" s="192" t="str">
        <f t="shared" si="9"/>
        <v>2&gt;기출&gt;2014&gt;1</v>
      </c>
      <c r="R63" s="192" t="str">
        <f t="shared" si="10"/>
        <v>2&gt;기출&gt;2014&gt;2</v>
      </c>
      <c r="T63" s="3" t="str">
        <f t="shared" si="11"/>
        <v>2014-2-2</v>
      </c>
    </row>
    <row r="64" spans="2:20" ht="14.45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">
        <v>485</v>
      </c>
      <c r="H64" s="190" t="s">
        <v>465</v>
      </c>
      <c r="I64" s="352" t="s">
        <v>499</v>
      </c>
      <c r="J64" s="190" t="s">
        <v>415</v>
      </c>
      <c r="K64" s="191" t="s">
        <v>2014</v>
      </c>
      <c r="L64" s="192" t="str">
        <f>VLOOKUP(T64,통합목록!$Q$4:$T$310,2,0)</f>
        <v>열기2-01.노동법\02.문제\[기출][2][2013-1-1]설립 미신고 지부노동조합의 쟁의행위에 대한 주체의 정당성.txt</v>
      </c>
      <c r="M64" s="192" t="s">
        <v>1234</v>
      </c>
      <c r="N64" s="193"/>
      <c r="O64" s="192" t="str">
        <f t="shared" si="7"/>
        <v>제14장 쟁의행위&gt;12&gt;1-1&gt;</v>
      </c>
      <c r="P64" s="192" t="str">
        <f t="shared" si="8"/>
        <v>제14장 쟁의행위&gt;제01절 쟁의행위 주체의 정당성&gt;01</v>
      </c>
      <c r="Q64" s="192" t="str">
        <f t="shared" si="9"/>
        <v>2&gt;기출&gt;2013&gt;3</v>
      </c>
      <c r="R64" s="192" t="str">
        <f t="shared" si="10"/>
        <v>2&gt;기출&gt;2013&gt;1-1</v>
      </c>
      <c r="T64" s="3" t="str">
        <f t="shared" si="11"/>
        <v>2013-1-1-2</v>
      </c>
    </row>
    <row r="65" spans="2:20" ht="14.45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">
        <v>485</v>
      </c>
      <c r="H65" s="190" t="s">
        <v>469</v>
      </c>
      <c r="I65" s="352" t="s">
        <v>491</v>
      </c>
      <c r="J65" s="190" t="s">
        <v>417</v>
      </c>
      <c r="K65" s="191" t="s">
        <v>2015</v>
      </c>
      <c r="L65" s="192" t="str">
        <f>VLOOKUP(T65,통합목록!$Q$4:$T$310,2,0)</f>
        <v>열기2-01.노동법\02.문제\[기출][2][2013-1-2]설립 미신고 지부노동조합의 쟁의행위에 대한 목적의 정당성.txt</v>
      </c>
      <c r="M65" s="192" t="s">
        <v>1234</v>
      </c>
      <c r="N65" s="193"/>
      <c r="O65" s="192" t="str">
        <f t="shared" si="7"/>
        <v>제14장 쟁의행위&gt;13&gt;1-2&gt;</v>
      </c>
      <c r="P65" s="192" t="str">
        <f t="shared" si="8"/>
        <v>제14장 쟁의행위&gt;제02절 쟁의행위 목적의 정당성&gt;02</v>
      </c>
      <c r="Q65" s="192" t="str">
        <f t="shared" si="9"/>
        <v>2&gt;기출&gt;2013&gt;2</v>
      </c>
      <c r="R65" s="192" t="str">
        <f t="shared" si="10"/>
        <v>2&gt;기출&gt;2013&gt;1-2</v>
      </c>
      <c r="T65" s="3" t="str">
        <f t="shared" si="11"/>
        <v>2013-1-2-2</v>
      </c>
    </row>
    <row r="66" spans="2:20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">
        <v>1603</v>
      </c>
      <c r="H66" s="190" t="s">
        <v>430</v>
      </c>
      <c r="I66" s="352" t="s">
        <v>500</v>
      </c>
      <c r="J66" s="190" t="s">
        <v>415</v>
      </c>
      <c r="K66" s="191" t="s">
        <v>2016</v>
      </c>
      <c r="L66" s="192" t="str">
        <f>VLOOKUP(T66,통합목록!$Q$4:$T$310,2,0)</f>
        <v>열기2-01.노동법\02.문제\[기출][2][2013-2]조합의 지지 정당 결정에 반하여 다른 정당을 지지한 조합원에 대한 제명처분의 효력.txt</v>
      </c>
      <c r="M66" s="192" t="s">
        <v>1234</v>
      </c>
      <c r="N66" s="193"/>
      <c r="O66" s="192" t="str">
        <f t="shared" si="7"/>
        <v>제11장 노동조합&gt;04&gt;2&gt;</v>
      </c>
      <c r="P66" s="192" t="str">
        <f t="shared" si="8"/>
        <v>제11장 노동조합&gt;제06절 노동조합의 내부통제권&gt;01</v>
      </c>
      <c r="Q66" s="192" t="str">
        <f t="shared" si="9"/>
        <v>2&gt;기출&gt;2013&gt;1</v>
      </c>
      <c r="R66" s="192" t="str">
        <f t="shared" si="10"/>
        <v>2&gt;기출&gt;2013&gt;2</v>
      </c>
      <c r="T66" s="3" t="str">
        <f t="shared" si="11"/>
        <v>2013-2-2</v>
      </c>
    </row>
    <row r="67" spans="2:20" ht="14.45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">
        <v>488</v>
      </c>
      <c r="H67" s="190" t="s">
        <v>431</v>
      </c>
      <c r="I67" s="352" t="s">
        <v>484</v>
      </c>
      <c r="J67" s="190" t="s">
        <v>426</v>
      </c>
      <c r="K67" s="191" t="s">
        <v>2017</v>
      </c>
      <c r="L67" s="192" t="str">
        <f>VLOOKUP(T67,통합목록!$Q$4:$T$310,2,0)</f>
        <v>열기2-01.노동법\02.문제\[기출][2][2012-1-1]특별노사합의를 통한 고정상여금 미지급 결정의 효력 및 조합원 개별 동의의 필요성 여부.txt</v>
      </c>
      <c r="M67" s="192" t="s">
        <v>1234</v>
      </c>
      <c r="N67" s="193"/>
      <c r="O67" s="192" t="str">
        <f t="shared" si="7"/>
        <v>제13장 단체협약&gt;05&gt;1-1&gt;</v>
      </c>
      <c r="P67" s="192" t="str">
        <f t="shared" si="8"/>
        <v>제13장 단체협약&gt;제03절 단체협약의 효력&gt;03</v>
      </c>
      <c r="Q67" s="192" t="str">
        <f t="shared" si="9"/>
        <v>2&gt;기출&gt;2012&gt;3</v>
      </c>
      <c r="R67" s="192" t="str">
        <f t="shared" si="10"/>
        <v>2&gt;기출&gt;2012&gt;1-1</v>
      </c>
      <c r="T67" s="3" t="str">
        <f t="shared" si="11"/>
        <v>2012-1-1-2</v>
      </c>
    </row>
    <row r="68" spans="2:20" ht="14.45" customHeight="1" x14ac:dyDescent="0.2">
      <c r="B68" s="188">
        <f t="shared" ref="B68:B99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">
        <v>488</v>
      </c>
      <c r="H68" s="190" t="s">
        <v>435</v>
      </c>
      <c r="I68" s="352" t="s">
        <v>484</v>
      </c>
      <c r="J68" s="190" t="s">
        <v>430</v>
      </c>
      <c r="K68" s="191" t="s">
        <v>2018</v>
      </c>
      <c r="L68" s="192" t="str">
        <f>VLOOKUP(T68,통합목록!$Q$4:$T$310,2,0)</f>
        <v>열기2-01.노동법\02.문제\[기출][2][2012-1-2]특별노사합의를 통한 무단결근 면직기준 단축의 효력 및 조합원에 대한 적용 정당성 여부.txt</v>
      </c>
      <c r="M68" s="192" t="s">
        <v>1234</v>
      </c>
      <c r="N68" s="193"/>
      <c r="O68" s="192" t="str">
        <f t="shared" ref="O68:O99" si="13">G68&amp;"&gt;"&amp;H68&amp;"&gt;"&amp;D68&amp;"&gt;"&amp;N68</f>
        <v>제13장 단체협약&gt;06&gt;1-2&gt;</v>
      </c>
      <c r="P68" s="192" t="str">
        <f t="shared" ref="P68:P99" si="14">G68&amp;"&gt;"&amp;I68&amp;"&gt;"&amp;J68</f>
        <v>제13장 단체협약&gt;제03절 단체협약의 효력&gt;04</v>
      </c>
      <c r="Q68" s="192" t="str">
        <f t="shared" ref="Q68:Q99" si="15">E68&amp;"&gt;"&amp;M68&amp;"&gt;"&amp;C68&amp;"&gt;"&amp;F68</f>
        <v>2&gt;기출&gt;2012&gt;2</v>
      </c>
      <c r="R68" s="192" t="str">
        <f t="shared" ref="R68:R99" si="16">E68&amp;"&gt;"&amp;M68&amp;"&gt;"&amp;C68&amp;"&gt;"&amp;D68</f>
        <v>2&gt;기출&gt;2012&gt;1-2</v>
      </c>
      <c r="T68" s="3" t="str">
        <f t="shared" ref="T68:T99" si="17">C68&amp;"-"&amp;D68&amp;"-"&amp;E68</f>
        <v>2012-1-2-2</v>
      </c>
    </row>
    <row r="69" spans="2:20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">
        <v>1603</v>
      </c>
      <c r="H69" s="190" t="s">
        <v>501</v>
      </c>
      <c r="I69" s="352" t="s">
        <v>487</v>
      </c>
      <c r="J69" s="190" t="s">
        <v>417</v>
      </c>
      <c r="K69" s="191" t="s">
        <v>2019</v>
      </c>
      <c r="L69" s="192" t="str">
        <f>VLOOKUP(T69,통합목록!$Q$4:$T$310,2,0)</f>
        <v>열기2-01.노동법\02.문제\[기출][2][2012-2]노동조합법상 노동조합 참가가 금지되는 사용자 및 그 이익대표자의 범위와 판단 기준.txt</v>
      </c>
      <c r="M69" s="192" t="s">
        <v>1234</v>
      </c>
      <c r="N69" s="193"/>
      <c r="O69" s="192" t="str">
        <f t="shared" si="13"/>
        <v>제11장 노동조합&gt;05&gt;2&gt;</v>
      </c>
      <c r="P69" s="192" t="str">
        <f t="shared" si="14"/>
        <v>제11장 노동조합&gt;제01절 노동조합의 설립요건&gt;02</v>
      </c>
      <c r="Q69" s="192" t="str">
        <f t="shared" si="15"/>
        <v>2&gt;기출&gt;2012&gt;1</v>
      </c>
      <c r="R69" s="192" t="str">
        <f t="shared" si="16"/>
        <v>2&gt;기출&gt;2012&gt;2</v>
      </c>
      <c r="T69" s="3" t="str">
        <f t="shared" si="17"/>
        <v>2012-2-2</v>
      </c>
    </row>
    <row r="70" spans="2:20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">
        <v>477</v>
      </c>
      <c r="H70" s="190" t="s">
        <v>440</v>
      </c>
      <c r="I70" s="352" t="s">
        <v>502</v>
      </c>
      <c r="J70" s="190" t="s">
        <v>417</v>
      </c>
      <c r="K70" s="191" t="s">
        <v>2020</v>
      </c>
      <c r="L70" s="192" t="str">
        <f>VLOOKUP(T70,통합목록!$Q$4:$T$310,2,0)</f>
        <v>열기2-01.노동법\02.문제\[기출][2][2011-1]산별노동조합 지회의 단체교섭 주체성 인정 여부, 사업부 매각 결정(경영권)의 단체교섭 대상성 여부.txt</v>
      </c>
      <c r="M70" s="192" t="s">
        <v>1234</v>
      </c>
      <c r="N70" s="193"/>
      <c r="O70" s="192" t="str">
        <f t="shared" si="13"/>
        <v>제12장 단체교섭&gt;07&gt;1&gt;</v>
      </c>
      <c r="P70" s="192" t="str">
        <f t="shared" si="14"/>
        <v>제12장 단체교섭&gt;제01절 단체교섭의 당사자&gt;02</v>
      </c>
      <c r="Q70" s="192" t="str">
        <f t="shared" si="15"/>
        <v>2&gt;기출&gt;2011&gt;3</v>
      </c>
      <c r="R70" s="192" t="str">
        <f t="shared" si="16"/>
        <v>2&gt;기출&gt;2011&gt;1</v>
      </c>
      <c r="T70" s="3" t="str">
        <f t="shared" si="17"/>
        <v>2011-1-2</v>
      </c>
    </row>
    <row r="71" spans="2:20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477</v>
      </c>
      <c r="H71" s="190" t="s">
        <v>447</v>
      </c>
      <c r="I71" s="352" t="s">
        <v>1827</v>
      </c>
      <c r="J71" s="190" t="s">
        <v>415</v>
      </c>
      <c r="K71" s="191" t="s">
        <v>1889</v>
      </c>
      <c r="L71" s="192" t="str">
        <f>VLOOKUP(T71,통합목록!$Q$4:$T$310,2,0)</f>
        <v>열기2-01.노동법\02.문제\[기출][2][2011-1]산별노동조합 지회의 단체교섭 주체성 인정 여부, 사업부 매각 결정(경영권)의 단체교섭 대상성 여부.txt</v>
      </c>
      <c r="M71" s="192" t="s">
        <v>1234</v>
      </c>
      <c r="N71" s="193"/>
      <c r="O71" s="192" t="str">
        <f t="shared" si="13"/>
        <v>제12장 단체교섭&gt;08&gt;1&gt;</v>
      </c>
      <c r="P71" s="192" t="str">
        <f t="shared" si="14"/>
        <v>제12장 단체교섭&gt;제03절 단체교섭의 대상&gt;01</v>
      </c>
      <c r="Q71" s="192" t="str">
        <f t="shared" si="15"/>
        <v>2&gt;기출&gt;2011&gt;2</v>
      </c>
      <c r="R71" s="192" t="str">
        <f t="shared" si="16"/>
        <v>2&gt;기출&gt;2011&gt;1</v>
      </c>
      <c r="T71" s="3" t="str">
        <f t="shared" si="17"/>
        <v>2011-1-2</v>
      </c>
    </row>
    <row r="72" spans="2:20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485</v>
      </c>
      <c r="H72" s="190" t="s">
        <v>472</v>
      </c>
      <c r="I72" s="352" t="s">
        <v>494</v>
      </c>
      <c r="J72" s="190" t="s">
        <v>417</v>
      </c>
      <c r="K72" s="191" t="s">
        <v>2021</v>
      </c>
      <c r="L72" s="192" t="str">
        <f>VLOOKUP(T72,통합목록!$Q$4:$T$310,2,0)</f>
        <v>열기2-01.노동법\02.문제\[기출][2][2011-2]준법투쟁의 개념과 법적 성격, 유형, 관련 판례법리, 효과 및 활용.txt</v>
      </c>
      <c r="M72" s="192" t="s">
        <v>1234</v>
      </c>
      <c r="N72" s="193"/>
      <c r="O72" s="192" t="str">
        <f t="shared" si="13"/>
        <v>제14장 쟁의행위&gt;14&gt;2&gt;</v>
      </c>
      <c r="P72" s="192" t="str">
        <f t="shared" si="14"/>
        <v>제14장 쟁의행위&gt;제05절 준법투쟁&gt;02</v>
      </c>
      <c r="Q72" s="192" t="str">
        <f t="shared" si="15"/>
        <v>2&gt;기출&gt;2011&gt;1</v>
      </c>
      <c r="R72" s="192" t="str">
        <f t="shared" si="16"/>
        <v>2&gt;기출&gt;2011&gt;2</v>
      </c>
      <c r="T72" s="3" t="str">
        <f t="shared" si="17"/>
        <v>2011-2-2</v>
      </c>
    </row>
    <row r="73" spans="2:20" ht="14.45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">
        <v>488</v>
      </c>
      <c r="H73" s="190" t="s">
        <v>440</v>
      </c>
      <c r="I73" s="352" t="s">
        <v>489</v>
      </c>
      <c r="J73" s="190" t="s">
        <v>417</v>
      </c>
      <c r="K73" s="191" t="s">
        <v>2022</v>
      </c>
      <c r="L73" s="192" t="str">
        <f>VLOOKUP(T73,통합목록!$Q$4:$T$310,2,0)</f>
        <v>열기2-01.노동법\02.문제\[기출][2][2010-1]단체협약 만료 후 법정연장기간 내에 노동조합과의 사전합의 없이 행해진 해고의 효력.txt</v>
      </c>
      <c r="M73" s="192" t="s">
        <v>1234</v>
      </c>
      <c r="N73" s="193" t="s">
        <v>1723</v>
      </c>
      <c r="O73" s="192" t="str">
        <f t="shared" si="13"/>
        <v>제13장 단체협약&gt;07&gt;1&gt;보충 포함, 규범적 효력/채무적 효력</v>
      </c>
      <c r="P73" s="192" t="str">
        <f t="shared" si="14"/>
        <v>제13장 단체협약&gt;제08절 단체협약의 실효 및 실효 후의 근로관계&gt;02</v>
      </c>
      <c r="Q73" s="192" t="str">
        <f t="shared" si="15"/>
        <v>2&gt;기출&gt;2010&gt;2</v>
      </c>
      <c r="R73" s="192" t="str">
        <f t="shared" si="16"/>
        <v>2&gt;기출&gt;2010&gt;1</v>
      </c>
      <c r="T73" s="3" t="str">
        <f t="shared" si="17"/>
        <v>2010-1-2</v>
      </c>
    </row>
    <row r="74" spans="2:20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">
        <v>485</v>
      </c>
      <c r="H74" s="190" t="s">
        <v>504</v>
      </c>
      <c r="I74" s="352" t="s">
        <v>505</v>
      </c>
      <c r="J74" s="190" t="s">
        <v>415</v>
      </c>
      <c r="K74" s="191" t="s">
        <v>2023</v>
      </c>
      <c r="L74" s="192" t="str">
        <f>VLOOKUP(T74,통합목록!$Q$4:$T$310,2,0)</f>
        <v>열기2-01.노동법\02.문제\[기출][2][2010-2]노동조합 쟁의행위의 절차적 정당성의 요건, 절차 위반 시 효력.txt</v>
      </c>
      <c r="M74" s="192" t="s">
        <v>1234</v>
      </c>
      <c r="N74" s="193"/>
      <c r="O74" s="192" t="str">
        <f t="shared" si="13"/>
        <v>제14장 쟁의행위&gt;15&gt;2&gt;</v>
      </c>
      <c r="P74" s="192" t="str">
        <f t="shared" si="14"/>
        <v>제14장 쟁의행위&gt;제03절 쟁의행위 시기・절차의 정당성&gt;01</v>
      </c>
      <c r="Q74" s="192" t="str">
        <f t="shared" si="15"/>
        <v>2&gt;기출&gt;2010&gt;1</v>
      </c>
      <c r="R74" s="192" t="str">
        <f t="shared" si="16"/>
        <v>2&gt;기출&gt;2010&gt;2</v>
      </c>
      <c r="T74" s="3" t="str">
        <f t="shared" si="17"/>
        <v>2010-2-2</v>
      </c>
    </row>
    <row r="75" spans="2:20" ht="14.45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">
        <v>477</v>
      </c>
      <c r="H75" s="190" t="s">
        <v>450</v>
      </c>
      <c r="I75" s="352" t="s">
        <v>502</v>
      </c>
      <c r="J75" s="190" t="s">
        <v>426</v>
      </c>
      <c r="K75" s="191" t="s">
        <v>2024</v>
      </c>
      <c r="L75" s="192" t="str">
        <f>VLOOKUP(T75,통합목록!$Q$4:$T$310,2,0)</f>
        <v>열기2-01.노동법\02.문제\[기출][2][2009-1]도급 또는 파견 계약 관계에서 노조법상 사용자로서 단체교섭 의무 부담 여부.txt</v>
      </c>
      <c r="M75" s="192" t="s">
        <v>1234</v>
      </c>
      <c r="N75" s="193"/>
      <c r="O75" s="192" t="str">
        <f t="shared" si="13"/>
        <v>제12장 단체교섭&gt;09&gt;1&gt;</v>
      </c>
      <c r="P75" s="192" t="str">
        <f t="shared" si="14"/>
        <v>제12장 단체교섭&gt;제01절 단체교섭의 당사자&gt;03</v>
      </c>
      <c r="Q75" s="192" t="str">
        <f t="shared" si="15"/>
        <v>2&gt;기출&gt;2009&gt;3</v>
      </c>
      <c r="R75" s="192" t="str">
        <f t="shared" si="16"/>
        <v>2&gt;기출&gt;2009&gt;1</v>
      </c>
      <c r="T75" s="3" t="str">
        <f t="shared" si="17"/>
        <v>2009-1-2</v>
      </c>
    </row>
    <row r="76" spans="2:20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485</v>
      </c>
      <c r="H76" s="190" t="s">
        <v>506</v>
      </c>
      <c r="I76" s="352" t="s">
        <v>493</v>
      </c>
      <c r="J76" s="190" t="s">
        <v>430</v>
      </c>
      <c r="K76" s="191" t="s">
        <v>2025</v>
      </c>
      <c r="L76" s="192" t="str">
        <f>VLOOKUP(T76,통합목록!$Q$4:$T$310,2,0)</f>
        <v>열기2-01.노동법\02.문제\[기출][2][2009-2]직장점거 중 단행된 사용자의 직장폐쇄에 따른 법률적 효과.txt</v>
      </c>
      <c r="M76" s="192" t="s">
        <v>1234</v>
      </c>
      <c r="N76" s="193"/>
      <c r="O76" s="192" t="str">
        <f t="shared" si="13"/>
        <v>제14장 쟁의행위&gt;16&gt;2&gt;</v>
      </c>
      <c r="P76" s="192" t="str">
        <f t="shared" si="14"/>
        <v>제14장 쟁의행위&gt;제06절 사용자의 쟁의행위&gt;04</v>
      </c>
      <c r="Q76" s="192" t="str">
        <f t="shared" si="15"/>
        <v>2&gt;기출&gt;2009&gt;2</v>
      </c>
      <c r="R76" s="192" t="str">
        <f t="shared" si="16"/>
        <v>2&gt;기출&gt;2009&gt;2</v>
      </c>
      <c r="T76" s="3" t="str">
        <f t="shared" si="17"/>
        <v>2009-2-2</v>
      </c>
    </row>
    <row r="77" spans="2:20" ht="14.45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">
        <v>1603</v>
      </c>
      <c r="H77" s="190" t="s">
        <v>507</v>
      </c>
      <c r="I77" s="352" t="s">
        <v>487</v>
      </c>
      <c r="J77" s="190" t="s">
        <v>426</v>
      </c>
      <c r="K77" s="191" t="s">
        <v>2026</v>
      </c>
      <c r="L77" s="192" t="str">
        <f>VLOOKUP(T77,통합목록!$Q$4:$T$310,2,0)</f>
        <v>열기2-01.노동법\02.문제\[기출][2][2009-3]노동조합 가입 자격의 기본 원칙, 제한의 허용 범위, 한계 및 위반 시 효과.txt</v>
      </c>
      <c r="M77" s="192" t="s">
        <v>1234</v>
      </c>
      <c r="N77" s="193"/>
      <c r="O77" s="192" t="str">
        <f t="shared" si="13"/>
        <v>제11장 노동조합&gt;06&gt;3&gt;</v>
      </c>
      <c r="P77" s="192" t="str">
        <f t="shared" si="14"/>
        <v>제11장 노동조합&gt;제01절 노동조합의 설립요건&gt;03</v>
      </c>
      <c r="Q77" s="192" t="str">
        <f t="shared" si="15"/>
        <v>2&gt;기출&gt;2009&gt;1</v>
      </c>
      <c r="R77" s="192" t="str">
        <f t="shared" si="16"/>
        <v>2&gt;기출&gt;2009&gt;3</v>
      </c>
      <c r="T77" s="3" t="str">
        <f t="shared" si="17"/>
        <v>2009-3-2</v>
      </c>
    </row>
    <row r="78" spans="2:20" ht="14.45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">
        <v>477</v>
      </c>
      <c r="H78" s="190" t="s">
        <v>447</v>
      </c>
      <c r="I78" s="352" t="s">
        <v>503</v>
      </c>
      <c r="J78" s="190" t="s">
        <v>415</v>
      </c>
      <c r="K78" s="191" t="s">
        <v>2027</v>
      </c>
      <c r="L78" s="192" t="str">
        <f>VLOOKUP(T78,통합목록!$Q$4:$T$310,2,0)</f>
        <v>열기2-01.노동법\02.문제\[기출][2][2008-1]단체협약상 동의조항의 효력(노동조합의 동의권에 대한 범위), 경영권에 대한 단체교섭의 대상성.txt</v>
      </c>
      <c r="M78" s="192" t="s">
        <v>1234</v>
      </c>
      <c r="N78" s="193"/>
      <c r="O78" s="192" t="str">
        <f t="shared" si="13"/>
        <v>제12장 단체교섭&gt;08&gt;1&gt;</v>
      </c>
      <c r="P78" s="192" t="str">
        <f t="shared" si="14"/>
        <v>제12장 단체교섭&gt;제03절 단체교섭의 대상&gt;01</v>
      </c>
      <c r="Q78" s="192" t="str">
        <f t="shared" si="15"/>
        <v>2&gt;기출&gt;2008&gt;4</v>
      </c>
      <c r="R78" s="192" t="str">
        <f t="shared" si="16"/>
        <v>2&gt;기출&gt;2008&gt;1</v>
      </c>
      <c r="T78" s="3" t="str">
        <f t="shared" si="17"/>
        <v>2008-1-2</v>
      </c>
    </row>
    <row r="79" spans="2:20" ht="14.45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">
        <v>1828</v>
      </c>
      <c r="H79" s="190" t="s">
        <v>453</v>
      </c>
      <c r="I79" s="352" t="s">
        <v>1829</v>
      </c>
      <c r="J79" s="190" t="s">
        <v>417</v>
      </c>
      <c r="K79" s="191" t="s">
        <v>1890</v>
      </c>
      <c r="L79" s="192" t="str">
        <f>VLOOKUP(T79,통합목록!$Q$4:$T$310,2,0)</f>
        <v>열기2-01.노동법\02.문제\[기출][2][2008-1]단체협약상 동의조항의 효력(노동조합의 동의권에 대한 범위), 경영권에 대한 단체교섭의 대상성.txt</v>
      </c>
      <c r="M79" s="192" t="s">
        <v>1234</v>
      </c>
      <c r="N79" s="193"/>
      <c r="O79" s="192" t="str">
        <f t="shared" si="13"/>
        <v>제13장 단체협약&gt;10&gt;1&gt;</v>
      </c>
      <c r="P79" s="192" t="str">
        <f t="shared" si="14"/>
        <v>제13장 단체협약&gt;제06절 단체협약의 중요조항&gt;02</v>
      </c>
      <c r="Q79" s="192" t="str">
        <f t="shared" si="15"/>
        <v>2&gt;기출&gt;2008&gt;3</v>
      </c>
      <c r="R79" s="192" t="str">
        <f t="shared" si="16"/>
        <v>2&gt;기출&gt;2008&gt;1</v>
      </c>
      <c r="T79" s="3" t="str">
        <f t="shared" si="17"/>
        <v>2008-1-2</v>
      </c>
    </row>
    <row r="80" spans="2:20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485</v>
      </c>
      <c r="H80" s="190" t="s">
        <v>509</v>
      </c>
      <c r="I80" s="352" t="s">
        <v>2</v>
      </c>
      <c r="J80" s="190" t="s">
        <v>430</v>
      </c>
      <c r="K80" s="191" t="s">
        <v>2028</v>
      </c>
      <c r="L80" s="192" t="str">
        <f>VLOOKUP(T80,통합목록!$Q$4:$T$310,2,0)</f>
        <v>열기2-01.노동법\02.문제\[기출][2][2008-2]쟁의행위 기간 중 사용자의 채용 제한의 원칙, 필수공익사업의 특례, 위반 시 쟁점.txt</v>
      </c>
      <c r="M80" s="192" t="s">
        <v>1234</v>
      </c>
      <c r="N80" s="193"/>
      <c r="O80" s="192" t="str">
        <f t="shared" si="13"/>
        <v>제14장 쟁의행위&gt;18&gt;2&gt;</v>
      </c>
      <c r="P80" s="192" t="str">
        <f t="shared" si="14"/>
        <v>제14장 쟁의행위&gt;제10절 쟁의기간 중 대체근로의 제한&gt;04</v>
      </c>
      <c r="Q80" s="192" t="str">
        <f t="shared" si="15"/>
        <v>2&gt;기출&gt;2008&gt;2</v>
      </c>
      <c r="R80" s="192" t="str">
        <f t="shared" si="16"/>
        <v>2&gt;기출&gt;2008&gt;2</v>
      </c>
      <c r="T80" s="3" t="str">
        <f t="shared" si="17"/>
        <v>2008-2-2</v>
      </c>
    </row>
    <row r="81" spans="1:20" ht="14.45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">
        <v>1382</v>
      </c>
      <c r="H81" s="190" t="s">
        <v>431</v>
      </c>
      <c r="I81" s="352" t="s">
        <v>1500</v>
      </c>
      <c r="J81" s="190" t="s">
        <v>415</v>
      </c>
      <c r="K81" s="191" t="s">
        <v>2029</v>
      </c>
      <c r="L81" s="192" t="str">
        <f>VLOOKUP(T81,통합목록!$Q$4:$T$310,2,0)</f>
        <v>열기2-01.노동법\02.문제\[기출][2][2008-3]노동위원회의 관할(사건 관할, 지역 관할).txt</v>
      </c>
      <c r="M81" s="192" t="s">
        <v>1234</v>
      </c>
      <c r="N81" s="193"/>
      <c r="O81" s="192" t="str">
        <f t="shared" si="13"/>
        <v>제16장 부속법령&gt;05&gt;3&gt;</v>
      </c>
      <c r="P81" s="192" t="str">
        <f t="shared" si="14"/>
        <v>제16장 부속법령&gt;제09절 노위법&gt;01</v>
      </c>
      <c r="Q81" s="192" t="str">
        <f t="shared" si="15"/>
        <v>2&gt;기출&gt;2008&gt;1</v>
      </c>
      <c r="R81" s="192" t="str">
        <f t="shared" si="16"/>
        <v>2&gt;기출&gt;2008&gt;3</v>
      </c>
      <c r="T81" s="3" t="str">
        <f t="shared" si="17"/>
        <v>2008-3-2</v>
      </c>
    </row>
    <row r="82" spans="1:20" ht="14.45" hidden="1" customHeight="1" x14ac:dyDescent="0.2">
      <c r="B82" s="188">
        <f t="shared" si="12"/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">
        <v>421</v>
      </c>
      <c r="H82" s="190" t="s">
        <v>447</v>
      </c>
      <c r="I82" s="352" t="s">
        <v>1441</v>
      </c>
      <c r="J82" s="190" t="s">
        <v>415</v>
      </c>
      <c r="K82" s="191" t="s">
        <v>1891</v>
      </c>
      <c r="L82" s="192" t="str">
        <f>VLOOKUP(T82,통합목록!$Q$4:$T$310,2,0)</f>
        <v>열기2-01.노동법\02.문제\[모의][1][09.02-1]단시간근로자의 초과근로 가산수당 지급 요건 및 근로자의 가산임금 청구권 인정 여부.txt</v>
      </c>
      <c r="M82" s="192" t="s">
        <v>1650</v>
      </c>
      <c r="N82" s="193"/>
      <c r="O82" s="192" t="str">
        <f t="shared" si="13"/>
        <v>제09장 비정규근로자&gt;08&gt;1&gt;</v>
      </c>
      <c r="P82" s="192" t="str">
        <f t="shared" si="14"/>
        <v>제09장 비정규근로자&gt;제02절 단시간근로자&gt;01</v>
      </c>
      <c r="Q82" s="192" t="str">
        <f t="shared" si="15"/>
        <v>1&gt;모의&gt;9.02&gt;2</v>
      </c>
      <c r="R82" s="192" t="str">
        <f t="shared" si="16"/>
        <v>1&gt;모의&gt;9.02&gt;1</v>
      </c>
      <c r="S82" s="3"/>
      <c r="T82" s="3" t="str">
        <f t="shared" si="17"/>
        <v>9.02-1-1</v>
      </c>
    </row>
    <row r="83" spans="1:20" s="3" customFormat="1" ht="14.45" hidden="1" customHeight="1" x14ac:dyDescent="0.2">
      <c r="A83" s="180"/>
      <c r="B83" s="188">
        <f t="shared" si="12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">
        <v>421</v>
      </c>
      <c r="H83" s="190" t="s">
        <v>450</v>
      </c>
      <c r="I83" s="352" t="s">
        <v>1441</v>
      </c>
      <c r="J83" s="190" t="s">
        <v>417</v>
      </c>
      <c r="K83" s="191" t="s">
        <v>1892</v>
      </c>
      <c r="L83" s="192" t="str">
        <f>VLOOKUP(T83,통합목록!$Q$4:$T$310,2,0)</f>
        <v>열기2-01.노동법\02.문제\[모의][1][09.02-2]차별적 처우 금지 원칙과 상여금 미지급의 합리적 이유 없는 차별 해당 여부.txt</v>
      </c>
      <c r="M83" s="192" t="s">
        <v>1650</v>
      </c>
      <c r="N83" s="193"/>
      <c r="O83" s="192" t="str">
        <f t="shared" si="13"/>
        <v>제09장 비정규근로자&gt;09&gt;2&gt;</v>
      </c>
      <c r="P83" s="192" t="str">
        <f t="shared" si="14"/>
        <v>제09장 비정규근로자&gt;제02절 단시간근로자&gt;02</v>
      </c>
      <c r="Q83" s="192" t="str">
        <f t="shared" si="15"/>
        <v>1&gt;모의&gt;9.02&gt;1</v>
      </c>
      <c r="R83" s="192" t="str">
        <f t="shared" si="16"/>
        <v>1&gt;모의&gt;9.02&gt;2</v>
      </c>
      <c r="T83" s="3" t="str">
        <f t="shared" si="17"/>
        <v>9.02-2-1</v>
      </c>
    </row>
    <row r="84" spans="1:20" s="3" customFormat="1" ht="14.45" hidden="1" customHeight="1" x14ac:dyDescent="0.2">
      <c r="A84" s="180"/>
      <c r="B84" s="188">
        <f t="shared" si="12"/>
        <v>81</v>
      </c>
      <c r="C84" s="296">
        <v>8.02</v>
      </c>
      <c r="D84" s="190" t="s">
        <v>1717</v>
      </c>
      <c r="E84" s="190" t="s">
        <v>1717</v>
      </c>
      <c r="F84" s="190" t="s">
        <v>1717</v>
      </c>
      <c r="G84" s="191" t="s">
        <v>414</v>
      </c>
      <c r="H84" s="190" t="s">
        <v>509</v>
      </c>
      <c r="I84" s="352" t="s">
        <v>418</v>
      </c>
      <c r="J84" s="190" t="s">
        <v>460</v>
      </c>
      <c r="K84" s="191" t="s">
        <v>1893</v>
      </c>
      <c r="L84" s="192" t="str">
        <f>VLOOKUP(T84,통합목록!$Q$4:$T$310,2,0)</f>
        <v>열기2-01.노동법\02.문제\[모의][1][08.02-1]권고사직을 거부한 근로자에 대한 해고 방안.txt</v>
      </c>
      <c r="M84" s="192" t="s">
        <v>1718</v>
      </c>
      <c r="N84" s="193"/>
      <c r="O84" s="192" t="str">
        <f t="shared" si="13"/>
        <v>제08장 근로관계의 종료&gt;18&gt;1&gt;</v>
      </c>
      <c r="P84" s="192" t="str">
        <f t="shared" si="14"/>
        <v>제08장 근로관계의 종료&gt;제02절 해고의 실체적 정당성&gt;11</v>
      </c>
      <c r="Q84" s="192" t="str">
        <f t="shared" si="15"/>
        <v>1&gt;모의&gt;8.02&gt;1</v>
      </c>
      <c r="R84" s="192" t="str">
        <f t="shared" si="16"/>
        <v>1&gt;모의&gt;8.02&gt;1</v>
      </c>
      <c r="T84" s="3" t="str">
        <f t="shared" si="17"/>
        <v>8.02-1-1</v>
      </c>
    </row>
    <row r="85" spans="1:20" s="3" customFormat="1" ht="14.45" hidden="1" customHeight="1" x14ac:dyDescent="0.2">
      <c r="A85" s="180"/>
      <c r="B85" s="188">
        <f t="shared" si="12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">
        <v>414</v>
      </c>
      <c r="H85" s="190" t="s">
        <v>514</v>
      </c>
      <c r="I85" s="352" t="s">
        <v>418</v>
      </c>
      <c r="J85" s="190" t="s">
        <v>1719</v>
      </c>
      <c r="K85" s="191" t="s">
        <v>1893</v>
      </c>
      <c r="L85" s="192" t="str">
        <f>VLOOKUP(T85,통합목록!$Q$4:$T$310,2,0)</f>
        <v>열기2-01.노동법\02.문제\[모의][1][08.02-1]권고사직을 거부한 근로자에 대한 해고 방안.txt</v>
      </c>
      <c r="M85" s="192" t="s">
        <v>1650</v>
      </c>
      <c r="N85" s="193"/>
      <c r="O85" s="192" t="str">
        <f t="shared" si="13"/>
        <v>제08장 근로관계의 종료&gt;19&gt;1&gt;</v>
      </c>
      <c r="P85" s="192" t="str">
        <f t="shared" si="14"/>
        <v>제08장 근로관계의 종료&gt;제02절 해고의 실체적 정당성&gt;06</v>
      </c>
      <c r="Q85" s="192" t="str">
        <f t="shared" si="15"/>
        <v>1&gt;모의&gt;8.02&gt;1</v>
      </c>
      <c r="R85" s="192" t="str">
        <f t="shared" si="16"/>
        <v>1&gt;모의&gt;8.02&gt;1</v>
      </c>
      <c r="T85" s="3" t="str">
        <f t="shared" si="17"/>
        <v>8.02-1-1</v>
      </c>
    </row>
    <row r="86" spans="1:20" s="3" customFormat="1" ht="14.45" hidden="1" customHeight="1" x14ac:dyDescent="0.2">
      <c r="A86" s="180"/>
      <c r="B86" s="188">
        <f t="shared" si="12"/>
        <v>83</v>
      </c>
      <c r="C86" s="296">
        <v>7.02</v>
      </c>
      <c r="D86" s="190" t="s">
        <v>1238</v>
      </c>
      <c r="E86" s="190" t="s">
        <v>1238</v>
      </c>
      <c r="F86" s="190" t="s">
        <v>1239</v>
      </c>
      <c r="G86" s="191" t="s">
        <v>423</v>
      </c>
      <c r="H86" s="190" t="s">
        <v>1243</v>
      </c>
      <c r="I86" s="352" t="s">
        <v>1438</v>
      </c>
      <c r="J86" s="190" t="s">
        <v>1240</v>
      </c>
      <c r="K86" s="191" t="s">
        <v>1894</v>
      </c>
      <c r="L86" s="192" t="str">
        <f>VLOOKUP(T86,통합목록!$Q$4:$T$310,2,0)</f>
        <v>열기2-01.노동법\02.문제\[모의][1][07.02-1]기업 합병 시 특정 근로자에 대한 승계 거부 및 해고 통보의 법적 효력.txt</v>
      </c>
      <c r="M86" s="192" t="s">
        <v>1650</v>
      </c>
      <c r="N86" s="193"/>
      <c r="O86" s="192" t="str">
        <f t="shared" si="13"/>
        <v>제07장 근로관계의 이전&gt;04&gt;1&gt;</v>
      </c>
      <c r="P86" s="192" t="str">
        <f t="shared" si="14"/>
        <v>제07장 근로관계의 이전&gt;제02절 합병&gt;01</v>
      </c>
      <c r="Q86" s="192" t="str">
        <f t="shared" si="15"/>
        <v>1&gt;모의&gt;7.02&gt;2</v>
      </c>
      <c r="R86" s="192" t="str">
        <f t="shared" si="16"/>
        <v>1&gt;모의&gt;7.02&gt;1</v>
      </c>
      <c r="T86" s="3" t="str">
        <f t="shared" si="17"/>
        <v>7.02-1-1</v>
      </c>
    </row>
    <row r="87" spans="1:20" s="3" customFormat="1" ht="14.45" hidden="1" customHeight="1" x14ac:dyDescent="0.2">
      <c r="A87" s="180"/>
      <c r="B87" s="188">
        <f t="shared" si="12"/>
        <v>84</v>
      </c>
      <c r="C87" s="296">
        <v>7.02</v>
      </c>
      <c r="D87" s="190" t="s">
        <v>1239</v>
      </c>
      <c r="E87" s="190" t="s">
        <v>1238</v>
      </c>
      <c r="F87" s="190" t="s">
        <v>1238</v>
      </c>
      <c r="G87" s="191" t="s">
        <v>423</v>
      </c>
      <c r="H87" s="190" t="s">
        <v>1244</v>
      </c>
      <c r="I87" s="352" t="s">
        <v>1438</v>
      </c>
      <c r="J87" s="190" t="s">
        <v>1241</v>
      </c>
      <c r="K87" s="191" t="s">
        <v>1895</v>
      </c>
      <c r="L87" s="192" t="str">
        <f>VLOOKUP(T87,통합목록!$Q$4:$T$310,2,0)</f>
        <v>열기2-01.노동법\02.문제\[모의][1][07.02-2]기업 합병 후 근로조건의 일방적 변경 및 취업규칙 적용의 법적 효력.txt</v>
      </c>
      <c r="M87" s="192" t="s">
        <v>1650</v>
      </c>
      <c r="N87" s="193"/>
      <c r="O87" s="192" t="str">
        <f t="shared" si="13"/>
        <v>제07장 근로관계의 이전&gt;05&gt;2&gt;</v>
      </c>
      <c r="P87" s="192" t="str">
        <f t="shared" si="14"/>
        <v>제07장 근로관계의 이전&gt;제02절 합병&gt;02</v>
      </c>
      <c r="Q87" s="192" t="str">
        <f t="shared" si="15"/>
        <v>1&gt;모의&gt;7.02&gt;1</v>
      </c>
      <c r="R87" s="192" t="str">
        <f t="shared" si="16"/>
        <v>1&gt;모의&gt;7.02&gt;2</v>
      </c>
      <c r="T87" s="3" t="str">
        <f t="shared" si="17"/>
        <v>7.02-2-1</v>
      </c>
    </row>
    <row r="88" spans="1:20" s="3" customFormat="1" ht="14.45" hidden="1" customHeight="1" x14ac:dyDescent="0.2">
      <c r="A88" s="180"/>
      <c r="B88" s="188">
        <f t="shared" si="12"/>
        <v>85</v>
      </c>
      <c r="C88" s="296">
        <v>4.0599999999999996</v>
      </c>
      <c r="D88" s="190" t="s">
        <v>1320</v>
      </c>
      <c r="E88" s="190" t="s">
        <v>1320</v>
      </c>
      <c r="F88" s="190" t="s">
        <v>1321</v>
      </c>
      <c r="G88" s="191" t="s">
        <v>448</v>
      </c>
      <c r="H88" s="190" t="s">
        <v>1323</v>
      </c>
      <c r="I88" s="352" t="s">
        <v>449</v>
      </c>
      <c r="J88" s="190" t="s">
        <v>1322</v>
      </c>
      <c r="K88" s="191" t="s">
        <v>1896</v>
      </c>
      <c r="L88" s="192" t="str">
        <f>VLOOKUP(T88,통합목록!$Q$4:$T$310,2,0)</f>
        <v>열기2-01.노동법\02.문제\[모의][1][04.06-1]단체협약상 연차휴가 사전신청 요건의 유효성 및 반려 조치의 시기변경권 행사 적법성.txt</v>
      </c>
      <c r="M88" s="192" t="s">
        <v>1650</v>
      </c>
      <c r="N88" s="193"/>
      <c r="O88" s="192" t="str">
        <f t="shared" si="13"/>
        <v>제04장 근로시간&gt;10&gt;1&gt;</v>
      </c>
      <c r="P88" s="192" t="str">
        <f t="shared" si="14"/>
        <v>제04장 근로시간&gt;제06절 연차유급휴가&gt;02</v>
      </c>
      <c r="Q88" s="192" t="str">
        <f t="shared" si="15"/>
        <v>1&gt;모의&gt;4.06&gt;2</v>
      </c>
      <c r="R88" s="192" t="str">
        <f t="shared" si="16"/>
        <v>1&gt;모의&gt;4.06&gt;1</v>
      </c>
      <c r="T88" s="3" t="str">
        <f t="shared" si="17"/>
        <v>4.06-1-1</v>
      </c>
    </row>
    <row r="89" spans="1:20" s="3" customFormat="1" ht="14.45" hidden="1" customHeight="1" x14ac:dyDescent="0.2">
      <c r="A89" s="180"/>
      <c r="B89" s="188">
        <f t="shared" si="12"/>
        <v>86</v>
      </c>
      <c r="C89" s="296">
        <v>4.0599999999999996</v>
      </c>
      <c r="D89" s="190" t="s">
        <v>1321</v>
      </c>
      <c r="E89" s="190" t="s">
        <v>1320</v>
      </c>
      <c r="F89" s="190" t="s">
        <v>1320</v>
      </c>
      <c r="G89" s="191" t="s">
        <v>448</v>
      </c>
      <c r="H89" s="190" t="s">
        <v>1324</v>
      </c>
      <c r="I89" s="352" t="s">
        <v>449</v>
      </c>
      <c r="J89" s="190" t="s">
        <v>1329</v>
      </c>
      <c r="K89" s="191" t="s">
        <v>1897</v>
      </c>
      <c r="L89" s="192" t="str">
        <f>VLOOKUP(T89,통합목록!$Q$4:$T$310,2,0)</f>
        <v>열기2-01.노동법\02.문제\[모의][1][04.06-2]연차휴가 반려 후 출근하지 않은 행위의 성격 및 이를 이유로 한 감봉 처분의 정당성.txt</v>
      </c>
      <c r="M89" s="192" t="s">
        <v>1650</v>
      </c>
      <c r="N89" s="193"/>
      <c r="O89" s="192" t="str">
        <f t="shared" si="13"/>
        <v>제04장 근로시간&gt;11&gt;2&gt;</v>
      </c>
      <c r="P89" s="192" t="str">
        <f t="shared" si="14"/>
        <v>제04장 근로시간&gt;제06절 연차유급휴가&gt;03</v>
      </c>
      <c r="Q89" s="192" t="str">
        <f t="shared" si="15"/>
        <v>1&gt;모의&gt;4.06&gt;1</v>
      </c>
      <c r="R89" s="192" t="str">
        <f t="shared" si="16"/>
        <v>1&gt;모의&gt;4.06&gt;2</v>
      </c>
      <c r="T89" s="3" t="str">
        <f t="shared" si="17"/>
        <v>4.06-2-1</v>
      </c>
    </row>
    <row r="90" spans="1:20" s="3" customFormat="1" ht="14.45" hidden="1" customHeight="1" x14ac:dyDescent="0.2">
      <c r="A90" s="180"/>
      <c r="B90" s="188">
        <f t="shared" si="12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">
        <v>448</v>
      </c>
      <c r="H90" s="190" t="s">
        <v>447</v>
      </c>
      <c r="I90" s="352" t="s">
        <v>1436</v>
      </c>
      <c r="J90" s="190" t="s">
        <v>415</v>
      </c>
      <c r="K90" s="191" t="s">
        <v>1898</v>
      </c>
      <c r="L90" s="192" t="str">
        <f>VLOOKUP(T90,통합목록!$Q$4:$T$310,2,0)</f>
        <v>열기2-01.노동법\02.문제\[모의][1][04.05-1]휴일근로 명령의 유효요건과 개별적 동의 여부 및 근로자의 출근 거부에 따른 징계 사유의 정당성.txt</v>
      </c>
      <c r="M90" s="192" t="s">
        <v>1650</v>
      </c>
      <c r="N90" s="193"/>
      <c r="O90" s="192" t="str">
        <f t="shared" si="13"/>
        <v>제04장 근로시간&gt;08&gt;1&gt;</v>
      </c>
      <c r="P90" s="192" t="str">
        <f t="shared" si="14"/>
        <v>제04장 근로시간&gt;제05절 휴일과 휴일근로&gt;01</v>
      </c>
      <c r="Q90" s="192" t="str">
        <f t="shared" si="15"/>
        <v>1&gt;모의&gt;4.05&gt;2</v>
      </c>
      <c r="R90" s="192" t="str">
        <f t="shared" si="16"/>
        <v>1&gt;모의&gt;4.05&gt;1</v>
      </c>
      <c r="T90" s="3" t="str">
        <f t="shared" si="17"/>
        <v>4.05-1-1</v>
      </c>
    </row>
    <row r="91" spans="1:20" s="3" customFormat="1" ht="14.45" hidden="1" customHeight="1" x14ac:dyDescent="0.2">
      <c r="A91" s="180"/>
      <c r="B91" s="188">
        <f t="shared" si="12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">
        <v>448</v>
      </c>
      <c r="H91" s="190" t="s">
        <v>450</v>
      </c>
      <c r="I91" s="352" t="s">
        <v>1436</v>
      </c>
      <c r="J91" s="190" t="s">
        <v>417</v>
      </c>
      <c r="K91" s="191" t="s">
        <v>1899</v>
      </c>
      <c r="L91" s="192" t="str">
        <f>VLOOKUP(T91,통합목록!$Q$4:$T$310,2,0)</f>
        <v>열기2-01.노동법\02.문제\[모의][1][04.05-2]휴일근로 가산수당 지급 원칙과 중복할증에 관한 판례의 태도 및 회사의 임금 미지급의 타당성.txt</v>
      </c>
      <c r="M91" s="192" t="s">
        <v>1650</v>
      </c>
      <c r="N91" s="193"/>
      <c r="O91" s="192" t="str">
        <f t="shared" si="13"/>
        <v>제04장 근로시간&gt;09&gt;2&gt;</v>
      </c>
      <c r="P91" s="192" t="str">
        <f t="shared" si="14"/>
        <v>제04장 근로시간&gt;제05절 휴일과 휴일근로&gt;02</v>
      </c>
      <c r="Q91" s="192" t="str">
        <f t="shared" si="15"/>
        <v>1&gt;모의&gt;4.05&gt;1</v>
      </c>
      <c r="R91" s="192" t="str">
        <f t="shared" si="16"/>
        <v>1&gt;모의&gt;4.05&gt;2</v>
      </c>
      <c r="T91" s="3" t="str">
        <f t="shared" si="17"/>
        <v>4.05-2-1</v>
      </c>
    </row>
    <row r="92" spans="1:20" s="3" customFormat="1" ht="14.45" hidden="1" customHeight="1" x14ac:dyDescent="0.2">
      <c r="A92" s="180"/>
      <c r="B92" s="188">
        <f t="shared" si="12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">
        <v>448</v>
      </c>
      <c r="H92" s="190" t="s">
        <v>435</v>
      </c>
      <c r="I92" s="352" t="s">
        <v>1435</v>
      </c>
      <c r="J92" s="190" t="s">
        <v>415</v>
      </c>
      <c r="K92" s="191" t="s">
        <v>1900</v>
      </c>
      <c r="L92" s="192" t="str">
        <f>VLOOKUP(T92,통합목록!$Q$4:$T$310,2,0)</f>
        <v>열기2-01.노동법\02.문제\[모의][1][04.04-1]근로기준법상 휴게시간의 의의와 자유이용의 원칙 및 장소적 제약이 가해진 휴게시간의 유효성.txt</v>
      </c>
      <c r="M92" s="192" t="s">
        <v>1650</v>
      </c>
      <c r="N92" s="193"/>
      <c r="O92" s="192" t="str">
        <f t="shared" si="13"/>
        <v>제04장 근로시간&gt;06&gt;1&gt;</v>
      </c>
      <c r="P92" s="192" t="str">
        <f t="shared" si="14"/>
        <v>제04장 근로시간&gt;제04절 휴게시간&gt;01</v>
      </c>
      <c r="Q92" s="192" t="str">
        <f t="shared" si="15"/>
        <v>1&gt;모의&gt;4.04&gt;2</v>
      </c>
      <c r="R92" s="192" t="str">
        <f t="shared" si="16"/>
        <v>1&gt;모의&gt;4.04&gt;1</v>
      </c>
      <c r="T92" s="3" t="str">
        <f t="shared" si="17"/>
        <v>4.04-1-1</v>
      </c>
    </row>
    <row r="93" spans="1:20" s="3" customFormat="1" ht="14.45" hidden="1" customHeight="1" x14ac:dyDescent="0.2">
      <c r="A93" s="180"/>
      <c r="B93" s="188">
        <f t="shared" si="12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">
        <v>448</v>
      </c>
      <c r="H93" s="190" t="s">
        <v>440</v>
      </c>
      <c r="I93" s="352" t="s">
        <v>1435</v>
      </c>
      <c r="J93" s="190" t="s">
        <v>417</v>
      </c>
      <c r="K93" s="191" t="s">
        <v>1901</v>
      </c>
      <c r="L93" s="192" t="str">
        <f>VLOOKUP(T93,통합목록!$Q$4:$T$310,2,0)</f>
        <v>열기2-01.노동법\02.문제\[모의][1][04.04-2]휴게시간과 근로시간 구별 기준 및 근로자의 비상대기 상태에 대한 근로시간 포함 여부.txt</v>
      </c>
      <c r="M93" s="192" t="s">
        <v>1650</v>
      </c>
      <c r="N93" s="193"/>
      <c r="O93" s="192" t="str">
        <f t="shared" si="13"/>
        <v>제04장 근로시간&gt;07&gt;2&gt;</v>
      </c>
      <c r="P93" s="192" t="str">
        <f t="shared" si="14"/>
        <v>제04장 근로시간&gt;제04절 휴게시간&gt;02</v>
      </c>
      <c r="Q93" s="192" t="str">
        <f t="shared" si="15"/>
        <v>1&gt;모의&gt;4.04&gt;1</v>
      </c>
      <c r="R93" s="192" t="str">
        <f t="shared" si="16"/>
        <v>1&gt;모의&gt;4.04&gt;2</v>
      </c>
      <c r="T93" s="3" t="str">
        <f t="shared" si="17"/>
        <v>4.04-2-1</v>
      </c>
    </row>
    <row r="94" spans="1:20" s="3" customFormat="1" ht="14.45" hidden="1" customHeight="1" x14ac:dyDescent="0.2">
      <c r="A94" s="180"/>
      <c r="B94" s="188">
        <f t="shared" si="12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">
        <v>448</v>
      </c>
      <c r="H94" s="190" t="s">
        <v>430</v>
      </c>
      <c r="I94" s="352" t="s">
        <v>1434</v>
      </c>
      <c r="J94" s="190" t="s">
        <v>415</v>
      </c>
      <c r="K94" s="191" t="s">
        <v>1902</v>
      </c>
      <c r="L94" s="192" t="str">
        <f>VLOOKUP(T94,통합목록!$Q$4:$T$310,2,0)</f>
        <v>열기2-01.노동법\02.문제\[모의][1][04.01-1]근로기준법상 근로시간의 개념 및 판단 기준과 운행 전 준비 시간의 근로시간 해당 여부.txt</v>
      </c>
      <c r="M94" s="192" t="s">
        <v>1650</v>
      </c>
      <c r="N94" s="193"/>
      <c r="O94" s="192" t="str">
        <f t="shared" si="13"/>
        <v>제04장 근로시간&gt;04&gt;1&gt;</v>
      </c>
      <c r="P94" s="192" t="str">
        <f t="shared" si="14"/>
        <v>제04장 근로시간&gt;제01절 근로시간&gt;01</v>
      </c>
      <c r="Q94" s="192" t="str">
        <f t="shared" si="15"/>
        <v>1&gt;모의&gt;4.01&gt;2</v>
      </c>
      <c r="R94" s="192" t="str">
        <f t="shared" si="16"/>
        <v>1&gt;모의&gt;4.01&gt;1</v>
      </c>
      <c r="T94" s="3" t="str">
        <f t="shared" si="17"/>
        <v>4.01-1-1</v>
      </c>
    </row>
    <row r="95" spans="1:20" s="3" customFormat="1" ht="14.45" hidden="1" customHeight="1" x14ac:dyDescent="0.2">
      <c r="A95" s="180"/>
      <c r="B95" s="188">
        <f t="shared" si="12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">
        <v>448</v>
      </c>
      <c r="H95" s="190" t="s">
        <v>431</v>
      </c>
      <c r="I95" s="352" t="s">
        <v>1434</v>
      </c>
      <c r="J95" s="190" t="s">
        <v>417</v>
      </c>
      <c r="K95" s="191" t="s">
        <v>1903</v>
      </c>
      <c r="L95" s="192" t="str">
        <f>VLOOKUP(T95,통합목록!$Q$4:$T$310,2,0)</f>
        <v>열기2-01.노동법\02.문제\[모의][1][04.01-2]운행 사이 대기시간의 법적 성격 판별 기준과 사안의 대기시간이 근로시간에 포함되는지 여부.txt</v>
      </c>
      <c r="M95" s="192" t="s">
        <v>1650</v>
      </c>
      <c r="N95" s="193"/>
      <c r="O95" s="192" t="str">
        <f t="shared" si="13"/>
        <v>제04장 근로시간&gt;05&gt;2&gt;</v>
      </c>
      <c r="P95" s="192" t="str">
        <f t="shared" si="14"/>
        <v>제04장 근로시간&gt;제01절 근로시간&gt;02</v>
      </c>
      <c r="Q95" s="192" t="str">
        <f t="shared" si="15"/>
        <v>1&gt;모의&gt;4.01&gt;1</v>
      </c>
      <c r="R95" s="192" t="str">
        <f t="shared" si="16"/>
        <v>1&gt;모의&gt;4.01&gt;2</v>
      </c>
      <c r="T95" s="3" t="str">
        <f t="shared" si="17"/>
        <v>4.01-2-1</v>
      </c>
    </row>
    <row r="96" spans="1:20" s="3" customFormat="1" ht="14.45" hidden="1" customHeight="1" x14ac:dyDescent="0.2">
      <c r="A96" s="180"/>
      <c r="B96" s="188">
        <f t="shared" si="12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">
        <v>443</v>
      </c>
      <c r="H96" s="190" t="s">
        <v>504</v>
      </c>
      <c r="I96" s="352" t="s">
        <v>1433</v>
      </c>
      <c r="J96" s="190" t="s">
        <v>415</v>
      </c>
      <c r="K96" s="191" t="s">
        <v>1017</v>
      </c>
      <c r="L96" s="192" t="str">
        <f>VLOOKUP(T96,통합목록!$Q$4:$T$310,2,0)</f>
        <v>열기2-01.노동법\02.문제\[모의][1][03.06-1]최우선변제 임금채권의 범위와 근저당권 채권에 대한 우선권 및 구체적 변제액 산출.txt</v>
      </c>
      <c r="M96" s="192" t="s">
        <v>1650</v>
      </c>
      <c r="N96" s="193"/>
      <c r="O96" s="192" t="str">
        <f t="shared" si="13"/>
        <v>제03장 임금&gt;15&gt;1&gt;</v>
      </c>
      <c r="P96" s="192" t="str">
        <f t="shared" si="14"/>
        <v>제03장 임금&gt;제06절 임금채권의 우선변제&gt;01</v>
      </c>
      <c r="Q96" s="192" t="str">
        <f t="shared" si="15"/>
        <v>1&gt;모의&gt;3.06&gt;2</v>
      </c>
      <c r="R96" s="192" t="str">
        <f t="shared" si="16"/>
        <v>1&gt;모의&gt;3.06&gt;1</v>
      </c>
      <c r="S96" s="180"/>
      <c r="T96" s="3" t="str">
        <f t="shared" si="17"/>
        <v>3.06-1-1</v>
      </c>
    </row>
    <row r="97" spans="1:20" s="3" customFormat="1" ht="14.45" hidden="1" customHeight="1" x14ac:dyDescent="0.2">
      <c r="A97" s="180"/>
      <c r="B97" s="188">
        <f t="shared" si="12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">
        <v>443</v>
      </c>
      <c r="H97" s="190" t="s">
        <v>506</v>
      </c>
      <c r="I97" s="352" t="s">
        <v>1433</v>
      </c>
      <c r="J97" s="190" t="s">
        <v>417</v>
      </c>
      <c r="K97" s="191" t="s">
        <v>1904</v>
      </c>
      <c r="L97" s="192" t="str">
        <f>VLOOKUP(T97,통합목록!$Q$4:$T$310,2,0)</f>
        <v>열기2-01.노동법\02.문제\[모의][1][03.06-2]나머지 임금 및 퇴직금 채권의 변제 순위와 조세・공과금 및 일반 채권과의 관계.txt</v>
      </c>
      <c r="M97" s="192" t="s">
        <v>1650</v>
      </c>
      <c r="N97" s="193"/>
      <c r="O97" s="192" t="str">
        <f t="shared" si="13"/>
        <v>제03장 임금&gt;16&gt;2&gt;</v>
      </c>
      <c r="P97" s="192" t="str">
        <f t="shared" si="14"/>
        <v>제03장 임금&gt;제06절 임금채권의 우선변제&gt;02</v>
      </c>
      <c r="Q97" s="192" t="str">
        <f t="shared" si="15"/>
        <v>1&gt;모의&gt;3.06&gt;1</v>
      </c>
      <c r="R97" s="192" t="str">
        <f t="shared" si="16"/>
        <v>1&gt;모의&gt;3.06&gt;2</v>
      </c>
      <c r="S97" s="180"/>
      <c r="T97" s="3" t="str">
        <f t="shared" si="17"/>
        <v>3.06-2-1</v>
      </c>
    </row>
    <row r="98" spans="1:20" s="3" customFormat="1" ht="14.45" hidden="1" customHeight="1" x14ac:dyDescent="0.2">
      <c r="A98" s="180"/>
      <c r="B98" s="188">
        <f t="shared" si="12"/>
        <v>95</v>
      </c>
      <c r="C98" s="296">
        <v>3.05</v>
      </c>
      <c r="D98" s="190" t="s">
        <v>1238</v>
      </c>
      <c r="E98" s="190" t="s">
        <v>1238</v>
      </c>
      <c r="F98" s="190" t="s">
        <v>1239</v>
      </c>
      <c r="G98" s="191" t="s">
        <v>443</v>
      </c>
      <c r="H98" s="190" t="s">
        <v>469</v>
      </c>
      <c r="I98" s="352" t="s">
        <v>1432</v>
      </c>
      <c r="J98" s="190" t="s">
        <v>1240</v>
      </c>
      <c r="K98" s="191" t="s">
        <v>1905</v>
      </c>
      <c r="L98" s="192" t="str">
        <f>VLOOKUP(T98,통합목록!$Q$4:$T$310,2,0)</f>
        <v>열기2-01.노동법\02.문제\[모의][1][03.05-1]매출처 파업 및 창고 부족으로 인한 휴업의 사용자 귀책사유 해당 여부.txt</v>
      </c>
      <c r="M98" s="192" t="s">
        <v>1650</v>
      </c>
      <c r="N98" s="193"/>
      <c r="O98" s="192" t="str">
        <f t="shared" si="13"/>
        <v>제03장 임금&gt;13&gt;1&gt;</v>
      </c>
      <c r="P98" s="192" t="str">
        <f t="shared" si="14"/>
        <v>제03장 임금&gt;제05절 휴업수당&gt;01</v>
      </c>
      <c r="Q98" s="192" t="str">
        <f t="shared" si="15"/>
        <v>1&gt;모의&gt;3.05&gt;2</v>
      </c>
      <c r="R98" s="192" t="str">
        <f t="shared" si="16"/>
        <v>1&gt;모의&gt;3.05&gt;1</v>
      </c>
      <c r="S98" s="180"/>
      <c r="T98" s="3" t="str">
        <f t="shared" si="17"/>
        <v>3.05-1-1</v>
      </c>
    </row>
    <row r="99" spans="1:20" s="3" customFormat="1" ht="14.45" hidden="1" customHeight="1" x14ac:dyDescent="0.2">
      <c r="A99" s="180"/>
      <c r="B99" s="188">
        <f t="shared" si="12"/>
        <v>96</v>
      </c>
      <c r="C99" s="296">
        <v>3.05</v>
      </c>
      <c r="D99" s="190" t="s">
        <v>1239</v>
      </c>
      <c r="E99" s="190" t="s">
        <v>1238</v>
      </c>
      <c r="F99" s="190" t="s">
        <v>1238</v>
      </c>
      <c r="G99" s="191" t="s">
        <v>443</v>
      </c>
      <c r="H99" s="190" t="s">
        <v>472</v>
      </c>
      <c r="I99" s="352" t="s">
        <v>1432</v>
      </c>
      <c r="J99" s="190" t="s">
        <v>1241</v>
      </c>
      <c r="K99" s="191" t="s">
        <v>1906</v>
      </c>
      <c r="L99" s="192" t="str">
        <f>VLOOKUP(T99,통합목록!$Q$4:$T$310,2,0)</f>
        <v>열기2-01.노동법\02.문제\[모의][1][03.05-2]노동위원회의 휴업수당 감액 승인이 취업규칙상 유리한 규정의 효력에 미치는 영향.txt</v>
      </c>
      <c r="M99" s="192" t="s">
        <v>1650</v>
      </c>
      <c r="N99" s="193"/>
      <c r="O99" s="192" t="str">
        <f t="shared" si="13"/>
        <v>제03장 임금&gt;14&gt;2&gt;</v>
      </c>
      <c r="P99" s="192" t="str">
        <f t="shared" si="14"/>
        <v>제03장 임금&gt;제05절 휴업수당&gt;02</v>
      </c>
      <c r="Q99" s="192" t="str">
        <f t="shared" si="15"/>
        <v>1&gt;모의&gt;3.05&gt;1</v>
      </c>
      <c r="R99" s="192" t="str">
        <f t="shared" si="16"/>
        <v>1&gt;모의&gt;3.05&gt;2</v>
      </c>
      <c r="S99" s="180"/>
      <c r="T99" s="3" t="str">
        <f t="shared" si="17"/>
        <v>3.05-2-1</v>
      </c>
    </row>
    <row r="100" spans="1:20" s="3" customFormat="1" ht="14.45" hidden="1" customHeight="1" x14ac:dyDescent="0.2">
      <c r="A100" s="180"/>
      <c r="B100" s="188">
        <f t="shared" ref="B100:B131" si="18">ROW()-3</f>
        <v>97</v>
      </c>
      <c r="C100" s="296">
        <v>3.03</v>
      </c>
      <c r="D100" s="190" t="s">
        <v>1320</v>
      </c>
      <c r="E100" s="190" t="s">
        <v>1320</v>
      </c>
      <c r="F100" s="190" t="s">
        <v>1321</v>
      </c>
      <c r="G100" s="191" t="s">
        <v>443</v>
      </c>
      <c r="H100" s="190" t="s">
        <v>1323</v>
      </c>
      <c r="I100" s="352" t="s">
        <v>433</v>
      </c>
      <c r="J100" s="190" t="s">
        <v>1326</v>
      </c>
      <c r="K100" s="191" t="s">
        <v>1907</v>
      </c>
      <c r="L100" s="192" t="str">
        <f>VLOOKUP(T100,통합목록!$Q$4:$T$310,2,0)</f>
        <v>열기2-01.노동법\02.문제\[모의][1][03.03-1]통상임금 고정성 징표의 배제 여부 및 재직조건부 정기상여금의 통상임금 인정 여부.txt</v>
      </c>
      <c r="M100" s="192" t="s">
        <v>1650</v>
      </c>
      <c r="N100" s="193"/>
      <c r="O100" s="192" t="str">
        <f t="shared" ref="O100:O131" si="19">G100&amp;"&gt;"&amp;H100&amp;"&gt;"&amp;D100&amp;"&gt;"&amp;N100</f>
        <v>제03장 임금&gt;10&gt;1&gt;</v>
      </c>
      <c r="P100" s="192" t="str">
        <f t="shared" ref="P100:P131" si="20">G100&amp;"&gt;"&amp;I100&amp;"&gt;"&amp;J100</f>
        <v>제03장 임금&gt;제03절 통상임금&gt;05</v>
      </c>
      <c r="Q100" s="192" t="str">
        <f t="shared" ref="Q100:Q131" si="21">E100&amp;"&gt;"&amp;M100&amp;"&gt;"&amp;C100&amp;"&gt;"&amp;F100</f>
        <v>1&gt;모의&gt;3.03&gt;2</v>
      </c>
      <c r="R100" s="192" t="str">
        <f t="shared" ref="R100:R131" si="22">E100&amp;"&gt;"&amp;M100&amp;"&gt;"&amp;C100&amp;"&gt;"&amp;D100</f>
        <v>1&gt;모의&gt;3.03&gt;1</v>
      </c>
      <c r="S100" s="180"/>
      <c r="T100" s="3" t="str">
        <f t="shared" ref="T100:T131" si="23">C100&amp;"-"&amp;D100&amp;"-"&amp;E100</f>
        <v>3.03-1-1</v>
      </c>
    </row>
    <row r="101" spans="1:20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1321</v>
      </c>
      <c r="E101" s="190" t="s">
        <v>1320</v>
      </c>
      <c r="F101" s="190" t="s">
        <v>1320</v>
      </c>
      <c r="G101" s="191" t="s">
        <v>443</v>
      </c>
      <c r="H101" s="190" t="s">
        <v>1325</v>
      </c>
      <c r="I101" s="352" t="s">
        <v>433</v>
      </c>
      <c r="J101" s="190" t="s">
        <v>1327</v>
      </c>
      <c r="K101" s="191" t="s">
        <v>1908</v>
      </c>
      <c r="L101" s="192" t="str">
        <f>VLOOKUP(T101,통합목록!$Q$4:$T$310,2,0)</f>
        <v>열기2-01.노동법\02.문제\[모의][1][03.03-2]일정 근무일수 충족 조건부 출근수당의 소정근로 대가성 관점에서의 통상임금 해당 여부.txt</v>
      </c>
      <c r="M101" s="192" t="s">
        <v>1650</v>
      </c>
      <c r="N101" s="193"/>
      <c r="O101" s="192" t="str">
        <f t="shared" si="19"/>
        <v>제03장 임금&gt;12&gt;2&gt;</v>
      </c>
      <c r="P101" s="192" t="str">
        <f t="shared" si="20"/>
        <v>제03장 임금&gt;제03절 통상임금&gt;06</v>
      </c>
      <c r="Q101" s="192" t="str">
        <f t="shared" si="21"/>
        <v>1&gt;모의&gt;3.03&gt;1</v>
      </c>
      <c r="R101" s="192" t="str">
        <f t="shared" si="22"/>
        <v>1&gt;모의&gt;3.03&gt;2</v>
      </c>
      <c r="S101" s="180"/>
      <c r="T101" s="3" t="str">
        <f t="shared" si="23"/>
        <v>3.03-2-1</v>
      </c>
    </row>
    <row r="102" spans="1:20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">
        <v>443</v>
      </c>
      <c r="H102" s="190" t="s">
        <v>447</v>
      </c>
      <c r="I102" s="352" t="s">
        <v>1431</v>
      </c>
      <c r="J102" s="190" t="s">
        <v>415</v>
      </c>
      <c r="K102" s="191" t="s">
        <v>1909</v>
      </c>
      <c r="L102" s="192" t="str">
        <f>VLOOKUP(T102,통합목록!$Q$4:$T$310,2,0)</f>
        <v>열기2-01.노동법\02.문제\[모의][1][03.02-1]추석 상여금과 경영성과급의 임금성 및 평균임금 산입 여부.txt</v>
      </c>
      <c r="M102" s="192" t="s">
        <v>1650</v>
      </c>
      <c r="N102" s="193"/>
      <c r="O102" s="192" t="str">
        <f t="shared" si="19"/>
        <v>제03장 임금&gt;08&gt;1&gt;</v>
      </c>
      <c r="P102" s="192" t="str">
        <f t="shared" si="20"/>
        <v>제03장 임금&gt;제02절 평균임금&gt;01</v>
      </c>
      <c r="Q102" s="192" t="str">
        <f t="shared" si="21"/>
        <v>1&gt;모의&gt;3.02&gt;2</v>
      </c>
      <c r="R102" s="192" t="str">
        <f t="shared" si="22"/>
        <v>1&gt;모의&gt;3.02&gt;1</v>
      </c>
      <c r="S102" s="180"/>
      <c r="T102" s="3" t="str">
        <f t="shared" si="23"/>
        <v>3.02-1-1</v>
      </c>
    </row>
    <row r="103" spans="1:20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">
        <v>443</v>
      </c>
      <c r="H103" s="190" t="s">
        <v>450</v>
      </c>
      <c r="I103" s="352" t="s">
        <v>1431</v>
      </c>
      <c r="J103" s="190" t="s">
        <v>417</v>
      </c>
      <c r="K103" s="191" t="s">
        <v>1910</v>
      </c>
      <c r="L103" s="192" t="str">
        <f>VLOOKUP(T103,통합목록!$Q$4:$T$310,2,0)</f>
        <v>열기2-01.노동법\02.문제\[모의][1][03.02-2]특수 기간의 평균임금 산정방법과 연차유급휴가 미사용 수당의 산입 방식.txt</v>
      </c>
      <c r="M103" s="192" t="s">
        <v>1650</v>
      </c>
      <c r="N103" s="193"/>
      <c r="O103" s="192" t="str">
        <f t="shared" si="19"/>
        <v>제03장 임금&gt;09&gt;2&gt;</v>
      </c>
      <c r="P103" s="192" t="str">
        <f t="shared" si="20"/>
        <v>제03장 임금&gt;제02절 평균임금&gt;02</v>
      </c>
      <c r="Q103" s="192" t="str">
        <f t="shared" si="21"/>
        <v>1&gt;모의&gt;3.02&gt;1</v>
      </c>
      <c r="R103" s="192" t="str">
        <f t="shared" si="22"/>
        <v>1&gt;모의&gt;3.02&gt;2</v>
      </c>
      <c r="S103" s="180"/>
      <c r="T103" s="3" t="str">
        <f t="shared" si="23"/>
        <v>3.02-2-1</v>
      </c>
    </row>
    <row r="104" spans="1:20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">
        <v>441</v>
      </c>
      <c r="H104" s="190" t="s">
        <v>435</v>
      </c>
      <c r="I104" s="352" t="s">
        <v>1430</v>
      </c>
      <c r="J104" s="190" t="s">
        <v>415</v>
      </c>
      <c r="K104" s="191" t="s">
        <v>1016</v>
      </c>
      <c r="L104" s="192" t="str">
        <f>VLOOKUP(T104,통합목록!$Q$4:$T$310,2,0)</f>
        <v>열기2-01.노동법\02.문제\[모의][1][02.04-1]경력 허위 기재가 근로계약의 효력에 미치는 영향과 회사의 조치에 대한 타당성 여부.txt</v>
      </c>
      <c r="M104" s="192" t="s">
        <v>1650</v>
      </c>
      <c r="N104" s="193"/>
      <c r="O104" s="192" t="str">
        <f t="shared" si="19"/>
        <v>제02장 근로관계의 성립&gt;06&gt;1&gt;</v>
      </c>
      <c r="P104" s="192" t="str">
        <f t="shared" si="20"/>
        <v>제02장 근로관계의 성립&gt;제04절 근로계약과 당사자의 권리 및 의무&gt;01</v>
      </c>
      <c r="Q104" s="192" t="str">
        <f t="shared" si="21"/>
        <v>1&gt;모의&gt;2.04&gt;3</v>
      </c>
      <c r="R104" s="192" t="str">
        <f t="shared" si="22"/>
        <v>1&gt;모의&gt;2.04&gt;1</v>
      </c>
      <c r="S104" s="180"/>
      <c r="T104" s="3" t="str">
        <f t="shared" si="23"/>
        <v>2.04-1-1</v>
      </c>
    </row>
    <row r="105" spans="1:20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">
        <v>441</v>
      </c>
      <c r="H105" s="190" t="s">
        <v>440</v>
      </c>
      <c r="I105" s="352" t="s">
        <v>1430</v>
      </c>
      <c r="J105" s="190" t="s">
        <v>417</v>
      </c>
      <c r="K105" s="191" t="s">
        <v>1911</v>
      </c>
      <c r="L105" s="192" t="str">
        <f>VLOOKUP(T105,통합목록!$Q$4:$T$310,2,0)</f>
        <v>열기2-01.노동법\02.문제\[모의][1][02.04-2]경업금지약정의 효력, 회사의 전직금지 청구 가능 여부.txt</v>
      </c>
      <c r="M105" s="192" t="s">
        <v>1650</v>
      </c>
      <c r="N105" s="193"/>
      <c r="O105" s="192" t="str">
        <f t="shared" si="19"/>
        <v>제02장 근로관계의 성립&gt;07&gt;2&gt;</v>
      </c>
      <c r="P105" s="192" t="str">
        <f t="shared" si="20"/>
        <v>제02장 근로관계의 성립&gt;제04절 근로계약과 당사자의 권리 및 의무&gt;02</v>
      </c>
      <c r="Q105" s="192" t="str">
        <f t="shared" si="21"/>
        <v>1&gt;모의&gt;2.04&gt;2</v>
      </c>
      <c r="R105" s="192" t="str">
        <f t="shared" si="22"/>
        <v>1&gt;모의&gt;2.04&gt;2</v>
      </c>
      <c r="S105" s="180"/>
      <c r="T105" s="3" t="str">
        <f t="shared" si="23"/>
        <v>2.04-2-1</v>
      </c>
    </row>
    <row r="106" spans="1:20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">
        <v>441</v>
      </c>
      <c r="H106" s="190" t="s">
        <v>447</v>
      </c>
      <c r="I106" s="352" t="s">
        <v>1430</v>
      </c>
      <c r="J106" s="190" t="s">
        <v>426</v>
      </c>
      <c r="K106" s="191" t="s">
        <v>1912</v>
      </c>
      <c r="L106" s="192" t="str">
        <f>VLOOKUP(T106,통합목록!$Q$4:$T$310,2,0)</f>
        <v>열기2-01.노동법\02.문제\[모의][1][02.04-3]기술적 영업비밀이 아닌 정보 유출에 대한 징계 및 손해배상 청구 가능 여부.txt</v>
      </c>
      <c r="M106" s="192" t="s">
        <v>1650</v>
      </c>
      <c r="N106" s="193"/>
      <c r="O106" s="192" t="str">
        <f t="shared" si="19"/>
        <v>제02장 근로관계의 성립&gt;08&gt;3&gt;</v>
      </c>
      <c r="P106" s="192" t="str">
        <f t="shared" si="20"/>
        <v>제02장 근로관계의 성립&gt;제04절 근로계약과 당사자의 권리 및 의무&gt;03</v>
      </c>
      <c r="Q106" s="192" t="str">
        <f t="shared" si="21"/>
        <v>1&gt;모의&gt;2.04&gt;1</v>
      </c>
      <c r="R106" s="192" t="str">
        <f t="shared" si="22"/>
        <v>1&gt;모의&gt;2.04&gt;3</v>
      </c>
      <c r="S106" s="180"/>
      <c r="T106" s="3" t="str">
        <f t="shared" si="23"/>
        <v>2.04-3-1</v>
      </c>
    </row>
    <row r="107" spans="1:20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1238</v>
      </c>
      <c r="E107" s="190" t="s">
        <v>1238</v>
      </c>
      <c r="F107" s="190" t="s">
        <v>1239</v>
      </c>
      <c r="G107" s="191" t="s">
        <v>1601</v>
      </c>
      <c r="H107" s="190" t="s">
        <v>1245</v>
      </c>
      <c r="I107" s="352" t="s">
        <v>1444</v>
      </c>
      <c r="J107" s="190" t="s">
        <v>1240</v>
      </c>
      <c r="K107" s="191" t="s">
        <v>1913</v>
      </c>
      <c r="L107" s="192" t="str">
        <f>VLOOKUP(T107,통합목록!$Q$4:$T$310,2,0)</f>
        <v>열기2-01.노동법\02.문제\[모의][1][10.04-1]출근 중 제3자의 신호 위반 사고로 발생한 부상의 업무상 재해 인정 여부.txt</v>
      </c>
      <c r="M107" s="192" t="s">
        <v>1650</v>
      </c>
      <c r="N107" s="193"/>
      <c r="O107" s="192" t="str">
        <f t="shared" si="19"/>
        <v>제10장 업무상 재해 등&gt;07&gt;1&gt;</v>
      </c>
      <c r="P107" s="192" t="str">
        <f t="shared" si="20"/>
        <v>제10장 업무상 재해 등&gt;제04절 출퇴근 재해&gt;01</v>
      </c>
      <c r="Q107" s="192" t="str">
        <f t="shared" si="21"/>
        <v>1&gt;모의&gt;10.04&gt;2</v>
      </c>
      <c r="R107" s="192" t="str">
        <f t="shared" si="22"/>
        <v>1&gt;모의&gt;10.04&gt;1</v>
      </c>
      <c r="S107" s="180"/>
      <c r="T107" s="3" t="str">
        <f t="shared" si="23"/>
        <v>10.04-1-1</v>
      </c>
    </row>
    <row r="108" spans="1:20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1239</v>
      </c>
      <c r="E108" s="190" t="s">
        <v>1238</v>
      </c>
      <c r="F108" s="190" t="s">
        <v>1238</v>
      </c>
      <c r="G108" s="191" t="s">
        <v>1601</v>
      </c>
      <c r="H108" s="190" t="s">
        <v>1246</v>
      </c>
      <c r="I108" s="352" t="s">
        <v>1444</v>
      </c>
      <c r="J108" s="190" t="s">
        <v>1241</v>
      </c>
      <c r="K108" s="191" t="s">
        <v>1914</v>
      </c>
      <c r="L108" s="192" t="str">
        <f>VLOOKUP(T108,통합목록!$Q$4:$T$310,2,0)</f>
        <v>열기2-01.노동법\02.문제\[모의][1][10.04-2]제3자 가해로 인한 출퇴근 재해 시 산재급여와 손해배상의 조정 및 구상 관계.txt</v>
      </c>
      <c r="M108" s="192" t="s">
        <v>1650</v>
      </c>
      <c r="N108" s="193"/>
      <c r="O108" s="192" t="str">
        <f t="shared" si="19"/>
        <v>제10장 업무상 재해 등&gt;08&gt;2&gt;</v>
      </c>
      <c r="P108" s="192" t="str">
        <f t="shared" si="20"/>
        <v>제10장 업무상 재해 등&gt;제04절 출퇴근 재해&gt;02</v>
      </c>
      <c r="Q108" s="192" t="str">
        <f t="shared" si="21"/>
        <v>1&gt;모의&gt;10.04&gt;1</v>
      </c>
      <c r="R108" s="192" t="str">
        <f t="shared" si="22"/>
        <v>1&gt;모의&gt;10.04&gt;2</v>
      </c>
      <c r="S108" s="180"/>
      <c r="T108" s="3" t="str">
        <f t="shared" si="23"/>
        <v>10.04-2-1</v>
      </c>
    </row>
    <row r="109" spans="1:20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">
        <v>1601</v>
      </c>
      <c r="H109" s="190" t="s">
        <v>431</v>
      </c>
      <c r="I109" s="352" t="s">
        <v>1443</v>
      </c>
      <c r="J109" s="190" t="s">
        <v>415</v>
      </c>
      <c r="K109" s="191" t="s">
        <v>1915</v>
      </c>
      <c r="L109" s="192" t="str">
        <f>VLOOKUP(T109,통합목록!$Q$4:$T$310,2,0)</f>
        <v>열기2-01.노동법\02.문제\[모의][1][10.03-1]근로자의 만성 근로 및 단기 과로에 따른 뇌출혈의 업무상 질병 인정 여부.txt</v>
      </c>
      <c r="M109" s="192" t="s">
        <v>1650</v>
      </c>
      <c r="N109" s="193"/>
      <c r="O109" s="192" t="str">
        <f t="shared" si="19"/>
        <v>제10장 업무상 재해 등&gt;05&gt;1&gt;</v>
      </c>
      <c r="P109" s="192" t="str">
        <f t="shared" si="20"/>
        <v>제10장 업무상 재해 등&gt;제03절 업무상 질병&gt;01</v>
      </c>
      <c r="Q109" s="192" t="str">
        <f t="shared" si="21"/>
        <v>1&gt;모의&gt;10.03&gt;2</v>
      </c>
      <c r="R109" s="192" t="str">
        <f t="shared" si="22"/>
        <v>1&gt;모의&gt;10.03&gt;1</v>
      </c>
      <c r="S109" s="180"/>
      <c r="T109" s="3" t="str">
        <f t="shared" si="23"/>
        <v>10.03-1-1</v>
      </c>
    </row>
    <row r="110" spans="1:20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">
        <v>1601</v>
      </c>
      <c r="H110" s="190" t="s">
        <v>435</v>
      </c>
      <c r="I110" s="352" t="s">
        <v>1443</v>
      </c>
      <c r="J110" s="190" t="s">
        <v>417</v>
      </c>
      <c r="K110" s="191" t="s">
        <v>1916</v>
      </c>
      <c r="L110" s="192" t="str">
        <f>VLOOKUP(T110,통합목록!$Q$4:$T$310,2,0)</f>
        <v>열기2-01.노동법\02.문제\[모의][1][10.03-2]근로자의 직장 내 괴롭힘으로 인한 우울증의 업무상 질병 인정 여부.txt</v>
      </c>
      <c r="M110" s="192" t="s">
        <v>1650</v>
      </c>
      <c r="N110" s="193"/>
      <c r="O110" s="192" t="str">
        <f t="shared" si="19"/>
        <v>제10장 업무상 재해 등&gt;06&gt;2&gt;</v>
      </c>
      <c r="P110" s="192" t="str">
        <f t="shared" si="20"/>
        <v>제10장 업무상 재해 등&gt;제03절 업무상 질병&gt;02</v>
      </c>
      <c r="Q110" s="192" t="str">
        <f t="shared" si="21"/>
        <v>1&gt;모의&gt;10.03&gt;1</v>
      </c>
      <c r="R110" s="192" t="str">
        <f t="shared" si="22"/>
        <v>1&gt;모의&gt;10.03&gt;2</v>
      </c>
      <c r="S110" s="180"/>
      <c r="T110" s="3" t="str">
        <f t="shared" si="23"/>
        <v>10.03-2-1</v>
      </c>
    </row>
    <row r="111" spans="1:20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">
        <v>1601</v>
      </c>
      <c r="H111" s="190" t="s">
        <v>426</v>
      </c>
      <c r="I111" s="352" t="s">
        <v>1442</v>
      </c>
      <c r="J111" s="190" t="s">
        <v>415</v>
      </c>
      <c r="K111" s="191" t="s">
        <v>1917</v>
      </c>
      <c r="L111" s="192" t="str">
        <f>VLOOKUP(T111,통합목록!$Q$4:$T$310,2,0)</f>
        <v>열기2-01.노동법\02.문제\[모의][1][10.02-1]근로자의 오토바이 사고에 대한 출퇴근 재해 인정 여부 및 법적 근거.txt</v>
      </c>
      <c r="M111" s="192" t="s">
        <v>1650</v>
      </c>
      <c r="N111" s="193"/>
      <c r="O111" s="192" t="str">
        <f t="shared" si="19"/>
        <v>제10장 업무상 재해 등&gt;03&gt;1&gt;</v>
      </c>
      <c r="P111" s="192" t="str">
        <f t="shared" si="20"/>
        <v>제10장 업무상 재해 등&gt;제02절 업무상 사고&gt;01</v>
      </c>
      <c r="Q111" s="192" t="str">
        <f t="shared" si="21"/>
        <v>1&gt;모의&gt;10.02&gt;2</v>
      </c>
      <c r="R111" s="192" t="str">
        <f t="shared" si="22"/>
        <v>1&gt;모의&gt;10.02&gt;1</v>
      </c>
      <c r="S111" s="180"/>
      <c r="T111" s="3" t="str">
        <f t="shared" si="23"/>
        <v>10.02-1-1</v>
      </c>
    </row>
    <row r="112" spans="1:20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">
        <v>1601</v>
      </c>
      <c r="H112" s="190" t="s">
        <v>430</v>
      </c>
      <c r="I112" s="352" t="s">
        <v>1442</v>
      </c>
      <c r="J112" s="190" t="s">
        <v>417</v>
      </c>
      <c r="K112" s="191" t="s">
        <v>1918</v>
      </c>
      <c r="L112" s="192" t="str">
        <f>VLOOKUP(T112,통합목록!$Q$4:$T$310,2,0)</f>
        <v>열기2-01.노동법\02.문제\[모의][1][10.02-2]근로자의 2차 회식 중 사고에 대한 업무상 재해 인정 여부.txt</v>
      </c>
      <c r="M112" s="192" t="s">
        <v>1650</v>
      </c>
      <c r="N112" s="193"/>
      <c r="O112" s="192" t="str">
        <f t="shared" si="19"/>
        <v>제10장 업무상 재해 등&gt;04&gt;2&gt;</v>
      </c>
      <c r="P112" s="192" t="str">
        <f t="shared" si="20"/>
        <v>제10장 업무상 재해 등&gt;제02절 업무상 사고&gt;02</v>
      </c>
      <c r="Q112" s="192" t="str">
        <f t="shared" si="21"/>
        <v>1&gt;모의&gt;10.02&gt;1</v>
      </c>
      <c r="R112" s="192" t="str">
        <f t="shared" si="22"/>
        <v>1&gt;모의&gt;10.02&gt;2</v>
      </c>
      <c r="S112" s="180"/>
      <c r="T112" s="3" t="str">
        <f t="shared" si="23"/>
        <v>10.02-2-1</v>
      </c>
    </row>
    <row r="113" spans="1:20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1413</v>
      </c>
      <c r="E113" s="190" t="s">
        <v>1413</v>
      </c>
      <c r="F113" s="190" t="s">
        <v>1417</v>
      </c>
      <c r="G113" s="191" t="s">
        <v>1478</v>
      </c>
      <c r="H113" s="190" t="s">
        <v>1418</v>
      </c>
      <c r="I113" s="352" t="s">
        <v>1425</v>
      </c>
      <c r="J113" s="190" t="s">
        <v>1415</v>
      </c>
      <c r="K113" s="191" t="s">
        <v>1919</v>
      </c>
      <c r="L113" s="192" t="str">
        <f>VLOOKUP(T113,통합목록!$Q$4:$T$310,2,0)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1650</v>
      </c>
      <c r="N113" s="193"/>
      <c r="O113" s="192" t="str">
        <f t="shared" si="19"/>
        <v>제01장 노동법 총론&gt;07&gt;1&gt;</v>
      </c>
      <c r="P113" s="192" t="str">
        <f t="shared" si="20"/>
        <v>제01장 노동법 총론&gt;제03절 근로기준법의 적용범위&gt;01</v>
      </c>
      <c r="Q113" s="192" t="str">
        <f t="shared" si="21"/>
        <v>1&gt;모의&gt;1.03&gt;2</v>
      </c>
      <c r="R113" s="192" t="str">
        <f t="shared" si="22"/>
        <v>1&gt;모의&gt;1.03&gt;1</v>
      </c>
      <c r="S113" s="180"/>
      <c r="T113" s="3" t="str">
        <f t="shared" si="23"/>
        <v>1.03-1-1</v>
      </c>
    </row>
    <row r="114" spans="1:20" s="3" customFormat="1" ht="14.45" hidden="1" customHeight="1" x14ac:dyDescent="0.2">
      <c r="A114" s="180"/>
      <c r="B114" s="188">
        <f t="shared" si="18"/>
        <v>111</v>
      </c>
      <c r="C114" s="296">
        <v>1.03</v>
      </c>
      <c r="D114" s="190" t="s">
        <v>1417</v>
      </c>
      <c r="E114" s="190" t="s">
        <v>1413</v>
      </c>
      <c r="F114" s="190" t="s">
        <v>1413</v>
      </c>
      <c r="G114" s="191" t="s">
        <v>1478</v>
      </c>
      <c r="H114" s="190" t="s">
        <v>1419</v>
      </c>
      <c r="I114" s="352" t="s">
        <v>1425</v>
      </c>
      <c r="J114" s="190" t="s">
        <v>1416</v>
      </c>
      <c r="K114" s="191" t="s">
        <v>1920</v>
      </c>
      <c r="L114" s="192" t="str">
        <f>VLOOKUP(T114,통합목록!$Q$4:$T$310,2,0)</f>
        <v>열기2-01.노동법\02.문제\[모의][1][01.03-2]국제근로관계에서 근로기준법상 상시 5인 이상 사업장 해당 여부 및 부당해고 구제신청의 적법성.txt</v>
      </c>
      <c r="M114" s="192" t="s">
        <v>1650</v>
      </c>
      <c r="N114" s="193"/>
      <c r="O114" s="192" t="str">
        <f t="shared" si="19"/>
        <v>제01장 노동법 총론&gt;08&gt;2&gt;</v>
      </c>
      <c r="P114" s="192" t="str">
        <f t="shared" si="20"/>
        <v>제01장 노동법 총론&gt;제03절 근로기준법의 적용범위&gt;02</v>
      </c>
      <c r="Q114" s="192" t="str">
        <f t="shared" si="21"/>
        <v>1&gt;모의&gt;1.03&gt;1</v>
      </c>
      <c r="R114" s="192" t="str">
        <f t="shared" si="22"/>
        <v>1&gt;모의&gt;1.03&gt;2</v>
      </c>
      <c r="S114" s="180"/>
      <c r="T114" s="3" t="str">
        <f t="shared" si="23"/>
        <v>1.03-2-1</v>
      </c>
    </row>
    <row r="115" spans="1:20" s="3" customFormat="1" ht="14.45" hidden="1" customHeight="1" x14ac:dyDescent="0.2">
      <c r="A115" s="180"/>
      <c r="B115" s="188">
        <f t="shared" si="18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1478</v>
      </c>
      <c r="H115" s="190" t="s">
        <v>1359</v>
      </c>
      <c r="I115" s="352" t="s">
        <v>1424</v>
      </c>
      <c r="J115" s="190" t="s">
        <v>415</v>
      </c>
      <c r="K115" s="191" t="s">
        <v>1921</v>
      </c>
      <c r="L115" s="192" t="str">
        <f>VLOOKUP(T115,통합목록!$Q$4:$T$310,2,0)</f>
        <v>열기2-01.노동법\02.문제\[모의][1][01.02-1]단체협약과 취업규칙의 충돌 시 유리한 취업규칙의 우선 적용 여부.txt</v>
      </c>
      <c r="M115" s="192" t="s">
        <v>1650</v>
      </c>
      <c r="N115" s="193"/>
      <c r="O115" s="192" t="str">
        <f t="shared" si="19"/>
        <v>제01장 노동법 총론&gt;05&gt;1&gt;</v>
      </c>
      <c r="P115" s="192" t="str">
        <f t="shared" si="20"/>
        <v>제01장 노동법 총론&gt;제02절 법원의 경합&gt;01</v>
      </c>
      <c r="Q115" s="192" t="str">
        <f t="shared" si="21"/>
        <v>1&gt;모의&gt;1.02&gt;2</v>
      </c>
      <c r="R115" s="192" t="str">
        <f t="shared" si="22"/>
        <v>1&gt;모의&gt;1.02&gt;1</v>
      </c>
      <c r="S115" s="180"/>
      <c r="T115" s="3" t="str">
        <f t="shared" si="23"/>
        <v>1.02-1-1</v>
      </c>
    </row>
    <row r="116" spans="1:20" s="3" customFormat="1" ht="14.45" hidden="1" customHeight="1" x14ac:dyDescent="0.2">
      <c r="A116" s="180"/>
      <c r="B116" s="188">
        <f t="shared" si="18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">
        <v>1478</v>
      </c>
      <c r="H116" s="190" t="s">
        <v>1360</v>
      </c>
      <c r="I116" s="352" t="s">
        <v>1424</v>
      </c>
      <c r="J116" s="190" t="s">
        <v>417</v>
      </c>
      <c r="K116" s="191" t="s">
        <v>1922</v>
      </c>
      <c r="L116" s="192" t="str">
        <f>VLOOKUP(T116,통합목록!$Q$4:$T$310,2,0)</f>
        <v>열기2-01.노동법\02.문제\[모의][1][01.02-2]단체협약과 개별 근로계약 충돌 시 단체협약에 의한 근로조건 저하 가능성.txt</v>
      </c>
      <c r="M116" s="192" t="s">
        <v>1650</v>
      </c>
      <c r="N116" s="193"/>
      <c r="O116" s="192" t="str">
        <f t="shared" si="19"/>
        <v>제01장 노동법 총론&gt;06&gt;2&gt;</v>
      </c>
      <c r="P116" s="192" t="str">
        <f t="shared" si="20"/>
        <v>제01장 노동법 총론&gt;제02절 법원의 경합&gt;02</v>
      </c>
      <c r="Q116" s="192" t="str">
        <f t="shared" si="21"/>
        <v>1&gt;모의&gt;1.02&gt;1</v>
      </c>
      <c r="R116" s="192" t="str">
        <f t="shared" si="22"/>
        <v>1&gt;모의&gt;1.02&gt;2</v>
      </c>
      <c r="S116" s="180"/>
      <c r="T116" s="3" t="str">
        <f t="shared" si="23"/>
        <v>1.02-2-1</v>
      </c>
    </row>
    <row r="117" spans="1:20" s="3" customFormat="1" ht="14.45" hidden="1" customHeight="1" x14ac:dyDescent="0.2">
      <c r="A117" s="180"/>
      <c r="B117" s="188">
        <f t="shared" si="18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">
        <v>414</v>
      </c>
      <c r="H117" s="190" t="s">
        <v>415</v>
      </c>
      <c r="I117" s="352" t="s">
        <v>418</v>
      </c>
      <c r="J117" s="190" t="s">
        <v>415</v>
      </c>
      <c r="K117" s="191" t="s">
        <v>1927</v>
      </c>
      <c r="L117" s="192" t="str">
        <f>VLOOKUP(T117,통합목록!$Q$4:$T$310,2,0)</f>
        <v>열기2-01.노동법\02.문제\[기출][1][2025-1-1]우선재고용의무 위반에 따른 근로자 지위 인정 여부.txt</v>
      </c>
      <c r="M117" s="192" t="s">
        <v>1234</v>
      </c>
      <c r="N117" s="193"/>
      <c r="O117" s="192" t="str">
        <f t="shared" si="19"/>
        <v>제08장 근로관계의 종료&gt;01&gt;1-1&gt;</v>
      </c>
      <c r="P117" s="192" t="str">
        <f t="shared" si="20"/>
        <v>제08장 근로관계의 종료&gt;제02절 해고의 실체적 정당성&gt;01</v>
      </c>
      <c r="Q117" s="192" t="str">
        <f t="shared" si="21"/>
        <v>1&gt;기출&gt;2025&gt;3</v>
      </c>
      <c r="R117" s="192" t="str">
        <f t="shared" si="22"/>
        <v>1&gt;기출&gt;2025&gt;1-1</v>
      </c>
      <c r="S117" s="180"/>
      <c r="T117" s="3" t="str">
        <f t="shared" si="23"/>
        <v>2025-1-1-1</v>
      </c>
    </row>
    <row r="118" spans="1:20" ht="14.45" hidden="1" customHeight="1" x14ac:dyDescent="0.2">
      <c r="B118" s="188">
        <f t="shared" si="18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">
        <v>414</v>
      </c>
      <c r="H118" s="190" t="s">
        <v>417</v>
      </c>
      <c r="I118" s="352" t="s">
        <v>418</v>
      </c>
      <c r="J118" s="190" t="s">
        <v>417</v>
      </c>
      <c r="K118" s="191" t="s">
        <v>1928</v>
      </c>
      <c r="L118" s="192" t="str">
        <f>VLOOKUP(T118,통합목록!$Q$4:$T$310,2,0)</f>
        <v>열기2-01.노동법\02.문제\[기출][1][2025-1-2]우선재고용의무 위반 시 손해배상의무의 발생 시점 및 배상액 산정 방식(중간수입공제).txt</v>
      </c>
      <c r="M118" s="192" t="s">
        <v>1234</v>
      </c>
      <c r="N118" s="193"/>
      <c r="O118" s="192" t="str">
        <f t="shared" si="19"/>
        <v>제08장 근로관계의 종료&gt;02&gt;1-2&gt;</v>
      </c>
      <c r="P118" s="192" t="str">
        <f t="shared" si="20"/>
        <v>제08장 근로관계의 종료&gt;제02절 해고의 실체적 정당성&gt;02</v>
      </c>
      <c r="Q118" s="192" t="str">
        <f t="shared" si="21"/>
        <v>1&gt;기출&gt;2025&gt;2</v>
      </c>
      <c r="R118" s="192" t="str">
        <f t="shared" si="22"/>
        <v>1&gt;기출&gt;2025&gt;1-2</v>
      </c>
      <c r="T118" s="3" t="str">
        <f t="shared" si="23"/>
        <v>2025-1-2-1</v>
      </c>
    </row>
    <row r="119" spans="1:20" ht="14.45" hidden="1" customHeight="1" x14ac:dyDescent="0.2">
      <c r="B119" s="188">
        <f t="shared" si="18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">
        <v>1382</v>
      </c>
      <c r="H119" s="190" t="s">
        <v>415</v>
      </c>
      <c r="I119" s="352" t="s">
        <v>1495</v>
      </c>
      <c r="J119" s="190" t="s">
        <v>415</v>
      </c>
      <c r="K119" s="191" t="s">
        <v>1929</v>
      </c>
      <c r="L119" s="192" t="str">
        <f>VLOOKUP(T119,통합목록!$Q$4:$T$310,2,0)</f>
        <v>열기2-01.노동법\02.문제\[기출][1][2025-2]화학물질 누출 사고에 따른 근로자 및 노동조합 위원장의 작업중지권 행사의 정당성 여부.txt</v>
      </c>
      <c r="M119" s="192" t="s">
        <v>1234</v>
      </c>
      <c r="N119" s="193"/>
      <c r="O119" s="192" t="str">
        <f t="shared" si="19"/>
        <v>제16장 부속법령&gt;01&gt;2&gt;</v>
      </c>
      <c r="P119" s="192" t="str">
        <f t="shared" si="20"/>
        <v>제16장 부속법령&gt;제04절 산안법&gt;01</v>
      </c>
      <c r="Q119" s="192" t="str">
        <f t="shared" si="21"/>
        <v>1&gt;기출&gt;2025&gt;1</v>
      </c>
      <c r="R119" s="192" t="str">
        <f t="shared" si="22"/>
        <v>1&gt;기출&gt;2025&gt;2</v>
      </c>
      <c r="S119" s="3"/>
      <c r="T119" s="3" t="str">
        <f t="shared" si="23"/>
        <v>2025-2-1</v>
      </c>
    </row>
    <row r="120" spans="1:20" ht="14.45" hidden="1" customHeight="1" x14ac:dyDescent="0.2">
      <c r="B120" s="188">
        <f>ROW()-3</f>
        <v>117</v>
      </c>
      <c r="C120" s="189">
        <v>2024</v>
      </c>
      <c r="D120" s="190" t="s">
        <v>412</v>
      </c>
      <c r="E120" s="190" t="s">
        <v>419</v>
      </c>
      <c r="F120" s="190" t="s">
        <v>462</v>
      </c>
      <c r="G120" s="191" t="s">
        <v>421</v>
      </c>
      <c r="H120" s="190" t="s">
        <v>415</v>
      </c>
      <c r="I120" s="352" t="s">
        <v>1440</v>
      </c>
      <c r="J120" s="190" t="s">
        <v>415</v>
      </c>
      <c r="K120" s="191" t="s">
        <v>1930</v>
      </c>
      <c r="L120" s="192" t="str">
        <f>VLOOKUP(T120,통합목록!$Q$4:$T$310,2,0)</f>
        <v>열기2-01.노동법\02.문제\[기출][1][2024-1-1]기간제 근로자에 대한 근무평가 결과에 기초한 갱신거절 통보의 정당성 여부.txt</v>
      </c>
      <c r="M120" s="192" t="s">
        <v>1234</v>
      </c>
      <c r="N120" s="193"/>
      <c r="O120" s="192" t="str">
        <f>G120&amp;"&gt;"&amp;H120&amp;"&gt;"&amp;D120&amp;"&gt;"&amp;N120</f>
        <v>제09장 비정규근로자&gt;01&gt;1-1&gt;</v>
      </c>
      <c r="P120" s="192" t="str">
        <f>G120&amp;"&gt;"&amp;I120&amp;"&gt;"&amp;J120</f>
        <v>제09장 비정규근로자&gt;제01절 기간제근로자&gt;01</v>
      </c>
      <c r="Q120" s="192" t="str">
        <f>E120&amp;"&gt;"&amp;M120&amp;"&gt;"&amp;C120&amp;"&gt;"&amp;F120</f>
        <v>1&gt;기출&gt;2024&gt;4</v>
      </c>
      <c r="R120" s="192" t="str">
        <f>E120&amp;"&gt;"&amp;M120&amp;"&gt;"&amp;C120&amp;"&gt;"&amp;D120</f>
        <v>1&gt;기출&gt;2024&gt;1-1</v>
      </c>
      <c r="S120" s="3"/>
      <c r="T120" s="3" t="str">
        <f>C120&amp;"-"&amp;D120&amp;"-"&amp;E120</f>
        <v>2024-1-1-1</v>
      </c>
    </row>
    <row r="121" spans="1:20" ht="14.45" hidden="1" customHeight="1" x14ac:dyDescent="0.2">
      <c r="B121" s="188">
        <f>ROW()-3</f>
        <v>118</v>
      </c>
      <c r="C121" s="189">
        <v>2024</v>
      </c>
      <c r="D121" s="190" t="s">
        <v>416</v>
      </c>
      <c r="E121" s="190" t="s">
        <v>419</v>
      </c>
      <c r="F121" s="190" t="s">
        <v>446</v>
      </c>
      <c r="G121" s="191" t="s">
        <v>423</v>
      </c>
      <c r="H121" s="190" t="s">
        <v>415</v>
      </c>
      <c r="I121" s="352" t="s">
        <v>424</v>
      </c>
      <c r="J121" s="190" t="s">
        <v>415</v>
      </c>
      <c r="K121" s="191" t="s">
        <v>1931</v>
      </c>
      <c r="L121" s="192" t="str">
        <f>VLOOKUP(T121,통합목록!$Q$4:$T$310,2,0)</f>
        <v>열기2-01.노동법\02.문제\[기출][1][2024-1-2]영업양도 상황에서 회사 잔류를 희망한 근로자의 해고에 대한 정당성.txt</v>
      </c>
      <c r="M121" s="192" t="s">
        <v>1234</v>
      </c>
      <c r="N121" s="193"/>
      <c r="O121" s="192" t="str">
        <f>G121&amp;"&gt;"&amp;H121&amp;"&gt;"&amp;D121&amp;"&gt;"&amp;N121</f>
        <v>제07장 근로관계의 이전&gt;01&gt;1-2&gt;</v>
      </c>
      <c r="P121" s="192" t="str">
        <f>G121&amp;"&gt;"&amp;I121&amp;"&gt;"&amp;J121</f>
        <v>제07장 근로관계의 이전&gt;제01절 영업양도&gt;01</v>
      </c>
      <c r="Q121" s="192" t="str">
        <f>E121&amp;"&gt;"&amp;M121&amp;"&gt;"&amp;C121&amp;"&gt;"&amp;F121</f>
        <v>1&gt;기출&gt;2024&gt;3</v>
      </c>
      <c r="R121" s="192" t="str">
        <f>E121&amp;"&gt;"&amp;M121&amp;"&gt;"&amp;C121&amp;"&gt;"&amp;D121</f>
        <v>1&gt;기출&gt;2024&gt;1-2</v>
      </c>
      <c r="S121" s="3"/>
      <c r="T121" s="3" t="str">
        <f>C121&amp;"-"&amp;D121&amp;"-"&amp;E121</f>
        <v>2024-1-2-1</v>
      </c>
    </row>
    <row r="122" spans="1:20" ht="14.45" hidden="1" customHeight="1" x14ac:dyDescent="0.2">
      <c r="B122" s="188">
        <f>ROW()-3</f>
        <v>119</v>
      </c>
      <c r="C122" s="189">
        <v>2024</v>
      </c>
      <c r="D122" s="190" t="s">
        <v>1733</v>
      </c>
      <c r="E122" s="190" t="s">
        <v>1734</v>
      </c>
      <c r="F122" s="190" t="s">
        <v>28</v>
      </c>
      <c r="G122" s="191" t="s">
        <v>1830</v>
      </c>
      <c r="H122" s="190" t="s">
        <v>1735</v>
      </c>
      <c r="I122" s="352" t="s">
        <v>1831</v>
      </c>
      <c r="J122" s="190" t="s">
        <v>1735</v>
      </c>
      <c r="K122" s="191" t="s">
        <v>1923</v>
      </c>
      <c r="L122" s="192" t="str">
        <f>VLOOKUP(T122,통합목록!$Q$4:$T$310,2,0)</f>
        <v>열기2-01.노동법\02.문제\[기출][1][2024-1-2]영업양도 상황에서 회사 잔류를 희망한 근로자의 해고에 대한 정당성.txt</v>
      </c>
      <c r="M122" s="192" t="s">
        <v>1738</v>
      </c>
      <c r="N122" s="193"/>
      <c r="O122" s="192" t="str">
        <f>G122&amp;"&gt;"&amp;H122&amp;"&gt;"&amp;D122&amp;"&gt;"&amp;N122</f>
        <v>제08장 근로관계의 종료&gt;03&gt;1-2&gt;</v>
      </c>
      <c r="P122" s="192" t="str">
        <f>G122&amp;"&gt;"&amp;I122&amp;"&gt;"&amp;J122</f>
        <v>제08장 근로관계의 종료&gt;제02절 해고의 실체적 정당성&gt;03</v>
      </c>
      <c r="Q122" s="192" t="str">
        <f>E122&amp;"&gt;"&amp;M122&amp;"&gt;"&amp;C122&amp;"&gt;"&amp;F122</f>
        <v>1&gt;기출&gt;2024&gt;2</v>
      </c>
      <c r="R122" s="192" t="str">
        <f>E122&amp;"&gt;"&amp;M122&amp;"&gt;"&amp;C122&amp;"&gt;"&amp;D122</f>
        <v>1&gt;기출&gt;2024&gt;1-2</v>
      </c>
      <c r="S122" s="3"/>
      <c r="T122" s="3" t="str">
        <f>C122&amp;"-"&amp;D122&amp;"-"&amp;E122</f>
        <v>2024-1-2-1</v>
      </c>
    </row>
    <row r="123" spans="1:20" ht="14.45" hidden="1" customHeight="1" x14ac:dyDescent="0.2">
      <c r="B123" s="188">
        <f>ROW()-3</f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">
        <v>414</v>
      </c>
      <c r="H123" s="190" t="s">
        <v>430</v>
      </c>
      <c r="I123" s="352" t="s">
        <v>1439</v>
      </c>
      <c r="J123" s="190" t="s">
        <v>415</v>
      </c>
      <c r="K123" s="191" t="s">
        <v>1932</v>
      </c>
      <c r="L123" s="192" t="str">
        <f>VLOOKUP(T123,통합목록!$Q$4:$T$310,2,0)</f>
        <v>열기2-01.노동법\02.문제\[기출][1][2024-2]부당해고 기간 중 중간수입공제의 범위와 최종 임금상당액 산정.txt</v>
      </c>
      <c r="M123" s="192" t="s">
        <v>1234</v>
      </c>
      <c r="N123" s="193"/>
      <c r="O123" s="192" t="str">
        <f>G123&amp;"&gt;"&amp;H123&amp;"&gt;"&amp;D123&amp;"&gt;"&amp;N123</f>
        <v>제08장 근로관계의 종료&gt;04&gt;2&gt;</v>
      </c>
      <c r="P123" s="192" t="str">
        <f>G123&amp;"&gt;"&amp;I123&amp;"&gt;"&amp;J123</f>
        <v>제08장 근로관계의 종료&gt;제04절 부당해고의 구제&gt;01</v>
      </c>
      <c r="Q123" s="192" t="str">
        <f>E123&amp;"&gt;"&amp;M123&amp;"&gt;"&amp;C123&amp;"&gt;"&amp;F123</f>
        <v>1&gt;기출&gt;2024&gt;1</v>
      </c>
      <c r="R123" s="192" t="str">
        <f>E123&amp;"&gt;"&amp;M123&amp;"&gt;"&amp;C123&amp;"&gt;"&amp;D123</f>
        <v>1&gt;기출&gt;2024&gt;2</v>
      </c>
      <c r="S123" s="3"/>
      <c r="T123" s="3" t="str">
        <f>C123&amp;"-"&amp;D123&amp;"-"&amp;E123</f>
        <v>2024-2-1</v>
      </c>
    </row>
    <row r="124" spans="1:20" ht="14.45" hidden="1" customHeight="1" x14ac:dyDescent="0.2">
      <c r="B124" s="188">
        <f t="shared" si="18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">
        <v>414</v>
      </c>
      <c r="H124" s="190" t="s">
        <v>431</v>
      </c>
      <c r="I124" s="352" t="s">
        <v>418</v>
      </c>
      <c r="J124" s="190" t="s">
        <v>430</v>
      </c>
      <c r="K124" s="191" t="s">
        <v>1933</v>
      </c>
      <c r="L124" s="192" t="str">
        <f>VLOOKUP(T124,통합목록!$Q$4:$T$310,2,0)</f>
        <v>열기2-01.노동법\02.문제\[기출][1][2023-1-1]경영상 이유에 의한 해고 대상자 선정 기준에 대한 합리성 및 공정성.txt</v>
      </c>
      <c r="M124" s="192" t="s">
        <v>1234</v>
      </c>
      <c r="N124" s="193"/>
      <c r="O124" s="192" t="str">
        <f t="shared" si="19"/>
        <v>제08장 근로관계의 종료&gt;05&gt;1-1&gt;</v>
      </c>
      <c r="P124" s="192" t="str">
        <f t="shared" si="20"/>
        <v>제08장 근로관계의 종료&gt;제02절 해고의 실체적 정당성&gt;04</v>
      </c>
      <c r="Q124" s="192" t="str">
        <f t="shared" si="21"/>
        <v>1&gt;기출&gt;2023&gt;3</v>
      </c>
      <c r="R124" s="192" t="str">
        <f t="shared" si="22"/>
        <v>1&gt;기출&gt;2023&gt;1-1</v>
      </c>
      <c r="S124" s="3"/>
      <c r="T124" s="3" t="str">
        <f t="shared" si="23"/>
        <v>2023-1-1-1</v>
      </c>
    </row>
    <row r="125" spans="1:20" ht="14.45" hidden="1" customHeight="1" x14ac:dyDescent="0.2">
      <c r="B125" s="188">
        <f t="shared" si="18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">
        <v>427</v>
      </c>
      <c r="H125" s="190" t="s">
        <v>415</v>
      </c>
      <c r="I125" s="352" t="s">
        <v>428</v>
      </c>
      <c r="J125" s="190" t="s">
        <v>415</v>
      </c>
      <c r="K125" s="191" t="s">
        <v>1934</v>
      </c>
      <c r="L125" s="192" t="str">
        <f>VLOOKUP(T125,통합목록!$Q$4:$T$310,2,0)</f>
        <v>열기2-01.노동법\02.문제\[기출][1][2023-1-2]절차의 흠결이 있는 징계의 효력에 대한 노조 대표자 주장의 타당성.txt</v>
      </c>
      <c r="M125" s="192" t="s">
        <v>1234</v>
      </c>
      <c r="N125" s="193"/>
      <c r="O125" s="192" t="str">
        <f t="shared" si="19"/>
        <v>제06장 인사처분&gt;01&gt;1-2&gt;</v>
      </c>
      <c r="P125" s="192" t="str">
        <f t="shared" si="20"/>
        <v>제06장 인사처분&gt;제05절 징계&gt;01</v>
      </c>
      <c r="Q125" s="192" t="str">
        <f t="shared" si="21"/>
        <v>1&gt;기출&gt;2023&gt;2</v>
      </c>
      <c r="R125" s="192" t="str">
        <f t="shared" si="22"/>
        <v>1&gt;기출&gt;2023&gt;1-2</v>
      </c>
      <c r="S125" s="3"/>
      <c r="T125" s="3" t="str">
        <f t="shared" si="23"/>
        <v>2023-1-2-1</v>
      </c>
    </row>
    <row r="126" spans="1:20" ht="14.45" hidden="1" customHeight="1" x14ac:dyDescent="0.2">
      <c r="B126" s="188">
        <f t="shared" si="18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">
        <v>421</v>
      </c>
      <c r="H126" s="190" t="s">
        <v>417</v>
      </c>
      <c r="I126" s="352" t="s">
        <v>429</v>
      </c>
      <c r="J126" s="190" t="s">
        <v>415</v>
      </c>
      <c r="K126" s="191" t="s">
        <v>1935</v>
      </c>
      <c r="L126" s="192" t="str">
        <f>VLOOKUP(T126,통합목록!$Q$4:$T$310,2,0)</f>
        <v>열기2-01.노동법\02.문제\[기출][1][2023-2]근로계약관계의 실질적 사용자 및 계약의 형태(도급, 전적, 파견)에 따른 직접고용의무 판단.txt</v>
      </c>
      <c r="M126" s="192" t="s">
        <v>1234</v>
      </c>
      <c r="N126" s="193"/>
      <c r="O126" s="192" t="str">
        <f t="shared" si="19"/>
        <v>제09장 비정규근로자&gt;02&gt;2&gt;</v>
      </c>
      <c r="P126" s="192" t="str">
        <f t="shared" si="20"/>
        <v>제09장 비정규근로자&gt;제03절 파견근로자&gt;01</v>
      </c>
      <c r="Q126" s="192" t="str">
        <f t="shared" si="21"/>
        <v>1&gt;기출&gt;2023&gt;1</v>
      </c>
      <c r="R126" s="192" t="str">
        <f t="shared" si="22"/>
        <v>1&gt;기출&gt;2023&gt;2</v>
      </c>
      <c r="S126" s="3"/>
      <c r="T126" s="3" t="str">
        <f t="shared" si="23"/>
        <v>2023-2-1</v>
      </c>
    </row>
    <row r="127" spans="1:20" ht="14.45" hidden="1" customHeight="1" x14ac:dyDescent="0.2">
      <c r="B127" s="188">
        <f t="shared" si="18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">
        <v>414</v>
      </c>
      <c r="H127" s="190" t="s">
        <v>435</v>
      </c>
      <c r="I127" s="352" t="s">
        <v>418</v>
      </c>
      <c r="J127" s="190" t="s">
        <v>431</v>
      </c>
      <c r="K127" s="191" t="s">
        <v>1936</v>
      </c>
      <c r="L127" s="192" t="str">
        <f>VLOOKUP(T127,통합목록!$Q$4:$T$310,2,0)</f>
        <v>열기2-01.노동법\02.문제\[기출][1][2022-1-1]근무성적 불량 저성과자 해고의 정당성 요건 및 해고처분의 타당성 여부.txt</v>
      </c>
      <c r="M127" s="192" t="s">
        <v>1234</v>
      </c>
      <c r="N127" s="193"/>
      <c r="O127" s="192" t="str">
        <f t="shared" si="19"/>
        <v>제08장 근로관계의 종료&gt;06&gt;1-1&gt;</v>
      </c>
      <c r="P127" s="192" t="str">
        <f t="shared" si="20"/>
        <v>제08장 근로관계의 종료&gt;제02절 해고의 실체적 정당성&gt;05</v>
      </c>
      <c r="Q127" s="192" t="str">
        <f t="shared" si="21"/>
        <v>1&gt;기출&gt;2022&gt;3</v>
      </c>
      <c r="R127" s="192" t="str">
        <f t="shared" si="22"/>
        <v>1&gt;기출&gt;2022&gt;1-1</v>
      </c>
      <c r="S127" s="3"/>
      <c r="T127" s="3" t="str">
        <f t="shared" si="23"/>
        <v>2022-1-1-1</v>
      </c>
    </row>
    <row r="128" spans="1:20" ht="14.45" hidden="1" customHeight="1" x14ac:dyDescent="0.2">
      <c r="B128" s="188">
        <f t="shared" si="18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">
        <v>414</v>
      </c>
      <c r="H128" s="190" t="s">
        <v>440</v>
      </c>
      <c r="I128" s="352" t="s">
        <v>432</v>
      </c>
      <c r="J128" s="190" t="s">
        <v>415</v>
      </c>
      <c r="K128" s="191" t="s">
        <v>1937</v>
      </c>
      <c r="L128" s="192" t="str">
        <f>VLOOKUP(T128,통합목록!$Q$4:$T$310,2,0)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1234</v>
      </c>
      <c r="N128" s="193"/>
      <c r="O128" s="192" t="str">
        <f t="shared" si="19"/>
        <v>제08장 근로관계의 종료&gt;07&gt;1-2&gt;</v>
      </c>
      <c r="P128" s="192" t="str">
        <f t="shared" si="20"/>
        <v>제08장 근로관계의 종료&gt;제03절 해고의 절차적 정당성&gt;01</v>
      </c>
      <c r="Q128" s="192" t="str">
        <f t="shared" si="21"/>
        <v>1&gt;기출&gt;2022&gt;2</v>
      </c>
      <c r="R128" s="192" t="str">
        <f t="shared" si="22"/>
        <v>1&gt;기출&gt;2022&gt;1-2</v>
      </c>
      <c r="S128" s="3"/>
      <c r="T128" s="3" t="str">
        <f t="shared" si="23"/>
        <v>2022-1-2-1</v>
      </c>
    </row>
    <row r="129" spans="2:20" ht="14.45" hidden="1" customHeight="1" x14ac:dyDescent="0.2">
      <c r="B129" s="188">
        <f t="shared" si="18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">
        <v>443</v>
      </c>
      <c r="H129" s="190" t="s">
        <v>415</v>
      </c>
      <c r="I129" s="352" t="s">
        <v>433</v>
      </c>
      <c r="J129" s="190" t="s">
        <v>415</v>
      </c>
      <c r="K129" s="191" t="s">
        <v>1938</v>
      </c>
      <c r="L129" s="192" t="str">
        <f>VLOOKUP(T129,통합목록!$Q$4:$T$310,2,0)</f>
        <v>열기2-01.노동법\02.문제\[기출][1][2022-2]정기상여금의 고정성에 따른 통상임금 해당 여부.txt</v>
      </c>
      <c r="M129" s="192" t="s">
        <v>1234</v>
      </c>
      <c r="N129" s="193"/>
      <c r="O129" s="192" t="str">
        <f t="shared" si="19"/>
        <v>제03장 임금&gt;01&gt;2&gt;</v>
      </c>
      <c r="P129" s="192" t="str">
        <f t="shared" si="20"/>
        <v>제03장 임금&gt;제03절 통상임금&gt;01</v>
      </c>
      <c r="Q129" s="192" t="str">
        <f t="shared" si="21"/>
        <v>1&gt;기출&gt;2022&gt;1</v>
      </c>
      <c r="R129" s="192" t="str">
        <f t="shared" si="22"/>
        <v>1&gt;기출&gt;2022&gt;2</v>
      </c>
      <c r="S129" s="3"/>
      <c r="T129" s="3" t="str">
        <f t="shared" si="23"/>
        <v>2022-2-1</v>
      </c>
    </row>
    <row r="130" spans="2:20" ht="14.45" hidden="1" customHeight="1" x14ac:dyDescent="0.2">
      <c r="B130" s="188">
        <f t="shared" si="18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">
        <v>434</v>
      </c>
      <c r="H130" s="190" t="s">
        <v>415</v>
      </c>
      <c r="I130" s="352" t="s">
        <v>455</v>
      </c>
      <c r="J130" s="190" t="s">
        <v>415</v>
      </c>
      <c r="K130" s="191" t="s">
        <v>1939</v>
      </c>
      <c r="L130" s="192" t="str">
        <f>VLOOKUP(T130,통합목록!$Q$4:$T$310,2,0)</f>
        <v>열기2-01.노동법\02.문제\[기출][1][2021-1-1]비조합원에 대한 불이익 취업규칙 적용의 효력.txt</v>
      </c>
      <c r="M130" s="192" t="s">
        <v>1234</v>
      </c>
      <c r="N130" s="193"/>
      <c r="O130" s="192" t="str">
        <f t="shared" si="19"/>
        <v>제05장 취업규칙&gt;01&gt;1-1&gt;</v>
      </c>
      <c r="P130" s="192" t="str">
        <f t="shared" si="20"/>
        <v>제05장 취업규칙&gt;제02절 취업규칙의 변경&gt;01</v>
      </c>
      <c r="Q130" s="192" t="str">
        <f t="shared" si="21"/>
        <v>1&gt;기출&gt;2021&gt;3</v>
      </c>
      <c r="R130" s="192" t="str">
        <f t="shared" si="22"/>
        <v>1&gt;기출&gt;2021&gt;1-1</v>
      </c>
      <c r="S130" s="3"/>
      <c r="T130" s="3" t="str">
        <f t="shared" si="23"/>
        <v>2021-1-1-1</v>
      </c>
    </row>
    <row r="131" spans="2:20" ht="14.45" hidden="1" customHeight="1" x14ac:dyDescent="0.2">
      <c r="B131" s="188">
        <f t="shared" si="18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">
        <v>434</v>
      </c>
      <c r="H131" s="190" t="s">
        <v>417</v>
      </c>
      <c r="I131" s="352" t="s">
        <v>455</v>
      </c>
      <c r="J131" s="190" t="s">
        <v>417</v>
      </c>
      <c r="K131" s="191" t="s">
        <v>1940</v>
      </c>
      <c r="L131" s="192" t="str">
        <f>VLOOKUP(T131,통합목록!$Q$4:$T$310,2,0)</f>
        <v>열기2-01.노동법\02.문제\[기출][1][2021-1-2]개별 근로자 대상 근로계약 대비 불이익 취업규칙의 동의 없는 적용 가능 여부.txt</v>
      </c>
      <c r="M131" s="192" t="s">
        <v>1234</v>
      </c>
      <c r="N131" s="193"/>
      <c r="O131" s="192" t="str">
        <f t="shared" si="19"/>
        <v>제05장 취업규칙&gt;02&gt;1-2&gt;</v>
      </c>
      <c r="P131" s="192" t="str">
        <f t="shared" si="20"/>
        <v>제05장 취업규칙&gt;제02절 취업규칙의 변경&gt;02</v>
      </c>
      <c r="Q131" s="192" t="str">
        <f t="shared" si="21"/>
        <v>1&gt;기출&gt;2021&gt;2</v>
      </c>
      <c r="R131" s="192" t="str">
        <f t="shared" si="22"/>
        <v>1&gt;기출&gt;2021&gt;1-2</v>
      </c>
      <c r="S131" s="3"/>
      <c r="T131" s="3" t="str">
        <f t="shared" si="23"/>
        <v>2021-1-2-1</v>
      </c>
    </row>
    <row r="132" spans="2:20" ht="14.45" hidden="1" customHeight="1" x14ac:dyDescent="0.2">
      <c r="B132" s="188">
        <f t="shared" ref="B132:B163" si="24">ROW()-3</f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">
        <v>414</v>
      </c>
      <c r="H132" s="190" t="s">
        <v>447</v>
      </c>
      <c r="I132" s="352" t="s">
        <v>1439</v>
      </c>
      <c r="J132" s="190" t="s">
        <v>417</v>
      </c>
      <c r="K132" s="191" t="s">
        <v>1941</v>
      </c>
      <c r="L132" s="192" t="str">
        <f>VLOOKUP(T132,통합목록!$Q$4:$T$310,2,0)</f>
        <v>열기2-01.노동법\02.문제\[기출][1][2021-2]정년 도달로 근로관계가 종료된 경우 부당해고 재심판정취소소송의 소의 이익 존부.txt</v>
      </c>
      <c r="M132" s="192" t="s">
        <v>1234</v>
      </c>
      <c r="N132" s="193"/>
      <c r="O132" s="192" t="str">
        <f t="shared" ref="O132:O163" si="25">G132&amp;"&gt;"&amp;H132&amp;"&gt;"&amp;D132&amp;"&gt;"&amp;N132</f>
        <v>제08장 근로관계의 종료&gt;08&gt;2&gt;</v>
      </c>
      <c r="P132" s="192" t="str">
        <f t="shared" ref="P132:P163" si="26">G132&amp;"&gt;"&amp;I132&amp;"&gt;"&amp;J132</f>
        <v>제08장 근로관계의 종료&gt;제04절 부당해고의 구제&gt;02</v>
      </c>
      <c r="Q132" s="192" t="str">
        <f t="shared" ref="Q132:Q163" si="27">E132&amp;"&gt;"&amp;M132&amp;"&gt;"&amp;C132&amp;"&gt;"&amp;F132</f>
        <v>1&gt;기출&gt;2021&gt;1</v>
      </c>
      <c r="R132" s="192" t="str">
        <f t="shared" ref="R132:R163" si="28">E132&amp;"&gt;"&amp;M132&amp;"&gt;"&amp;C132&amp;"&gt;"&amp;D132</f>
        <v>1&gt;기출&gt;2021&gt;2</v>
      </c>
      <c r="S132" s="3"/>
      <c r="T132" s="3" t="str">
        <f t="shared" ref="T132:T163" si="29">C132&amp;"-"&amp;D132&amp;"-"&amp;E132</f>
        <v>2021-2-1</v>
      </c>
    </row>
    <row r="133" spans="2:20" ht="14.45" hidden="1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">
        <v>1478</v>
      </c>
      <c r="H133" s="190" t="s">
        <v>417</v>
      </c>
      <c r="I133" s="352" t="s">
        <v>1428</v>
      </c>
      <c r="J133" s="190" t="s">
        <v>415</v>
      </c>
      <c r="K133" s="191" t="s">
        <v>1942</v>
      </c>
      <c r="L133" s="192" t="str">
        <f>VLOOKUP(T133,통합목록!$Q$4:$T$310,2,0)</f>
        <v>열기2-01.노동법\02.문제\[기출][1][2020-1-1]명목상 외주업체 소속 근로자의 실질적 사업주 판단 기준.txt</v>
      </c>
      <c r="M133" s="192" t="s">
        <v>1234</v>
      </c>
      <c r="N133" s="193"/>
      <c r="O133" s="192" t="str">
        <f t="shared" si="25"/>
        <v>제01장 노동법 총론&gt;02&gt;1-1&gt;</v>
      </c>
      <c r="P133" s="192" t="str">
        <f t="shared" si="26"/>
        <v>제01장 노동법 총론&gt;제06절 근로기준법상 사용자&gt;01</v>
      </c>
      <c r="Q133" s="192" t="str">
        <f t="shared" si="27"/>
        <v>1&gt;기출&gt;2020&gt;4</v>
      </c>
      <c r="R133" s="192" t="str">
        <f t="shared" si="28"/>
        <v>1&gt;기출&gt;2020&gt;1-1</v>
      </c>
      <c r="S133" s="3"/>
      <c r="T133" s="3" t="str">
        <f t="shared" si="29"/>
        <v>2020-1-1-1</v>
      </c>
    </row>
    <row r="134" spans="2:20" ht="14.45" hidden="1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">
        <v>1832</v>
      </c>
      <c r="H134" s="190" t="s">
        <v>426</v>
      </c>
      <c r="I134" s="352" t="s">
        <v>1833</v>
      </c>
      <c r="J134" s="190" t="s">
        <v>417</v>
      </c>
      <c r="K134" s="191" t="s">
        <v>1942</v>
      </c>
      <c r="L134" s="192" t="str">
        <f>VLOOKUP(T134,통합목록!$Q$4:$T$310,2,0)</f>
        <v>열기2-01.노동법\02.문제\[기출][1][2020-1-1]명목상 외주업체 소속 근로자의 실질적 사업주 판단 기준.txt</v>
      </c>
      <c r="M134" s="192" t="s">
        <v>1234</v>
      </c>
      <c r="N134" s="193"/>
      <c r="O134" s="192" t="str">
        <f t="shared" si="25"/>
        <v>제09장 비정규근로자&gt;03&gt;1-1&gt;</v>
      </c>
      <c r="P134" s="192" t="str">
        <f t="shared" si="26"/>
        <v>제09장 비정규근로자&gt;제03절 파견근로자&gt;02</v>
      </c>
      <c r="Q134" s="192" t="str">
        <f t="shared" si="27"/>
        <v>1&gt;기출&gt;2020&gt;3</v>
      </c>
      <c r="R134" s="192" t="str">
        <f t="shared" si="28"/>
        <v>1&gt;기출&gt;2020&gt;1-1</v>
      </c>
      <c r="S134" s="3"/>
      <c r="T134" s="3" t="str">
        <f t="shared" si="29"/>
        <v>2020-1-1-1</v>
      </c>
    </row>
    <row r="135" spans="2:20" ht="14.45" hidden="1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">
        <v>421</v>
      </c>
      <c r="H135" s="190" t="s">
        <v>430</v>
      </c>
      <c r="I135" s="352" t="s">
        <v>429</v>
      </c>
      <c r="J135" s="190" t="s">
        <v>426</v>
      </c>
      <c r="K135" s="191" t="s">
        <v>1943</v>
      </c>
      <c r="L135" s="192" t="str">
        <f>VLOOKUP(T135,통합목록!$Q$4:$T$310,2,0)</f>
        <v>열기2-01.노동법\02.문제\[기출][1][2020-1-2]통행료 수납원의 근로자파견 여부 및 무허가 파견에 따른 직접고용의무.txt</v>
      </c>
      <c r="M135" s="192" t="s">
        <v>1234</v>
      </c>
      <c r="N135" s="193"/>
      <c r="O135" s="192" t="str">
        <f t="shared" si="25"/>
        <v>제09장 비정규근로자&gt;04&gt;1-2&gt;</v>
      </c>
      <c r="P135" s="192" t="str">
        <f t="shared" si="26"/>
        <v>제09장 비정규근로자&gt;제03절 파견근로자&gt;03</v>
      </c>
      <c r="Q135" s="192" t="str">
        <f t="shared" si="27"/>
        <v>1&gt;기출&gt;2020&gt;2</v>
      </c>
      <c r="R135" s="192" t="str">
        <f t="shared" si="28"/>
        <v>1&gt;기출&gt;2020&gt;1-2</v>
      </c>
      <c r="S135" s="3"/>
      <c r="T135" s="3" t="str">
        <f t="shared" si="29"/>
        <v>2020-1-2-1</v>
      </c>
    </row>
    <row r="136" spans="2:20" ht="14.45" hidden="1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">
        <v>1601</v>
      </c>
      <c r="H136" s="190" t="s">
        <v>415</v>
      </c>
      <c r="I136" s="352" t="s">
        <v>439</v>
      </c>
      <c r="J136" s="190" t="s">
        <v>415</v>
      </c>
      <c r="K136" s="191" t="s">
        <v>1944</v>
      </c>
      <c r="L136" s="192" t="str">
        <f>VLOOKUP(T136,통합목록!$Q$4:$T$310,2,0)</f>
        <v>열기2-01.노동법\02.문제\[기출][1][2020-2]산업재해보상보험법상 2차 회식의 업무상 재해 인정 여부.txt</v>
      </c>
      <c r="M136" s="192" t="s">
        <v>1234</v>
      </c>
      <c r="N136" s="193"/>
      <c r="O136" s="192" t="str">
        <f t="shared" si="25"/>
        <v>제10장 업무상 재해 등&gt;01&gt;2&gt;</v>
      </c>
      <c r="P136" s="192" t="str">
        <f t="shared" si="26"/>
        <v>제10장 업무상 재해 등&gt;제01절 업무상 재해&gt;01</v>
      </c>
      <c r="Q136" s="192" t="str">
        <f t="shared" si="27"/>
        <v>1&gt;기출&gt;2020&gt;1</v>
      </c>
      <c r="R136" s="192" t="str">
        <f t="shared" si="28"/>
        <v>1&gt;기출&gt;2020&gt;2</v>
      </c>
      <c r="S136" s="3"/>
      <c r="T136" s="3" t="str">
        <f t="shared" si="29"/>
        <v>2020-2-1</v>
      </c>
    </row>
    <row r="137" spans="2:20" ht="14.45" hidden="1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">
        <v>414</v>
      </c>
      <c r="H137" s="190" t="s">
        <v>450</v>
      </c>
      <c r="I137" s="352" t="s">
        <v>418</v>
      </c>
      <c r="J137" s="190" t="s">
        <v>435</v>
      </c>
      <c r="K137" s="191" t="s">
        <v>1945</v>
      </c>
      <c r="L137" s="192" t="str">
        <f>VLOOKUP(T137,통합목록!$Q$4:$T$310,2,0)</f>
        <v>열기2-01.노동법\02.문제\[기출][1][2019-1-1]경영상 이유에 의한 해고 대상자 선정 기준의 위법성.txt</v>
      </c>
      <c r="M137" s="192" t="s">
        <v>1234</v>
      </c>
      <c r="N137" s="193"/>
      <c r="O137" s="192" t="str">
        <f t="shared" si="25"/>
        <v>제08장 근로관계의 종료&gt;09&gt;1-1&gt;</v>
      </c>
      <c r="P137" s="192" t="str">
        <f t="shared" si="26"/>
        <v>제08장 근로관계의 종료&gt;제02절 해고의 실체적 정당성&gt;06</v>
      </c>
      <c r="Q137" s="192" t="str">
        <f t="shared" si="27"/>
        <v>1&gt;기출&gt;2019&gt;4</v>
      </c>
      <c r="R137" s="192" t="str">
        <f t="shared" si="28"/>
        <v>1&gt;기출&gt;2019&gt;1-1</v>
      </c>
      <c r="S137" s="3"/>
      <c r="T137" s="3" t="str">
        <f t="shared" si="29"/>
        <v>2019-1-1-1</v>
      </c>
    </row>
    <row r="138" spans="2:20" ht="14.45" hidden="1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">
        <v>441</v>
      </c>
      <c r="H138" s="190" t="s">
        <v>415</v>
      </c>
      <c r="I138" s="352" t="s">
        <v>442</v>
      </c>
      <c r="J138" s="190" t="s">
        <v>415</v>
      </c>
      <c r="K138" s="191" t="s">
        <v>1946</v>
      </c>
      <c r="L138" s="192" t="str">
        <f>VLOOKUP(T138,통합목록!$Q$4:$T$310,2,0)</f>
        <v>열기2-01.노동법\02.문제\[기출][1][2019-1-2]중도 퇴사자 대상 사이닝보너스 반환 청구의 타당성.txt</v>
      </c>
      <c r="M138" s="192" t="s">
        <v>1234</v>
      </c>
      <c r="N138" s="193"/>
      <c r="O138" s="192" t="str">
        <f t="shared" si="25"/>
        <v>제02장 근로관계의 성립&gt;01&gt;1-2&gt;</v>
      </c>
      <c r="P138" s="192" t="str">
        <f t="shared" si="26"/>
        <v>제02장 근로관계의 성립&gt;제02절 근로계약의 체결&gt;01</v>
      </c>
      <c r="Q138" s="192" t="str">
        <f t="shared" si="27"/>
        <v>1&gt;기출&gt;2019&gt;3</v>
      </c>
      <c r="R138" s="192" t="str">
        <f t="shared" si="28"/>
        <v>1&gt;기출&gt;2019&gt;1-2</v>
      </c>
      <c r="S138" s="3"/>
      <c r="T138" s="3" t="str">
        <f t="shared" si="29"/>
        <v>2019-1-2-1</v>
      </c>
    </row>
    <row r="139" spans="2:20" ht="14.45" hidden="1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">
        <v>443</v>
      </c>
      <c r="H139" s="190" t="s">
        <v>417</v>
      </c>
      <c r="I139" s="352" t="s">
        <v>444</v>
      </c>
      <c r="J139" s="190" t="s">
        <v>415</v>
      </c>
      <c r="K139" s="191" t="s">
        <v>1947</v>
      </c>
      <c r="L139" s="192" t="str">
        <f>VLOOKUP(T139,통합목록!$Q$4:$T$310,2,0)</f>
        <v>열기2-01.노동법\02.문제\[기출][1][2019-2]임금채권 양수자의 청구에 대한 사용자의 지급 의무.txt</v>
      </c>
      <c r="M139" s="192" t="s">
        <v>1234</v>
      </c>
      <c r="N139" s="193"/>
      <c r="O139" s="192" t="str">
        <f t="shared" si="25"/>
        <v>제03장 임금&gt;02&gt;2&gt;</v>
      </c>
      <c r="P139" s="192" t="str">
        <f t="shared" si="26"/>
        <v>제03장 임금&gt;제04절 임금지급의 원칙&gt;01</v>
      </c>
      <c r="Q139" s="192" t="str">
        <f t="shared" si="27"/>
        <v>1&gt;기출&gt;2019&gt;1</v>
      </c>
      <c r="R139" s="192" t="str">
        <f t="shared" si="28"/>
        <v>1&gt;기출&gt;2019&gt;2</v>
      </c>
      <c r="S139" s="3"/>
      <c r="T139" s="3" t="str">
        <f t="shared" si="29"/>
        <v>2019-2-1</v>
      </c>
    </row>
    <row r="140" spans="2:20" ht="14.45" hidden="1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">
        <v>1478</v>
      </c>
      <c r="H140" s="190" t="s">
        <v>430</v>
      </c>
      <c r="I140" s="352" t="s">
        <v>1426</v>
      </c>
      <c r="J140" s="190" t="s">
        <v>415</v>
      </c>
      <c r="K140" s="191" t="s">
        <v>1948</v>
      </c>
      <c r="L140" s="192" t="str">
        <f>VLOOKUP(T140,통합목록!$Q$4:$T$310,2,0)</f>
        <v>열기2-01.노동법\02.문제\[기출][1][2018-1-1]제조업체와 판매용역계약을 체결한 백화점 판매원의 근로기준법상 근로자 해당 여부.txt</v>
      </c>
      <c r="M140" s="192" t="s">
        <v>1234</v>
      </c>
      <c r="N140" s="193"/>
      <c r="O140" s="192" t="str">
        <f t="shared" si="25"/>
        <v>제01장 노동법 총론&gt;04&gt;1-1&gt;</v>
      </c>
      <c r="P140" s="192" t="str">
        <f t="shared" si="26"/>
        <v>제01장 노동법 총론&gt;제04절 근로기준법상 근로자&gt;01</v>
      </c>
      <c r="Q140" s="192" t="str">
        <f t="shared" si="27"/>
        <v>1&gt;기출&gt;2018&gt;3</v>
      </c>
      <c r="R140" s="192" t="str">
        <f t="shared" si="28"/>
        <v>1&gt;기출&gt;2018&gt;1-1</v>
      </c>
      <c r="T140" s="3" t="str">
        <f t="shared" si="29"/>
        <v>2018-1-1-1</v>
      </c>
    </row>
    <row r="141" spans="2:20" ht="14.45" hidden="1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">
        <v>443</v>
      </c>
      <c r="H141" s="190" t="s">
        <v>426</v>
      </c>
      <c r="I141" s="352" t="s">
        <v>433</v>
      </c>
      <c r="J141" s="190" t="s">
        <v>417</v>
      </c>
      <c r="K141" s="191" t="s">
        <v>1949</v>
      </c>
      <c r="L141" s="192" t="str">
        <f>VLOOKUP(T141,통합목록!$Q$4:$T$310,2,0)</f>
        <v>열기2-01.노동법\02.문제\[기출][1][2018-1-2]판매용역계약을 체결한 판매원이 지급받은 수수료의 통상임금 해당 여부.txt</v>
      </c>
      <c r="M141" s="192" t="s">
        <v>1234</v>
      </c>
      <c r="N141" s="193"/>
      <c r="O141" s="192" t="str">
        <f t="shared" si="25"/>
        <v>제03장 임금&gt;03&gt;1-2&gt;</v>
      </c>
      <c r="P141" s="192" t="str">
        <f t="shared" si="26"/>
        <v>제03장 임금&gt;제03절 통상임금&gt;02</v>
      </c>
      <c r="Q141" s="192" t="str">
        <f t="shared" si="27"/>
        <v>1&gt;기출&gt;2018&gt;2</v>
      </c>
      <c r="R141" s="192" t="str">
        <f t="shared" si="28"/>
        <v>1&gt;기출&gt;2018&gt;1-2</v>
      </c>
      <c r="T141" s="3" t="str">
        <f t="shared" si="29"/>
        <v>2018-1-2-1</v>
      </c>
    </row>
    <row r="142" spans="2:20" ht="14.45" hidden="1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">
        <v>421</v>
      </c>
      <c r="H142" s="190" t="s">
        <v>431</v>
      </c>
      <c r="I142" s="352" t="s">
        <v>1440</v>
      </c>
      <c r="J142" s="190" t="s">
        <v>417</v>
      </c>
      <c r="K142" s="191" t="s">
        <v>1950</v>
      </c>
      <c r="L142" s="192" t="str">
        <f>VLOOKUP(T142,통합목록!$Q$4:$T$310,2,0)</f>
        <v>열기2-01.노동법\02.문제\[기출][1][2018-2]기간제 근로계약 만료 시 사용자의 갱신거절이 부당해고에 해당하는지에 관한 판례법리.txt</v>
      </c>
      <c r="M142" s="192" t="s">
        <v>1234</v>
      </c>
      <c r="N142" s="193"/>
      <c r="O142" s="192" t="str">
        <f t="shared" si="25"/>
        <v>제09장 비정규근로자&gt;05&gt;2&gt;</v>
      </c>
      <c r="P142" s="192" t="str">
        <f t="shared" si="26"/>
        <v>제09장 비정규근로자&gt;제01절 기간제근로자&gt;02</v>
      </c>
      <c r="Q142" s="192" t="str">
        <f t="shared" si="27"/>
        <v>1&gt;기출&gt;2018&gt;1</v>
      </c>
      <c r="R142" s="192" t="str">
        <f t="shared" si="28"/>
        <v>1&gt;기출&gt;2018&gt;2</v>
      </c>
      <c r="T142" s="3" t="str">
        <f t="shared" si="29"/>
        <v>2018-2-1</v>
      </c>
    </row>
    <row r="143" spans="2:20" ht="14.45" hidden="1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">
        <v>414</v>
      </c>
      <c r="H143" s="190" t="s">
        <v>453</v>
      </c>
      <c r="I143" s="352" t="s">
        <v>418</v>
      </c>
      <c r="J143" s="190" t="s">
        <v>440</v>
      </c>
      <c r="K143" s="191" t="s">
        <v>1951</v>
      </c>
      <c r="L143" s="192" t="str">
        <f>VLOOKUP(T143,통합목록!$Q$4:$T$310,2,0)</f>
        <v>열기2-01.노동법\02.문제\[기출][1][2017-1-1]확정되지 않은 징계사유로 단행된 해고의 정당성.txt</v>
      </c>
      <c r="M143" s="192" t="s">
        <v>1234</v>
      </c>
      <c r="N143" s="193"/>
      <c r="O143" s="192" t="str">
        <f t="shared" si="25"/>
        <v>제08장 근로관계의 종료&gt;10&gt;1-1&gt;</v>
      </c>
      <c r="P143" s="192" t="str">
        <f t="shared" si="26"/>
        <v>제08장 근로관계의 종료&gt;제02절 해고의 실체적 정당성&gt;07</v>
      </c>
      <c r="Q143" s="192" t="str">
        <f t="shared" si="27"/>
        <v>1&gt;기출&gt;2017&gt;3</v>
      </c>
      <c r="R143" s="192" t="str">
        <f t="shared" si="28"/>
        <v>1&gt;기출&gt;2017&gt;1-1</v>
      </c>
      <c r="T143" s="3" t="str">
        <f t="shared" si="29"/>
        <v>2017-1-1-1</v>
      </c>
    </row>
    <row r="144" spans="2:20" ht="14.45" hidden="1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">
        <v>1382</v>
      </c>
      <c r="H144" s="190" t="s">
        <v>426</v>
      </c>
      <c r="I144" s="353" t="s">
        <v>1459</v>
      </c>
      <c r="J144" s="190" t="s">
        <v>415</v>
      </c>
      <c r="K144" s="191" t="s">
        <v>1200</v>
      </c>
      <c r="L144" s="192" t="str">
        <f>VLOOKUP(T144,통합목록!$Q$4:$T$310,2,0)</f>
        <v>열기2-01.노동법\02.문제\[기출][1][2017-1-2]매월 균분하여 지급받은 퇴직금 분할 약정의 효력.txt</v>
      </c>
      <c r="M144" s="192" t="s">
        <v>1234</v>
      </c>
      <c r="N144" s="193"/>
      <c r="O144" s="192" t="str">
        <f t="shared" si="25"/>
        <v>제16장 부속법령&gt;03&gt;1-2&gt;</v>
      </c>
      <c r="P144" s="192" t="str">
        <f t="shared" si="26"/>
        <v>제16장 부속법령&gt;제12절 근퇴법&gt;01</v>
      </c>
      <c r="Q144" s="192" t="str">
        <f t="shared" si="27"/>
        <v>1&gt;기출&gt;2017&gt;2</v>
      </c>
      <c r="R144" s="192" t="str">
        <f t="shared" si="28"/>
        <v>1&gt;기출&gt;2017&gt;1-2</v>
      </c>
      <c r="T144" s="3" t="str">
        <f t="shared" si="29"/>
        <v>2017-1-2-1</v>
      </c>
    </row>
    <row r="145" spans="2:20" ht="14.45" hidden="1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">
        <v>421</v>
      </c>
      <c r="H145" s="190" t="s">
        <v>435</v>
      </c>
      <c r="I145" s="352" t="s">
        <v>1488</v>
      </c>
      <c r="J145" s="190" t="s">
        <v>415</v>
      </c>
      <c r="K145" s="191" t="s">
        <v>1952</v>
      </c>
      <c r="L145" s="192" t="str">
        <f>VLOOKUP(T145,통합목록!$Q$4:$T$310,2,0)</f>
        <v>열기2-01.노동법\02.문제\[기출][1][2017-2]계약직에서 정규직으로 전환된 근로자에 대한 경력 인정 차별의 정당성 여부.txt</v>
      </c>
      <c r="M145" s="192" t="s">
        <v>1234</v>
      </c>
      <c r="N145" s="193"/>
      <c r="O145" s="192" t="str">
        <f t="shared" si="25"/>
        <v>제09장 비정규근로자&gt;06&gt;2&gt;</v>
      </c>
      <c r="P145" s="192" t="str">
        <f t="shared" si="26"/>
        <v>제09장 비정규근로자&gt;제04절 차별 시정&gt;01</v>
      </c>
      <c r="Q145" s="192" t="str">
        <f t="shared" si="27"/>
        <v>1&gt;기출&gt;2017&gt;1</v>
      </c>
      <c r="R145" s="192" t="str">
        <f t="shared" si="28"/>
        <v>1&gt;기출&gt;2017&gt;2</v>
      </c>
      <c r="T145" s="3" t="str">
        <f t="shared" si="29"/>
        <v>2017-2-1</v>
      </c>
    </row>
    <row r="146" spans="2:20" ht="14.45" hidden="1" customHeight="1" x14ac:dyDescent="0.2">
      <c r="B146" s="188">
        <f t="shared" si="24"/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">
        <v>448</v>
      </c>
      <c r="H146" s="190" t="s">
        <v>415</v>
      </c>
      <c r="I146" s="352" t="s">
        <v>449</v>
      </c>
      <c r="J146" s="190" t="s">
        <v>415</v>
      </c>
      <c r="K146" s="191" t="s">
        <v>1953</v>
      </c>
      <c r="L146" s="192" t="str">
        <f>VLOOKUP(T146,통합목록!$Q$4:$T$310,2,0)</f>
        <v>열기2-01.노동법\02.문제\[기출][1][2016-1-1]적법한 파업 참가 근로자의 출근율 및 연차유급휴가 일수 산정 방식과 회사 주장의 정당성.txt</v>
      </c>
      <c r="M146" s="192" t="s">
        <v>1234</v>
      </c>
      <c r="N146" s="193"/>
      <c r="O146" s="192" t="str">
        <f t="shared" si="25"/>
        <v>제04장 근로시간&gt;01&gt;1-1&gt;</v>
      </c>
      <c r="P146" s="192" t="str">
        <f t="shared" si="26"/>
        <v>제04장 근로시간&gt;제06절 연차유급휴가&gt;01</v>
      </c>
      <c r="Q146" s="192" t="str">
        <f t="shared" si="27"/>
        <v>1&gt;기출&gt;2016&gt;4</v>
      </c>
      <c r="R146" s="192" t="str">
        <f t="shared" si="28"/>
        <v>1&gt;기출&gt;2016&gt;1-1</v>
      </c>
      <c r="T146" s="3" t="str">
        <f t="shared" si="29"/>
        <v>2016-1-1-1</v>
      </c>
    </row>
    <row r="147" spans="2:20" ht="14.45" hidden="1" customHeight="1" x14ac:dyDescent="0.2">
      <c r="B147" s="188">
        <f t="shared" si="24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">
        <v>414</v>
      </c>
      <c r="H147" s="190" t="s">
        <v>460</v>
      </c>
      <c r="I147" s="352" t="s">
        <v>418</v>
      </c>
      <c r="J147" s="190" t="s">
        <v>447</v>
      </c>
      <c r="K147" s="191" t="s">
        <v>1954</v>
      </c>
      <c r="L147" s="192" t="str">
        <f>VLOOKUP(T147,통합목록!$Q$4:$T$310,2,0)</f>
        <v>열기2-01.노동법\02.문제\[기출][1][2016-1-2]이력서 허위 기재를 근거로 한 해고의 정당성.txt</v>
      </c>
      <c r="M147" s="192" t="s">
        <v>1234</v>
      </c>
      <c r="N147" s="193"/>
      <c r="O147" s="192" t="str">
        <f t="shared" si="25"/>
        <v>제08장 근로관계의 종료&gt;11&gt;1-2&gt;</v>
      </c>
      <c r="P147" s="192" t="str">
        <f t="shared" si="26"/>
        <v>제08장 근로관계의 종료&gt;제02절 해고의 실체적 정당성&gt;08</v>
      </c>
      <c r="Q147" s="192" t="str">
        <f t="shared" si="27"/>
        <v>1&gt;기출&gt;2016&gt;3</v>
      </c>
      <c r="R147" s="192" t="str">
        <f t="shared" si="28"/>
        <v>1&gt;기출&gt;2016&gt;1-2</v>
      </c>
      <c r="T147" s="3" t="str">
        <f t="shared" si="29"/>
        <v>2016-1-2-1</v>
      </c>
    </row>
    <row r="148" spans="2:20" ht="14.45" hidden="1" customHeight="1" x14ac:dyDescent="0.2">
      <c r="B148" s="188">
        <f t="shared" si="24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">
        <v>441</v>
      </c>
      <c r="H148" s="190" t="s">
        <v>417</v>
      </c>
      <c r="I148" s="352" t="s">
        <v>452</v>
      </c>
      <c r="J148" s="190" t="s">
        <v>415</v>
      </c>
      <c r="K148" s="191" t="s">
        <v>1955</v>
      </c>
      <c r="L148" s="192" t="str">
        <f>VLOOKUP(T148,통합목록!$Q$4:$T$310,2,0)</f>
        <v>열기2-01.노동법\02.문제\[기출][1][2016-2]시용기간 만료 시 본채용 거부의 해고 여부 및 구두 통보의 정당성.txt</v>
      </c>
      <c r="M148" s="192" t="s">
        <v>1234</v>
      </c>
      <c r="N148" s="193"/>
      <c r="O148" s="192" t="str">
        <f t="shared" si="25"/>
        <v>제02장 근로관계의 성립&gt;02&gt;2&gt;</v>
      </c>
      <c r="P148" s="192" t="str">
        <f t="shared" si="26"/>
        <v>제02장 근로관계의 성립&gt;제03절 근로계약과 근로관계&gt;01</v>
      </c>
      <c r="Q148" s="192" t="str">
        <f t="shared" si="27"/>
        <v>1&gt;기출&gt;2016&gt;2</v>
      </c>
      <c r="R148" s="192" t="str">
        <f t="shared" si="28"/>
        <v>1&gt;기출&gt;2016&gt;2</v>
      </c>
      <c r="T148" s="3" t="str">
        <f t="shared" si="29"/>
        <v>2016-2-1</v>
      </c>
    </row>
    <row r="149" spans="2:20" ht="14.45" hidden="1" customHeight="1" x14ac:dyDescent="0.2">
      <c r="B149" s="188">
        <f t="shared" si="24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">
        <v>1830</v>
      </c>
      <c r="H149" s="190" t="s">
        <v>465</v>
      </c>
      <c r="I149" s="352" t="s">
        <v>1834</v>
      </c>
      <c r="J149" s="190" t="s">
        <v>417</v>
      </c>
      <c r="K149" s="191" t="s">
        <v>1924</v>
      </c>
      <c r="L149" s="192" t="str">
        <f>VLOOKUP(T149,통합목록!$Q$4:$T$310,2,0)</f>
        <v>열기2-01.노동법\02.문제\[기출][1][2016-2]시용기간 만료 시 본채용 거부의 해고 여부 및 구두 통보의 정당성.txt</v>
      </c>
      <c r="M149" s="192" t="s">
        <v>1234</v>
      </c>
      <c r="N149" s="193"/>
      <c r="O149" s="192" t="str">
        <f t="shared" si="25"/>
        <v>제08장 근로관계의 종료&gt;12&gt;2&gt;</v>
      </c>
      <c r="P149" s="192" t="str">
        <f t="shared" si="26"/>
        <v>제08장 근로관계의 종료&gt;제03절 해고의 절차적 정당성&gt;02</v>
      </c>
      <c r="Q149" s="192" t="str">
        <f t="shared" si="27"/>
        <v>1&gt;기출&gt;2016&gt;1</v>
      </c>
      <c r="R149" s="192" t="str">
        <f t="shared" si="28"/>
        <v>1&gt;기출&gt;2016&gt;2</v>
      </c>
      <c r="T149" s="3" t="str">
        <f t="shared" si="29"/>
        <v>2016-2-1</v>
      </c>
    </row>
    <row r="150" spans="2:20" ht="14.45" hidden="1" customHeight="1" x14ac:dyDescent="0.2">
      <c r="B150" s="188">
        <f t="shared" si="24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">
        <v>434</v>
      </c>
      <c r="H150" s="190" t="s">
        <v>426</v>
      </c>
      <c r="I150" s="352" t="s">
        <v>455</v>
      </c>
      <c r="J150" s="190" t="s">
        <v>426</v>
      </c>
      <c r="K150" s="191" t="s">
        <v>1956</v>
      </c>
      <c r="L150" s="192" t="str">
        <f>VLOOKUP(T150,통합목록!$Q$4:$T$310,2,0)</f>
        <v>열기2-01.노동법\02.문제\[기출][1][2015-1-i]노동조합 동의 없이 개별 근로자의 동의로 변경한 인사규정의 효력.txt</v>
      </c>
      <c r="M150" s="192" t="s">
        <v>1234</v>
      </c>
      <c r="N150" s="193"/>
      <c r="O150" s="192" t="str">
        <f t="shared" si="25"/>
        <v>제05장 취업규칙&gt;03&gt;1-i&gt;</v>
      </c>
      <c r="P150" s="192" t="str">
        <f t="shared" si="26"/>
        <v>제05장 취업규칙&gt;제02절 취업규칙의 변경&gt;03</v>
      </c>
      <c r="Q150" s="192" t="str">
        <f t="shared" si="27"/>
        <v>1&gt;기출&gt;2015&gt;3</v>
      </c>
      <c r="R150" s="192" t="str">
        <f t="shared" si="28"/>
        <v>1&gt;기출&gt;2015&gt;1-i</v>
      </c>
      <c r="T150" s="3" t="str">
        <f t="shared" si="29"/>
        <v>2015-1-i-1</v>
      </c>
    </row>
    <row r="151" spans="2:20" ht="14.45" hidden="1" customHeight="1" x14ac:dyDescent="0.2">
      <c r="B151" s="188">
        <f t="shared" si="24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">
        <v>427</v>
      </c>
      <c r="H151" s="190" t="s">
        <v>417</v>
      </c>
      <c r="I151" s="352" t="s">
        <v>457</v>
      </c>
      <c r="J151" s="190" t="s">
        <v>415</v>
      </c>
      <c r="K151" s="191" t="s">
        <v>1957</v>
      </c>
      <c r="L151" s="192" t="str">
        <f>VLOOKUP(T151,통합목록!$Q$4:$T$310,2,0)</f>
        <v>열기2-01.노동법\02.문제\[기출][1][2015-1-ii]노동조합 동의 없이 개별 근로자의 동의로 변경한 인사규정을 근거로 한 휴직 명령 유지의 정당성.txt</v>
      </c>
      <c r="M151" s="192" t="s">
        <v>1234</v>
      </c>
      <c r="N151" s="193"/>
      <c r="O151" s="192" t="str">
        <f t="shared" si="25"/>
        <v>제06장 인사처분&gt;02&gt;1-ii&gt;</v>
      </c>
      <c r="P151" s="192" t="str">
        <f t="shared" si="26"/>
        <v>제06장 인사처분&gt;제04절 휴직&gt;01</v>
      </c>
      <c r="Q151" s="192" t="str">
        <f t="shared" si="27"/>
        <v>1&gt;기출&gt;2015&gt;2</v>
      </c>
      <c r="R151" s="192" t="str">
        <f t="shared" si="28"/>
        <v>1&gt;기출&gt;2015&gt;1-ii</v>
      </c>
      <c r="T151" s="3" t="str">
        <f t="shared" si="29"/>
        <v>2015-1-ii-1</v>
      </c>
    </row>
    <row r="152" spans="2:20" ht="14.45" hidden="1" customHeight="1" x14ac:dyDescent="0.2">
      <c r="B152" s="188">
        <f t="shared" si="24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">
        <v>423</v>
      </c>
      <c r="H152" s="190" t="s">
        <v>417</v>
      </c>
      <c r="I152" s="352" t="s">
        <v>458</v>
      </c>
      <c r="J152" s="190" t="s">
        <v>415</v>
      </c>
      <c r="K152" s="191" t="s">
        <v>1958</v>
      </c>
      <c r="L152" s="192" t="str">
        <f>VLOOKUP(T152,통합목록!$Q$4:$T$310,2,0)</f>
        <v>열기2-01.노동법\02.문제\[기출][1][2015-2]회사분할에 따른 근로관계 승계 시 개별 근로자의 거부권 행사 가능 여부.txt</v>
      </c>
      <c r="M152" s="192" t="s">
        <v>1234</v>
      </c>
      <c r="N152" s="193"/>
      <c r="O152" s="192" t="str">
        <f t="shared" si="25"/>
        <v>제07장 근로관계의 이전&gt;02&gt;2&gt;</v>
      </c>
      <c r="P152" s="192" t="str">
        <f t="shared" si="26"/>
        <v>제07장 근로관계의 이전&gt;제03절 분할&gt;01</v>
      </c>
      <c r="Q152" s="192" t="str">
        <f t="shared" si="27"/>
        <v>1&gt;기출&gt;2015&gt;1</v>
      </c>
      <c r="R152" s="192" t="str">
        <f t="shared" si="28"/>
        <v>1&gt;기출&gt;2015&gt;2</v>
      </c>
      <c r="T152" s="3" t="str">
        <f t="shared" si="29"/>
        <v>2015-2-1</v>
      </c>
    </row>
    <row r="153" spans="2:20" ht="14.45" hidden="1" customHeight="1" x14ac:dyDescent="0.2">
      <c r="B153" s="188">
        <f t="shared" si="24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">
        <v>427</v>
      </c>
      <c r="H153" s="190" t="s">
        <v>426</v>
      </c>
      <c r="I153" s="352" t="s">
        <v>1960</v>
      </c>
      <c r="J153" s="190" t="s">
        <v>415</v>
      </c>
      <c r="K153" s="191" t="s">
        <v>1959</v>
      </c>
      <c r="L153" s="192" t="str">
        <f>VLOOKUP(T153,통합목록!$Q$4:$T$310,2,0)</f>
        <v>열기2-01.노동법\02.문제\[기출][1][2014-1-1]근무성적 불량 직원에 대한 직위해제・대기발령 처분의 정당성.txt</v>
      </c>
      <c r="M153" s="192" t="s">
        <v>1234</v>
      </c>
      <c r="N153" s="193"/>
      <c r="O153" s="192" t="str">
        <f t="shared" si="25"/>
        <v>제06장 인사처분&gt;03&gt;1-1&gt;</v>
      </c>
      <c r="P153" s="192" t="str">
        <f t="shared" si="26"/>
        <v>제06장 인사처분&gt;제06절 직위해제(대기발령)&gt;01</v>
      </c>
      <c r="Q153" s="192" t="str">
        <f t="shared" si="27"/>
        <v>1&gt;기출&gt;2014&gt;3</v>
      </c>
      <c r="R153" s="192" t="str">
        <f t="shared" si="28"/>
        <v>1&gt;기출&gt;2014&gt;1-1</v>
      </c>
      <c r="T153" s="3" t="str">
        <f t="shared" si="29"/>
        <v>2014-1-1-1</v>
      </c>
    </row>
    <row r="154" spans="2:20" ht="14.45" hidden="1" customHeight="1" x14ac:dyDescent="0.2">
      <c r="B154" s="188">
        <f t="shared" si="24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">
        <v>414</v>
      </c>
      <c r="H154" s="190" t="s">
        <v>469</v>
      </c>
      <c r="I154" s="352" t="s">
        <v>418</v>
      </c>
      <c r="J154" s="190" t="s">
        <v>450</v>
      </c>
      <c r="K154" s="191" t="s">
        <v>1961</v>
      </c>
      <c r="L154" s="192" t="str">
        <f>VLOOKUP(T154,통합목록!$Q$4:$T$310,2,0)</f>
        <v>열기2-01.노동법\02.문제\[기출][1][2014-1-2]직위해제 및 대기발령 이후 재발령 없이 당연퇴직된 처분의 정당성.txt</v>
      </c>
      <c r="M154" s="192" t="s">
        <v>1234</v>
      </c>
      <c r="N154" s="193"/>
      <c r="O154" s="192" t="str">
        <f t="shared" si="25"/>
        <v>제08장 근로관계의 종료&gt;13&gt;1-2&gt;</v>
      </c>
      <c r="P154" s="192" t="str">
        <f t="shared" si="26"/>
        <v>제08장 근로관계의 종료&gt;제02절 해고의 실체적 정당성&gt;09</v>
      </c>
      <c r="Q154" s="192" t="str">
        <f t="shared" si="27"/>
        <v>1&gt;기출&gt;2014&gt;2</v>
      </c>
      <c r="R154" s="192" t="str">
        <f t="shared" si="28"/>
        <v>1&gt;기출&gt;2014&gt;1-2</v>
      </c>
      <c r="T154" s="3" t="str">
        <f t="shared" si="29"/>
        <v>2014-1-2-1</v>
      </c>
    </row>
    <row r="155" spans="2:20" ht="14.45" hidden="1" customHeight="1" x14ac:dyDescent="0.2">
      <c r="B155" s="188">
        <f t="shared" si="24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">
        <v>443</v>
      </c>
      <c r="H155" s="190" t="s">
        <v>430</v>
      </c>
      <c r="I155" s="352" t="s">
        <v>444</v>
      </c>
      <c r="J155" s="190" t="s">
        <v>417</v>
      </c>
      <c r="K155" s="191" t="s">
        <v>1962</v>
      </c>
      <c r="L155" s="192" t="str">
        <f>VLOOKUP(T155,통합목록!$Q$4:$T$310,2,0)</f>
        <v>열기2-01.노동법\02.문제\[기출][1][2014-2]근로자의 임금채권과 사용자의 채권 간 상계 가능성.txt</v>
      </c>
      <c r="M155" s="192" t="s">
        <v>1234</v>
      </c>
      <c r="N155" s="193"/>
      <c r="O155" s="192" t="str">
        <f t="shared" si="25"/>
        <v>제03장 임금&gt;04&gt;2&gt;</v>
      </c>
      <c r="P155" s="192" t="str">
        <f t="shared" si="26"/>
        <v>제03장 임금&gt;제04절 임금지급의 원칙&gt;02</v>
      </c>
      <c r="Q155" s="192" t="str">
        <f t="shared" si="27"/>
        <v>1&gt;기출&gt;2014&gt;1</v>
      </c>
      <c r="R155" s="192" t="str">
        <f t="shared" si="28"/>
        <v>1&gt;기출&gt;2014&gt;2</v>
      </c>
      <c r="T155" s="3" t="str">
        <f t="shared" si="29"/>
        <v>2014-2-1</v>
      </c>
    </row>
    <row r="156" spans="2:20" ht="14.45" hidden="1" customHeight="1" x14ac:dyDescent="0.2">
      <c r="B156" s="188">
        <f t="shared" si="24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">
        <v>434</v>
      </c>
      <c r="H156" s="190" t="s">
        <v>430</v>
      </c>
      <c r="I156" s="352" t="s">
        <v>455</v>
      </c>
      <c r="J156" s="190" t="s">
        <v>430</v>
      </c>
      <c r="K156" s="191" t="s">
        <v>1963</v>
      </c>
      <c r="L156" s="192" t="str">
        <f>VLOOKUP(T156,통합목록!$Q$4:$T$310,2,0)</f>
        <v>열기2-01.노동법\02.문제\[기출][1][2013-1-1]노사협의회 의결을 거친 인사규정(취업규칙) 변경의 효력.txt</v>
      </c>
      <c r="M156" s="192" t="s">
        <v>1234</v>
      </c>
      <c r="N156" s="193"/>
      <c r="O156" s="192" t="str">
        <f t="shared" si="25"/>
        <v>제05장 취업규칙&gt;04&gt;1-1&gt;</v>
      </c>
      <c r="P156" s="192" t="str">
        <f t="shared" si="26"/>
        <v>제05장 취업규칙&gt;제02절 취업규칙의 변경&gt;04</v>
      </c>
      <c r="Q156" s="192" t="str">
        <f t="shared" si="27"/>
        <v>1&gt;기출&gt;2013&gt;3</v>
      </c>
      <c r="R156" s="192" t="str">
        <f t="shared" si="28"/>
        <v>1&gt;기출&gt;2013&gt;1-1</v>
      </c>
      <c r="T156" s="3" t="str">
        <f t="shared" si="29"/>
        <v>2013-1-1-1</v>
      </c>
    </row>
    <row r="157" spans="2:20" ht="14.45" hidden="1" customHeight="1" x14ac:dyDescent="0.2">
      <c r="B157" s="188">
        <f t="shared" si="24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">
        <v>434</v>
      </c>
      <c r="H157" s="190" t="s">
        <v>431</v>
      </c>
      <c r="I157" s="352" t="s">
        <v>455</v>
      </c>
      <c r="J157" s="190" t="s">
        <v>431</v>
      </c>
      <c r="K157" s="191" t="s">
        <v>1964</v>
      </c>
      <c r="L157" s="192" t="str">
        <f>VLOOKUP(T157,통합목록!$Q$4:$T$310,2,0)</f>
        <v>열기2-01.노동법\02.문제\[기출][1][2013-1-2]노사협의회 의결을 거친 인사규정(취업규칙)을 근거로 한 퇴직 통보의 효력.txt</v>
      </c>
      <c r="M157" s="192" t="s">
        <v>1234</v>
      </c>
      <c r="N157" s="193"/>
      <c r="O157" s="192" t="str">
        <f t="shared" si="25"/>
        <v>제05장 취업규칙&gt;05&gt;1-2&gt;</v>
      </c>
      <c r="P157" s="192" t="str">
        <f t="shared" si="26"/>
        <v>제05장 취업규칙&gt;제02절 취업규칙의 변경&gt;05</v>
      </c>
      <c r="Q157" s="192" t="str">
        <f t="shared" si="27"/>
        <v>1&gt;기출&gt;2013&gt;2</v>
      </c>
      <c r="R157" s="192" t="str">
        <f t="shared" si="28"/>
        <v>1&gt;기출&gt;2013&gt;1-2</v>
      </c>
      <c r="T157" s="3" t="str">
        <f t="shared" si="29"/>
        <v>2013-1-2-1</v>
      </c>
    </row>
    <row r="158" spans="2:20" ht="14.45" hidden="1" customHeight="1" x14ac:dyDescent="0.2">
      <c r="B158" s="188">
        <f t="shared" si="24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">
        <v>423</v>
      </c>
      <c r="H158" s="190" t="s">
        <v>426</v>
      </c>
      <c r="I158" s="352" t="s">
        <v>424</v>
      </c>
      <c r="J158" s="190" t="s">
        <v>417</v>
      </c>
      <c r="K158" s="191" t="s">
        <v>1965</v>
      </c>
      <c r="L158" s="192" t="str">
        <f>VLOOKUP(T158,통합목록!$Q$4:$T$310,2,0)</f>
        <v>열기2-01.노동법\02.문제\[기출][1][2013-2]영업양도 상황에서 근로관계 승계 거부 시 회사와 근로자의 법률 관계.txt</v>
      </c>
      <c r="M158" s="192" t="s">
        <v>1234</v>
      </c>
      <c r="N158" s="193"/>
      <c r="O158" s="192" t="str">
        <f t="shared" si="25"/>
        <v>제07장 근로관계의 이전&gt;03&gt;2&gt;</v>
      </c>
      <c r="P158" s="192" t="str">
        <f t="shared" si="26"/>
        <v>제07장 근로관계의 이전&gt;제01절 영업양도&gt;02</v>
      </c>
      <c r="Q158" s="192" t="str">
        <f t="shared" si="27"/>
        <v>1&gt;기출&gt;2013&gt;1</v>
      </c>
      <c r="R158" s="192" t="str">
        <f t="shared" si="28"/>
        <v>1&gt;기출&gt;2013&gt;2</v>
      </c>
      <c r="T158" s="3" t="str">
        <f t="shared" si="29"/>
        <v>2013-2-1</v>
      </c>
    </row>
    <row r="159" spans="2:20" ht="14.45" hidden="1" customHeight="1" x14ac:dyDescent="0.2">
      <c r="B159" s="188">
        <f t="shared" si="24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">
        <v>443</v>
      </c>
      <c r="H159" s="190" t="s">
        <v>431</v>
      </c>
      <c r="I159" s="352" t="s">
        <v>433</v>
      </c>
      <c r="J159" s="190" t="s">
        <v>426</v>
      </c>
      <c r="K159" s="191" t="s">
        <v>1966</v>
      </c>
      <c r="L159" s="192" t="str">
        <f>VLOOKUP(T159,통합목록!$Q$4:$T$310,2,0)</f>
        <v>열기2-01.노동법\02.문제\[기출][1][2012-1-1]통상임금 범위를 규정한 취업규칙 조항의 효력.txt</v>
      </c>
      <c r="M159" s="192" t="s">
        <v>1234</v>
      </c>
      <c r="N159" s="193"/>
      <c r="O159" s="192" t="str">
        <f t="shared" si="25"/>
        <v>제03장 임금&gt;05&gt;1-1&gt;</v>
      </c>
      <c r="P159" s="192" t="str">
        <f t="shared" si="26"/>
        <v>제03장 임금&gt;제03절 통상임금&gt;03</v>
      </c>
      <c r="Q159" s="192" t="str">
        <f t="shared" si="27"/>
        <v>1&gt;기출&gt;2012&gt;3</v>
      </c>
      <c r="R159" s="192" t="str">
        <f t="shared" si="28"/>
        <v>1&gt;기출&gt;2012&gt;1-1</v>
      </c>
      <c r="T159" s="3" t="str">
        <f t="shared" si="29"/>
        <v>2012-1-1-1</v>
      </c>
    </row>
    <row r="160" spans="2:20" ht="14.45" hidden="1" customHeight="1" x14ac:dyDescent="0.2">
      <c r="B160" s="188">
        <f t="shared" si="24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">
        <v>443</v>
      </c>
      <c r="H160" s="190" t="s">
        <v>435</v>
      </c>
      <c r="I160" s="352" t="s">
        <v>433</v>
      </c>
      <c r="J160" s="190" t="s">
        <v>430</v>
      </c>
      <c r="K160" s="191" t="s">
        <v>1967</v>
      </c>
      <c r="L160" s="192" t="str">
        <f>VLOOKUP(T160,통합목록!$Q$4:$T$310,2,0)</f>
        <v>열기2-01.노동법\02.문제\[기출][1][2012-1-2]부당해고기간 중 지급받지 못한 개근 표창의 청구 가능성.txt</v>
      </c>
      <c r="M160" s="192" t="s">
        <v>1234</v>
      </c>
      <c r="N160" s="193" t="s">
        <v>1721</v>
      </c>
      <c r="O160" s="192" t="str">
        <f t="shared" si="25"/>
        <v>제03장 임금&gt;06&gt;1-2&gt;보충 포함</v>
      </c>
      <c r="P160" s="192" t="str">
        <f t="shared" si="26"/>
        <v>제03장 임금&gt;제03절 통상임금&gt;04</v>
      </c>
      <c r="Q160" s="192" t="str">
        <f t="shared" si="27"/>
        <v>1&gt;기출&gt;2012&gt;2</v>
      </c>
      <c r="R160" s="192" t="str">
        <f t="shared" si="28"/>
        <v>1&gt;기출&gt;2012&gt;1-2</v>
      </c>
      <c r="T160" s="3" t="str">
        <f t="shared" si="29"/>
        <v>2012-1-2-1</v>
      </c>
    </row>
    <row r="161" spans="2:20" ht="14.45" hidden="1" customHeight="1" x14ac:dyDescent="0.2">
      <c r="B161" s="188">
        <f t="shared" si="24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">
        <v>441</v>
      </c>
      <c r="H161" s="190" t="s">
        <v>426</v>
      </c>
      <c r="I161" s="352" t="s">
        <v>461</v>
      </c>
      <c r="J161" s="190" t="s">
        <v>415</v>
      </c>
      <c r="K161" s="191" t="s">
        <v>1968</v>
      </c>
      <c r="L161" s="192" t="str">
        <f>VLOOKUP(T161,통합목록!$Q$4:$T$310,2,0)</f>
        <v>열기2-01.노동법\02.문제\[기출][1][2012-2]중간착취의 배제 원칙의 의의, 요건, 중요성.txt</v>
      </c>
      <c r="M161" s="192" t="s">
        <v>1234</v>
      </c>
      <c r="N161" s="193"/>
      <c r="O161" s="192" t="str">
        <f t="shared" si="25"/>
        <v>제02장 근로관계의 성립&gt;03&gt;2&gt;</v>
      </c>
      <c r="P161" s="192" t="str">
        <f t="shared" si="26"/>
        <v>제02장 근로관계의 성립&gt;제01절 근로기준법의 기본원칙&gt;01</v>
      </c>
      <c r="Q161" s="192" t="str">
        <f t="shared" si="27"/>
        <v>1&gt;기출&gt;2012&gt;1</v>
      </c>
      <c r="R161" s="192" t="str">
        <f t="shared" si="28"/>
        <v>1&gt;기출&gt;2012&gt;2</v>
      </c>
      <c r="T161" s="3" t="str">
        <f t="shared" si="29"/>
        <v>2012-2-1</v>
      </c>
    </row>
    <row r="162" spans="2:20" ht="14.45" hidden="1" customHeight="1" x14ac:dyDescent="0.2">
      <c r="B162" s="188">
        <f t="shared" si="24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">
        <v>448</v>
      </c>
      <c r="H162" s="190" t="s">
        <v>417</v>
      </c>
      <c r="I162" s="352" t="s">
        <v>464</v>
      </c>
      <c r="J162" s="190" t="s">
        <v>415</v>
      </c>
      <c r="K162" s="191" t="s">
        <v>1969</v>
      </c>
      <c r="L162" s="192" t="str">
        <f>VLOOKUP(T162,통합목록!$Q$4:$T$310,2,0)</f>
        <v>열기2-01.노동법\02.문제\[기출][1][2011-1]포괄임금제의 의의, 유효요건, 유효성 판단 시 고려 사항.txt</v>
      </c>
      <c r="M162" s="192" t="s">
        <v>1234</v>
      </c>
      <c r="N162" s="193"/>
      <c r="O162" s="192" t="str">
        <f t="shared" si="25"/>
        <v>제04장 근로시간&gt;02&gt;1&gt;</v>
      </c>
      <c r="P162" s="192" t="str">
        <f t="shared" si="26"/>
        <v>제04장 근로시간&gt;제03절 시간외근로&gt;01</v>
      </c>
      <c r="Q162" s="192" t="str">
        <f t="shared" si="27"/>
        <v>1&gt;기출&gt;2011&gt;4</v>
      </c>
      <c r="R162" s="192" t="str">
        <f t="shared" si="28"/>
        <v>1&gt;기출&gt;2011&gt;1</v>
      </c>
      <c r="T162" s="3" t="str">
        <f t="shared" si="29"/>
        <v>2011-1-1</v>
      </c>
    </row>
    <row r="163" spans="2:20" ht="14.45" hidden="1" customHeight="1" x14ac:dyDescent="0.2">
      <c r="B163" s="188">
        <f t="shared" si="24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">
        <v>414</v>
      </c>
      <c r="H163" s="190" t="s">
        <v>504</v>
      </c>
      <c r="I163" s="352" t="s">
        <v>432</v>
      </c>
      <c r="J163" s="190" t="s">
        <v>430</v>
      </c>
      <c r="K163" s="191" t="s">
        <v>1970</v>
      </c>
      <c r="L163" s="192" t="str">
        <f>VLOOKUP(T163,통합목록!$Q$4:$T$310,2,0)</f>
        <v>열기2-01.노동법\02.문제\[기출][1][2011-2]기간제 근로자와 회사가 주장할 수 있는 해고 관련 노동법상 쟁점(해고의 절차 및 구제신청의 이익).txt</v>
      </c>
      <c r="M163" s="192" t="s">
        <v>1234</v>
      </c>
      <c r="N163" s="193"/>
      <c r="O163" s="192" t="str">
        <f t="shared" si="25"/>
        <v>제08장 근로관계의 종료&gt;15&gt;2&gt;</v>
      </c>
      <c r="P163" s="192" t="str">
        <f t="shared" si="26"/>
        <v>제08장 근로관계의 종료&gt;제03절 해고의 절차적 정당성&gt;04</v>
      </c>
      <c r="Q163" s="192" t="str">
        <f t="shared" si="27"/>
        <v>1&gt;기출&gt;2011&gt;3</v>
      </c>
      <c r="R163" s="192" t="str">
        <f t="shared" si="28"/>
        <v>1&gt;기출&gt;2011&gt;2</v>
      </c>
      <c r="T163" s="3" t="str">
        <f t="shared" si="29"/>
        <v>2011-2-1</v>
      </c>
    </row>
    <row r="164" spans="2:20" ht="14.45" hidden="1" customHeight="1" x14ac:dyDescent="0.2">
      <c r="B164" s="188">
        <f t="shared" ref="B164:B174" si="30">ROW()-3</f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">
        <v>1832</v>
      </c>
      <c r="H164" s="190" t="s">
        <v>440</v>
      </c>
      <c r="I164" s="352" t="s">
        <v>1835</v>
      </c>
      <c r="J164" s="190" t="s">
        <v>426</v>
      </c>
      <c r="K164" s="191" t="s">
        <v>1925</v>
      </c>
      <c r="L164" s="192" t="str">
        <f>VLOOKUP(T164,통합목록!$Q$4:$T$310,2,0)</f>
        <v>열기2-01.노동법\02.문제\[기출][1][2011-2]기간제 근로자와 회사가 주장할 수 있는 해고 관련 노동법상 쟁점(해고의 절차 및 구제신청의 이익).txt</v>
      </c>
      <c r="M164" s="192" t="s">
        <v>1234</v>
      </c>
      <c r="N164" s="193"/>
      <c r="O164" s="192" t="str">
        <f t="shared" ref="O164:O174" si="31">G164&amp;"&gt;"&amp;H164&amp;"&gt;"&amp;D164&amp;"&gt;"&amp;N164</f>
        <v>제09장 비정규근로자&gt;07&gt;2&gt;</v>
      </c>
      <c r="P164" s="192" t="str">
        <f t="shared" ref="P164:P174" si="32">G164&amp;"&gt;"&amp;I164&amp;"&gt;"&amp;J164</f>
        <v>제09장 비정규근로자&gt;제01절 기간제근로자&gt;03</v>
      </c>
      <c r="Q164" s="192" t="str">
        <f t="shared" ref="Q164:Q174" si="33">E164&amp;"&gt;"&amp;M164&amp;"&gt;"&amp;C164&amp;"&gt;"&amp;F164</f>
        <v>1&gt;기출&gt;2011&gt;2</v>
      </c>
      <c r="R164" s="192" t="str">
        <f t="shared" ref="R164:R174" si="34">E164&amp;"&gt;"&amp;M164&amp;"&gt;"&amp;C164&amp;"&gt;"&amp;D164</f>
        <v>1&gt;기출&gt;2011&gt;2</v>
      </c>
      <c r="T164" s="3" t="str">
        <f t="shared" ref="T164:T174" si="35">C164&amp;"-"&amp;D164&amp;"-"&amp;E164</f>
        <v>2011-2-1</v>
      </c>
    </row>
    <row r="165" spans="2:20" ht="14.45" hidden="1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1822</v>
      </c>
      <c r="H165" s="190" t="s">
        <v>1397</v>
      </c>
      <c r="I165" s="352" t="s">
        <v>1836</v>
      </c>
      <c r="J165" s="190" t="s">
        <v>415</v>
      </c>
      <c r="K165" s="191" t="s">
        <v>1925</v>
      </c>
      <c r="L165" s="192" t="str">
        <f>VLOOKUP(T165,통합목록!$Q$4:$T$310,2,0)</f>
        <v>열기2-01.노동법\02.문제\[기출][1][2011-2]기간제 근로자와 회사가 주장할 수 있는 해고 관련 노동법상 쟁점(해고의 절차 및 구제신청의 이익).txt</v>
      </c>
      <c r="M165" s="192" t="s">
        <v>1234</v>
      </c>
      <c r="N165" s="193" t="s">
        <v>1554</v>
      </c>
      <c r="O165" s="192" t="str">
        <f t="shared" si="31"/>
        <v>제15장 부당노동행위&gt;12&gt;2&gt;보충(Ⅳ목차) 참조</v>
      </c>
      <c r="P165" s="192" t="str">
        <f t="shared" si="32"/>
        <v>제15장 부당노동행위&gt;제06절 부당노동행위에 대한 구제&gt;01</v>
      </c>
      <c r="Q165" s="192" t="str">
        <f t="shared" si="33"/>
        <v>1&gt;기출&gt;2011&gt;1</v>
      </c>
      <c r="R165" s="192" t="str">
        <f t="shared" si="34"/>
        <v>1&gt;기출&gt;2011&gt;2</v>
      </c>
      <c r="T165" s="3" t="str">
        <f t="shared" si="35"/>
        <v>2011-2-1</v>
      </c>
    </row>
    <row r="166" spans="2:20" ht="14.45" hidden="1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">
        <v>441</v>
      </c>
      <c r="H166" s="190" t="s">
        <v>430</v>
      </c>
      <c r="I166" s="352" t="s">
        <v>442</v>
      </c>
      <c r="J166" s="190" t="s">
        <v>417</v>
      </c>
      <c r="K166" s="191" t="s">
        <v>1971</v>
      </c>
      <c r="L166" s="192" t="str">
        <f>VLOOKUP(T166,통합목록!$Q$4:$T$310,2,0)</f>
        <v>열기2-01.노동법\02.문제\[기출][1][2010-1]해외연수 후 의무근로기간 약정 위반 시 연수비용 반환의 적법성 및 퇴직금과 연수비용의 상계 가능성.txt</v>
      </c>
      <c r="M166" s="192" t="s">
        <v>1234</v>
      </c>
      <c r="N166" s="193"/>
      <c r="O166" s="192" t="str">
        <f t="shared" si="31"/>
        <v>제02장 근로관계의 성립&gt;04&gt;1&gt;</v>
      </c>
      <c r="P166" s="192" t="str">
        <f t="shared" si="32"/>
        <v>제02장 근로관계의 성립&gt;제02절 근로계약의 체결&gt;02</v>
      </c>
      <c r="Q166" s="192" t="str">
        <f t="shared" si="33"/>
        <v>1&gt;기출&gt;2010&gt;3</v>
      </c>
      <c r="R166" s="192" t="str">
        <f t="shared" si="34"/>
        <v>1&gt;기출&gt;2010&gt;1</v>
      </c>
      <c r="T166" s="3" t="str">
        <f t="shared" si="35"/>
        <v>2010-1-1</v>
      </c>
    </row>
    <row r="167" spans="2:20" ht="14.45" hidden="1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">
        <v>1837</v>
      </c>
      <c r="H167" s="190" t="s">
        <v>440</v>
      </c>
      <c r="I167" s="352" t="s">
        <v>1838</v>
      </c>
      <c r="J167" s="190" t="s">
        <v>426</v>
      </c>
      <c r="K167" s="191" t="s">
        <v>1926</v>
      </c>
      <c r="L167" s="192" t="str">
        <f>VLOOKUP(T167,통합목록!$Q$4:$T$310,2,0)</f>
        <v>열기2-01.노동법\02.문제\[기출][1][2010-1]해외연수 후 의무근로기간 약정 위반 시 연수비용 반환의 적법성 및 퇴직금과 연수비용의 상계 가능성.txt</v>
      </c>
      <c r="M167" s="192" t="s">
        <v>1234</v>
      </c>
      <c r="N167" s="193"/>
      <c r="O167" s="192" t="str">
        <f t="shared" si="31"/>
        <v>제03장 임금&gt;07&gt;1&gt;</v>
      </c>
      <c r="P167" s="192" t="str">
        <f t="shared" si="32"/>
        <v>제03장 임금&gt;제04절 임금지급의 원칙&gt;03</v>
      </c>
      <c r="Q167" s="192" t="str">
        <f t="shared" si="33"/>
        <v>1&gt;기출&gt;2010&gt;2</v>
      </c>
      <c r="R167" s="192" t="str">
        <f t="shared" si="34"/>
        <v>1&gt;기출&gt;2010&gt;1</v>
      </c>
      <c r="T167" s="3" t="str">
        <f t="shared" si="35"/>
        <v>2010-1-1</v>
      </c>
    </row>
    <row r="168" spans="2:20" ht="14.45" hidden="1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">
        <v>427</v>
      </c>
      <c r="H168" s="190" t="s">
        <v>430</v>
      </c>
      <c r="I168" s="352" t="s">
        <v>468</v>
      </c>
      <c r="J168" s="190" t="s">
        <v>415</v>
      </c>
      <c r="K168" s="191" t="s">
        <v>1972</v>
      </c>
      <c r="L168" s="192" t="str">
        <f>VLOOKUP(T168,통합목록!$Q$4:$T$310,2,0)</f>
        <v>열기2-01.노동법\02.문제\[기출][1][2010-2]전적명령의 법적 성격, 유효요건, 남용 판단 기준.txt</v>
      </c>
      <c r="M168" s="192" t="s">
        <v>1234</v>
      </c>
      <c r="N168" s="193"/>
      <c r="O168" s="192" t="str">
        <f t="shared" si="31"/>
        <v>제06장 인사처분&gt;04&gt;2&gt;</v>
      </c>
      <c r="P168" s="192" t="str">
        <f t="shared" si="32"/>
        <v>제06장 인사처분&gt;제03절 전적&gt;01</v>
      </c>
      <c r="Q168" s="192" t="str">
        <f t="shared" si="33"/>
        <v>1&gt;기출&gt;2010&gt;1</v>
      </c>
      <c r="R168" s="192" t="str">
        <f t="shared" si="34"/>
        <v>1&gt;기출&gt;2010&gt;2</v>
      </c>
      <c r="T168" s="3" t="str">
        <f t="shared" si="35"/>
        <v>2010-2-1</v>
      </c>
    </row>
    <row r="169" spans="2:20" ht="14.45" hidden="1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">
        <v>414</v>
      </c>
      <c r="H169" s="190" t="s">
        <v>506</v>
      </c>
      <c r="I169" s="352" t="s">
        <v>432</v>
      </c>
      <c r="J169" s="190" t="s">
        <v>431</v>
      </c>
      <c r="K169" s="191" t="s">
        <v>1973</v>
      </c>
      <c r="L169" s="192" t="str">
        <f>VLOOKUP(T169,통합목록!$Q$4:$T$310,2,0)</f>
        <v>열기2-01.노동법\02.문제\[기출][1][2009-1]해고의 예고와 해고의 서면 통지에 대한 의의, 내용, 예외, 법적 효과.txt</v>
      </c>
      <c r="M169" s="192" t="s">
        <v>1234</v>
      </c>
      <c r="N169" s="193"/>
      <c r="O169" s="192" t="str">
        <f t="shared" si="31"/>
        <v>제08장 근로관계의 종료&gt;16&gt;1&gt;</v>
      </c>
      <c r="P169" s="192" t="str">
        <f t="shared" si="32"/>
        <v>제08장 근로관계의 종료&gt;제03절 해고의 절차적 정당성&gt;05</v>
      </c>
      <c r="Q169" s="192" t="str">
        <f t="shared" si="33"/>
        <v>1&gt;기출&gt;2009&gt;3</v>
      </c>
      <c r="R169" s="192" t="str">
        <f t="shared" si="34"/>
        <v>1&gt;기출&gt;2009&gt;1</v>
      </c>
      <c r="T169" s="3" t="str">
        <f t="shared" si="35"/>
        <v>2009-1-1</v>
      </c>
    </row>
    <row r="170" spans="2:20" ht="14.45" hidden="1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">
        <v>441</v>
      </c>
      <c r="H170" s="190" t="s">
        <v>431</v>
      </c>
      <c r="I170" s="352" t="s">
        <v>442</v>
      </c>
      <c r="J170" s="190" t="s">
        <v>426</v>
      </c>
      <c r="K170" s="191" t="s">
        <v>1974</v>
      </c>
      <c r="L170" s="192" t="str">
        <f>VLOOKUP(T170,통합목록!$Q$4:$T$310,2,0)</f>
        <v>열기2-01.노동법\02.문제\[기출][1][2009-2-1]근로기준법상 위약예정의 금지의 의의, 내용, 효력 및 법률관계.txt</v>
      </c>
      <c r="M170" s="192" t="s">
        <v>1234</v>
      </c>
      <c r="N170" s="193"/>
      <c r="O170" s="192" t="str">
        <f t="shared" si="31"/>
        <v>제02장 근로관계의 성립&gt;05&gt;2-1&gt;</v>
      </c>
      <c r="P170" s="192" t="str">
        <f t="shared" si="32"/>
        <v>제02장 근로관계의 성립&gt;제02절 근로계약의 체결&gt;03</v>
      </c>
      <c r="Q170" s="192" t="str">
        <f t="shared" si="33"/>
        <v>1&gt;기출&gt;2009&gt;2</v>
      </c>
      <c r="R170" s="192" t="str">
        <f t="shared" si="34"/>
        <v>1&gt;기출&gt;2009&gt;2-1</v>
      </c>
      <c r="T170" s="3" t="str">
        <f t="shared" si="35"/>
        <v>2009-2-1-1</v>
      </c>
    </row>
    <row r="171" spans="2:20" ht="14.45" hidden="1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">
        <v>1382</v>
      </c>
      <c r="H171" s="190" t="s">
        <v>430</v>
      </c>
      <c r="I171" s="352" t="s">
        <v>1497</v>
      </c>
      <c r="J171" s="190" t="s">
        <v>415</v>
      </c>
      <c r="K171" s="191" t="s">
        <v>1975</v>
      </c>
      <c r="L171" s="192" t="str">
        <f>VLOOKUP(T171,통합목록!$Q$4:$T$310,2,0)</f>
        <v>열기2-01.노동법\02.문제\[기출][1][2009-2-2]고용보험법상 육아휴직 급여의 의의, 지급 요건, 지급 기간 및 금액, 특례 및 기타 사항.txt</v>
      </c>
      <c r="M171" s="192" t="s">
        <v>1234</v>
      </c>
      <c r="N171" s="193"/>
      <c r="O171" s="192" t="str">
        <f t="shared" si="31"/>
        <v>제16장 부속법령&gt;04&gt;2-2&gt;</v>
      </c>
      <c r="P171" s="192" t="str">
        <f t="shared" si="32"/>
        <v>제16장 부속법령&gt;제06절 고보법&gt;01</v>
      </c>
      <c r="Q171" s="192" t="str">
        <f t="shared" si="33"/>
        <v>1&gt;기출&gt;2009&gt;1</v>
      </c>
      <c r="R171" s="192" t="str">
        <f t="shared" si="34"/>
        <v>1&gt;기출&gt;2009&gt;2-2</v>
      </c>
      <c r="T171" s="3" t="str">
        <f t="shared" si="35"/>
        <v>2009-2-2-1</v>
      </c>
    </row>
    <row r="172" spans="2:20" ht="14.45" hidden="1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">
        <v>414</v>
      </c>
      <c r="H172" s="190" t="s">
        <v>1720</v>
      </c>
      <c r="I172" s="352" t="s">
        <v>418</v>
      </c>
      <c r="J172" s="190" t="s">
        <v>453</v>
      </c>
      <c r="K172" s="191" t="s">
        <v>1976</v>
      </c>
      <c r="L172" s="192" t="str">
        <f>VLOOKUP(T172,통합목록!$Q$4:$T$310,2,0)</f>
        <v>열기2-01.노동법\02.문제\[기출][1][2008-1]경영상 이유에 의한 해고의 의의, 요건, 절차 및 구제, 재고용 의무.txt</v>
      </c>
      <c r="M172" s="192" t="s">
        <v>1234</v>
      </c>
      <c r="N172" s="193"/>
      <c r="O172" s="192" t="str">
        <f t="shared" si="31"/>
        <v>제08장 근로관계의 종료&gt;17&gt;1&gt;</v>
      </c>
      <c r="P172" s="192" t="str">
        <f t="shared" si="32"/>
        <v>제08장 근로관계의 종료&gt;제02절 해고의 실체적 정당성&gt;10</v>
      </c>
      <c r="Q172" s="192" t="str">
        <f t="shared" si="33"/>
        <v>1&gt;기출&gt;2008&gt;3</v>
      </c>
      <c r="R172" s="192" t="str">
        <f t="shared" si="34"/>
        <v>1&gt;기출&gt;2008&gt;1</v>
      </c>
      <c r="T172" s="3" t="str">
        <f t="shared" si="35"/>
        <v>2008-1-1</v>
      </c>
    </row>
    <row r="173" spans="2:20" ht="14.45" hidden="1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">
        <v>1601</v>
      </c>
      <c r="H173" s="190" t="s">
        <v>417</v>
      </c>
      <c r="I173" s="352" t="s">
        <v>439</v>
      </c>
      <c r="J173" s="190" t="s">
        <v>417</v>
      </c>
      <c r="K173" s="191" t="s">
        <v>1977</v>
      </c>
      <c r="L173" s="192" t="str">
        <f>VLOOKUP(T173,통합목록!$Q$4:$T$310,2,0)</f>
        <v>열기2-01.노동법\02.문제\[기출][1][2008-2-1]근로기준법과 민법・산업재해보상보험법 간의 재해보상 관계.txt</v>
      </c>
      <c r="M173" s="192" t="s">
        <v>1234</v>
      </c>
      <c r="N173" s="193"/>
      <c r="O173" s="192" t="str">
        <f t="shared" si="31"/>
        <v>제10장 업무상 재해 등&gt;02&gt;2-1&gt;</v>
      </c>
      <c r="P173" s="192" t="str">
        <f t="shared" si="32"/>
        <v>제10장 업무상 재해 등&gt;제01절 업무상 재해&gt;02</v>
      </c>
      <c r="Q173" s="192" t="str">
        <f t="shared" si="33"/>
        <v>1&gt;기출&gt;2008&gt;2</v>
      </c>
      <c r="R173" s="192" t="str">
        <f t="shared" si="34"/>
        <v>1&gt;기출&gt;2008&gt;2-1</v>
      </c>
      <c r="T173" s="3" t="str">
        <f t="shared" si="35"/>
        <v>2008-2-1-1</v>
      </c>
    </row>
    <row r="174" spans="2:20" ht="14.45" hidden="1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">
        <v>448</v>
      </c>
      <c r="H174" s="190" t="s">
        <v>426</v>
      </c>
      <c r="I174" s="352" t="s">
        <v>474</v>
      </c>
      <c r="J174" s="190" t="s">
        <v>415</v>
      </c>
      <c r="K174" s="191" t="s">
        <v>1978</v>
      </c>
      <c r="L174" s="192" t="str">
        <f>VLOOKUP(T174,통합목록!$Q$4:$T$310,2,0)</f>
        <v>열기2-01.노동법\02.문제\[기출][1][2008-2-2]근로기준법상 연장근로 제한의 원칙, 예외, 위반의 효과.txt</v>
      </c>
      <c r="M174" s="192" t="s">
        <v>1234</v>
      </c>
      <c r="N174" s="193"/>
      <c r="O174" s="192" t="str">
        <f t="shared" si="31"/>
        <v>제04장 근로시간&gt;03&gt;2-2&gt;</v>
      </c>
      <c r="P174" s="192" t="str">
        <f t="shared" si="32"/>
        <v>제04장 근로시간&gt;제02절 근로시간의 보호&gt;01</v>
      </c>
      <c r="Q174" s="192" t="str">
        <f t="shared" si="33"/>
        <v>1&gt;기출&gt;2008&gt;1</v>
      </c>
      <c r="R174" s="192" t="str">
        <f t="shared" si="34"/>
        <v>1&gt;기출&gt;2008&gt;2-2</v>
      </c>
      <c r="T174" s="3" t="str">
        <f t="shared" si="35"/>
        <v>2008-2-2-1</v>
      </c>
    </row>
  </sheetData>
  <autoFilter ref="B3:T174" xr:uid="{ABD2A85A-1492-4F35-8DAE-CAFFA8F33E4C}">
    <filterColumn colId="3">
      <filters>
        <filter val="2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120:T123">
      <sortCondition descending="1" ref="Q3:Q174"/>
    </sortState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" sqref="H5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86" t="s">
        <v>57</v>
      </c>
      <c r="D2" s="387"/>
      <c r="E2" s="387"/>
      <c r="F2" s="387"/>
      <c r="G2" s="387"/>
      <c r="H2" s="387"/>
      <c r="I2" s="387"/>
      <c r="J2" s="387"/>
      <c r="K2" s="387"/>
      <c r="L2" s="388"/>
      <c r="M2" s="312" t="s">
        <v>1230</v>
      </c>
      <c r="N2" s="316" t="s">
        <v>394</v>
      </c>
      <c r="O2" s="316" t="s">
        <v>1617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1739</v>
      </c>
      <c r="E3" s="359"/>
      <c r="F3" s="359"/>
      <c r="G3" s="359" t="s">
        <v>1798</v>
      </c>
      <c r="H3" s="359" t="s">
        <v>1768</v>
      </c>
      <c r="I3" s="359" t="s">
        <v>1802</v>
      </c>
      <c r="J3" s="359" t="s">
        <v>1772</v>
      </c>
      <c r="K3" s="359" t="s">
        <v>1803</v>
      </c>
      <c r="L3" s="360" t="s">
        <v>1820</v>
      </c>
      <c r="M3" s="317"/>
      <c r="N3" s="318"/>
      <c r="O3" s="318"/>
      <c r="Q3" s="313" t="s">
        <v>1759</v>
      </c>
    </row>
    <row r="4" spans="2:17" ht="189" customHeight="1" x14ac:dyDescent="0.2">
      <c r="B4" s="307" t="s">
        <v>1478</v>
      </c>
      <c r="C4" s="305" t="s">
        <v>1650</v>
      </c>
      <c r="D4" s="319" t="s">
        <v>1558</v>
      </c>
      <c r="E4" s="320" t="s">
        <v>31</v>
      </c>
      <c r="F4" s="321" t="s">
        <v>415</v>
      </c>
      <c r="G4" s="348" t="str">
        <f>VLOOKUP(Q4,통합목록!$Q$4:$T$310,4,0)</f>
        <v>단체협약과 취업규칙의 충돌 시 유리한 취업규칙의 우선 적용 여부</v>
      </c>
      <c r="H4" s="344" t="s">
        <v>1770</v>
      </c>
      <c r="I4" s="344" t="s">
        <v>1771</v>
      </c>
      <c r="J4" s="344" t="s">
        <v>1769</v>
      </c>
      <c r="K4" s="344" t="s">
        <v>1763</v>
      </c>
      <c r="L4" s="322"/>
      <c r="M4" s="361" t="str">
        <f>VLOOKUP(Q4,통합목록!$Q$4:$T$310,2,0)</f>
        <v>열기2-01.노동법\02.문제\[모의][1][01.02-1]단체협약과 취업규칙의 충돌 시 유리한 취업규칙의 우선 적용 여부.txt</v>
      </c>
      <c r="N4" s="354" t="str">
        <f>VLOOKUP(Q4,통합목록!$Q$4:$T$310,3,0)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1478</v>
      </c>
      <c r="C5" s="304" t="s">
        <v>1650</v>
      </c>
      <c r="D5" s="323" t="s">
        <v>1559</v>
      </c>
      <c r="E5" s="324" t="s">
        <v>31</v>
      </c>
      <c r="F5" s="325" t="s">
        <v>417</v>
      </c>
      <c r="G5" s="349" t="str">
        <f>VLOOKUP(Q5,통합목록!$Q$4:$T$310,4,0)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VLOOKUP(Q5,통합목록!$Q$4:$T$310,2,0)</f>
        <v>열기2-01.노동법\02.문제\[모의][1][01.02-2]단체협약과 개별 근로계약 충돌 시 단체협약에 의한 근로조건 저하 가능성.txt</v>
      </c>
      <c r="N5" s="355" t="str">
        <f>VLOOKUP(Q5,통합목록!$Q$4:$T$310,3,0)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1478</v>
      </c>
      <c r="C6" s="304" t="s">
        <v>1650</v>
      </c>
      <c r="D6" s="323" t="s">
        <v>1584</v>
      </c>
      <c r="E6" s="324" t="s">
        <v>31</v>
      </c>
      <c r="F6" s="325" t="s">
        <v>490</v>
      </c>
      <c r="G6" s="349" t="str">
        <f>VLOOKUP(Q6,통합목록!$Q$4:$T$310,4,0)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1478</v>
      </c>
      <c r="C7" s="304" t="s">
        <v>1650</v>
      </c>
      <c r="D7" s="323" t="s">
        <v>1560</v>
      </c>
      <c r="E7" s="324" t="s">
        <v>31</v>
      </c>
      <c r="F7" s="325" t="s">
        <v>1740</v>
      </c>
      <c r="G7" s="349" t="str">
        <f>VLOOKUP(Q7,통합목록!$Q$4:$T$310,4,0)</f>
        <v>국제근로관계에서 근로기준법상 상시 5인 이상 사업장 해당 여부 및 부당해고 구제신청의 적법성★</v>
      </c>
      <c r="H7" s="345" t="s">
        <v>1799</v>
      </c>
      <c r="I7" s="345" t="s">
        <v>1800</v>
      </c>
      <c r="J7" s="345" t="s">
        <v>1801</v>
      </c>
      <c r="K7" s="345"/>
      <c r="L7" s="326"/>
      <c r="M7" s="363" t="str">
        <f>VLOOKUP(Q7,통합목록!$Q$4:$T$310,2,0)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1478</v>
      </c>
      <c r="C8" s="304" t="s">
        <v>1258</v>
      </c>
      <c r="D8" s="327" t="s">
        <v>1156</v>
      </c>
      <c r="E8" s="324" t="s">
        <v>31</v>
      </c>
      <c r="F8" s="325" t="s">
        <v>501</v>
      </c>
      <c r="G8" s="349" t="str">
        <f>VLOOKUP(Q8,통합목록!$Q$4:$T$310,4,0)</f>
        <v>제조업체와 판매용역계약을 체결한 백화점 판매원의 근로기준법상 근로자 해당 여부</v>
      </c>
      <c r="H8" s="345" t="s">
        <v>1804</v>
      </c>
      <c r="I8" s="345" t="s">
        <v>1818</v>
      </c>
      <c r="J8" s="345"/>
      <c r="K8" s="345"/>
      <c r="L8" s="326"/>
      <c r="M8" s="363" t="str">
        <f>VLOOKUP(Q8,통합목록!$Q$4:$T$310,2,0)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1478</v>
      </c>
      <c r="C9" s="304" t="s">
        <v>1258</v>
      </c>
      <c r="D9" s="327" t="s">
        <v>1157</v>
      </c>
      <c r="E9" s="324" t="s">
        <v>28</v>
      </c>
      <c r="F9" s="325" t="s">
        <v>507</v>
      </c>
      <c r="G9" s="349" t="str">
        <f>VLOOKUP(Q9,통합목록!$Q$4:$T$310,4,0)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VLOOKUP(Q9,통합목록!$Q$4:$T$310,2,0)</f>
        <v>열기2-01.노동법\02.문제\[기출][2][2024-1-1]자동차 대리점에 근무하는 판매원의 노동조합법상 근로자성 판단 기준.txt</v>
      </c>
      <c r="N9" s="355" t="str">
        <f>VLOOKUP(Q9,통합목록!$Q$4:$T$310,3,0)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1478</v>
      </c>
      <c r="C10" s="304" t="s">
        <v>1258</v>
      </c>
      <c r="D10" s="327" t="s">
        <v>1158</v>
      </c>
      <c r="E10" s="324" t="s">
        <v>31</v>
      </c>
      <c r="F10" s="325" t="s">
        <v>1741</v>
      </c>
      <c r="G10" s="349" t="str">
        <f>VLOOKUP(Q10,통합목록!$Q$4:$T$310,4,0)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VLOOKUP(Q10,통합목록!$Q$4:$T$310,2,0)</f>
        <v>열기2-01.노동법\02.문제\[기출][1][2020-1-1]명목상 외주업체 소속 근로자의 실질적 사업주 판단 기준.txt</v>
      </c>
      <c r="N10" s="355" t="str">
        <f>VLOOKUP(Q10,통합목록!$Q$4:$T$310,3,0)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1478</v>
      </c>
      <c r="C11" s="328" t="s">
        <v>1258</v>
      </c>
      <c r="D11" s="329" t="s">
        <v>1159</v>
      </c>
      <c r="E11" s="330" t="s">
        <v>28</v>
      </c>
      <c r="F11" s="336" t="s">
        <v>1742</v>
      </c>
      <c r="G11" s="350" t="str">
        <f>VLOOKUP(Q11,통합목록!$Q$4:$T$310,4,0)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VLOOKUP(Q11,통합목록!$Q$4:$T$310,2,0)</f>
        <v>열기2-01.노동법\02.문제\[기출][2][2019-2]부당노동행위의 주체로서 사용자 개념의 확장.txt</v>
      </c>
      <c r="N11" s="356" t="str">
        <f>VLOOKUP(Q11,통합목록!$Q$4:$T$310,3,0)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1258</v>
      </c>
      <c r="D12" s="333" t="s">
        <v>1160</v>
      </c>
      <c r="E12" s="334" t="s">
        <v>31</v>
      </c>
      <c r="F12" s="334" t="s">
        <v>415</v>
      </c>
      <c r="G12" s="351" t="str">
        <f>VLOOKUP(Q12,통합목록!$Q$4:$T$310,4,0)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VLOOKUP(Q12,통합목록!$Q$4:$T$310,2,0)</f>
        <v>열기2-01.노동법\02.문제\[기출][1][2012-2]중간착취의 배제 원칙의 의의, 요건, 중요성.txt</v>
      </c>
      <c r="N12" s="357" t="str">
        <f>VLOOKUP(Q12,통합목록!$Q$4:$T$310,3,0)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1258</v>
      </c>
      <c r="D13" s="327" t="s">
        <v>59</v>
      </c>
      <c r="E13" s="324" t="s">
        <v>31</v>
      </c>
      <c r="F13" s="324" t="s">
        <v>417</v>
      </c>
      <c r="G13" s="349" t="str">
        <f>VLOOKUP(Q13,통합목록!$Q$4:$T$310,4,0)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VLOOKUP(Q13,통합목록!$Q$4:$T$310,2,0)</f>
        <v>열기2-01.노동법\02.문제\[기출][1][2009-2-1]근로기준법상 위약예정의 금지의 의의, 내용, 효력 및 법률관계.txt</v>
      </c>
      <c r="N13" s="355" t="str">
        <f>VLOOKUP(Q13,통합목록!$Q$4:$T$310,3,0)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1258</v>
      </c>
      <c r="D14" s="327" t="s">
        <v>236</v>
      </c>
      <c r="E14" s="324" t="s">
        <v>31</v>
      </c>
      <c r="F14" s="324" t="s">
        <v>490</v>
      </c>
      <c r="G14" s="349" t="str">
        <f>VLOOKUP(Q14,통합목록!$Q$4:$T$310,4,0)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1258</v>
      </c>
      <c r="D15" s="327" t="s">
        <v>58</v>
      </c>
      <c r="E15" s="324" t="s">
        <v>31</v>
      </c>
      <c r="F15" s="324" t="s">
        <v>1740</v>
      </c>
      <c r="G15" s="349" t="str">
        <f>VLOOKUP(Q15,통합목록!$Q$4:$T$310,4,0)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VLOOKUP(Q15,통합목록!$Q$4:$T$310,2,0)</f>
        <v>열기2-01.노동법\02.문제\[기출][1][2019-1-2]중도 퇴사자 대상 사이닝보너스 반환 청구의 타당성.txt</v>
      </c>
      <c r="N15" s="355" t="str">
        <f>VLOOKUP(Q15,통합목록!$Q$4:$T$310,3,0)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1258</v>
      </c>
      <c r="D16" s="327" t="s">
        <v>1118</v>
      </c>
      <c r="E16" s="324" t="s">
        <v>31</v>
      </c>
      <c r="F16" s="324" t="s">
        <v>501</v>
      </c>
      <c r="G16" s="349" t="str">
        <f>VLOOKUP(Q16,통합목록!$Q$4:$T$310,4,0)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VLOOKUP(Q16,통합목록!$Q$4:$T$310,2,0)</f>
        <v>열기2-01.노동법\02.문제\[기출][1][2016-2]시용기간 만료 시 본채용 거부의 해고 여부 및 구두 통보의 정당성.txt</v>
      </c>
      <c r="N16" s="355" t="str">
        <f>VLOOKUP(Q16,통합목록!$Q$4:$T$310,3,0)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1650</v>
      </c>
      <c r="D17" s="327" t="s">
        <v>1561</v>
      </c>
      <c r="E17" s="324" t="s">
        <v>31</v>
      </c>
      <c r="F17" s="324" t="s">
        <v>507</v>
      </c>
      <c r="G17" s="349" t="str">
        <f>VLOOKUP(Q17,통합목록!$Q$4:$T$310,4,0)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1650</v>
      </c>
      <c r="D18" s="327" t="s">
        <v>1562</v>
      </c>
      <c r="E18" s="324" t="s">
        <v>31</v>
      </c>
      <c r="F18" s="324" t="s">
        <v>1741</v>
      </c>
      <c r="G18" s="349" t="str">
        <f>VLOOKUP(Q18,통합목록!$Q$4:$T$310,4,0)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VLOOKUP(Q18,통합목록!$Q$4:$T$310,2,0)</f>
        <v>열기2-01.노동법\02.문제\[모의][1][02.04-2]경업금지약정의 효력, 회사의 전직금지 청구 가능 여부.txt</v>
      </c>
      <c r="N18" s="355" t="str">
        <f>VLOOKUP(Q18,통합목록!$Q$4:$T$310,3,0)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1650</v>
      </c>
      <c r="D19" s="329" t="s">
        <v>1563</v>
      </c>
      <c r="E19" s="330" t="s">
        <v>31</v>
      </c>
      <c r="F19" s="330" t="s">
        <v>1742</v>
      </c>
      <c r="G19" s="350" t="str">
        <f>VLOOKUP(Q19,통합목록!$Q$4:$T$310,4,0)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VLOOKUP(Q19,통합목록!$Q$4:$T$310,2,0)</f>
        <v>열기2-01.노동법\02.문제\[모의][1][02.04-3]기술적 영업비밀이 아닌 정보 유출에 대한 징계 및 손해배상 청구 가능 여부.txt</v>
      </c>
      <c r="N19" s="356" t="str">
        <f>VLOOKUP(Q19,통합목록!$Q$4:$T$310,3,0)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1650</v>
      </c>
      <c r="D20" s="333" t="s">
        <v>1564</v>
      </c>
      <c r="E20" s="334" t="s">
        <v>31</v>
      </c>
      <c r="F20" s="334" t="s">
        <v>415</v>
      </c>
      <c r="G20" s="351" t="str">
        <f>VLOOKUP(Q20,통합목록!$Q$4:$T$310,4,0)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VLOOKUP(Q20,통합목록!$Q$4:$T$310,2,0)</f>
        <v>열기2-01.노동법\02.문제\[모의][1][03.02-1]추석 상여금과 경영성과급의 임금성 및 평균임금 산입 여부.txt</v>
      </c>
      <c r="N20" s="357" t="str">
        <f>VLOOKUP(Q20,통합목록!$Q$4:$T$310,3,0)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1650</v>
      </c>
      <c r="D21" s="327" t="s">
        <v>1565</v>
      </c>
      <c r="E21" s="324" t="s">
        <v>31</v>
      </c>
      <c r="F21" s="324" t="s">
        <v>417</v>
      </c>
      <c r="G21" s="349" t="str">
        <f>VLOOKUP(Q21,통합목록!$Q$4:$T$310,4,0)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VLOOKUP(Q21,통합목록!$Q$4:$T$310,2,0)</f>
        <v>열기2-01.노동법\02.문제\[모의][1][03.02-2]특수 기간의 평균임금 산정방법과 연차유급휴가 미사용 수당의 산입 방식.txt</v>
      </c>
      <c r="N21" s="355" t="str">
        <f>VLOOKUP(Q21,통합목록!$Q$4:$T$310,3,0)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1258</v>
      </c>
      <c r="D22" s="327" t="s">
        <v>62</v>
      </c>
      <c r="E22" s="324" t="s">
        <v>31</v>
      </c>
      <c r="F22" s="324" t="s">
        <v>490</v>
      </c>
      <c r="G22" s="349" t="str">
        <f>VLOOKUP(Q22,통합목록!$Q$4:$T$310,4,0)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VLOOKUP(Q22,통합목록!$Q$4:$T$310,2,0)</f>
        <v>열기2-01.노동법\02.문제\[기출][1][2012-1-1]통상임금 범위를 규정한 취업규칙 조항의 효력.txt</v>
      </c>
      <c r="N22" s="355" t="str">
        <f>VLOOKUP(Q22,통합목록!$Q$4:$T$310,3,0)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1258</v>
      </c>
      <c r="D23" s="327" t="s">
        <v>63</v>
      </c>
      <c r="E23" s="324" t="s">
        <v>31</v>
      </c>
      <c r="F23" s="324" t="s">
        <v>1740</v>
      </c>
      <c r="G23" s="349" t="str">
        <f>VLOOKUP(Q23,통합목록!$Q$4:$T$310,4,0)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VLOOKUP(Q23,통합목록!$Q$4:$T$310,2,0)</f>
        <v>열기2-01.노동법\02.문제\[기출][1][2012-1-2]부당해고기간 중 지급받지 못한 개근 표창의 청구 가능성.txt</v>
      </c>
      <c r="N23" s="355" t="str">
        <f>VLOOKUP(Q23,통합목록!$Q$4:$T$310,3,0)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1258</v>
      </c>
      <c r="D24" s="327" t="s">
        <v>1012</v>
      </c>
      <c r="E24" s="324" t="s">
        <v>31</v>
      </c>
      <c r="F24" s="324" t="s">
        <v>501</v>
      </c>
      <c r="G24" s="349" t="str">
        <f>VLOOKUP(Q24,통합목록!$Q$4:$T$310,4,0)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VLOOKUP(Q24,통합목록!$Q$4:$T$310,2,0)</f>
        <v>열기2-01.노동법\02.문제\[기출][1][2018-1-2]판매용역계약을 체결한 판매원이 지급받은 수수료의 통상임금 해당 여부.txt</v>
      </c>
      <c r="N24" s="355" t="str">
        <f>VLOOKUP(Q24,통합목록!$Q$4:$T$310,3,0)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1258</v>
      </c>
      <c r="D25" s="327" t="s">
        <v>1161</v>
      </c>
      <c r="E25" s="324" t="s">
        <v>31</v>
      </c>
      <c r="F25" s="324" t="s">
        <v>507</v>
      </c>
      <c r="G25" s="349" t="str">
        <f>VLOOKUP(Q25,통합목록!$Q$4:$T$310,4,0)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VLOOKUP(Q25,통합목록!$Q$4:$T$310,2,0)</f>
        <v>열기2-01.노동법\02.문제\[기출][1][2022-2]정기상여금의 고정성에 따른 통상임금 해당 여부.txt</v>
      </c>
      <c r="N25" s="355" t="str">
        <f>VLOOKUP(Q25,통합목록!$Q$4:$T$310,3,0)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1650</v>
      </c>
      <c r="D26" s="327" t="s">
        <v>1566</v>
      </c>
      <c r="E26" s="324" t="s">
        <v>31</v>
      </c>
      <c r="F26" s="324" t="s">
        <v>1741</v>
      </c>
      <c r="G26" s="349" t="str">
        <f>VLOOKUP(Q26,통합목록!$Q$4:$T$310,4,0)</f>
        <v>통상임금 고정성 징표의 배제 여부 및 재직조건부 정기상여금의 통상임금 인정 여부★</v>
      </c>
      <c r="H26" s="345" t="s">
        <v>1817</v>
      </c>
      <c r="I26" s="345" t="s">
        <v>1807</v>
      </c>
      <c r="J26" s="345" t="s">
        <v>1819</v>
      </c>
      <c r="K26" s="345" t="s">
        <v>1806</v>
      </c>
      <c r="L26" s="326"/>
      <c r="M26" s="363" t="str">
        <f>VLOOKUP(Q26,통합목록!$Q$4:$T$310,2,0)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1650</v>
      </c>
      <c r="D27" s="327" t="s">
        <v>1567</v>
      </c>
      <c r="E27" s="324" t="s">
        <v>31</v>
      </c>
      <c r="F27" s="324" t="s">
        <v>1742</v>
      </c>
      <c r="G27" s="349" t="str">
        <f>VLOOKUP(Q27,통합목록!$Q$4:$T$310,4,0)</f>
        <v>일정 근무일수 충족 조건부 출근수당의 소정근로 대가성 관점에서의 통상임금 해당 여부★</v>
      </c>
      <c r="H27" s="345"/>
      <c r="I27" s="345" t="s">
        <v>1808</v>
      </c>
      <c r="J27" s="345" t="s">
        <v>1805</v>
      </c>
      <c r="K27" s="345" t="s">
        <v>1806</v>
      </c>
      <c r="L27" s="326"/>
      <c r="M27" s="363" t="str">
        <f>VLOOKUP(Q27,통합목록!$Q$4:$T$310,2,0)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1234</v>
      </c>
      <c r="D28" s="327" t="s">
        <v>236</v>
      </c>
      <c r="E28" s="324" t="s">
        <v>31</v>
      </c>
      <c r="F28" s="324" t="s">
        <v>1743</v>
      </c>
      <c r="G28" s="349" t="str">
        <f>VLOOKUP(Q28,통합목록!$Q$4:$T$310,4,0)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1258</v>
      </c>
      <c r="D29" s="327" t="s">
        <v>1162</v>
      </c>
      <c r="E29" s="324" t="s">
        <v>31</v>
      </c>
      <c r="F29" s="324" t="s">
        <v>1744</v>
      </c>
      <c r="G29" s="349" t="str">
        <f>VLOOKUP(Q29,통합목록!$Q$4:$T$310,4,0)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VLOOKUP(Q29,통합목록!$Q$4:$T$310,2,0)</f>
        <v>열기2-01.노동법\02.문제\[기출][1][2014-2]근로자의 임금채권과 사용자의 채권 간 상계 가능성.txt</v>
      </c>
      <c r="N29" s="355" t="str">
        <f>VLOOKUP(Q29,통합목록!$Q$4:$T$310,3,0)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1258</v>
      </c>
      <c r="D30" s="327" t="s">
        <v>64</v>
      </c>
      <c r="E30" s="324" t="s">
        <v>31</v>
      </c>
      <c r="F30" s="324" t="s">
        <v>1745</v>
      </c>
      <c r="G30" s="349" t="str">
        <f>VLOOKUP(Q30,통합목록!$Q$4:$T$310,4,0)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VLOOKUP(Q30,통합목록!$Q$4:$T$310,2,0)</f>
        <v>열기2-01.노동법\02.문제\[기출][1][2019-2]임금채권 양수자의 청구에 대한 사용자의 지급 의무.txt</v>
      </c>
      <c r="N30" s="355" t="str">
        <f>VLOOKUP(Q30,통합목록!$Q$4:$T$310,3,0)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1650</v>
      </c>
      <c r="D31" s="327" t="s">
        <v>1568</v>
      </c>
      <c r="E31" s="324" t="s">
        <v>31</v>
      </c>
      <c r="F31" s="324" t="s">
        <v>1746</v>
      </c>
      <c r="G31" s="349" t="str">
        <f>VLOOKUP(Q31,통합목록!$Q$4:$T$310,4,0)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VLOOKUP(Q31,통합목록!$Q$4:$T$310,2,0)</f>
        <v>열기2-01.노동법\02.문제\[모의][1][03.05-1]매출처 파업 및 창고 부족으로 인한 휴업의 사용자 귀책사유 해당 여부.txt</v>
      </c>
      <c r="N31" s="355" t="str">
        <f>VLOOKUP(Q31,통합목록!$Q$4:$T$310,3,0)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1650</v>
      </c>
      <c r="D32" s="327" t="s">
        <v>1569</v>
      </c>
      <c r="E32" s="324" t="s">
        <v>31</v>
      </c>
      <c r="F32" s="324" t="s">
        <v>1747</v>
      </c>
      <c r="G32" s="349" t="str">
        <f>VLOOKUP(Q32,통합목록!$Q$4:$T$310,4,0)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1650</v>
      </c>
      <c r="D33" s="327" t="s">
        <v>1570</v>
      </c>
      <c r="E33" s="324" t="s">
        <v>31</v>
      </c>
      <c r="F33" s="324" t="s">
        <v>1748</v>
      </c>
      <c r="G33" s="349" t="str">
        <f>VLOOKUP(Q33,통합목록!$Q$4:$T$310,4,0)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1650</v>
      </c>
      <c r="D34" s="329" t="s">
        <v>1571</v>
      </c>
      <c r="E34" s="330" t="s">
        <v>31</v>
      </c>
      <c r="F34" s="330" t="s">
        <v>1749</v>
      </c>
      <c r="G34" s="350" t="str">
        <f>VLOOKUP(Q34,통합목록!$Q$4:$T$310,4,0)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VLOOKUP(Q34,통합목록!$Q$4:$T$310,2,0)</f>
        <v>열기2-01.노동법\02.문제\[모의][1][03.06-2]나머지 임금 및 퇴직금 채권의 변제 순위와 조세・공과금 및 일반 채권과의 관계.txt</v>
      </c>
      <c r="N34" s="356" t="str">
        <f>VLOOKUP(Q34,통합목록!$Q$4:$T$310,3,0)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1650</v>
      </c>
      <c r="D35" s="333" t="s">
        <v>1572</v>
      </c>
      <c r="E35" s="334" t="s">
        <v>31</v>
      </c>
      <c r="F35" s="334" t="s">
        <v>415</v>
      </c>
      <c r="G35" s="351" t="str">
        <f>VLOOKUP(Q35,통합목록!$Q$4:$T$310,4,0)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1650</v>
      </c>
      <c r="D36" s="327" t="s">
        <v>1573</v>
      </c>
      <c r="E36" s="324" t="s">
        <v>31</v>
      </c>
      <c r="F36" s="324" t="s">
        <v>417</v>
      </c>
      <c r="G36" s="349" t="str">
        <f>VLOOKUP(Q36,통합목록!$Q$4:$T$310,4,0)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1258</v>
      </c>
      <c r="D37" s="327" t="s">
        <v>1163</v>
      </c>
      <c r="E37" s="324" t="s">
        <v>31</v>
      </c>
      <c r="F37" s="324" t="s">
        <v>490</v>
      </c>
      <c r="G37" s="349" t="str">
        <f>VLOOKUP(Q37,통합목록!$Q$4:$T$310,4,0)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VLOOKUP(Q37,통합목록!$Q$4:$T$310,2,0)</f>
        <v>열기2-01.노동법\02.문제\[기출][1][2008-2-2]근로기준법상 연장근로 제한의 원칙, 예외, 위반의 효과.txt</v>
      </c>
      <c r="N37" s="355" t="str">
        <f>VLOOKUP(Q37,통합목록!$Q$4:$T$310,3,0)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1258</v>
      </c>
      <c r="D38" s="327" t="s">
        <v>1133</v>
      </c>
      <c r="E38" s="324" t="s">
        <v>31</v>
      </c>
      <c r="F38" s="324" t="s">
        <v>1740</v>
      </c>
      <c r="G38" s="349" t="str">
        <f>VLOOKUP(Q38,통합목록!$Q$4:$T$310,4,0)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VLOOKUP(Q38,통합목록!$Q$4:$T$310,2,0)</f>
        <v>열기2-01.노동법\02.문제\[기출][1][2011-1]포괄임금제의 의의, 유효요건, 유효성 판단 시 고려 사항.txt</v>
      </c>
      <c r="N38" s="355" t="str">
        <f>VLOOKUP(Q38,통합목록!$Q$4:$T$310,3,0)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1650</v>
      </c>
      <c r="D39" s="327" t="s">
        <v>1574</v>
      </c>
      <c r="E39" s="324" t="s">
        <v>31</v>
      </c>
      <c r="F39" s="324" t="s">
        <v>501</v>
      </c>
      <c r="G39" s="349" t="str">
        <f>VLOOKUP(Q39,통합목록!$Q$4:$T$310,4,0)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1650</v>
      </c>
      <c r="D40" s="327" t="s">
        <v>1575</v>
      </c>
      <c r="E40" s="324" t="s">
        <v>31</v>
      </c>
      <c r="F40" s="324" t="s">
        <v>507</v>
      </c>
      <c r="G40" s="349" t="str">
        <f>VLOOKUP(Q40,통합목록!$Q$4:$T$310,4,0)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1650</v>
      </c>
      <c r="D41" s="327" t="s">
        <v>1576</v>
      </c>
      <c r="E41" s="324" t="s">
        <v>31</v>
      </c>
      <c r="F41" s="324" t="s">
        <v>1741</v>
      </c>
      <c r="G41" s="349" t="str">
        <f>VLOOKUP(Q41,통합목록!$Q$4:$T$310,4,0)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1650</v>
      </c>
      <c r="D42" s="327" t="s">
        <v>1577</v>
      </c>
      <c r="E42" s="324" t="s">
        <v>31</v>
      </c>
      <c r="F42" s="324" t="s">
        <v>1742</v>
      </c>
      <c r="G42" s="349" t="str">
        <f>VLOOKUP(Q42,통합목록!$Q$4:$T$310,4,0)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1258</v>
      </c>
      <c r="D43" s="327" t="s">
        <v>1164</v>
      </c>
      <c r="E43" s="324" t="s">
        <v>31</v>
      </c>
      <c r="F43" s="324" t="s">
        <v>1743</v>
      </c>
      <c r="G43" s="349" t="str">
        <f>VLOOKUP(Q43,통합목록!$Q$4:$T$310,4,0)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1650</v>
      </c>
      <c r="D44" s="327" t="s">
        <v>1578</v>
      </c>
      <c r="E44" s="324" t="s">
        <v>31</v>
      </c>
      <c r="F44" s="324" t="s">
        <v>1744</v>
      </c>
      <c r="G44" s="349" t="str">
        <f>VLOOKUP(Q44,통합목록!$Q$4:$T$310,4,0)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1650</v>
      </c>
      <c r="D45" s="329" t="s">
        <v>1579</v>
      </c>
      <c r="E45" s="330" t="s">
        <v>31</v>
      </c>
      <c r="F45" s="330" t="s">
        <v>1745</v>
      </c>
      <c r="G45" s="350" t="str">
        <f>VLOOKUP(Q45,통합목록!$Q$4:$T$310,4,0)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1258</v>
      </c>
      <c r="D46" s="333" t="s">
        <v>68</v>
      </c>
      <c r="E46" s="334" t="s">
        <v>31</v>
      </c>
      <c r="F46" s="334" t="s">
        <v>415</v>
      </c>
      <c r="G46" s="351" t="str">
        <f>VLOOKUP(Q46,통합목록!$Q$4:$T$310,4,0)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VLOOKUP(Q46,통합목록!$Q$4:$T$310,2,0)</f>
        <v>열기2-01.노동법\02.문제\[기출][1][2013-1-1]노사협의회 의결을 거친 인사규정(취업규칙) 변경의 효력.txt</v>
      </c>
      <c r="N46" s="357" t="str">
        <f>VLOOKUP(Q46,통합목록!$Q$4:$T$310,3,0)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1258</v>
      </c>
      <c r="D47" s="327" t="s">
        <v>69</v>
      </c>
      <c r="E47" s="324" t="s">
        <v>31</v>
      </c>
      <c r="F47" s="324" t="s">
        <v>417</v>
      </c>
      <c r="G47" s="349" t="str">
        <f>VLOOKUP(Q47,통합목록!$Q$4:$T$310,4,0)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VLOOKUP(Q47,통합목록!$Q$4:$T$310,2,0)</f>
        <v>열기2-01.노동법\02.문제\[기출][1][2013-1-2]노사협의회 의결을 거친 인사규정(취업규칙)을 근거로 한 퇴직 통보의 효력.txt</v>
      </c>
      <c r="N47" s="355" t="str">
        <f>VLOOKUP(Q47,통합목록!$Q$4:$T$310,3,0)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1258</v>
      </c>
      <c r="D48" s="327" t="s">
        <v>67</v>
      </c>
      <c r="E48" s="324" t="s">
        <v>31</v>
      </c>
      <c r="F48" s="324" t="s">
        <v>426</v>
      </c>
      <c r="G48" s="349" t="str">
        <f>VLOOKUP(Q48,통합목록!$Q$4:$T$310,4,0)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VLOOKUP(Q48,통합목록!$Q$4:$T$310,2,0)</f>
        <v>열기2-01.노동법\02.문제\[기출][1][2015-1-i]노동조합 동의 없이 개별 근로자의 동의로 변경한 인사규정의 효력.txt</v>
      </c>
      <c r="N48" s="355" t="str">
        <f>VLOOKUP(Q48,통합목록!$Q$4:$T$310,3,0)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1258</v>
      </c>
      <c r="D49" s="327" t="s">
        <v>1026</v>
      </c>
      <c r="E49" s="324" t="s">
        <v>31</v>
      </c>
      <c r="F49" s="324" t="s">
        <v>430</v>
      </c>
      <c r="G49" s="349" t="str">
        <f>VLOOKUP(Q49,통합목록!$Q$4:$T$310,4,0)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VLOOKUP(Q49,통합목록!$Q$4:$T$310,2,0)</f>
        <v>열기2-01.노동법\02.문제\[기출][1][2021-1-1]비조합원에 대한 불이익 취업규칙 적용의 효력.txt</v>
      </c>
      <c r="N49" s="355" t="str">
        <f>VLOOKUP(Q49,통합목록!$Q$4:$T$310,3,0)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1258</v>
      </c>
      <c r="D50" s="329" t="s">
        <v>1018</v>
      </c>
      <c r="E50" s="330" t="s">
        <v>31</v>
      </c>
      <c r="F50" s="330" t="s">
        <v>431</v>
      </c>
      <c r="G50" s="350" t="str">
        <f>VLOOKUP(Q50,통합목록!$Q$4:$T$310,4,0)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VLOOKUP(Q50,통합목록!$Q$4:$T$310,2,0)</f>
        <v>열기2-01.노동법\02.문제\[기출][1][2021-1-2]개별 근로자 대상 근로계약 대비 불이익 취업규칙의 동의 없는 적용 가능 여부.txt</v>
      </c>
      <c r="N50" s="356" t="str">
        <f>VLOOKUP(Q50,통합목록!$Q$4:$T$310,3,0)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1258</v>
      </c>
      <c r="D51" s="333" t="s">
        <v>1014</v>
      </c>
      <c r="E51" s="334" t="s">
        <v>31</v>
      </c>
      <c r="F51" s="334" t="s">
        <v>415</v>
      </c>
      <c r="G51" s="351" t="str">
        <f>VLOOKUP(Q51,통합목록!$Q$4:$T$310,4,0)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VLOOKUP(Q51,통합목록!$Q$4:$T$310,2,0)</f>
        <v>열기2-01.노동법\02.문제\[기출][1][2010-2]전적명령의 법적 성격, 유효요건, 남용 판단 기준.txt</v>
      </c>
      <c r="N51" s="357" t="str">
        <f>VLOOKUP(Q51,통합목록!$Q$4:$T$310,3,0)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1258</v>
      </c>
      <c r="D52" s="327" t="s">
        <v>1013</v>
      </c>
      <c r="E52" s="324" t="s">
        <v>31</v>
      </c>
      <c r="F52" s="324" t="s">
        <v>417</v>
      </c>
      <c r="G52" s="349" t="str">
        <f>VLOOKUP(Q52,통합목록!$Q$4:$T$310,4,0)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1258</v>
      </c>
      <c r="D53" s="327" t="s">
        <v>1165</v>
      </c>
      <c r="E53" s="324" t="s">
        <v>31</v>
      </c>
      <c r="F53" s="324" t="s">
        <v>426</v>
      </c>
      <c r="G53" s="349" t="str">
        <f>VLOOKUP(Q53,통합목록!$Q$4:$T$310,4,0)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VLOOKUP(Q53,통합목록!$Q$4:$T$310,2,0)</f>
        <v>열기2-01.노동법\02.문제\[기출][1][2023-1-2]절차의 흠결이 있는 징계의 효력에 대한 노조 대표자 주장의 타당성.txt</v>
      </c>
      <c r="N53" s="355" t="str">
        <f>VLOOKUP(Q53,통합목록!$Q$4:$T$310,3,0)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1258</v>
      </c>
      <c r="D54" s="329" t="s">
        <v>1166</v>
      </c>
      <c r="E54" s="330" t="s">
        <v>31</v>
      </c>
      <c r="F54" s="330" t="s">
        <v>430</v>
      </c>
      <c r="G54" s="350" t="str">
        <f>VLOOKUP(Q54,통합목록!$Q$4:$T$310,4,0)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VLOOKUP(Q54,통합목록!$Q$4:$T$310,2,0)</f>
        <v>열기2-01.노동법\02.문제\[기출][1][2014-1-1]근무성적 불량 직원에 대한 직위해제・대기발령 처분의 정당성.txt</v>
      </c>
      <c r="N54" s="356" t="str">
        <f>VLOOKUP(Q54,통합목록!$Q$4:$T$310,3,0)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1258</v>
      </c>
      <c r="D55" s="333" t="s">
        <v>1167</v>
      </c>
      <c r="E55" s="334" t="s">
        <v>31</v>
      </c>
      <c r="F55" s="334" t="s">
        <v>415</v>
      </c>
      <c r="G55" s="351" t="str">
        <f>VLOOKUP(Q55,통합목록!$Q$4:$T$310,4,0)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VLOOKUP(Q55,통합목록!$Q$4:$T$310,2,0)</f>
        <v>열기2-01.노동법\02.문제\[기출][1][2013-2]영업양도 상황에서 근로관계 승계 거부 시 회사와 근로자의 법률 관계.txt</v>
      </c>
      <c r="N55" s="357" t="str">
        <f>VLOOKUP(Q55,통합목록!$Q$4:$T$310,3,0)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1258</v>
      </c>
      <c r="D56" s="327" t="s">
        <v>70</v>
      </c>
      <c r="E56" s="324" t="s">
        <v>31</v>
      </c>
      <c r="F56" s="324" t="s">
        <v>417</v>
      </c>
      <c r="G56" s="349" t="str">
        <f>VLOOKUP(Q56,통합목록!$Q$4:$T$310,4,0)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VLOOKUP(Q56,통합목록!$Q$4:$T$310,2,0)</f>
        <v>열기2-01.노동법\02.문제\[기출][1][2024-1-2]영업양도 상황에서 회사 잔류를 희망한 근로자의 해고에 대한 정당성.txt</v>
      </c>
      <c r="N56" s="355" t="str">
        <f>VLOOKUP(Q56,통합목록!$Q$4:$T$310,3,0)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1650</v>
      </c>
      <c r="D57" s="327" t="s">
        <v>1580</v>
      </c>
      <c r="E57" s="324" t="s">
        <v>31</v>
      </c>
      <c r="F57" s="324" t="s">
        <v>490</v>
      </c>
      <c r="G57" s="349" t="str">
        <f>VLOOKUP(Q57,통합목록!$Q$4:$T$310,4,0)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VLOOKUP(Q57,통합목록!$Q$4:$T$310,2,0)</f>
        <v>열기2-01.노동법\02.문제\[모의][1][07.02-1]기업 합병 시 특정 근로자에 대한 승계 거부 및 해고 통보의 법적 효력.txt</v>
      </c>
      <c r="N57" s="355" t="str">
        <f>VLOOKUP(Q57,통합목록!$Q$4:$T$310,3,0)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1650</v>
      </c>
      <c r="D58" s="327" t="s">
        <v>1581</v>
      </c>
      <c r="E58" s="324" t="s">
        <v>31</v>
      </c>
      <c r="F58" s="324" t="s">
        <v>1740</v>
      </c>
      <c r="G58" s="349" t="str">
        <f>VLOOKUP(Q58,통합목록!$Q$4:$T$310,4,0)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VLOOKUP(Q58,통합목록!$Q$4:$T$310,2,0)</f>
        <v>열기2-01.노동법\02.문제\[모의][1][07.02-2]기업 합병 후 근로조건의 일방적 변경 및 취업규칙 적용의 법적 효력.txt</v>
      </c>
      <c r="N58" s="355" t="str">
        <f>VLOOKUP(Q58,통합목록!$Q$4:$T$310,3,0)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1258</v>
      </c>
      <c r="D59" s="329" t="s">
        <v>1168</v>
      </c>
      <c r="E59" s="330" t="s">
        <v>31</v>
      </c>
      <c r="F59" s="330" t="s">
        <v>501</v>
      </c>
      <c r="G59" s="350" t="str">
        <f>VLOOKUP(Q59,통합목록!$Q$4:$T$310,4,0)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VLOOKUP(Q59,통합목록!$Q$4:$T$310,2,0)</f>
        <v>열기2-01.노동법\02.문제\[기출][1][2015-2]회사분할에 따른 근로관계 승계 시 개별 근로자의 거부권 행사 가능 여부.txt</v>
      </c>
      <c r="N59" s="356" t="str">
        <f>VLOOKUP(Q59,통합목록!$Q$4:$T$310,3,0)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1258</v>
      </c>
      <c r="D60" s="333" t="s">
        <v>113</v>
      </c>
      <c r="E60" s="334" t="s">
        <v>31</v>
      </c>
      <c r="F60" s="334" t="s">
        <v>415</v>
      </c>
      <c r="G60" s="351" t="str">
        <f>VLOOKUP(Q60,통합목록!$Q$4:$T$310,4,0)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VLOOKUP(Q60,통합목록!$Q$4:$T$310,2,0)</f>
        <v>열기2-01.노동법\02.문제\[기출][1][2008-1]경영상 이유에 의한 해고의 의의, 요건, 절차 및 구제, 재고용 의무.txt</v>
      </c>
      <c r="N60" s="357" t="str">
        <f>VLOOKUP(Q60,통합목록!$Q$4:$T$310,3,0)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1258</v>
      </c>
      <c r="D61" s="327" t="s">
        <v>79</v>
      </c>
      <c r="E61" s="324" t="s">
        <v>31</v>
      </c>
      <c r="F61" s="324" t="s">
        <v>417</v>
      </c>
      <c r="G61" s="349" t="str">
        <f>VLOOKUP(Q61,통합목록!$Q$4:$T$310,4,0)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VLOOKUP(Q61,통합목록!$Q$4:$T$310,2,0)</f>
        <v>열기2-01.노동법\02.문제\[기출][1][2014-1-2]직위해제 및 대기발령 이후 재발령 없이 당연퇴직된 처분의 정당성.txt</v>
      </c>
      <c r="N61" s="355" t="str">
        <f>VLOOKUP(Q61,통합목록!$Q$4:$T$310,3,0)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1258</v>
      </c>
      <c r="D62" s="327" t="s">
        <v>78</v>
      </c>
      <c r="E62" s="324" t="s">
        <v>31</v>
      </c>
      <c r="F62" s="324" t="s">
        <v>490</v>
      </c>
      <c r="G62" s="349" t="str">
        <f>VLOOKUP(Q62,통합목록!$Q$4:$T$310,4,0)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VLOOKUP(Q62,통합목록!$Q$4:$T$310,2,0)</f>
        <v>열기2-01.노동법\02.문제\[기출][1][2016-1-2]이력서 허위 기재를 근거로 한 해고의 정당성.txt</v>
      </c>
      <c r="N62" s="355" t="str">
        <f>VLOOKUP(Q62,통합목록!$Q$4:$T$310,3,0)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1258</v>
      </c>
      <c r="D63" s="327" t="s">
        <v>77</v>
      </c>
      <c r="E63" s="324" t="s">
        <v>31</v>
      </c>
      <c r="F63" s="324" t="s">
        <v>1740</v>
      </c>
      <c r="G63" s="349" t="str">
        <f>VLOOKUP(Q63,통합목록!$Q$4:$T$310,4,0)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VLOOKUP(Q63,통합목록!$Q$4:$T$310,2,0)</f>
        <v>열기2-01.노동법\02.문제\[기출][1][2017-1-1]확정되지 않은 징계사유로 단행된 해고의 정당성.txt</v>
      </c>
      <c r="N63" s="355" t="str">
        <f>VLOOKUP(Q63,통합목록!$Q$4:$T$310,3,0)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1258</v>
      </c>
      <c r="D64" s="327" t="s">
        <v>76</v>
      </c>
      <c r="E64" s="324" t="s">
        <v>31</v>
      </c>
      <c r="F64" s="324" t="s">
        <v>501</v>
      </c>
      <c r="G64" s="349" t="str">
        <f>VLOOKUP(Q64,통합목록!$Q$4:$T$310,4,0)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VLOOKUP(Q64,통합목록!$Q$4:$T$310,2,0)</f>
        <v>열기2-01.노동법\02.문제\[기출][1][2019-1-1]경영상 이유에 의한 해고 대상자 선정 기준의 위법성.txt</v>
      </c>
      <c r="N64" s="355" t="str">
        <f>VLOOKUP(Q64,통합목록!$Q$4:$T$310,3,0)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1258</v>
      </c>
      <c r="D65" s="327" t="s">
        <v>75</v>
      </c>
      <c r="E65" s="324" t="s">
        <v>31</v>
      </c>
      <c r="F65" s="324" t="s">
        <v>507</v>
      </c>
      <c r="G65" s="349" t="str">
        <f>VLOOKUP(Q65,통합목록!$Q$4:$T$310,4,0)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VLOOKUP(Q65,통합목록!$Q$4:$T$310,2,0)</f>
        <v>열기2-01.노동법\02.문제\[기출][1][2022-1-1]근무성적 불량 저성과자 해고의 정당성 요건 및 해고처분의 타당성 여부.txt</v>
      </c>
      <c r="N65" s="355" t="str">
        <f>VLOOKUP(Q65,통합목록!$Q$4:$T$310,3,0)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1258</v>
      </c>
      <c r="D66" s="327" t="s">
        <v>1169</v>
      </c>
      <c r="E66" s="324" t="s">
        <v>31</v>
      </c>
      <c r="F66" s="324" t="s">
        <v>1741</v>
      </c>
      <c r="G66" s="349" t="str">
        <f>VLOOKUP(Q66,통합목록!$Q$4:$T$310,4,0)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VLOOKUP(Q66,통합목록!$Q$4:$T$310,2,0)</f>
        <v>열기2-01.노동법\02.문제\[기출][1][2023-1-1]경영상 이유에 의한 해고 대상자 선정 기준에 대한 합리성 및 공정성.txt</v>
      </c>
      <c r="N66" s="355" t="str">
        <f>VLOOKUP(Q66,통합목록!$Q$4:$T$310,3,0)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1258</v>
      </c>
      <c r="D67" s="327" t="s">
        <v>1730</v>
      </c>
      <c r="E67" s="324" t="s">
        <v>419</v>
      </c>
      <c r="F67" s="324" t="s">
        <v>1742</v>
      </c>
      <c r="G67" s="349" t="str">
        <f>VLOOKUP(Q67,통합목록!$Q$4:$T$310,4,0)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VLOOKUP(Q67,통합목록!$Q$4:$T$310,2,0)</f>
        <v>열기2-01.노동법\02.문제\[기출][1][2024-1-2]영업양도 상황에서 회사 잔류를 희망한 근로자의 해고에 대한 정당성.txt</v>
      </c>
      <c r="N67" s="355" t="str">
        <f>VLOOKUP(Q67,통합목록!$Q$4:$T$310,3,0)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1258</v>
      </c>
      <c r="D68" s="327" t="s">
        <v>72</v>
      </c>
      <c r="E68" s="324" t="s">
        <v>31</v>
      </c>
      <c r="F68" s="324" t="s">
        <v>1743</v>
      </c>
      <c r="G68" s="349" t="str">
        <f>VLOOKUP(Q68,통합목록!$Q$4:$T$310,4,0)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VLOOKUP(Q68,통합목록!$Q$4:$T$310,2,0)</f>
        <v>열기2-01.노동법\02.문제\[기출][1][2025-1-1]우선재고용의무 위반에 따른 근로자 지위 인정 여부.txt</v>
      </c>
      <c r="N68" s="355" t="str">
        <f>VLOOKUP(Q68,통합목록!$Q$4:$T$310,3,0)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1258</v>
      </c>
      <c r="D69" s="327" t="s">
        <v>73</v>
      </c>
      <c r="E69" s="324" t="s">
        <v>31</v>
      </c>
      <c r="F69" s="324" t="s">
        <v>1744</v>
      </c>
      <c r="G69" s="349" t="str">
        <f>VLOOKUP(Q69,통합목록!$Q$4:$T$310,4,0)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1650</v>
      </c>
      <c r="D70" s="327" t="s">
        <v>1707</v>
      </c>
      <c r="E70" s="324" t="s">
        <v>31</v>
      </c>
      <c r="F70" s="324" t="s">
        <v>1745</v>
      </c>
      <c r="G70" s="349" t="str">
        <f>VLOOKUP(Q70,통합목록!$Q$4:$T$310,4,0)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VLOOKUP(Q70,통합목록!$Q$4:$T$310,2,0)</f>
        <v>열기2-01.노동법\02.문제\[모의][1][08.02-1]권고사직을 거부한 근로자에 대한 해고 방안.txt</v>
      </c>
      <c r="N70" s="355" t="str">
        <f>VLOOKUP(Q70,통합목록!$Q$4:$T$310,3,0)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1258</v>
      </c>
      <c r="D71" s="327" t="s">
        <v>82</v>
      </c>
      <c r="E71" s="324" t="s">
        <v>31</v>
      </c>
      <c r="F71" s="324" t="s">
        <v>1746</v>
      </c>
      <c r="G71" s="349" t="str">
        <f>VLOOKUP(Q71,통합목록!$Q$4:$T$310,4,0)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VLOOKUP(Q71,통합목록!$Q$4:$T$310,2,0)</f>
        <v>열기2-01.노동법\02.문제\[기출][1][2009-1]해고의 예고와 해고의 서면 통지에 대한 의의, 내용, 예외, 법적 효과.txt</v>
      </c>
      <c r="N71" s="355" t="str">
        <f>VLOOKUP(Q71,통합목록!$Q$4:$T$310,3,0)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1258</v>
      </c>
      <c r="D72" s="327" t="s">
        <v>237</v>
      </c>
      <c r="E72" s="324" t="s">
        <v>31</v>
      </c>
      <c r="F72" s="324" t="s">
        <v>1747</v>
      </c>
      <c r="G72" s="349" t="str">
        <f>VLOOKUP(Q72,통합목록!$Q$4:$T$310,4,0)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1258</v>
      </c>
      <c r="D73" s="327" t="s">
        <v>79</v>
      </c>
      <c r="E73" s="324" t="s">
        <v>27</v>
      </c>
      <c r="F73" s="324" t="s">
        <v>1748</v>
      </c>
      <c r="G73" s="349" t="str">
        <f>VLOOKUP(Q73,통합목록!$Q$4:$T$310,4,0)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VLOOKUP(Q73,통합목록!$Q$4:$T$310,2,0)</f>
        <v>열기2-01.노동법\02.문제\[기출][2][2014-1-2]단체협약상 규정된 합의 없이 실시한 정리해고의 유효성.txt</v>
      </c>
      <c r="N73" s="355" t="str">
        <f>VLOOKUP(Q73,통합목록!$Q$4:$T$310,3,0)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1258</v>
      </c>
      <c r="D74" s="327" t="s">
        <v>1118</v>
      </c>
      <c r="E74" s="324" t="s">
        <v>31</v>
      </c>
      <c r="F74" s="324" t="s">
        <v>1749</v>
      </c>
      <c r="G74" s="349" t="str">
        <f>VLOOKUP(Q74,통합목록!$Q$4:$T$310,4,0)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VLOOKUP(Q74,통합목록!$Q$4:$T$310,2,0)</f>
        <v>열기2-01.노동법\02.문제\[기출][1][2016-2]시용기간 만료 시 본채용 거부의 해고 여부 및 구두 통보의 정당성.txt</v>
      </c>
      <c r="N74" s="355" t="str">
        <f>VLOOKUP(Q74,통합목록!$Q$4:$T$310,3,0)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1258</v>
      </c>
      <c r="D75" s="327" t="s">
        <v>1170</v>
      </c>
      <c r="E75" s="324" t="s">
        <v>31</v>
      </c>
      <c r="F75" s="324" t="s">
        <v>1750</v>
      </c>
      <c r="G75" s="349" t="str">
        <f>VLOOKUP(Q75,통합목록!$Q$4:$T$310,4,0)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1650</v>
      </c>
      <c r="D76" s="327" t="s">
        <v>1707</v>
      </c>
      <c r="E76" s="324" t="s">
        <v>31</v>
      </c>
      <c r="F76" s="324" t="s">
        <v>1751</v>
      </c>
      <c r="G76" s="349" t="str">
        <f>VLOOKUP(Q76,통합목록!$Q$4:$T$310,4,0)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VLOOKUP(Q76,통합목록!$Q$4:$T$310,2,0)</f>
        <v>열기2-01.노동법\02.문제\[모의][1][08.02-1]권고사직을 거부한 근로자에 대한 해고 방안.txt</v>
      </c>
      <c r="N76" s="355" t="str">
        <f>VLOOKUP(Q76,통합목록!$Q$4:$T$310,3,0)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1258</v>
      </c>
      <c r="D77" s="327" t="s">
        <v>284</v>
      </c>
      <c r="E77" s="324" t="s">
        <v>31</v>
      </c>
      <c r="F77" s="324" t="s">
        <v>1752</v>
      </c>
      <c r="G77" s="349" t="str">
        <f>VLOOKUP(Q77,통합목록!$Q$4:$T$310,4,0)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1258</v>
      </c>
      <c r="D78" s="329" t="s">
        <v>282</v>
      </c>
      <c r="E78" s="330" t="s">
        <v>31</v>
      </c>
      <c r="F78" s="330" t="s">
        <v>1753</v>
      </c>
      <c r="G78" s="350" t="str">
        <f>VLOOKUP(Q78,통합목록!$Q$4:$T$310,4,0)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VLOOKUP(Q78,통합목록!$Q$4:$T$310,2,0)</f>
        <v>열기2-01.노동법\02.문제\[기출][1][2024-2]부당해고 기간 중 중간수입공제의 범위와 최종 임금상당액 산정.txt</v>
      </c>
      <c r="N78" s="356" t="str">
        <f>VLOOKUP(Q78,통합목록!$Q$4:$T$310,3,0)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1258</v>
      </c>
      <c r="D79" s="333" t="s">
        <v>237</v>
      </c>
      <c r="E79" s="334" t="s">
        <v>31</v>
      </c>
      <c r="F79" s="334" t="s">
        <v>415</v>
      </c>
      <c r="G79" s="351" t="str">
        <f>VLOOKUP(Q79,통합목록!$Q$4:$T$310,4,0)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1258</v>
      </c>
      <c r="D80" s="327" t="s">
        <v>1171</v>
      </c>
      <c r="E80" s="324" t="s">
        <v>31</v>
      </c>
      <c r="F80" s="324" t="s">
        <v>417</v>
      </c>
      <c r="G80" s="349" t="str">
        <f>VLOOKUP(Q80,통합목록!$Q$4:$T$310,4,0)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1258</v>
      </c>
      <c r="D81" s="327" t="s">
        <v>83</v>
      </c>
      <c r="E81" s="324" t="s">
        <v>31</v>
      </c>
      <c r="F81" s="324" t="s">
        <v>490</v>
      </c>
      <c r="G81" s="349" t="str">
        <f>VLOOKUP(Q81,통합목록!$Q$4:$T$310,4,0)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VLOOKUP(Q81,통합목록!$Q$4:$T$310,2,0)</f>
        <v>열기2-01.노동법\02.문제\[기출][1][2024-1-1]기간제 근로자에 대한 근무평가 결과에 기초한 갱신거절 통보의 정당성 여부.txt</v>
      </c>
      <c r="N81" s="355" t="str">
        <f>VLOOKUP(Q81,통합목록!$Q$4:$T$310,3,0)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1650</v>
      </c>
      <c r="D82" s="327" t="s">
        <v>1582</v>
      </c>
      <c r="E82" s="324" t="s">
        <v>31</v>
      </c>
      <c r="F82" s="324" t="s">
        <v>1740</v>
      </c>
      <c r="G82" s="349" t="str">
        <f>VLOOKUP(Q82,통합목록!$Q$4:$T$310,4,0)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1650</v>
      </c>
      <c r="D83" s="327" t="s">
        <v>1583</v>
      </c>
      <c r="E83" s="324" t="s">
        <v>31</v>
      </c>
      <c r="F83" s="324" t="s">
        <v>501</v>
      </c>
      <c r="G83" s="349" t="str">
        <f>VLOOKUP(Q83,통합목록!$Q$4:$T$310,4,0)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VLOOKUP(Q83,통합목록!$Q$4:$T$310,2,0)</f>
        <v>열기2-01.노동법\02.문제\[모의][1][09.02-2]차별적 처우 금지 원칙과 상여금 미지급의 합리적 이유 없는 차별 해당 여부.txt</v>
      </c>
      <c r="N83" s="355" t="str">
        <f>VLOOKUP(Q83,통합목록!$Q$4:$T$310,3,0)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1258</v>
      </c>
      <c r="D84" s="327" t="s">
        <v>1158</v>
      </c>
      <c r="E84" s="324" t="s">
        <v>31</v>
      </c>
      <c r="F84" s="324" t="s">
        <v>507</v>
      </c>
      <c r="G84" s="349" t="str">
        <f>VLOOKUP(Q84,통합목록!$Q$4:$T$310,4,0)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VLOOKUP(Q84,통합목록!$Q$4:$T$310,2,0)</f>
        <v>열기2-01.노동법\02.문제\[기출][1][2020-1-1]명목상 외주업체 소속 근로자의 실질적 사업주 판단 기준.txt</v>
      </c>
      <c r="N84" s="355" t="str">
        <f>VLOOKUP(Q84,통합목록!$Q$4:$T$310,3,0)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1258</v>
      </c>
      <c r="D85" s="327" t="s">
        <v>85</v>
      </c>
      <c r="E85" s="324" t="s">
        <v>31</v>
      </c>
      <c r="F85" s="324" t="s">
        <v>1741</v>
      </c>
      <c r="G85" s="349" t="str">
        <f>VLOOKUP(Q85,통합목록!$Q$4:$T$310,4,0)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VLOOKUP(Q85,통합목록!$Q$4:$T$310,2,0)</f>
        <v>열기2-01.노동법\02.문제\[기출][1][2020-1-2]통행료 수납원의 근로자파견 여부 및 무허가 파견에 따른 직접고용의무.txt</v>
      </c>
      <c r="N85" s="355" t="str">
        <f>VLOOKUP(Q85,통합목록!$Q$4:$T$310,3,0)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1258</v>
      </c>
      <c r="D86" s="327" t="s">
        <v>84</v>
      </c>
      <c r="E86" s="324" t="s">
        <v>31</v>
      </c>
      <c r="F86" s="324" t="s">
        <v>1742</v>
      </c>
      <c r="G86" s="349" t="str">
        <f>VLOOKUP(Q86,통합목록!$Q$4:$T$310,4,0)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1258</v>
      </c>
      <c r="D87" s="329" t="s">
        <v>1172</v>
      </c>
      <c r="E87" s="330" t="s">
        <v>31</v>
      </c>
      <c r="F87" s="330" t="s">
        <v>1743</v>
      </c>
      <c r="G87" s="350" t="str">
        <f>VLOOKUP(Q87,통합목록!$Q$4:$T$310,4,0)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VLOOKUP(Q87,통합목록!$Q$4:$T$310,2,0)</f>
        <v>열기2-01.노동법\02.문제\[기출][1][2017-2]계약직에서 정규직으로 전환된 근로자에 대한 경력 인정 차별의 정당성 여부.txt</v>
      </c>
      <c r="N87" s="356" t="str">
        <f>VLOOKUP(Q87,통합목록!$Q$4:$T$310,3,0)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1258</v>
      </c>
      <c r="D88" s="333" t="s">
        <v>537</v>
      </c>
      <c r="E88" s="334" t="s">
        <v>419</v>
      </c>
      <c r="F88" s="334" t="s">
        <v>415</v>
      </c>
      <c r="G88" s="351" t="str">
        <f>VLOOKUP(Q88,통합목록!$Q$4:$T$310,4,0)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VLOOKUP(Q88,통합목록!$Q$4:$T$310,2,0)</f>
        <v>열기2-01.노동법\02.문제\[기출][1][2008-2-1]근로기준법과 민법・산업재해보상보험법 간의 재해보상 관계.txt</v>
      </c>
      <c r="N88" s="357" t="str">
        <f>VLOOKUP(Q88,통합목록!$Q$4:$T$310,3,0)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1258</v>
      </c>
      <c r="D89" s="327" t="s">
        <v>1173</v>
      </c>
      <c r="E89" s="324" t="s">
        <v>31</v>
      </c>
      <c r="F89" s="324" t="s">
        <v>417</v>
      </c>
      <c r="G89" s="349" t="str">
        <f>VLOOKUP(Q89,통합목록!$Q$4:$T$310,4,0)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VLOOKUP(Q89,통합목록!$Q$4:$T$310,2,0)</f>
        <v>열기2-01.노동법\02.문제\[기출][1][2020-2]산업재해보상보험법상 2차 회식의 업무상 재해 인정 여부.txt</v>
      </c>
      <c r="N89" s="355" t="str">
        <f>VLOOKUP(Q89,통합목록!$Q$4:$T$310,3,0)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1650</v>
      </c>
      <c r="D90" s="327" t="s">
        <v>1202</v>
      </c>
      <c r="E90" s="324" t="s">
        <v>31</v>
      </c>
      <c r="F90" s="324" t="s">
        <v>490</v>
      </c>
      <c r="G90" s="349" t="str">
        <f>VLOOKUP(Q90,통합목록!$Q$4:$T$310,4,0)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VLOOKUP(Q90,통합목록!$Q$4:$T$310,2,0)</f>
        <v>열기2-01.노동법\02.문제\[모의][1][10.02-1]근로자의 오토바이 사고에 대한 출퇴근 재해 인정 여부 및 법적 근거.txt</v>
      </c>
      <c r="N90" s="355" t="str">
        <f>VLOOKUP(Q90,통합목록!$Q$4:$T$310,3,0)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1650</v>
      </c>
      <c r="D91" s="327" t="s">
        <v>1203</v>
      </c>
      <c r="E91" s="324" t="s">
        <v>31</v>
      </c>
      <c r="F91" s="324" t="s">
        <v>1740</v>
      </c>
      <c r="G91" s="349" t="str">
        <f>VLOOKUP(Q91,통합목록!$Q$4:$T$310,4,0)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VLOOKUP(Q91,통합목록!$Q$4:$T$310,2,0)</f>
        <v>열기2-01.노동법\02.문제\[모의][1][10.02-2]근로자의 2차 회식 중 사고에 대한 업무상 재해 인정 여부.txt</v>
      </c>
      <c r="N91" s="355" t="str">
        <f>VLOOKUP(Q91,통합목록!$Q$4:$T$310,3,0)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1650</v>
      </c>
      <c r="D92" s="327" t="s">
        <v>1204</v>
      </c>
      <c r="E92" s="324" t="s">
        <v>31</v>
      </c>
      <c r="F92" s="324" t="s">
        <v>501</v>
      </c>
      <c r="G92" s="349" t="str">
        <f>VLOOKUP(Q92,통합목록!$Q$4:$T$310,4,0)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VLOOKUP(Q92,통합목록!$Q$4:$T$310,2,0)</f>
        <v>열기2-01.노동법\02.문제\[모의][1][10.03-1]근로자의 만성 근로 및 단기 과로에 따른 뇌출혈의 업무상 질병 인정 여부.txt</v>
      </c>
      <c r="N92" s="355" t="str">
        <f>VLOOKUP(Q92,통합목록!$Q$4:$T$310,3,0)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1650</v>
      </c>
      <c r="D93" s="327" t="s">
        <v>1205</v>
      </c>
      <c r="E93" s="324" t="s">
        <v>31</v>
      </c>
      <c r="F93" s="324" t="s">
        <v>507</v>
      </c>
      <c r="G93" s="349" t="str">
        <f>VLOOKUP(Q93,통합목록!$Q$4:$T$310,4,0)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VLOOKUP(Q93,통합목록!$Q$4:$T$310,2,0)</f>
        <v>열기2-01.노동법\02.문제\[모의][1][10.03-2]근로자의 직장 내 괴롭힘으로 인한 우울증의 업무상 질병 인정 여부.txt</v>
      </c>
      <c r="N93" s="355" t="str">
        <f>VLOOKUP(Q93,통합목록!$Q$4:$T$310,3,0)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1650</v>
      </c>
      <c r="D94" s="327" t="s">
        <v>1206</v>
      </c>
      <c r="E94" s="324" t="s">
        <v>31</v>
      </c>
      <c r="F94" s="324" t="s">
        <v>1741</v>
      </c>
      <c r="G94" s="349" t="str">
        <f>VLOOKUP(Q94,통합목록!$Q$4:$T$310,4,0)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VLOOKUP(Q94,통합목록!$Q$4:$T$310,2,0)</f>
        <v>열기2-01.노동법\02.문제\[모의][1][10.04-1]출근 중 제3자의 신호 위반 사고로 발생한 부상의 업무상 재해 인정 여부.txt</v>
      </c>
      <c r="N94" s="355" t="str">
        <f>VLOOKUP(Q94,통합목록!$Q$4:$T$310,3,0)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1650</v>
      </c>
      <c r="D95" s="329" t="s">
        <v>1207</v>
      </c>
      <c r="E95" s="330" t="s">
        <v>31</v>
      </c>
      <c r="F95" s="330" t="s">
        <v>1742</v>
      </c>
      <c r="G95" s="350" t="str">
        <f>VLOOKUP(Q95,통합목록!$Q$4:$T$310,4,0)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VLOOKUP(Q95,통합목록!$Q$4:$T$310,2,0)</f>
        <v>열기2-01.노동법\02.문제\[모의][1][10.04-2]제3자 가해로 인한 출퇴근 재해 시 산재급여와 손해배상의 조정 및 구상 관계.txt</v>
      </c>
      <c r="N95" s="356" t="str">
        <f>VLOOKUP(Q95,통합목록!$Q$4:$T$310,3,0)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1258</v>
      </c>
      <c r="D96" s="333" t="s">
        <v>90</v>
      </c>
      <c r="E96" s="334">
        <v>2</v>
      </c>
      <c r="F96" s="334" t="s">
        <v>415</v>
      </c>
      <c r="G96" s="351" t="str">
        <f>VLOOKUP(Q96,통합목록!$Q$4:$T$310,4,0)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VLOOKUP(Q96,통합목록!$Q$4:$T$310,2,0)</f>
        <v>열기2-01.노동법\02.문제\[기출][2][2009-3]노동조합 가입 자격의 기본 원칙, 제한의 허용 범위, 한계 및 위반 시 효과.txt</v>
      </c>
      <c r="N96" s="357" t="str">
        <f>VLOOKUP(Q96,통합목록!$Q$4:$T$310,3,0)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1258</v>
      </c>
      <c r="D97" s="327" t="s">
        <v>1160</v>
      </c>
      <c r="E97" s="324">
        <v>2</v>
      </c>
      <c r="F97" s="324" t="s">
        <v>417</v>
      </c>
      <c r="G97" s="349" t="str">
        <f>VLOOKUP(Q97,통합목록!$Q$4:$T$310,4,0)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1258</v>
      </c>
      <c r="D98" s="327" t="s">
        <v>1026</v>
      </c>
      <c r="E98" s="324" t="s">
        <v>28</v>
      </c>
      <c r="F98" s="324" t="s">
        <v>490</v>
      </c>
      <c r="G98" s="349" t="str">
        <f>VLOOKUP(Q98,통합목록!$Q$4:$T$310,4,0)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1650</v>
      </c>
      <c r="D99" s="327" t="s">
        <v>1208</v>
      </c>
      <c r="E99" s="324" t="s">
        <v>28</v>
      </c>
      <c r="F99" s="324" t="s">
        <v>1740</v>
      </c>
      <c r="G99" s="349" t="str">
        <f>VLOOKUP(Q99,통합목록!$Q$4:$T$310,4,0)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VLOOKUP(Q99,통합목록!$Q$4:$T$310,2,0)</f>
        <v>열기2-01.노동법\02.문제\[모의][2][11.02-1]유니언 숍 조항을 근거로 한 탈퇴 후 타 노조 가입자 해고의 정당성.txt</v>
      </c>
      <c r="N99" s="355" t="str">
        <f>VLOOKUP(Q99,통합목록!$Q$4:$T$310,3,0)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1650</v>
      </c>
      <c r="D100" s="327" t="s">
        <v>1209</v>
      </c>
      <c r="E100" s="324" t="s">
        <v>28</v>
      </c>
      <c r="F100" s="324" t="s">
        <v>501</v>
      </c>
      <c r="G100" s="349" t="str">
        <f>VLOOKUP(Q100,통합목록!$Q$4:$T$310,4,0)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VLOOKUP(Q100,통합목록!$Q$4:$T$310,2,0)</f>
        <v>열기2-01.노동법\02.문제\[모의][2][11.02-2]조합비 미납을 이유로 한 조합원 선거권 제한의 적법성.txt</v>
      </c>
      <c r="N100" s="355" t="str">
        <f>VLOOKUP(Q100,통합목록!$Q$4:$T$310,3,0)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1650</v>
      </c>
      <c r="D101" s="327" t="s">
        <v>1210</v>
      </c>
      <c r="E101" s="324" t="s">
        <v>28</v>
      </c>
      <c r="F101" s="324" t="s">
        <v>507</v>
      </c>
      <c r="G101" s="349" t="str">
        <f>VLOOKUP(Q101,통합목록!$Q$4:$T$310,4,0)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VLOOKUP(Q101,통합목록!$Q$4:$T$310,2,0)</f>
        <v>열기2-01.노동법\02.문제\[모의][2][11.03-1]대의원회 의결 없이 총회에서 이루어진 단체협약안 의결의 정당성.txt</v>
      </c>
      <c r="N101" s="355" t="str">
        <f>VLOOKUP(Q101,통합목록!$Q$4:$T$310,3,0)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1650</v>
      </c>
      <c r="D102" s="327" t="s">
        <v>1211</v>
      </c>
      <c r="E102" s="324" t="s">
        <v>28</v>
      </c>
      <c r="F102" s="324" t="s">
        <v>1741</v>
      </c>
      <c r="G102" s="349" t="str">
        <f>VLOOKUP(Q102,통합목록!$Q$4:$T$310,4,0)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VLOOKUP(Q102,통합목록!$Q$4:$T$310,2,0)</f>
        <v>열기2-01.노동법\02.문제\[모의][2][11.03-2]총회 의결 정족수 충족 여부 및 위원장 해임결의의 유효성.txt</v>
      </c>
      <c r="N102" s="355" t="str">
        <f>VLOOKUP(Q102,통합목록!$Q$4:$T$310,3,0)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1258</v>
      </c>
      <c r="D103" s="327" t="s">
        <v>1161</v>
      </c>
      <c r="E103" s="324">
        <v>2</v>
      </c>
      <c r="F103" s="324" t="s">
        <v>1742</v>
      </c>
      <c r="G103" s="349" t="str">
        <f>VLOOKUP(Q103,통합목록!$Q$4:$T$310,4,0)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1650</v>
      </c>
      <c r="D104" s="327" t="s">
        <v>1212</v>
      </c>
      <c r="E104" s="324" t="s">
        <v>28</v>
      </c>
      <c r="F104" s="324" t="s">
        <v>1743</v>
      </c>
      <c r="G104" s="349" t="str">
        <f>VLOOKUP(Q104,통합목록!$Q$4:$T$310,4,0)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1650</v>
      </c>
      <c r="D105" s="327" t="s">
        <v>1213</v>
      </c>
      <c r="E105" s="324" t="s">
        <v>28</v>
      </c>
      <c r="F105" s="324" t="s">
        <v>1744</v>
      </c>
      <c r="G105" s="349" t="str">
        <f>VLOOKUP(Q105,통합목록!$Q$4:$T$310,4,0)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VLOOKUP(Q105,통합목록!$Q$4:$T$310,2,0)</f>
        <v>열기2-01.노동법\02.문제\[모의][2][11.05-2]근로시간 면제 제도(Time-Off)의 한도 초과 약정의 효력 및 급여 지급의 법적 쟁점.txt</v>
      </c>
      <c r="N105" s="355" t="str">
        <f>VLOOKUP(Q105,통합목록!$Q$4:$T$310,3,0)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1258</v>
      </c>
      <c r="D106" s="327" t="s">
        <v>1167</v>
      </c>
      <c r="E106" s="324">
        <v>2</v>
      </c>
      <c r="F106" s="324" t="s">
        <v>1745</v>
      </c>
      <c r="G106" s="349" t="str">
        <f>VLOOKUP(Q106,통합목록!$Q$4:$T$310,4,0)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1258</v>
      </c>
      <c r="D107" s="329" t="s">
        <v>1174</v>
      </c>
      <c r="E107" s="330">
        <v>2</v>
      </c>
      <c r="F107" s="330" t="s">
        <v>1746</v>
      </c>
      <c r="G107" s="350" t="str">
        <f>VLOOKUP(Q107,통합목록!$Q$4:$T$310,4,0)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VLOOKUP(Q107,통합목록!$Q$4:$T$310,2,0)</f>
        <v>열기2-01.노동법\02.문제\[기출][2][2019-1-2]초기업 노동조합 지회의 기업별 노동조합 조직형태 변경 결의의 유효성 여부.txt</v>
      </c>
      <c r="N107" s="356" t="str">
        <f>VLOOKUP(Q107,통합목록!$Q$4:$T$310,3,0)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1258</v>
      </c>
      <c r="D108" s="333" t="s">
        <v>82</v>
      </c>
      <c r="E108" s="334">
        <v>2</v>
      </c>
      <c r="F108" s="334" t="s">
        <v>415</v>
      </c>
      <c r="G108" s="351" t="str">
        <f>VLOOKUP(Q108,통합목록!$Q$4:$T$310,4,0)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VLOOKUP(Q108,통합목록!$Q$4:$T$310,2,0)</f>
        <v>열기2-01.노동법\02.문제\[기출][2][2009-1]도급 또는 파견 계약 관계에서 노조법상 사용자로서 단체교섭 의무 부담 여부.txt</v>
      </c>
      <c r="N108" s="357" t="str">
        <f>VLOOKUP(Q108,통합목록!$Q$4:$T$310,3,0)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1258</v>
      </c>
      <c r="D109" s="327" t="s">
        <v>1133</v>
      </c>
      <c r="E109" s="324">
        <v>2</v>
      </c>
      <c r="F109" s="324" t="s">
        <v>417</v>
      </c>
      <c r="G109" s="349" t="str">
        <f>VLOOKUP(Q109,통합목록!$Q$4:$T$310,4,0)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1258</v>
      </c>
      <c r="D110" s="327" t="s">
        <v>1594</v>
      </c>
      <c r="E110" s="324" t="s">
        <v>27</v>
      </c>
      <c r="F110" s="324" t="s">
        <v>490</v>
      </c>
      <c r="G110" s="349" t="str">
        <f>VLOOKUP(Q110,통합목록!$Q$4:$T$310,4,0)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1258</v>
      </c>
      <c r="D111" s="327" t="s">
        <v>1169</v>
      </c>
      <c r="E111" s="324">
        <v>2</v>
      </c>
      <c r="F111" s="324" t="s">
        <v>1740</v>
      </c>
      <c r="G111" s="349" t="str">
        <f>VLOOKUP(Q111,통합목록!$Q$4:$T$310,4,0)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1258</v>
      </c>
      <c r="D112" s="327" t="s">
        <v>80</v>
      </c>
      <c r="E112" s="324">
        <v>2</v>
      </c>
      <c r="F112" s="324" t="s">
        <v>501</v>
      </c>
      <c r="G112" s="349" t="str">
        <f>VLOOKUP(Q112,통합목록!$Q$4:$T$310,4,0)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1258</v>
      </c>
      <c r="D113" s="327" t="s">
        <v>1133</v>
      </c>
      <c r="E113" s="324">
        <v>2</v>
      </c>
      <c r="F113" s="324" t="s">
        <v>507</v>
      </c>
      <c r="G113" s="349" t="str">
        <f>VLOOKUP(Q113,통합목록!$Q$4:$T$310,4,0)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1258</v>
      </c>
      <c r="D114" s="327" t="s">
        <v>86</v>
      </c>
      <c r="E114" s="324">
        <v>2</v>
      </c>
      <c r="F114" s="324" t="s">
        <v>1741</v>
      </c>
      <c r="G114" s="349" t="str">
        <f>VLOOKUP(Q114,통합목록!$Q$4:$T$310,4,0)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VLOOKUP(Q114,통합목록!$Q$4:$T$310,2,0)</f>
        <v>열기2-01.노동법\02.문제\[기출][2][2020-2]소수노조 대상 노조사무실 미제공의 공정대표의무 위반 여부.txt</v>
      </c>
      <c r="N114" s="355" t="str">
        <f>VLOOKUP(Q114,통합목록!$Q$4:$T$310,3,0)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1258</v>
      </c>
      <c r="D115" s="327" t="s">
        <v>282</v>
      </c>
      <c r="E115" s="324">
        <v>2</v>
      </c>
      <c r="F115" s="324" t="s">
        <v>1742</v>
      </c>
      <c r="G115" s="349" t="str">
        <f>VLOOKUP(Q115,통합목록!$Q$4:$T$310,4,0)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VLOOKUP(Q115,통합목록!$Q$4:$T$310,2,0)</f>
        <v>열기2-01.노동법\02.문제\[기출][2][2024-2]교섭대표노동조합의 공정대표의무 위반 여부.txt</v>
      </c>
      <c r="N115" s="355" t="str">
        <f>VLOOKUP(Q115,통합목록!$Q$4:$T$310,3,0)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1258</v>
      </c>
      <c r="D116" s="327" t="s">
        <v>72</v>
      </c>
      <c r="E116" s="324">
        <v>2</v>
      </c>
      <c r="F116" s="324" t="s">
        <v>1743</v>
      </c>
      <c r="G116" s="349" t="str">
        <f>VLOOKUP(Q116,통합목록!$Q$4:$T$310,4,0)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VLOOKUP(Q116,통합목록!$Q$4:$T$310,2,0)</f>
        <v>열기2-01.노동법\02.문제\[기출][2][2025-1-1]직군이 다른 노동조합(사무직과 생산직)의 교섭단위 분리 신청 인정 여부.txt</v>
      </c>
      <c r="N116" s="355" t="str">
        <f>VLOOKUP(Q116,통합목록!$Q$4:$T$310,3,0)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1258</v>
      </c>
      <c r="D117" s="327" t="s">
        <v>1165</v>
      </c>
      <c r="E117" s="324">
        <v>2</v>
      </c>
      <c r="F117" s="324" t="s">
        <v>1744</v>
      </c>
      <c r="G117" s="349" t="str">
        <f>VLOOKUP(Q117,통합목록!$Q$4:$T$310,4,0)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VLOOKUP(Q117,통합목록!$Q$4:$T$310,2,0)</f>
        <v>열기2-01.노동법\02.문제\[기출][2][2023-1-2]노동조합 대표자가 규약 절차를 위반하여 체결한 단체협약의 법적 효력.txt</v>
      </c>
      <c r="N117" s="355" t="str">
        <f>VLOOKUP(Q117,통합목록!$Q$4:$T$310,3,0)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1650</v>
      </c>
      <c r="D118" s="327" t="s">
        <v>1214</v>
      </c>
      <c r="E118" s="324" t="s">
        <v>28</v>
      </c>
      <c r="F118" s="324" t="s">
        <v>1745</v>
      </c>
      <c r="G118" s="349" t="str">
        <f>VLOOKUP(Q118,통합목록!$Q$4:$T$310,4,0)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1650</v>
      </c>
      <c r="D119" s="329" t="s">
        <v>1215</v>
      </c>
      <c r="E119" s="330" t="s">
        <v>28</v>
      </c>
      <c r="F119" s="330" t="s">
        <v>1746</v>
      </c>
      <c r="G119" s="350" t="str">
        <f>VLOOKUP(Q119,통합목록!$Q$4:$T$310,4,0)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VLOOKUP(Q119,통합목록!$Q$4:$T$310,2,0)</f>
        <v>열기2-01.노동법\02.문제\[모의][2][12.06-2]교섭 권한 없는 자로의 위임 및 교섭 불참과 성실교섭의무 위반의 판단 기준.txt</v>
      </c>
      <c r="N119" s="356" t="str">
        <f>VLOOKUP(Q119,통합목록!$Q$4:$T$310,3,0)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1650</v>
      </c>
      <c r="D120" s="333" t="s">
        <v>1216</v>
      </c>
      <c r="E120" s="334" t="s">
        <v>28</v>
      </c>
      <c r="F120" s="334" t="s">
        <v>415</v>
      </c>
      <c r="G120" s="351" t="str">
        <f>VLOOKUP(Q120,통합목록!$Q$4:$T$310,4,0)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1650</v>
      </c>
      <c r="D121" s="327" t="s">
        <v>1217</v>
      </c>
      <c r="E121" s="324" t="s">
        <v>28</v>
      </c>
      <c r="F121" s="324" t="s">
        <v>417</v>
      </c>
      <c r="G121" s="349" t="str">
        <f>VLOOKUP(Q121,통합목록!$Q$4:$T$310,4,0)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VLOOKUP(Q121,통합목록!$Q$4:$T$310,2,0)</f>
        <v>열기2-01.노동법\02.문제\[모의][2][13.02-2]조합원 인준투표 부결이 단체협약의 성립 및 효력 발생에 미치는 영향.txt</v>
      </c>
      <c r="N121" s="355" t="str">
        <f>VLOOKUP(Q121,통합목록!$Q$4:$T$310,3,0)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1258</v>
      </c>
      <c r="D122" s="327" t="s">
        <v>62</v>
      </c>
      <c r="E122" s="324">
        <v>2</v>
      </c>
      <c r="F122" s="324" t="s">
        <v>490</v>
      </c>
      <c r="G122" s="349" t="str">
        <f>VLOOKUP(Q122,통합목록!$Q$4:$T$310,4,0)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1258</v>
      </c>
      <c r="D123" s="327" t="s">
        <v>63</v>
      </c>
      <c r="E123" s="324">
        <v>2</v>
      </c>
      <c r="F123" s="324" t="s">
        <v>1740</v>
      </c>
      <c r="G123" s="349" t="str">
        <f>VLOOKUP(Q123,통합목록!$Q$4:$T$310,4,0)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1258</v>
      </c>
      <c r="D124" s="327" t="s">
        <v>60</v>
      </c>
      <c r="E124" s="324">
        <v>2</v>
      </c>
      <c r="F124" s="324" t="s">
        <v>501</v>
      </c>
      <c r="G124" s="349" t="str">
        <f>VLOOKUP(Q124,통합목록!$Q$4:$T$310,4,0)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VLOOKUP(Q124,통합목록!$Q$4:$T$310,2,0)</f>
        <v>열기2-01.노동법\02.문제\[기출][2][2016-2]비조합원에 대한 징계처분 시 단체협약상 재심절차 준수 필요 여부.txt</v>
      </c>
      <c r="N124" s="355" t="str">
        <f>VLOOKUP(Q124,통합목록!$Q$4:$T$310,3,0)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1258</v>
      </c>
      <c r="D125" s="327" t="s">
        <v>1175</v>
      </c>
      <c r="E125" s="324">
        <v>2</v>
      </c>
      <c r="F125" s="324" t="s">
        <v>507</v>
      </c>
      <c r="G125" s="349" t="str">
        <f>VLOOKUP(Q125,통합목록!$Q$4:$T$310,4,0)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VLOOKUP(Q125,통합목록!$Q$4:$T$310,2,0)</f>
        <v>열기2-01.노동법\02.문제\[기출][2][2023-2]개별 동의 없는 불이익 단체협약의 규범적 효력과 기득이익의 관계.txt</v>
      </c>
      <c r="N125" s="355" t="str">
        <f>VLOOKUP(Q125,통합목록!$Q$4:$T$310,3,0)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1650</v>
      </c>
      <c r="D126" s="327" t="s">
        <v>1218</v>
      </c>
      <c r="E126" s="324" t="s">
        <v>28</v>
      </c>
      <c r="F126" s="324" t="s">
        <v>1741</v>
      </c>
      <c r="G126" s="349" t="str">
        <f>VLOOKUP(Q126,통합목록!$Q$4:$T$310,4,0)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VLOOKUP(Q126,통합목록!$Q$4:$T$310,2,0)</f>
        <v>열기2-01.노동법\02.문제\[모의][2][13.04-1]평화의무의 개념, 근거 및 명시적 조항 부재 시 인정 여부.txt</v>
      </c>
      <c r="N126" s="355" t="str">
        <f>VLOOKUP(Q126,통합목록!$Q$4:$T$310,3,0)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1650</v>
      </c>
      <c r="D127" s="327" t="s">
        <v>1219</v>
      </c>
      <c r="E127" s="324" t="s">
        <v>28</v>
      </c>
      <c r="F127" s="324" t="s">
        <v>1742</v>
      </c>
      <c r="G127" s="349" t="str">
        <f>VLOOKUP(Q127,통합목록!$Q$4:$T$310,4,0)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VLOOKUP(Q127,통합목록!$Q$4:$T$310,2,0)</f>
        <v>열기2-01.노동법\02.문제\[모의][2][13.04-2]평화의무 위반 쟁의행위의 정당성 유무 및 법적 책임.txt</v>
      </c>
      <c r="N127" s="355" t="str">
        <f>VLOOKUP(Q127,통합목록!$Q$4:$T$310,3,0)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1258</v>
      </c>
      <c r="D128" s="327" t="s">
        <v>1166</v>
      </c>
      <c r="E128" s="324">
        <v>2</v>
      </c>
      <c r="F128" s="324" t="s">
        <v>1743</v>
      </c>
      <c r="G128" s="349" t="str">
        <f>VLOOKUP(Q128,통합목록!$Q$4:$T$310,4,0)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1258</v>
      </c>
      <c r="D129" s="327" t="s">
        <v>113</v>
      </c>
      <c r="E129" s="324">
        <v>2</v>
      </c>
      <c r="F129" s="324" t="s">
        <v>1744</v>
      </c>
      <c r="G129" s="349" t="str">
        <f>VLOOKUP(Q129,통합목록!$Q$4:$T$310,4,0)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1650</v>
      </c>
      <c r="D130" s="327" t="s">
        <v>1220</v>
      </c>
      <c r="E130" s="324" t="s">
        <v>28</v>
      </c>
      <c r="F130" s="324" t="s">
        <v>1745</v>
      </c>
      <c r="G130" s="349" t="str">
        <f>VLOOKUP(Q130,통합목록!$Q$4:$T$310,4,0)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1650</v>
      </c>
      <c r="D131" s="327" t="s">
        <v>1221</v>
      </c>
      <c r="E131" s="324" t="s">
        <v>28</v>
      </c>
      <c r="F131" s="324" t="s">
        <v>1746</v>
      </c>
      <c r="G131" s="349" t="str">
        <f>VLOOKUP(Q131,통합목록!$Q$4:$T$310,4,0)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VLOOKUP(Q131,통합목록!$Q$4:$T$310,2,0)</f>
        <v>열기2-01.노동법\02.문제\[모의][2][13.07-2]사무직 근로자에 대한 효력확장 여부 및 확장의 범위(채무적 부분 포함 여부).txt</v>
      </c>
      <c r="N131" s="355" t="str">
        <f>VLOOKUP(Q131,통합목록!$Q$4:$T$310,3,0)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1258</v>
      </c>
      <c r="D132" s="327" t="s">
        <v>91</v>
      </c>
      <c r="E132" s="324">
        <v>2</v>
      </c>
      <c r="F132" s="324" t="s">
        <v>1747</v>
      </c>
      <c r="G132" s="349" t="str">
        <f>VLOOKUP(Q132,통합목록!$Q$4:$T$310,4,0)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1258</v>
      </c>
      <c r="D133" s="329" t="s">
        <v>1018</v>
      </c>
      <c r="E133" s="330">
        <v>2</v>
      </c>
      <c r="F133" s="330" t="s">
        <v>1748</v>
      </c>
      <c r="G133" s="350" t="str">
        <f>VLOOKUP(Q133,통합목록!$Q$4:$T$310,4,0)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VLOOKUP(Q133,통합목록!$Q$4:$T$310,2,0)</f>
        <v>열기2-01.노동법\02.문제\[기출][2][2021-1-2]자동연장된 단체협약의 해지권 제한 약정의 효력 및 해지 통보의 유효성.txt</v>
      </c>
      <c r="N133" s="356" t="str">
        <f>VLOOKUP(Q133,통합목록!$Q$4:$T$310,3,0)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1258</v>
      </c>
      <c r="D134" s="333" t="s">
        <v>1176</v>
      </c>
      <c r="E134" s="334">
        <v>2</v>
      </c>
      <c r="F134" s="334" t="s">
        <v>415</v>
      </c>
      <c r="G134" s="351" t="str">
        <f>VLOOKUP(Q134,통합목록!$Q$4:$T$310,4,0)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VLOOKUP(Q134,통합목록!$Q$4:$T$310,2,0)</f>
        <v>열기2-01.노동법\02.문제\[기출][2][2013-1-1]설립 미신고 지부노동조합의 쟁의행위에 대한 주체의 정당성.txt</v>
      </c>
      <c r="N134" s="357" t="str">
        <f>VLOOKUP(Q134,통합목록!$Q$4:$T$310,3,0)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1258</v>
      </c>
      <c r="D135" s="327" t="s">
        <v>1177</v>
      </c>
      <c r="E135" s="324">
        <v>2</v>
      </c>
      <c r="F135" s="324" t="s">
        <v>417</v>
      </c>
      <c r="G135" s="349" t="str">
        <f>VLOOKUP(Q135,통합목록!$Q$4:$T$310,4,0)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VLOOKUP(Q135,통합목록!$Q$4:$T$310,2,0)</f>
        <v>열기2-01.노동법\02.문제\[기출][2][2013-1-2]설립 미신고 지부노동조합의 쟁의행위에 대한 목적의 정당성.txt</v>
      </c>
      <c r="N135" s="355" t="str">
        <f>VLOOKUP(Q135,통합목록!$Q$4:$T$310,3,0)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1258</v>
      </c>
      <c r="D136" s="327" t="s">
        <v>284</v>
      </c>
      <c r="E136" s="324">
        <v>2</v>
      </c>
      <c r="F136" s="324" t="s">
        <v>490</v>
      </c>
      <c r="G136" s="349" t="str">
        <f>VLOOKUP(Q136,통합목록!$Q$4:$T$310,4,0)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VLOOKUP(Q136,통합목록!$Q$4:$T$310,2,0)</f>
        <v>열기2-01.노동법\02.문제\[기출][2][2021-2]임금협약의 유효기간 중 재교섭을 요구하며 개시한 파업의 정당성 여부.txt</v>
      </c>
      <c r="N136" s="355" t="str">
        <f>VLOOKUP(Q136,통합목록!$Q$4:$T$310,3,0)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1258</v>
      </c>
      <c r="D137" s="327" t="s">
        <v>1014</v>
      </c>
      <c r="E137" s="324">
        <v>2</v>
      </c>
      <c r="F137" s="324" t="s">
        <v>1740</v>
      </c>
      <c r="G137" s="349" t="str">
        <f>VLOOKUP(Q137,통합목록!$Q$4:$T$310,4,0)</f>
        <v>노동조합 쟁의행위의 절차적 정당성의 요건, 절차 위반 시 효력</v>
      </c>
      <c r="H137" s="345" t="s">
        <v>1778</v>
      </c>
      <c r="I137" s="345"/>
      <c r="J137" s="345"/>
      <c r="K137" s="345" t="s">
        <v>1780</v>
      </c>
      <c r="L137" s="326"/>
      <c r="M137" s="363" t="str">
        <f>VLOOKUP(Q137,통합목록!$Q$4:$T$310,2,0)</f>
        <v>열기2-01.노동법\02.문제\[기출][2][2010-2]노동조합 쟁의행위의 절차적 정당성의 요건, 절차 위반 시 효력.txt</v>
      </c>
      <c r="N137" s="355" t="str">
        <f>VLOOKUP(Q137,통합목록!$Q$4:$T$310,3,0)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1258</v>
      </c>
      <c r="D138" s="327" t="s">
        <v>1171</v>
      </c>
      <c r="E138" s="324">
        <v>2</v>
      </c>
      <c r="F138" s="324" t="s">
        <v>501</v>
      </c>
      <c r="G138" s="349" t="str">
        <f>VLOOKUP(Q138,통합목록!$Q$4:$T$310,4,0)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1258</v>
      </c>
      <c r="D139" s="327" t="s">
        <v>75</v>
      </c>
      <c r="E139" s="324">
        <v>2</v>
      </c>
      <c r="F139" s="324" t="s">
        <v>507</v>
      </c>
      <c r="G139" s="349" t="str">
        <f>VLOOKUP(Q139,통합목록!$Q$4:$T$310,4,0)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1258</v>
      </c>
      <c r="D140" s="327" t="s">
        <v>237</v>
      </c>
      <c r="E140" s="324">
        <v>2</v>
      </c>
      <c r="F140" s="324" t="s">
        <v>1741</v>
      </c>
      <c r="G140" s="349" t="str">
        <f>VLOOKUP(Q140,통합목록!$Q$4:$T$310,4,0)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VLOOKUP(Q140,통합목록!$Q$4:$T$310,2,0)</f>
        <v>열기2-01.노동법\02.문제\[기출][2][2011-2]준법투쟁의 개념과 법적 성격, 유형, 관련 판례법리, 효과 및 활용.txt</v>
      </c>
      <c r="N140" s="355" t="str">
        <f>VLOOKUP(Q140,통합목록!$Q$4:$T$310,3,0)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1258</v>
      </c>
      <c r="D141" s="327" t="s">
        <v>77</v>
      </c>
      <c r="E141" s="324">
        <v>2</v>
      </c>
      <c r="F141" s="324" t="s">
        <v>1742</v>
      </c>
      <c r="G141" s="349" t="str">
        <f>VLOOKUP(Q141,통합목록!$Q$4:$T$310,4,0)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VLOOKUP(Q141,통합목록!$Q$4:$T$310,2,0)</f>
        <v>열기2-01.노동법\02.문제\[기출][2][2017-1-1]관행적 연장근로에 대한 집단적 거부가 노조법상 쟁의행위에 해당하는지 여부.txt</v>
      </c>
      <c r="N141" s="355" t="str">
        <f>VLOOKUP(Q141,통합목록!$Q$4:$T$310,3,0)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1258</v>
      </c>
      <c r="D142" s="327" t="s">
        <v>92</v>
      </c>
      <c r="E142" s="324">
        <v>2</v>
      </c>
      <c r="F142" s="324" t="s">
        <v>1743</v>
      </c>
      <c r="G142" s="349" t="str">
        <f>VLOOKUP(Q142,통합목록!$Q$4:$T$310,4,0)</f>
        <v>직장점거 중 단행된 사용자의 직장폐쇄에 따른 법률적 효과</v>
      </c>
      <c r="H142" s="345" t="s">
        <v>1782</v>
      </c>
      <c r="I142" s="345" t="s">
        <v>1781</v>
      </c>
      <c r="J142" s="345"/>
      <c r="K142" s="345"/>
      <c r="L142" s="326"/>
      <c r="M142" s="363" t="str">
        <f>VLOOKUP(Q142,통합목록!$Q$4:$T$310,2,0)</f>
        <v>열기2-01.노동법\02.문제\[기출][2][2009-2]직장점거 중 단행된 사용자의 직장폐쇄에 따른 법률적 효과.txt</v>
      </c>
      <c r="N142" s="355" t="str">
        <f>VLOOKUP(Q142,통합목록!$Q$4:$T$310,3,0)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1258</v>
      </c>
      <c r="D143" s="327" t="s">
        <v>71</v>
      </c>
      <c r="E143" s="324">
        <v>2</v>
      </c>
      <c r="F143" s="324" t="s">
        <v>1744</v>
      </c>
      <c r="G143" s="349" t="str">
        <f>VLOOKUP(Q143,통합목록!$Q$4:$T$310,4,0)</f>
        <v>사용자의 정당한 직장폐쇄의 개념, 요건, 법적 효과</v>
      </c>
      <c r="H143" s="345" t="s">
        <v>1792</v>
      </c>
      <c r="I143" s="345"/>
      <c r="J143" s="345"/>
      <c r="K143" s="345" t="s">
        <v>1793</v>
      </c>
      <c r="L143" s="326"/>
      <c r="M143" s="363" t="str">
        <f>VLOOKUP(Q143,통합목록!$Q$4:$T$310,2,0)</f>
        <v>열기2-01.노동법\02.문제\[기출][2][2015-2]사용자의 정당한 직장폐쇄의 개념, 요건, 법적 효과.txt</v>
      </c>
      <c r="N143" s="355" t="str">
        <f>VLOOKUP(Q143,통합목록!$Q$4:$T$310,3,0)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1258</v>
      </c>
      <c r="D144" s="327" t="s">
        <v>1178</v>
      </c>
      <c r="E144" s="324">
        <v>2</v>
      </c>
      <c r="F144" s="324" t="s">
        <v>1745</v>
      </c>
      <c r="G144" s="349" t="str">
        <f>VLOOKUP(Q144,통합목록!$Q$4:$T$310,4,0)</f>
        <v>근로자의 집단적 연장근로 거부 및 태업에 대응하여 단행한 사용자의 직장폐쇄 개시 및 유지의 정당성 여부</v>
      </c>
      <c r="H144" s="345" t="s">
        <v>1791</v>
      </c>
      <c r="I144" s="345"/>
      <c r="J144" s="345"/>
      <c r="K144" s="345"/>
      <c r="L144" s="326"/>
      <c r="M144" s="363" t="str">
        <f>VLOOKUP(Q144,통합목록!$Q$4:$T$310,2,0)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1258</v>
      </c>
      <c r="D145" s="327" t="s">
        <v>76</v>
      </c>
      <c r="E145" s="324">
        <v>2</v>
      </c>
      <c r="F145" s="324" t="s">
        <v>1746</v>
      </c>
      <c r="G145" s="349" t="str">
        <f>VLOOKUP(Q145,통합목록!$Q$4:$T$310,4,0)</f>
        <v>직장폐쇄를 단행하며 노조사무실 출입을 전면 금지한 행위의 정당성 여부</v>
      </c>
      <c r="H145" s="345" t="s">
        <v>1795</v>
      </c>
      <c r="I145" s="345" t="s">
        <v>1794</v>
      </c>
      <c r="J145" s="345"/>
      <c r="K145" s="345"/>
      <c r="L145" s="326"/>
      <c r="M145" s="363" t="str">
        <f>VLOOKUP(Q145,통합목록!$Q$4:$T$310,2,0)</f>
        <v>열기2-01.노동법\02.문제\[기출][2][2019-1-1]직장폐쇄를 단행하며 노조사무실 출입을 전면 금지한 행위의 정당성 여부.txt</v>
      </c>
      <c r="N145" s="355" t="str">
        <f>VLOOKUP(Q145,통합목록!$Q$4:$T$310,3,0)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1650</v>
      </c>
      <c r="D146" s="327" t="s">
        <v>1222</v>
      </c>
      <c r="E146" s="324" t="s">
        <v>28</v>
      </c>
      <c r="F146" s="324" t="s">
        <v>1747</v>
      </c>
      <c r="G146" s="349" t="str">
        <f>VLOOKUP(Q146,통합목록!$Q$4:$T$310,4,0)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VLOOKUP(Q146,통합목록!$Q$4:$T$310,2,0)</f>
        <v>열기2-01.노동법\02.문제\[모의][2][14.07-1]쟁의행위의 정당성 결여 판단 및 민사상 손해배상 책임의 주체와 책임의 성질.txt</v>
      </c>
      <c r="N146" s="355" t="str">
        <f>VLOOKUP(Q146,통합목록!$Q$4:$T$310,3,0)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1650</v>
      </c>
      <c r="D147" s="327" t="s">
        <v>1223</v>
      </c>
      <c r="E147" s="324" t="s">
        <v>28</v>
      </c>
      <c r="F147" s="324" t="s">
        <v>1748</v>
      </c>
      <c r="G147" s="349" t="str">
        <f>VLOOKUP(Q147,통합목록!$Q$4:$T$310,4,0)</f>
        <v>책임 제한의 개별화 원칙 적용 여부와 구체적인 판단 기준</v>
      </c>
      <c r="H147" s="345"/>
      <c r="I147" s="345" t="s">
        <v>1797</v>
      </c>
      <c r="J147" s="345"/>
      <c r="K147" s="345"/>
      <c r="L147" s="326"/>
      <c r="M147" s="363" t="str">
        <f>VLOOKUP(Q147,통합목록!$Q$4:$T$310,2,0)</f>
        <v>열기2-01.노동법\02.문제\[모의][2][14.07-2]책임 제한의 개별화 원칙 적용 여부와 구체적인 판단 기준.txt</v>
      </c>
      <c r="N147" s="355" t="str">
        <f>VLOOKUP(Q147,통합목록!$Q$4:$T$310,3,0)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1650</v>
      </c>
      <c r="D148" s="327" t="s">
        <v>1224</v>
      </c>
      <c r="E148" s="324" t="s">
        <v>28</v>
      </c>
      <c r="F148" s="324" t="s">
        <v>1749</v>
      </c>
      <c r="G148" s="349" t="str">
        <f>VLOOKUP(Q148,통합목록!$Q$4:$T$310,4,0)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1650</v>
      </c>
      <c r="D149" s="327" t="s">
        <v>1225</v>
      </c>
      <c r="E149" s="324" t="s">
        <v>28</v>
      </c>
      <c r="F149" s="324" t="s">
        <v>1750</v>
      </c>
      <c r="G149" s="349" t="str">
        <f>VLOOKUP(Q149,통합목록!$Q$4:$T$310,4,0)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VLOOKUP(Q149,통합목록!$Q$4:$T$310,2,0)</f>
        <v>열기2-01.노동법\02.문제\[모의][2][14.08-2]쟁의행위 및 징계(정직) 기간의 연차휴가 산정 시 출근지수 처리 방식.txt</v>
      </c>
      <c r="N149" s="355" t="str">
        <f>VLOOKUP(Q149,통합목록!$Q$4:$T$310,3,0)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1650</v>
      </c>
      <c r="D150" s="327" t="s">
        <v>1226</v>
      </c>
      <c r="E150" s="324" t="s">
        <v>28</v>
      </c>
      <c r="F150" s="324" t="s">
        <v>1751</v>
      </c>
      <c r="G150" s="349" t="str">
        <f>VLOOKUP(Q150,통합목록!$Q$4:$T$310,4,0)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1650</v>
      </c>
      <c r="D151" s="327" t="s">
        <v>1227</v>
      </c>
      <c r="E151" s="324" t="s">
        <v>28</v>
      </c>
      <c r="F151" s="324" t="s">
        <v>1752</v>
      </c>
      <c r="G151" s="349" t="str">
        <f>VLOOKUP(Q151,통합목록!$Q$4:$T$310,4,0)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1258</v>
      </c>
      <c r="D152" s="327" t="s">
        <v>93</v>
      </c>
      <c r="E152" s="324">
        <v>2</v>
      </c>
      <c r="F152" s="324" t="s">
        <v>1753</v>
      </c>
      <c r="G152" s="349" t="str">
        <f>VLOOKUP(Q152,통합목록!$Q$4:$T$310,4,0)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1258</v>
      </c>
      <c r="D153" s="327" t="s">
        <v>1158</v>
      </c>
      <c r="E153" s="324">
        <v>2</v>
      </c>
      <c r="F153" s="324" t="s">
        <v>1754</v>
      </c>
      <c r="G153" s="349" t="str">
        <f>VLOOKUP(Q153,통합목록!$Q$4:$T$310,4,0)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VLOOKUP(Q153,통합목록!$Q$4:$T$310,2,0)</f>
        <v>열기2-01.노동법\02.문제\[기출][2][2020-1-1]대체인력 투입이 대체근로 제한에 위배되어 위법한지 여부.txt</v>
      </c>
      <c r="N153" s="355" t="str">
        <f>VLOOKUP(Q153,통합목록!$Q$4:$T$310,3,0)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1258</v>
      </c>
      <c r="D154" s="327" t="s">
        <v>85</v>
      </c>
      <c r="E154" s="324">
        <v>2</v>
      </c>
      <c r="F154" s="324" t="s">
        <v>1755</v>
      </c>
      <c r="G154" s="349" t="str">
        <f>VLOOKUP(Q154,통합목록!$Q$4:$T$310,4,0)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VLOOKUP(Q154,통합목록!$Q$4:$T$310,2,0)</f>
        <v>열기2-01.노동법\02.문제\[기출][2][2020-1-2]대체인력 투입의 지배・개입 부당노동행위 성립 여부.txt</v>
      </c>
      <c r="N154" s="355" t="str">
        <f>VLOOKUP(Q154,통합목록!$Q$4:$T$310,3,0)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1258</v>
      </c>
      <c r="D155" s="329" t="s">
        <v>81</v>
      </c>
      <c r="E155" s="330">
        <v>2</v>
      </c>
      <c r="F155" s="330" t="s">
        <v>1756</v>
      </c>
      <c r="G155" s="350" t="str">
        <f>VLOOKUP(Q155,통합목록!$Q$4:$T$310,4,0)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VLOOKUP(Q155,통합목록!$Q$4:$T$310,2,0)</f>
        <v>열기2-01.노동법\02.문제\[기출][2][2022-1-2]용역업체의 대체근로 저지행위에 대한 형사상 위법성 여부.txt</v>
      </c>
      <c r="N155" s="356" t="str">
        <f>VLOOKUP(Q155,통합목록!$Q$4:$T$310,3,0)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1258</v>
      </c>
      <c r="D156" s="333" t="s">
        <v>94</v>
      </c>
      <c r="E156" s="334">
        <v>2</v>
      </c>
      <c r="F156" s="334" t="s">
        <v>415</v>
      </c>
      <c r="G156" s="351" t="str">
        <f>VLOOKUP(Q156,통합목록!$Q$4:$T$310,4,0)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1258</v>
      </c>
      <c r="D157" s="327" t="s">
        <v>1179</v>
      </c>
      <c r="E157" s="324">
        <v>2</v>
      </c>
      <c r="F157" s="324" t="s">
        <v>417</v>
      </c>
      <c r="G157" s="349" t="str">
        <f>VLOOKUP(Q157,통합목록!$Q$4:$T$310,4,0)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1258</v>
      </c>
      <c r="D158" s="327" t="s">
        <v>70</v>
      </c>
      <c r="E158" s="324">
        <v>2</v>
      </c>
      <c r="F158" s="324" t="s">
        <v>490</v>
      </c>
      <c r="G158" s="349" t="str">
        <f>VLOOKUP(Q158,통합목록!$Q$4:$T$310,4,0)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1650</v>
      </c>
      <c r="D159" s="327" t="s">
        <v>1228</v>
      </c>
      <c r="E159" s="324" t="s">
        <v>28</v>
      </c>
      <c r="F159" s="324" t="s">
        <v>1740</v>
      </c>
      <c r="G159" s="349" t="str">
        <f>VLOOKUP(Q159,통합목록!$Q$4:$T$310,4,0)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VLOOKUP(Q159,통합목록!$Q$4:$T$310,2,0)</f>
        <v>열기2-01.노동법\02.문제\[모의][2][15.03-1]유니온 숍 조항의 성립 요건 및 소수 노조 조합원에 대한 효력 범위.txt</v>
      </c>
      <c r="N159" s="355" t="str">
        <f>VLOOKUP(Q159,통합목록!$Q$4:$T$310,3,0)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1650</v>
      </c>
      <c r="D160" s="327" t="s">
        <v>1229</v>
      </c>
      <c r="E160" s="324" t="s">
        <v>28</v>
      </c>
      <c r="F160" s="324" t="s">
        <v>501</v>
      </c>
      <c r="G160" s="349" t="str">
        <f>VLOOKUP(Q160,통합목록!$Q$4:$T$310,4,0)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1258</v>
      </c>
      <c r="D161" s="327" t="s">
        <v>1156</v>
      </c>
      <c r="E161" s="324">
        <v>2</v>
      </c>
      <c r="F161" s="324" t="s">
        <v>507</v>
      </c>
      <c r="G161" s="349" t="str">
        <f>VLOOKUP(Q161,통합목록!$Q$4:$T$310,4,0)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1258</v>
      </c>
      <c r="D162" s="327" t="s">
        <v>61</v>
      </c>
      <c r="E162" s="324">
        <v>2</v>
      </c>
      <c r="F162" s="324" t="s">
        <v>1741</v>
      </c>
      <c r="G162" s="349" t="str">
        <f>VLOOKUP(Q162,통합목록!$Q$4:$T$310,4,0)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VLOOKUP(Q162,통합목록!$Q$4:$T$310,2,0)</f>
        <v>열기2-01.노동법\02.문제\[기출][2][2018-1-2]법원의 가처분 결정 이후 사용자의 단체교섭 계속 거부의 불법행위 성립 여부.txt</v>
      </c>
      <c r="N162" s="355" t="str">
        <f>VLOOKUP(Q162,통합목록!$Q$4:$T$310,3,0)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1258</v>
      </c>
      <c r="D163" s="327" t="s">
        <v>74</v>
      </c>
      <c r="E163" s="324">
        <v>2</v>
      </c>
      <c r="F163" s="324" t="s">
        <v>1742</v>
      </c>
      <c r="G163" s="349" t="str">
        <f>VLOOKUP(Q163,통합목록!$Q$4:$T$310,4,0)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1258</v>
      </c>
      <c r="D164" s="327" t="s">
        <v>65</v>
      </c>
      <c r="E164" s="324">
        <v>2</v>
      </c>
      <c r="F164" s="324" t="s">
        <v>1743</v>
      </c>
      <c r="G164" s="349" t="str">
        <f>VLOOKUP(Q164,통합목록!$Q$4:$T$310,4,0)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VLOOKUP(Q164,통합목록!$Q$4:$T$310,2,0)</f>
        <v>열기2-01.노동법\02.문제\[기출][2][2014-2]사용자의 언론의 자유와 부당노동행위의 관계.txt</v>
      </c>
      <c r="N164" s="355" t="str">
        <f>VLOOKUP(Q164,통합목록!$Q$4:$T$310,3,0)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1258</v>
      </c>
      <c r="D165" s="327" t="s">
        <v>66</v>
      </c>
      <c r="E165" s="324">
        <v>2</v>
      </c>
      <c r="F165" s="324" t="s">
        <v>1744</v>
      </c>
      <c r="G165" s="349" t="str">
        <f>VLOOKUP(Q165,통합목록!$Q$4:$T$310,4,0)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VLOOKUP(Q165,통합목록!$Q$4:$T$310,2,0)</f>
        <v>열기2-01.노동법\02.문제\[기출][2][2016-1-1]무효인 단체협약을 근거로 지급되던 노동조합 운영비 지급 중단의 정당성.txt</v>
      </c>
      <c r="N165" s="355" t="str">
        <f>VLOOKUP(Q165,통합목록!$Q$4:$T$310,3,0)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1258</v>
      </c>
      <c r="D166" s="327" t="s">
        <v>1172</v>
      </c>
      <c r="E166" s="324">
        <v>2</v>
      </c>
      <c r="F166" s="324" t="s">
        <v>1745</v>
      </c>
      <c r="G166" s="349" t="str">
        <f>VLOOKUP(Q166,통합목록!$Q$4:$T$310,4,0)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1258</v>
      </c>
      <c r="D167" s="327" t="s">
        <v>85</v>
      </c>
      <c r="E167" s="324">
        <v>2</v>
      </c>
      <c r="F167" s="324" t="s">
        <v>1746</v>
      </c>
      <c r="G167" s="349" t="str">
        <f>VLOOKUP(Q167,통합목록!$Q$4:$T$310,4,0)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VLOOKUP(Q167,통합목록!$Q$4:$T$310,2,0)</f>
        <v>열기2-01.노동법\02.문제\[기출][2][2020-1-2]대체인력 투입의 지배・개입 부당노동행위 성립 여부.txt</v>
      </c>
      <c r="N167" s="355" t="str">
        <f>VLOOKUP(Q167,통합목록!$Q$4:$T$310,3,0)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1258</v>
      </c>
      <c r="D168" s="327" t="s">
        <v>237</v>
      </c>
      <c r="E168" s="324" t="s">
        <v>31</v>
      </c>
      <c r="F168" s="324" t="s">
        <v>1747</v>
      </c>
      <c r="G168" s="349" t="str">
        <f>VLOOKUP(Q168,통합목록!$Q$4:$T$310,4,0)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1258</v>
      </c>
      <c r="D169" s="329" t="s">
        <v>1180</v>
      </c>
      <c r="E169" s="330">
        <v>2</v>
      </c>
      <c r="F169" s="330" t="s">
        <v>1748</v>
      </c>
      <c r="G169" s="350" t="str">
        <f>VLOOKUP(Q169,통합목록!$Q$4:$T$310,4,0)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VLOOKUP(Q169,통합목록!$Q$4:$T$310,2,0)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1258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VLOOKUP(Q170,통합목록!$Q$4:$T$310,4,0)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1258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VLOOKUP(Q171,통합목록!$Q$4:$T$310,4,0)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1258</v>
      </c>
      <c r="D172" s="327" t="s">
        <v>95</v>
      </c>
      <c r="E172" s="324">
        <v>2</v>
      </c>
      <c r="F172" s="324" t="s">
        <v>426</v>
      </c>
      <c r="G172" s="349" t="str">
        <f>VLOOKUP(Q172,통합목록!$Q$4:$T$310,4,0)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VLOOKUP(Q172,통합목록!$Q$4:$T$310,2,0)</f>
        <v>열기2-01.노동법\02.문제\[기출][2][2008-3]노동위원회의 관할(사건 관할, 지역 관할).txt</v>
      </c>
      <c r="N172" s="355" t="str">
        <f>VLOOKUP(Q172,통합목록!$Q$4:$T$310,3,0)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1258</v>
      </c>
      <c r="D173" s="327" t="s">
        <v>87</v>
      </c>
      <c r="E173" s="324">
        <v>2</v>
      </c>
      <c r="F173" s="324" t="s">
        <v>430</v>
      </c>
      <c r="G173" s="349" t="str">
        <f>VLOOKUP(Q173,통합목록!$Q$4:$T$310,4,0)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VLOOKUP(Q173,통합목록!$Q$4:$T$310,2,0)</f>
        <v>열기2-01.노동법\02.문제\[기출][2][2025-2]중재재정 조항의 교원노조법상 단체교섭 대상 여부.txt</v>
      </c>
      <c r="N173" s="355" t="str">
        <f>VLOOKUP(Q173,통합목록!$Q$4:$T$310,3,0)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1258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VLOOKUP(Q174,통합목록!$Q$4:$T$310,4,0)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VLOOKUP(Q174,통합목록!$Q$4:$T$310,2,0)</f>
        <v>열기2-01.노동법\02.문제\[기출][1][2017-1-2]매월 균분하여 지급받은 퇴직금 분할 약정의 효력.txt</v>
      </c>
      <c r="N174" s="356" t="str">
        <f>VLOOKUP(Q174,통합목록!$Q$4:$T$310,3,0)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81" t="s">
        <v>3</v>
      </c>
      <c r="C2" s="389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1478</v>
      </c>
      <c r="C4" s="243" t="s">
        <v>1479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1478</v>
      </c>
      <c r="C5" s="42" t="s">
        <v>1479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1478</v>
      </c>
      <c r="C6" s="42" t="s">
        <v>1479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1478</v>
      </c>
      <c r="C7" s="42" t="s">
        <v>1479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1478</v>
      </c>
      <c r="C8" s="54" t="s">
        <v>1479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1478</v>
      </c>
      <c r="C9" s="256" t="s">
        <v>1424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1478</v>
      </c>
      <c r="C10" s="42" t="s">
        <v>1424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1478</v>
      </c>
      <c r="C11" s="54" t="s">
        <v>1424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1478</v>
      </c>
      <c r="C12" s="256" t="s">
        <v>1425</v>
      </c>
      <c r="D12" s="257" t="s">
        <v>688</v>
      </c>
      <c r="E12" s="258" t="s">
        <v>1421</v>
      </c>
      <c r="F12" s="259">
        <v>1</v>
      </c>
      <c r="G12" s="260" t="s">
        <v>686</v>
      </c>
    </row>
    <row r="13" spans="2:7" ht="14.45" customHeight="1" x14ac:dyDescent="0.2">
      <c r="B13" s="204" t="s">
        <v>1478</v>
      </c>
      <c r="C13" s="54" t="s">
        <v>1425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1478</v>
      </c>
      <c r="C14" s="256" t="s">
        <v>1426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1478</v>
      </c>
      <c r="C15" s="42" t="s">
        <v>1426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1478</v>
      </c>
      <c r="C16" s="42" t="s">
        <v>1426</v>
      </c>
      <c r="D16" s="248" t="s">
        <v>1312</v>
      </c>
      <c r="E16" s="249"/>
      <c r="F16" s="250">
        <v>1</v>
      </c>
      <c r="G16" s="251" t="s">
        <v>1310</v>
      </c>
    </row>
    <row r="17" spans="2:7" ht="14.45" customHeight="1" x14ac:dyDescent="0.2">
      <c r="B17" s="204" t="s">
        <v>1478</v>
      </c>
      <c r="C17" s="42" t="s">
        <v>1426</v>
      </c>
      <c r="D17" s="248" t="s">
        <v>1313</v>
      </c>
      <c r="E17" s="249"/>
      <c r="F17" s="250">
        <v>1</v>
      </c>
      <c r="G17" s="251" t="s">
        <v>1311</v>
      </c>
    </row>
    <row r="18" spans="2:7" ht="14.45" customHeight="1" x14ac:dyDescent="0.2">
      <c r="B18" s="204" t="s">
        <v>1478</v>
      </c>
      <c r="C18" s="42" t="s">
        <v>1426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1478</v>
      </c>
      <c r="C19" s="42" t="s">
        <v>1426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1478</v>
      </c>
      <c r="C20" s="42" t="s">
        <v>1426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1478</v>
      </c>
      <c r="C21" s="42" t="s">
        <v>1426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1478</v>
      </c>
      <c r="C22" s="54" t="s">
        <v>1426</v>
      </c>
      <c r="D22" s="252" t="s">
        <v>1306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1478</v>
      </c>
      <c r="C23" s="256" t="s">
        <v>1427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1478</v>
      </c>
      <c r="C24" s="42" t="s">
        <v>1427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1478</v>
      </c>
      <c r="C25" s="42" t="s">
        <v>1427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1478</v>
      </c>
      <c r="C26" s="42" t="s">
        <v>1427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1478</v>
      </c>
      <c r="C27" s="42" t="s">
        <v>1427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1478</v>
      </c>
      <c r="C28" s="54" t="s">
        <v>1427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1478</v>
      </c>
      <c r="C29" s="256" t="s">
        <v>1428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1478</v>
      </c>
      <c r="C30" s="42" t="s">
        <v>1428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1478</v>
      </c>
      <c r="C31" s="42" t="s">
        <v>1428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1478</v>
      </c>
      <c r="C32" s="42" t="s">
        <v>1428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1478</v>
      </c>
      <c r="C33" s="42" t="s">
        <v>1428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1478</v>
      </c>
      <c r="C34" s="54" t="s">
        <v>1428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1478</v>
      </c>
      <c r="C35" s="256" t="s">
        <v>1429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1478</v>
      </c>
      <c r="C36" s="42" t="s">
        <v>1429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1478</v>
      </c>
      <c r="C37" s="42" t="s">
        <v>1429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1478</v>
      </c>
      <c r="C38" s="75" t="s">
        <v>1429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1430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1430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1430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1430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1482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1482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1482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1431</v>
      </c>
      <c r="D63" s="266" t="s">
        <v>138</v>
      </c>
      <c r="E63" s="267" t="s">
        <v>1350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1350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1350</v>
      </c>
      <c r="F65" s="250">
        <v>1</v>
      </c>
      <c r="G65" s="251" t="s">
        <v>1727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1350</v>
      </c>
      <c r="F66" s="250">
        <v>1</v>
      </c>
      <c r="G66" s="251" t="s">
        <v>1600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1350</v>
      </c>
      <c r="F67" s="250">
        <v>1</v>
      </c>
      <c r="G67" s="251" t="s">
        <v>1422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1432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1432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1432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1432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1433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1433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1433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1434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1434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1434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1434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1435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1435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1436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1436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1436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1436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1436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1436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1483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1484</v>
      </c>
      <c r="D108" s="244" t="s">
        <v>43</v>
      </c>
      <c r="E108" s="245" t="s">
        <v>1350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1484</v>
      </c>
      <c r="D109" s="252" t="s">
        <v>12</v>
      </c>
      <c r="E109" s="253" t="s">
        <v>1350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1485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1485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1485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1437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1437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1437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1438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1487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1487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1487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1487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1487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1350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1439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1439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1439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1440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1441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1441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1488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1488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1488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1602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1601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1601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1601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1601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1601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1601</v>
      </c>
      <c r="C164" s="256" t="s">
        <v>1442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1601</v>
      </c>
      <c r="C165" s="42" t="s">
        <v>1442</v>
      </c>
      <c r="D165" s="248" t="s">
        <v>1307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1601</v>
      </c>
      <c r="C166" s="42" t="s">
        <v>1442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1601</v>
      </c>
      <c r="C167" s="54" t="s">
        <v>1442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1601</v>
      </c>
      <c r="C168" s="256" t="s">
        <v>1443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1601</v>
      </c>
      <c r="C169" s="42" t="s">
        <v>1443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1601</v>
      </c>
      <c r="C170" s="42" t="s">
        <v>1443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1601</v>
      </c>
      <c r="C171" s="42" t="s">
        <v>1443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1601</v>
      </c>
      <c r="C172" s="42" t="s">
        <v>1443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1601</v>
      </c>
      <c r="C173" s="42" t="s">
        <v>1443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1601</v>
      </c>
      <c r="C174" s="42" t="s">
        <v>1443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1601</v>
      </c>
      <c r="C175" s="54" t="s">
        <v>1443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1601</v>
      </c>
      <c r="C176" s="256" t="s">
        <v>1612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1601</v>
      </c>
      <c r="C177" s="75" t="s">
        <v>1612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1604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1603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1603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1603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1603</v>
      </c>
      <c r="C182" s="256" t="s">
        <v>1445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1603</v>
      </c>
      <c r="C183" s="42" t="s">
        <v>1445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1603</v>
      </c>
      <c r="C184" s="42" t="s">
        <v>1445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1603</v>
      </c>
      <c r="C185" s="42" t="s">
        <v>1445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1603</v>
      </c>
      <c r="C186" s="42" t="s">
        <v>1445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1603</v>
      </c>
      <c r="C187" s="42" t="s">
        <v>1445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1603</v>
      </c>
      <c r="C188" s="42" t="s">
        <v>1445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1603</v>
      </c>
      <c r="C189" s="54" t="s">
        <v>1445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1603</v>
      </c>
      <c r="C190" s="256" t="s">
        <v>1446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1603</v>
      </c>
      <c r="C191" s="42" t="s">
        <v>1446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1603</v>
      </c>
      <c r="C192" s="42" t="s">
        <v>1446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1603</v>
      </c>
      <c r="C193" s="42" t="s">
        <v>1446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1603</v>
      </c>
      <c r="C194" s="42" t="s">
        <v>1446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1603</v>
      </c>
      <c r="C195" s="42" t="s">
        <v>1446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1603</v>
      </c>
      <c r="C196" s="54" t="s">
        <v>1446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1603</v>
      </c>
      <c r="C197" s="256" t="s">
        <v>1489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1603</v>
      </c>
      <c r="C198" s="42" t="s">
        <v>1489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1603</v>
      </c>
      <c r="C199" s="42" t="s">
        <v>1489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1603</v>
      </c>
      <c r="C200" s="54" t="s">
        <v>1489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1603</v>
      </c>
      <c r="C201" s="256" t="s">
        <v>1447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1603</v>
      </c>
      <c r="C202" s="42" t="s">
        <v>1447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1603</v>
      </c>
      <c r="C203" s="54" t="s">
        <v>1447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1603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1603</v>
      </c>
      <c r="C205" s="256" t="s">
        <v>1490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1603</v>
      </c>
      <c r="C206" s="42" t="s">
        <v>1490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1603</v>
      </c>
      <c r="C207" s="42" t="s">
        <v>1490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1603</v>
      </c>
      <c r="C208" s="75" t="s">
        <v>1490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1605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1448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1449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1449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1449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1606</v>
      </c>
      <c r="C228" s="243" t="s">
        <v>1491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1491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1491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1491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1450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1450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1450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1451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1451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1451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1452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1452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1452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1452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1607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1453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1453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1453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1453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1453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1453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1453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1454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1454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1454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1455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1455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1455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1455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1456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1456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1456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1456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1305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1608</v>
      </c>
      <c r="C295" s="243" t="s">
        <v>1611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1611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1611</v>
      </c>
      <c r="D297" s="248" t="s">
        <v>1303</v>
      </c>
      <c r="E297" s="249"/>
      <c r="F297" s="250">
        <v>2</v>
      </c>
      <c r="G297" s="251" t="s">
        <v>1304</v>
      </c>
    </row>
    <row r="298" spans="2:7" ht="14.45" customHeight="1" x14ac:dyDescent="0.2">
      <c r="B298" s="31" t="s">
        <v>479</v>
      </c>
      <c r="C298" s="42" t="s">
        <v>1611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1611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1457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15" sqref="H15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90" t="s">
        <v>540</v>
      </c>
      <c r="C2" s="391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1609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1609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1610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1610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37" activePane="bottomLeft" state="frozen"/>
      <selection pane="bottomLeft" activeCell="B55" sqref="B55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1423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1460</v>
      </c>
      <c r="E3" s="196" t="s">
        <v>1504</v>
      </c>
      <c r="F3" s="197" t="s">
        <v>409</v>
      </c>
      <c r="G3" s="10" t="s">
        <v>1556</v>
      </c>
    </row>
    <row r="4" spans="2:7" ht="14.45" customHeight="1" x14ac:dyDescent="0.2">
      <c r="B4" s="198" t="s">
        <v>1811</v>
      </c>
      <c r="C4" s="199" t="s">
        <v>1461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1478</v>
      </c>
      <c r="C5" s="191" t="s">
        <v>1424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1478</v>
      </c>
      <c r="C6" s="191" t="s">
        <v>1425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1557</v>
      </c>
    </row>
    <row r="7" spans="2:7" ht="14.45" customHeight="1" x14ac:dyDescent="0.2">
      <c r="B7" s="204" t="s">
        <v>1478</v>
      </c>
      <c r="C7" s="191" t="s">
        <v>1426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1478</v>
      </c>
      <c r="C8" s="191" t="s">
        <v>1810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1478</v>
      </c>
      <c r="C9" s="191" t="s">
        <v>1428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1478</v>
      </c>
      <c r="C10" s="191" t="s">
        <v>1809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1478</v>
      </c>
      <c r="C11" s="212" t="s">
        <v>1477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1430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1477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1473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1431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4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1432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1433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1477</v>
      </c>
      <c r="D23" s="213">
        <f>SUM(D17:D22)</f>
        <v>7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1434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1435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1436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1477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1471</v>
      </c>
      <c r="C31" s="199" t="s">
        <v>1472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1471</v>
      </c>
      <c r="C33" s="212" t="s">
        <v>1477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1474</v>
      </c>
      <c r="C34" s="199" t="s">
        <v>1475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1474</v>
      </c>
      <c r="C35" s="191" t="s">
        <v>1476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1437</v>
      </c>
      <c r="D39" s="205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7"/>
      <c r="G39" s="210" t="s">
        <v>959</v>
      </c>
    </row>
    <row r="40" spans="2:7" ht="14.45" customHeight="1" thickBot="1" x14ac:dyDescent="0.25">
      <c r="B40" s="211" t="s">
        <v>1474</v>
      </c>
      <c r="C40" s="212" t="s">
        <v>1477</v>
      </c>
      <c r="D40" s="213">
        <f>SUM(D34:D39)</f>
        <v>4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1438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1242</v>
      </c>
      <c r="C44" s="212" t="s">
        <v>1477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1470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414</v>
      </c>
      <c r="C48" s="191" t="s">
        <v>1439</v>
      </c>
      <c r="D48" s="205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1477</v>
      </c>
      <c r="D49" s="213">
        <f>SUM(D45:D48)</f>
        <v>17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1440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1441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1812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1477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1442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1443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1444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1477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1445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1446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1813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1447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1814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1477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1448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1449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1477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1469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1450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1451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1452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1477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1453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1454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1455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1456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1477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1468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1457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1477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1382</v>
      </c>
      <c r="C102" s="199" t="s">
        <v>1462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1382</v>
      </c>
      <c r="C103" s="191" t="s">
        <v>1463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1382</v>
      </c>
      <c r="C104" s="191" t="s">
        <v>1464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1382</v>
      </c>
      <c r="C105" s="191" t="s">
        <v>1403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1382</v>
      </c>
      <c r="C106" s="191" t="s">
        <v>1465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1382</v>
      </c>
      <c r="C107" s="191" t="s">
        <v>1404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1382</v>
      </c>
      <c r="C108" s="191" t="s">
        <v>1466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1382</v>
      </c>
      <c r="C109" s="191" t="s">
        <v>1467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1382</v>
      </c>
      <c r="C110" s="191" t="s">
        <v>1405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1382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1382</v>
      </c>
      <c r="C112" s="191" t="s">
        <v>1458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1382</v>
      </c>
      <c r="C113" s="191" t="s">
        <v>1459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1477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3" topLeftCell="A4" activePane="bottomLeft" state="frozen"/>
      <selection pane="bottomLeft" activeCell="H5" sqref="H5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1858</v>
      </c>
      <c r="D2" s="373" t="s">
        <v>132</v>
      </c>
      <c r="E2" s="373" t="s">
        <v>136</v>
      </c>
      <c r="F2" s="373" t="s">
        <v>143</v>
      </c>
      <c r="G2" s="373" t="s">
        <v>9</v>
      </c>
      <c r="H2" s="373" t="s">
        <v>1859</v>
      </c>
      <c r="I2" s="373" t="s">
        <v>151</v>
      </c>
      <c r="J2" s="373" t="s">
        <v>1860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 t="s">
        <v>1861</v>
      </c>
      <c r="I3" s="374"/>
      <c r="J3" s="374" t="s">
        <v>1863</v>
      </c>
    </row>
    <row r="4" spans="2:10" ht="29.1" customHeight="1" x14ac:dyDescent="0.2">
      <c r="B4" s="369" t="s">
        <v>1839</v>
      </c>
      <c r="C4" s="370"/>
      <c r="D4" s="370"/>
      <c r="E4" s="370"/>
      <c r="F4" s="370"/>
      <c r="G4" s="370"/>
      <c r="H4" s="370"/>
      <c r="I4" s="370"/>
      <c r="J4" s="370"/>
    </row>
    <row r="5" spans="2:10" ht="164.1" customHeight="1" x14ac:dyDescent="0.2">
      <c r="B5" s="371" t="s">
        <v>1840</v>
      </c>
      <c r="C5" s="372"/>
      <c r="D5" s="372"/>
      <c r="E5" s="372"/>
      <c r="F5" s="372"/>
      <c r="G5" s="372"/>
      <c r="H5" s="372"/>
      <c r="I5" s="372" t="s">
        <v>1864</v>
      </c>
      <c r="J5" s="372"/>
    </row>
    <row r="6" spans="2:10" ht="164.1" customHeight="1" x14ac:dyDescent="0.2">
      <c r="B6" s="371" t="s">
        <v>1841</v>
      </c>
      <c r="C6" s="372"/>
      <c r="D6" s="372"/>
      <c r="E6" s="372"/>
      <c r="F6" s="372"/>
      <c r="G6" s="372"/>
      <c r="H6" s="372"/>
      <c r="I6" s="372"/>
      <c r="J6" s="372"/>
    </row>
    <row r="7" spans="2:10" ht="164.1" customHeight="1" x14ac:dyDescent="0.2">
      <c r="B7" s="371" t="s">
        <v>1842</v>
      </c>
      <c r="C7" s="372"/>
      <c r="D7" s="372"/>
      <c r="E7" s="372"/>
      <c r="F7" s="372"/>
      <c r="G7" s="372"/>
      <c r="H7" s="372"/>
      <c r="I7" s="372"/>
      <c r="J7" s="372"/>
    </row>
    <row r="8" spans="2:10" ht="164.1" customHeight="1" x14ac:dyDescent="0.2">
      <c r="B8" s="371" t="s">
        <v>1843</v>
      </c>
      <c r="C8" s="372"/>
      <c r="D8" s="372"/>
      <c r="E8" s="372"/>
      <c r="F8" s="372"/>
      <c r="G8" s="372"/>
      <c r="H8" s="372"/>
      <c r="I8" s="372"/>
      <c r="J8" s="372"/>
    </row>
    <row r="9" spans="2:10" ht="164.1" customHeight="1" x14ac:dyDescent="0.2">
      <c r="B9" s="371" t="s">
        <v>1844</v>
      </c>
      <c r="C9" s="372"/>
      <c r="D9" s="372"/>
      <c r="E9" s="372"/>
      <c r="F9" s="372"/>
      <c r="G9" s="372"/>
      <c r="H9" s="372"/>
      <c r="I9" s="372"/>
      <c r="J9" s="372"/>
    </row>
    <row r="10" spans="2:10" ht="164.1" customHeight="1" x14ac:dyDescent="0.2">
      <c r="B10" s="371" t="s">
        <v>1845</v>
      </c>
      <c r="C10" s="372"/>
      <c r="D10" s="372"/>
      <c r="E10" s="372"/>
      <c r="F10" s="372"/>
      <c r="G10" s="372"/>
      <c r="H10" s="372"/>
      <c r="I10" s="372"/>
      <c r="J10" s="372"/>
    </row>
    <row r="11" spans="2:10" ht="164.1" customHeight="1" x14ac:dyDescent="0.2">
      <c r="B11" s="371" t="s">
        <v>1846</v>
      </c>
      <c r="C11" s="372"/>
      <c r="D11" s="372"/>
      <c r="E11" s="372"/>
      <c r="F11" s="372"/>
      <c r="G11" s="372"/>
      <c r="H11" s="372"/>
      <c r="I11" s="372"/>
      <c r="J11" s="372"/>
    </row>
    <row r="12" spans="2:10" ht="164.1" customHeight="1" x14ac:dyDescent="0.2">
      <c r="B12" s="371" t="s">
        <v>1847</v>
      </c>
      <c r="C12" s="372"/>
      <c r="D12" s="372"/>
      <c r="E12" s="372"/>
      <c r="F12" s="372"/>
      <c r="G12" s="372"/>
      <c r="H12" s="372"/>
      <c r="I12" s="372"/>
      <c r="J12" s="372"/>
    </row>
    <row r="13" spans="2:10" ht="164.1" customHeight="1" x14ac:dyDescent="0.2">
      <c r="B13" s="371" t="s">
        <v>1848</v>
      </c>
      <c r="C13" s="372"/>
      <c r="D13" s="372"/>
      <c r="E13" s="372"/>
      <c r="F13" s="372"/>
      <c r="G13" s="372"/>
      <c r="H13" s="372"/>
      <c r="I13" s="372"/>
      <c r="J13" s="372"/>
    </row>
    <row r="14" spans="2:10" ht="164.1" customHeight="1" x14ac:dyDescent="0.2">
      <c r="B14" s="371" t="s">
        <v>1849</v>
      </c>
      <c r="C14" s="372"/>
      <c r="D14" s="372"/>
      <c r="E14" s="372"/>
      <c r="F14" s="372"/>
      <c r="G14" s="372"/>
      <c r="H14" s="372"/>
      <c r="I14" s="372"/>
      <c r="J14" s="372"/>
    </row>
    <row r="15" spans="2:10" ht="164.1" customHeight="1" x14ac:dyDescent="0.2">
      <c r="B15" s="371" t="s">
        <v>1850</v>
      </c>
      <c r="C15" s="372"/>
      <c r="D15" s="372"/>
      <c r="E15" s="372"/>
      <c r="F15" s="372"/>
      <c r="G15" s="372"/>
      <c r="H15" s="372"/>
      <c r="I15" s="372"/>
      <c r="J15" s="372"/>
    </row>
    <row r="16" spans="2:10" ht="164.1" customHeight="1" x14ac:dyDescent="0.2">
      <c r="B16" s="371" t="s">
        <v>1851</v>
      </c>
      <c r="C16" s="372"/>
      <c r="D16" s="372"/>
      <c r="E16" s="372"/>
      <c r="F16" s="372"/>
      <c r="G16" s="372"/>
      <c r="H16" s="372"/>
      <c r="I16" s="372"/>
      <c r="J16" s="372"/>
    </row>
    <row r="17" spans="2:10" ht="164.1" customHeight="1" x14ac:dyDescent="0.2">
      <c r="B17" s="371" t="s">
        <v>1852</v>
      </c>
      <c r="C17" s="372"/>
      <c r="D17" s="372"/>
      <c r="E17" s="372"/>
      <c r="F17" s="372"/>
      <c r="G17" s="372"/>
      <c r="H17" s="372"/>
      <c r="I17" s="372"/>
      <c r="J17" s="372"/>
    </row>
    <row r="18" spans="2:10" ht="164.1" customHeight="1" x14ac:dyDescent="0.2">
      <c r="B18" s="371" t="s">
        <v>1853</v>
      </c>
      <c r="C18" s="372"/>
      <c r="D18" s="372"/>
      <c r="E18" s="372"/>
      <c r="F18" s="372"/>
      <c r="G18" s="372"/>
      <c r="H18" s="372"/>
      <c r="I18" s="372"/>
      <c r="J18" s="372"/>
    </row>
    <row r="19" spans="2:10" ht="164.1" customHeight="1" x14ac:dyDescent="0.2">
      <c r="B19" s="371" t="s">
        <v>1854</v>
      </c>
      <c r="C19" s="372"/>
      <c r="D19" s="372"/>
      <c r="E19" s="372"/>
      <c r="F19" s="372"/>
      <c r="G19" s="372"/>
      <c r="H19" s="372"/>
      <c r="I19" s="372"/>
      <c r="J19" s="372"/>
    </row>
    <row r="20" spans="2:10" ht="164.1" customHeight="1" x14ac:dyDescent="0.2">
      <c r="B20" s="371" t="s">
        <v>1855</v>
      </c>
      <c r="C20" s="372"/>
      <c r="D20" s="372"/>
      <c r="E20" s="372"/>
      <c r="F20" s="372"/>
      <c r="G20" s="372"/>
      <c r="H20" s="372"/>
      <c r="I20" s="372"/>
      <c r="J20" s="372"/>
    </row>
    <row r="21" spans="2:10" ht="164.1" customHeight="1" x14ac:dyDescent="0.2">
      <c r="B21" s="371" t="s">
        <v>1856</v>
      </c>
      <c r="C21" s="372"/>
      <c r="D21" s="372"/>
      <c r="E21" s="372"/>
      <c r="F21" s="372"/>
      <c r="G21" s="372"/>
      <c r="H21" s="372"/>
      <c r="I21" s="372"/>
      <c r="J21" s="372"/>
    </row>
    <row r="22" spans="2:10" ht="164.1" customHeight="1" x14ac:dyDescent="0.2">
      <c r="B22" s="371" t="s">
        <v>1857</v>
      </c>
      <c r="C22" s="372"/>
      <c r="D22" s="372"/>
      <c r="E22" s="372"/>
      <c r="F22" s="372"/>
      <c r="G22" s="372"/>
      <c r="H22" s="372"/>
      <c r="I22" s="372"/>
      <c r="J22" s="372"/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G3" sqref="G3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154</v>
      </c>
      <c r="D2" s="373" t="s">
        <v>155</v>
      </c>
      <c r="E2" s="373" t="s">
        <v>157</v>
      </c>
      <c r="F2" s="373" t="s">
        <v>158</v>
      </c>
      <c r="G2" s="373" t="s">
        <v>159</v>
      </c>
      <c r="H2" s="373" t="s">
        <v>1860</v>
      </c>
      <c r="I2" s="373"/>
      <c r="J2" s="373"/>
    </row>
    <row r="3" spans="2:10" ht="14.45" customHeight="1" x14ac:dyDescent="0.2">
      <c r="B3" s="374"/>
      <c r="C3" s="374"/>
      <c r="D3" s="374"/>
      <c r="E3" s="374"/>
      <c r="F3" s="374"/>
      <c r="G3" s="374"/>
      <c r="H3" s="374"/>
      <c r="I3" s="374"/>
      <c r="J3" s="374"/>
    </row>
    <row r="4" spans="2:10" ht="29.1" customHeight="1" x14ac:dyDescent="0.2">
      <c r="B4" s="369" t="s">
        <v>1839</v>
      </c>
      <c r="C4" s="370"/>
      <c r="D4" s="370"/>
      <c r="E4" s="370"/>
      <c r="F4" s="370"/>
      <c r="G4" s="370"/>
      <c r="H4" s="370"/>
      <c r="I4" s="370"/>
      <c r="J4" s="370"/>
    </row>
    <row r="5" spans="2:10" ht="164.1" customHeight="1" x14ac:dyDescent="0.2">
      <c r="B5" s="371" t="s">
        <v>1840</v>
      </c>
      <c r="C5" s="372"/>
      <c r="D5" s="372"/>
      <c r="E5" s="372"/>
      <c r="F5" s="372"/>
      <c r="G5" s="372"/>
      <c r="H5" s="372"/>
      <c r="I5" s="372"/>
      <c r="J5" s="372"/>
    </row>
    <row r="6" spans="2:10" ht="164.1" customHeight="1" x14ac:dyDescent="0.2">
      <c r="B6" s="371" t="s">
        <v>1841</v>
      </c>
      <c r="C6" s="372"/>
      <c r="D6" s="372"/>
      <c r="E6" s="372"/>
      <c r="F6" s="372"/>
      <c r="G6" s="372"/>
      <c r="H6" s="372"/>
      <c r="I6" s="372"/>
      <c r="J6" s="372"/>
    </row>
    <row r="7" spans="2:10" ht="164.1" customHeight="1" x14ac:dyDescent="0.2">
      <c r="B7" s="371" t="s">
        <v>1842</v>
      </c>
      <c r="C7" s="372"/>
      <c r="D7" s="372"/>
      <c r="E7" s="372"/>
      <c r="F7" s="372"/>
      <c r="G7" s="372"/>
      <c r="H7" s="372"/>
      <c r="I7" s="372"/>
      <c r="J7" s="372"/>
    </row>
    <row r="8" spans="2:10" ht="164.1" customHeight="1" x14ac:dyDescent="0.2">
      <c r="B8" s="371" t="s">
        <v>1843</v>
      </c>
      <c r="C8" s="372"/>
      <c r="D8" s="372"/>
      <c r="E8" s="372"/>
      <c r="F8" s="372"/>
      <c r="G8" s="372"/>
      <c r="H8" s="372"/>
      <c r="I8" s="372"/>
      <c r="J8" s="372"/>
    </row>
    <row r="9" spans="2:10" ht="164.1" customHeight="1" x14ac:dyDescent="0.2">
      <c r="B9" s="371" t="s">
        <v>1844</v>
      </c>
      <c r="C9" s="372"/>
      <c r="D9" s="372"/>
      <c r="E9" s="372"/>
      <c r="F9" s="372"/>
      <c r="G9" s="372"/>
      <c r="H9" s="372"/>
      <c r="I9" s="372"/>
      <c r="J9" s="372"/>
    </row>
    <row r="10" spans="2:10" ht="164.1" customHeight="1" x14ac:dyDescent="0.2">
      <c r="B10" s="371" t="s">
        <v>1845</v>
      </c>
      <c r="C10" s="372"/>
      <c r="D10" s="372"/>
      <c r="E10" s="372"/>
      <c r="F10" s="372"/>
      <c r="G10" s="372"/>
      <c r="H10" s="372"/>
      <c r="I10" s="372"/>
      <c r="J10" s="372"/>
    </row>
    <row r="11" spans="2:10" ht="164.1" customHeight="1" x14ac:dyDescent="0.2">
      <c r="B11" s="371" t="s">
        <v>1846</v>
      </c>
      <c r="C11" s="372"/>
      <c r="D11" s="372"/>
      <c r="E11" s="372"/>
      <c r="F11" s="372"/>
      <c r="G11" s="372"/>
      <c r="H11" s="372"/>
      <c r="I11" s="372"/>
      <c r="J11" s="372"/>
    </row>
    <row r="12" spans="2:10" ht="164.1" customHeight="1" x14ac:dyDescent="0.2">
      <c r="B12" s="371" t="s">
        <v>1847</v>
      </c>
      <c r="C12" s="372"/>
      <c r="D12" s="372"/>
      <c r="E12" s="372"/>
      <c r="F12" s="372"/>
      <c r="G12" s="372"/>
      <c r="H12" s="372"/>
      <c r="I12" s="372"/>
      <c r="J12" s="372"/>
    </row>
    <row r="13" spans="2:10" ht="164.1" customHeight="1" x14ac:dyDescent="0.2">
      <c r="B13" s="371" t="s">
        <v>1848</v>
      </c>
      <c r="C13" s="372"/>
      <c r="D13" s="372"/>
      <c r="E13" s="372"/>
      <c r="F13" s="372"/>
      <c r="G13" s="372"/>
      <c r="H13" s="372"/>
      <c r="I13" s="372"/>
      <c r="J13" s="372"/>
    </row>
    <row r="14" spans="2:10" ht="164.1" customHeight="1" x14ac:dyDescent="0.2">
      <c r="B14" s="371" t="s">
        <v>1849</v>
      </c>
      <c r="C14" s="372"/>
      <c r="D14" s="372"/>
      <c r="E14" s="372"/>
      <c r="F14" s="372"/>
      <c r="G14" s="372"/>
      <c r="H14" s="372"/>
      <c r="I14" s="372"/>
      <c r="J14" s="372"/>
    </row>
    <row r="15" spans="2:10" ht="164.1" customHeight="1" x14ac:dyDescent="0.2">
      <c r="B15" s="371" t="s">
        <v>1850</v>
      </c>
      <c r="C15" s="372"/>
      <c r="D15" s="372"/>
      <c r="E15" s="372"/>
      <c r="F15" s="372"/>
      <c r="G15" s="372"/>
      <c r="H15" s="372"/>
      <c r="I15" s="372"/>
      <c r="J15" s="372"/>
    </row>
    <row r="16" spans="2:10" ht="164.1" customHeight="1" x14ac:dyDescent="0.2">
      <c r="B16" s="371" t="s">
        <v>1851</v>
      </c>
      <c r="C16" s="372"/>
      <c r="D16" s="372"/>
      <c r="E16" s="372"/>
      <c r="F16" s="372"/>
      <c r="G16" s="372"/>
      <c r="H16" s="372"/>
      <c r="I16" s="372"/>
      <c r="J16" s="372"/>
    </row>
    <row r="17" spans="2:10" ht="164.1" customHeight="1" x14ac:dyDescent="0.2">
      <c r="B17" s="371" t="s">
        <v>1852</v>
      </c>
      <c r="C17" s="372"/>
      <c r="D17" s="372"/>
      <c r="E17" s="372"/>
      <c r="F17" s="372"/>
      <c r="G17" s="372"/>
      <c r="H17" s="372"/>
      <c r="I17" s="372"/>
      <c r="J17" s="372"/>
    </row>
    <row r="18" spans="2:10" ht="164.1" customHeight="1" x14ac:dyDescent="0.2">
      <c r="B18" s="371" t="s">
        <v>1853</v>
      </c>
      <c r="C18" s="372"/>
      <c r="D18" s="372"/>
      <c r="E18" s="372"/>
      <c r="F18" s="372"/>
      <c r="G18" s="372"/>
      <c r="H18" s="372"/>
      <c r="I18" s="372"/>
      <c r="J18" s="372"/>
    </row>
    <row r="19" spans="2:10" ht="164.1" customHeight="1" x14ac:dyDescent="0.2">
      <c r="B19" s="371" t="s">
        <v>1854</v>
      </c>
      <c r="C19" s="372"/>
      <c r="D19" s="372"/>
      <c r="E19" s="372"/>
      <c r="F19" s="372"/>
      <c r="G19" s="372"/>
      <c r="H19" s="372"/>
      <c r="I19" s="372"/>
      <c r="J19" s="372"/>
    </row>
    <row r="20" spans="2:10" ht="164.1" customHeight="1" x14ac:dyDescent="0.2">
      <c r="B20" s="371" t="s">
        <v>1855</v>
      </c>
      <c r="C20" s="372"/>
      <c r="D20" s="372"/>
      <c r="E20" s="372"/>
      <c r="F20" s="372"/>
      <c r="G20" s="372"/>
      <c r="H20" s="372"/>
      <c r="I20" s="372"/>
      <c r="J20" s="372"/>
    </row>
    <row r="21" spans="2:10" ht="164.1" customHeight="1" x14ac:dyDescent="0.2">
      <c r="B21" s="371" t="s">
        <v>1856</v>
      </c>
      <c r="C21" s="372"/>
      <c r="D21" s="372"/>
      <c r="E21" s="372"/>
      <c r="F21" s="372"/>
      <c r="G21" s="372"/>
      <c r="H21" s="372"/>
      <c r="I21" s="372"/>
      <c r="J21" s="372"/>
    </row>
    <row r="22" spans="2:10" ht="164.1" customHeight="1" x14ac:dyDescent="0.2">
      <c r="B22" s="371" t="s">
        <v>1857</v>
      </c>
      <c r="C22" s="372"/>
      <c r="D22" s="372"/>
      <c r="E22" s="372"/>
      <c r="F22" s="372"/>
      <c r="G22" s="372"/>
      <c r="H22" s="372"/>
      <c r="I22" s="372"/>
      <c r="J22" s="372"/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2026-08-16T06:25:41Z</dcterms:modified>
  <cp:category/>
  <cp:contentStatus/>
</cp:coreProperties>
</file>