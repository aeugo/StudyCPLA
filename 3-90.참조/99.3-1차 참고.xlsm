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6fcc97d1f31d20fa/01.개인/자격증/공인노무사/03.기출/03.필사/01.1차/"/>
    </mc:Choice>
  </mc:AlternateContent>
  <xr:revisionPtr revIDLastSave="19287" documentId="8_{446D7C5D-1A60-4937-8CF0-170E748D36B3}" xr6:coauthVersionLast="47" xr6:coauthVersionMax="47" xr10:uidLastSave="{C53068A6-45BB-463C-A345-D72BC8766E6A}"/>
  <bookViews>
    <workbookView xWindow="-105" yWindow="0" windowWidth="25785" windowHeight="20880" tabRatio="967" xr2:uid="{00000000-000D-0000-FFFF-FFFF00000000}"/>
  </bookViews>
  <sheets>
    <sheet name="1차-점수계산" sheetId="21" r:id="rId1"/>
  </sheets>
  <definedNames>
    <definedName name="_xleta.COUNT" hidden="1" xlm="1">#NAME?</definedName>
    <definedName name="_xleta.COUNTIF" hidden="1" xlm="1">#NAME?</definedName>
    <definedName name="_xleta.SUM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6" i="21" l="1"/>
  <c r="F17" i="21"/>
  <c r="F18" i="21"/>
  <c r="F19" i="21"/>
  <c r="F15" i="21"/>
  <c r="F6" i="21"/>
  <c r="K6" i="21" s="1"/>
  <c r="F7" i="21"/>
  <c r="K7" i="21" s="1"/>
  <c r="F8" i="21"/>
  <c r="K8" i="21" s="1"/>
  <c r="F9" i="21"/>
  <c r="K9" i="21" s="1"/>
  <c r="F5" i="21"/>
  <c r="K5" i="21" s="1"/>
  <c r="E10" i="21"/>
  <c r="E20" i="21"/>
  <c r="F20" i="21" l="1"/>
  <c r="F10" i="21"/>
  <c r="K16" i="21"/>
  <c r="K17" i="21"/>
  <c r="K18" i="21"/>
  <c r="K19" i="21"/>
  <c r="K15" i="21"/>
  <c r="C20" i="21"/>
  <c r="G19" i="21"/>
  <c r="J19" i="21" s="1"/>
  <c r="G18" i="21"/>
  <c r="J18" i="21" s="1"/>
  <c r="G17" i="21"/>
  <c r="J17" i="21" s="1"/>
  <c r="G16" i="21"/>
  <c r="D16" i="21" s="1"/>
  <c r="G15" i="21"/>
  <c r="J15" i="21" s="1"/>
  <c r="C10" i="21"/>
  <c r="G9" i="21"/>
  <c r="D9" i="21" s="1"/>
  <c r="G8" i="21"/>
  <c r="J8" i="21" s="1"/>
  <c r="G7" i="21"/>
  <c r="D7" i="21" s="1"/>
  <c r="G6" i="21"/>
  <c r="D6" i="21" s="1"/>
  <c r="G5" i="21"/>
  <c r="J9" i="21"/>
  <c r="J7" i="21" l="1"/>
  <c r="D5" i="21"/>
  <c r="J5" i="21"/>
  <c r="D8" i="21"/>
  <c r="D18" i="21"/>
  <c r="J16" i="21"/>
  <c r="J20" i="21" s="1"/>
  <c r="D15" i="21"/>
  <c r="J6" i="21"/>
  <c r="D19" i="21"/>
  <c r="D17" i="21"/>
  <c r="J10" i="21" l="1"/>
</calcChain>
</file>

<file path=xl/sharedStrings.xml><?xml version="1.0" encoding="utf-8"?>
<sst xmlns="http://schemas.openxmlformats.org/spreadsheetml/2006/main" count="38" uniqueCount="21">
  <si>
    <t>과목</t>
    <phoneticPr fontId="7" type="noConversion"/>
  </si>
  <si>
    <t>만점</t>
    <phoneticPr fontId="7" type="noConversion"/>
  </si>
  <si>
    <t>노동법1</t>
    <phoneticPr fontId="7" type="noConversion"/>
  </si>
  <si>
    <t>노동법2</t>
    <phoneticPr fontId="7" type="noConversion"/>
  </si>
  <si>
    <t>민법</t>
    <phoneticPr fontId="7" type="noConversion"/>
  </si>
  <si>
    <t>사회보험법</t>
    <phoneticPr fontId="7" type="noConversion"/>
  </si>
  <si>
    <t>경영학개론</t>
    <phoneticPr fontId="7" type="noConversion"/>
  </si>
  <si>
    <t>합계/평균</t>
    <phoneticPr fontId="7" type="noConversion"/>
  </si>
  <si>
    <t>비율(%)</t>
    <phoneticPr fontId="1" type="noConversion"/>
  </si>
  <si>
    <t>합계/평균</t>
    <phoneticPr fontId="1" type="noConversion"/>
  </si>
  <si>
    <t>점수</t>
    <phoneticPr fontId="1" type="noConversion"/>
  </si>
  <si>
    <t>문항수</t>
    <phoneticPr fontId="1" type="noConversion"/>
  </si>
  <si>
    <t>전체</t>
    <phoneticPr fontId="7" type="noConversion"/>
  </si>
  <si>
    <t>목표</t>
    <phoneticPr fontId="7" type="noConversion"/>
  </si>
  <si>
    <t>미득점</t>
    <phoneticPr fontId="1" type="noConversion"/>
  </si>
  <si>
    <t>득점</t>
    <phoneticPr fontId="7" type="noConversion"/>
  </si>
  <si>
    <t>문제당</t>
    <phoneticPr fontId="7" type="noConversion"/>
  </si>
  <si>
    <t>요구</t>
    <phoneticPr fontId="7" type="noConversion"/>
  </si>
  <si>
    <t>최종</t>
    <phoneticPr fontId="7" type="noConversion"/>
  </si>
  <si>
    <t>2023년 까지</t>
    <phoneticPr fontId="7" type="noConversion"/>
  </si>
  <si>
    <t>2024년 부터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</si>
</sst>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0"/>
      <color theme="1"/>
      <name val="함초롬돋움"/>
      <family val="3"/>
      <charset val="129"/>
    </font>
    <font>
      <b/>
      <sz val="10"/>
      <color theme="0"/>
      <name val="함초롬돋움"/>
      <family val="3"/>
      <charset val="129"/>
    </font>
    <font>
      <sz val="11"/>
      <color theme="1"/>
      <name val="맑은 고딕"/>
      <family val="2"/>
      <scheme val="minor"/>
    </font>
    <font>
      <sz val="10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color theme="1"/>
      <name val="함초롬돋움"/>
      <family val="3"/>
      <charset val="129"/>
    </font>
    <font>
      <sz val="10"/>
      <color rgb="FFFF0000"/>
      <name val="함초롬돋움"/>
      <family val="3"/>
      <charset val="129"/>
    </font>
    <font>
      <b/>
      <sz val="10"/>
      <color rgb="FFFF0000"/>
      <name val="함초롬돋움"/>
      <family val="3"/>
      <charset val="129"/>
    </font>
  </fonts>
  <fills count="6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6" fillId="0" borderId="0">
      <alignment vertical="center"/>
    </xf>
    <xf numFmtId="9" fontId="4" fillId="0" borderId="0" applyFont="0" applyFill="0" applyBorder="0" applyAlignment="0" applyProtection="0">
      <alignment vertical="center"/>
    </xf>
  </cellStyleXfs>
  <cellXfs count="18">
    <xf numFmtId="0" fontId="0" fillId="0" borderId="0" xfId="0"/>
    <xf numFmtId="0" fontId="2" fillId="0" borderId="0" xfId="1" applyFont="1" applyAlignment="1">
      <alignment horizontal="center" vertical="center"/>
    </xf>
    <xf numFmtId="0" fontId="2" fillId="0" borderId="0" xfId="1" applyFont="1">
      <alignment vertical="center"/>
    </xf>
    <xf numFmtId="0" fontId="3" fillId="2" borderId="1" xfId="1" applyFont="1" applyFill="1" applyBorder="1" applyAlignment="1">
      <alignment horizontal="center" vertical="center"/>
    </xf>
    <xf numFmtId="0" fontId="8" fillId="5" borderId="1" xfId="1" applyFont="1" applyFill="1" applyBorder="1" applyAlignment="1">
      <alignment horizontal="center" vertical="center"/>
    </xf>
    <xf numFmtId="0" fontId="2" fillId="3" borderId="1" xfId="1" applyFont="1" applyFill="1" applyBorder="1">
      <alignment vertical="center"/>
    </xf>
    <xf numFmtId="10" fontId="2" fillId="3" borderId="1" xfId="2" applyNumberFormat="1" applyFont="1" applyFill="1" applyBorder="1">
      <alignment vertical="center"/>
    </xf>
    <xf numFmtId="0" fontId="8" fillId="4" borderId="1" xfId="1" applyFont="1" applyFill="1" applyBorder="1" applyAlignment="1">
      <alignment horizontal="center" vertical="center"/>
    </xf>
    <xf numFmtId="0" fontId="2" fillId="4" borderId="1" xfId="1" applyFont="1" applyFill="1" applyBorder="1">
      <alignment vertical="center"/>
    </xf>
    <xf numFmtId="1" fontId="2" fillId="4" borderId="1" xfId="1" applyNumberFormat="1" applyFont="1" applyFill="1" applyBorder="1">
      <alignment vertical="center"/>
    </xf>
    <xf numFmtId="1" fontId="5" fillId="4" borderId="2" xfId="1" applyNumberFormat="1" applyFont="1" applyFill="1" applyBorder="1">
      <alignment vertical="center"/>
    </xf>
    <xf numFmtId="0" fontId="9" fillId="0" borderId="0" xfId="1" applyFont="1">
      <alignment vertical="center"/>
    </xf>
    <xf numFmtId="0" fontId="2" fillId="0" borderId="0" xfId="1" applyFont="1" applyAlignment="1"/>
    <xf numFmtId="0" fontId="2" fillId="4" borderId="2" xfId="1" applyFont="1" applyFill="1" applyBorder="1">
      <alignment vertical="center"/>
    </xf>
    <xf numFmtId="0" fontId="2" fillId="0" borderId="1" xfId="1" applyFont="1" applyBorder="1">
      <alignment vertical="center"/>
    </xf>
    <xf numFmtId="2" fontId="2" fillId="3" borderId="2" xfId="1" applyNumberFormat="1" applyFont="1" applyFill="1" applyBorder="1">
      <alignment vertical="center"/>
    </xf>
    <xf numFmtId="2" fontId="10" fillId="4" borderId="2" xfId="1" applyNumberFormat="1" applyFont="1" applyFill="1" applyBorder="1">
      <alignment vertical="center"/>
    </xf>
    <xf numFmtId="0" fontId="3" fillId="2" borderId="1" xfId="1" applyFont="1" applyFill="1" applyBorder="1" applyAlignment="1">
      <alignment horizontal="center" vertical="center"/>
    </xf>
  </cellXfs>
  <cellStyles count="3">
    <cellStyle name="백분율" xfId="2" builtinId="5"/>
    <cellStyle name="표준" xfId="0" builtinId="0"/>
    <cellStyle name="표준 2" xfId="1" xr:uid="{9E108635-1E18-439D-B0A9-568789A9EE4D}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17/10/relationships/person" Target="persons/person.xml"/><Relationship Id="rId4" Type="http://schemas.openxmlformats.org/officeDocument/2006/relationships/sharedStrings" Target="sharedStrings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3FB25E-7071-4584-A9F8-D200DBB1F313}">
  <sheetPr codeName="Sheet18"/>
  <dimension ref="B2:AZ28"/>
  <sheetViews>
    <sheetView showGridLines="0" tabSelected="1" workbookViewId="0">
      <selection activeCell="M13" sqref="M13"/>
    </sheetView>
  </sheetViews>
  <sheetFormatPr defaultColWidth="10" defaultRowHeight="15" customHeight="1" x14ac:dyDescent="0.3"/>
  <cols>
    <col min="1" max="1" width="1.625" style="2" customWidth="1"/>
    <col min="2" max="2" width="10.875" style="1" customWidth="1"/>
    <col min="3" max="10" width="6.625" style="2" customWidth="1"/>
    <col min="11" max="16384" width="10" style="2"/>
  </cols>
  <sheetData>
    <row r="2" spans="2:11" ht="15" customHeight="1" x14ac:dyDescent="0.3">
      <c r="B2" s="1" t="s">
        <v>19</v>
      </c>
    </row>
    <row r="3" spans="2:11" ht="15" customHeight="1" x14ac:dyDescent="0.3">
      <c r="B3" s="17" t="s">
        <v>0</v>
      </c>
      <c r="C3" s="17" t="s">
        <v>11</v>
      </c>
      <c r="D3" s="17"/>
      <c r="E3" s="17"/>
      <c r="F3" s="17"/>
      <c r="G3" s="17" t="s">
        <v>10</v>
      </c>
      <c r="H3" s="17"/>
      <c r="I3" s="17"/>
      <c r="J3" s="17"/>
      <c r="K3" s="17" t="s">
        <v>8</v>
      </c>
    </row>
    <row r="4" spans="2:11" ht="15" customHeight="1" x14ac:dyDescent="0.3">
      <c r="B4" s="17"/>
      <c r="C4" s="3" t="s">
        <v>12</v>
      </c>
      <c r="D4" s="3" t="s">
        <v>13</v>
      </c>
      <c r="E4" s="3" t="s">
        <v>14</v>
      </c>
      <c r="F4" s="3" t="s">
        <v>15</v>
      </c>
      <c r="G4" s="3" t="s">
        <v>16</v>
      </c>
      <c r="H4" s="3" t="s">
        <v>1</v>
      </c>
      <c r="I4" s="3" t="s">
        <v>17</v>
      </c>
      <c r="J4" s="3" t="s">
        <v>18</v>
      </c>
      <c r="K4" s="17"/>
    </row>
    <row r="5" spans="2:11" ht="15" customHeight="1" x14ac:dyDescent="0.3">
      <c r="B5" s="4" t="s">
        <v>2</v>
      </c>
      <c r="C5" s="5">
        <v>25</v>
      </c>
      <c r="D5" s="5">
        <f>I5/G5</f>
        <v>15</v>
      </c>
      <c r="E5" s="14">
        <v>0</v>
      </c>
      <c r="F5" s="5">
        <f>C5-E5</f>
        <v>25</v>
      </c>
      <c r="G5" s="5">
        <f>H5/C5</f>
        <v>4</v>
      </c>
      <c r="H5" s="5">
        <v>100</v>
      </c>
      <c r="I5" s="5">
        <v>60</v>
      </c>
      <c r="J5" s="5">
        <f>G5*F5</f>
        <v>100</v>
      </c>
      <c r="K5" s="6">
        <f>F5/C5</f>
        <v>1</v>
      </c>
    </row>
    <row r="6" spans="2:11" ht="15" customHeight="1" x14ac:dyDescent="0.3">
      <c r="B6" s="4" t="s">
        <v>3</v>
      </c>
      <c r="C6" s="5">
        <v>25</v>
      </c>
      <c r="D6" s="5">
        <f>I6/G6</f>
        <v>15</v>
      </c>
      <c r="E6" s="14">
        <v>0</v>
      </c>
      <c r="F6" s="5">
        <f>C6-E6</f>
        <v>25</v>
      </c>
      <c r="G6" s="5">
        <f>H6/C6</f>
        <v>4</v>
      </c>
      <c r="H6" s="5">
        <v>100</v>
      </c>
      <c r="I6" s="5">
        <v>60</v>
      </c>
      <c r="J6" s="5">
        <f>G6*F6</f>
        <v>100</v>
      </c>
      <c r="K6" s="6">
        <f>F6/C6</f>
        <v>1</v>
      </c>
    </row>
    <row r="7" spans="2:11" ht="15" customHeight="1" x14ac:dyDescent="0.3">
      <c r="B7" s="4" t="s">
        <v>4</v>
      </c>
      <c r="C7" s="5">
        <v>25</v>
      </c>
      <c r="D7" s="5">
        <f>I7/G7</f>
        <v>15</v>
      </c>
      <c r="E7" s="14">
        <v>0</v>
      </c>
      <c r="F7" s="5">
        <f>C7-E7</f>
        <v>25</v>
      </c>
      <c r="G7" s="5">
        <f>H7/C7</f>
        <v>4</v>
      </c>
      <c r="H7" s="5">
        <v>100</v>
      </c>
      <c r="I7" s="5">
        <v>60</v>
      </c>
      <c r="J7" s="5">
        <f>G7*F7</f>
        <v>100</v>
      </c>
      <c r="K7" s="6">
        <f>F7/C7</f>
        <v>1</v>
      </c>
    </row>
    <row r="8" spans="2:11" ht="15" customHeight="1" x14ac:dyDescent="0.3">
      <c r="B8" s="4" t="s">
        <v>5</v>
      </c>
      <c r="C8" s="5">
        <v>25</v>
      </c>
      <c r="D8" s="5">
        <f>I8/G8</f>
        <v>15</v>
      </c>
      <c r="E8" s="14">
        <v>0</v>
      </c>
      <c r="F8" s="5">
        <f>C8-E8</f>
        <v>25</v>
      </c>
      <c r="G8" s="5">
        <f>H8/C8</f>
        <v>4</v>
      </c>
      <c r="H8" s="5">
        <v>100</v>
      </c>
      <c r="I8" s="5">
        <v>60</v>
      </c>
      <c r="J8" s="5">
        <f>G8*F8</f>
        <v>100</v>
      </c>
      <c r="K8" s="6">
        <f>F8/C8</f>
        <v>1</v>
      </c>
    </row>
    <row r="9" spans="2:11" ht="15" customHeight="1" x14ac:dyDescent="0.3">
      <c r="B9" s="4" t="s">
        <v>6</v>
      </c>
      <c r="C9" s="5">
        <v>25</v>
      </c>
      <c r="D9" s="5">
        <f>I9/G9</f>
        <v>15</v>
      </c>
      <c r="E9" s="14">
        <v>0</v>
      </c>
      <c r="F9" s="5">
        <f>C9-E9</f>
        <v>25</v>
      </c>
      <c r="G9" s="5">
        <f>H9/C9</f>
        <v>4</v>
      </c>
      <c r="H9" s="5">
        <v>100</v>
      </c>
      <c r="I9" s="5">
        <v>60</v>
      </c>
      <c r="J9" s="5">
        <f>G9*F9</f>
        <v>100</v>
      </c>
      <c r="K9" s="6">
        <f>F9/C9</f>
        <v>1</v>
      </c>
    </row>
    <row r="10" spans="2:11" ht="15" customHeight="1" x14ac:dyDescent="0.3">
      <c r="B10" s="7" t="s">
        <v>9</v>
      </c>
      <c r="C10" s="8">
        <f>SUM(C5:C9)</f>
        <v>125</v>
      </c>
      <c r="D10" s="8"/>
      <c r="E10" s="8">
        <f>SUM(E5:E9)</f>
        <v>0</v>
      </c>
      <c r="F10" s="9">
        <f>IFERROR(SUM(F5:F9) / (5 - COUNTIF(F5:F9, 0)),0)</f>
        <v>25</v>
      </c>
      <c r="G10" s="8"/>
      <c r="H10" s="8"/>
      <c r="I10" s="8"/>
      <c r="J10" s="9">
        <f>IFERROR(SUM(J5:J9) / (5 - COUNTIF(J5:J9, 0)),0)</f>
        <v>100</v>
      </c>
      <c r="K10" s="8"/>
    </row>
    <row r="12" spans="2:11" ht="15" customHeight="1" x14ac:dyDescent="0.3">
      <c r="B12" s="1" t="s">
        <v>20</v>
      </c>
    </row>
    <row r="13" spans="2:11" ht="15" customHeight="1" x14ac:dyDescent="0.3">
      <c r="B13" s="17" t="s">
        <v>0</v>
      </c>
      <c r="C13" s="17" t="s">
        <v>11</v>
      </c>
      <c r="D13" s="17"/>
      <c r="E13" s="17"/>
      <c r="F13" s="17"/>
      <c r="G13" s="17" t="s">
        <v>10</v>
      </c>
      <c r="H13" s="17"/>
      <c r="I13" s="17"/>
      <c r="J13" s="17"/>
      <c r="K13" s="17" t="s">
        <v>8</v>
      </c>
    </row>
    <row r="14" spans="2:11" ht="15" customHeight="1" x14ac:dyDescent="0.3">
      <c r="B14" s="17"/>
      <c r="C14" s="3" t="s">
        <v>12</v>
      </c>
      <c r="D14" s="3" t="s">
        <v>13</v>
      </c>
      <c r="E14" s="3" t="s">
        <v>14</v>
      </c>
      <c r="F14" s="3" t="s">
        <v>15</v>
      </c>
      <c r="G14" s="3" t="s">
        <v>16</v>
      </c>
      <c r="H14" s="3" t="s">
        <v>1</v>
      </c>
      <c r="I14" s="3" t="s">
        <v>17</v>
      </c>
      <c r="J14" s="3" t="s">
        <v>18</v>
      </c>
      <c r="K14" s="17"/>
    </row>
    <row r="15" spans="2:11" ht="15" customHeight="1" x14ac:dyDescent="0.3">
      <c r="B15" s="4" t="s">
        <v>2</v>
      </c>
      <c r="C15" s="5">
        <v>40</v>
      </c>
      <c r="D15" s="5">
        <f>I15/G15</f>
        <v>24</v>
      </c>
      <c r="E15" s="14">
        <v>13</v>
      </c>
      <c r="F15" s="5">
        <f>C15-E15</f>
        <v>27</v>
      </c>
      <c r="G15" s="5">
        <f>H15/C15</f>
        <v>2.5</v>
      </c>
      <c r="H15" s="5">
        <v>100</v>
      </c>
      <c r="I15" s="5">
        <v>60</v>
      </c>
      <c r="J15" s="15">
        <f>G15*F15</f>
        <v>67.5</v>
      </c>
      <c r="K15" s="6">
        <f>F15/C15</f>
        <v>0.67500000000000004</v>
      </c>
    </row>
    <row r="16" spans="2:11" ht="15" customHeight="1" x14ac:dyDescent="0.3">
      <c r="B16" s="4" t="s">
        <v>3</v>
      </c>
      <c r="C16" s="5">
        <v>40</v>
      </c>
      <c r="D16" s="5">
        <f>I16/G16</f>
        <v>24</v>
      </c>
      <c r="E16" s="14">
        <v>10</v>
      </c>
      <c r="F16" s="5">
        <f>C16-E16</f>
        <v>30</v>
      </c>
      <c r="G16" s="5">
        <f>H16/C16</f>
        <v>2.5</v>
      </c>
      <c r="H16" s="5">
        <v>100</v>
      </c>
      <c r="I16" s="5">
        <v>60</v>
      </c>
      <c r="J16" s="15">
        <f>G16*F16</f>
        <v>75</v>
      </c>
      <c r="K16" s="6">
        <f>F16/C16</f>
        <v>0.75</v>
      </c>
    </row>
    <row r="17" spans="2:52" ht="15" customHeight="1" x14ac:dyDescent="0.3">
      <c r="B17" s="4" t="s">
        <v>4</v>
      </c>
      <c r="C17" s="5">
        <v>40</v>
      </c>
      <c r="D17" s="5">
        <f>I17/G17</f>
        <v>24</v>
      </c>
      <c r="E17" s="14">
        <v>19</v>
      </c>
      <c r="F17" s="5">
        <f>C17-E17</f>
        <v>21</v>
      </c>
      <c r="G17" s="5">
        <f>H17/C17</f>
        <v>2.5</v>
      </c>
      <c r="H17" s="5">
        <v>100</v>
      </c>
      <c r="I17" s="5">
        <v>60</v>
      </c>
      <c r="J17" s="15">
        <f>G17*F17</f>
        <v>52.5</v>
      </c>
      <c r="K17" s="6">
        <f>F17/C17</f>
        <v>0.52500000000000002</v>
      </c>
    </row>
    <row r="18" spans="2:52" ht="15" customHeight="1" x14ac:dyDescent="0.3">
      <c r="B18" s="4" t="s">
        <v>5</v>
      </c>
      <c r="C18" s="5">
        <v>40</v>
      </c>
      <c r="D18" s="5">
        <f>I18/G18</f>
        <v>24</v>
      </c>
      <c r="E18" s="14">
        <v>13</v>
      </c>
      <c r="F18" s="5">
        <f>C18-E18</f>
        <v>27</v>
      </c>
      <c r="G18" s="5">
        <f>H18/C18</f>
        <v>2.5</v>
      </c>
      <c r="H18" s="5">
        <v>100</v>
      </c>
      <c r="I18" s="5">
        <v>60</v>
      </c>
      <c r="J18" s="15">
        <f>G18*F18</f>
        <v>67.5</v>
      </c>
      <c r="K18" s="6">
        <f>F18/C18</f>
        <v>0.67500000000000004</v>
      </c>
    </row>
    <row r="19" spans="2:52" ht="15" customHeight="1" x14ac:dyDescent="0.3">
      <c r="B19" s="4" t="s">
        <v>6</v>
      </c>
      <c r="C19" s="5">
        <v>40</v>
      </c>
      <c r="D19" s="5">
        <f>I19/G19</f>
        <v>24</v>
      </c>
      <c r="E19" s="14">
        <v>18</v>
      </c>
      <c r="F19" s="5">
        <f>C19-E19</f>
        <v>22</v>
      </c>
      <c r="G19" s="5">
        <f>H19/C19</f>
        <v>2.5</v>
      </c>
      <c r="H19" s="5">
        <v>100</v>
      </c>
      <c r="I19" s="5">
        <v>60</v>
      </c>
      <c r="J19" s="15">
        <f>G19*F19</f>
        <v>55</v>
      </c>
      <c r="K19" s="6">
        <f>F19/C19</f>
        <v>0.55000000000000004</v>
      </c>
    </row>
    <row r="20" spans="2:52" ht="15" customHeight="1" x14ac:dyDescent="0.3">
      <c r="B20" s="7" t="s">
        <v>7</v>
      </c>
      <c r="C20" s="8">
        <f>SUM(C15:C19)</f>
        <v>200</v>
      </c>
      <c r="D20" s="8"/>
      <c r="E20" s="13">
        <f>SUM(E15:E19)</f>
        <v>73</v>
      </c>
      <c r="F20" s="10">
        <f>IFERROR(SUM(F15:F19) / (5 - COUNTIF(F15:F19, 0)),0)</f>
        <v>25.4</v>
      </c>
      <c r="G20" s="8"/>
      <c r="H20" s="8"/>
      <c r="I20" s="8"/>
      <c r="J20" s="16">
        <f>IFERROR(SUM(J15:J19) / (5 - COUNTIF(J15:J19, 0)),0)</f>
        <v>63.5</v>
      </c>
      <c r="K20" s="8"/>
    </row>
    <row r="22" spans="2:52" ht="15" customHeight="1" x14ac:dyDescent="0.3">
      <c r="M22" s="11"/>
    </row>
    <row r="28" spans="2:52" ht="15" customHeight="1" x14ac:dyDescent="0.25">
      <c r="AZ28" s="12"/>
    </row>
  </sheetData>
  <mergeCells count="8">
    <mergeCell ref="K3:K4"/>
    <mergeCell ref="B13:B14"/>
    <mergeCell ref="C13:F13"/>
    <mergeCell ref="G13:J13"/>
    <mergeCell ref="K13:K14"/>
    <mergeCell ref="C3:F3"/>
    <mergeCell ref="B3:B4"/>
    <mergeCell ref="G3:J3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1차-점수계산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Myounggyu Song</cp:lastModifiedBy>
  <cp:revision/>
  <cp:lastPrinted>2024-03-05T02:34:39Z</cp:lastPrinted>
  <dcterms:created xsi:type="dcterms:W3CDTF">2023-10-20T08:55:08Z</dcterms:created>
  <dcterms:modified xsi:type="dcterms:W3CDTF">2025-09-05T04:50:40Z</dcterms:modified>
  <cp:category/>
  <cp:contentStatus/>
</cp:coreProperties>
</file>