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55A3C8F6-2A60-4DDF-8A2D-5A2A0B19098B}" xr6:coauthVersionLast="47" xr6:coauthVersionMax="47" xr10:uidLastSave="{00000000-0000-0000-0000-000000000000}"/>
  <bookViews>
    <workbookView xWindow="-120" yWindow="-120" windowWidth="29040" windowHeight="15720" tabRatio="950" activeTab="7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 hidden="1">'기출유형(노동2)'!$B$3:$J$22</definedName>
    <definedName name="_xlnm._FilterDatabase" localSheetId="2" hidden="1">문제목록!$B$3:$T$174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27" i="105" l="1"/>
  <c r="T28" i="105"/>
  <c r="T29" i="105"/>
  <c r="T30" i="105"/>
  <c r="T31" i="105"/>
  <c r="T32" i="105"/>
  <c r="T33" i="105"/>
  <c r="T34" i="105"/>
  <c r="T35" i="105"/>
  <c r="T36" i="105"/>
  <c r="T37" i="105"/>
  <c r="T38" i="105"/>
  <c r="T39" i="105"/>
  <c r="T40" i="105"/>
  <c r="T41" i="105"/>
  <c r="T42" i="105"/>
  <c r="T43" i="105"/>
  <c r="T44" i="105"/>
  <c r="T45" i="105"/>
  <c r="T46" i="105"/>
  <c r="T47" i="105"/>
  <c r="T48" i="105"/>
  <c r="T49" i="105"/>
  <c r="T50" i="105"/>
  <c r="T51" i="105"/>
  <c r="T52" i="105"/>
  <c r="T53" i="105"/>
  <c r="T54" i="105"/>
  <c r="T55" i="105"/>
  <c r="T56" i="105"/>
  <c r="T57" i="105"/>
  <c r="T58" i="105"/>
  <c r="T59" i="105"/>
  <c r="T60" i="105"/>
  <c r="T61" i="105"/>
  <c r="T62" i="105"/>
  <c r="T63" i="105"/>
  <c r="T64" i="105"/>
  <c r="T65" i="105"/>
  <c r="T66" i="105"/>
  <c r="T67" i="105"/>
  <c r="T68" i="105"/>
  <c r="T69" i="105"/>
  <c r="T70" i="105"/>
  <c r="T71" i="105"/>
  <c r="T72" i="105"/>
  <c r="T73" i="105"/>
  <c r="T74" i="105"/>
  <c r="T75" i="105"/>
  <c r="T76" i="105"/>
  <c r="T77" i="105"/>
  <c r="T78" i="105"/>
  <c r="T79" i="105"/>
  <c r="T80" i="105"/>
  <c r="T81" i="105"/>
  <c r="T117" i="105"/>
  <c r="T118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19" i="105"/>
  <c r="T120" i="105"/>
  <c r="T121" i="105"/>
  <c r="T122" i="105"/>
  <c r="T123" i="105"/>
  <c r="T124" i="105"/>
  <c r="T125" i="105"/>
  <c r="T126" i="105"/>
  <c r="T127" i="105"/>
  <c r="T128" i="105"/>
  <c r="T129" i="105"/>
  <c r="T130" i="105"/>
  <c r="T131" i="105"/>
  <c r="T132" i="105"/>
  <c r="T133" i="105"/>
  <c r="T134" i="105"/>
  <c r="T135" i="105"/>
  <c r="T136" i="105"/>
  <c r="T137" i="105"/>
  <c r="T138" i="105"/>
  <c r="T139" i="105"/>
  <c r="T140" i="105"/>
  <c r="T141" i="105"/>
  <c r="T142" i="105"/>
  <c r="T143" i="105"/>
  <c r="T144" i="105"/>
  <c r="T145" i="105"/>
  <c r="T146" i="105"/>
  <c r="T147" i="105"/>
  <c r="T148" i="105"/>
  <c r="T149" i="105"/>
  <c r="T150" i="105"/>
  <c r="T151" i="105"/>
  <c r="T152" i="105"/>
  <c r="T153" i="105"/>
  <c r="T154" i="105"/>
  <c r="T155" i="105"/>
  <c r="T156" i="105"/>
  <c r="T157" i="105"/>
  <c r="T158" i="105"/>
  <c r="T159" i="105"/>
  <c r="T160" i="105"/>
  <c r="T161" i="105"/>
  <c r="T162" i="105"/>
  <c r="T163" i="105"/>
  <c r="T164" i="105"/>
  <c r="T165" i="105"/>
  <c r="T166" i="105"/>
  <c r="T167" i="105"/>
  <c r="T168" i="105"/>
  <c r="T169" i="105"/>
  <c r="T170" i="105"/>
  <c r="T171" i="105"/>
  <c r="T172" i="105"/>
  <c r="T173" i="105"/>
  <c r="T17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174" i="113" l="1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2" i="105"/>
  <c r="K122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1" i="105"/>
  <c r="K121" i="105"/>
  <c r="L21" i="105"/>
  <c r="K21" i="105"/>
  <c r="L168" i="105"/>
  <c r="K168" i="105"/>
  <c r="L156" i="105"/>
  <c r="K156" i="105"/>
  <c r="L144" i="105"/>
  <c r="K144" i="105"/>
  <c r="L132" i="105"/>
  <c r="K132" i="105"/>
  <c r="L120" i="105"/>
  <c r="K120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121" i="105" l="1"/>
  <c r="P121" i="105"/>
  <c r="Q121" i="105"/>
  <c r="R121" i="105"/>
  <c r="O124" i="105"/>
  <c r="P124" i="105"/>
  <c r="Q124" i="105"/>
  <c r="R124" i="105"/>
  <c r="B121" i="105"/>
  <c r="O125" i="111"/>
  <c r="O85" i="105" l="1"/>
  <c r="P85" i="105"/>
  <c r="Q85" i="105"/>
  <c r="R85" i="105"/>
  <c r="B84" i="105"/>
  <c r="B128" i="105"/>
  <c r="B149" i="105"/>
  <c r="B62" i="105"/>
  <c r="B163" i="105"/>
  <c r="B169" i="105"/>
  <c r="B85" i="105"/>
  <c r="B123" i="105"/>
  <c r="B132" i="105"/>
  <c r="B122" i="105"/>
  <c r="B142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73" i="105" l="1"/>
  <c r="Q174" i="105"/>
  <c r="Q169" i="105"/>
  <c r="Q170" i="105"/>
  <c r="Q171" i="105"/>
  <c r="Q166" i="105"/>
  <c r="Q167" i="105"/>
  <c r="Q168" i="105"/>
  <c r="Q162" i="105"/>
  <c r="Q163" i="105"/>
  <c r="Q164" i="105"/>
  <c r="Q165" i="105"/>
  <c r="Q159" i="105"/>
  <c r="Q160" i="105"/>
  <c r="Q161" i="105"/>
  <c r="Q156" i="105"/>
  <c r="Q157" i="105"/>
  <c r="Q158" i="105"/>
  <c r="Q153" i="105"/>
  <c r="Q154" i="105"/>
  <c r="Q155" i="105"/>
  <c r="Q150" i="105"/>
  <c r="Q151" i="105"/>
  <c r="Q152" i="105"/>
  <c r="Q146" i="105"/>
  <c r="Q147" i="105"/>
  <c r="Q148" i="105"/>
  <c r="Q149" i="105"/>
  <c r="Q143" i="105"/>
  <c r="Q144" i="105"/>
  <c r="Q145" i="105"/>
  <c r="Q140" i="105"/>
  <c r="Q141" i="105"/>
  <c r="Q142" i="105"/>
  <c r="Q137" i="105"/>
  <c r="Q138" i="105"/>
  <c r="Q139" i="105"/>
  <c r="Q133" i="105"/>
  <c r="Q134" i="105"/>
  <c r="Q135" i="105"/>
  <c r="Q136" i="105"/>
  <c r="Q130" i="105"/>
  <c r="Q131" i="105"/>
  <c r="Q132" i="105"/>
  <c r="Q127" i="105"/>
  <c r="Q128" i="105"/>
  <c r="Q129" i="105"/>
  <c r="Q125" i="105"/>
  <c r="Q126" i="105"/>
  <c r="Q122" i="105"/>
  <c r="Q120" i="105"/>
  <c r="Q123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2" i="105"/>
  <c r="R116" i="105"/>
  <c r="R113" i="105"/>
  <c r="R114" i="105"/>
  <c r="R172" i="105"/>
  <c r="R173" i="105"/>
  <c r="R174" i="105"/>
  <c r="R169" i="105"/>
  <c r="R170" i="105"/>
  <c r="R171" i="105"/>
  <c r="R166" i="105"/>
  <c r="R167" i="105"/>
  <c r="R168" i="105"/>
  <c r="R104" i="105"/>
  <c r="R105" i="105"/>
  <c r="R106" i="105"/>
  <c r="R102" i="105"/>
  <c r="R103" i="105"/>
  <c r="R162" i="105"/>
  <c r="R163" i="105"/>
  <c r="R164" i="105"/>
  <c r="R165" i="105"/>
  <c r="R100" i="105"/>
  <c r="R101" i="105"/>
  <c r="R159" i="105"/>
  <c r="R160" i="105"/>
  <c r="R161" i="105"/>
  <c r="R98" i="105"/>
  <c r="R99" i="105"/>
  <c r="R96" i="105"/>
  <c r="R97" i="105"/>
  <c r="R94" i="105"/>
  <c r="R95" i="105"/>
  <c r="R156" i="105"/>
  <c r="R157" i="105"/>
  <c r="R92" i="105"/>
  <c r="R93" i="105"/>
  <c r="R90" i="105"/>
  <c r="R91" i="105"/>
  <c r="R158" i="105"/>
  <c r="R88" i="105"/>
  <c r="R89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86" i="105"/>
  <c r="R87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82" i="105"/>
  <c r="R83" i="105"/>
  <c r="R126" i="105"/>
  <c r="R122" i="105"/>
  <c r="R120" i="105"/>
  <c r="R123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O113" i="105"/>
  <c r="P113" i="105"/>
  <c r="O114" i="105"/>
  <c r="P114" i="105"/>
  <c r="O140" i="105"/>
  <c r="P140" i="105"/>
  <c r="O29" i="105" l="1"/>
  <c r="O89" i="105" l="1"/>
  <c r="O88" i="105"/>
  <c r="P89" i="105"/>
  <c r="P88" i="105"/>
  <c r="B88" i="105"/>
  <c r="B89" i="105"/>
  <c r="B146" i="105"/>
  <c r="B130" i="105"/>
  <c r="B131" i="105"/>
  <c r="B150" i="105"/>
  <c r="O100" i="105"/>
  <c r="P100" i="105"/>
  <c r="O101" i="105"/>
  <c r="P101" i="105"/>
  <c r="O139" i="105"/>
  <c r="P139" i="105"/>
  <c r="B100" i="105"/>
  <c r="B101" i="105"/>
  <c r="B139" i="105"/>
  <c r="B155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2" i="105"/>
  <c r="P152" i="105"/>
  <c r="B86" i="105"/>
  <c r="B87" i="105"/>
  <c r="B152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4" i="105"/>
  <c r="O144" i="105"/>
  <c r="B144" i="105"/>
  <c r="P171" i="105"/>
  <c r="O171" i="105"/>
  <c r="B171" i="105"/>
  <c r="P119" i="105"/>
  <c r="O119" i="105"/>
  <c r="B119" i="105"/>
  <c r="P165" i="105"/>
  <c r="O165" i="105"/>
  <c r="B165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3" i="105"/>
  <c r="O173" i="105"/>
  <c r="B173" i="105"/>
  <c r="P136" i="105"/>
  <c r="O136" i="105"/>
  <c r="B136" i="105"/>
  <c r="P145" i="105"/>
  <c r="O145" i="105"/>
  <c r="B145" i="105"/>
  <c r="P135" i="105"/>
  <c r="O135" i="105"/>
  <c r="B135" i="105"/>
  <c r="P134" i="105"/>
  <c r="O134" i="105"/>
  <c r="B134" i="105"/>
  <c r="P126" i="105"/>
  <c r="O126" i="105"/>
  <c r="B126" i="105"/>
  <c r="P83" i="105"/>
  <c r="O83" i="105"/>
  <c r="B83" i="105"/>
  <c r="P82" i="105"/>
  <c r="O82" i="105"/>
  <c r="B82" i="105"/>
  <c r="P164" i="105"/>
  <c r="O164" i="105"/>
  <c r="B164" i="105"/>
  <c r="P142" i="105"/>
  <c r="O142" i="105"/>
  <c r="P122" i="105"/>
  <c r="O122" i="105"/>
  <c r="P132" i="105"/>
  <c r="O132" i="105"/>
  <c r="P169" i="105"/>
  <c r="O169" i="105"/>
  <c r="P163" i="105"/>
  <c r="O163" i="105"/>
  <c r="P149" i="105"/>
  <c r="O149" i="105"/>
  <c r="P128" i="105"/>
  <c r="O128" i="105"/>
  <c r="P172" i="105"/>
  <c r="O172" i="105"/>
  <c r="B172" i="105"/>
  <c r="P154" i="105"/>
  <c r="O154" i="105"/>
  <c r="B154" i="105"/>
  <c r="P147" i="105"/>
  <c r="O147" i="105"/>
  <c r="B147" i="105"/>
  <c r="P143" i="105"/>
  <c r="O143" i="105"/>
  <c r="B143" i="105"/>
  <c r="P137" i="105"/>
  <c r="O137" i="105"/>
  <c r="B137" i="105"/>
  <c r="P127" i="105"/>
  <c r="O127" i="105"/>
  <c r="B127" i="105"/>
  <c r="B124" i="105"/>
  <c r="P118" i="105"/>
  <c r="O118" i="105"/>
  <c r="B118" i="105"/>
  <c r="P117" i="105"/>
  <c r="O117" i="105"/>
  <c r="B117" i="105"/>
  <c r="P158" i="105"/>
  <c r="O158" i="105"/>
  <c r="B158" i="105"/>
  <c r="P120" i="105"/>
  <c r="O120" i="105"/>
  <c r="B120" i="105"/>
  <c r="P153" i="105"/>
  <c r="O153" i="105"/>
  <c r="B153" i="105"/>
  <c r="P125" i="105"/>
  <c r="O125" i="105"/>
  <c r="B125" i="105"/>
  <c r="P151" i="105"/>
  <c r="O151" i="105"/>
  <c r="B151" i="105"/>
  <c r="P168" i="105"/>
  <c r="O168" i="105"/>
  <c r="B168" i="105"/>
  <c r="P157" i="105"/>
  <c r="O157" i="105"/>
  <c r="B157" i="105"/>
  <c r="P156" i="105"/>
  <c r="O156" i="105"/>
  <c r="B156" i="105"/>
  <c r="P150" i="105"/>
  <c r="O150" i="105"/>
  <c r="P131" i="105"/>
  <c r="O131" i="105"/>
  <c r="P130" i="105"/>
  <c r="O130" i="105"/>
  <c r="P146" i="105"/>
  <c r="O1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2" i="105"/>
  <c r="O162" i="105"/>
  <c r="B162" i="105"/>
  <c r="P174" i="105"/>
  <c r="O174" i="105"/>
  <c r="B174" i="105"/>
  <c r="P95" i="105"/>
  <c r="O95" i="105"/>
  <c r="B95" i="105"/>
  <c r="P94" i="105"/>
  <c r="O94" i="105"/>
  <c r="B94" i="105"/>
  <c r="P97" i="105"/>
  <c r="O97" i="105"/>
  <c r="B97" i="105"/>
  <c r="P96" i="105"/>
  <c r="O96" i="105"/>
  <c r="P123" i="105"/>
  <c r="O123" i="105"/>
  <c r="P167" i="105"/>
  <c r="O167" i="105"/>
  <c r="B167" i="105"/>
  <c r="P155" i="105"/>
  <c r="O155" i="105"/>
  <c r="P160" i="105"/>
  <c r="O160" i="105"/>
  <c r="B160" i="105"/>
  <c r="P159" i="105"/>
  <c r="O159" i="105"/>
  <c r="B159" i="105"/>
  <c r="P141" i="105"/>
  <c r="O141" i="105"/>
  <c r="B141" i="105"/>
  <c r="P129" i="105"/>
  <c r="O129" i="105"/>
  <c r="B129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8" i="105"/>
  <c r="O148" i="105"/>
  <c r="P170" i="105"/>
  <c r="O170" i="105"/>
  <c r="P166" i="105"/>
  <c r="O166" i="105"/>
  <c r="P138" i="105"/>
  <c r="O138" i="105"/>
  <c r="P161" i="105"/>
  <c r="O161" i="105"/>
  <c r="P133" i="105"/>
  <c r="O133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<sst xmlns="http://schemas.openxmlformats.org/spreadsheetml/2006/main" count="6784" uniqueCount="1869">
  <si>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</si>
  <si>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</si>
  <si>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</si>
  <si>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</si>
  <si>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</si>
  <si>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</si>
  <si>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</si>
  <si>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</si>
  <si>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</si>
  <si>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</si>
  <si>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</si>
  <si>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</si>
  <si>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</si>
  <si>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</si>
  <si>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</si>
  <si>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</si>
  <si>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</si>
  <si>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</si>
  <si>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</si>
  <si>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</si>
  <si>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</si>
  <si>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</si>
  <si>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</si>
  <si>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</si>
  <si>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</si>
  <si>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</si>
  <si>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</si>
  <si>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</si>
  <si>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</si>
  <si>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</si>
  <si>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</si>
  <si>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</si>
  <si>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</si>
  <si>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</si>
  <si>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</si>
  <si>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</si>
  <si>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</si>
  <si>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</si>
  <si>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</si>
  <si>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</si>
  <si>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</si>
  <si>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</si>
  <si>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</si>
  <si>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</si>
  <si>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</si>
  <si>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</si>
  <si>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</si>
  <si>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</si>
  <si>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</si>
  <si>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</si>
  <si>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</si>
  <si>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</si>
  <si>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</si>
  <si>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</si>
  <si>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</si>
  <si>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</si>
  <si>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</si>
  <si>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</si>
  <si>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</si>
  <si>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</si>
  <si>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</si>
  <si>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</si>
  <si>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</si>
  <si>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</si>
  <si>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</si>
  <si>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</si>
  <si>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</si>
  <si>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</si>
  <si>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</si>
  <si>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</si>
  <si>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</si>
  <si>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</si>
  <si>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</si>
  <si>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</si>
  <si>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</si>
  <si>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</si>
  <si>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</si>
  <si>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</si>
  <si>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</si>
  <si>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</si>
  <si>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</si>
  <si>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</si>
  <si>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</si>
  <si>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</si>
  <si>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</si>
  <si>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</si>
  <si>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</si>
  <si>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</si>
  <si>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</si>
  <si>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</si>
  <si>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</si>
  <si>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</si>
  <si>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</si>
  <si>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</si>
  <si>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</si>
  <si>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</si>
  <si>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</si>
  <si>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</si>
  <si>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</si>
  <si>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</si>
  <si>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</si>
  <si>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</si>
  <si>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</si>
  <si>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</si>
  <si>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</si>
  <si>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</si>
  <si>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</si>
  <si>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</si>
  <si>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</si>
  <si>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</si>
  <si>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</si>
  <si>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</si>
  <si>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</si>
  <si>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</si>
  <si>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</si>
  <si>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</si>
  <si>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</si>
  <si>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</si>
  <si>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</si>
  <si>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</si>
  <si>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</si>
  <si>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</si>
  <si>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</si>
  <si>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</si>
  <si>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</si>
  <si>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</si>
  <si>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</si>
  <si>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</si>
  <si>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</si>
  <si>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</si>
  <si>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</si>
  <si>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</si>
  <si>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</si>
  <si>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</si>
  <si>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</si>
  <si>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</si>
  <si>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</si>
  <si>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</si>
  <si>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</si>
  <si>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</si>
  <si>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</si>
  <si>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</si>
  <si>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</si>
  <si>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</si>
  <si>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</si>
  <si>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</si>
  <si>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</si>
  <si>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</si>
  <si>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</si>
  <si>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</si>
  <si>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</si>
  <si>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</si>
  <si>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</si>
  <si>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</si>
  <si>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</si>
  <si>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</si>
  <si>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</si>
  <si>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</si>
  <si>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</si>
  <si>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</si>
  <si>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</si>
  <si>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</si>
  <si>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</si>
  <si>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</si>
  <si>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</si>
  <si>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</si>
  <si>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</si>
  <si>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</si>
  <si>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</si>
  <si>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</si>
  <si>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</si>
  <si>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</si>
  <si>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</si>
  <si>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</si>
  <si>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</si>
  <si>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</si>
  <si>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</si>
  <si>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</si>
  <si>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</si>
  <si>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</si>
  <si>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</si>
  <si>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</si>
  <si>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</si>
  <si>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</si>
  <si>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</si>
  <si>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</si>
  <si>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</si>
  <si>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</si>
  <si>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</si>
  <si>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</si>
  <si>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</si>
  <si>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</si>
  <si>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</si>
  <si>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</si>
  <si>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</si>
  <si>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</si>
  <si>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</si>
  <si>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</si>
  <si>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</si>
  <si>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</si>
  <si>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</si>
  <si>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</si>
  <si>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</si>
  <si>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</si>
  <si>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</si>
  <si>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</si>
  <si>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</si>
  <si>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</si>
  <si>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</si>
  <si>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</si>
  <si>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</si>
  <si>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</si>
  <si>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</si>
  <si>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</si>
  <si>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</si>
  <si>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</si>
  <si>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</si>
  <si>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</si>
  <si>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</si>
  <si>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</si>
  <si>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</si>
  <si>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</si>
  <si>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</si>
  <si>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</si>
  <si>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</si>
  <si>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</si>
  <si>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</si>
  <si>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</si>
  <si>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</si>
  <si>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</si>
  <si>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</si>
  <si>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</si>
  <si>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</si>
  <si>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</si>
  <si>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</si>
  <si>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</si>
  <si>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</si>
  <si>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</si>
  <si>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</si>
  <si>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</si>
  <si>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</si>
  <si>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</si>
  <si>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</si>
  <si>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</si>
  <si>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</si>
  <si>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</si>
  <si>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</si>
  <si>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</si>
  <si>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</si>
  <si>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</si>
  <si>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</si>
  <si>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</si>
  <si>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</si>
  <si>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</si>
  <si>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</si>
  <si>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</si>
  <si>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</si>
  <si>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</si>
  <si>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</si>
  <si>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</si>
  <si>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</si>
  <si>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</si>
  <si>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</si>
  <si>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</si>
  <si>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</si>
  <si>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</si>
  <si>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</si>
  <si>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</si>
  <si>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</si>
  <si>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</si>
  <si>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</si>
  <si>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</si>
  <si>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</si>
  <si>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</si>
  <si>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</si>
  <si>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</si>
  <si>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</si>
  <si>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</si>
  <si>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</si>
  <si>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</si>
  <si>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</si>
  <si>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</si>
  <si>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</si>
  <si>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</si>
  <si>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</si>
  <si>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</si>
  <si>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</si>
  <si>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</si>
  <si>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</si>
  <si>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</si>
  <si>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</si>
  <si>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</si>
  <si>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</si>
  <si>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</si>
  <si>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</si>
  <si>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</si>
  <si>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</si>
  <si>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</si>
  <si>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</si>
  <si>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</si>
  <si>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</si>
  <si>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</si>
  <si>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</si>
  <si>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</si>
  <si>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</si>
  <si>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</si>
  <si>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</si>
  <si>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</si>
  <si>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</si>
  <si>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</si>
  <si>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</si>
  <si>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</si>
  <si>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</si>
  <si>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</si>
  <si>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</si>
  <si>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</si>
  <si>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</si>
  <si>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</si>
  <si>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</si>
  <si>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</si>
  <si>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</si>
  <si>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</si>
  <si>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</si>
  <si>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</si>
  <si>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</si>
  <si>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</si>
  <si>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</si>
  <si>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</si>
  <si>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</si>
  <si>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</si>
  <si>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</si>
  <si>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</si>
  <si>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</si>
  <si>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</si>
  <si>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</si>
  <si>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</si>
  <si>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</si>
  <si>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</si>
  <si>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</si>
  <si>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</si>
  <si>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</si>
  <si>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</si>
  <si>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</si>
  <si>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</si>
  <si>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</si>
  <si>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</si>
  <si>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</si>
  <si>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</si>
  <si>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</si>
  <si>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</si>
  <si>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</si>
  <si>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</si>
  <si>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</si>
  <si>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</si>
  <si>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</si>
  <si>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</si>
  <si>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</si>
  <si>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</si>
  <si>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</si>
  <si>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</si>
  <si>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</si>
  <si>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</si>
  <si>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</si>
  <si>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</si>
  <si>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</si>
  <si>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</si>
  <si>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</si>
  <si>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</si>
  <si>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</si>
  <si>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</si>
  <si>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</si>
  <si>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</si>
  <si>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</si>
  <si>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</si>
  <si>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</si>
  <si>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</si>
  <si>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</si>
  <si>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</si>
  <si>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</si>
  <si>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</si>
  <si>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</si>
  <si>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</si>
  <si>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</si>
  <si>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</si>
  <si>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</si>
  <si>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</si>
  <si>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</si>
  <si>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</si>
  <si>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</si>
  <si>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</si>
  <si>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</si>
  <si>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</si>
  <si>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</si>
  <si>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</si>
  <si>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</si>
  <si>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</si>
  <si>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</si>
  <si>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</si>
  <si>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</si>
  <si>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</si>
  <si>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</si>
  <si>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</si>
  <si>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</si>
  <si>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</si>
  <si>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</si>
  <si>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</si>
  <si>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</si>
  <si>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</si>
  <si>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</si>
  <si>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</si>
  <si>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</si>
  <si>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</si>
  <si>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</si>
  <si>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</si>
  <si>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</si>
  <si>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</si>
  <si>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</si>
  <si>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</si>
  <si>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</si>
  <si>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</si>
  <si>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</si>
  <si>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</si>
  <si>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</si>
  <si>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</si>
  <si>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</si>
  <si>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</si>
  <si>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</si>
  <si>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</si>
  <si>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</si>
  <si>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</si>
  <si>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</si>
  <si>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</si>
  <si>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</si>
  <si>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</si>
  <si>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</si>
  <si>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</si>
  <si>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</si>
  <si>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</si>
  <si>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</si>
  <si>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</si>
  <si>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</si>
  <si>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</si>
  <si>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</si>
  <si>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</si>
  <si>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</si>
  <si>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</si>
  <si>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</si>
  <si>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</si>
  <si>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</si>
  <si>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</si>
  <si>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</si>
  <si>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</si>
  <si>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</si>
  <si>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</si>
  <si>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</si>
  <si>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</si>
  <si>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</si>
  <si>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</si>
  <si>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</si>
  <si>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</si>
  <si>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</si>
  <si>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</si>
  <si>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</si>
  <si>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</si>
  <si>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</si>
  <si>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</si>
  <si>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</si>
  <si>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</si>
  <si>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</si>
  <si>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</si>
  <si>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</si>
  <si>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</si>
  <si>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</si>
  <si>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</si>
  <si>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</si>
  <si>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</si>
  <si>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</si>
  <si>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</si>
  <si>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</si>
  <si>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</si>
  <si>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</si>
  <si>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</si>
  <si>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</si>
  <si>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</si>
  <si>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</si>
  <si>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</si>
  <si>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</si>
  <si>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</si>
  <si>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</si>
  <si>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</si>
  <si>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</si>
  <si>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</si>
  <si>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</si>
  <si>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</si>
  <si>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</si>
  <si>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</si>
  <si>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</si>
  <si>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</si>
  <si>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</si>
  <si>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</si>
  <si>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</si>
  <si>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</si>
  <si>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</si>
  <si>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</si>
  <si>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</si>
  <si>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</si>
  <si>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</si>
  <si>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</si>
  <si>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</si>
  <si>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</si>
  <si>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</si>
  <si>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</si>
  <si>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</si>
  <si>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</si>
  <si>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</si>
  <si>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</si>
  <si>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</si>
  <si>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</si>
  <si>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</si>
  <si>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</si>
  <si>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</si>
  <si>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</si>
  <si>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</si>
  <si>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</si>
  <si>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</si>
  <si>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</si>
  <si>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</si>
  <si>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</si>
  <si>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</si>
  <si>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</si>
  <si>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</si>
  <si>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</si>
  <si>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</si>
  <si>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</si>
  <si>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</si>
  <si>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</si>
  <si>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</si>
  <si>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</si>
  <si>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</si>
  <si>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</si>
  <si>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</si>
  <si>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</si>
  <si>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</si>
  <si>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</si>
  <si>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</si>
  <si>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</si>
  <si>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</si>
  <si>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</si>
  <si>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</si>
  <si>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</si>
  <si>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</si>
  <si>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</si>
  <si>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</si>
  <si>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</si>
  <si>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</si>
  <si>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</si>
  <si>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</si>
  <si>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</si>
  <si>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</si>
  <si>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</si>
  <si>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</si>
  <si>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</si>
  <si>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</si>
  <si>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</si>
  <si>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</si>
  <si>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</si>
  <si>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</si>
  <si>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</si>
  <si>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</si>
  <si>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</si>
  <si>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</si>
  <si>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</si>
  <si>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</si>
  <si>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</si>
  <si>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</si>
  <si>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</si>
  <si>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</si>
  <si>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</si>
  <si>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</si>
  <si>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</si>
  <si>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</si>
  <si>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</si>
  <si>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</si>
  <si>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</si>
  <si>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</si>
  <si>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</si>
  <si>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</si>
  <si>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</si>
  <si>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</si>
  <si>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</si>
  <si>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</si>
  <si>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</si>
  <si>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</si>
  <si>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</si>
  <si>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</si>
  <si>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</si>
  <si>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</si>
  <si>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</si>
  <si>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</si>
  <si>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</si>
  <si>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</si>
  <si>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</si>
  <si>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</si>
  <si>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</si>
  <si>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</si>
  <si>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</si>
  <si>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</si>
  <si>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</si>
  <si>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</si>
  <si>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</si>
  <si>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</si>
  <si>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</si>
  <si>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</si>
  <si>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</si>
  <si>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</si>
  <si>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</si>
  <si>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</si>
  <si>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</si>
  <si>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</si>
  <si>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</si>
  <si>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</si>
  <si>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</si>
  <si>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</si>
  <si>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</si>
  <si>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</si>
  <si>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</si>
  <si>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</si>
  <si>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</si>
  <si>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</si>
  <si>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</si>
  <si>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</si>
  <si>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</si>
  <si>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</si>
  <si>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</si>
  <si>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</si>
  <si>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</si>
  <si>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</si>
  <si>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</si>
  <si>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</si>
  <si>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</si>
  <si>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</si>
  <si>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</si>
  <si>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</si>
  <si>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</si>
  <si>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</si>
  <si>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</si>
  <si>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</si>
  <si>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</si>
  <si>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</si>
  <si>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</si>
  <si>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</si>
  <si>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</si>
  <si>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</si>
  <si>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</si>
  <si>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</si>
  <si>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</si>
  <si>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</si>
  <si>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</si>
  <si>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</si>
  <si>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</si>
  <si>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</si>
  <si>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</si>
  <si>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</si>
  <si>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</si>
  <si>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</si>
  <si>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</si>
  <si>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</si>
  <si>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</si>
  <si>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</si>
  <si>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</si>
  <si>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</si>
  <si>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</si>
  <si>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</si>
  <si>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</si>
  <si>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</si>
  <si>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</si>
  <si>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</si>
  <si>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</si>
  <si>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</si>
  <si>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</si>
  <si>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</si>
  <si>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</si>
  <si>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</si>
  <si>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</si>
  <si>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</si>
  <si>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</si>
  <si>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</si>
  <si>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</si>
  <si>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</si>
  <si>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</si>
  <si>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</si>
  <si>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</si>
  <si>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</si>
  <si>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</si>
  <si>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</si>
  <si>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</si>
  <si>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</si>
  <si>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</si>
  <si>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</si>
  <si>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</si>
  <si>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</si>
  <si>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</si>
  <si>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</si>
  <si>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</si>
  <si>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</si>
  <si>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</si>
  <si>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</si>
  <si>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</si>
  <si>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</si>
  <si>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</si>
  <si>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</si>
  <si>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</si>
  <si>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</si>
  <si>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</si>
  <si>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</si>
  <si>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</si>
  <si>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</si>
  <si>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</si>
  <si>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</si>
  <si>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</si>
  <si>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</si>
  <si>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</si>
  <si>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</si>
  <si>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</si>
  <si>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</si>
  <si>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</si>
  <si>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</si>
  <si>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</si>
  <si>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</si>
  <si>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</si>
  <si>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</si>
  <si>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</si>
  <si>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</si>
  <si>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</si>
  <si>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</si>
  <si>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</si>
  <si>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</si>
  <si>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</si>
  <si>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</si>
  <si>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</si>
  <si>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</si>
  <si>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</si>
  <si>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</si>
  <si>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</si>
  <si>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</si>
  <si>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</si>
  <si>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</si>
  <si>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</si>
  <si>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</si>
  <si>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</si>
  <si>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</si>
  <si>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</si>
  <si>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</si>
  <si>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</si>
  <si>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</si>
  <si>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</si>
  <si>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</si>
  <si>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</si>
  <si>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</si>
  <si>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</si>
  <si>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</si>
  <si>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</si>
  <si>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</si>
  <si>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</si>
  <si>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</si>
  <si>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</si>
  <si>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</si>
  <si>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</si>
  <si>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</si>
  <si>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</si>
  <si>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</si>
  <si>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</si>
  <si>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</si>
  <si>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</si>
  <si>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</si>
  <si>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</si>
  <si>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</si>
  <si>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</si>
  <si>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</si>
  <si>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</si>
  <si>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</si>
  <si>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</si>
  <si>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</si>
  <si>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</si>
  <si>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</si>
  <si>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</si>
  <si>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</si>
  <si>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</si>
  <si>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</si>
  <si>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</si>
  <si>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</si>
  <si>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</si>
  <si>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</si>
  <si>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</si>
  <si>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</si>
  <si>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</si>
  <si>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</si>
  <si>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</si>
  <si>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</si>
  <si>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</si>
  <si>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</si>
  <si>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</si>
  <si>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</si>
  <si>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</si>
  <si>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</si>
  <si>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</si>
  <si>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</si>
  <si>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</si>
  <si>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</si>
  <si>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</si>
  <si>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</si>
  <si>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</si>
  <si>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</si>
  <si>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</si>
  <si>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</si>
  <si>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</si>
  <si>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</si>
  <si>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</si>
  <si>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</si>
  <si>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</si>
  <si>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</si>
  <si>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</si>
  <si>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</si>
  <si>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</si>
  <si>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</si>
  <si>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</si>
  <si>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</si>
  <si>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</si>
  <si>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</si>
  <si>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</si>
  <si>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</si>
  <si>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</si>
  <si>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</si>
  <si>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</si>
  <si>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</si>
  <si>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</si>
  <si>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</si>
  <si>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</si>
  <si>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</si>
  <si>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</si>
  <si>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</si>
  <si>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</si>
  <si>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</si>
  <si>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</si>
  <si>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</si>
  <si>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</si>
  <si>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</si>
  <si>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</si>
  <si>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</si>
  <si>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</si>
  <si>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</si>
  <si>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</si>
  <si>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</si>
  <si>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</si>
  <si>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</si>
  <si>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</si>
  <si>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</si>
  <si>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</si>
  <si>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</si>
  <si>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</si>
  <si>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</si>
  <si>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</si>
  <si>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</si>
  <si>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</si>
  <si>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</si>
  <si>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</si>
  <si>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</si>
  <si>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</si>
  <si>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</si>
  <si>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</si>
  <si>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</si>
  <si>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</si>
  <si>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</si>
  <si>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</si>
  <si>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</si>
  <si>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</si>
  <si>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</si>
  <si>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</si>
  <si>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</si>
  <si>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</si>
  <si>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</si>
  <si>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</si>
  <si>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</si>
  <si>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</si>
  <si>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</si>
  <si>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</si>
  <si>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</si>
  <si>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</si>
  <si>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</si>
  <si>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</si>
  <si>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</si>
  <si>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</si>
  <si>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</si>
  <si>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</si>
  <si>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</si>
  <si>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</si>
  <si>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</si>
  <si>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</si>
  <si>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</si>
  <si>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</si>
  <si>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</si>
  <si>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</si>
  <si>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</si>
  <si>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</si>
  <si>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</si>
  <si>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</si>
  <si>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</si>
  <si>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</si>
  <si>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</si>
  <si>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</si>
  <si>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</si>
  <si>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</si>
  <si>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</si>
  <si>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</si>
  <si>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</si>
  <si>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</si>
  <si>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</si>
  <si>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</si>
  <si>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</si>
  <si>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</si>
  <si>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</si>
  <si>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</si>
  <si>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</si>
  <si>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</si>
  <si>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</si>
  <si>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</si>
  <si>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</si>
  <si>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</si>
  <si>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</si>
  <si>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</si>
  <si>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</si>
  <si>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</si>
  <si>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</si>
  <si>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</si>
  <si>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</si>
  <si>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</si>
  <si>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</si>
  <si>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</si>
  <si>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</si>
  <si>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</si>
  <si>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</si>
  <si>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</si>
  <si>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</si>
  <si>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</si>
  <si>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</si>
  <si>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</si>
  <si>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</si>
  <si>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</si>
  <si>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</si>
  <si>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</si>
  <si>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</si>
  <si>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</si>
  <si>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</si>
  <si>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</si>
  <si>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</si>
  <si>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</si>
  <si>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</si>
  <si>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</si>
  <si>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</si>
  <si>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</si>
  <si>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</si>
  <si>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</si>
  <si>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</si>
  <si>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</si>
  <si>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</si>
  <si>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</si>
  <si>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</si>
  <si>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</si>
  <si>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</si>
  <si>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</si>
  <si>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</si>
  <si>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</si>
  <si>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</si>
  <si>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</si>
  <si>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</si>
  <si>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</si>
  <si>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</si>
  <si>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</si>
  <si>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</si>
  <si>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</si>
  <si>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</si>
  <si>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</si>
  <si>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</si>
  <si>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</si>
  <si>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</si>
  <si>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</si>
  <si>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</si>
  <si>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</si>
  <si>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</si>
  <si>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</si>
  <si>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</si>
  <si>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</si>
  <si>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</si>
  <si>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</si>
  <si>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</si>
  <si>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</si>
  <si>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</si>
  <si>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</si>
  <si>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</si>
  <si>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</si>
  <si>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</si>
  <si>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</si>
  <si>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</si>
  <si>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</si>
  <si>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</si>
  <si>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</si>
  <si>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</si>
  <si>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</si>
  <si>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</si>
  <si>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</si>
  <si>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</si>
  <si>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</si>
  <si>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</si>
  <si>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</si>
  <si>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</si>
  <si>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</si>
  <si>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</si>
  <si>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</si>
  <si>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</si>
  <si>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</si>
  <si>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</si>
  <si>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</si>
  <si>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</si>
  <si>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</si>
  <si>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</si>
  <si>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</si>
  <si>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</si>
  <si>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</si>
  <si>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</si>
  <si>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</si>
  <si>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</si>
  <si>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</si>
  <si>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</si>
  <si>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</si>
  <si>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</si>
  <si>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</si>
  <si>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</si>
  <si>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</si>
  <si>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</si>
  <si>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</si>
  <si>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</si>
  <si>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</si>
  <si>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</si>
  <si>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</si>
  <si>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</si>
  <si>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</si>
  <si>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</si>
  <si>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</si>
  <si>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</si>
  <si>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</si>
  <si>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</si>
  <si>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</si>
  <si>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</si>
  <si>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</si>
  <si>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</si>
  <si>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</si>
  <si>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</si>
  <si>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</si>
  <si>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</si>
  <si>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</si>
  <si>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</si>
  <si>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</si>
  <si>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</si>
  <si>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</si>
  <si>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</si>
  <si>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</si>
  <si>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</si>
  <si>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</si>
  <si>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</si>
  <si>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</si>
  <si>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</si>
  <si>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</si>
  <si>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</si>
  <si>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</si>
  <si>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</si>
  <si>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</si>
  <si>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</si>
  <si>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</si>
  <si>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</si>
  <si>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</si>
  <si>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</si>
  <si>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</si>
  <si>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</si>
  <si>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</si>
  <si>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</si>
  <si>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</si>
  <si>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</si>
  <si>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</si>
  <si>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</si>
  <si>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</si>
  <si>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</si>
  <si>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</si>
  <si>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</si>
  <si>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</si>
  <si>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</si>
  <si>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</si>
  <si>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</si>
  <si>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</si>
  <si>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</si>
  <si>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</si>
  <si>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</si>
  <si>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</si>
  <si>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</si>
  <si>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</si>
  <si>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</si>
  <si>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</si>
  <si>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</si>
  <si>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</si>
  <si>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</si>
  <si>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</si>
  <si>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</si>
  <si>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</si>
  <si>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</si>
  <si>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</si>
  <si>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</si>
  <si>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</si>
  <si>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</si>
  <si>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</si>
  <si>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</si>
  <si>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</si>
  <si>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</si>
  <si>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</si>
  <si>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</si>
  <si>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</si>
  <si>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</si>
  <si>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</si>
  <si>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</si>
  <si>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</si>
  <si>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</si>
  <si>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</si>
  <si>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</si>
  <si>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</si>
  <si>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</si>
  <si>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</si>
  <si>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</si>
  <si>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</si>
  <si>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</si>
  <si>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</si>
  <si>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</si>
  <si>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</si>
  <si>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</si>
  <si>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</si>
  <si>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</si>
  <si>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</si>
  <si>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</si>
  <si>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</si>
  <si>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</si>
  <si>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</si>
  <si>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</si>
  <si>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</si>
  <si>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</si>
  <si>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</si>
  <si>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</si>
  <si>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</si>
  <si>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</si>
  <si>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</si>
  <si>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</si>
  <si>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</si>
  <si>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</si>
  <si>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</si>
  <si>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</si>
  <si>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</si>
  <si>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</si>
  <si>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</si>
  <si>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</si>
  <si>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</si>
  <si>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</si>
  <si>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</si>
  <si>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</si>
  <si>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</si>
  <si>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</si>
  <si>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</si>
  <si>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</si>
  <si>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</si>
  <si>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</si>
  <si>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</si>
  <si>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</si>
  <si>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</si>
  <si>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</si>
  <si>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</si>
  <si>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</si>
  <si>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</si>
  <si>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</si>
  <si>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</si>
  <si>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</si>
  <si>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</si>
  <si>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</si>
  <si>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</si>
  <si>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</si>
  <si>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</si>
  <si>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</si>
  <si>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</si>
  <si>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</si>
  <si>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</si>
  <si>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</si>
  <si>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</si>
  <si>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</si>
  <si>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</si>
  <si>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</si>
  <si>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</si>
  <si>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</si>
  <si>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</si>
  <si>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</si>
  <si>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</si>
  <si>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</si>
  <si>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</si>
  <si>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</si>
  <si>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</si>
  <si>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</si>
  <si>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</si>
  <si>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</si>
  <si>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</si>
  <si>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</si>
  <si>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</si>
  <si>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</si>
  <si>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</si>
  <si>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</si>
  <si>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</si>
  <si>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</si>
  <si>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</si>
  <si>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</si>
  <si>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</si>
  <si>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</si>
  <si>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</si>
  <si>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</si>
  <si>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</si>
  <si>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</si>
  <si>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</si>
  <si>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</si>
  <si>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</si>
  <si>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</si>
  <si>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</si>
  <si>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</si>
  <si>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</si>
  <si>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</si>
  <si>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</si>
  <si>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</si>
  <si>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</si>
  <si>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</si>
  <si>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</si>
  <si>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</si>
  <si>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</si>
  <si>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</si>
  <si>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</si>
  <si>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</si>
  <si>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</si>
  <si>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</si>
  <si>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</si>
  <si>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</si>
  <si>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</si>
  <si>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</si>
  <si>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</si>
  <si>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</si>
  <si>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</si>
  <si>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</si>
  <si>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</si>
  <si>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</si>
  <si>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</si>
  <si>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</si>
  <si>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</si>
  <si>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</si>
  <si>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</si>
  <si>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</si>
  <si>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</si>
  <si>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</si>
  <si>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</si>
  <si>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</si>
  <si>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</si>
  <si>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</si>
  <si>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</si>
  <si>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</si>
  <si>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</si>
  <si>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</si>
  <si>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</si>
  <si>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</si>
  <si>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</si>
  <si>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</si>
  <si>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</si>
  <si>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</si>
  <si>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</si>
  <si>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</si>
  <si>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</si>
  <si>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</si>
  <si>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</si>
  <si>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</si>
  <si>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</si>
  <si>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</si>
  <si>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</si>
  <si>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</si>
  <si>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</si>
  <si>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</si>
  <si>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</si>
  <si>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</si>
  <si>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</si>
  <si>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</si>
  <si>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</si>
  <si>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</si>
  <si>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</si>
  <si>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</si>
  <si>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</si>
  <si>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</si>
  <si>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</si>
  <si>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</si>
  <si>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</si>
  <si>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</si>
  <si>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</si>
  <si>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</si>
  <si>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</si>
  <si>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</si>
  <si>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</si>
  <si>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</si>
  <si>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</si>
  <si>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</si>
  <si>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</si>
  <si>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</si>
  <si>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</si>
  <si>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</si>
  <si>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</si>
  <si>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</si>
  <si>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</si>
  <si>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</si>
  <si>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</si>
  <si>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</si>
  <si>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</si>
  <si>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</si>
  <si>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</si>
  <si>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</si>
  <si>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</si>
  <si>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</si>
  <si>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</si>
  <si>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</si>
  <si>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</si>
  <si>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</si>
  <si>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</si>
  <si>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</si>
  <si>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</si>
  <si>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</si>
  <si>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</si>
  <si>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</si>
  <si>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</si>
  <si>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</si>
  <si>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</si>
  <si>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</si>
  <si>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</si>
  <si>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</si>
  <si>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</si>
  <si>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</si>
  <si>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</si>
  <si>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</si>
  <si>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</si>
  <si>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</si>
  <si>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</si>
  <si>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</si>
  <si>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</si>
  <si>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</si>
  <si>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</si>
  <si>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</si>
  <si>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</si>
  <si>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</si>
  <si>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</si>
  <si>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</si>
  <si>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</si>
  <si>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</si>
  <si>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</si>
  <si>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</si>
  <si>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</si>
  <si>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</si>
  <si>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</si>
  <si>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</si>
  <si>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</si>
  <si>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</si>
  <si>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</si>
  <si>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</si>
  <si>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</si>
  <si>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</si>
  <si>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</si>
  <si>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</si>
  <si>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</si>
  <si>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</si>
  <si>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</si>
  <si>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</si>
  <si>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</si>
  <si>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</si>
  <si>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</si>
  <si>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</si>
  <si>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</si>
  <si>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</si>
  <si>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</si>
  <si>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</si>
  <si>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</si>
  <si>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</si>
  <si>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</si>
  <si>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</si>
  <si>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</si>
  <si>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</si>
  <si>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</si>
  <si>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</si>
  <si>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</si>
  <si>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</si>
  <si>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</si>
  <si>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</si>
  <si>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</si>
  <si>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</si>
  <si>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</si>
  <si>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</si>
  <si>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</si>
  <si>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</si>
  <si>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</si>
  <si>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</si>
  <si>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</si>
  <si>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</si>
  <si>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</si>
  <si>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</si>
  <si>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</si>
  <si>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</si>
  <si>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</si>
  <si>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</si>
  <si>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</si>
  <si>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</si>
  <si>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</si>
  <si>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</si>
  <si>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</si>
  <si>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</si>
  <si>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</si>
  <si>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</si>
  <si>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</si>
  <si>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</si>
  <si>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</si>
  <si>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</si>
  <si>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</si>
  <si>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</si>
  <si>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</si>
  <si>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</si>
  <si>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</si>
  <si>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</si>
  <si>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</si>
  <si>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</si>
  <si>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</si>
  <si>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</si>
  <si>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</si>
  <si>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</si>
  <si>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</si>
  <si>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</si>
  <si>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</si>
  <si>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</si>
  <si>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</si>
  <si>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</si>
  <si>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</si>
  <si>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</si>
  <si>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</si>
  <si>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</si>
  <si>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</si>
  <si>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</si>
  <si>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</si>
  <si>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</si>
  <si>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</si>
  <si>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</si>
  <si>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</si>
  <si>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</si>
  <si>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</si>
  <si>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</si>
  <si>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</si>
  <si>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</si>
  <si>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</si>
  <si>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</si>
  <si>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</si>
  <si>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</si>
  <si>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</si>
  <si>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</si>
  <si>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</si>
  <si>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</si>
  <si>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</si>
  <si>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</si>
  <si>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</si>
  <si>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</si>
  <si>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</si>
  <si>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</si>
  <si>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</si>
  <si>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</si>
  <si>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</si>
  <si>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</si>
  <si>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</si>
  <si>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</si>
  <si>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</si>
  <si>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</si>
  <si>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</si>
  <si>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</si>
  <si>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</si>
  <si>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</si>
  <si>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</si>
  <si>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</si>
  <si>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</si>
  <si>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</si>
  <si>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</si>
  <si>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</si>
  <si>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</si>
  <si>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</si>
  <si>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</si>
  <si>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</si>
  <si>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</si>
  <si>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</si>
  <si>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</si>
  <si>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</si>
  <si>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</si>
  <si>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</si>
  <si>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</si>
  <si>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</si>
  <si>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</si>
  <si>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</si>
  <si>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</si>
  <si>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</si>
  <si>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</si>
  <si>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</si>
  <si>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</si>
  <si>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</si>
  <si>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</si>
  <si>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</si>
  <si>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</si>
  <si>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</si>
  <si>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</si>
  <si>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</si>
  <si>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</si>
  <si>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</si>
  <si>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</si>
  <si>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</si>
  <si>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</si>
  <si>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</si>
  <si>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</si>
  <si>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</si>
  <si>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</si>
  <si>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</si>
  <si>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</si>
  <si>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</si>
  <si>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</si>
  <si>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</si>
  <si>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</si>
  <si>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</si>
  <si>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</si>
  <si>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</si>
  <si>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</si>
  <si>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</si>
  <si>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</si>
  <si>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</si>
  <si>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</si>
  <si>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</si>
  <si>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</si>
  <si>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</si>
  <si>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</si>
  <si>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</si>
  <si>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</si>
  <si>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</si>
  <si>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</si>
  <si>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</si>
  <si>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</si>
  <si>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</si>
  <si>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</si>
  <si>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</si>
  <si>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</si>
  <si>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</si>
  <si>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</si>
  <si>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</si>
  <si>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</si>
  <si>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</si>
  <si>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</si>
  <si>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</si>
  <si>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</si>
  <si>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</si>
  <si>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</si>
  <si>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</si>
  <si>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</si>
  <si>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</si>
  <si>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</si>
  <si>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</si>
  <si>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</si>
  <si>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</si>
  <si>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</si>
  <si>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</si>
  <si>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</si>
  <si>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</si>
  <si>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</si>
  <si>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</si>
  <si>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</si>
  <si>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</si>
  <si>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</si>
  <si>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</si>
  <si>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</si>
  <si>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</si>
  <si>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</si>
  <si>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</si>
  <si>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</si>
  <si>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</si>
  <si>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</si>
  <si>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</si>
  <si>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</si>
  <si>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</si>
  <si>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</si>
  <si>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</si>
  <si>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</si>
  <si>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</si>
  <si>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</si>
  <si>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</si>
  <si>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</si>
  <si>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</si>
  <si>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</si>
  <si>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</si>
  <si>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</si>
  <si>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</si>
  <si>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</si>
  <si>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</si>
  <si>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</si>
  <si>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</si>
  <si>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</si>
  <si>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</si>
  <si>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</si>
  <si>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</si>
  <si>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</si>
  <si>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</si>
  <si>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</si>
  <si>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</si>
  <si>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</si>
  <si>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</si>
  <si>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</si>
  <si>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</si>
  <si>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</si>
  <si>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</si>
  <si>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</si>
  <si>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</si>
  <si>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</si>
  <si>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</si>
  <si>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</si>
  <si>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</si>
  <si>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</si>
  <si>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</si>
  <si>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</si>
  <si>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</si>
  <si>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</si>
  <si>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</si>
  <si>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</si>
  <si>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</si>
  <si>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</si>
  <si>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</si>
  <si>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</si>
  <si>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</si>
  <si>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</si>
  <si>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</si>
  <si>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</si>
  <si>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</si>
  <si>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</si>
  <si>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</si>
  <si>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</si>
  <si>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</si>
  <si>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</si>
  <si>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</si>
  <si>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</si>
  <si>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</si>
  <si>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</si>
  <si>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</si>
  <si>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</si>
  <si>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</si>
  <si>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</si>
  <si>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</si>
  <si>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</si>
  <si>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</si>
  <si>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</si>
  <si>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</si>
  <si>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</si>
  <si>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</si>
  <si>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</si>
  <si>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</si>
  <si>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</si>
  <si>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</si>
  <si>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</si>
  <si>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</si>
  <si>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</si>
  <si>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</si>
  <si>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</si>
  <si>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</si>
  <si>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</si>
  <si>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</si>
  <si>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</si>
  <si>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</si>
  <si>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</si>
  <si>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</si>
  <si>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</si>
  <si>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</si>
  <si>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</si>
  <si>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</si>
  <si>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</si>
  <si>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</si>
  <si>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</si>
  <si>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</si>
  <si>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</si>
  <si>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</si>
  <si>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</si>
  <si>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</si>
  <si>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</si>
  <si>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</si>
  <si>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</si>
  <si>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</si>
  <si>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</si>
  <si>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</si>
  <si>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</si>
  <si>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</si>
  <si>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</si>
  <si>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</si>
  <si>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</si>
  <si>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</si>
  <si>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</si>
  <si>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</si>
  <si>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</si>
  <si>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</si>
  <si>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</si>
  <si>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</si>
  <si>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</si>
  <si>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</si>
  <si>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</si>
  <si>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</si>
  <si>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</si>
  <si>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</si>
  <si>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</si>
  <si>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</si>
  <si>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</si>
  <si>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</si>
  <si>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</si>
  <si>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</si>
  <si>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</si>
  <si>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</si>
  <si>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</si>
  <si>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</si>
  <si>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</si>
  <si>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</si>
  <si>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</si>
  <si>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</si>
  <si>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</si>
  <si>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</si>
  <si>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</si>
  <si>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</si>
  <si>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</si>
  <si>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</si>
  <si>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</si>
  <si>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</si>
  <si>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</si>
  <si>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</si>
  <si>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</si>
  <si>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</si>
  <si>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</si>
  <si>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</si>
  <si>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</si>
  <si>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</si>
  <si>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</si>
  <si>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</si>
  <si>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</si>
  <si>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</si>
  <si>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</si>
  <si>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</si>
  <si>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</si>
  <si>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</si>
  <si>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</si>
  <si>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</si>
  <si>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</si>
  <si>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</si>
  <si>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</si>
  <si>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</si>
  <si>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</si>
  <si>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</si>
  <si>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</si>
  <si>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</si>
  <si>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</si>
  <si>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</si>
  <si>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</si>
  <si>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</si>
  <si>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</si>
  <si>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</si>
  <si>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</si>
  <si>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</si>
  <si>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</si>
  <si>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</si>
  <si>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</si>
  <si>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</si>
  <si>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</si>
  <si>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</si>
  <si>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</si>
  <si>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</si>
  <si>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</si>
  <si>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</si>
  <si>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</si>
  <si>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</si>
  <si>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</si>
  <si>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</si>
  <si>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</si>
  <si>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</si>
  <si>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</si>
  <si>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</si>
  <si>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</si>
  <si>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</si>
  <si>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</si>
  <si>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</si>
  <si>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</si>
  <si>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</si>
  <si>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</si>
  <si>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</si>
  <si>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</si>
  <si>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</si>
  <si>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</si>
  <si>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</si>
  <si>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</si>
  <si>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</si>
  <si>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</si>
  <si>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</si>
  <si>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</si>
  <si>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</si>
  <si>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</si>
  <si>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</si>
  <si>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</si>
  <si>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</si>
  <si>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</si>
  <si>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</si>
  <si>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</si>
  <si>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</si>
  <si>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</si>
  <si>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</si>
  <si>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</si>
  <si>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</si>
  <si>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</si>
  <si>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</si>
  <si>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</si>
  <si>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</si>
  <si>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</si>
  <si>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</si>
  <si>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</si>
  <si>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</si>
  <si>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</si>
  <si>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</si>
  <si>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</si>
  <si>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</si>
  <si>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</si>
  <si>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</si>
  <si>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</si>
  <si>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</si>
  <si>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</si>
  <si>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</si>
  <si>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</si>
  <si>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중요도
('26년 기준)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</si>
  <si>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</si>
  <si>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</si>
  <si>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</si>
  <si>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</si>
  <si>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</si>
  <si>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</si>
  <si>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</si>
  <si>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</si>
  <si>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</si>
  <si>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</si>
  <si>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</si>
  <si>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</si>
  <si>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</si>
  <si>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</si>
  <si>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</si>
  <si>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</si>
  <si>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</si>
  <si>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</si>
  <si>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</si>
  <si>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</si>
  <si>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</si>
  <si>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</si>
  <si>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</si>
  <si>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(비정규 근로자, 업무상 재해, 기타법령)</t>
    <phoneticPr fontId="3" type="noConversion"/>
  </si>
  <si>
    <t>*해고의 실체적 정당성
 -우선선재고용의무 위반에 따른 근로자 지위 인정 여부
*해고의 실체적 정당성
 -우선재고용의무 위반 시 손해배상의무의 발생 시점 및 배상액 산정 방식(중간수입공제)</t>
    <phoneticPr fontId="3" type="noConversion"/>
  </si>
  <si>
    <t>중요도('26년)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</si>
</sst>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zoomScaleNormal="100" workbookViewId="0">
      <pane ySplit="3" topLeftCell="A268" activePane="bottomLeft" state="frozen"/>
      <selection pane="bottomLeft" activeCell="E299" sqref="E299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75" t="s">
        <v>3</v>
      </c>
      <c r="C2" s="376"/>
      <c r="D2" s="377" t="s">
        <v>57</v>
      </c>
      <c r="E2" s="378"/>
      <c r="F2" s="378"/>
      <c r="G2" s="378"/>
      <c r="H2" s="379"/>
      <c r="I2" s="378" t="s">
        <v>373</v>
      </c>
      <c r="J2" s="379"/>
      <c r="K2" s="10" t="s">
        <v>394</v>
      </c>
      <c r="L2" s="10" t="s">
        <v>409</v>
      </c>
      <c r="M2" s="377" t="s">
        <v>1383</v>
      </c>
      <c r="N2" s="379"/>
      <c r="O2" s="10" t="s">
        <v>1617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1762</v>
      </c>
      <c r="R3" s="7" t="s">
        <v>1763</v>
      </c>
      <c r="S3" s="7" t="s">
        <v>1764</v>
      </c>
      <c r="T3" s="7" t="s">
        <v>1801</v>
      </c>
    </row>
    <row r="4" spans="2:20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</row>
    <row r="5" spans="2:20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</row>
    <row r="6" spans="2:20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</row>
    <row r="49" spans="2:20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</row>
    <row r="51" spans="2:20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</row>
    <row r="52" spans="2:20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</row>
    <row r="53" spans="2:20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</row>
    <row r="54" spans="2:20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</row>
    <row r="55" spans="2:20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</row>
    <row r="57" spans="2:20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</row>
    <row r="58" spans="2:20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</row>
    <row r="59" spans="2:20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</row>
    <row r="60" spans="2:20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</row>
    <row r="61" spans="2:20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</row>
    <row r="62" spans="2:20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</row>
    <row r="63" spans="2:20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</row>
    <row r="64" spans="2:20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</row>
    <row r="65" spans="2:20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</row>
    <row r="66" spans="2:20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</row>
    <row r="67" spans="2:20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</row>
    <row r="68" spans="2:20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5">B68&amp;"-"&amp;C68&amp;"-"&amp;G68</f>
        <v>제04장 근로시간-제01절 근로시간-04</v>
      </c>
      <c r="Q68" s="7" t="str">
        <f t="shared" ref="Q68:Q131" si="6">E68&amp;"-"&amp;F68</f>
        <v>대법원 2024.11.14. 선고 2021다220062 판결-1</v>
      </c>
      <c r="R68" s="7" t="str">
        <f t="shared" ref="R68:R131" si="7">I68</f>
        <v>열기2-01.노동법\03.판례\[대법원 2024.11.14. 선고 2021다220062 판결]당직 및 콜 대기 시간의 근로시간 해당 여부.txt</v>
      </c>
      <c r="S68" s="7" t="str">
        <f t="shared" ref="S68:S131" si="8">K68</f>
        <v>B</v>
      </c>
      <c r="T68" s="7" t="str">
        <f t="shared" si="4"/>
        <v>당직 및 콜 대기 시간의 근로시간 해당 여부</v>
      </c>
    </row>
    <row r="69" spans="2:20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5"/>
        <v>제04장 근로시간-제01절 근로시간-05</v>
      </c>
      <c r="Q69" s="7" t="str">
        <f t="shared" si="6"/>
        <v>대법원 2024.12.26. 선고 2023다200314 판결-1</v>
      </c>
      <c r="R69" s="7" t="str">
        <f t="shared" si="7"/>
        <v>열기2-01.노동법\03.판례\[대법원 2024.12.26. 선고 2023다200314 판결]도구 개념으로서의 소정근로시간.txt</v>
      </c>
      <c r="S69" s="7" t="str">
        <f t="shared" si="8"/>
        <v>B</v>
      </c>
      <c r="T69" s="7" t="str">
        <f t="shared" ref="T69:T132" si="9">H69</f>
        <v>도구 개념으로서의 소정근로시간</v>
      </c>
    </row>
    <row r="70" spans="2:20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5"/>
        <v>제04장 근로시간-제01절 근로시간-06</v>
      </c>
      <c r="Q70" s="7" t="str">
        <f t="shared" si="6"/>
        <v>전주지방법원 2025.07.17. 선고 2022가합52925 판결-1</v>
      </c>
      <c r="R70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8"/>
        <v>B</v>
      </c>
      <c r="T70" s="7" t="str">
        <f t="shared" si="9"/>
        <v>대학교 강사의 강의시간 외 부수업무 시간까지 포함하여 주당 근로시간을 해석한 사례</v>
      </c>
    </row>
    <row r="71" spans="2:20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5"/>
        <v>제04장 근로시간-제02절 근로시간의 보호-01</v>
      </c>
      <c r="Q71" s="7" t="str">
        <f t="shared" si="6"/>
        <v>근로시간-1</v>
      </c>
      <c r="R71" s="7" t="str">
        <f t="shared" si="7"/>
        <v>열기2-01.노동법\01.본문\제04장 근로시간.제02절 근로시간의 보호.txt</v>
      </c>
      <c r="S71" s="7" t="str">
        <f t="shared" si="8"/>
        <v>C</v>
      </c>
      <c r="T71" s="7" t="str">
        <f t="shared" si="9"/>
        <v>근로시간의 보호</v>
      </c>
    </row>
    <row r="72" spans="2:20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5"/>
        <v>제04장 근로시간-제02절 근로시간의 보호-02</v>
      </c>
      <c r="Q72" s="7" t="str">
        <f t="shared" si="6"/>
        <v>2008-2-2-1</v>
      </c>
      <c r="R72" s="7" t="str">
        <f t="shared" si="7"/>
        <v>열기2-01.노동법\02.문제\[기출][1][2008-2-2]근로기준법상 연장근로 제한의 원칙, 예외, 위반의 효과.txt</v>
      </c>
      <c r="S72" s="7" t="str">
        <f t="shared" si="8"/>
        <v>C</v>
      </c>
      <c r="T72" s="7" t="str">
        <f t="shared" si="9"/>
        <v>근로기준법상 연장근로 제한의 원칙, 예외, 위반의 효과</v>
      </c>
    </row>
    <row r="73" spans="2:20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5"/>
        <v>제04장 근로시간-제03절 시간외근로-01</v>
      </c>
      <c r="Q73" s="7" t="str">
        <f t="shared" si="6"/>
        <v>근로시간-1</v>
      </c>
      <c r="R73" s="7" t="str">
        <f t="shared" si="7"/>
        <v>열기2-01.노동법\01.본문\제04장 근로시간.제03절 시간외근로.txt</v>
      </c>
      <c r="S73" s="7" t="str">
        <f t="shared" si="8"/>
        <v>C</v>
      </c>
      <c r="T73" s="7" t="str">
        <f t="shared" si="9"/>
        <v>시간외근로</v>
      </c>
    </row>
    <row r="74" spans="2:20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5"/>
        <v>제04장 근로시간-제03절 시간외근로-02</v>
      </c>
      <c r="Q74" s="7" t="str">
        <f t="shared" si="6"/>
        <v>2011-1-1</v>
      </c>
      <c r="R74" s="7" t="str">
        <f t="shared" si="7"/>
        <v>열기2-01.노동법\02.문제\[기출][1][2011-1]포괄임금제의 의의, 유효요건, 유효성 판단 시 고려 사항.txt</v>
      </c>
      <c r="S74" s="7" t="str">
        <f t="shared" si="8"/>
        <v>C</v>
      </c>
      <c r="T74" s="7" t="str">
        <f t="shared" si="9"/>
        <v>포괄임금제의 의의, 유효요건, 유효성 판단 시 고려 사항</v>
      </c>
    </row>
    <row r="75" spans="2:20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5"/>
        <v>제04장 근로시간-제04절 휴게시간-01</v>
      </c>
      <c r="Q75" s="7" t="str">
        <f t="shared" si="6"/>
        <v>근로시간-1</v>
      </c>
      <c r="R75" s="7" t="str">
        <f t="shared" si="7"/>
        <v>열기2-01.노동법\01.본문\제04장 근로시간.제04절 휴게시간.txt</v>
      </c>
      <c r="S75" s="7" t="str">
        <f t="shared" si="8"/>
        <v>C</v>
      </c>
      <c r="T75" s="7" t="str">
        <f t="shared" si="9"/>
        <v>휴게시간</v>
      </c>
    </row>
    <row r="76" spans="2:20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5"/>
        <v>제04장 근로시간-제04절 휴게시간-02</v>
      </c>
      <c r="Q76" s="7" t="str">
        <f t="shared" si="6"/>
        <v>4.04-1-1</v>
      </c>
      <c r="R76" s="7" t="str">
        <f t="shared" si="7"/>
        <v>열기2-01.노동법\02.문제\[모의][1][04.04-1]근로기준법상 휴게시간의 의의와 자유이용의 원칙 및 장소적 제약이 가해진 휴게시간의 유효성.txt</v>
      </c>
      <c r="S76" s="7" t="str">
        <f t="shared" si="8"/>
        <v>C</v>
      </c>
      <c r="T76" s="7" t="str">
        <f t="shared" si="9"/>
        <v>근로기준법상 휴게시간의 의의와 자유이용의 원칙 및 장소적 제약이 가해진 휴게시간의 유효성</v>
      </c>
    </row>
    <row r="77" spans="2:20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5"/>
        <v>제04장 근로시간-제04절 휴게시간-03</v>
      </c>
      <c r="Q77" s="7" t="str">
        <f t="shared" si="6"/>
        <v>4.04-2-1</v>
      </c>
      <c r="R77" s="7" t="str">
        <f t="shared" si="7"/>
        <v>열기2-01.노동법\02.문제\[모의][1][04.04-2]휴게시간과 근로시간 구별 기준 및 근로자의 비상대기 상태에 대한 근로시간 포함 여부.txt</v>
      </c>
      <c r="S77" s="7" t="str">
        <f t="shared" si="8"/>
        <v>C</v>
      </c>
      <c r="T77" s="7" t="str">
        <f t="shared" si="9"/>
        <v>휴게시간과 근로시간 구별 기준 및 근로자의 비상대기 상태에 대한 근로시간 포함 여부</v>
      </c>
    </row>
    <row r="78" spans="2:20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5"/>
        <v>제04장 근로시간-제05절 휴일과 휴일근로-01</v>
      </c>
      <c r="Q78" s="7" t="str">
        <f t="shared" si="6"/>
        <v>근로시간-1</v>
      </c>
      <c r="R78" s="7" t="str">
        <f t="shared" si="7"/>
        <v>열기2-01.노동법\01.본문\제04장 근로시간.제05절 휴일과 휴일근로.txt</v>
      </c>
      <c r="S78" s="7" t="str">
        <f t="shared" si="8"/>
        <v>C</v>
      </c>
      <c r="T78" s="7" t="str">
        <f t="shared" si="9"/>
        <v>휴일과 휴일근로</v>
      </c>
    </row>
    <row r="79" spans="2:20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5"/>
        <v>제04장 근로시간-제05절 휴일과 휴일근로-02</v>
      </c>
      <c r="Q79" s="7" t="str">
        <f t="shared" si="6"/>
        <v>4.05-1-1</v>
      </c>
      <c r="R79" s="7" t="str">
        <f t="shared" si="7"/>
        <v>열기2-01.노동법\02.문제\[모의][1][04.05-1]휴일근로 명령의 유효요건과 개별적 동의 여부 및 근로자의 출근 거부에 따른 징계 사유의 정당성.txt</v>
      </c>
      <c r="S79" s="7" t="str">
        <f t="shared" si="8"/>
        <v>C</v>
      </c>
      <c r="T79" s="7" t="str">
        <f t="shared" si="9"/>
        <v>휴일근로 명령의 유효요건과 개별적 동의 여부 및 근로자의 출근 거부에 따른 징계 사유의 정당성</v>
      </c>
    </row>
    <row r="80" spans="2:20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5"/>
        <v>제04장 근로시간-제05절 휴일과 휴일근로-03</v>
      </c>
      <c r="Q80" s="7" t="str">
        <f t="shared" si="6"/>
        <v>4.05-2-1</v>
      </c>
      <c r="R80" s="7" t="str">
        <f t="shared" si="7"/>
        <v>열기2-01.노동법\02.문제\[모의][1][04.05-2]휴일근로 가산수당 지급 원칙과 중복할증에 관한 판례의 태도 및 회사의 임금 미지급의 타당성.txt</v>
      </c>
      <c r="S80" s="7" t="str">
        <f t="shared" si="8"/>
        <v>C</v>
      </c>
      <c r="T80" s="7" t="str">
        <f t="shared" si="9"/>
        <v>휴일근로 가산수당 지급 원칙과 중복할증에 관한 판례의 태도 및 회사의 임금 미지급의 타당성</v>
      </c>
    </row>
    <row r="81" spans="2:20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5"/>
        <v>제04장 근로시간-제06절 연차유급휴가-01</v>
      </c>
      <c r="Q81" s="7" t="str">
        <f t="shared" si="6"/>
        <v>근로시간-1</v>
      </c>
      <c r="R81" s="7" t="str">
        <f t="shared" si="7"/>
        <v>열기2-01.노동법\01.본문\제04장 근로시간.제06절 연차유급휴가.txt</v>
      </c>
      <c r="S81" s="7" t="str">
        <f t="shared" si="8"/>
        <v>A</v>
      </c>
      <c r="T81" s="7" t="str">
        <f t="shared" si="9"/>
        <v>연차유급휴가</v>
      </c>
    </row>
    <row r="82" spans="2:20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5"/>
        <v>제04장 근로시간-제06절 연차유급휴가-02</v>
      </c>
      <c r="Q82" s="7" t="str">
        <f t="shared" si="6"/>
        <v>2016-1-1-1</v>
      </c>
      <c r="R82" s="7" t="str">
        <f t="shared" si="7"/>
        <v>열기2-01.노동법\02.문제\[기출][1][2016-1-1]적법한 파업 참가 근로자의 출근율 및 연차유급휴가 일수 산정 방식과 회사 주장의 정당성.txt</v>
      </c>
      <c r="S82" s="7" t="str">
        <f t="shared" si="8"/>
        <v>A</v>
      </c>
      <c r="T82" s="7" t="str">
        <f t="shared" si="9"/>
        <v>적법한 파업 참가 근로자의 출근율 및 연차유급휴가 일수 산정 방식과 회사 주장의 정당성</v>
      </c>
    </row>
    <row r="83" spans="2:20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5"/>
        <v>제04장 근로시간-제06절 연차유급휴가-03</v>
      </c>
      <c r="Q83" s="7" t="str">
        <f t="shared" si="6"/>
        <v>4.06-1-1</v>
      </c>
      <c r="R83" s="7" t="str">
        <f t="shared" si="7"/>
        <v>열기2-01.노동법\02.문제\[모의][1][04.06-1]단체협약상 연차휴가 사전신청 요건의 유효성 및 반려 조치의 시기변경권 행사 적법성.txt</v>
      </c>
      <c r="S83" s="7" t="str">
        <f t="shared" si="8"/>
        <v>A</v>
      </c>
      <c r="T83" s="7" t="str">
        <f t="shared" si="9"/>
        <v>단체협약상 연차휴가 사전신청 요건의 유효성 및 반려 조치의 시기변경권 행사 적법성★</v>
      </c>
    </row>
    <row r="84" spans="2:20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5"/>
        <v>제04장 근로시간-제06절 연차유급휴가-04</v>
      </c>
      <c r="Q84" s="7" t="str">
        <f t="shared" si="6"/>
        <v>4.06-2-1</v>
      </c>
      <c r="R84" s="7" t="str">
        <f t="shared" si="7"/>
        <v>열기2-01.노동법\02.문제\[모의][1][04.06-2]연차휴가 반려 후 출근하지 않은 행위의 성격 및 이를 이유로 한 감봉 처분의 정당성.txt</v>
      </c>
      <c r="S84" s="7" t="str">
        <f t="shared" si="8"/>
        <v>A</v>
      </c>
      <c r="T84" s="7" t="str">
        <f t="shared" si="9"/>
        <v>연차휴가 반려 후 출근하지 않은 행위의 성격 및 이를 이유로 한 감봉 처분의 정당성★</v>
      </c>
    </row>
    <row r="85" spans="2:20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5"/>
        <v>제04장 근로시간-제06절 연차유급휴가-05</v>
      </c>
      <c r="Q85" s="7" t="str">
        <f t="shared" si="6"/>
        <v>대법원 2025.07.17. 선고 2021도11886 판결-1</v>
      </c>
      <c r="R85" s="7" t="str">
        <f t="shared" si="7"/>
        <v>열기2-01.노동법\03.판례\[대법원 2025.07.17. 선고 2021도11886 판결]연차유급휴가 시기변경권 행사의 적법성 판단기준.txt</v>
      </c>
      <c r="S85" s="7" t="str">
        <f t="shared" si="8"/>
        <v>A</v>
      </c>
      <c r="T85" s="7" t="str">
        <f t="shared" si="9"/>
        <v>연차유급휴가 시기변경권 행사의 적법성 판단기준★</v>
      </c>
    </row>
    <row r="86" spans="2:20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5"/>
        <v>제05장 취업규칙-제01절 취업규칙의 의의와 작성-01</v>
      </c>
      <c r="Q86" s="7" t="str">
        <f t="shared" si="6"/>
        <v>취업규칙-1</v>
      </c>
      <c r="R86" s="7" t="str">
        <f t="shared" si="7"/>
        <v>열기2-01.노동법\01.본문\제05장 취업규칙.제01절 취업규칙의 의의와 작성.txt</v>
      </c>
      <c r="S86" s="7" t="str">
        <f t="shared" si="8"/>
        <v>B</v>
      </c>
      <c r="T86" s="7" t="str">
        <f t="shared" si="9"/>
        <v>취업규칙의 의의와 작성</v>
      </c>
    </row>
    <row r="87" spans="2:20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5"/>
        <v>제05장 취업규칙-제02절 취업규칙의 변경-01</v>
      </c>
      <c r="Q87" s="7" t="str">
        <f t="shared" si="6"/>
        <v>취업규칙-1</v>
      </c>
      <c r="R87" s="7" t="str">
        <f t="shared" si="7"/>
        <v>열기2-01.노동법\01.본문\제05장 취업규칙.제02절 취업규칙의 변경.txt</v>
      </c>
      <c r="S87" s="7" t="str">
        <f t="shared" si="8"/>
        <v>B</v>
      </c>
      <c r="T87" s="7" t="str">
        <f t="shared" si="9"/>
        <v>취업규칙의 변경</v>
      </c>
    </row>
    <row r="88" spans="2:20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5"/>
        <v>제05장 취업규칙-제02절 취업규칙의 변경-02</v>
      </c>
      <c r="Q88" s="7" t="str">
        <f t="shared" si="6"/>
        <v>2013-1-1-1</v>
      </c>
      <c r="R88" s="7" t="str">
        <f t="shared" si="7"/>
        <v>열기2-01.노동법\02.문제\[기출][1][2013-1-1]노사협의회 의결을 거친 인사규정(취업규칙) 변경의 효력.txt</v>
      </c>
      <c r="S88" s="7" t="str">
        <f t="shared" si="8"/>
        <v>B</v>
      </c>
      <c r="T88" s="7" t="str">
        <f t="shared" si="9"/>
        <v>노사협의회 의결을 거친 인사규정(취업규칙) 변경의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5"/>
        <v>제05장 취업규칙-제02절 취업규칙의 변경-03</v>
      </c>
      <c r="Q89" s="7" t="str">
        <f t="shared" si="6"/>
        <v>2013-1-2-1</v>
      </c>
      <c r="R89" s="7" t="str">
        <f t="shared" si="7"/>
        <v>열기2-01.노동법\02.문제\[기출][1][2013-1-2]노사협의회 의결을 거친 인사규정(취업규칙)을 근거로 한 퇴직 통보의 효력.txt</v>
      </c>
      <c r="S89" s="7" t="str">
        <f t="shared" si="8"/>
        <v>B</v>
      </c>
      <c r="T89" s="7" t="str">
        <f t="shared" si="9"/>
        <v>노사협의회 의결을 거친 인사규정(취업규칙)을 근거로 한 퇴직 통보의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5"/>
        <v>제05장 취업규칙-제02절 취업규칙의 변경-04</v>
      </c>
      <c r="Q90" s="7" t="str">
        <f t="shared" si="6"/>
        <v>2015-1-i-1</v>
      </c>
      <c r="R90" s="7" t="str">
        <f t="shared" si="7"/>
        <v>열기2-01.노동법\02.문제\[기출][1][2015-1-i]노동조합 동의 없이 개별 근로자의 동의로 변경한 인사규정의 효력.txt</v>
      </c>
      <c r="S90" s="7" t="str">
        <f t="shared" si="8"/>
        <v>B</v>
      </c>
      <c r="T90" s="7" t="str">
        <f t="shared" si="9"/>
        <v>노동조합 동의 없이 개별 근로자의 동의로 변경한 인사규정의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5"/>
        <v>제05장 취업규칙-제02절 취업규칙의 변경-05</v>
      </c>
      <c r="Q91" s="7" t="str">
        <f t="shared" si="6"/>
        <v>2021-1-1-1</v>
      </c>
      <c r="R91" s="7" t="str">
        <f t="shared" si="7"/>
        <v>열기2-01.노동법\02.문제\[기출][1][2021-1-1]비조합원에 대한 불이익 취업규칙 적용의 효력.txt</v>
      </c>
      <c r="S91" s="7" t="str">
        <f t="shared" si="8"/>
        <v>B</v>
      </c>
      <c r="T91" s="7" t="str">
        <f t="shared" si="9"/>
        <v>비조합원에 대한 불이익 취업규칙 적용의 효력</v>
      </c>
    </row>
    <row r="92" spans="2:20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5"/>
        <v>제05장 취업규칙-제02절 취업규칙의 변경-06</v>
      </c>
      <c r="Q92" s="7" t="str">
        <f t="shared" si="6"/>
        <v>2021-1-2-1</v>
      </c>
      <c r="R92" s="7" t="str">
        <f t="shared" si="7"/>
        <v>열기2-01.노동법\02.문제\[기출][1][2021-1-2]개별 근로자 대상 근로계약 대비 불이익 취업규칙의 동의 없는 적용 가능 여부.txt</v>
      </c>
      <c r="S92" s="7" t="str">
        <f t="shared" si="8"/>
        <v>B</v>
      </c>
      <c r="T92" s="7" t="str">
        <f t="shared" si="9"/>
        <v>개별 근로자 대상 근로계약 대비 불이익 취업규칙의 동의 없는 적용 가능 여부</v>
      </c>
    </row>
    <row r="93" spans="2:20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5"/>
        <v>제05장 취업규칙-제02절 취업규칙의 변경-07</v>
      </c>
      <c r="Q93" s="7" t="str">
        <f t="shared" si="6"/>
        <v>대법원 2025.02.20. 선고 2024다293092 판결-1</v>
      </c>
      <c r="R93" s="7" t="str">
        <f t="shared" si="7"/>
        <v>열기2-01.노동법\03.판례\[대법원 2025.02.20. 선고 2024다293092 판결]취업규칙의 변경이 근로자에게 불이익한지 여부를 판단하는 방식.txt</v>
      </c>
      <c r="S93" s="7" t="str">
        <f t="shared" si="8"/>
        <v>B</v>
      </c>
      <c r="T93" s="7" t="str">
        <f t="shared" si="9"/>
        <v>취업규칙의 변경이 근로자에게 불이익한지 여부를 판단하는 방식</v>
      </c>
    </row>
    <row r="94" spans="2:20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5"/>
        <v>제06장 인사처분-제01절 인사이동-01</v>
      </c>
      <c r="Q94" s="7" t="str">
        <f t="shared" si="6"/>
        <v>인사처분-1</v>
      </c>
      <c r="R94" s="7" t="str">
        <f t="shared" si="7"/>
        <v>열기2-01.노동법\01.본문\제06장 인사처분.제01절 인사이동.txt</v>
      </c>
      <c r="S94" s="7" t="str">
        <f t="shared" si="8"/>
        <v>B</v>
      </c>
      <c r="T94" s="7" t="str">
        <f t="shared" si="9"/>
        <v>인사이동</v>
      </c>
    </row>
    <row r="95" spans="2:20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5"/>
        <v>제06장 인사처분-제01절 인사이동-02</v>
      </c>
      <c r="Q95" s="7" t="str">
        <f t="shared" si="6"/>
        <v>서울행정법원 2025.03.20. 선고 2023구합86690 판결-1</v>
      </c>
      <c r="R95" s="7" t="str">
        <f t="shared" si="7"/>
        <v>열기2-01.노동법\03.판례\[서울행정법원 2025.03.20. 선고 2023구합86690 판결]부당인사명령의 판단 구조.txt</v>
      </c>
      <c r="S95" s="7" t="str">
        <f t="shared" si="8"/>
        <v>B</v>
      </c>
      <c r="T95" s="7" t="str">
        <f t="shared" si="9"/>
        <v>부당인사명령의 판단 구조</v>
      </c>
    </row>
    <row r="96" spans="2:20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5"/>
        <v>제06장 인사처분-제02절 전직-01</v>
      </c>
      <c r="Q96" s="7" t="str">
        <f t="shared" si="6"/>
        <v>인사처분-1</v>
      </c>
      <c r="R96" s="7" t="str">
        <f t="shared" si="7"/>
        <v>열기2-01.노동법\01.본문\제06장 인사처분.제02절 전직.txt</v>
      </c>
      <c r="S96" s="7" t="str">
        <f t="shared" si="8"/>
        <v>B</v>
      </c>
      <c r="T96" s="7" t="str">
        <f t="shared" si="9"/>
        <v>전직</v>
      </c>
    </row>
    <row r="97" spans="2:20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5"/>
        <v>제06장 인사처분-제02절 전직-02</v>
      </c>
      <c r="Q97" s="7" t="str">
        <f t="shared" si="6"/>
        <v>서울고등법원 2025.07.11. 선고 2024나2030688 판결-1</v>
      </c>
      <c r="R97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8"/>
        <v>B</v>
      </c>
      <c r="T97" s="7" t="str">
        <f t="shared" si="9"/>
        <v>노동조합의 사전합의권 남용 법리와 근로계약 변경에 대한 개별 동의권 배제</v>
      </c>
    </row>
    <row r="98" spans="2:20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5"/>
        <v>제06장 인사처분-제03절 전적-01</v>
      </c>
      <c r="Q98" s="7" t="str">
        <f t="shared" si="6"/>
        <v>인사처분-1</v>
      </c>
      <c r="R98" s="7" t="str">
        <f t="shared" si="7"/>
        <v>열기2-01.노동법\01.본문\제06장 인사처분.제03절 전적.txt</v>
      </c>
      <c r="S98" s="7" t="str">
        <f t="shared" si="8"/>
        <v>B</v>
      </c>
      <c r="T98" s="7" t="str">
        <f t="shared" si="9"/>
        <v>전적</v>
      </c>
    </row>
    <row r="99" spans="2:20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5"/>
        <v>제06장 인사처분-제03절 전적-02</v>
      </c>
      <c r="Q99" s="7" t="str">
        <f t="shared" si="6"/>
        <v>2010-2-1</v>
      </c>
      <c r="R99" s="7" t="str">
        <f t="shared" si="7"/>
        <v>열기2-01.노동법\02.문제\[기출][1][2010-2]전적명령의 법적 성격, 유효요건, 남용 판단 기준.txt</v>
      </c>
      <c r="S99" s="7" t="str">
        <f t="shared" si="8"/>
        <v>B</v>
      </c>
      <c r="T99" s="7" t="str">
        <f t="shared" si="9"/>
        <v>전적명령의 법적 성격, 유효요건, 남용 판단 기준</v>
      </c>
    </row>
    <row r="100" spans="2:20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5"/>
        <v>제06장 인사처분-제04절 휴직-01</v>
      </c>
      <c r="Q100" s="7" t="str">
        <f t="shared" si="6"/>
        <v>인사처분-1</v>
      </c>
      <c r="R100" s="7" t="str">
        <f t="shared" si="7"/>
        <v>열기2-01.노동법\01.본문\제06장 인사처분.제04절 휴직.txt</v>
      </c>
      <c r="S100" s="7" t="str">
        <f t="shared" si="8"/>
        <v>B</v>
      </c>
      <c r="T100" s="7" t="str">
        <f t="shared" si="9"/>
        <v>휴직</v>
      </c>
    </row>
    <row r="101" spans="2:20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5"/>
        <v>제06장 인사처분-제04절 휴직-02</v>
      </c>
      <c r="Q101" s="7" t="str">
        <f t="shared" si="6"/>
        <v>2015-1-ii-1</v>
      </c>
      <c r="R101" s="7" t="str">
        <f t="shared" si="7"/>
        <v>열기2-01.노동법\02.문제\[기출][1][2015-1-ii]노동조합 동의 없이 개별 근로자의 동의로 변경한 인사규정을 근거로 한 휴직 명령 유지의 정당성.txt</v>
      </c>
      <c r="S101" s="7" t="str">
        <f t="shared" si="8"/>
        <v>B</v>
      </c>
      <c r="T101" s="7" t="str">
        <f t="shared" si="9"/>
        <v>노동조합 동의 없이 개별 근로자의 동의로 변경한 인사규정을 근거로 한 휴직 명령 유지의 정당성</v>
      </c>
    </row>
    <row r="102" spans="2:20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5"/>
        <v>제06장 인사처분-제05절 징계-01</v>
      </c>
      <c r="Q102" s="7" t="str">
        <f t="shared" si="6"/>
        <v>인사처분-1</v>
      </c>
      <c r="R102" s="7" t="str">
        <f t="shared" si="7"/>
        <v>열기2-01.노동법\01.본문\제06장 인사처분.제05절 징계.txt</v>
      </c>
      <c r="S102" s="7" t="str">
        <f t="shared" si="8"/>
        <v>B</v>
      </c>
      <c r="T102" s="7" t="str">
        <f t="shared" si="9"/>
        <v>징계</v>
      </c>
    </row>
    <row r="103" spans="2:20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5"/>
        <v>제06장 인사처분-제05절 징계-02</v>
      </c>
      <c r="Q103" s="7" t="str">
        <f t="shared" si="6"/>
        <v>2023-1-2-1</v>
      </c>
      <c r="R103" s="7" t="str">
        <f t="shared" si="7"/>
        <v>열기2-01.노동법\02.문제\[기출][1][2023-1-2]절차의 흠결이 있는 징계의 효력에 대한 노조 대표자 주장의 타당성.txt</v>
      </c>
      <c r="S103" s="7" t="str">
        <f t="shared" si="8"/>
        <v>B</v>
      </c>
      <c r="T103" s="7" t="str">
        <f t="shared" si="9"/>
        <v>절차의 흠결이 있는 징계의 효력에 대한 노조 대표자 주장의 타당성+</v>
      </c>
    </row>
    <row r="104" spans="2:20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5"/>
        <v>제06장 인사처분-제06절 직위해제(대기발령)-01</v>
      </c>
      <c r="Q104" s="7" t="str">
        <f t="shared" si="6"/>
        <v>인사처분-1</v>
      </c>
      <c r="R104" s="7" t="str">
        <f t="shared" si="7"/>
        <v>열기2-01.노동법\01.본문\제06장 인사처분.제06절 직위해제(대기발령).txt</v>
      </c>
      <c r="S104" s="7" t="str">
        <f t="shared" si="8"/>
        <v>B</v>
      </c>
      <c r="T104" s="7" t="str">
        <f t="shared" si="9"/>
        <v>직위해제(대기발령)</v>
      </c>
    </row>
    <row r="105" spans="2:20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5"/>
        <v>제06장 인사처분-제06절 직위해제0(대기발령)-02</v>
      </c>
      <c r="Q105" s="7" t="str">
        <f t="shared" si="6"/>
        <v>2014-1-1-1</v>
      </c>
      <c r="R105" s="7" t="str">
        <f t="shared" si="7"/>
        <v>열기2-01.노동법\02.문제\[기출][1][2014-1-1]근무성적 불량 직원에 대한 직위해제・대기발령 처분의 정당성.txt</v>
      </c>
      <c r="S105" s="7" t="str">
        <f t="shared" si="8"/>
        <v>B</v>
      </c>
      <c r="T105" s="7" t="str">
        <f t="shared" si="9"/>
        <v>근무성적 불량 직원에 대한 직위해제・대기발령 처분의 정당성</v>
      </c>
    </row>
    <row r="106" spans="2:20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5"/>
        <v>제07장 근로관계의 이전-제01절 영업양도-01</v>
      </c>
      <c r="Q106" s="7" t="str">
        <f t="shared" si="6"/>
        <v>근로관계의 이전-1</v>
      </c>
      <c r="R106" s="7" t="str">
        <f t="shared" si="7"/>
        <v>열기2-01.노동법\01.본문\제07장 근로관계의 이전.제01절 영업양도.txt</v>
      </c>
      <c r="S106" s="7" t="str">
        <f t="shared" si="8"/>
        <v>C</v>
      </c>
      <c r="T106" s="7" t="str">
        <f t="shared" si="9"/>
        <v>영업양도</v>
      </c>
    </row>
    <row r="107" spans="2:20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5"/>
        <v>제07장 근로관계의 이전-제01절 영업양도-02</v>
      </c>
      <c r="Q107" s="7" t="str">
        <f t="shared" si="6"/>
        <v>2013-2-1</v>
      </c>
      <c r="R107" s="7" t="str">
        <f t="shared" si="7"/>
        <v>열기2-01.노동법\02.문제\[기출][1][2013-2]영업양도 상황에서 근로관계 승계 거부 시 회사와 근로자의 법률 관계.txt</v>
      </c>
      <c r="S107" s="7" t="str">
        <f t="shared" si="8"/>
        <v>C</v>
      </c>
      <c r="T107" s="7" t="str">
        <f t="shared" si="9"/>
        <v>영업양도 상황에서 근로관계 승계 거부 시 회사와 근로자의 법률 관계</v>
      </c>
    </row>
    <row r="108" spans="2:20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5"/>
        <v>제07장 근로관계의 이전-제01절 영업양도-03</v>
      </c>
      <c r="Q108" s="7" t="str">
        <f t="shared" si="6"/>
        <v>2024-1-2-1</v>
      </c>
      <c r="R108" s="7" t="str">
        <f t="shared" si="7"/>
        <v>열기2-01.노동법\02.문제\[기출][1][2024-1-2]영업양도 상황에서 회사 잔류를 희망한 근로자의 해고에 대한 정당성.txt</v>
      </c>
      <c r="S108" s="7" t="str">
        <f t="shared" si="8"/>
        <v>C</v>
      </c>
      <c r="T108" s="7" t="str">
        <f t="shared" si="9"/>
        <v>영업양도 상황에서 회사 잔류를 희망한 근로자의 해고에 대한 정당성</v>
      </c>
    </row>
    <row r="109" spans="2:20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5"/>
        <v>제07장 근로관계의 이전-제01절 영업양도-04</v>
      </c>
      <c r="Q109" s="7" t="str">
        <f t="shared" si="6"/>
        <v>수원지방법원 안양지원 2025.02.20. 선고 2023가단113982 판결-1</v>
      </c>
      <c r="R109" s="7" t="str">
        <f t="shared" si="7"/>
        <v>열기2-01.노동법\03.판례\[수원지방법원 안양지원 2025.02.20. 선고 2023가단113982 판결]용역업체 간 고용승계 시 적용되는 근로조건.txt</v>
      </c>
      <c r="S109" s="7" t="str">
        <f t="shared" si="8"/>
        <v>C</v>
      </c>
      <c r="T109" s="7" t="str">
        <f t="shared" si="9"/>
        <v>용역업체 간 고용승계 시 적용되는 근로조건</v>
      </c>
    </row>
    <row r="110" spans="2:20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5"/>
        <v>제07장 근로관계의 이전-제02절 합병-01</v>
      </c>
      <c r="Q110" s="7" t="str">
        <f t="shared" si="6"/>
        <v>근로관계의 이전-1</v>
      </c>
      <c r="R110" s="7" t="str">
        <f t="shared" si="7"/>
        <v>열기2-01.노동법\01.본문\제07장 근로관계의 이전.제02절 합병.txt</v>
      </c>
      <c r="S110" s="7" t="str">
        <f t="shared" si="8"/>
        <v>C</v>
      </c>
      <c r="T110" s="7" t="str">
        <f t="shared" si="9"/>
        <v>합병</v>
      </c>
    </row>
    <row r="111" spans="2:20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5"/>
        <v>제07장 근로관계의 이전-제02절 합병-02</v>
      </c>
      <c r="Q111" s="7" t="str">
        <f t="shared" si="6"/>
        <v>7.02-1-1</v>
      </c>
      <c r="R111" s="7" t="str">
        <f t="shared" si="7"/>
        <v>열기2-01.노동법\02.문제\[모의][1][07.02-1]기업 합병 시 특정 근로자에 대한 승계 거부 및 해고 통보의 법적 효력.txt</v>
      </c>
      <c r="S111" s="7" t="str">
        <f t="shared" si="8"/>
        <v>C</v>
      </c>
      <c r="T111" s="7" t="str">
        <f t="shared" si="9"/>
        <v>기업 합병 시 특정 근로자에 대한 승계 거부 및 해고 통보의 법적 효력</v>
      </c>
    </row>
    <row r="112" spans="2:20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5"/>
        <v>제07장 근로관계의 이전-제02절 합병-03</v>
      </c>
      <c r="Q112" s="7" t="str">
        <f t="shared" si="6"/>
        <v>7.02-2-1</v>
      </c>
      <c r="R112" s="7" t="str">
        <f t="shared" si="7"/>
        <v>열기2-01.노동법\02.문제\[모의][1][07.02-2]기업 합병 후 근로조건의 일방적 변경 및 취업규칙 적용의 법적 효력.txt</v>
      </c>
      <c r="S112" s="7" t="str">
        <f t="shared" si="8"/>
        <v>C</v>
      </c>
      <c r="T112" s="7" t="str">
        <f t="shared" si="9"/>
        <v>기업 합병 후 근로조건의 일방적 변경 및 취업규칙 적용의 법적 효력</v>
      </c>
    </row>
    <row r="113" spans="2:20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5"/>
        <v>제07장 근로관계의 이전-제03절 분할-01</v>
      </c>
      <c r="Q113" s="7" t="str">
        <f t="shared" si="6"/>
        <v>근로관계의 이전-1</v>
      </c>
      <c r="R113" s="7" t="str">
        <f t="shared" si="7"/>
        <v>열기2-01.노동법\01.본문\제07장 근로관계의 이전.제03절 분할.txt</v>
      </c>
      <c r="S113" s="7" t="str">
        <f t="shared" si="8"/>
        <v>C</v>
      </c>
      <c r="T113" s="7" t="str">
        <f t="shared" si="9"/>
        <v>분할</v>
      </c>
    </row>
    <row r="114" spans="2:20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5"/>
        <v>제07장 근로관계의 이전-제03절 분할-02</v>
      </c>
      <c r="Q114" s="7" t="str">
        <f t="shared" si="6"/>
        <v>2015-2-1</v>
      </c>
      <c r="R114" s="7" t="str">
        <f t="shared" si="7"/>
        <v>열기2-01.노동법\02.문제\[기출][1][2015-2]회사분할에 따른 근로관계 승계 시 개별 근로자의 거부권 행사 가능 여부.txt</v>
      </c>
      <c r="S114" s="7" t="str">
        <f t="shared" si="8"/>
        <v>C</v>
      </c>
      <c r="T114" s="7" t="str">
        <f t="shared" si="9"/>
        <v>회사분할에 따른 근로관계 승계 시 개별 근로자의 거부권 행사 가능 여부</v>
      </c>
    </row>
    <row r="115" spans="2:20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5"/>
        <v>제08장 근로관계의 종료-제01절 근로관계 종료의 유형-01</v>
      </c>
      <c r="Q115" s="7" t="str">
        <f t="shared" si="6"/>
        <v>근로관계의 종료-1</v>
      </c>
      <c r="R115" s="7" t="str">
        <f t="shared" si="7"/>
        <v>열기2-01.노동법\01.본문\제08장 근로관계의 종료.제01절 근로관계 종료의 유형.txt</v>
      </c>
      <c r="S115" s="7" t="str">
        <f t="shared" si="8"/>
        <v>C</v>
      </c>
      <c r="T115" s="7" t="str">
        <f t="shared" si="9"/>
        <v>근로관계 종료의 유형</v>
      </c>
    </row>
    <row r="116" spans="2:20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5"/>
        <v>제08장 근로관계의 종료-제01절 근로관계 종료의 유형-02</v>
      </c>
      <c r="Q116" s="7" t="str">
        <f t="shared" si="6"/>
        <v>대법원 2025.10.16. 선고 2025다204730 판결-1</v>
      </c>
      <c r="R116" s="7" t="str">
        <f t="shared" si="7"/>
        <v>열기2-01.노동법\03.판례\[대법원 2025.10.16. 선고 2025다204730 판결]노동위원회 등에 제출하기 위해 상대방 동의 없이 녹음한 행위의 위법성 여부.txt</v>
      </c>
      <c r="S116" s="7" t="str">
        <f t="shared" si="8"/>
        <v>C</v>
      </c>
      <c r="T116" s="7" t="str">
        <f t="shared" si="9"/>
        <v>노동위원회 등에 제출하기 위해 상대방 동의 없이 녹음한 행위의 위법성 여부</v>
      </c>
    </row>
    <row r="117" spans="2:20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5"/>
        <v>제08장 근로관계의 종료-제02절 해고의 실체적 정당성-01</v>
      </c>
      <c r="Q117" s="7" t="str">
        <f t="shared" si="6"/>
        <v>근로관계의 종료-1</v>
      </c>
      <c r="R117" s="7" t="str">
        <f t="shared" si="7"/>
        <v>열기2-01.노동법\01.본문\제08장 근로관계의 종료.제02절 해고의 실체적 정당성.txt</v>
      </c>
      <c r="S117" s="7" t="str">
        <f t="shared" si="8"/>
        <v>B</v>
      </c>
      <c r="T117" s="7" t="str">
        <f t="shared" si="9"/>
        <v>해고의 실체적 정당성</v>
      </c>
    </row>
    <row r="118" spans="2:20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5"/>
        <v>제08장 근로관계의 종료-제02절 해고의 실체적 정당성-02</v>
      </c>
      <c r="Q118" s="7" t="str">
        <f t="shared" si="6"/>
        <v>2008-1-1</v>
      </c>
      <c r="R118" s="7" t="str">
        <f t="shared" si="7"/>
        <v>열기2-01.노동법\02.문제\[기출][1][2008-1]경영상 이유에 의한 해고의 의의, 요건, 절차 및 구제, 재고용 의무.txt</v>
      </c>
      <c r="S118" s="7" t="str">
        <f t="shared" si="8"/>
        <v>B</v>
      </c>
      <c r="T118" s="7" t="str">
        <f t="shared" si="9"/>
        <v>경영상 이유에 의한 해고의 의의, 요건, 절차 및 구제, 재고용 의무</v>
      </c>
    </row>
    <row r="119" spans="2:20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5"/>
        <v>제08장 근로관계의 종료-제02절 해고의 실체적 정당성-03</v>
      </c>
      <c r="Q119" s="7" t="str">
        <f t="shared" si="6"/>
        <v>2014-1-2-1</v>
      </c>
      <c r="R119" s="7" t="str">
        <f t="shared" si="7"/>
        <v>열기2-01.노동법\02.문제\[기출][1][2014-1-2]직위해제 및 대기발령 이후 재발령 없이 당연퇴직된 처분의 정당성.txt</v>
      </c>
      <c r="S119" s="7" t="str">
        <f t="shared" si="8"/>
        <v>B</v>
      </c>
      <c r="T119" s="7" t="str">
        <f t="shared" si="9"/>
        <v>직위해제 및 대기발령 이후 재발령 없이 당연퇴직된 처분의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5"/>
        <v>제08장 근로관계의 종료-제02절 해고의 실체적 정당성-04</v>
      </c>
      <c r="Q120" s="7" t="str">
        <f t="shared" si="6"/>
        <v>2016-1-2-1</v>
      </c>
      <c r="R120" s="7" t="str">
        <f t="shared" si="7"/>
        <v>열기2-01.노동법\02.문제\[기출][1][2016-1-2]이력서 허위 기재를 근거로 한 해고의 정당성.txt</v>
      </c>
      <c r="S120" s="7" t="str">
        <f t="shared" si="8"/>
        <v>B</v>
      </c>
      <c r="T120" s="7" t="str">
        <f t="shared" si="9"/>
        <v>이력서 허위 기재를 근거로 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5"/>
        <v>제08장 근로관계의 종료-제02절 해고의 실체적 정당성-05</v>
      </c>
      <c r="Q121" s="7" t="str">
        <f t="shared" si="6"/>
        <v>2017-1-1-1</v>
      </c>
      <c r="R121" s="7" t="str">
        <f t="shared" si="7"/>
        <v>열기2-01.노동법\02.문제\[기출][1][2017-1-1]확정되지 않은 징계사유로 단행된 해고의 정당성.txt</v>
      </c>
      <c r="S121" s="7" t="str">
        <f t="shared" si="8"/>
        <v>B</v>
      </c>
      <c r="T121" s="7" t="str">
        <f t="shared" si="9"/>
        <v>확정되지 않은 징계사유로 단행된 해고의 정당성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5"/>
        <v>제08장 근로관계의 종료-제02절 해고의 실체적 정당성-06</v>
      </c>
      <c r="Q122" s="7" t="str">
        <f t="shared" si="6"/>
        <v>2019-1-1-1</v>
      </c>
      <c r="R122" s="7" t="str">
        <f t="shared" si="7"/>
        <v>열기2-01.노동법\02.문제\[기출][1][2019-1-1]경영상 이유에 의한 해고 대상자 선정 기준의 위법성.txt</v>
      </c>
      <c r="S122" s="7" t="str">
        <f t="shared" si="8"/>
        <v>B</v>
      </c>
      <c r="T122" s="7" t="str">
        <f t="shared" si="9"/>
        <v>경영상 이유에 의한 해고 대상자 선정 기준의 위법성</v>
      </c>
    </row>
    <row r="123" spans="2:20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5"/>
        <v>제08장 근로관계의 종료-제02절 해고의 실체적 정당성-07</v>
      </c>
      <c r="Q123" s="7" t="str">
        <f t="shared" si="6"/>
        <v>2022-1-1-1</v>
      </c>
      <c r="R123" s="7" t="str">
        <f t="shared" si="7"/>
        <v>열기2-01.노동법\02.문제\[기출][1][2022-1-1]근무성적 불량 저성과자 해고의 정당성 요건 및 해고처분의 타당성 여부.txt</v>
      </c>
      <c r="S123" s="7" t="str">
        <f t="shared" si="8"/>
        <v>B</v>
      </c>
      <c r="T123" s="7" t="str">
        <f t="shared" si="9"/>
        <v>근무성적 불량 저성과자 해고의 정당성 요건 및 해고처분의 타당성 여부</v>
      </c>
    </row>
    <row r="124" spans="2:20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5"/>
        <v>제08장 근로관계의 종료-제02절 해고의 실체적 정당성-08</v>
      </c>
      <c r="Q124" s="7" t="str">
        <f t="shared" si="6"/>
        <v>2023-1-1-1</v>
      </c>
      <c r="R124" s="7" t="str">
        <f t="shared" si="7"/>
        <v>열기2-01.노동법\02.문제\[기출][1][2023-1-1]경영상 이유에 의한 해고 대상자 선정 기준에 대한 합리성 및 공정성.txt</v>
      </c>
      <c r="S124" s="7" t="str">
        <f t="shared" si="8"/>
        <v>B</v>
      </c>
      <c r="T124" s="7" t="str">
        <f t="shared" si="9"/>
        <v>경영상 이유에 의한 해고 대상자 선정 기준에 대한 합리성 및 공정성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5"/>
        <v>제08장 근로관계의 종료-제02절 해고의 실체적 정당성-09</v>
      </c>
      <c r="Q125" s="7" t="str">
        <f t="shared" si="6"/>
        <v>2024-1-2-1</v>
      </c>
      <c r="R125" s="7" t="str">
        <f t="shared" si="7"/>
        <v>열기2-01.노동법\02.문제\[기출][1][2024-1-2]영업양도 상황에서 회사 잔류를 희망한 근로자의 해고에 대한 정당성.txt</v>
      </c>
      <c r="S125" s="7" t="str">
        <f t="shared" si="8"/>
        <v>C</v>
      </c>
      <c r="T125" s="7" t="str">
        <f t="shared" si="9"/>
        <v>영업양도 상황에서 회사 잔류를 희망한 근로자의 해고에 대한 정당성</v>
      </c>
    </row>
    <row r="126" spans="2:20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5"/>
        <v>제08장 근로관계의 종료-제02절 해고의 실체적 정당성-10</v>
      </c>
      <c r="Q126" s="7" t="str">
        <f t="shared" si="6"/>
        <v>2025-1-1-1</v>
      </c>
      <c r="R126" s="7" t="str">
        <f t="shared" si="7"/>
        <v>열기2-01.노동법\02.문제\[기출][1][2025-1-1]우선재고용의무 위반에 따른 근로자 지위 인정 여부.txt</v>
      </c>
      <c r="S126" s="7" t="str">
        <f t="shared" si="8"/>
        <v>B</v>
      </c>
      <c r="T126" s="7" t="str">
        <f t="shared" si="9"/>
        <v>우선재고용의무 위반에 따른 근로자 지위 인정 여부</v>
      </c>
    </row>
    <row r="127" spans="2:20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5"/>
        <v>제08장 근로관계의 종료-제02절 해고의 실체적 정당성-11</v>
      </c>
      <c r="Q127" s="7" t="str">
        <f t="shared" si="6"/>
        <v>2025-1-2-1</v>
      </c>
      <c r="R127" s="7" t="str">
        <f t="shared" si="7"/>
        <v>열기2-01.노동법\02.문제\[기출][1][2025-1-2]우선재고용의무 위반 시 손해배상의무의 발생 시점 및 배상액 산정 방식(중간수입공제).txt</v>
      </c>
      <c r="S127" s="7" t="str">
        <f t="shared" si="8"/>
        <v>B</v>
      </c>
      <c r="T127" s="7" t="str">
        <f t="shared" si="9"/>
        <v>우선재고용의무 위반 시 손해배상의무의 발생 시점 및 배상액 산정 방식(중간수입공제)</v>
      </c>
    </row>
    <row r="128" spans="2:20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5"/>
        <v>제08장 근로관계의 종료-제02절 해고의 실체적 정당성-12</v>
      </c>
      <c r="Q128" s="7" t="str">
        <f t="shared" si="6"/>
        <v>8.02-1-1</v>
      </c>
      <c r="R128" s="7" t="str">
        <f t="shared" si="7"/>
        <v>열기2-01.노동법\02.문제\[모의][1][08.02-1]권고사직을 거부한 근로자에 대한 해고 방안.txt</v>
      </c>
      <c r="S128" s="7" t="str">
        <f t="shared" si="8"/>
        <v>A</v>
      </c>
      <c r="T128" s="7" t="str">
        <f t="shared" si="9"/>
        <v>권고사직을 거부한 근로자에 대한 해고 방안</v>
      </c>
    </row>
    <row r="129" spans="2:20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5"/>
        <v>제08장 근로관계의 종료-제02절 해고의 실체적 정당성-13</v>
      </c>
      <c r="Q129" s="7" t="str">
        <f t="shared" si="6"/>
        <v>서울중앙지방법원 2024.11.15. 선고 2023가합86650 판결-1</v>
      </c>
      <c r="R129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8"/>
        <v>B</v>
      </c>
      <c r="T129" s="7" t="str">
        <f t="shared" si="9"/>
        <v>경영상 이유에 의한 해고자에 대한 우선재고용의무의 요건인 ‘같은 업무’의 판단기준</v>
      </c>
    </row>
    <row r="130" spans="2:20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5"/>
        <v>제08장 근로관계의 종료-제03절 해고의 절차적 정당성-01</v>
      </c>
      <c r="Q130" s="7" t="str">
        <f t="shared" si="6"/>
        <v>근로관계의 종료-1</v>
      </c>
      <c r="R130" s="7" t="str">
        <f t="shared" si="7"/>
        <v>열기2-01.노동법\01.본문\제08장 근로관계의 종료.제03절 해고의 절차적 정당성.txt</v>
      </c>
      <c r="S130" s="7" t="str">
        <f t="shared" si="8"/>
        <v>A</v>
      </c>
      <c r="T130" s="7" t="str">
        <f t="shared" si="9"/>
        <v>해고의 절차적 정당성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5"/>
        <v>제08장 근로관계의 종료-제03절 해고의 절차적 정당성-02</v>
      </c>
      <c r="Q131" s="7" t="str">
        <f t="shared" si="6"/>
        <v>2009-1-1</v>
      </c>
      <c r="R131" s="7" t="str">
        <f t="shared" si="7"/>
        <v>열기2-01.노동법\02.문제\[기출][1][2009-1]해고의 예고와 해고의 서면 통지에 대한 의의, 내용, 예외, 법적 효과.txt</v>
      </c>
      <c r="S131" s="7" t="str">
        <f t="shared" si="8"/>
        <v>A</v>
      </c>
      <c r="T131" s="7" t="str">
        <f t="shared" si="9"/>
        <v>해고의 예고와 해고의 서면 통지에 대한 의의, 내용, 예외, 법적 효과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0">B132&amp;"-"&amp;C132&amp;"-"&amp;G132</f>
        <v>제08장 근로관계의 종료-제03절 해고의 절차적 정당성-03</v>
      </c>
      <c r="Q132" s="7" t="str">
        <f t="shared" ref="Q132:Q195" si="11">E132&amp;"-"&amp;F132</f>
        <v>2011-2-1</v>
      </c>
      <c r="R132" s="7" t="str">
        <f t="shared" ref="R132:R195" si="12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3">K132</f>
        <v>A</v>
      </c>
      <c r="T132" s="7" t="str">
        <f t="shared" si="9"/>
        <v>기간제 근로자와 회사가 주장할 수 있는 해고 관련 노동법상 쟁점(해고의 절차 및 구제신청의 이익)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0"/>
        <v>제08장 근로관계의 종료-제03절 해고의 절차적 정당성-04</v>
      </c>
      <c r="Q133" s="7" t="str">
        <f t="shared" si="11"/>
        <v>2014-1-2-2</v>
      </c>
      <c r="R133" s="7" t="str">
        <f t="shared" si="12"/>
        <v>열기2-01.노동법\02.문제\[기출][2][2014-1-2]단체협약상 규정된 합의 없이 실시한 정리해고의 유효성.txt</v>
      </c>
      <c r="S133" s="7" t="str">
        <f t="shared" si="13"/>
        <v>A</v>
      </c>
      <c r="T133" s="7" t="str">
        <f t="shared" ref="T133:T196" si="14">H133</f>
        <v>단체협약상 규정된 합의 없이 실시한 정리해고의 유효성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0"/>
        <v>제08장 근로관계의 종료-제03절 해고의 절차적 정당성-05</v>
      </c>
      <c r="Q134" s="7" t="str">
        <f t="shared" si="11"/>
        <v>2016-2-1</v>
      </c>
      <c r="R134" s="7" t="str">
        <f t="shared" si="12"/>
        <v>열기2-01.노동법\02.문제\[기출][1][2016-2]시용기간 만료 시 본채용 거부의 해고 여부 및 구두 통보의 정당성.txt</v>
      </c>
      <c r="S134" s="7" t="str">
        <f t="shared" si="13"/>
        <v>A</v>
      </c>
      <c r="T134" s="7" t="str">
        <f t="shared" si="14"/>
        <v>시용기간 만료 시 본채용 거부의 해고 여부 및 구두 통보의 정당성</v>
      </c>
    </row>
    <row r="135" spans="2:20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0"/>
        <v>제08장 근로관계의 종료-제03절 해고의 절차적 정당성-06</v>
      </c>
      <c r="Q135" s="7" t="str">
        <f t="shared" si="11"/>
        <v>2022-1-2-1</v>
      </c>
      <c r="R135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3"/>
        <v>A</v>
      </c>
      <c r="T135" s="7" t="str">
        <f t="shared" si="14"/>
        <v>근로자가 해고사유를 구두로 인지하고 있는 경우 해고통지서상 해고사유 기재 누락 시 근로기준법 위반 여부</v>
      </c>
    </row>
    <row r="136" spans="2:20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0"/>
        <v>제08장 근로관계의 종료-제03절 해고의 절차적 정당성-07</v>
      </c>
      <c r="Q136" s="7" t="str">
        <f t="shared" si="11"/>
        <v>8.02-1-1</v>
      </c>
      <c r="R136" s="7" t="str">
        <f t="shared" si="12"/>
        <v>열기2-01.노동법\02.문제\[모의][1][08.02-1]권고사직을 거부한 근로자에 대한 해고 방안.txt</v>
      </c>
      <c r="S136" s="7" t="str">
        <f t="shared" si="13"/>
        <v>A</v>
      </c>
      <c r="T136" s="7" t="str">
        <f t="shared" si="14"/>
        <v>권고사직을 거부한 근로자에 대한 해고 방안</v>
      </c>
    </row>
    <row r="137" spans="2:20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0"/>
        <v>제08장 근로관계의 종료-제04절 부당해고의 구제-01</v>
      </c>
      <c r="Q137" s="7" t="str">
        <f t="shared" si="11"/>
        <v>근로관계의 종료-1</v>
      </c>
      <c r="R137" s="7" t="str">
        <f t="shared" si="12"/>
        <v>열기2-01.노동법\01.본문\제08장 근로관계의 종료.제04절 부당해고의 구제.txt</v>
      </c>
      <c r="S137" s="7" t="str">
        <f t="shared" si="13"/>
        <v>C</v>
      </c>
      <c r="T137" s="7" t="str">
        <f t="shared" si="14"/>
        <v>부당해고의 구제</v>
      </c>
    </row>
    <row r="138" spans="2:20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1760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1817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1818</v>
      </c>
      <c r="I187" s="6" t="s">
        <v>1819</v>
      </c>
      <c r="J187" s="37">
        <v>1435</v>
      </c>
      <c r="K187" s="38" t="s">
        <v>1350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1817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15">B196&amp;"-"&amp;C196&amp;"-"&amp;G196</f>
        <v>제12장 단체교섭-제02절 단체교섭의 담당자-02</v>
      </c>
      <c r="Q196" s="7" t="str">
        <f t="shared" ref="Q196:Q259" si="16">E196&amp;"-"&amp;F196</f>
        <v>2023-1-1-2</v>
      </c>
      <c r="R196" s="7" t="str">
        <f t="shared" ref="R196:R259" si="17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18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15"/>
        <v>제12장 단체교섭-제03절 단체교섭의 대상-01</v>
      </c>
      <c r="Q197" s="7" t="str">
        <f t="shared" si="16"/>
        <v>단체교섭-2</v>
      </c>
      <c r="R197" s="7" t="str">
        <f t="shared" si="17"/>
        <v>열기2-01.노동법\01.본문\제12장 단체교섭.제03절 단체교섭의 대상.txt</v>
      </c>
      <c r="S197" s="7" t="str">
        <f t="shared" si="18"/>
        <v>A</v>
      </c>
      <c r="T197" s="7" t="str">
        <f t="shared" ref="T197:T260" si="19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15"/>
        <v>제12장 단체교섭-제03절 단체교섭의 대상-02</v>
      </c>
      <c r="Q198" s="7" t="str">
        <f t="shared" si="16"/>
        <v>2008-1-2</v>
      </c>
      <c r="R198" s="7" t="str">
        <f t="shared" si="17"/>
        <v>열기2-01.노동법\02.문제\[기출][2][2008-1]단체협약상 동의조항의 효력(노동조합의 동의권에 대한 범위), 경영권에 대한 단체교섭의 대상성.txt</v>
      </c>
      <c r="S198" s="7" t="str">
        <f t="shared" si="18"/>
        <v>B</v>
      </c>
      <c r="T198" s="7" t="str">
        <f t="shared" si="19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15"/>
        <v>제12장 단체교섭-제03절 단체교섭의 대상-03</v>
      </c>
      <c r="Q199" s="7" t="str">
        <f t="shared" si="16"/>
        <v>2011-1-2</v>
      </c>
      <c r="R199" s="7" t="str">
        <f t="shared" si="17"/>
        <v>열기2-01.노동법\02.문제\[기출][2][2011-1]산별노동조합 지회의 단체교섭 주체성 인정 여부, 사업부 매각 결정(경영권)의 단체교섭 대상성 여부.txt</v>
      </c>
      <c r="S199" s="7" t="str">
        <f t="shared" si="18"/>
        <v>A</v>
      </c>
      <c r="T199" s="7" t="str">
        <f t="shared" si="19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15"/>
        <v>제12장 단체교섭-제03절 단체교섭의 대상-04</v>
      </c>
      <c r="Q200" s="7" t="str">
        <f t="shared" si="16"/>
        <v>대법원 2025.07.03. 선고 2023다251718 판결-2</v>
      </c>
      <c r="R200" s="7" t="str">
        <f t="shared" si="17"/>
        <v>열기2-01.노동법\03.판례\[대법원 2025.07.03. 선고 2023다251718 판결]과거 근로조건에 대한 단체교섭의 유의미성.txt</v>
      </c>
      <c r="S200" s="7" t="str">
        <f t="shared" si="18"/>
        <v>A</v>
      </c>
      <c r="T200" s="7" t="str">
        <f t="shared" si="19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15"/>
        <v>제12장 단체교섭-제04절 교섭창구단일화제도-01</v>
      </c>
      <c r="Q201" s="7" t="str">
        <f t="shared" si="16"/>
        <v>단체교섭-2</v>
      </c>
      <c r="R201" s="7" t="str">
        <f t="shared" si="17"/>
        <v>열기2-01.노동법\01.본문\제12장 단체교섭.제04절 교섭창구단일화제도.txt</v>
      </c>
      <c r="S201" s="7" t="str">
        <f t="shared" si="18"/>
        <v>C</v>
      </c>
      <c r="T201" s="7" t="str">
        <f t="shared" si="19"/>
        <v>교섭창구단일화제도</v>
      </c>
    </row>
    <row r="202" spans="2:20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15"/>
        <v>제12장 단체교섭-제04절 교섭창구단일화제도-02</v>
      </c>
      <c r="Q202" s="7" t="str">
        <f t="shared" si="16"/>
        <v>2020-2-2</v>
      </c>
      <c r="R202" s="7" t="str">
        <f t="shared" si="17"/>
        <v>열기2-01.노동법\02.문제\[기출][2][2020-2]소수노조 대상 노조사무실 미제공의 공정대표의무 위반 여부.txt</v>
      </c>
      <c r="S202" s="7" t="str">
        <f t="shared" si="18"/>
        <v>C</v>
      </c>
      <c r="T202" s="7" t="str">
        <f t="shared" si="19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15"/>
        <v>제12장 단체교섭-제04절 교섭창구단일화제도-03</v>
      </c>
      <c r="Q203" s="7" t="str">
        <f t="shared" si="16"/>
        <v>2024-2-2</v>
      </c>
      <c r="R203" s="7" t="str">
        <f t="shared" si="17"/>
        <v>열기2-01.노동법\02.문제\[기출][2][2024-2]교섭대표노동조합의 공정대표의무 위반 여부.txt</v>
      </c>
      <c r="S203" s="7" t="str">
        <f t="shared" si="18"/>
        <v>C</v>
      </c>
      <c r="T203" s="7" t="str">
        <f t="shared" si="19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15"/>
        <v>제12장 단체교섭-제04절 교섭창구단일화제도-04</v>
      </c>
      <c r="Q204" s="7" t="str">
        <f t="shared" si="16"/>
        <v>2025-1-1-2</v>
      </c>
      <c r="R204" s="7" t="str">
        <f t="shared" si="17"/>
        <v>열기2-01.노동법\02.문제\[기출][2][2025-1-1]직군이 다른 노동조합(사무직과 생산직)의 교섭단위 분리 신청 인정 여부.txt</v>
      </c>
      <c r="S204" s="7" t="str">
        <f t="shared" si="18"/>
        <v>C</v>
      </c>
      <c r="T204" s="7" t="str">
        <f t="shared" si="19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15"/>
        <v>제12장 단체교섭-제04절 교섭창구단일화제도-05</v>
      </c>
      <c r="Q205" s="7" t="str">
        <f t="shared" si="16"/>
        <v>대법원 2025.05.15. 선고 2022두64693 판결-2</v>
      </c>
      <c r="R205" s="7" t="str">
        <f t="shared" si="17"/>
        <v>열기2-01.노동법\03.판례\[대법원 2025.05.15. 선고 2022두64693 판결]복수노조에 대한 차량 지원 관련 사용자의 공정대표의무.txt</v>
      </c>
      <c r="S205" s="7" t="str">
        <f t="shared" si="18"/>
        <v>C</v>
      </c>
      <c r="T205" s="7" t="str">
        <f t="shared" si="19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15"/>
        <v>제12장 단체교섭-제04절 교섭창구단일화제도-06</v>
      </c>
      <c r="Q206" s="7" t="str">
        <f t="shared" si="16"/>
        <v>대법원 2025.07.18. 선고 2023두61370 판결-2</v>
      </c>
      <c r="R206" s="7" t="str">
        <f t="shared" si="17"/>
        <v>열기2-01.노동법\03.판례\[대법원 2025.07.18. 선고 2023두61370 판결]징계위원회 구성에 대한 공정대표의무의 효력.txt</v>
      </c>
      <c r="S206" s="7" t="str">
        <f t="shared" si="18"/>
        <v>C</v>
      </c>
      <c r="T206" s="7" t="str">
        <f t="shared" si="19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15"/>
        <v>제12장 단체교섭-제05절 인준투표제-01</v>
      </c>
      <c r="Q207" s="7" t="str">
        <f t="shared" si="16"/>
        <v>단체교섭-2</v>
      </c>
      <c r="R207" s="7" t="str">
        <f t="shared" si="17"/>
        <v>열기2-01.노동법\01.본문\제12장 단체교섭.제05절 인준투표제.txt</v>
      </c>
      <c r="S207" s="7" t="str">
        <f t="shared" si="18"/>
        <v>C</v>
      </c>
      <c r="T207" s="7" t="str">
        <f t="shared" si="19"/>
        <v>인준투표제</v>
      </c>
    </row>
    <row r="208" spans="2:20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15"/>
        <v>제12장 단체교섭-제05절 인준투표제-02</v>
      </c>
      <c r="Q208" s="7" t="str">
        <f t="shared" si="16"/>
        <v>2023-1-2-2</v>
      </c>
      <c r="R208" s="7" t="str">
        <f t="shared" si="17"/>
        <v>열기2-01.노동법\02.문제\[기출][2][2023-1-2]노동조합 대표자가 규약 절차를 위반하여 체결한 단체협약의 법적 효력.txt</v>
      </c>
      <c r="S208" s="7" t="str">
        <f t="shared" si="18"/>
        <v>C</v>
      </c>
      <c r="T208" s="7" t="str">
        <f t="shared" si="19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15"/>
        <v>제12장 단체교섭-제06절 성실교섭의무-01</v>
      </c>
      <c r="Q209" s="7" t="str">
        <f t="shared" si="16"/>
        <v>단체교섭-2</v>
      </c>
      <c r="R209" s="7" t="str">
        <f t="shared" si="17"/>
        <v>열기2-01.노동법\01.본문\제12장 단체교섭.제06절 성실교섭의무.txt</v>
      </c>
      <c r="S209" s="7" t="str">
        <f t="shared" si="18"/>
        <v>A</v>
      </c>
      <c r="T209" s="7" t="str">
        <f t="shared" si="19"/>
        <v>성실교섭의무</v>
      </c>
    </row>
    <row r="210" spans="2:20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1767</v>
      </c>
      <c r="M210" s="52"/>
      <c r="N210" s="53"/>
      <c r="O210" s="51" t="str">
        <f t="shared" si="15"/>
        <v>제12장 단체교섭-제06절 성실교섭의무-02</v>
      </c>
      <c r="Q210" s="7" t="str">
        <f t="shared" si="16"/>
        <v>12.06-1-2</v>
      </c>
      <c r="R210" s="7" t="str">
        <f t="shared" si="17"/>
        <v>열기2-01.노동법\02.문제\[모의][2][12.06-1]단체교섭 중 사용자의 구체적 대안 제시 거부 및 경영 자료 제공 거부의 부당노동행위 성립 여부.txt</v>
      </c>
      <c r="S210" s="7" t="str">
        <f t="shared" si="18"/>
        <v>A</v>
      </c>
      <c r="T210" s="7" t="str">
        <f t="shared" si="19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1767</v>
      </c>
      <c r="M211" s="84"/>
      <c r="N211" s="85"/>
      <c r="O211" s="83" t="str">
        <f t="shared" si="15"/>
        <v>제12장 단체교섭-제06절 성실교섭의무-03</v>
      </c>
      <c r="Q211" s="7" t="str">
        <f t="shared" si="16"/>
        <v>12.06-2-2</v>
      </c>
      <c r="R211" s="7" t="str">
        <f t="shared" si="17"/>
        <v>열기2-01.노동법\02.문제\[모의][2][12.06-2]교섭 권한 없는 자로의 위임 및 교섭 불참과 성실교섭의무 위반의 판단 기준.txt</v>
      </c>
      <c r="S211" s="7" t="str">
        <f t="shared" si="18"/>
        <v>A</v>
      </c>
      <c r="T211" s="7" t="str">
        <f t="shared" si="19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15"/>
        <v>제13장 단체협약-제01절 단체협약의 서설-01</v>
      </c>
      <c r="Q212" s="7" t="str">
        <f t="shared" si="16"/>
        <v>단체협약-2</v>
      </c>
      <c r="R212" s="7" t="str">
        <f t="shared" si="17"/>
        <v>열기2-01.노동법\01.본문\제13장 단체협약.제01절 단체협약의 서설.txt</v>
      </c>
      <c r="S212" s="7" t="str">
        <f t="shared" si="18"/>
        <v>B</v>
      </c>
      <c r="T212" s="7" t="str">
        <f t="shared" si="19"/>
        <v>단체협약의 서설</v>
      </c>
    </row>
    <row r="213" spans="2:20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15"/>
        <v>제13장 단체협약-제02절 단체협약의 성립-01</v>
      </c>
      <c r="Q213" s="7" t="str">
        <f t="shared" si="16"/>
        <v>단체협약-2</v>
      </c>
      <c r="R213" s="7" t="str">
        <f t="shared" si="17"/>
        <v>열기2-01.노동법\01.본문\제13장 단체협약.제02절 단체협약의 성립.txt</v>
      </c>
      <c r="S213" s="7" t="str">
        <f t="shared" si="18"/>
        <v>B</v>
      </c>
      <c r="T213" s="7" t="str">
        <f t="shared" si="19"/>
        <v>단체협약의 성립</v>
      </c>
    </row>
    <row r="214" spans="2:20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15"/>
        <v>제13장 단체협약-제02절 단체협약의 성립-02</v>
      </c>
      <c r="Q214" s="7" t="str">
        <f t="shared" si="16"/>
        <v>13.02-1-2</v>
      </c>
      <c r="R214" s="7" t="str">
        <f t="shared" si="17"/>
        <v>열기2-01.노동법\02.문제\[모의][2][13.02-1]단체협약의 성립요건인 서면 작성 및 서명・날인의 법적 의미와 자필 서명의 효력.txt</v>
      </c>
      <c r="S214" s="7" t="str">
        <f t="shared" si="18"/>
        <v>B</v>
      </c>
      <c r="T214" s="7" t="str">
        <f t="shared" si="19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15"/>
        <v>제13장 단체협약-제02절 단체협약의 성립-03</v>
      </c>
      <c r="Q215" s="7" t="str">
        <f t="shared" si="16"/>
        <v>13.02-2-2</v>
      </c>
      <c r="R215" s="7" t="str">
        <f t="shared" si="17"/>
        <v>열기2-01.노동법\02.문제\[모의][2][13.02-2]조합원 인준투표 부결이 단체협약의 성립 및 효력 발생에 미치는 영향.txt</v>
      </c>
      <c r="S215" s="7" t="str">
        <f t="shared" si="18"/>
        <v>B</v>
      </c>
      <c r="T215" s="7" t="str">
        <f t="shared" si="19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15"/>
        <v>제13장 단체협약-제03절 단체협약의 효력-01</v>
      </c>
      <c r="Q216" s="7" t="str">
        <f t="shared" si="16"/>
        <v>단체협약-2</v>
      </c>
      <c r="R216" s="7" t="str">
        <f t="shared" si="17"/>
        <v>열기2-01.노동법\01.본문\제13장 단체협약.제03절 단체협약의 효력.txt</v>
      </c>
      <c r="S216" s="7" t="str">
        <f t="shared" si="18"/>
        <v>C</v>
      </c>
      <c r="T216" s="7" t="str">
        <f t="shared" si="19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1768</v>
      </c>
      <c r="M217" s="52"/>
      <c r="N217" s="53"/>
      <c r="O217" s="51" t="str">
        <f t="shared" si="15"/>
        <v>제13장 단체협약-제03절 단체협약의 효력-02</v>
      </c>
      <c r="Q217" s="7" t="str">
        <f t="shared" si="16"/>
        <v>2012-1-1-2</v>
      </c>
      <c r="R217" s="7" t="str">
        <f t="shared" si="17"/>
        <v>열기2-01.노동법\02.문제\[기출][2][2012-1-1]특별노사합의를 통한 고정상여금 미지급 결정의 효력 및 조합원 개별 동의의 필요성 여부.txt</v>
      </c>
      <c r="S217" s="7" t="str">
        <f t="shared" si="18"/>
        <v>C</v>
      </c>
      <c r="T217" s="7" t="str">
        <f t="shared" si="19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15"/>
        <v>제13장 단체협약-제03절 단체협약의 효력-03</v>
      </c>
      <c r="Q218" s="7" t="str">
        <f t="shared" si="16"/>
        <v>2012-1-2-2</v>
      </c>
      <c r="R218" s="7" t="str">
        <f t="shared" si="17"/>
        <v>열기2-01.노동법\02.문제\[기출][2][2012-1-2]특별노사합의를 통한 무단결근 면직기준 단축의 효력 및 조합원에 대한 적용 정당성 여부.txt</v>
      </c>
      <c r="S218" s="7" t="str">
        <f t="shared" si="18"/>
        <v>C</v>
      </c>
      <c r="T218" s="7" t="str">
        <f t="shared" si="19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15"/>
        <v>제13장 단체협약-제03절 단체협약의 효력-04</v>
      </c>
      <c r="Q219" s="7" t="str">
        <f t="shared" si="16"/>
        <v>2016-2-2</v>
      </c>
      <c r="R219" s="7" t="str">
        <f t="shared" si="17"/>
        <v>열기2-01.노동법\02.문제\[기출][2][2016-2]비조합원에 대한 징계처분 시 단체협약상 재심절차 준수 필요 여부.txt</v>
      </c>
      <c r="S219" s="7" t="str">
        <f t="shared" si="18"/>
        <v>C</v>
      </c>
      <c r="T219" s="7" t="str">
        <f t="shared" si="19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15"/>
        <v>제13장 단체협약-제03절 단체협약의 효력-05</v>
      </c>
      <c r="Q220" s="7" t="str">
        <f t="shared" si="16"/>
        <v>2023-2-2</v>
      </c>
      <c r="R220" s="7" t="str">
        <f t="shared" si="17"/>
        <v>열기2-01.노동법\02.문제\[기출][2][2023-2]개별 동의 없는 불이익 단체협약의 규범적 효력과 기득이익의 관계.txt</v>
      </c>
      <c r="S220" s="7" t="str">
        <f t="shared" si="18"/>
        <v>C</v>
      </c>
      <c r="T220" s="7" t="str">
        <f t="shared" si="19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15"/>
        <v>제13장 단체협약-제04절 평화의무-01</v>
      </c>
      <c r="Q221" s="7" t="str">
        <f t="shared" si="16"/>
        <v>단체협약-2</v>
      </c>
      <c r="R221" s="7" t="str">
        <f t="shared" si="17"/>
        <v>열기2-01.노동법\01.본문\제13장 단체협약.제04절 평화의무.txt</v>
      </c>
      <c r="S221" s="7" t="str">
        <f t="shared" si="18"/>
        <v>B</v>
      </c>
      <c r="T221" s="7" t="str">
        <f t="shared" si="19"/>
        <v>평화의무</v>
      </c>
    </row>
    <row r="222" spans="2:20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15"/>
        <v>제13장 단체협약-제04절 평화의무-02</v>
      </c>
      <c r="Q222" s="7" t="str">
        <f t="shared" si="16"/>
        <v>13.04-1-2</v>
      </c>
      <c r="R222" s="7" t="str">
        <f t="shared" si="17"/>
        <v>열기2-01.노동법\02.문제\[모의][2][13.04-1]평화의무의 개념, 근거 및 명시적 조항 부재 시 인정 여부.txt</v>
      </c>
      <c r="S222" s="7" t="str">
        <f t="shared" si="18"/>
        <v>B</v>
      </c>
      <c r="T222" s="7" t="str">
        <f t="shared" si="19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15"/>
        <v>제13장 단체협약-제04절 평화의무-03</v>
      </c>
      <c r="Q223" s="7" t="str">
        <f t="shared" si="16"/>
        <v>13.04-2-2</v>
      </c>
      <c r="R223" s="7" t="str">
        <f t="shared" si="17"/>
        <v>열기2-01.노동법\02.문제\[모의][2][13.04-2]평화의무 위반 쟁의행위의 정당성 유무 및 법적 책임.txt</v>
      </c>
      <c r="S223" s="7" t="str">
        <f t="shared" si="18"/>
        <v>B</v>
      </c>
      <c r="T223" s="7" t="str">
        <f t="shared" si="19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15"/>
        <v>제13장 단체협약-제05절 단체협약의 해석-01</v>
      </c>
      <c r="Q224" s="7" t="str">
        <f t="shared" si="16"/>
        <v>단체협약-2</v>
      </c>
      <c r="R224" s="7" t="str">
        <f t="shared" si="17"/>
        <v>열기2-01.노동법\01.본문\제13장 단체협약.제05절 단체협약의 해석.txt</v>
      </c>
      <c r="S224" s="7" t="str">
        <f t="shared" si="18"/>
        <v>B</v>
      </c>
      <c r="T224" s="7" t="str">
        <f t="shared" si="19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15"/>
        <v>제13장 단체협약-제05절 단체협약의 해석-02</v>
      </c>
      <c r="Q225" s="7" t="str">
        <f t="shared" si="16"/>
        <v>2014-1-1-2</v>
      </c>
      <c r="R225" s="7" t="str">
        <f t="shared" si="17"/>
        <v>열기2-01.노동법\02.문제\[기출][2][2014-1-1]특별단체협약상 정리해고에 대한 합의 조항을 협의로 변형 해석할 수 있는지 여부.txt</v>
      </c>
      <c r="S225" s="7" t="str">
        <f t="shared" si="18"/>
        <v>B</v>
      </c>
      <c r="T225" s="7" t="str">
        <f t="shared" si="19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15"/>
        <v>제13장 단체협약-제06절 단체협약의 중요조항-01</v>
      </c>
      <c r="Q226" s="7" t="str">
        <f t="shared" si="16"/>
        <v>단체협약-2</v>
      </c>
      <c r="R226" s="7" t="str">
        <f t="shared" si="17"/>
        <v>열기2-01.노동법\01.본문\제13장 단체협약.제06절 단체협약의 중요조항.txt</v>
      </c>
      <c r="S226" s="7" t="str">
        <f t="shared" si="18"/>
        <v>B</v>
      </c>
      <c r="T226" s="7" t="str">
        <f t="shared" si="19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15"/>
        <v>제13장 단체협약-제06절 단체협약의 중요조항-02</v>
      </c>
      <c r="Q227" s="7" t="str">
        <f t="shared" si="16"/>
        <v>2008-1-2</v>
      </c>
      <c r="R227" s="7" t="str">
        <f t="shared" si="17"/>
        <v>열기2-01.노동법\02.문제\[기출][2][2008-1]단체협약상 동의조항의 효력(노동조합의 동의권에 대한 범위), 경영권에 대한 단체교섭의 대상성.txt</v>
      </c>
      <c r="S227" s="7" t="str">
        <f t="shared" si="18"/>
        <v>B</v>
      </c>
      <c r="T227" s="7" t="str">
        <f t="shared" si="19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15"/>
        <v>제13장 단체협약-제07절 단체협약의 효력확장-01</v>
      </c>
      <c r="Q228" s="7" t="str">
        <f t="shared" si="16"/>
        <v>단체협약-2</v>
      </c>
      <c r="R228" s="7" t="str">
        <f t="shared" si="17"/>
        <v>열기2-01.노동법\01.본문\제13장 단체협약.제07절 단체협약의 효력확장.txt</v>
      </c>
      <c r="S228" s="7" t="str">
        <f t="shared" si="18"/>
        <v>B</v>
      </c>
      <c r="T228" s="7" t="str">
        <f t="shared" si="19"/>
        <v>단체협약의 효력확장</v>
      </c>
    </row>
    <row r="229" spans="2:20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1769</v>
      </c>
      <c r="I229" s="48" t="s">
        <v>1770</v>
      </c>
      <c r="J229" s="49">
        <v>2410</v>
      </c>
      <c r="K229" s="50" t="s">
        <v>1385</v>
      </c>
      <c r="L229" s="68"/>
      <c r="M229" s="52"/>
      <c r="N229" s="53"/>
      <c r="O229" s="51" t="str">
        <f t="shared" si="15"/>
        <v>제13장 단체협약-제07절 단체협약의 효력확장-02</v>
      </c>
      <c r="Q229" s="7" t="str">
        <f t="shared" si="16"/>
        <v>13.07-1-2</v>
      </c>
      <c r="R229" s="7" t="str">
        <f t="shared" si="17"/>
        <v>열기2-01.노동법\02.문제\[모의][2][13.07-1]사업장 단위 효력확장 제도의 의의 및 취지, 생산직 비조합원에 대한 요건 충족 여부.txt</v>
      </c>
      <c r="S229" s="7" t="str">
        <f t="shared" si="18"/>
        <v>B</v>
      </c>
      <c r="T229" s="7" t="str">
        <f t="shared" si="19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15"/>
        <v>제13장 단체협약-제07절 단체협약의 효력확장-03</v>
      </c>
      <c r="Q230" s="7" t="str">
        <f t="shared" si="16"/>
        <v>13.07-2-2</v>
      </c>
      <c r="R230" s="7" t="str">
        <f t="shared" si="17"/>
        <v>열기2-01.노동법\02.문제\[모의][2][13.07-2]사무직 근로자에 대한 효력확장 여부 및 확장의 범위(채무적 부분 포함 여부).txt</v>
      </c>
      <c r="S230" s="7" t="str">
        <f t="shared" si="18"/>
        <v>B</v>
      </c>
      <c r="T230" s="7" t="str">
        <f t="shared" si="19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15"/>
        <v>제13장 단체협약-제08절 단체협약의 실효 및 실효 후의 근로관계-01</v>
      </c>
      <c r="Q231" s="7" t="str">
        <f t="shared" si="16"/>
        <v>단체협약-2</v>
      </c>
      <c r="R231" s="7" t="str">
        <f t="shared" si="17"/>
        <v>열기2-01.노동법\01.본문\제13장 단체협약.제08절 단체협약의 실효 및 실효 후의 근로관계.txt</v>
      </c>
      <c r="S231" s="7" t="str">
        <f t="shared" si="18"/>
        <v>A</v>
      </c>
      <c r="T231" s="7" t="str">
        <f t="shared" si="19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15"/>
        <v>제13장 단체협약-제08절 단체협약의 실효 및 실효 후의 근로관계-02</v>
      </c>
      <c r="Q232" s="7" t="str">
        <f t="shared" si="16"/>
        <v>2010-1-2</v>
      </c>
      <c r="R232" s="7" t="str">
        <f t="shared" si="17"/>
        <v>열기2-01.노동법\02.문제\[기출][2][2010-1]단체협약 만료 후 법정연장기간 내에 노동조합과의 사전합의 없이 행해진 해고의 효력.txt</v>
      </c>
      <c r="S232" s="7" t="str">
        <f t="shared" si="18"/>
        <v>A</v>
      </c>
      <c r="T232" s="7" t="str">
        <f t="shared" si="19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15"/>
        <v>제13장 단체협약-제08절 단체협약의 실효 및 실효 후의 근로관계-03</v>
      </c>
      <c r="Q233" s="7" t="str">
        <f t="shared" si="16"/>
        <v>2021-1-2-2</v>
      </c>
      <c r="R233" s="7" t="str">
        <f t="shared" si="17"/>
        <v>열기2-01.노동법\02.문제\[기출][2][2021-1-2]자동연장된 단체협약의 해지권 제한 약정의 효력 및 해지 통보의 유효성.txt</v>
      </c>
      <c r="S233" s="7" t="str">
        <f t="shared" si="18"/>
        <v>A</v>
      </c>
      <c r="T233" s="7" t="str">
        <f t="shared" si="19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15"/>
        <v>제14장 쟁의행위-제01절 쟁의행위 주체의 정당성-01</v>
      </c>
      <c r="Q234" s="7" t="str">
        <f t="shared" si="16"/>
        <v>쟁의행위-2</v>
      </c>
      <c r="R234" s="7" t="str">
        <f t="shared" si="17"/>
        <v>열기2-01.노동법\01.본문\제14장 쟁의행위.제01절 쟁의행위 주체의 정당성.txt</v>
      </c>
      <c r="S234" s="7" t="str">
        <f t="shared" si="18"/>
        <v>A</v>
      </c>
      <c r="T234" s="7" t="str">
        <f t="shared" si="19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1777</v>
      </c>
      <c r="I235" s="60" t="s">
        <v>1778</v>
      </c>
      <c r="J235" s="61">
        <v>2164</v>
      </c>
      <c r="K235" s="62" t="s">
        <v>1350</v>
      </c>
      <c r="L235" s="100"/>
      <c r="M235" s="64"/>
      <c r="N235" s="65"/>
      <c r="O235" s="63" t="str">
        <f t="shared" si="15"/>
        <v>제14장 쟁의행위-제01절 쟁의행위 주체의 정당성-02</v>
      </c>
      <c r="Q235" s="7" t="str">
        <f t="shared" si="16"/>
        <v>2013-1-1-2</v>
      </c>
      <c r="R235" s="7" t="str">
        <f t="shared" si="17"/>
        <v>열기2-01.노동법\02.문제\[기출][2][2013-1-1]설립 미신고 지부노동조합의 쟁의행위에 대한 주체의 정당성.txt</v>
      </c>
      <c r="S235" s="7" t="str">
        <f t="shared" si="18"/>
        <v>A</v>
      </c>
      <c r="T235" s="7" t="str">
        <f t="shared" si="19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15"/>
        <v>제14장 쟁의행위-제02절 쟁의행위 목적의 정당성-01</v>
      </c>
      <c r="Q236" s="7" t="str">
        <f t="shared" si="16"/>
        <v>쟁의행위-2</v>
      </c>
      <c r="R236" s="7" t="str">
        <f t="shared" si="17"/>
        <v>열기2-01.노동법\01.본문\제14장 쟁의행위.제02절 쟁의행위 목적의 정당성.txt</v>
      </c>
      <c r="S236" s="7" t="str">
        <f t="shared" si="18"/>
        <v>A</v>
      </c>
      <c r="T236" s="7" t="str">
        <f t="shared" si="19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1776</v>
      </c>
      <c r="I237" s="48" t="s">
        <v>1779</v>
      </c>
      <c r="J237" s="49">
        <v>2053</v>
      </c>
      <c r="K237" s="50" t="s">
        <v>1350</v>
      </c>
      <c r="L237" s="68"/>
      <c r="M237" s="52"/>
      <c r="N237" s="53"/>
      <c r="O237" s="51" t="str">
        <f t="shared" si="15"/>
        <v>제14장 쟁의행위-제02절 쟁의행위 목적의 정당성-02</v>
      </c>
      <c r="Q237" s="7" t="str">
        <f t="shared" si="16"/>
        <v>2013-1-2-2</v>
      </c>
      <c r="R237" s="7" t="str">
        <f t="shared" si="17"/>
        <v>열기2-01.노동법\02.문제\[기출][2][2013-1-2]설립 미신고 지부노동조합의 쟁의행위에 대한 목적의 정당성.txt</v>
      </c>
      <c r="S237" s="7" t="str">
        <f t="shared" si="18"/>
        <v>A</v>
      </c>
      <c r="T237" s="7" t="str">
        <f t="shared" si="19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1780</v>
      </c>
      <c r="M238" s="64"/>
      <c r="N238" s="65"/>
      <c r="O238" s="63" t="str">
        <f t="shared" si="15"/>
        <v>제14장 쟁의행위-제02절 쟁의행위 목적의 정당성-03</v>
      </c>
      <c r="Q238" s="7" t="str">
        <f t="shared" si="16"/>
        <v>2021-2-2</v>
      </c>
      <c r="R238" s="7" t="str">
        <f t="shared" si="17"/>
        <v>열기2-01.노동법\02.문제\[기출][2][2021-2]임금협약의 유효기간 중 재교섭을 요구하며 개시한 파업의 정당성 여부.txt</v>
      </c>
      <c r="S238" s="7" t="str">
        <f t="shared" si="18"/>
        <v>A</v>
      </c>
      <c r="T238" s="7" t="str">
        <f t="shared" si="19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15"/>
        <v>제14장 쟁의행위-제03절 쟁의행위 시기・절차의 정당성-01</v>
      </c>
      <c r="Q239" s="7" t="str">
        <f t="shared" si="16"/>
        <v>쟁의행위-2</v>
      </c>
      <c r="R239" s="7" t="str">
        <f t="shared" si="17"/>
        <v>열기2-01.노동법\01.본문\제14장 쟁의행위.제03절 쟁의행위 시기・절차의 정당성.txt</v>
      </c>
      <c r="S239" s="7" t="str">
        <f t="shared" si="18"/>
        <v>A</v>
      </c>
      <c r="T239" s="7" t="str">
        <f t="shared" si="19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15"/>
        <v>제14장 쟁의행위-제03절 쟁의행위 시기・절차의 정당성-02</v>
      </c>
      <c r="Q240" s="7" t="str">
        <f t="shared" si="16"/>
        <v>2010-2-2</v>
      </c>
      <c r="R240" s="7" t="str">
        <f t="shared" si="17"/>
        <v>열기2-01.노동법\02.문제\[기출][2][2010-2]노동조합 쟁의행위의 절차적 정당성의 요건, 절차 위반 시 효력.txt</v>
      </c>
      <c r="S240" s="7" t="str">
        <f t="shared" si="18"/>
        <v>A</v>
      </c>
      <c r="T240" s="7" t="str">
        <f t="shared" si="19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15"/>
        <v>제14장 쟁의행위-제04절 쟁의행위 수단・방법의 정당성-01</v>
      </c>
      <c r="Q241" s="7" t="str">
        <f t="shared" si="16"/>
        <v>쟁의행위-2</v>
      </c>
      <c r="R241" s="7" t="str">
        <f t="shared" si="17"/>
        <v>열기2-01.노동법\01.본문\제14장 쟁의행위.제04절 쟁의행위 수단・방법의 정당성.txt</v>
      </c>
      <c r="S241" s="7" t="str">
        <f t="shared" si="18"/>
        <v>A</v>
      </c>
      <c r="T241" s="7" t="str">
        <f t="shared" si="19"/>
        <v>쟁의행위 수단・방법의 정당성</v>
      </c>
    </row>
    <row r="242" spans="2:20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1790</v>
      </c>
      <c r="M242" s="52"/>
      <c r="N242" s="53"/>
      <c r="O242" s="51" t="str">
        <f t="shared" si="15"/>
        <v>제14장 쟁의행위-제04절 쟁의행위 수단・방법의 정당성-03</v>
      </c>
      <c r="Q242" s="7" t="str">
        <f t="shared" si="16"/>
        <v>2018-2-2</v>
      </c>
      <c r="R242" s="7" t="str">
        <f t="shared" si="17"/>
        <v>열기2-01.노동법\02.문제\[기출][2][2018-2]직장폐쇄 후 조합원들의 임원회의실 점거 지속 및 퇴거요구 불응에 따른 정당성 상실 여부.txt</v>
      </c>
      <c r="S242" s="7" t="str">
        <f t="shared" si="18"/>
        <v>A</v>
      </c>
      <c r="T242" s="7" t="str">
        <f t="shared" si="19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1792</v>
      </c>
      <c r="I243" s="60" t="s">
        <v>1793</v>
      </c>
      <c r="J243" s="61">
        <v>2638</v>
      </c>
      <c r="K243" s="62" t="s">
        <v>1350</v>
      </c>
      <c r="L243" s="100"/>
      <c r="M243" s="64"/>
      <c r="N243" s="65"/>
      <c r="O243" s="63" t="str">
        <f t="shared" si="15"/>
        <v>제14장 쟁의행위-제04절 쟁의행위 수단・방법의 정당성-04</v>
      </c>
      <c r="Q243" s="7" t="str">
        <f t="shared" si="16"/>
        <v>2022-1-1-2</v>
      </c>
      <c r="R243" s="7" t="str">
        <f t="shared" si="17"/>
        <v>열기2-01.노동법\02.문제\[기출][2][2022-1-1]원청 사업장에서 쟁의행위를 실시한 하청 노동조합에 대한 퇴거불응죄 성립 여부.txt</v>
      </c>
      <c r="S243" s="7" t="str">
        <f t="shared" si="18"/>
        <v>A</v>
      </c>
      <c r="T243" s="7" t="str">
        <f t="shared" si="19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15"/>
        <v>제14장 쟁의행위-제05절 준법투쟁-01</v>
      </c>
      <c r="Q244" s="7" t="str">
        <f t="shared" si="16"/>
        <v>쟁의행위-2</v>
      </c>
      <c r="R244" s="7" t="str">
        <f t="shared" si="17"/>
        <v>열기2-01.노동법\01.본문\제14장 쟁의행위.제05절 준법투쟁.txt</v>
      </c>
      <c r="S244" s="7" t="str">
        <f t="shared" si="18"/>
        <v>A</v>
      </c>
      <c r="T244" s="7" t="str">
        <f t="shared" si="19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15"/>
        <v>제14장 쟁의행위-제05절 준법투쟁-02</v>
      </c>
      <c r="Q245" s="7" t="str">
        <f t="shared" si="16"/>
        <v>2011-2-2</v>
      </c>
      <c r="R245" s="7" t="str">
        <f t="shared" si="17"/>
        <v>열기2-01.노동법\02.문제\[기출][2][2011-2]준법투쟁의 개념과 법적 성격, 유형, 관련 판례법리, 효과 및 활용.txt</v>
      </c>
      <c r="S245" s="7" t="str">
        <f t="shared" si="18"/>
        <v>A</v>
      </c>
      <c r="T245" s="7" t="str">
        <f t="shared" si="19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15"/>
        <v>제14장 쟁의행위-제05절 준법투쟁-03</v>
      </c>
      <c r="Q246" s="7" t="str">
        <f t="shared" si="16"/>
        <v>2017-1-1-2</v>
      </c>
      <c r="R246" s="7" t="str">
        <f t="shared" si="17"/>
        <v>열기2-01.노동법\02.문제\[기출][2][2017-1-1]관행적 연장근로에 대한 집단적 거부가 노조법상 쟁의행위에 해당하는지 여부.txt</v>
      </c>
      <c r="S246" s="7" t="str">
        <f t="shared" si="18"/>
        <v>A</v>
      </c>
      <c r="T246" s="7" t="str">
        <f t="shared" si="19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1788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15"/>
        <v>제14장 쟁의행위-제06절 사용자의 쟁의행위-01</v>
      </c>
      <c r="Q247" s="7" t="str">
        <f t="shared" si="16"/>
        <v>쟁의행위-2</v>
      </c>
      <c r="R247" s="7" t="str">
        <f t="shared" si="17"/>
        <v>열기2-01.노동법\01.본문\제14장 쟁의행위.제06절 사용자의 쟁의행위.txt</v>
      </c>
      <c r="S247" s="7" t="str">
        <f t="shared" si="18"/>
        <v>A</v>
      </c>
      <c r="T247" s="7" t="str">
        <f t="shared" si="19"/>
        <v>사용자의 쟁의행위</v>
      </c>
    </row>
    <row r="248" spans="2:20" ht="14.45" customHeight="1" x14ac:dyDescent="0.2">
      <c r="B248" s="31" t="s">
        <v>485</v>
      </c>
      <c r="C248" s="42" t="s">
        <v>1788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1782</v>
      </c>
      <c r="I248" s="155" t="s">
        <v>1786</v>
      </c>
      <c r="J248" s="150">
        <v>1686</v>
      </c>
      <c r="K248" s="156" t="s">
        <v>1350</v>
      </c>
      <c r="L248" s="302" t="s">
        <v>1789</v>
      </c>
      <c r="M248" s="158"/>
      <c r="N248" s="159"/>
      <c r="O248" s="157" t="s">
        <v>1787</v>
      </c>
      <c r="Q248" s="7" t="str">
        <f t="shared" ref="Q248" si="20">E248&amp;"-"&amp;F248</f>
        <v>2009-2-2</v>
      </c>
      <c r="R248" s="7" t="str">
        <f t="shared" ref="R248" si="21">I248</f>
        <v>열기2-01.노동법\02.문제\[기출][2][2009-2]직장점거 중 단행된 사용자의 직장폐쇄에 따른 법률적 효과.txt</v>
      </c>
      <c r="S248" s="7" t="str">
        <f t="shared" ref="S248" si="22">K248</f>
        <v>A</v>
      </c>
      <c r="T248" s="7" t="str">
        <f t="shared" si="19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15"/>
        <v>제14장 쟁의행위-제06절 사용자의 쟁의행위-03</v>
      </c>
      <c r="Q249" s="7" t="str">
        <f t="shared" si="16"/>
        <v>2015-2-2</v>
      </c>
      <c r="R249" s="7" t="str">
        <f t="shared" si="17"/>
        <v>열기2-01.노동법\02.문제\[기출][2][2015-2]사용자의 정당한 직장폐쇄의 개념, 요건, 법적 효과.txt</v>
      </c>
      <c r="S249" s="7" t="str">
        <f t="shared" si="18"/>
        <v>A</v>
      </c>
      <c r="T249" s="7" t="str">
        <f t="shared" si="19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15"/>
        <v>제14장 쟁의행위-제06절 사용자의 쟁의행위-04</v>
      </c>
      <c r="Q250" s="7" t="str">
        <f t="shared" si="16"/>
        <v>2017-1-2-2</v>
      </c>
      <c r="R250" s="7" t="str">
        <f t="shared" si="17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18"/>
        <v>A</v>
      </c>
      <c r="T250" s="7" t="str">
        <f t="shared" si="19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15"/>
        <v>제14장 쟁의행위-제06절 사용자의 쟁의행위-05</v>
      </c>
      <c r="Q251" s="7" t="str">
        <f t="shared" si="16"/>
        <v>2019-1-1-2</v>
      </c>
      <c r="R251" s="7" t="str">
        <f t="shared" si="17"/>
        <v>열기2-01.노동법\02.문제\[기출][2][2019-1-1]직장폐쇄를 단행하며 노조사무실 출입을 전면 금지한 행위의 정당성 여부.txt</v>
      </c>
      <c r="S251" s="7" t="str">
        <f t="shared" si="18"/>
        <v>A</v>
      </c>
      <c r="T251" s="7" t="str">
        <f t="shared" si="19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15"/>
        <v>제14장 쟁의행위-제06절 사용자의 쟁의행위-06</v>
      </c>
      <c r="Q252" s="7" t="str">
        <f t="shared" si="16"/>
        <v>춘천지방법원 2025.07.09. 선고 2024나33324 판결-2</v>
      </c>
      <c r="R252" s="7" t="str">
        <f t="shared" si="17"/>
        <v>열기2-01.노동법\03.판례\[춘천지방법원 2025.07.09. 선고 2024나33324 판결]업무복귀 의사표시 이후에도 유지된 집화중단조치(직장폐쇄)의 위법성.txt</v>
      </c>
      <c r="S252" s="7" t="str">
        <f t="shared" si="18"/>
        <v>A</v>
      </c>
      <c r="T252" s="7" t="str">
        <f t="shared" si="19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15"/>
        <v>제14장 쟁의행위-제07절 불법쟁의행위와 법적 책임-01</v>
      </c>
      <c r="Q253" s="7" t="str">
        <f t="shared" si="16"/>
        <v>쟁의행위-2</v>
      </c>
      <c r="R253" s="7" t="str">
        <f t="shared" si="17"/>
        <v>열기2-01.노동법\01.본문\제14장 쟁의행위.제07절 불법쟁의행위와 법적 책임.txt</v>
      </c>
      <c r="S253" s="7" t="str">
        <f t="shared" si="18"/>
        <v>B</v>
      </c>
      <c r="T253" s="7" t="str">
        <f t="shared" si="19"/>
        <v>불법쟁의행위와 법적 책임</v>
      </c>
    </row>
    <row r="254" spans="2:20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15"/>
        <v>제14장 쟁의행위-제07절 불법쟁의행위와 법적 책임-02</v>
      </c>
      <c r="Q254" s="7" t="str">
        <f t="shared" si="16"/>
        <v>14.07-1-2</v>
      </c>
      <c r="R254" s="7" t="str">
        <f t="shared" si="17"/>
        <v>열기2-01.노동법\02.문제\[모의][2][14.07-1]쟁의행위의 정당성 결여 판단 및 민사상 손해배상 책임의 주체와 책임의 성질.txt</v>
      </c>
      <c r="S254" s="7" t="str">
        <f t="shared" si="18"/>
        <v>B</v>
      </c>
      <c r="T254" s="7" t="str">
        <f t="shared" si="19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15"/>
        <v>제14장 쟁의행위-제07절 불법쟁의행위와 법적 책임-03</v>
      </c>
      <c r="Q255" s="7" t="str">
        <f t="shared" si="16"/>
        <v>14.07-2-2</v>
      </c>
      <c r="R255" s="7" t="str">
        <f t="shared" si="17"/>
        <v>열기2-01.노동법\02.문제\[모의][2][14.07-2]책임 제한의 개별화 원칙 적용 여부와 구체적인 판단 기준.txt</v>
      </c>
      <c r="S255" s="7" t="str">
        <f t="shared" si="18"/>
        <v>B</v>
      </c>
      <c r="T255" s="7" t="str">
        <f t="shared" si="19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15"/>
        <v>제14장 쟁의행위-제08절 쟁의행위와 노사당사자 간의 법률관계-01</v>
      </c>
      <c r="Q256" s="7" t="str">
        <f t="shared" si="16"/>
        <v>쟁의행위-2</v>
      </c>
      <c r="R256" s="7" t="str">
        <f t="shared" si="17"/>
        <v>열기2-01.노동법\01.본문\제14장 쟁의행위.제08절 쟁의행위와 노사당사자 간의 법률관계.txt</v>
      </c>
      <c r="S256" s="7" t="str">
        <f t="shared" si="18"/>
        <v>B</v>
      </c>
      <c r="T256" s="7" t="str">
        <f t="shared" si="19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1799</v>
      </c>
      <c r="M257" s="52"/>
      <c r="N257" s="53"/>
      <c r="O257" s="51" t="str">
        <f t="shared" si="15"/>
        <v>제14장 쟁의행위-제08절 쟁의행위와 노사당사자 간의 법률관계-02</v>
      </c>
      <c r="Q257" s="7" t="str">
        <f t="shared" si="16"/>
        <v>14.08-1-2</v>
      </c>
      <c r="R257" s="7" t="str">
        <f t="shared" si="17"/>
        <v>열기2-01.노동법\02.문제\[모의][2][14.08-1]정당한 쟁의행위 기간 중 가족수당 및 근속수당 지급 의무 여부(무노동 무임금 원칙 적용 범위).txt</v>
      </c>
      <c r="S257" s="7" t="str">
        <f t="shared" si="18"/>
        <v>B</v>
      </c>
      <c r="T257" s="7" t="str">
        <f t="shared" si="19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15"/>
        <v>제14장 쟁의행위-제08절 쟁의행위와 노사당사자 간의 법률관계-03</v>
      </c>
      <c r="Q258" s="7" t="str">
        <f t="shared" si="16"/>
        <v>14.08-2-2</v>
      </c>
      <c r="R258" s="7" t="str">
        <f t="shared" si="17"/>
        <v>열기2-01.노동법\02.문제\[모의][2][14.08-2]쟁의행위 및 징계(정직) 기간의 연차휴가 산정 시 출근지수 처리 방식.txt</v>
      </c>
      <c r="S258" s="7" t="str">
        <f t="shared" si="18"/>
        <v>B</v>
      </c>
      <c r="T258" s="7" t="str">
        <f t="shared" si="19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15"/>
        <v>제14장 쟁의행위-제09절 안전보호시설과 필수유지업무-01</v>
      </c>
      <c r="Q259" s="7" t="str">
        <f t="shared" si="16"/>
        <v>쟁의행위-2</v>
      </c>
      <c r="R259" s="7" t="str">
        <f t="shared" si="17"/>
        <v>열기2-01.노동법\01.본문\제14장 쟁의행위.제09절 안전보호시설과 필수유지업무.txt</v>
      </c>
      <c r="S259" s="7" t="str">
        <f t="shared" si="18"/>
        <v>B</v>
      </c>
      <c r="T259" s="7" t="str">
        <f t="shared" si="19"/>
        <v>안전보호시설과 필수유지업무</v>
      </c>
    </row>
    <row r="260" spans="2:20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23">B260&amp;"-"&amp;C260&amp;"-"&amp;G260</f>
        <v>제14장 쟁의행위-제09절 안전보호시설과 필수유지업무-02</v>
      </c>
      <c r="Q260" s="7" t="str">
        <f t="shared" ref="Q260:Q310" si="24">E260&amp;"-"&amp;F260</f>
        <v>14.09-1-2</v>
      </c>
      <c r="R260" s="7" t="str">
        <f t="shared" ref="R260:R310" si="25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26">K260</f>
        <v>B</v>
      </c>
      <c r="T260" s="7" t="str">
        <f t="shared" si="19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23"/>
        <v>제14장 쟁의행위-제09절 안전보호시설과 필수유지업무-03</v>
      </c>
      <c r="Q261" s="7" t="str">
        <f t="shared" si="24"/>
        <v>14.09-2-2</v>
      </c>
      <c r="R261" s="7" t="str">
        <f t="shared" si="25"/>
        <v>열기2-01.노동법\02.문제\[모의][2][14.09-2]필수유지업무 제도의 적용 범위・절차 및 일반 사업장에서의 사용자 일방 지정 가능성.txt</v>
      </c>
      <c r="S261" s="7" t="str">
        <f t="shared" si="26"/>
        <v>B</v>
      </c>
      <c r="T261" s="7" t="str">
        <f t="shared" ref="T261:T310" si="27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23"/>
        <v>제14장 쟁의행위-제10절 쟁의기간 중 대체근로의 제한-01</v>
      </c>
      <c r="Q262" s="7" t="str">
        <f t="shared" si="24"/>
        <v>쟁의행위-2</v>
      </c>
      <c r="R262" s="7" t="str">
        <f t="shared" si="25"/>
        <v>열기2-01.노동법\01.본문\제14장 쟁의행위.제10절 쟁의기간 중 대체근로의 제한.txt</v>
      </c>
      <c r="S262" s="7" t="str">
        <f t="shared" si="26"/>
        <v>A</v>
      </c>
      <c r="T262" s="7" t="str">
        <f t="shared" si="27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23"/>
        <v>제14장 쟁의행위-제10절 쟁의기간 중 대체근로의 제한-02</v>
      </c>
      <c r="Q263" s="7" t="str">
        <f t="shared" si="24"/>
        <v>2008-2-2</v>
      </c>
      <c r="R263" s="7" t="str">
        <f t="shared" si="25"/>
        <v>열기2-01.노동법\02.문제\[기출][2][2008-2]쟁의행위 기간 중 사용자의 채용 제한의 원칙, 필수공익사업의 특례, 위반 시 쟁점.txt</v>
      </c>
      <c r="S263" s="7" t="str">
        <f t="shared" si="26"/>
        <v>A</v>
      </c>
      <c r="T263" s="7" t="str">
        <f t="shared" si="27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23"/>
        <v>제14장 쟁의행위-제10절 쟁의기간 중 대체근로의 제한-03</v>
      </c>
      <c r="Q264" s="7" t="str">
        <f t="shared" si="24"/>
        <v>2020-1-1-2</v>
      </c>
      <c r="R264" s="7" t="str">
        <f t="shared" si="25"/>
        <v>열기2-01.노동법\02.문제\[기출][2][2020-1-1]대체인력 투입이 대체근로 제한에 위배되어 위법한지 여부.txt</v>
      </c>
      <c r="S264" s="7" t="str">
        <f t="shared" si="26"/>
        <v>A</v>
      </c>
      <c r="T264" s="7" t="str">
        <f t="shared" si="27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23"/>
        <v>제14장 쟁의행위-제10절 쟁의기간 중 대체근로의 제한-04</v>
      </c>
      <c r="Q265" s="7" t="str">
        <f t="shared" si="24"/>
        <v>2020-1-2-2</v>
      </c>
      <c r="R265" s="7" t="str">
        <f t="shared" si="25"/>
        <v>열기2-01.노동법\02.문제\[기출][2][2020-1-2]대체인력 투입의 지배・개입 부당노동행위 성립 여부.txt</v>
      </c>
      <c r="S265" s="7" t="str">
        <f t="shared" si="26"/>
        <v>A</v>
      </c>
      <c r="T265" s="7" t="str">
        <f t="shared" si="27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23"/>
        <v>제14장 쟁의행위-제10절 쟁의기간 중 대체근로의 제한-05</v>
      </c>
      <c r="Q266" s="7" t="str">
        <f t="shared" si="24"/>
        <v>2022-1-2-2</v>
      </c>
      <c r="R266" s="7" t="str">
        <f t="shared" si="25"/>
        <v>열기2-01.노동법\02.문제\[기출][2][2022-1-2]용역업체의 대체근로 저지행위에 대한 형사상 위법성 여부.txt</v>
      </c>
      <c r="S266" s="7" t="str">
        <f t="shared" si="26"/>
        <v>A</v>
      </c>
      <c r="T266" s="7" t="str">
        <f t="shared" si="27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23"/>
        <v>제15장 부당노동행위-제01절 부당노동행위제도의 의의-01</v>
      </c>
      <c r="Q267" s="7" t="str">
        <f t="shared" si="24"/>
        <v>부당노동행위-2</v>
      </c>
      <c r="R267" s="7" t="str">
        <f t="shared" si="25"/>
        <v>열기2-01.노동법\01.본문\제15장 부당노동행위.제01절 부당노동행위제도의 의의.txt</v>
      </c>
      <c r="S267" s="7" t="str">
        <f t="shared" si="26"/>
        <v>B</v>
      </c>
      <c r="T267" s="7" t="str">
        <f t="shared" si="27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23"/>
        <v>제15장 부당노동행위-제02절 불이익취급-02</v>
      </c>
      <c r="Q268" s="7" t="str">
        <f t="shared" si="24"/>
        <v>부당노동행위-2</v>
      </c>
      <c r="R268" s="7" t="str">
        <f t="shared" si="25"/>
        <v>열기2-01.노동법\01.본문\제15장 부당노동행위.제02절 불이익취급.txt</v>
      </c>
      <c r="S268" s="7" t="str">
        <f t="shared" si="26"/>
        <v>C</v>
      </c>
      <c r="T268" s="7" t="str">
        <f t="shared" si="27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23"/>
        <v>제15장 부당노동행위-제02절 불이익취급-03</v>
      </c>
      <c r="Q269" s="7" t="str">
        <f t="shared" si="24"/>
        <v>2015-1-2</v>
      </c>
      <c r="R269" s="7" t="str">
        <f t="shared" si="25"/>
        <v>열기2-01.노동법\02.문제\[기출][2][2015-1]사내 무단 유인물 배포를 이유로 한 징계해고의 정당성 및 불이익취급 부당노동행위 성립 여부.txt</v>
      </c>
      <c r="S269" s="7" t="str">
        <f t="shared" si="26"/>
        <v>C</v>
      </c>
      <c r="T269" s="7" t="str">
        <f t="shared" si="27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23"/>
        <v>제15장 부당노동행위-제02절 불이익취급-04</v>
      </c>
      <c r="Q270" s="7" t="str">
        <f t="shared" si="24"/>
        <v>2016-1-2-2</v>
      </c>
      <c r="R270" s="7" t="str">
        <f t="shared" si="25"/>
        <v>열기2-01.노동법\02.문제\[기출][2][2016-1-2]정리해고의 불이익 취급 부당노동행위 성립에 관한 입증책임의 소재 및 구체적인 입증방법.txt</v>
      </c>
      <c r="S270" s="7" t="str">
        <f t="shared" si="26"/>
        <v>C</v>
      </c>
      <c r="T270" s="7" t="str">
        <f t="shared" si="27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23"/>
        <v>제15장 부당노동행위-제02절 불이익취급-05</v>
      </c>
      <c r="Q271" s="7" t="str">
        <f t="shared" si="24"/>
        <v>2024-1-2-2</v>
      </c>
      <c r="R271" s="7" t="str">
        <f t="shared" si="25"/>
        <v>열기2-01.노동법\02.문제\[기출][2][2024-1-2]카마스터들에 대한 용역계약 해지의 불이익 취급 부당노동행위 성립 여부 및 사유 정당성.txt</v>
      </c>
      <c r="S271" s="7" t="str">
        <f t="shared" si="26"/>
        <v>C</v>
      </c>
      <c r="T271" s="7" t="str">
        <f t="shared" si="27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23"/>
        <v>제15장 부당노동행위-제03절 반조합계약(비열계약, 황견계약)-01</v>
      </c>
      <c r="Q272" s="7" t="str">
        <f t="shared" si="24"/>
        <v>부당노동행위-2</v>
      </c>
      <c r="R272" s="7" t="str">
        <f t="shared" si="25"/>
        <v>열기2-01.노동법\01.본문\제15장 부당노동행위.제03절 반조합계약(비열계약, 황견계약).txt</v>
      </c>
      <c r="S272" s="7" t="str">
        <f t="shared" si="26"/>
        <v>A</v>
      </c>
      <c r="T272" s="7" t="str">
        <f t="shared" si="27"/>
        <v>반조합계약(비열계약, 황견계약)</v>
      </c>
    </row>
    <row r="273" spans="2:20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23"/>
        <v>제15장 부당노동행위-제03절 반조합계약(비열계약, 황견계약)-02</v>
      </c>
      <c r="Q273" s="7" t="str">
        <f t="shared" si="24"/>
        <v>15.03-1-2</v>
      </c>
      <c r="R273" s="7" t="str">
        <f t="shared" si="25"/>
        <v>열기2-01.노동법\02.문제\[모의][2][15.03-1]유니온 숍 조항의 성립 요건 및 소수 노조 조합원에 대한 효력 범위.txt</v>
      </c>
      <c r="S273" s="7" t="str">
        <f t="shared" si="26"/>
        <v>A</v>
      </c>
      <c r="T273" s="7" t="str">
        <f t="shared" si="27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23"/>
        <v>제15장 부당노동행위-제03절 반조합계약(비열계약, 황견계약)-03</v>
      </c>
      <c r="Q274" s="7" t="str">
        <f t="shared" si="24"/>
        <v>15.03-2-2</v>
      </c>
      <c r="R274" s="7" t="str">
        <f t="shared" si="25"/>
        <v>열기2-01.노동법\02.문제\[모의][2][15.03-2]탈퇴 후 신규 노조 설립 준비 중인 근로자에 대한 해고의 부당노동행위 및 부당해고 해당 여부.txt</v>
      </c>
      <c r="S274" s="7" t="str">
        <f t="shared" si="26"/>
        <v>A</v>
      </c>
      <c r="T274" s="7" t="str">
        <f t="shared" si="27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23"/>
        <v>제15장 부당노동행위-제04절 단체교섭의 거부・해태-01</v>
      </c>
      <c r="Q275" s="7" t="str">
        <f t="shared" si="24"/>
        <v>부당노동행위-2</v>
      </c>
      <c r="R275" s="7" t="str">
        <f t="shared" si="25"/>
        <v>열기2-01.노동법\01.본문\제15장 부당노동행위.제04절 단체교섭의 거부・해태.txt</v>
      </c>
      <c r="S275" s="7" t="str">
        <f t="shared" si="26"/>
        <v>C</v>
      </c>
      <c r="T275" s="7" t="str">
        <f t="shared" si="27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23"/>
        <v>제15장 부당노동행위-제04절 단체교섭의 거부・해태-02</v>
      </c>
      <c r="Q276" s="7" t="str">
        <f t="shared" si="24"/>
        <v>2018-1-1-2</v>
      </c>
      <c r="R276" s="7" t="str">
        <f t="shared" si="25"/>
        <v>열기2-01.노동법\02.문제\[기출][2][2018-1-1]규약상 교섭안 마련 및 조합원 총의 수렴 조항을 이유로 한 사용자의 단체교섭 거부의 정당성 여부.txt</v>
      </c>
      <c r="S276" s="7" t="str">
        <f t="shared" si="26"/>
        <v>C</v>
      </c>
      <c r="T276" s="7" t="str">
        <f t="shared" si="27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23"/>
        <v>제15장 부당노동행위-제04절 단체교섭의 거부・해태-03</v>
      </c>
      <c r="Q277" s="7" t="str">
        <f t="shared" si="24"/>
        <v>2018-1-2-2</v>
      </c>
      <c r="R277" s="7" t="str">
        <f t="shared" si="25"/>
        <v>열기2-01.노동법\02.문제\[기출][2][2018-1-2]법원의 가처분 결정 이후 사용자의 단체교섭 계속 거부의 불법행위 성립 여부.txt</v>
      </c>
      <c r="S277" s="7" t="str">
        <f t="shared" si="26"/>
        <v>C</v>
      </c>
      <c r="T277" s="7" t="str">
        <f t="shared" si="27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23"/>
        <v>제15장 부당노동행위-제04절 단체교섭의 거부・해태-04</v>
      </c>
      <c r="Q278" s="7" t="str">
        <f t="shared" si="24"/>
        <v>2023-1-1-2</v>
      </c>
      <c r="R278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26"/>
        <v>C</v>
      </c>
      <c r="T278" s="7" t="str">
        <f t="shared" si="27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23"/>
        <v>제15장 부당노동행위-제04절 단체교섭의 거부・해태-05</v>
      </c>
      <c r="Q279" s="7" t="str">
        <f t="shared" si="24"/>
        <v>광주고등법원 2025.02.05. 자 2024라1091 결정-2</v>
      </c>
      <c r="R279" s="7" t="str">
        <f t="shared" si="25"/>
        <v>열기2-01.노동법\03.판례\[광주고등법원 2025.02.05. 자 2024라1091 결정]단체교섭응낙가처분의 인정 여부.txt</v>
      </c>
      <c r="S279" s="7" t="str">
        <f t="shared" si="26"/>
        <v>C</v>
      </c>
      <c r="T279" s="7" t="str">
        <f t="shared" si="27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23"/>
        <v>제15장 부당노동행위-제05절 지배・개입-01</v>
      </c>
      <c r="Q280" s="7" t="str">
        <f t="shared" si="24"/>
        <v>부당노동행위-2</v>
      </c>
      <c r="R280" s="7" t="str">
        <f t="shared" si="25"/>
        <v>열기2-01.노동법\01.본문\제15장 부당노동행위.제05절 지배・개입.txt</v>
      </c>
      <c r="S280" s="7" t="str">
        <f t="shared" si="26"/>
        <v>A</v>
      </c>
      <c r="T280" s="7" t="str">
        <f t="shared" si="27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23"/>
        <v>제15장 부당노동행위-제05절 지배・개입-02</v>
      </c>
      <c r="Q281" s="7" t="str">
        <f t="shared" si="24"/>
        <v>2014-2-2</v>
      </c>
      <c r="R281" s="7" t="str">
        <f t="shared" si="25"/>
        <v>열기2-01.노동법\02.문제\[기출][2][2014-2]사용자의 언론의 자유와 부당노동행위의 관계.txt</v>
      </c>
      <c r="S281" s="7" t="str">
        <f t="shared" si="26"/>
        <v>A</v>
      </c>
      <c r="T281" s="7" t="str">
        <f t="shared" si="27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23"/>
        <v>제15장 부당노동행위-제05절 지배・개입-03</v>
      </c>
      <c r="Q282" s="7" t="str">
        <f t="shared" si="24"/>
        <v>2016-1-1-2</v>
      </c>
      <c r="R282" s="7" t="str">
        <f t="shared" si="25"/>
        <v>열기2-01.노동법\02.문제\[기출][2][2016-1-1]무효인 단체협약을 근거로 지급되던 노동조합 운영비 지급 중단의 정당성.txt</v>
      </c>
      <c r="S282" s="7" t="str">
        <f t="shared" si="26"/>
        <v>A</v>
      </c>
      <c r="T282" s="7" t="str">
        <f t="shared" si="27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23"/>
        <v>제15장 부당노동행위-제05절 지배・개입-04</v>
      </c>
      <c r="Q283" s="7" t="str">
        <f t="shared" si="24"/>
        <v>2017-2-2</v>
      </c>
      <c r="R283" s="7" t="str">
        <f t="shared" si="25"/>
        <v>열기2-01.노동법\02.문제\[기출][2][2017-2]근로시간면제한도를 현저히 초과하여 체결한 단체협약의 부당노동행위 성립 여부.txt</v>
      </c>
      <c r="S283" s="7" t="str">
        <f t="shared" si="26"/>
        <v>A</v>
      </c>
      <c r="T283" s="7" t="str">
        <f t="shared" si="27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23"/>
        <v>제15장 부당노동행위-제05절 지배・개입-05</v>
      </c>
      <c r="Q284" s="7" t="str">
        <f t="shared" si="24"/>
        <v>2020-1-2-2</v>
      </c>
      <c r="R284" s="7" t="str">
        <f t="shared" si="25"/>
        <v>열기2-01.노동법\02.문제\[기출][2][2020-1-2]대체인력 투입의 지배・개입 부당노동행위 성립 여부.txt</v>
      </c>
      <c r="S284" s="7" t="str">
        <f t="shared" si="26"/>
        <v>A</v>
      </c>
      <c r="T284" s="7" t="str">
        <f t="shared" si="27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23"/>
        <v>제15장 부당노동행위-제06절 부당노동행위에 대한 구제-01</v>
      </c>
      <c r="Q285" s="7" t="str">
        <f t="shared" si="24"/>
        <v>부당노동행위-2</v>
      </c>
      <c r="R285" s="7" t="str">
        <f t="shared" si="25"/>
        <v>열기2-01.노동법\01.본문\제15장 부당노동행위.제06절 부당노동행위에 대한 구제.txt</v>
      </c>
      <c r="S285" s="7" t="str">
        <f t="shared" si="26"/>
        <v>C</v>
      </c>
      <c r="T285" s="7" t="str">
        <f t="shared" si="27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23"/>
        <v>제15장 부당노동행위-제06절 부당노동행위에 대한 구제-02</v>
      </c>
      <c r="Q286" s="7" t="str">
        <f t="shared" si="24"/>
        <v>2011-2-1</v>
      </c>
      <c r="R286" s="7" t="str">
        <f t="shared" si="25"/>
        <v>열기2-01.노동법\02.문제\[기출][1][2011-2]기간제 근로자와 회사가 주장할 수 있는 해고 관련 노동법상 쟁점(해고의 절차 및 구제신청의 이익).txt</v>
      </c>
      <c r="S286" s="7" t="str">
        <f t="shared" si="26"/>
        <v>C</v>
      </c>
      <c r="T286" s="7" t="str">
        <f t="shared" si="27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23"/>
        <v>제15장 부당노동행위-제06절 부당노동행위에 대한 구제-03</v>
      </c>
      <c r="Q287" s="7" t="str">
        <f t="shared" si="24"/>
        <v>2025-1-2-2</v>
      </c>
      <c r="R287" s="7" t="str">
        <f t="shared" si="25"/>
        <v>열기2-01.노동법\02.문제\[기출][2][2025-1-2]하위 인사고과 부여 및 이에 따른 임금 감액의 부당노동행위 구제신청기간 도과 여부.txt</v>
      </c>
      <c r="S287" s="7" t="str">
        <f t="shared" si="26"/>
        <v>C</v>
      </c>
      <c r="T287" s="7" t="str">
        <f t="shared" si="27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23"/>
        <v>제15장 부당노동행위-제06절 부당노동행위에 대한 구제-04</v>
      </c>
      <c r="Q288" s="7" t="str">
        <f t="shared" si="24"/>
        <v>대법원 2025.04.03. 선고 2023두41864, 41871 판결-2</v>
      </c>
      <c r="R288" s="7" t="str">
        <f t="shared" si="25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26"/>
        <v>C</v>
      </c>
      <c r="T288" s="7" t="str">
        <f t="shared" si="27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23"/>
        <v>제15장 부당노동행위-제06절 부당노동행위에 대한 구제-05</v>
      </c>
      <c r="Q289" s="7" t="str">
        <f t="shared" si="24"/>
        <v>서울행정법원 2025.08.29. 선고 2024구합65959 판결-2</v>
      </c>
      <c r="R289" s="7" t="str">
        <f t="shared" si="25"/>
        <v>열기2-01.노동법\03.판례\[서울행정법원 2025.08.29. 선고 2024구합65959 판결]승진 탈락과 이로 인한 임금상 불이익의 부당노동행위.txt</v>
      </c>
      <c r="S289" s="7" t="str">
        <f t="shared" si="26"/>
        <v>C</v>
      </c>
      <c r="T289" s="7" t="str">
        <f t="shared" si="27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23"/>
        <v>제16장 부속법령-제01절 근기법-01</v>
      </c>
      <c r="Q290" s="7" t="str">
        <f t="shared" si="24"/>
        <v>부속법령-1</v>
      </c>
      <c r="R290" s="7" t="str">
        <f t="shared" si="25"/>
        <v>열기3-01.관련법령\01.노동법1\01-1.근로기준법(법률).txt</v>
      </c>
      <c r="S290" s="7" t="str">
        <f t="shared" si="26"/>
        <v>C</v>
      </c>
      <c r="T290" s="7" t="str">
        <f t="shared" si="27"/>
        <v>근로기준법</v>
      </c>
    </row>
    <row r="291" spans="2:20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23"/>
        <v>제16장 부속법령-제02절 파견법-01</v>
      </c>
      <c r="Q291" s="7" t="str">
        <f t="shared" si="24"/>
        <v>부속법령-1</v>
      </c>
      <c r="R291" s="7" t="str">
        <f t="shared" si="25"/>
        <v>열기3-01.관련법령\01.노동법1\07-1.파견근로자 보호 등에 관한 법률(법률).txt</v>
      </c>
      <c r="S291" s="7" t="str">
        <f t="shared" si="26"/>
        <v>C</v>
      </c>
      <c r="T291" s="7" t="str">
        <f t="shared" si="27"/>
        <v>파견근로자 보호 등에 관한 법률</v>
      </c>
    </row>
    <row r="292" spans="2:20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23"/>
        <v>제16장 부속법령-제03절 기단법-01</v>
      </c>
      <c r="Q292" s="7" t="str">
        <f t="shared" si="24"/>
        <v>부속법령-1</v>
      </c>
      <c r="R292" s="7" t="str">
        <f t="shared" si="25"/>
        <v>열기3-01.관련법령\01.노동법1\11-1.기간제 및 단시간근로자 보호 등에 관한 법률(법률).txt</v>
      </c>
      <c r="S292" s="7" t="str">
        <f t="shared" si="26"/>
        <v>C</v>
      </c>
      <c r="T292" s="7" t="str">
        <f t="shared" si="27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23"/>
        <v>제16장 부속법령-제04절 산안법-01</v>
      </c>
      <c r="Q293" s="7" t="str">
        <f t="shared" si="24"/>
        <v>부속법령-1</v>
      </c>
      <c r="R293" s="7" t="str">
        <f t="shared" si="25"/>
        <v>열기3-01.관련법령\01.노동법1\03-1.산업안전보건법(법률).txt</v>
      </c>
      <c r="S293" s="7" t="str">
        <f t="shared" si="26"/>
        <v>C</v>
      </c>
      <c r="T293" s="7" t="str">
        <f t="shared" si="27"/>
        <v>산업안전보건법</v>
      </c>
    </row>
    <row r="294" spans="2:20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23"/>
        <v>제16장 부속법령-제04절 산안법-02</v>
      </c>
      <c r="Q294" s="7" t="str">
        <f t="shared" si="24"/>
        <v>2025-2-1</v>
      </c>
      <c r="R294" s="7" t="str">
        <f t="shared" si="25"/>
        <v>열기2-01.노동법\02.문제\[기출][1][2025-2]화학물질 누출 사고에 따른 근로자 및 노동조합 위원장의 작업중지권 행사의 정당성 여부.txt</v>
      </c>
      <c r="S294" s="7" t="str">
        <f t="shared" si="26"/>
        <v>C</v>
      </c>
      <c r="T294" s="7" t="str">
        <f t="shared" si="27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23"/>
        <v>제16장 부속법령-제04절 산안법-03</v>
      </c>
      <c r="Q295" s="7" t="str">
        <f t="shared" si="24"/>
        <v>대법원 2024.11.14. 선고 2023도14674 판결-1</v>
      </c>
      <c r="R295" s="7" t="str">
        <f t="shared" si="25"/>
        <v>열기2-01.노동법\03.판례\[대법원 2024.11.14. 선고 2023도14674 판결]산업안전보건법상 건설공사발주자와 도급인의 구별 기준.txt</v>
      </c>
      <c r="S295" s="7" t="str">
        <f t="shared" si="26"/>
        <v>C</v>
      </c>
      <c r="T295" s="7" t="str">
        <f t="shared" si="27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23"/>
        <v>제16장 부속법령-제04절 산안법-04</v>
      </c>
      <c r="Q296" s="7" t="str">
        <f t="shared" si="24"/>
        <v>대법원 2025.09.26. 선고 2025도10267 판결-1</v>
      </c>
      <c r="R296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26"/>
        <v>C</v>
      </c>
      <c r="T296" s="7" t="str">
        <f t="shared" si="27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23"/>
        <v>제16장 부속법령-제05절 산재법-01</v>
      </c>
      <c r="Q297" s="7" t="str">
        <f t="shared" si="24"/>
        <v>부속법령-1</v>
      </c>
      <c r="R297" s="7" t="str">
        <f t="shared" si="25"/>
        <v>열기3-01.관련법령\04.사회보험법\03-1.산업재해보상보험법(법률).txt</v>
      </c>
      <c r="S297" s="7" t="str">
        <f t="shared" si="26"/>
        <v>C</v>
      </c>
      <c r="T297" s="7" t="str">
        <f t="shared" si="27"/>
        <v>산업재해보상보험법</v>
      </c>
    </row>
    <row r="298" spans="2:20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23"/>
        <v>제16장 부속법령-제06절 고보법-01</v>
      </c>
      <c r="Q298" s="7" t="str">
        <f t="shared" si="24"/>
        <v>부속법령-1</v>
      </c>
      <c r="R298" s="7" t="str">
        <f t="shared" si="25"/>
        <v>열기3-01.관련법령\04.사회보험법\02-1.고용보험법(법률).txt</v>
      </c>
      <c r="S298" s="7" t="str">
        <f t="shared" si="26"/>
        <v>C</v>
      </c>
      <c r="T298" s="7" t="str">
        <f t="shared" si="27"/>
        <v>고용보험법</v>
      </c>
    </row>
    <row r="299" spans="2:20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23"/>
        <v>제16장 부속법령-제06절 고보법-02</v>
      </c>
      <c r="Q299" s="7" t="str">
        <f t="shared" si="24"/>
        <v>2009-2-2-1</v>
      </c>
      <c r="R299" s="7" t="str">
        <f t="shared" si="25"/>
        <v>열기2-01.노동법\02.문제\[기출][1][2009-2-2]고용보험법상 육아휴직 급여의 의의, 지급 요건, 지급 기간 및 금액, 특례 및 기타 사항.txt</v>
      </c>
      <c r="S299" s="7" t="str">
        <f t="shared" si="26"/>
        <v>B</v>
      </c>
      <c r="T299" s="7" t="str">
        <f t="shared" si="27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23"/>
        <v>제16장 부속법령-제06절 고보법-03</v>
      </c>
      <c r="Q300" s="7" t="str">
        <f t="shared" si="24"/>
        <v>헌법재판소 2025.04.10. 선고 2021헌마1362 결정-1</v>
      </c>
      <c r="R300" s="7" t="str">
        <f t="shared" si="25"/>
        <v>열기2-01.노동법\03.판례\[헌법재판소 2025.04.10. 선고 2021헌마1362 결정]육아휴직급여 사후지급금 제도(고보법 시행령) 위헌 여부.txt</v>
      </c>
      <c r="S300" s="7" t="str">
        <f t="shared" si="26"/>
        <v>B</v>
      </c>
      <c r="T300" s="7" t="str">
        <f t="shared" si="27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23"/>
        <v>제16장 부속법령-제07절 노조법-01</v>
      </c>
      <c r="Q301" s="7" t="str">
        <f t="shared" si="24"/>
        <v>부속법령-2</v>
      </c>
      <c r="R301" s="7" t="str">
        <f t="shared" si="25"/>
        <v>열기3-01.관련법령\02.노동법2\01-1.노동조합 및 노동관계조정법(법률).txt</v>
      </c>
      <c r="S301" s="7" t="str">
        <f t="shared" si="26"/>
        <v>C</v>
      </c>
      <c r="T301" s="7" t="str">
        <f t="shared" si="27"/>
        <v>노동조합 및 노동관계조정법</v>
      </c>
    </row>
    <row r="302" spans="2:20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23"/>
        <v>제16장 부속법령-제08절 근참법-02</v>
      </c>
      <c r="Q302" s="7" t="str">
        <f t="shared" si="24"/>
        <v>부속법령-2</v>
      </c>
      <c r="R302" s="7" t="str">
        <f t="shared" si="25"/>
        <v>열기3-01.관련법령\02.노동법2\03-1.근로자참여 및 협력증진에 관한 법률(법률).txt</v>
      </c>
      <c r="S302" s="7" t="str">
        <f t="shared" si="26"/>
        <v>C</v>
      </c>
      <c r="T302" s="7" t="str">
        <f t="shared" si="27"/>
        <v>근로자참여 및 협력증진에 관한 법률</v>
      </c>
    </row>
    <row r="303" spans="2:20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23"/>
        <v>제16장 부속법령-제09절 노위법-01</v>
      </c>
      <c r="Q303" s="7" t="str">
        <f t="shared" si="24"/>
        <v>부속법령-2</v>
      </c>
      <c r="R303" s="7" t="str">
        <f t="shared" si="25"/>
        <v>열기3-01.관련법령\02.노동법2\02-1.노동위원회법(법률).txt</v>
      </c>
      <c r="S303" s="7" t="str">
        <f t="shared" si="26"/>
        <v>C</v>
      </c>
      <c r="T303" s="7" t="str">
        <f t="shared" si="27"/>
        <v>노동위원회법</v>
      </c>
    </row>
    <row r="304" spans="2:20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23"/>
        <v>제16장 부속법령-제09절 노위법-02</v>
      </c>
      <c r="Q304" s="7" t="str">
        <f t="shared" si="24"/>
        <v>2008-3-2</v>
      </c>
      <c r="R304" s="7" t="str">
        <f t="shared" si="25"/>
        <v>열기2-01.노동법\02.문제\[기출][2][2008-3]노동위원회의 관할(사건 관할, 지역 관할).txt</v>
      </c>
      <c r="S304" s="7" t="str">
        <f t="shared" si="26"/>
        <v>C</v>
      </c>
      <c r="T304" s="7" t="str">
        <f t="shared" si="27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23"/>
        <v>제16장 부속법령-제10절 공노법-01</v>
      </c>
      <c r="Q305" s="7" t="str">
        <f t="shared" si="24"/>
        <v>부속법령-2</v>
      </c>
      <c r="R305" s="7" t="str">
        <f t="shared" si="25"/>
        <v>열기3-01.관련법령\02.노동법2\05-1.공무원의 노동조합 설립 및 운영 등에 관한 법률(법률).txt</v>
      </c>
      <c r="S305" s="7" t="str">
        <f t="shared" si="26"/>
        <v>C</v>
      </c>
      <c r="T305" s="7" t="str">
        <f t="shared" si="27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23"/>
        <v>제16장 부속법령-제11절 교노법-01</v>
      </c>
      <c r="Q306" s="7" t="str">
        <f t="shared" si="24"/>
        <v>부속법령-2</v>
      </c>
      <c r="R306" s="7" t="str">
        <f t="shared" si="25"/>
        <v>열기3-01.관련법령\02.노동법2\04-1.교원의 노동조합 설립 및 운영 등에 관한 법률(법률).txt</v>
      </c>
      <c r="S306" s="7" t="str">
        <f t="shared" si="26"/>
        <v>C</v>
      </c>
      <c r="T306" s="7" t="str">
        <f t="shared" si="27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 t="s">
        <v>1865</v>
      </c>
      <c r="M307" s="64"/>
      <c r="N307" s="65"/>
      <c r="O307" s="63" t="str">
        <f t="shared" si="23"/>
        <v>제16장 부속법령-제11절 교노법-02</v>
      </c>
      <c r="Q307" s="7" t="str">
        <f t="shared" si="24"/>
        <v>2025-2-2</v>
      </c>
      <c r="R307" s="7" t="str">
        <f t="shared" si="25"/>
        <v>열기2-01.노동법\02.문제\[기출][2][2025-2]중재재정 조항의 교원노조법상 단체교섭 대상 여부.txt</v>
      </c>
      <c r="S307" s="7" t="str">
        <f t="shared" si="26"/>
        <v>C</v>
      </c>
      <c r="T307" s="7" t="str">
        <f t="shared" si="27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23"/>
        <v>제16장 부속법령-제12절 근퇴법-01</v>
      </c>
      <c r="Q308" s="7" t="str">
        <f t="shared" si="24"/>
        <v>부속법령-1</v>
      </c>
      <c r="R308" s="7" t="str">
        <f t="shared" si="25"/>
        <v>열기3-01.관련법령\01.노동법1\10-1.근로자퇴직급여 보장법(법률).txt</v>
      </c>
      <c r="S308" s="7" t="str">
        <f t="shared" si="26"/>
        <v>C</v>
      </c>
      <c r="T308" s="7" t="str">
        <f t="shared" si="27"/>
        <v>근로자퇴직급여 보장법</v>
      </c>
    </row>
    <row r="309" spans="2:20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1765</v>
      </c>
      <c r="M309" s="52"/>
      <c r="N309" s="53"/>
      <c r="O309" s="51" t="str">
        <f t="shared" si="23"/>
        <v>제16장 부속법령-제12절 근퇴법-02</v>
      </c>
      <c r="Q309" s="7" t="str">
        <f t="shared" si="24"/>
        <v>2017-1-2-1</v>
      </c>
      <c r="R309" s="7" t="str">
        <f t="shared" si="25"/>
        <v>열기2-01.노동법\02.문제\[기출][1][2017-1-2]매월 균분하여 지급받은 퇴직금 분할 약정의 효력.txt</v>
      </c>
      <c r="S309" s="7" t="str">
        <f t="shared" si="26"/>
        <v>C</v>
      </c>
      <c r="T309" s="7" t="str">
        <f t="shared" si="27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23"/>
        <v>제16장 부속법령-제12절 근퇴법-03</v>
      </c>
      <c r="Q310" s="7" t="str">
        <f t="shared" si="24"/>
        <v>서울고등법원(춘천재판부) 2024.12.12. 선고 2024나1090 판결-1</v>
      </c>
      <c r="R310" s="7" t="str">
        <f t="shared" si="25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26"/>
        <v>C</v>
      </c>
      <c r="T310" s="7" t="str">
        <f t="shared" si="27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T174"/>
  <sheetViews>
    <sheetView showGridLines="0" workbookViewId="0">
      <pane ySplit="3" topLeftCell="A117" activePane="bottomLeft" state="frozen"/>
      <selection pane="bottomLeft" activeCell="L118" sqref="L118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80" t="s">
        <v>407</v>
      </c>
      <c r="E2" s="381"/>
      <c r="F2" s="382"/>
      <c r="G2" s="383" t="s">
        <v>3</v>
      </c>
      <c r="H2" s="384"/>
      <c r="I2" s="384"/>
      <c r="J2" s="385"/>
      <c r="K2" s="183" t="s">
        <v>408</v>
      </c>
      <c r="L2" s="183" t="s">
        <v>1231</v>
      </c>
      <c r="M2" s="183" t="s">
        <v>1235</v>
      </c>
      <c r="N2" s="183" t="s">
        <v>409</v>
      </c>
      <c r="O2" s="383" t="s">
        <v>476</v>
      </c>
      <c r="P2" s="384"/>
      <c r="Q2" s="384"/>
      <c r="R2" s="384"/>
    </row>
    <row r="3" spans="1:20" ht="14.45" customHeight="1" x14ac:dyDescent="0.2">
      <c r="B3" s="184"/>
      <c r="C3" s="185"/>
      <c r="D3" s="311"/>
      <c r="E3" s="310" t="s">
        <v>1761</v>
      </c>
      <c r="F3" s="306"/>
      <c r="G3" s="383" t="s">
        <v>0</v>
      </c>
      <c r="H3" s="385"/>
      <c r="I3" s="383" t="s">
        <v>1</v>
      </c>
      <c r="J3" s="385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1762</v>
      </c>
    </row>
    <row r="4" spans="1:20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1457</v>
      </c>
      <c r="J4" s="190" t="s">
        <v>415</v>
      </c>
      <c r="K4" s="191" t="str">
        <f>VLOOKUP(T4,통합목록!$Q$4:$T$310,4,0)</f>
        <v>유니온 숍 조항의 성립 요건 및 소수 노조 조합원에 대한 효력 범위</v>
      </c>
      <c r="L4" s="192" t="str">
        <f>VLOOKUP(T4,통합목록!$Q$4:$T$310,2,0)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1457</v>
      </c>
      <c r="J5" s="190" t="s">
        <v>417</v>
      </c>
      <c r="K5" s="191" t="str">
        <f>VLOOKUP(T5,통합목록!$Q$4:$T$310,4,0)</f>
        <v>탈퇴 후 신규 노조 설립 준비 중인 근로자에 대한 해고의 부당노동행위 및 부당해고 해당 여부</v>
      </c>
      <c r="L5" s="192" t="str">
        <f>VLOOKUP(T5,통합목록!$Q$4:$T$310,2,0)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1456</v>
      </c>
      <c r="J6" s="190" t="s">
        <v>415</v>
      </c>
      <c r="K6" s="191" t="str">
        <f>VLOOKUP(T6,통합목록!$Q$4:$T$310,4,0)</f>
        <v>안전보호시설의 정의와 쟁의행위 제한 취지 및 중앙제어실 파업 동참 행위의 정당성 여부</v>
      </c>
      <c r="L6" s="192" t="str">
        <f>VLOOKUP(T6,통합목록!$Q$4:$T$310,2,0)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1456</v>
      </c>
      <c r="J7" s="190" t="s">
        <v>417</v>
      </c>
      <c r="K7" s="191" t="str">
        <f>VLOOKUP(T7,통합목록!$Q$4:$T$310,4,0)</f>
        <v>필수유지업무 제도의 적용 범위・절차 및 일반 사업장에서의 사용자 일방 지정 가능성</v>
      </c>
      <c r="L7" s="192" t="str">
        <f>VLOOKUP(T7,통합목록!$Q$4:$T$310,2,0)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1455</v>
      </c>
      <c r="J8" s="190" t="s">
        <v>415</v>
      </c>
      <c r="K8" s="191" t="str">
        <f>VLOOKUP(T8,통합목록!$Q$4:$T$310,4,0)</f>
        <v>정당한 쟁의행위 기간 중 가족수당 및 근속수당 지급 의무 여부(무노동 무임금 원칙 적용 범위)</v>
      </c>
      <c r="L8" s="192" t="str">
        <f>VLOOKUP(T8,통합목록!$Q$4:$T$310,2,0)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1455</v>
      </c>
      <c r="J9" s="190" t="s">
        <v>417</v>
      </c>
      <c r="K9" s="191" t="str">
        <f>VLOOKUP(T9,통합목록!$Q$4:$T$310,4,0)</f>
        <v>쟁의행위 및 징계(정직) 기간의 연차휴가 산정 시 출근지수 처리 방식</v>
      </c>
      <c r="L9" s="192" t="str">
        <f>VLOOKUP(T9,통합목록!$Q$4:$T$310,2,0)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1454</v>
      </c>
      <c r="J10" s="190" t="s">
        <v>415</v>
      </c>
      <c r="K10" s="191" t="str">
        <f>VLOOKUP(T10,통합목록!$Q$4:$T$310,4,0)</f>
        <v>쟁의행위의 정당성 결여 판단 및 민사상 손해배상 책임의 주체와 책임의 성질</v>
      </c>
      <c r="L10" s="192" t="str">
        <f>VLOOKUP(T10,통합목록!$Q$4:$T$310,2,0)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1454</v>
      </c>
      <c r="J11" s="190" t="s">
        <v>417</v>
      </c>
      <c r="K11" s="191" t="str">
        <f>VLOOKUP(T11,통합목록!$Q$4:$T$310,4,0)</f>
        <v>책임 제한의 개별화 원칙 적용 여부와 구체적인 판단 기준</v>
      </c>
      <c r="L11" s="192" t="str">
        <f>VLOOKUP(T11,통합목록!$Q$4:$T$310,2,0)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1452</v>
      </c>
      <c r="J12" s="190" t="s">
        <v>415</v>
      </c>
      <c r="K12" s="191" t="str">
        <f>VLOOKUP(T12,통합목록!$Q$4:$T$310,4,0)</f>
        <v>사업장 단위 효력확장 제도의 의의 및 취지, 생산직 비조합원에 대한 요건 충족 여부</v>
      </c>
      <c r="L12" s="192" t="str">
        <f>VLOOKUP(T12,통합목록!$Q$4:$T$310,2,0)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1452</v>
      </c>
      <c r="J13" s="190" t="s">
        <v>417</v>
      </c>
      <c r="K13" s="191" t="str">
        <f>VLOOKUP(T13,통합목록!$Q$4:$T$310,4,0)</f>
        <v>사무직 근로자에 대한 효력확장 여부 및 확장의 범위(채무적 부분 포함 여부)</v>
      </c>
      <c r="L13" s="192" t="str">
        <f>VLOOKUP(T13,통합목록!$Q$4:$T$310,2,0)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1451</v>
      </c>
      <c r="J14" s="190" t="s">
        <v>415</v>
      </c>
      <c r="K14" s="191" t="str">
        <f>VLOOKUP(T14,통합목록!$Q$4:$T$310,4,0)</f>
        <v>평화의무의 개념, 근거 및 명시적 조항 부재 시 인정 여부</v>
      </c>
      <c r="L14" s="192" t="str">
        <f>VLOOKUP(T14,통합목록!$Q$4:$T$310,2,0)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1451</v>
      </c>
      <c r="J15" s="190" t="s">
        <v>417</v>
      </c>
      <c r="K15" s="191" t="str">
        <f>VLOOKUP(T15,통합목록!$Q$4:$T$310,4,0)</f>
        <v>평화의무 위반 쟁의행위의 정당성 유무 및 법적 책임</v>
      </c>
      <c r="L15" s="192" t="str">
        <f>VLOOKUP(T15,통합목록!$Q$4:$T$310,2,0)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1450</v>
      </c>
      <c r="J16" s="190" t="s">
        <v>415</v>
      </c>
      <c r="K16" s="191" t="str">
        <f>VLOOKUP(T16,통합목록!$Q$4:$T$310,4,0)</f>
        <v>단체협약의 성립요건인 서면 작성 및 서명・날인의 법적 의미와 자필 서명의 효력</v>
      </c>
      <c r="L16" s="192" t="str">
        <f>VLOOKUP(T16,통합목록!$Q$4:$T$310,2,0)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1450</v>
      </c>
      <c r="J17" s="190" t="s">
        <v>417</v>
      </c>
      <c r="K17" s="191" t="str">
        <f>VLOOKUP(T17,통합목록!$Q$4:$T$310,4,0)</f>
        <v>조합원 인준투표 부결이 단체협약의 성립 및 효력 발생에 미치는 영향</v>
      </c>
      <c r="L17" s="192" t="str">
        <f>VLOOKUP(T17,통합목록!$Q$4:$T$310,2,0)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1449</v>
      </c>
      <c r="J18" s="190" t="s">
        <v>415</v>
      </c>
      <c r="K18" s="191" t="str">
        <f>VLOOKUP(T18,통합목록!$Q$4:$T$310,4,0)</f>
        <v>단체교섭 중 사용자의 구체적 대안 제시 거부 및 경영 자료 제공 거부의 부당노동행위 성립 여부</v>
      </c>
      <c r="L18" s="192" t="str">
        <f>VLOOKUP(T18,통합목록!$Q$4:$T$310,2,0)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1449</v>
      </c>
      <c r="J19" s="190" t="s">
        <v>417</v>
      </c>
      <c r="K19" s="191" t="str">
        <f>VLOOKUP(T19,통합목록!$Q$4:$T$310,4,0)</f>
        <v>교섭 권한 없는 자로의 위임 및 교섭 불참과 성실교섭의무 위반의 판단 기준</v>
      </c>
      <c r="L19" s="192" t="str">
        <f>VLOOKUP(T19,통합목록!$Q$4:$T$310,2,0)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1603</v>
      </c>
      <c r="H20" s="190" t="s">
        <v>460</v>
      </c>
      <c r="I20" s="352" t="s">
        <v>1447</v>
      </c>
      <c r="J20" s="190" t="s">
        <v>415</v>
      </c>
      <c r="K20" s="191" t="str">
        <f>VLOOKUP(T20,통합목록!$Q$4:$T$310,4,0)</f>
        <v>사용자의 노조 전임자 급여 지급 및 운영비 원조 행위의 부당노동행위 성립 여부와 단체협약의 효력</v>
      </c>
      <c r="L20" s="192" t="str">
        <f>VLOOKUP(T20,통합목록!$Q$4:$T$310,2,0)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1603</v>
      </c>
      <c r="H21" s="190" t="s">
        <v>465</v>
      </c>
      <c r="I21" s="352" t="s">
        <v>1447</v>
      </c>
      <c r="J21" s="190" t="s">
        <v>417</v>
      </c>
      <c r="K21" s="191" t="str">
        <f>VLOOKUP(T21,통합목록!$Q$4:$T$310,4,0)</f>
        <v>근로시간 면제 제도(Time-Off)의 한도 초과 약정의 효력 및 급여 지급의 법적 쟁점</v>
      </c>
      <c r="L21" s="192" t="str">
        <f>VLOOKUP(T21,통합목록!$Q$4:$T$310,2,0)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1603</v>
      </c>
      <c r="H22" s="190" t="s">
        <v>450</v>
      </c>
      <c r="I22" s="352" t="s">
        <v>1446</v>
      </c>
      <c r="J22" s="190" t="s">
        <v>415</v>
      </c>
      <c r="K22" s="191" t="str">
        <f>VLOOKUP(T22,통합목록!$Q$4:$T$310,4,0)</f>
        <v>대의원회 의결 없이 총회에서 이루어진 단체협약안 의결의 정당성</v>
      </c>
      <c r="L22" s="192" t="str">
        <f>VLOOKUP(T22,통합목록!$Q$4:$T$310,2,0)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1603</v>
      </c>
      <c r="H23" s="190" t="s">
        <v>453</v>
      </c>
      <c r="I23" s="352" t="s">
        <v>1446</v>
      </c>
      <c r="J23" s="190" t="s">
        <v>417</v>
      </c>
      <c r="K23" s="191" t="str">
        <f>VLOOKUP(T23,통합목록!$Q$4:$T$310,4,0)</f>
        <v>총회 의결 정족수 충족 여부 및 위원장 해임결의의 유효성</v>
      </c>
      <c r="L23" s="192" t="str">
        <f>VLOOKUP(T23,통합목록!$Q$4:$T$310,2,0)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1603</v>
      </c>
      <c r="H24" s="190" t="s">
        <v>440</v>
      </c>
      <c r="I24" s="352" t="s">
        <v>1445</v>
      </c>
      <c r="J24" s="190" t="s">
        <v>415</v>
      </c>
      <c r="K24" s="191" t="str">
        <f>VLOOKUP(T24,통합목록!$Q$4:$T$310,4,0)</f>
        <v>유니언 숍 조항을 근거로 한 탈퇴 후 타 노조 가입자 해고의 정당성</v>
      </c>
      <c r="L24" s="192" t="str">
        <f>VLOOKUP(T24,통합목록!$Q$4:$T$310,2,0)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1603</v>
      </c>
      <c r="H25" s="190" t="s">
        <v>447</v>
      </c>
      <c r="I25" s="352" t="s">
        <v>1445</v>
      </c>
      <c r="J25" s="190" t="s">
        <v>417</v>
      </c>
      <c r="K25" s="191" t="str">
        <f>VLOOKUP(T25,통합목록!$Q$4:$T$310,4,0)</f>
        <v>조합비 미납을 이유로 한 조합원 선거권 제한의 적법성</v>
      </c>
      <c r="L25" s="192" t="str">
        <f>VLOOKUP(T25,통합목록!$Q$4:$T$310,2,0)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hidden="1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tr">
        <f>VLOOKUP(T26,통합목록!$Q$4:$T$310,4,0)</f>
        <v>직군이 다른 노동조합(사무직과 생산직)의 교섭단위 분리 신청 인정 여부</v>
      </c>
      <c r="L26" s="192" t="str">
        <f>VLOOKUP(T26,통합목록!$Q$4:$T$310,2,0)</f>
        <v>열기2-01.노동법\02.문제\[기출][2][2025-1-1]직군이 다른 노동조합(사무직과 생산직)의 교섭단위 분리 신청 인정 여부.txt</v>
      </c>
      <c r="M26" s="192" t="s">
        <v>1234</v>
      </c>
      <c r="N26" s="193"/>
      <c r="O26" s="192" t="str">
        <f t="shared" si="1"/>
        <v>제12장 단체교섭&gt;01&gt;1-1&gt;</v>
      </c>
      <c r="P26" s="192" t="str">
        <f t="shared" si="2"/>
        <v>제12장 단체교섭&gt;제04절 교섭창구단일화제도&gt;01</v>
      </c>
      <c r="Q26" s="192" t="str">
        <f t="shared" si="3"/>
        <v>2&gt;기출&gt;2025&gt;3</v>
      </c>
      <c r="R26" s="192" t="str">
        <f t="shared" si="4"/>
        <v>2&gt;기출&gt;2025&gt;1-1</v>
      </c>
      <c r="S26" s="3"/>
      <c r="T26" s="3" t="str">
        <f t="shared" si="5"/>
        <v>2025-1-1-2</v>
      </c>
    </row>
    <row r="27" spans="1:20" ht="14.45" hidden="1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1386</v>
      </c>
      <c r="I27" s="352" t="s">
        <v>480</v>
      </c>
      <c r="J27" s="190" t="s">
        <v>415</v>
      </c>
      <c r="K27" s="191" t="str">
        <f>VLOOKUP(T27,통합목록!$Q$4:$T$310,4,0)</f>
        <v>하위 인사고과 부여 및 이에 따른 임금 감액의 부당노동행위 구제신청기간 도과 여부+</v>
      </c>
      <c r="L27" s="192" t="str">
        <f>VLOOKUP(T27,통합목록!$Q$4:$T$310,2,0)</f>
        <v>열기2-01.노동법\02.문제\[기출][2][2025-1-2]하위 인사고과 부여 및 이에 따른 임금 감액의 부당노동행위 구제신청기간 도과 여부.txt</v>
      </c>
      <c r="M27" s="192" t="s">
        <v>1234</v>
      </c>
      <c r="N27" s="193" t="s">
        <v>1398</v>
      </c>
      <c r="O27" s="192" t="str">
        <f t="shared" si="1"/>
        <v>제15장 부당노동행위&gt;01&gt;1-2&gt;계속되는 행위</v>
      </c>
      <c r="P27" s="192" t="str">
        <f t="shared" si="2"/>
        <v>제15장 부당노동행위&gt;제06절 부당노동행위에 대한 구제&gt;01</v>
      </c>
      <c r="Q27" s="192" t="str">
        <f t="shared" si="3"/>
        <v>2&gt;기출&gt;2025&gt;2</v>
      </c>
      <c r="R27" s="192" t="str">
        <f t="shared" si="4"/>
        <v>2&gt;기출&gt;2025&gt;1-2</v>
      </c>
      <c r="S27" s="3"/>
      <c r="T27" s="3" t="str">
        <f t="shared" si="5"/>
        <v>2025-1-2-2</v>
      </c>
    </row>
    <row r="28" spans="1:20" ht="14.45" hidden="1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1382</v>
      </c>
      <c r="H28" s="190" t="s">
        <v>417</v>
      </c>
      <c r="I28" s="352" t="s">
        <v>1458</v>
      </c>
      <c r="J28" s="190" t="s">
        <v>415</v>
      </c>
      <c r="K28" s="191" t="str">
        <f>VLOOKUP(T28,통합목록!$Q$4:$T$310,4,0)</f>
        <v>중재재정 조항의 교원노조법상 단체교섭 대상 여부</v>
      </c>
      <c r="L28" s="192" t="str">
        <f>VLOOKUP(T28,통합목록!$Q$4:$T$310,2,0)</f>
        <v>열기2-01.노동법\02.문제\[기출][2][2025-2]중재재정 조항의 교원노조법상 단체교섭 대상 여부.txt</v>
      </c>
      <c r="M28" s="192" t="s">
        <v>1234</v>
      </c>
      <c r="N28" s="193"/>
      <c r="O28" s="192" t="str">
        <f t="shared" si="1"/>
        <v>제16장 부속법령&gt;02&gt;2&gt;</v>
      </c>
      <c r="P28" s="192" t="str">
        <f t="shared" si="2"/>
        <v>제16장 부속법령&gt;제11절 교노법&gt;01</v>
      </c>
      <c r="Q28" s="192" t="str">
        <f t="shared" si="3"/>
        <v>2&gt;기출&gt;2025&gt;1</v>
      </c>
      <c r="R28" s="192" t="str">
        <f t="shared" si="4"/>
        <v>2&gt;기출&gt;2025&gt;2</v>
      </c>
      <c r="S28" s="3"/>
      <c r="T28" s="3" t="str">
        <f t="shared" si="5"/>
        <v>2025-2-2</v>
      </c>
    </row>
    <row r="29" spans="1:20" ht="14.45" hidden="1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1478</v>
      </c>
      <c r="H29" s="190" t="s">
        <v>415</v>
      </c>
      <c r="I29" s="352" t="s">
        <v>1480</v>
      </c>
      <c r="J29" s="190" t="s">
        <v>415</v>
      </c>
      <c r="K29" s="191" t="str">
        <f>VLOOKUP(T29,통합목록!$Q$4:$T$310,4,0)</f>
        <v>자동차 대리점에 근무하는 판매원의 노동조합법상 근로자성 판단 기준</v>
      </c>
      <c r="L29" s="192" t="str">
        <f>VLOOKUP(T29,통합목록!$Q$4:$T$310,2,0)</f>
        <v>열기2-01.노동법\02.문제\[기출][2][2024-1-1]자동차 대리점에 근무하는 판매원의 노동조합법상 근로자성 판단 기준.txt</v>
      </c>
      <c r="M29" s="192" t="s">
        <v>1234</v>
      </c>
      <c r="N29" s="193"/>
      <c r="O29" s="192" t="str">
        <f t="shared" si="1"/>
        <v>제01장 노동법 총론&gt;01&gt;1-1&gt;</v>
      </c>
      <c r="P29" s="192" t="str">
        <f t="shared" si="2"/>
        <v>제01장 노동법 총론&gt;제05절 노동조합법상 근로자&gt;01</v>
      </c>
      <c r="Q29" s="192" t="str">
        <f t="shared" si="3"/>
        <v>2&gt;기출&gt;2024&gt;3</v>
      </c>
      <c r="R29" s="192" t="str">
        <f t="shared" si="4"/>
        <v>2&gt;기출&gt;2024&gt;1-1</v>
      </c>
      <c r="S29" s="3"/>
      <c r="T29" s="3" t="str">
        <f t="shared" si="5"/>
        <v>2024-1-1-2</v>
      </c>
    </row>
    <row r="30" spans="1:20" ht="14.45" hidden="1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1387</v>
      </c>
      <c r="I30" s="352" t="s">
        <v>481</v>
      </c>
      <c r="J30" s="190" t="s">
        <v>415</v>
      </c>
      <c r="K30" s="191" t="str">
        <f>VLOOKUP(T30,통합목록!$Q$4:$T$310,4,0)</f>
        <v>카마스터들에 대한 용역계약 해지의 불이익 취급 부당노동행위 성립 여부 및 사유 정당성</v>
      </c>
      <c r="L30" s="192" t="str">
        <f>VLOOKUP(T30,통합목록!$Q$4:$T$310,2,0)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1234</v>
      </c>
      <c r="N30" s="193"/>
      <c r="O30" s="192" t="str">
        <f t="shared" si="1"/>
        <v>제15장 부당노동행위&gt;02&gt;1-2&gt;</v>
      </c>
      <c r="P30" s="192" t="str">
        <f t="shared" si="2"/>
        <v>제15장 부당노동행위&gt;제02절 불이익취급&gt;01</v>
      </c>
      <c r="Q30" s="192" t="str">
        <f t="shared" si="3"/>
        <v>2&gt;기출&gt;2024&gt;2</v>
      </c>
      <c r="R30" s="192" t="str">
        <f t="shared" si="4"/>
        <v>2&gt;기출&gt;2024&gt;1-2</v>
      </c>
      <c r="S30" s="3"/>
      <c r="T30" s="3" t="str">
        <f t="shared" si="5"/>
        <v>2024-1-2-2</v>
      </c>
    </row>
    <row r="31" spans="1:20" ht="14.45" hidden="1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tr">
        <f>VLOOKUP(T31,통합목록!$Q$4:$T$310,4,0)</f>
        <v>교섭대표노동조합의 공정대표의무 위반 여부</v>
      </c>
      <c r="L31" s="192" t="str">
        <f>VLOOKUP(T31,통합목록!$Q$4:$T$310,2,0)</f>
        <v>열기2-01.노동법\02.문제\[기출][2][2024-2]교섭대표노동조합의 공정대표의무 위반 여부.txt</v>
      </c>
      <c r="M31" s="192" t="s">
        <v>1234</v>
      </c>
      <c r="N31" s="193"/>
      <c r="O31" s="192" t="str">
        <f t="shared" si="1"/>
        <v>제12장 단체교섭&gt;02&gt;2&gt;</v>
      </c>
      <c r="P31" s="192" t="str">
        <f t="shared" si="2"/>
        <v>제12장 단체교섭&gt;제04절 교섭창구단일화제도&gt;02</v>
      </c>
      <c r="Q31" s="192" t="str">
        <f t="shared" si="3"/>
        <v>2&gt;기출&gt;2024&gt;1</v>
      </c>
      <c r="R31" s="192" t="str">
        <f t="shared" si="4"/>
        <v>2&gt;기출&gt;2024&gt;2</v>
      </c>
      <c r="S31" s="3"/>
      <c r="T31" s="3" t="str">
        <f t="shared" si="5"/>
        <v>2024-2-2</v>
      </c>
    </row>
    <row r="32" spans="1:20" ht="14.45" hidden="1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1551</v>
      </c>
      <c r="G32" s="191" t="s">
        <v>477</v>
      </c>
      <c r="H32" s="190" t="s">
        <v>426</v>
      </c>
      <c r="I32" s="352" t="s">
        <v>1448</v>
      </c>
      <c r="J32" s="190" t="s">
        <v>415</v>
      </c>
      <c r="K32" s="191" t="str">
        <f>VLOOKUP(T32,통합목록!$Q$4:$T$310,4,0)</f>
        <v>사용자의 직장폐쇄 중 수임 상급단체의 단체교섭 요구를 계속적으로 거부한 행위의 부당노동행위 성립 여부</v>
      </c>
      <c r="L32" s="192" t="str">
        <f>VLOOKUP(T32,통합목록!$Q$4:$T$310,2,0)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1234</v>
      </c>
      <c r="N32" s="193"/>
      <c r="O32" s="192" t="str">
        <f t="shared" si="1"/>
        <v>제12장 단체교섭&gt;03&gt;1-1&gt;</v>
      </c>
      <c r="P32" s="192" t="str">
        <f t="shared" si="2"/>
        <v>제12장 단체교섭&gt;제02절 단체교섭의 담당자&gt;01</v>
      </c>
      <c r="Q32" s="192" t="str">
        <f t="shared" si="3"/>
        <v>2&gt;기출&gt;2023&gt;4</v>
      </c>
      <c r="R32" s="192" t="str">
        <f t="shared" si="4"/>
        <v>2&gt;기출&gt;2023&gt;1-1</v>
      </c>
      <c r="S32" s="3"/>
      <c r="T32" s="3" t="str">
        <f t="shared" si="5"/>
        <v>2023-1-1-2</v>
      </c>
    </row>
    <row r="33" spans="2:20" ht="14.45" hidden="1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1550</v>
      </c>
      <c r="G33" s="191" t="s">
        <v>1825</v>
      </c>
      <c r="H33" s="190" t="s">
        <v>1388</v>
      </c>
      <c r="I33" s="352" t="s">
        <v>1826</v>
      </c>
      <c r="J33" s="190" t="s">
        <v>415</v>
      </c>
      <c r="K33" s="191" t="str">
        <f>VLOOKUP(T33,통합목록!$Q$4:$T$310,4,0)</f>
        <v>사용자의 직장폐쇄 중 수임 상급단체의 단체교섭 요구를 계속적으로 거부한 행위의 부당노동행위 성립 여부</v>
      </c>
      <c r="L33" s="192" t="str">
        <f>VLOOKUP(T33,통합목록!$Q$4:$T$310,2,0)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1234</v>
      </c>
      <c r="N33" s="193"/>
      <c r="O33" s="192" t="str">
        <f t="shared" si="1"/>
        <v>제15장 부당노동행위&gt;03&gt;1-1&gt;</v>
      </c>
      <c r="P33" s="192" t="str">
        <f t="shared" si="2"/>
        <v>제15장 부당노동행위&gt;제04절 단체교섭의 거부・해태&gt;01</v>
      </c>
      <c r="Q33" s="192" t="str">
        <f t="shared" si="3"/>
        <v>2&gt;기출&gt;2023&gt;3</v>
      </c>
      <c r="R33" s="192" t="str">
        <f t="shared" si="4"/>
        <v>2&gt;기출&gt;2023&gt;1-1</v>
      </c>
      <c r="S33" s="3"/>
      <c r="T33" s="3" t="str">
        <f t="shared" si="5"/>
        <v>2023-1-1-2</v>
      </c>
    </row>
    <row r="34" spans="2:20" ht="14.45" hidden="1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tr">
        <f>VLOOKUP(T34,통합목록!$Q$4:$T$310,4,0)</f>
        <v>노동조합 대표자가 규약 절차를 위반하여 체결한 단체협약의 법적 효력</v>
      </c>
      <c r="L34" s="192" t="str">
        <f>VLOOKUP(T34,통합목록!$Q$4:$T$310,2,0)</f>
        <v>열기2-01.노동법\02.문제\[기출][2][2023-1-2]노동조합 대표자가 규약 절차를 위반하여 체결한 단체협약의 법적 효력.txt</v>
      </c>
      <c r="M34" s="192" t="s">
        <v>1234</v>
      </c>
      <c r="N34" s="193"/>
      <c r="O34" s="192" t="str">
        <f t="shared" si="1"/>
        <v>제12장 단체교섭&gt;04&gt;1-2&gt;</v>
      </c>
      <c r="P34" s="192" t="str">
        <f t="shared" si="2"/>
        <v>제12장 단체교섭&gt;제05절 인준투표제&gt;01</v>
      </c>
      <c r="Q34" s="192" t="str">
        <f t="shared" si="3"/>
        <v>2&gt;기출&gt;2023&gt;2</v>
      </c>
      <c r="R34" s="192" t="str">
        <f t="shared" si="4"/>
        <v>2&gt;기출&gt;2023&gt;1-2</v>
      </c>
      <c r="S34" s="3"/>
      <c r="T34" s="3" t="str">
        <f t="shared" si="5"/>
        <v>2023-1-2-2</v>
      </c>
    </row>
    <row r="35" spans="2:20" ht="14.45" hidden="1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tr">
        <f>VLOOKUP(T35,통합목록!$Q$4:$T$310,4,0)</f>
        <v>개별 동의 없는 불이익 단체협약의 규범적 효력과 기득이익의 관계</v>
      </c>
      <c r="L35" s="192" t="str">
        <f>VLOOKUP(T35,통합목록!$Q$4:$T$310,2,0)</f>
        <v>열기2-01.노동법\02.문제\[기출][2][2023-2]개별 동의 없는 불이익 단체협약의 규범적 효력과 기득이익의 관계.txt</v>
      </c>
      <c r="M35" s="192" t="s">
        <v>1234</v>
      </c>
      <c r="N35" s="193"/>
      <c r="O35" s="192" t="str">
        <f t="shared" si="1"/>
        <v>제13장 단체협약&gt;01&gt;2&gt;</v>
      </c>
      <c r="P35" s="192" t="str">
        <f t="shared" si="2"/>
        <v>제13장 단체협약&gt;제03절 단체협약의 효력&gt;01</v>
      </c>
      <c r="Q35" s="192" t="str">
        <f t="shared" si="3"/>
        <v>2&gt;기출&gt;2023&gt;1</v>
      </c>
      <c r="R35" s="192" t="str">
        <f t="shared" si="4"/>
        <v>2&gt;기출&gt;2023&gt;2</v>
      </c>
      <c r="S35" s="3"/>
      <c r="T35" s="3" t="str">
        <f t="shared" si="5"/>
        <v>2023-2-2</v>
      </c>
    </row>
    <row r="36" spans="2:20" ht="14.45" hidden="1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1453</v>
      </c>
      <c r="J36" s="190" t="s">
        <v>415</v>
      </c>
      <c r="K36" s="191" t="str">
        <f>VLOOKUP(T36,통합목록!$Q$4:$T$310,4,0)</f>
        <v>원청 사업장에서 쟁의행위를 실시한 하청 노동조합에 대한 퇴거불응죄 성립 여부</v>
      </c>
      <c r="L36" s="192" t="str">
        <f>VLOOKUP(T36,통합목록!$Q$4:$T$310,2,0)</f>
        <v>열기2-01.노동법\02.문제\[기출][2][2022-1-1]원청 사업장에서 쟁의행위를 실시한 하청 노동조합에 대한 퇴거불응죄 성립 여부.txt</v>
      </c>
      <c r="M36" s="192" t="s">
        <v>1234</v>
      </c>
      <c r="N36" s="193"/>
      <c r="O36" s="192" t="str">
        <f t="shared" ref="O36:O67" si="7">G36&amp;"&gt;"&amp;H36&amp;"&gt;"&amp;D36&amp;"&gt;"&amp;N36</f>
        <v>제14장 쟁의행위&gt;01&gt;1-1&gt;</v>
      </c>
      <c r="P36" s="192" t="str">
        <f t="shared" ref="P36:P67" si="8">G36&amp;"&gt;"&amp;I36&amp;"&gt;"&amp;J36</f>
        <v>제14장 쟁의행위&gt;제04절 쟁의행위 수단・방법의 정당성&gt;01</v>
      </c>
      <c r="Q36" s="192" t="str">
        <f t="shared" ref="Q36:Q67" si="9">E36&amp;"&gt;"&amp;M36&amp;"&gt;"&amp;C36&amp;"&gt;"&amp;F36</f>
        <v>2&gt;기출&gt;2022&gt;3</v>
      </c>
      <c r="R36" s="192" t="str">
        <f t="shared" ref="R36:R67" si="10">E36&amp;"&gt;"&amp;M36&amp;"&gt;"&amp;C36&amp;"&gt;"&amp;D36</f>
        <v>2&gt;기출&gt;2022&gt;1-1</v>
      </c>
      <c r="S36" s="3"/>
      <c r="T36" s="3" t="str">
        <f t="shared" ref="T36:T67" si="11">C36&amp;"-"&amp;D36&amp;"-"&amp;E36</f>
        <v>2022-1-1-2</v>
      </c>
    </row>
    <row r="37" spans="2:20" ht="14.45" hidden="1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tr">
        <f>VLOOKUP(T37,통합목록!$Q$4:$T$310,4,0)</f>
        <v>용역업체의 대체근로 저지행위에 대한 형사상 위법성 여부</v>
      </c>
      <c r="L37" s="192" t="str">
        <f>VLOOKUP(T37,통합목록!$Q$4:$T$310,2,0)</f>
        <v>열기2-01.노동법\02.문제\[기출][2][2022-1-2]용역업체의 대체근로 저지행위에 대한 형사상 위법성 여부.txt</v>
      </c>
      <c r="M37" s="192" t="s">
        <v>1234</v>
      </c>
      <c r="N37" s="193" t="s">
        <v>1721</v>
      </c>
      <c r="O37" s="192" t="str">
        <f t="shared" si="7"/>
        <v>제14장 쟁의행위&gt;02&gt;1-2&gt;보충 포함</v>
      </c>
      <c r="P37" s="192" t="str">
        <f t="shared" si="8"/>
        <v>제14장 쟁의행위&gt;제10절 쟁의기간 중 대체근로의 제한&gt;01</v>
      </c>
      <c r="Q37" s="192" t="str">
        <f t="shared" si="9"/>
        <v>2&gt;기출&gt;2022&gt;2</v>
      </c>
      <c r="R37" s="192" t="str">
        <f t="shared" si="10"/>
        <v>2&gt;기출&gt;2022&gt;1-2</v>
      </c>
      <c r="S37" s="3"/>
      <c r="T37" s="3" t="str">
        <f t="shared" si="11"/>
        <v>2022-1-2-2</v>
      </c>
    </row>
    <row r="38" spans="2:20" ht="14.45" hidden="1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1603</v>
      </c>
      <c r="H38" s="190" t="s">
        <v>415</v>
      </c>
      <c r="I38" s="352" t="s">
        <v>1489</v>
      </c>
      <c r="J38" s="190" t="s">
        <v>415</v>
      </c>
      <c r="K38" s="191" t="str">
        <f>VLOOKUP(T38,통합목록!$Q$4:$T$310,4,0)</f>
        <v>산업안전보건법 위반 증거수집 목적의 생산공장 출입이 정당한 조합활동에 해당하는지 여부</v>
      </c>
      <c r="L38" s="192" t="str">
        <f>VLOOKUP(T38,통합목록!$Q$4:$T$310,2,0)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1234</v>
      </c>
      <c r="N38" s="193"/>
      <c r="O38" s="192" t="str">
        <f t="shared" si="7"/>
        <v>제11장 노동조합&gt;01&gt;2&gt;</v>
      </c>
      <c r="P38" s="192" t="str">
        <f t="shared" si="8"/>
        <v>제11장 노동조합&gt;제04절 조합활동의 정당성&gt;01</v>
      </c>
      <c r="Q38" s="192" t="str">
        <f t="shared" si="9"/>
        <v>2&gt;기출&gt;2022&gt;1</v>
      </c>
      <c r="R38" s="192" t="str">
        <f t="shared" si="10"/>
        <v>2&gt;기출&gt;2022&gt;2</v>
      </c>
      <c r="S38" s="3"/>
      <c r="T38" s="3" t="str">
        <f t="shared" si="11"/>
        <v>2022-2-2</v>
      </c>
    </row>
    <row r="39" spans="2:20" ht="14.45" hidden="1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1599</v>
      </c>
      <c r="G39" s="191" t="s">
        <v>1603</v>
      </c>
      <c r="H39" s="190" t="s">
        <v>417</v>
      </c>
      <c r="I39" s="352" t="s">
        <v>487</v>
      </c>
      <c r="J39" s="190" t="s">
        <v>415</v>
      </c>
      <c r="K39" s="191" t="str">
        <f>VLOOKUP(T39,통합목록!$Q$4:$T$310,4,0)</f>
        <v>설립신고를 하지 않은 초기업 노동조합 지부의 단체협약 체결 당사자 지위 인정 여부</v>
      </c>
      <c r="L39" s="192" t="str">
        <f>VLOOKUP(T39,통합목록!$Q$4:$T$310,2,0)</f>
        <v>열기2-01.노동법\02.문제\[기출][2][2021-1-1]설립신고를 하지 않은 초기업 노동조합 지부의 단체협약 체결 당사자 지위 인정 여부.txt</v>
      </c>
      <c r="M39" s="192" t="s">
        <v>1234</v>
      </c>
      <c r="N39" s="193"/>
      <c r="O39" s="192" t="str">
        <f t="shared" si="7"/>
        <v>제11장 노동조합&gt;02&gt;1-1&gt;</v>
      </c>
      <c r="P39" s="192" t="str">
        <f t="shared" si="8"/>
        <v>제11장 노동조합&gt;제01절 노동조합의 설립요건&gt;01</v>
      </c>
      <c r="Q39" s="192" t="str">
        <f t="shared" si="9"/>
        <v>2&gt;기출&gt;2021&gt;4</v>
      </c>
      <c r="R39" s="192" t="str">
        <f t="shared" si="10"/>
        <v>2&gt;기출&gt;2021&gt;1-1</v>
      </c>
      <c r="S39" s="3"/>
      <c r="T39" s="3" t="str">
        <f t="shared" si="11"/>
        <v>2021-1-1-2</v>
      </c>
    </row>
    <row r="40" spans="2:20" ht="14.45" hidden="1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1827</v>
      </c>
      <c r="H40" s="190" t="s">
        <v>1598</v>
      </c>
      <c r="I40" s="352" t="s">
        <v>1828</v>
      </c>
      <c r="J40" s="190" t="s">
        <v>1596</v>
      </c>
      <c r="K40" s="191" t="str">
        <f>VLOOKUP(T40,통합목록!$Q$4:$T$310,4,0)</f>
        <v>설립신고를 하지 않은 초기업 노동조합 지부의 단체협약 체결 당사자 지위 인정 여부</v>
      </c>
      <c r="L40" s="192" t="str">
        <f>VLOOKUP(T40,통합목록!$Q$4:$T$310,2,0)</f>
        <v>열기2-01.노동법\02.문제\[기출][2][2021-1-1]설립신고를 하지 않은 초기업 노동조합 지부의 단체협약 체결 당사자 지위 인정 여부.txt</v>
      </c>
      <c r="M40" s="192" t="s">
        <v>1258</v>
      </c>
      <c r="N40" s="193"/>
      <c r="O40" s="192" t="str">
        <f t="shared" si="7"/>
        <v>제12장 단체교섭&gt;05&gt;1-1&gt;</v>
      </c>
      <c r="P40" s="192" t="str">
        <f t="shared" si="8"/>
        <v>제12장 단체교섭&gt;제01절 단체교섭의 당사자&gt;01</v>
      </c>
      <c r="Q40" s="192" t="str">
        <f t="shared" si="9"/>
        <v>2&gt;기출&gt;2021&gt;3</v>
      </c>
      <c r="R40" s="192" t="str">
        <f t="shared" si="10"/>
        <v>2&gt;기출&gt;2021&gt;1-1</v>
      </c>
      <c r="S40" s="3"/>
      <c r="T40" s="3" t="str">
        <f t="shared" si="11"/>
        <v>2021-1-1-2</v>
      </c>
    </row>
    <row r="41" spans="2:20" ht="14.45" hidden="1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tr">
        <f>VLOOKUP(T41,통합목록!$Q$4:$T$310,4,0)</f>
        <v>자동연장된 단체협약의 해지권 제한 약정의 효력 및 해지 통보의 유효성</v>
      </c>
      <c r="L41" s="192" t="str">
        <f>VLOOKUP(T41,통합목록!$Q$4:$T$310,2,0)</f>
        <v>열기2-01.노동법\02.문제\[기출][2][2021-1-2]자동연장된 단체협약의 해지권 제한 약정의 효력 및 해지 통보의 유효성.txt</v>
      </c>
      <c r="M41" s="192" t="s">
        <v>1234</v>
      </c>
      <c r="N41" s="193"/>
      <c r="O41" s="192" t="str">
        <f t="shared" si="7"/>
        <v>제13장 단체협약&gt;02&gt;1-2&gt;</v>
      </c>
      <c r="P41" s="192" t="str">
        <f t="shared" si="8"/>
        <v>제13장 단체협약&gt;제08절 단체협약의 실효 및 실효 후의 근로관계&gt;01</v>
      </c>
      <c r="Q41" s="192" t="str">
        <f t="shared" si="9"/>
        <v>2&gt;기출&gt;2021&gt;2</v>
      </c>
      <c r="R41" s="192" t="str">
        <f t="shared" si="10"/>
        <v>2&gt;기출&gt;2021&gt;1-2</v>
      </c>
      <c r="S41" s="3"/>
      <c r="T41" s="3" t="str">
        <f t="shared" si="11"/>
        <v>2021-1-2-2</v>
      </c>
    </row>
    <row r="42" spans="2:20" ht="14.45" hidden="1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tr">
        <f>VLOOKUP(T42,통합목록!$Q$4:$T$310,4,0)</f>
        <v>임금협약의 유효기간 중 재교섭을 요구하며 개시한 파업의 정당성 여부</v>
      </c>
      <c r="L42" s="192" t="str">
        <f>VLOOKUP(T42,통합목록!$Q$4:$T$310,2,0)</f>
        <v>열기2-01.노동법\02.문제\[기출][2][2021-2]임금협약의 유효기간 중 재교섭을 요구하며 개시한 파업의 정당성 여부.txt</v>
      </c>
      <c r="M42" s="192" t="s">
        <v>1234</v>
      </c>
      <c r="N42" s="193"/>
      <c r="O42" s="192" t="str">
        <f t="shared" si="7"/>
        <v>제14장 쟁의행위&gt;03&gt;2&gt;</v>
      </c>
      <c r="P42" s="192" t="str">
        <f t="shared" si="8"/>
        <v>제14장 쟁의행위&gt;제02절 쟁의행위 목적의 정당성&gt;01</v>
      </c>
      <c r="Q42" s="192" t="str">
        <f t="shared" si="9"/>
        <v>2&gt;기출&gt;2021&gt;1</v>
      </c>
      <c r="R42" s="192" t="str">
        <f t="shared" si="10"/>
        <v>2&gt;기출&gt;2021&gt;2</v>
      </c>
      <c r="S42" s="3"/>
      <c r="T42" s="3" t="str">
        <f t="shared" si="11"/>
        <v>2021-2-2</v>
      </c>
    </row>
    <row r="43" spans="2:20" ht="14.45" hidden="1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tr">
        <f>VLOOKUP(T43,통합목록!$Q$4:$T$310,4,0)</f>
        <v>대체인력 투입이 대체근로 제한에 위배되어 위법한지 여부</v>
      </c>
      <c r="L43" s="192" t="str">
        <f>VLOOKUP(T43,통합목록!$Q$4:$T$310,2,0)</f>
        <v>열기2-01.노동법\02.문제\[기출][2][2020-1-1]대체인력 투입이 대체근로 제한에 위배되어 위법한지 여부.txt</v>
      </c>
      <c r="M43" s="192" t="s">
        <v>1234</v>
      </c>
      <c r="N43" s="193" t="s">
        <v>1721</v>
      </c>
      <c r="O43" s="192" t="str">
        <f t="shared" si="7"/>
        <v>제14장 쟁의행위&gt;04&gt;1-1&gt;보충 포함</v>
      </c>
      <c r="P43" s="192" t="str">
        <f t="shared" si="8"/>
        <v>제14장 쟁의행위&gt;제10절 쟁의기간 중 대체근로의 제한&gt;02</v>
      </c>
      <c r="Q43" s="192" t="str">
        <f t="shared" si="9"/>
        <v>2&gt;기출&gt;2020&gt;4</v>
      </c>
      <c r="R43" s="192" t="str">
        <f t="shared" si="10"/>
        <v>2&gt;기출&gt;2020&gt;1-1</v>
      </c>
      <c r="S43" s="3"/>
      <c r="T43" s="3" t="str">
        <f t="shared" si="11"/>
        <v>2020-1-1-2</v>
      </c>
    </row>
    <row r="44" spans="2:20" ht="14.45" hidden="1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1550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tr">
        <f>VLOOKUP(T44,통합목록!$Q$4:$T$310,4,0)</f>
        <v>대체인력 투입의 지배・개입 부당노동행위 성립 여부</v>
      </c>
      <c r="L44" s="192" t="str">
        <f>VLOOKUP(T44,통합목록!$Q$4:$T$310,2,0)</f>
        <v>열기2-01.노동법\02.문제\[기출][2][2020-1-2]대체인력 투입의 지배・개입 부당노동행위 성립 여부.txt</v>
      </c>
      <c r="M44" s="192" t="s">
        <v>1234</v>
      </c>
      <c r="N44" s="193" t="s">
        <v>1721</v>
      </c>
      <c r="O44" s="192" t="str">
        <f t="shared" si="7"/>
        <v>제14장 쟁의행위&gt;05&gt;1-2&gt;보충 포함</v>
      </c>
      <c r="P44" s="192" t="str">
        <f t="shared" si="8"/>
        <v>제14장 쟁의행위&gt;제10절 쟁의기간 중 대체근로의 제한&gt;03</v>
      </c>
      <c r="Q44" s="192" t="str">
        <f t="shared" si="9"/>
        <v>2&gt;기출&gt;2020&gt;3</v>
      </c>
      <c r="R44" s="192" t="str">
        <f t="shared" si="10"/>
        <v>2&gt;기출&gt;2020&gt;1-2</v>
      </c>
      <c r="S44" s="3"/>
      <c r="T44" s="3" t="str">
        <f t="shared" si="11"/>
        <v>2020-1-2-2</v>
      </c>
    </row>
    <row r="45" spans="2:20" ht="14.45" hidden="1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1553</v>
      </c>
      <c r="G45" s="191" t="s">
        <v>1825</v>
      </c>
      <c r="H45" s="190" t="s">
        <v>1389</v>
      </c>
      <c r="I45" s="352" t="s">
        <v>1829</v>
      </c>
      <c r="J45" s="190" t="s">
        <v>415</v>
      </c>
      <c r="K45" s="191" t="str">
        <f>VLOOKUP(T45,통합목록!$Q$4:$T$310,4,0)</f>
        <v>대체인력 투입의 지배・개입 부당노동행위 성립 여부</v>
      </c>
      <c r="L45" s="192" t="str">
        <f>VLOOKUP(T45,통합목록!$Q$4:$T$310,2,0)</f>
        <v>열기2-01.노동법\02.문제\[기출][2][2020-1-2]대체인력 투입의 지배・개입 부당노동행위 성립 여부.txt</v>
      </c>
      <c r="M45" s="192" t="s">
        <v>1234</v>
      </c>
      <c r="N45" s="193" t="s">
        <v>1721</v>
      </c>
      <c r="O45" s="192" t="str">
        <f t="shared" si="7"/>
        <v>제15장 부당노동행위&gt;04&gt;1-2&gt;보충 포함</v>
      </c>
      <c r="P45" s="192" t="str">
        <f t="shared" si="8"/>
        <v>제15장 부당노동행위&gt;제05절 지배・개입&gt;01</v>
      </c>
      <c r="Q45" s="192" t="str">
        <f t="shared" si="9"/>
        <v>2&gt;기출&gt;2020&gt;2</v>
      </c>
      <c r="R45" s="192" t="str">
        <f t="shared" si="10"/>
        <v>2&gt;기출&gt;2020&gt;1-2</v>
      </c>
      <c r="S45" s="3"/>
      <c r="T45" s="3" t="str">
        <f t="shared" si="11"/>
        <v>2020-1-2-2</v>
      </c>
    </row>
    <row r="46" spans="2:20" ht="14.45" hidden="1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tr">
        <f>VLOOKUP(T46,통합목록!$Q$4:$T$310,4,0)</f>
        <v>소수노조 대상 노조사무실 미제공의 공정대표의무 위반 여부</v>
      </c>
      <c r="L46" s="192" t="str">
        <f>VLOOKUP(T46,통합목록!$Q$4:$T$310,2,0)</f>
        <v>열기2-01.노동법\02.문제\[기출][2][2020-2]소수노조 대상 노조사무실 미제공의 공정대표의무 위반 여부.txt</v>
      </c>
      <c r="M46" s="192" t="s">
        <v>1234</v>
      </c>
      <c r="N46" s="193"/>
      <c r="O46" s="192" t="str">
        <f t="shared" si="7"/>
        <v>제12장 단체교섭&gt;06&gt;2&gt;</v>
      </c>
      <c r="P46" s="192" t="str">
        <f t="shared" si="8"/>
        <v>제12장 단체교섭&gt;제04절 교섭창구단일화제도&gt;03</v>
      </c>
      <c r="Q46" s="192" t="str">
        <f t="shared" si="9"/>
        <v>2&gt;기출&gt;2020&gt;1</v>
      </c>
      <c r="R46" s="192" t="str">
        <f t="shared" si="10"/>
        <v>2&gt;기출&gt;2020&gt;2</v>
      </c>
      <c r="S46" s="3"/>
      <c r="T46" s="3" t="str">
        <f t="shared" si="11"/>
        <v>2020-2-2</v>
      </c>
    </row>
    <row r="47" spans="2:20" ht="14.45" hidden="1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tr">
        <f>VLOOKUP(T47,통합목록!$Q$4:$T$310,4,0)</f>
        <v>직장폐쇄를 단행하며 노조사무실 출입을 전면 금지한 행위의 정당성 여부</v>
      </c>
      <c r="L47" s="192" t="str">
        <f>VLOOKUP(T47,통합목록!$Q$4:$T$310,2,0)</f>
        <v>열기2-01.노동법\02.문제\[기출][2][2019-1-1]직장폐쇄를 단행하며 노조사무실 출입을 전면 금지한 행위의 정당성 여부.txt</v>
      </c>
      <c r="M47" s="192" t="s">
        <v>1234</v>
      </c>
      <c r="N47" s="193"/>
      <c r="O47" s="192" t="str">
        <f t="shared" si="7"/>
        <v>제14장 쟁의행위&gt;06&gt;1-1&gt;</v>
      </c>
      <c r="P47" s="192" t="str">
        <f t="shared" si="8"/>
        <v>제14장 쟁의행위&gt;제06절 사용자의 쟁의행위&gt;01</v>
      </c>
      <c r="Q47" s="192" t="str">
        <f t="shared" si="9"/>
        <v>2&gt;기출&gt;2019&gt;3</v>
      </c>
      <c r="R47" s="192" t="str">
        <f t="shared" si="10"/>
        <v>2&gt;기출&gt;2019&gt;1-1</v>
      </c>
      <c r="S47" s="3"/>
      <c r="T47" s="3" t="str">
        <f t="shared" si="11"/>
        <v>2019-1-1-2</v>
      </c>
    </row>
    <row r="48" spans="2:20" ht="14.45" hidden="1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1603</v>
      </c>
      <c r="H48" s="190" t="s">
        <v>426</v>
      </c>
      <c r="I48" s="352" t="s">
        <v>1824</v>
      </c>
      <c r="J48" s="190" t="s">
        <v>415</v>
      </c>
      <c r="K48" s="191" t="str">
        <f>VLOOKUP(T48,통합목록!$Q$4:$T$310,4,0)</f>
        <v>초기업 노동조합 지회의 기업별 노동조합 조직형태 변경 결의의 유효성 여부</v>
      </c>
      <c r="L48" s="192" t="str">
        <f>VLOOKUP(T48,통합목록!$Q$4:$T$310,2,0)</f>
        <v>열기2-01.노동법\02.문제\[기출][2][2019-1-2]초기업 노동조합 지회의 기업별 노동조합 조직형태 변경 결의의 유효성 여부.txt</v>
      </c>
      <c r="M48" s="192" t="s">
        <v>1234</v>
      </c>
      <c r="N48" s="193"/>
      <c r="O48" s="192" t="str">
        <f t="shared" si="7"/>
        <v>제11장 노동조합&gt;03&gt;1-2&gt;</v>
      </c>
      <c r="P48" s="192" t="str">
        <f t="shared" si="8"/>
        <v>제11장 노동조합&gt;제07절 노동조합의 합병・해산・조직변경&gt;01</v>
      </c>
      <c r="Q48" s="192" t="str">
        <f t="shared" si="9"/>
        <v>2&gt;기출&gt;2019&gt;2</v>
      </c>
      <c r="R48" s="192" t="str">
        <f t="shared" si="10"/>
        <v>2&gt;기출&gt;2019&gt;1-2</v>
      </c>
      <c r="T48" s="3" t="str">
        <f t="shared" si="11"/>
        <v>2019-1-2-2</v>
      </c>
    </row>
    <row r="49" spans="2:20" ht="14.45" hidden="1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1478</v>
      </c>
      <c r="H49" s="190" t="s">
        <v>426</v>
      </c>
      <c r="I49" s="352" t="s">
        <v>1481</v>
      </c>
      <c r="J49" s="190" t="s">
        <v>415</v>
      </c>
      <c r="K49" s="191" t="str">
        <f>VLOOKUP(T49,통합목록!$Q$4:$T$310,4,0)</f>
        <v>부당노동행위의 주체로서 사용자 개념의 확장</v>
      </c>
      <c r="L49" s="192" t="str">
        <f>VLOOKUP(T49,통합목록!$Q$4:$T$310,2,0)</f>
        <v>열기2-01.노동법\02.문제\[기출][2][2019-2]부당노동행위의 주체로서 사용자 개념의 확장.txt</v>
      </c>
      <c r="M49" s="192" t="s">
        <v>1234</v>
      </c>
      <c r="N49" s="193"/>
      <c r="O49" s="192" t="str">
        <f t="shared" si="7"/>
        <v>제01장 노동법 총론&gt;03&gt;2&gt;</v>
      </c>
      <c r="P49" s="192" t="str">
        <f t="shared" si="8"/>
        <v>제01장 노동법 총론&gt;제07절 노동조합법상 사용자&gt;01</v>
      </c>
      <c r="Q49" s="192" t="str">
        <f t="shared" si="9"/>
        <v>2&gt;기출&gt;2019&gt;1</v>
      </c>
      <c r="R49" s="192" t="str">
        <f t="shared" si="10"/>
        <v>2&gt;기출&gt;2019&gt;2</v>
      </c>
      <c r="T49" s="3" t="str">
        <f t="shared" si="11"/>
        <v>2019-2-2</v>
      </c>
    </row>
    <row r="50" spans="2:20" ht="14.45" hidden="1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1390</v>
      </c>
      <c r="I50" s="352" t="s">
        <v>482</v>
      </c>
      <c r="J50" s="190" t="s">
        <v>417</v>
      </c>
      <c r="K50" s="191" t="str">
        <f>VLOOKUP(T50,통합목록!$Q$4:$T$310,4,0)</f>
        <v>규약상 교섭안 마련 및 조합원 총의 수렴 조항을 이유로 한 사용자의 단체교섭 거부의 정당성 여부</v>
      </c>
      <c r="L50" s="192" t="str">
        <f>VLOOKUP(T50,통합목록!$Q$4:$T$310,2,0)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1234</v>
      </c>
      <c r="N50" s="193"/>
      <c r="O50" s="192" t="str">
        <f t="shared" si="7"/>
        <v>제15장 부당노동행위&gt;05&gt;1-1&gt;</v>
      </c>
      <c r="P50" s="192" t="str">
        <f t="shared" si="8"/>
        <v>제15장 부당노동행위&gt;제04절 단체교섭의 거부・해태&gt;02</v>
      </c>
      <c r="Q50" s="192" t="str">
        <f t="shared" si="9"/>
        <v>2&gt;기출&gt;2018&gt;3</v>
      </c>
      <c r="R50" s="192" t="str">
        <f t="shared" si="10"/>
        <v>2&gt;기출&gt;2018&gt;1-1</v>
      </c>
      <c r="T50" s="3" t="str">
        <f t="shared" si="11"/>
        <v>2018-1-1-2</v>
      </c>
    </row>
    <row r="51" spans="2:20" ht="14.45" hidden="1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1391</v>
      </c>
      <c r="I51" s="352" t="s">
        <v>482</v>
      </c>
      <c r="J51" s="190" t="s">
        <v>426</v>
      </c>
      <c r="K51" s="191" t="str">
        <f>VLOOKUP(T51,통합목록!$Q$4:$T$310,4,0)</f>
        <v>법원의 가처분 결정 이후 사용자의 단체교섭 계속 거부의 불법행위 성립 여부</v>
      </c>
      <c r="L51" s="192" t="str">
        <f>VLOOKUP(T51,통합목록!$Q$4:$T$310,2,0)</f>
        <v>열기2-01.노동법\02.문제\[기출][2][2018-1-2]법원의 가처분 결정 이후 사용자의 단체교섭 계속 거부의 불법행위 성립 여부.txt</v>
      </c>
      <c r="M51" s="192" t="s">
        <v>1234</v>
      </c>
      <c r="N51" s="193"/>
      <c r="O51" s="192" t="str">
        <f t="shared" si="7"/>
        <v>제15장 부당노동행위&gt;06&gt;1-2&gt;</v>
      </c>
      <c r="P51" s="192" t="str">
        <f t="shared" si="8"/>
        <v>제15장 부당노동행위&gt;제04절 단체교섭의 거부・해태&gt;03</v>
      </c>
      <c r="Q51" s="192" t="str">
        <f t="shared" si="9"/>
        <v>2&gt;기출&gt;2018&gt;2</v>
      </c>
      <c r="R51" s="192" t="str">
        <f t="shared" si="10"/>
        <v>2&gt;기출&gt;2018&gt;1-2</v>
      </c>
      <c r="T51" s="3" t="str">
        <f t="shared" si="11"/>
        <v>2018-1-2-2</v>
      </c>
    </row>
    <row r="52" spans="2:20" ht="14.45" hidden="1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1453</v>
      </c>
      <c r="J52" s="190" t="s">
        <v>417</v>
      </c>
      <c r="K52" s="191" t="str">
        <f>VLOOKUP(T52,통합목록!$Q$4:$T$310,4,0)</f>
        <v>직장폐쇄 후 조합원들의 임원회의실 점거 지속 및 퇴거요구 불응에 따른 정당성 상실 여부</v>
      </c>
      <c r="L52" s="192" t="str">
        <f>VLOOKUP(T52,통합목록!$Q$4:$T$310,2,0)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1234</v>
      </c>
      <c r="N52" s="193" t="s">
        <v>1791</v>
      </c>
      <c r="O52" s="192" t="str">
        <f t="shared" si="7"/>
        <v>제14장 쟁의행위&gt;07&gt;2&gt;제6절과 연관</v>
      </c>
      <c r="P52" s="192" t="str">
        <f t="shared" si="8"/>
        <v>제14장 쟁의행위&gt;제04절 쟁의행위 수단・방법의 정당성&gt;02</v>
      </c>
      <c r="Q52" s="192" t="str">
        <f t="shared" si="9"/>
        <v>2&gt;기출&gt;2018&gt;1</v>
      </c>
      <c r="R52" s="192" t="str">
        <f t="shared" si="10"/>
        <v>2&gt;기출&gt;2018&gt;2</v>
      </c>
      <c r="T52" s="3" t="str">
        <f t="shared" si="11"/>
        <v>2018-2-2</v>
      </c>
    </row>
    <row r="53" spans="2:20" ht="14.45" hidden="1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tr">
        <f>VLOOKUP(T53,통합목록!$Q$4:$T$310,4,0)</f>
        <v>관행적 연장근로에 대한 집단적 거부가 노조법상 쟁의행위에 해당하는지 여부</v>
      </c>
      <c r="L53" s="192" t="str">
        <f>VLOOKUP(T53,통합목록!$Q$4:$T$310,2,0)</f>
        <v>열기2-01.노동법\02.문제\[기출][2][2017-1-1]관행적 연장근로에 대한 집단적 거부가 노조법상 쟁의행위에 해당하는지 여부.txt</v>
      </c>
      <c r="M53" s="192" t="s">
        <v>1234</v>
      </c>
      <c r="N53" s="193"/>
      <c r="O53" s="192" t="str">
        <f t="shared" si="7"/>
        <v>제14장 쟁의행위&gt;09&gt;1-1&gt;</v>
      </c>
      <c r="P53" s="192" t="str">
        <f t="shared" si="8"/>
        <v>제14장 쟁의행위&gt;제05절 준법투쟁&gt;01</v>
      </c>
      <c r="Q53" s="192" t="str">
        <f t="shared" si="9"/>
        <v>2&gt;기출&gt;2017&gt;3</v>
      </c>
      <c r="R53" s="192" t="str">
        <f t="shared" si="10"/>
        <v>2&gt;기출&gt;2017&gt;1-1</v>
      </c>
      <c r="T53" s="3" t="str">
        <f t="shared" si="11"/>
        <v>2017-1-1-2</v>
      </c>
    </row>
    <row r="54" spans="2:20" ht="14.45" hidden="1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tr">
        <f>VLOOKUP(T54,통합목록!$Q$4:$T$310,4,0)</f>
        <v>근로자의 집단적 연장근로 거부 및 태업에 대응하여 단행한 사용자의 직장폐쇄 개시 및 유지의 정당성 여부</v>
      </c>
      <c r="L54" s="192" t="str">
        <f>VLOOKUP(T54,통합목록!$Q$4:$T$310,2,0)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1234</v>
      </c>
      <c r="N54" s="193"/>
      <c r="O54" s="192" t="str">
        <f t="shared" si="7"/>
        <v>제14장 쟁의행위&gt;10&gt;1-2&gt;</v>
      </c>
      <c r="P54" s="192" t="str">
        <f t="shared" si="8"/>
        <v>제14장 쟁의행위&gt;제06절 사용자의 쟁의행위&gt;02</v>
      </c>
      <c r="Q54" s="192" t="str">
        <f t="shared" si="9"/>
        <v>2&gt;기출&gt;2017&gt;2</v>
      </c>
      <c r="R54" s="192" t="str">
        <f t="shared" si="10"/>
        <v>2&gt;기출&gt;2017&gt;1-2</v>
      </c>
      <c r="T54" s="3" t="str">
        <f t="shared" si="11"/>
        <v>2017-1-2-2</v>
      </c>
    </row>
    <row r="55" spans="2:20" ht="14.45" hidden="1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1392</v>
      </c>
      <c r="I55" s="352" t="s">
        <v>492</v>
      </c>
      <c r="J55" s="190" t="s">
        <v>417</v>
      </c>
      <c r="K55" s="191" t="str">
        <f>VLOOKUP(T55,통합목록!$Q$4:$T$310,4,0)</f>
        <v>근로시간면제한도를 현저히 초과하여 체결한 단체협약의 부당노동행위 성립 여부</v>
      </c>
      <c r="L55" s="192" t="str">
        <f>VLOOKUP(T55,통합목록!$Q$4:$T$310,2,0)</f>
        <v>열기2-01.노동법\02.문제\[기출][2][2017-2]근로시간면제한도를 현저히 초과하여 체결한 단체협약의 부당노동행위 성립 여부.txt</v>
      </c>
      <c r="M55" s="192" t="s">
        <v>1234</v>
      </c>
      <c r="N55" s="193"/>
      <c r="O55" s="192" t="str">
        <f t="shared" si="7"/>
        <v>제15장 부당노동행위&gt;07&gt;2&gt;</v>
      </c>
      <c r="P55" s="192" t="str">
        <f t="shared" si="8"/>
        <v>제15장 부당노동행위&gt;제05절 지배・개입&gt;02</v>
      </c>
      <c r="Q55" s="192" t="str">
        <f t="shared" si="9"/>
        <v>2&gt;기출&gt;2017&gt;1</v>
      </c>
      <c r="R55" s="192" t="str">
        <f t="shared" si="10"/>
        <v>2&gt;기출&gt;2017&gt;2</v>
      </c>
      <c r="T55" s="3" t="str">
        <f t="shared" si="11"/>
        <v>2017-2-2</v>
      </c>
    </row>
    <row r="56" spans="2:20" ht="14.45" hidden="1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1393</v>
      </c>
      <c r="I56" s="352" t="s">
        <v>492</v>
      </c>
      <c r="J56" s="190" t="s">
        <v>426</v>
      </c>
      <c r="K56" s="191" t="str">
        <f>VLOOKUP(T56,통합목록!$Q$4:$T$310,4,0)</f>
        <v>무효인 단체협약을 근거로 지급되던 노동조합 운영비 지급 중단의 정당성</v>
      </c>
      <c r="L56" s="192" t="str">
        <f>VLOOKUP(T56,통합목록!$Q$4:$T$310,2,0)</f>
        <v>열기2-01.노동법\02.문제\[기출][2][2016-1-1]무효인 단체협약을 근거로 지급되던 노동조합 운영비 지급 중단의 정당성.txt</v>
      </c>
      <c r="M56" s="192" t="s">
        <v>1234</v>
      </c>
      <c r="N56" s="193"/>
      <c r="O56" s="192" t="str">
        <f t="shared" si="7"/>
        <v>제15장 부당노동행위&gt;08&gt;1-1&gt;</v>
      </c>
      <c r="P56" s="192" t="str">
        <f t="shared" si="8"/>
        <v>제15장 부당노동행위&gt;제05절 지배・개입&gt;03</v>
      </c>
      <c r="Q56" s="192" t="str">
        <f t="shared" si="9"/>
        <v>2&gt;기출&gt;2016&gt;3</v>
      </c>
      <c r="R56" s="192" t="str">
        <f t="shared" si="10"/>
        <v>2&gt;기출&gt;2016&gt;1-1</v>
      </c>
      <c r="T56" s="3" t="str">
        <f t="shared" si="11"/>
        <v>2016-1-1-2</v>
      </c>
    </row>
    <row r="57" spans="2:20" ht="14.45" hidden="1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1394</v>
      </c>
      <c r="I57" s="352" t="s">
        <v>481</v>
      </c>
      <c r="J57" s="190" t="s">
        <v>417</v>
      </c>
      <c r="K57" s="191" t="str">
        <f>VLOOKUP(T57,통합목록!$Q$4:$T$310,4,0)</f>
        <v>정리해고의 불이익 취급 부당노동행위 성립에 관한 입증책임의 소재 및 구체적인 입증방법</v>
      </c>
      <c r="L57" s="192" t="str">
        <f>VLOOKUP(T57,통합목록!$Q$4:$T$310,2,0)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1234</v>
      </c>
      <c r="N57" s="193"/>
      <c r="O57" s="192" t="str">
        <f t="shared" si="7"/>
        <v>제15장 부당노동행위&gt;09&gt;1-2&gt;</v>
      </c>
      <c r="P57" s="192" t="str">
        <f t="shared" si="8"/>
        <v>제15장 부당노동행위&gt;제02절 불이익취급&gt;02</v>
      </c>
      <c r="Q57" s="192" t="str">
        <f t="shared" si="9"/>
        <v>2&gt;기출&gt;2016&gt;2</v>
      </c>
      <c r="R57" s="192" t="str">
        <f t="shared" si="10"/>
        <v>2&gt;기출&gt;2016&gt;1-2</v>
      </c>
      <c r="T57" s="3" t="str">
        <f t="shared" si="11"/>
        <v>2016-1-2-2</v>
      </c>
    </row>
    <row r="58" spans="2:20" ht="14.45" hidden="1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tr">
        <f>VLOOKUP(T58,통합목록!$Q$4:$T$310,4,0)</f>
        <v>비조합원에 대한 징계처분 시 단체협약상 재심절차 준수 필요 여부</v>
      </c>
      <c r="L58" s="192" t="str">
        <f>VLOOKUP(T58,통합목록!$Q$4:$T$310,2,0)</f>
        <v>열기2-01.노동법\02.문제\[기출][2][2016-2]비조합원에 대한 징계처분 시 단체협약상 재심절차 준수 필요 여부.txt</v>
      </c>
      <c r="M58" s="192" t="s">
        <v>1234</v>
      </c>
      <c r="N58" s="193" t="s">
        <v>495</v>
      </c>
      <c r="O58" s="192" t="str">
        <f t="shared" si="7"/>
        <v>제13장 단체협약&gt;03&gt;2&gt;노조법 제35조</v>
      </c>
      <c r="P58" s="192" t="str">
        <f t="shared" si="8"/>
        <v>제13장 단체협약&gt;제03절 단체협약의 효력&gt;02</v>
      </c>
      <c r="Q58" s="192" t="str">
        <f t="shared" si="9"/>
        <v>2&gt;기출&gt;2016&gt;1</v>
      </c>
      <c r="R58" s="192" t="str">
        <f t="shared" si="10"/>
        <v>2&gt;기출&gt;2016&gt;2</v>
      </c>
      <c r="T58" s="3" t="str">
        <f t="shared" si="11"/>
        <v>2016-2-2</v>
      </c>
    </row>
    <row r="59" spans="2:20" ht="14.45" hidden="1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1395</v>
      </c>
      <c r="I59" s="352" t="s">
        <v>481</v>
      </c>
      <c r="J59" s="190" t="s">
        <v>426</v>
      </c>
      <c r="K59" s="191" t="str">
        <f>VLOOKUP(T59,통합목록!$Q$4:$T$310,4,0)</f>
        <v>사내 무단 유인물 배포를 이유로 한 징계해고의 정당성 및 불이익취급 부당노동행위 성립 여부</v>
      </c>
      <c r="L59" s="192" t="str">
        <f>VLOOKUP(T59,통합목록!$Q$4:$T$310,2,0)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1234</v>
      </c>
      <c r="N59" s="193"/>
      <c r="O59" s="192" t="str">
        <f t="shared" si="7"/>
        <v>제15장 부당노동행위&gt;10&gt;1&gt;</v>
      </c>
      <c r="P59" s="192" t="str">
        <f t="shared" si="8"/>
        <v>제15장 부당노동행위&gt;제02절 불이익취급&gt;03</v>
      </c>
      <c r="Q59" s="192" t="str">
        <f t="shared" si="9"/>
        <v>2&gt;기출&gt;2015&gt;2</v>
      </c>
      <c r="R59" s="192" t="str">
        <f t="shared" si="10"/>
        <v>2&gt;기출&gt;2015&gt;1</v>
      </c>
      <c r="T59" s="3" t="str">
        <f t="shared" si="11"/>
        <v>2015-1-2</v>
      </c>
    </row>
    <row r="60" spans="2:20" ht="14.45" hidden="1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tr">
        <f>VLOOKUP(T60,통합목록!$Q$4:$T$310,4,0)</f>
        <v>사용자의 정당한 직장폐쇄의 개념, 요건, 법적 효과</v>
      </c>
      <c r="L60" s="192" t="str">
        <f>VLOOKUP(T60,통합목록!$Q$4:$T$310,2,0)</f>
        <v>열기2-01.노동법\02.문제\[기출][2][2015-2]사용자의 정당한 직장폐쇄의 개념, 요건, 법적 효과.txt</v>
      </c>
      <c r="M60" s="192" t="s">
        <v>1234</v>
      </c>
      <c r="N60" s="193"/>
      <c r="O60" s="192" t="str">
        <f t="shared" si="7"/>
        <v>제14장 쟁의행위&gt;11&gt;2&gt;</v>
      </c>
      <c r="P60" s="192" t="str">
        <f t="shared" si="8"/>
        <v>제14장 쟁의행위&gt;제06절 사용자의 쟁의행위&gt;03</v>
      </c>
      <c r="Q60" s="192" t="str">
        <f t="shared" si="9"/>
        <v>2&gt;기출&gt;2015&gt;1</v>
      </c>
      <c r="R60" s="192" t="str">
        <f t="shared" si="10"/>
        <v>2&gt;기출&gt;2015&gt;2</v>
      </c>
      <c r="T60" s="3" t="str">
        <f t="shared" si="11"/>
        <v>2015-2-2</v>
      </c>
    </row>
    <row r="61" spans="2:20" ht="14.45" hidden="1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tr">
        <f>VLOOKUP(T61,통합목록!$Q$4:$T$310,4,0)</f>
        <v>특별단체협약상 정리해고에 대한 합의 조항을 협의로 변형 해석할 수 있는지 여부</v>
      </c>
      <c r="L61" s="192" t="str">
        <f>VLOOKUP(T61,통합목록!$Q$4:$T$310,2,0)</f>
        <v>열기2-01.노동법\02.문제\[기출][2][2014-1-1]특별단체협약상 정리해고에 대한 합의 조항을 협의로 변형 해석할 수 있는지 여부.txt</v>
      </c>
      <c r="M61" s="192" t="s">
        <v>1234</v>
      </c>
      <c r="N61" s="193"/>
      <c r="O61" s="192" t="str">
        <f t="shared" si="7"/>
        <v>제13장 단체협약&gt;04&gt;1-1&gt;</v>
      </c>
      <c r="P61" s="192" t="str">
        <f t="shared" si="8"/>
        <v>제13장 단체협약&gt;제05절 단체협약의 해석&gt;01</v>
      </c>
      <c r="Q61" s="192" t="str">
        <f t="shared" si="9"/>
        <v>2&gt;기출&gt;2014&gt;3</v>
      </c>
      <c r="R61" s="192" t="str">
        <f t="shared" si="10"/>
        <v>2&gt;기출&gt;2014&gt;1-1</v>
      </c>
      <c r="T61" s="3" t="str">
        <f t="shared" si="11"/>
        <v>2014-1-1-2</v>
      </c>
    </row>
    <row r="62" spans="2:20" ht="14.45" hidden="1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tr">
        <f>VLOOKUP(T62,통합목록!$Q$4:$T$310,4,0)</f>
        <v>단체협약상 규정된 합의 없이 실시한 정리해고의 유효성</v>
      </c>
      <c r="L62" s="192" t="str">
        <f>VLOOKUP(T62,통합목록!$Q$4:$T$310,2,0)</f>
        <v>열기2-01.노동법\02.문제\[기출][2][2014-1-2]단체협약상 규정된 합의 없이 실시한 정리해고의 유효성.txt</v>
      </c>
      <c r="M62" s="192" t="s">
        <v>1234</v>
      </c>
      <c r="N62" s="193"/>
      <c r="O62" s="192" t="str">
        <f t="shared" si="7"/>
        <v>제08장 근로관계의 종료&gt;14&gt;1-2&gt;</v>
      </c>
      <c r="P62" s="192" t="str">
        <f t="shared" si="8"/>
        <v>제08장 근로관계의 종료&gt;제03절 해고의 절차적 정당성&gt;03</v>
      </c>
      <c r="Q62" s="192" t="str">
        <f t="shared" si="9"/>
        <v>2&gt;기출&gt;2014&gt;2</v>
      </c>
      <c r="R62" s="192" t="str">
        <f t="shared" si="10"/>
        <v>2&gt;기출&gt;2014&gt;1-2</v>
      </c>
      <c r="T62" s="3" t="str">
        <f t="shared" si="11"/>
        <v>2014-1-2-2</v>
      </c>
    </row>
    <row r="63" spans="2:20" ht="14.45" hidden="1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1396</v>
      </c>
      <c r="I63" s="352" t="s">
        <v>492</v>
      </c>
      <c r="J63" s="190" t="s">
        <v>430</v>
      </c>
      <c r="K63" s="191" t="str">
        <f>VLOOKUP(T63,통합목록!$Q$4:$T$310,4,0)</f>
        <v>사용자의 언론의 자유와 부당노동행위의 관계</v>
      </c>
      <c r="L63" s="192" t="str">
        <f>VLOOKUP(T63,통합목록!$Q$4:$T$310,2,0)</f>
        <v>열기2-01.노동법\02.문제\[기출][2][2014-2]사용자의 언론의 자유와 부당노동행위의 관계.txt</v>
      </c>
      <c r="M63" s="192" t="s">
        <v>1234</v>
      </c>
      <c r="N63" s="193"/>
      <c r="O63" s="192" t="str">
        <f t="shared" si="7"/>
        <v>제15장 부당노동행위&gt;11&gt;2&gt;</v>
      </c>
      <c r="P63" s="192" t="str">
        <f t="shared" si="8"/>
        <v>제15장 부당노동행위&gt;제05절 지배・개입&gt;04</v>
      </c>
      <c r="Q63" s="192" t="str">
        <f t="shared" si="9"/>
        <v>2&gt;기출&gt;2014&gt;1</v>
      </c>
      <c r="R63" s="192" t="str">
        <f t="shared" si="10"/>
        <v>2&gt;기출&gt;2014&gt;2</v>
      </c>
      <c r="T63" s="3" t="str">
        <f t="shared" si="11"/>
        <v>2014-2-2</v>
      </c>
    </row>
    <row r="64" spans="2:20" ht="14.45" hidden="1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tr">
        <f>VLOOKUP(T64,통합목록!$Q$4:$T$310,4,0)</f>
        <v>설립 미신고 지부노동조합의 쟁의행위에 대한 주체의 정당성</v>
      </c>
      <c r="L64" s="192" t="str">
        <f>VLOOKUP(T64,통합목록!$Q$4:$T$310,2,0)</f>
        <v>열기2-01.노동법\02.문제\[기출][2][2013-1-1]설립 미신고 지부노동조합의 쟁의행위에 대한 주체의 정당성.txt</v>
      </c>
      <c r="M64" s="192" t="s">
        <v>1234</v>
      </c>
      <c r="N64" s="193"/>
      <c r="O64" s="192" t="str">
        <f t="shared" si="7"/>
        <v>제14장 쟁의행위&gt;12&gt;1-1&gt;</v>
      </c>
      <c r="P64" s="192" t="str">
        <f t="shared" si="8"/>
        <v>제14장 쟁의행위&gt;제01절 쟁의행위 주체의 정당성&gt;01</v>
      </c>
      <c r="Q64" s="192" t="str">
        <f t="shared" si="9"/>
        <v>2&gt;기출&gt;2013&gt;3</v>
      </c>
      <c r="R64" s="192" t="str">
        <f t="shared" si="10"/>
        <v>2&gt;기출&gt;2013&gt;1-1</v>
      </c>
      <c r="T64" s="3" t="str">
        <f t="shared" si="11"/>
        <v>2013-1-1-2</v>
      </c>
    </row>
    <row r="65" spans="2:20" ht="14.45" hidden="1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tr">
        <f>VLOOKUP(T65,통합목록!$Q$4:$T$310,4,0)</f>
        <v>설립 미신고 지부노동조합의 쟁의행위에 대한 목적의 정당성</v>
      </c>
      <c r="L65" s="192" t="str">
        <f>VLOOKUP(T65,통합목록!$Q$4:$T$310,2,0)</f>
        <v>열기2-01.노동법\02.문제\[기출][2][2013-1-2]설립 미신고 지부노동조합의 쟁의행위에 대한 목적의 정당성.txt</v>
      </c>
      <c r="M65" s="192" t="s">
        <v>1234</v>
      </c>
      <c r="N65" s="193"/>
      <c r="O65" s="192" t="str">
        <f t="shared" si="7"/>
        <v>제14장 쟁의행위&gt;13&gt;1-2&gt;</v>
      </c>
      <c r="P65" s="192" t="str">
        <f t="shared" si="8"/>
        <v>제14장 쟁의행위&gt;제02절 쟁의행위 목적의 정당성&gt;02</v>
      </c>
      <c r="Q65" s="192" t="str">
        <f t="shared" si="9"/>
        <v>2&gt;기출&gt;2013&gt;2</v>
      </c>
      <c r="R65" s="192" t="str">
        <f t="shared" si="10"/>
        <v>2&gt;기출&gt;2013&gt;1-2</v>
      </c>
      <c r="T65" s="3" t="str">
        <f t="shared" si="11"/>
        <v>2013-1-2-2</v>
      </c>
    </row>
    <row r="66" spans="2:20" ht="14.45" hidden="1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1603</v>
      </c>
      <c r="H66" s="190" t="s">
        <v>430</v>
      </c>
      <c r="I66" s="352" t="s">
        <v>500</v>
      </c>
      <c r="J66" s="190" t="s">
        <v>415</v>
      </c>
      <c r="K66" s="191" t="str">
        <f>VLOOKUP(T66,통합목록!$Q$4:$T$310,4,0)</f>
        <v>조합의 지지 정당 결정에 반하여 다른 정당을 지지한 조합원에 대한 제명처분의 효력</v>
      </c>
      <c r="L66" s="192" t="str">
        <f>VLOOKUP(T66,통합목록!$Q$4:$T$310,2,0)</f>
        <v>열기2-01.노동법\02.문제\[기출][2][2013-2]조합의 지지 정당 결정에 반하여 다른 정당을 지지한 조합원에 대한 제명처분의 효력.txt</v>
      </c>
      <c r="M66" s="192" t="s">
        <v>1234</v>
      </c>
      <c r="N66" s="193"/>
      <c r="O66" s="192" t="str">
        <f t="shared" si="7"/>
        <v>제11장 노동조합&gt;04&gt;2&gt;</v>
      </c>
      <c r="P66" s="192" t="str">
        <f t="shared" si="8"/>
        <v>제11장 노동조합&gt;제06절 노동조합의 내부통제권&gt;01</v>
      </c>
      <c r="Q66" s="192" t="str">
        <f t="shared" si="9"/>
        <v>2&gt;기출&gt;2013&gt;1</v>
      </c>
      <c r="R66" s="192" t="str">
        <f t="shared" si="10"/>
        <v>2&gt;기출&gt;2013&gt;2</v>
      </c>
      <c r="T66" s="3" t="str">
        <f t="shared" si="11"/>
        <v>2013-2-2</v>
      </c>
    </row>
    <row r="67" spans="2:20" ht="14.45" hidden="1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tr">
        <f>VLOOKUP(T67,통합목록!$Q$4:$T$310,4,0)</f>
        <v>특별노사합의를 통한 고정상여금 미지급 결정의 효력 및 조합원 개별 동의의 필요성 여부</v>
      </c>
      <c r="L67" s="192" t="str">
        <f>VLOOKUP(T67,통합목록!$Q$4:$T$310,2,0)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1234</v>
      </c>
      <c r="N67" s="193"/>
      <c r="O67" s="192" t="str">
        <f t="shared" si="7"/>
        <v>제13장 단체협약&gt;05&gt;1-1&gt;</v>
      </c>
      <c r="P67" s="192" t="str">
        <f t="shared" si="8"/>
        <v>제13장 단체협약&gt;제03절 단체협약의 효력&gt;03</v>
      </c>
      <c r="Q67" s="192" t="str">
        <f t="shared" si="9"/>
        <v>2&gt;기출&gt;2012&gt;3</v>
      </c>
      <c r="R67" s="192" t="str">
        <f t="shared" si="10"/>
        <v>2&gt;기출&gt;2012&gt;1-1</v>
      </c>
      <c r="T67" s="3" t="str">
        <f t="shared" si="11"/>
        <v>2012-1-1-2</v>
      </c>
    </row>
    <row r="68" spans="2:20" ht="14.45" hidden="1" customHeight="1" x14ac:dyDescent="0.2">
      <c r="B68" s="188">
        <f t="shared" ref="B68:B99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tr">
        <f>VLOOKUP(T68,통합목록!$Q$4:$T$310,4,0)</f>
        <v>특별노사합의를 통한 무단결근 면직기준 단축의 효력 및 조합원에 대한 적용 정당성 여부</v>
      </c>
      <c r="L68" s="192" t="str">
        <f>VLOOKUP(T68,통합목록!$Q$4:$T$310,2,0)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1234</v>
      </c>
      <c r="N68" s="193"/>
      <c r="O68" s="192" t="str">
        <f t="shared" ref="O68:O99" si="13">G68&amp;"&gt;"&amp;H68&amp;"&gt;"&amp;D68&amp;"&gt;"&amp;N68</f>
        <v>제13장 단체협약&gt;06&gt;1-2&gt;</v>
      </c>
      <c r="P68" s="192" t="str">
        <f t="shared" ref="P68:P99" si="14">G68&amp;"&gt;"&amp;I68&amp;"&gt;"&amp;J68</f>
        <v>제13장 단체협약&gt;제03절 단체협약의 효력&gt;04</v>
      </c>
      <c r="Q68" s="192" t="str">
        <f t="shared" ref="Q68:Q99" si="15">E68&amp;"&gt;"&amp;M68&amp;"&gt;"&amp;C68&amp;"&gt;"&amp;F68</f>
        <v>2&gt;기출&gt;2012&gt;2</v>
      </c>
      <c r="R68" s="192" t="str">
        <f t="shared" ref="R68:R99" si="16">E68&amp;"&gt;"&amp;M68&amp;"&gt;"&amp;C68&amp;"&gt;"&amp;D68</f>
        <v>2&gt;기출&gt;2012&gt;1-2</v>
      </c>
      <c r="T68" s="3" t="str">
        <f t="shared" ref="T68:T99" si="17">C68&amp;"-"&amp;D68&amp;"-"&amp;E68</f>
        <v>2012-1-2-2</v>
      </c>
    </row>
    <row r="69" spans="2:20" ht="14.45" hidden="1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1603</v>
      </c>
      <c r="H69" s="190" t="s">
        <v>501</v>
      </c>
      <c r="I69" s="352" t="s">
        <v>487</v>
      </c>
      <c r="J69" s="190" t="s">
        <v>417</v>
      </c>
      <c r="K69" s="191" t="str">
        <f>VLOOKUP(T69,통합목록!$Q$4:$T$310,4,0)</f>
        <v>노동조합법상 노동조합 참가가 금지되는 사용자 및 그 이익대표자의 범위와 판단 기준</v>
      </c>
      <c r="L69" s="192" t="str">
        <f>VLOOKUP(T69,통합목록!$Q$4:$T$310,2,0)</f>
        <v>열기2-01.노동법\02.문제\[기출][2][2012-2]노동조합법상 노동조합 참가가 금지되는 사용자 및 그 이익대표자의 범위와 판단 기준.txt</v>
      </c>
      <c r="M69" s="192" t="s">
        <v>1234</v>
      </c>
      <c r="N69" s="193"/>
      <c r="O69" s="192" t="str">
        <f t="shared" si="13"/>
        <v>제11장 노동조합&gt;05&gt;2&gt;</v>
      </c>
      <c r="P69" s="192" t="str">
        <f t="shared" si="14"/>
        <v>제11장 노동조합&gt;제01절 노동조합의 설립요건&gt;02</v>
      </c>
      <c r="Q69" s="192" t="str">
        <f t="shared" si="15"/>
        <v>2&gt;기출&gt;2012&gt;1</v>
      </c>
      <c r="R69" s="192" t="str">
        <f t="shared" si="16"/>
        <v>2&gt;기출&gt;2012&gt;2</v>
      </c>
      <c r="T69" s="3" t="str">
        <f t="shared" si="17"/>
        <v>2012-2-2</v>
      </c>
    </row>
    <row r="70" spans="2:20" ht="14.45" hidden="1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tr">
        <f>VLOOKUP(T70,통합목록!$Q$4:$T$310,4,0)</f>
        <v>산별노동조합 지회의 단체교섭 주체성 인정 여부, 사업부 매각 결정(경영권)의 단체교섭 대상성 여부</v>
      </c>
      <c r="L70" s="192" t="str">
        <f>VLOOKUP(T70,통합목록!$Q$4:$T$310,2,0)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1234</v>
      </c>
      <c r="N70" s="193"/>
      <c r="O70" s="192" t="str">
        <f t="shared" si="13"/>
        <v>제12장 단체교섭&gt;07&gt;1&gt;</v>
      </c>
      <c r="P70" s="192" t="str">
        <f t="shared" si="14"/>
        <v>제12장 단체교섭&gt;제01절 단체교섭의 당사자&gt;02</v>
      </c>
      <c r="Q70" s="192" t="str">
        <f t="shared" si="15"/>
        <v>2&gt;기출&gt;2011&gt;3</v>
      </c>
      <c r="R70" s="192" t="str">
        <f t="shared" si="16"/>
        <v>2&gt;기출&gt;2011&gt;1</v>
      </c>
      <c r="T70" s="3" t="str">
        <f t="shared" si="17"/>
        <v>2011-1-2</v>
      </c>
    </row>
    <row r="71" spans="2:20" ht="14.45" hidden="1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1830</v>
      </c>
      <c r="J71" s="190" t="s">
        <v>415</v>
      </c>
      <c r="K71" s="191" t="str">
        <f>VLOOKUP(T71,통합목록!$Q$4:$T$310,4,0)</f>
        <v>산별노동조합 지회의 단체교섭 주체성 인정 여부, 사업부 매각 결정(경영권)의 단체교섭 대상성 여부</v>
      </c>
      <c r="L71" s="192" t="str">
        <f>VLOOKUP(T71,통합목록!$Q$4:$T$310,2,0)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1234</v>
      </c>
      <c r="N71" s="193"/>
      <c r="O71" s="192" t="str">
        <f t="shared" si="13"/>
        <v>제12장 단체교섭&gt;08&gt;1&gt;</v>
      </c>
      <c r="P71" s="192" t="str">
        <f t="shared" si="14"/>
        <v>제12장 단체교섭&gt;제03절 단체교섭의 대상&gt;01</v>
      </c>
      <c r="Q71" s="192" t="str">
        <f t="shared" si="15"/>
        <v>2&gt;기출&gt;2011&gt;2</v>
      </c>
      <c r="R71" s="192" t="str">
        <f t="shared" si="16"/>
        <v>2&gt;기출&gt;2011&gt;1</v>
      </c>
      <c r="T71" s="3" t="str">
        <f t="shared" si="17"/>
        <v>2011-1-2</v>
      </c>
    </row>
    <row r="72" spans="2:20" ht="14.45" hidden="1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tr">
        <f>VLOOKUP(T72,통합목록!$Q$4:$T$310,4,0)</f>
        <v>준법투쟁의 개념과 법적 성격, 유형, 관련 판례법리, 효과 및 활용</v>
      </c>
      <c r="L72" s="192" t="str">
        <f>VLOOKUP(T72,통합목록!$Q$4:$T$310,2,0)</f>
        <v>열기2-01.노동법\02.문제\[기출][2][2011-2]준법투쟁의 개념과 법적 성격, 유형, 관련 판례법리, 효과 및 활용.txt</v>
      </c>
      <c r="M72" s="192" t="s">
        <v>1234</v>
      </c>
      <c r="N72" s="193"/>
      <c r="O72" s="192" t="str">
        <f t="shared" si="13"/>
        <v>제14장 쟁의행위&gt;14&gt;2&gt;</v>
      </c>
      <c r="P72" s="192" t="str">
        <f t="shared" si="14"/>
        <v>제14장 쟁의행위&gt;제05절 준법투쟁&gt;02</v>
      </c>
      <c r="Q72" s="192" t="str">
        <f t="shared" si="15"/>
        <v>2&gt;기출&gt;2011&gt;1</v>
      </c>
      <c r="R72" s="192" t="str">
        <f t="shared" si="16"/>
        <v>2&gt;기출&gt;2011&gt;2</v>
      </c>
      <c r="T72" s="3" t="str">
        <f t="shared" si="17"/>
        <v>2011-2-2</v>
      </c>
    </row>
    <row r="73" spans="2:20" ht="14.45" hidden="1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tr">
        <f>VLOOKUP(T73,통합목록!$Q$4:$T$310,4,0)</f>
        <v>단체협약 만료 후 법정연장기간 내에 노동조합과의 사전합의 없이 행해진 해고의 효력</v>
      </c>
      <c r="L73" s="192" t="str">
        <f>VLOOKUP(T73,통합목록!$Q$4:$T$310,2,0)</f>
        <v>열기2-01.노동법\02.문제\[기출][2][2010-1]단체협약 만료 후 법정연장기간 내에 노동조합과의 사전합의 없이 행해진 해고의 효력.txt</v>
      </c>
      <c r="M73" s="192" t="s">
        <v>1234</v>
      </c>
      <c r="N73" s="193" t="s">
        <v>1723</v>
      </c>
      <c r="O73" s="192" t="str">
        <f t="shared" si="13"/>
        <v>제13장 단체협약&gt;07&gt;1&gt;보충 포함, 규범적 효력/채무적 효력</v>
      </c>
      <c r="P73" s="192" t="str">
        <f t="shared" si="14"/>
        <v>제13장 단체협약&gt;제08절 단체협약의 실효 및 실효 후의 근로관계&gt;02</v>
      </c>
      <c r="Q73" s="192" t="str">
        <f t="shared" si="15"/>
        <v>2&gt;기출&gt;2010&gt;2</v>
      </c>
      <c r="R73" s="192" t="str">
        <f t="shared" si="16"/>
        <v>2&gt;기출&gt;2010&gt;1</v>
      </c>
      <c r="T73" s="3" t="str">
        <f t="shared" si="17"/>
        <v>2010-1-2</v>
      </c>
    </row>
    <row r="74" spans="2:20" ht="14.45" hidden="1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tr">
        <f>VLOOKUP(T74,통합목록!$Q$4:$T$310,4,0)</f>
        <v>노동조합 쟁의행위의 절차적 정당성의 요건, 절차 위반 시 효력</v>
      </c>
      <c r="L74" s="192" t="str">
        <f>VLOOKUP(T74,통합목록!$Q$4:$T$310,2,0)</f>
        <v>열기2-01.노동법\02.문제\[기출][2][2010-2]노동조합 쟁의행위의 절차적 정당성의 요건, 절차 위반 시 효력.txt</v>
      </c>
      <c r="M74" s="192" t="s">
        <v>1234</v>
      </c>
      <c r="N74" s="193"/>
      <c r="O74" s="192" t="str">
        <f t="shared" si="13"/>
        <v>제14장 쟁의행위&gt;15&gt;2&gt;</v>
      </c>
      <c r="P74" s="192" t="str">
        <f t="shared" si="14"/>
        <v>제14장 쟁의행위&gt;제03절 쟁의행위 시기・절차의 정당성&gt;01</v>
      </c>
      <c r="Q74" s="192" t="str">
        <f t="shared" si="15"/>
        <v>2&gt;기출&gt;2010&gt;1</v>
      </c>
      <c r="R74" s="192" t="str">
        <f t="shared" si="16"/>
        <v>2&gt;기출&gt;2010&gt;2</v>
      </c>
      <c r="T74" s="3" t="str">
        <f t="shared" si="17"/>
        <v>2010-2-2</v>
      </c>
    </row>
    <row r="75" spans="2:20" ht="14.45" hidden="1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tr">
        <f>VLOOKUP(T75,통합목록!$Q$4:$T$310,4,0)</f>
        <v>도급 또는 파견 계약 관계에서 노조법상 사용자로서 단체교섭 의무 부담 여부</v>
      </c>
      <c r="L75" s="192" t="str">
        <f>VLOOKUP(T75,통합목록!$Q$4:$T$310,2,0)</f>
        <v>열기2-01.노동법\02.문제\[기출][2][2009-1]도급 또는 파견 계약 관계에서 노조법상 사용자로서 단체교섭 의무 부담 여부.txt</v>
      </c>
      <c r="M75" s="192" t="s">
        <v>1234</v>
      </c>
      <c r="N75" s="193"/>
      <c r="O75" s="192" t="str">
        <f t="shared" si="13"/>
        <v>제12장 단체교섭&gt;09&gt;1&gt;</v>
      </c>
      <c r="P75" s="192" t="str">
        <f t="shared" si="14"/>
        <v>제12장 단체교섭&gt;제01절 단체교섭의 당사자&gt;03</v>
      </c>
      <c r="Q75" s="192" t="str">
        <f t="shared" si="15"/>
        <v>2&gt;기출&gt;2009&gt;3</v>
      </c>
      <c r="R75" s="192" t="str">
        <f t="shared" si="16"/>
        <v>2&gt;기출&gt;2009&gt;1</v>
      </c>
      <c r="T75" s="3" t="str">
        <f t="shared" si="17"/>
        <v>2009-1-2</v>
      </c>
    </row>
    <row r="76" spans="2:20" ht="14.45" hidden="1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tr">
        <f>VLOOKUP(T76,통합목록!$Q$4:$T$310,4,0)</f>
        <v>직장점거 중 단행된 사용자의 직장폐쇄에 따른 법률적 효과</v>
      </c>
      <c r="L76" s="192" t="str">
        <f>VLOOKUP(T76,통합목록!$Q$4:$T$310,2,0)</f>
        <v>열기2-01.노동법\02.문제\[기출][2][2009-2]직장점거 중 단행된 사용자의 직장폐쇄에 따른 법률적 효과.txt</v>
      </c>
      <c r="M76" s="192" t="s">
        <v>1234</v>
      </c>
      <c r="N76" s="193"/>
      <c r="O76" s="192" t="str">
        <f t="shared" si="13"/>
        <v>제14장 쟁의행위&gt;16&gt;2&gt;</v>
      </c>
      <c r="P76" s="192" t="str">
        <f t="shared" si="14"/>
        <v>제14장 쟁의행위&gt;제06절 사용자의 쟁의행위&gt;04</v>
      </c>
      <c r="Q76" s="192" t="str">
        <f t="shared" si="15"/>
        <v>2&gt;기출&gt;2009&gt;2</v>
      </c>
      <c r="R76" s="192" t="str">
        <f t="shared" si="16"/>
        <v>2&gt;기출&gt;2009&gt;2</v>
      </c>
      <c r="T76" s="3" t="str">
        <f t="shared" si="17"/>
        <v>2009-2-2</v>
      </c>
    </row>
    <row r="77" spans="2:20" ht="14.45" hidden="1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1603</v>
      </c>
      <c r="H77" s="190" t="s">
        <v>507</v>
      </c>
      <c r="I77" s="352" t="s">
        <v>487</v>
      </c>
      <c r="J77" s="190" t="s">
        <v>426</v>
      </c>
      <c r="K77" s="191" t="str">
        <f>VLOOKUP(T77,통합목록!$Q$4:$T$310,4,0)</f>
        <v>노동조합 가입 자격의 기본 원칙, 제한의 허용 범위, 한계 및 위반 시 효과</v>
      </c>
      <c r="L77" s="192" t="str">
        <f>VLOOKUP(T77,통합목록!$Q$4:$T$310,2,0)</f>
        <v>열기2-01.노동법\02.문제\[기출][2][2009-3]노동조합 가입 자격의 기본 원칙, 제한의 허용 범위, 한계 및 위반 시 효과.txt</v>
      </c>
      <c r="M77" s="192" t="s">
        <v>1234</v>
      </c>
      <c r="N77" s="193"/>
      <c r="O77" s="192" t="str">
        <f t="shared" si="13"/>
        <v>제11장 노동조합&gt;06&gt;3&gt;</v>
      </c>
      <c r="P77" s="192" t="str">
        <f t="shared" si="14"/>
        <v>제11장 노동조합&gt;제01절 노동조합의 설립요건&gt;03</v>
      </c>
      <c r="Q77" s="192" t="str">
        <f t="shared" si="15"/>
        <v>2&gt;기출&gt;2009&gt;1</v>
      </c>
      <c r="R77" s="192" t="str">
        <f t="shared" si="16"/>
        <v>2&gt;기출&gt;2009&gt;3</v>
      </c>
      <c r="T77" s="3" t="str">
        <f t="shared" si="17"/>
        <v>2009-3-2</v>
      </c>
    </row>
    <row r="78" spans="2:20" ht="14.45" hidden="1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tr">
        <f>VLOOKUP(T78,통합목록!$Q$4:$T$310,4,0)</f>
        <v>단체협약상 동의조항의 효력(노동조합의 동의권에 대한 범위), 경영권에 대한 단체교섭의 대상성</v>
      </c>
      <c r="L78" s="192" t="str">
        <f>VLOOKUP(T78,통합목록!$Q$4:$T$310,2,0)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1234</v>
      </c>
      <c r="N78" s="193"/>
      <c r="O78" s="192" t="str">
        <f t="shared" si="13"/>
        <v>제12장 단체교섭&gt;08&gt;1&gt;</v>
      </c>
      <c r="P78" s="192" t="str">
        <f t="shared" si="14"/>
        <v>제12장 단체교섭&gt;제03절 단체교섭의 대상&gt;01</v>
      </c>
      <c r="Q78" s="192" t="str">
        <f t="shared" si="15"/>
        <v>2&gt;기출&gt;2008&gt;4</v>
      </c>
      <c r="R78" s="192" t="str">
        <f t="shared" si="16"/>
        <v>2&gt;기출&gt;2008&gt;1</v>
      </c>
      <c r="T78" s="3" t="str">
        <f t="shared" si="17"/>
        <v>2008-1-2</v>
      </c>
    </row>
    <row r="79" spans="2:20" ht="14.45" hidden="1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1831</v>
      </c>
      <c r="H79" s="190" t="s">
        <v>453</v>
      </c>
      <c r="I79" s="352" t="s">
        <v>1832</v>
      </c>
      <c r="J79" s="190" t="s">
        <v>417</v>
      </c>
      <c r="K79" s="191" t="str">
        <f>VLOOKUP(T79,통합목록!$Q$4:$T$310,4,0)</f>
        <v>단체협약상 동의조항의 효력(노동조합의 동의권에 대한 범위), 경영권에 대한 단체교섭의 대상성</v>
      </c>
      <c r="L79" s="192" t="str">
        <f>VLOOKUP(T79,통합목록!$Q$4:$T$310,2,0)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1234</v>
      </c>
      <c r="N79" s="193"/>
      <c r="O79" s="192" t="str">
        <f t="shared" si="13"/>
        <v>제13장 단체협약&gt;10&gt;1&gt;</v>
      </c>
      <c r="P79" s="192" t="str">
        <f t="shared" si="14"/>
        <v>제13장 단체협약&gt;제06절 단체협약의 중요조항&gt;02</v>
      </c>
      <c r="Q79" s="192" t="str">
        <f t="shared" si="15"/>
        <v>2&gt;기출&gt;2008&gt;3</v>
      </c>
      <c r="R79" s="192" t="str">
        <f t="shared" si="16"/>
        <v>2&gt;기출&gt;2008&gt;1</v>
      </c>
      <c r="T79" s="3" t="str">
        <f t="shared" si="17"/>
        <v>2008-1-2</v>
      </c>
    </row>
    <row r="80" spans="2:20" ht="14.45" hidden="1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tr">
        <f>VLOOKUP(T80,통합목록!$Q$4:$T$310,4,0)</f>
        <v>쟁의행위 기간 중 사용자의 채용 제한의 원칙, 필수공익사업의 특례, 위반 시 쟁점</v>
      </c>
      <c r="L80" s="192" t="str">
        <f>VLOOKUP(T80,통합목록!$Q$4:$T$310,2,0)</f>
        <v>열기2-01.노동법\02.문제\[기출][2][2008-2]쟁의행위 기간 중 사용자의 채용 제한의 원칙, 필수공익사업의 특례, 위반 시 쟁점.txt</v>
      </c>
      <c r="M80" s="192" t="s">
        <v>1234</v>
      </c>
      <c r="N80" s="193"/>
      <c r="O80" s="192" t="str">
        <f t="shared" si="13"/>
        <v>제14장 쟁의행위&gt;18&gt;2&gt;</v>
      </c>
      <c r="P80" s="192" t="str">
        <f t="shared" si="14"/>
        <v>제14장 쟁의행위&gt;제10절 쟁의기간 중 대체근로의 제한&gt;04</v>
      </c>
      <c r="Q80" s="192" t="str">
        <f t="shared" si="15"/>
        <v>2&gt;기출&gt;2008&gt;2</v>
      </c>
      <c r="R80" s="192" t="str">
        <f t="shared" si="16"/>
        <v>2&gt;기출&gt;2008&gt;2</v>
      </c>
      <c r="T80" s="3" t="str">
        <f t="shared" si="17"/>
        <v>2008-2-2</v>
      </c>
    </row>
    <row r="81" spans="1:20" ht="14.45" hidden="1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1382</v>
      </c>
      <c r="H81" s="190" t="s">
        <v>431</v>
      </c>
      <c r="I81" s="352" t="s">
        <v>1500</v>
      </c>
      <c r="J81" s="190" t="s">
        <v>415</v>
      </c>
      <c r="K81" s="191" t="str">
        <f>VLOOKUP(T81,통합목록!$Q$4:$T$310,4,0)</f>
        <v>노동위원회의 관할(사건 관할, 지역 관할)</v>
      </c>
      <c r="L81" s="192" t="str">
        <f>VLOOKUP(T81,통합목록!$Q$4:$T$310,2,0)</f>
        <v>열기2-01.노동법\02.문제\[기출][2][2008-3]노동위원회의 관할(사건 관할, 지역 관할).txt</v>
      </c>
      <c r="M81" s="192" t="s">
        <v>1234</v>
      </c>
      <c r="N81" s="193"/>
      <c r="O81" s="192" t="str">
        <f t="shared" si="13"/>
        <v>제16장 부속법령&gt;05&gt;3&gt;</v>
      </c>
      <c r="P81" s="192" t="str">
        <f t="shared" si="14"/>
        <v>제16장 부속법령&gt;제09절 노위법&gt;01</v>
      </c>
      <c r="Q81" s="192" t="str">
        <f t="shared" si="15"/>
        <v>2&gt;기출&gt;2008&gt;1</v>
      </c>
      <c r="R81" s="192" t="str">
        <f t="shared" si="16"/>
        <v>2&gt;기출&gt;2008&gt;3</v>
      </c>
      <c r="T81" s="3" t="str">
        <f t="shared" si="17"/>
        <v>2008-3-2</v>
      </c>
    </row>
    <row r="82" spans="1:20" ht="14.45" hidden="1" customHeight="1" x14ac:dyDescent="0.2">
      <c r="B82" s="188">
        <f t="shared" si="12"/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1441</v>
      </c>
      <c r="J82" s="190" t="s">
        <v>415</v>
      </c>
      <c r="K82" s="191" t="str">
        <f>VLOOKUP(T82,통합목록!$Q$4:$T$310,4,0)</f>
        <v>단시간근로자의 초과근로 가산수당 지급 요건 및 근로자의 가산임금 청구권 인정 여부</v>
      </c>
      <c r="L82" s="192" t="str">
        <f>VLOOKUP(T82,통합목록!$Q$4:$T$310,2,0)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 t="shared" si="13"/>
        <v>제09장 비정규근로자&gt;08&gt;1&gt;</v>
      </c>
      <c r="P82" s="192" t="str">
        <f t="shared" si="14"/>
        <v>제09장 비정규근로자&gt;제02절 단시간근로자&gt;01</v>
      </c>
      <c r="Q82" s="192" t="str">
        <f t="shared" si="15"/>
        <v>1&gt;모의&gt;9.02&gt;2</v>
      </c>
      <c r="R82" s="192" t="str">
        <f t="shared" si="16"/>
        <v>1&gt;모의&gt;9.02&gt;1</v>
      </c>
      <c r="S82" s="3"/>
      <c r="T82" s="3" t="str">
        <f t="shared" si="17"/>
        <v>9.02-1-1</v>
      </c>
    </row>
    <row r="83" spans="1:20" s="3" customFormat="1" ht="14.45" hidden="1" customHeight="1" x14ac:dyDescent="0.2">
      <c r="A83" s="180"/>
      <c r="B83" s="188">
        <f t="shared" si="12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1441</v>
      </c>
      <c r="J83" s="190" t="s">
        <v>417</v>
      </c>
      <c r="K83" s="191" t="str">
        <f>VLOOKUP(T83,통합목록!$Q$4:$T$310,4,0)</f>
        <v>차별적 처우 금지 원칙과 상여금 미지급의 합리적 이유 없는 차별 해당 여부</v>
      </c>
      <c r="L83" s="192" t="str">
        <f>VLOOKUP(T83,통합목록!$Q$4:$T$310,2,0)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 t="shared" si="13"/>
        <v>제09장 비정규근로자&gt;09&gt;2&gt;</v>
      </c>
      <c r="P83" s="192" t="str">
        <f t="shared" si="14"/>
        <v>제09장 비정규근로자&gt;제02절 단시간근로자&gt;02</v>
      </c>
      <c r="Q83" s="192" t="str">
        <f t="shared" si="15"/>
        <v>1&gt;모의&gt;9.02&gt;1</v>
      </c>
      <c r="R83" s="192" t="str">
        <f t="shared" si="16"/>
        <v>1&gt;모의&gt;9.02&gt;2</v>
      </c>
      <c r="T83" s="3" t="str">
        <f t="shared" si="17"/>
        <v>9.02-2-1</v>
      </c>
    </row>
    <row r="84" spans="1:20" s="3" customFormat="1" ht="14.45" hidden="1" customHeight="1" x14ac:dyDescent="0.2">
      <c r="A84" s="180"/>
      <c r="B84" s="188">
        <f t="shared" si="12"/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tr">
        <f>VLOOKUP(T84,통합목록!$Q$4:$T$310,4,0)</f>
        <v>권고사직을 거부한 근로자에 대한 해고 방안</v>
      </c>
      <c r="L84" s="192" t="str">
        <f>VLOOKUP(T84,통합목록!$Q$4:$T$310,2,0)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 t="shared" si="13"/>
        <v>제08장 근로관계의 종료&gt;18&gt;1&gt;</v>
      </c>
      <c r="P84" s="192" t="str">
        <f t="shared" si="14"/>
        <v>제08장 근로관계의 종료&gt;제02절 해고의 실체적 정당성&gt;11</v>
      </c>
      <c r="Q84" s="192" t="str">
        <f t="shared" si="15"/>
        <v>1&gt;모의&gt;8.02&gt;1</v>
      </c>
      <c r="R84" s="192" t="str">
        <f t="shared" si="16"/>
        <v>1&gt;모의&gt;8.02&gt;1</v>
      </c>
      <c r="T84" s="3" t="str">
        <f t="shared" si="17"/>
        <v>8.02-1-1</v>
      </c>
    </row>
    <row r="85" spans="1:20" s="3" customFormat="1" ht="14.45" hidden="1" customHeight="1" x14ac:dyDescent="0.2">
      <c r="A85" s="180"/>
      <c r="B85" s="188">
        <f t="shared" si="12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418</v>
      </c>
      <c r="J85" s="190" t="s">
        <v>1719</v>
      </c>
      <c r="K85" s="191" t="str">
        <f>VLOOKUP(T85,통합목록!$Q$4:$T$310,4,0)</f>
        <v>권고사직을 거부한 근로자에 대한 해고 방안</v>
      </c>
      <c r="L85" s="192" t="str">
        <f>VLOOKUP(T85,통합목록!$Q$4:$T$310,2,0)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 t="shared" si="13"/>
        <v>제08장 근로관계의 종료&gt;19&gt;1&gt;</v>
      </c>
      <c r="P85" s="192" t="str">
        <f t="shared" si="14"/>
        <v>제08장 근로관계의 종료&gt;제02절 해고의 실체적 정당성&gt;06</v>
      </c>
      <c r="Q85" s="192" t="str">
        <f t="shared" si="15"/>
        <v>1&gt;모의&gt;8.02&gt;1</v>
      </c>
      <c r="R85" s="192" t="str">
        <f t="shared" si="16"/>
        <v>1&gt;모의&gt;8.02&gt;1</v>
      </c>
      <c r="T85" s="3" t="str">
        <f t="shared" si="17"/>
        <v>8.02-1-1</v>
      </c>
    </row>
    <row r="86" spans="1:20" s="3" customFormat="1" ht="14.45" hidden="1" customHeight="1" x14ac:dyDescent="0.2">
      <c r="A86" s="180"/>
      <c r="B86" s="188">
        <f t="shared" si="12"/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">
        <v>423</v>
      </c>
      <c r="H86" s="190" t="s">
        <v>1243</v>
      </c>
      <c r="I86" s="352" t="s">
        <v>1438</v>
      </c>
      <c r="J86" s="190" t="s">
        <v>1240</v>
      </c>
      <c r="K86" s="191" t="str">
        <f>VLOOKUP(T86,통합목록!$Q$4:$T$310,4,0)</f>
        <v>기업 합병 시 특정 근로자에 대한 승계 거부 및 해고 통보의 법적 효력</v>
      </c>
      <c r="L86" s="192" t="str">
        <f>VLOOKUP(T86,통합목록!$Q$4:$T$310,2,0)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 t="shared" si="13"/>
        <v>제07장 근로관계의 이전&gt;04&gt;1&gt;</v>
      </c>
      <c r="P86" s="192" t="str">
        <f t="shared" si="14"/>
        <v>제07장 근로관계의 이전&gt;제02절 합병&gt;01</v>
      </c>
      <c r="Q86" s="192" t="str">
        <f t="shared" si="15"/>
        <v>1&gt;모의&gt;7.02&gt;2</v>
      </c>
      <c r="R86" s="192" t="str">
        <f t="shared" si="16"/>
        <v>1&gt;모의&gt;7.02&gt;1</v>
      </c>
      <c r="T86" s="3" t="str">
        <f t="shared" si="17"/>
        <v>7.02-1-1</v>
      </c>
    </row>
    <row r="87" spans="1:20" s="3" customFormat="1" ht="14.45" hidden="1" customHeight="1" x14ac:dyDescent="0.2">
      <c r="A87" s="180"/>
      <c r="B87" s="188">
        <f t="shared" si="12"/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">
        <v>423</v>
      </c>
      <c r="H87" s="190" t="s">
        <v>1244</v>
      </c>
      <c r="I87" s="352" t="s">
        <v>1438</v>
      </c>
      <c r="J87" s="190" t="s">
        <v>1241</v>
      </c>
      <c r="K87" s="191" t="str">
        <f>VLOOKUP(T87,통합목록!$Q$4:$T$310,4,0)</f>
        <v>기업 합병 후 근로조건의 일방적 변경 및 취업규칙 적용의 법적 효력</v>
      </c>
      <c r="L87" s="192" t="str">
        <f>VLOOKUP(T87,통합목록!$Q$4:$T$310,2,0)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 t="shared" si="13"/>
        <v>제07장 근로관계의 이전&gt;05&gt;2&gt;</v>
      </c>
      <c r="P87" s="192" t="str">
        <f t="shared" si="14"/>
        <v>제07장 근로관계의 이전&gt;제02절 합병&gt;02</v>
      </c>
      <c r="Q87" s="192" t="str">
        <f t="shared" si="15"/>
        <v>1&gt;모의&gt;7.02&gt;1</v>
      </c>
      <c r="R87" s="192" t="str">
        <f t="shared" si="16"/>
        <v>1&gt;모의&gt;7.02&gt;2</v>
      </c>
      <c r="T87" s="3" t="str">
        <f t="shared" si="17"/>
        <v>7.02-2-1</v>
      </c>
    </row>
    <row r="88" spans="1:20" s="3" customFormat="1" ht="14.45" hidden="1" customHeight="1" x14ac:dyDescent="0.2">
      <c r="A88" s="180"/>
      <c r="B88" s="188">
        <f t="shared" si="12"/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">
        <v>448</v>
      </c>
      <c r="H88" s="190" t="s">
        <v>1323</v>
      </c>
      <c r="I88" s="352" t="s">
        <v>449</v>
      </c>
      <c r="J88" s="190" t="s">
        <v>1322</v>
      </c>
      <c r="K88" s="191" t="str">
        <f>VLOOKUP(T88,통합목록!$Q$4:$T$310,4,0)</f>
        <v>단체협약상 연차휴가 사전신청 요건의 유효성 및 반려 조치의 시기변경권 행사 적법성★</v>
      </c>
      <c r="L88" s="192" t="str">
        <f>VLOOKUP(T88,통합목록!$Q$4:$T$310,2,0)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 t="shared" si="13"/>
        <v>제04장 근로시간&gt;10&gt;1&gt;</v>
      </c>
      <c r="P88" s="192" t="str">
        <f t="shared" si="14"/>
        <v>제04장 근로시간&gt;제06절 연차유급휴가&gt;02</v>
      </c>
      <c r="Q88" s="192" t="str">
        <f t="shared" si="15"/>
        <v>1&gt;모의&gt;4.06&gt;2</v>
      </c>
      <c r="R88" s="192" t="str">
        <f t="shared" si="16"/>
        <v>1&gt;모의&gt;4.06&gt;1</v>
      </c>
      <c r="T88" s="3" t="str">
        <f t="shared" si="17"/>
        <v>4.06-1-1</v>
      </c>
    </row>
    <row r="89" spans="1:20" s="3" customFormat="1" ht="14.45" hidden="1" customHeight="1" x14ac:dyDescent="0.2">
      <c r="A89" s="180"/>
      <c r="B89" s="188">
        <f t="shared" si="12"/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">
        <v>448</v>
      </c>
      <c r="H89" s="190" t="s">
        <v>1324</v>
      </c>
      <c r="I89" s="352" t="s">
        <v>449</v>
      </c>
      <c r="J89" s="190" t="s">
        <v>1329</v>
      </c>
      <c r="K89" s="191" t="str">
        <f>VLOOKUP(T89,통합목록!$Q$4:$T$310,4,0)</f>
        <v>연차휴가 반려 후 출근하지 않은 행위의 성격 및 이를 이유로 한 감봉 처분의 정당성★</v>
      </c>
      <c r="L89" s="192" t="str">
        <f>VLOOKUP(T89,통합목록!$Q$4:$T$310,2,0)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 t="shared" si="13"/>
        <v>제04장 근로시간&gt;11&gt;2&gt;</v>
      </c>
      <c r="P89" s="192" t="str">
        <f t="shared" si="14"/>
        <v>제04장 근로시간&gt;제06절 연차유급휴가&gt;03</v>
      </c>
      <c r="Q89" s="192" t="str">
        <f t="shared" si="15"/>
        <v>1&gt;모의&gt;4.06&gt;1</v>
      </c>
      <c r="R89" s="192" t="str">
        <f t="shared" si="16"/>
        <v>1&gt;모의&gt;4.06&gt;2</v>
      </c>
      <c r="T89" s="3" t="str">
        <f t="shared" si="17"/>
        <v>4.06-2-1</v>
      </c>
    </row>
    <row r="90" spans="1:20" s="3" customFormat="1" ht="14.45" hidden="1" customHeight="1" x14ac:dyDescent="0.2">
      <c r="A90" s="180"/>
      <c r="B90" s="188">
        <f t="shared" si="12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1436</v>
      </c>
      <c r="J90" s="190" t="s">
        <v>415</v>
      </c>
      <c r="K90" s="191" t="str">
        <f>VLOOKUP(T90,통합목록!$Q$4:$T$310,4,0)</f>
        <v>휴일근로 명령의 유효요건과 개별적 동의 여부 및 근로자의 출근 거부에 따른 징계 사유의 정당성</v>
      </c>
      <c r="L90" s="192" t="str">
        <f>VLOOKUP(T90,통합목록!$Q$4:$T$310,2,0)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 t="shared" si="13"/>
        <v>제04장 근로시간&gt;08&gt;1&gt;</v>
      </c>
      <c r="P90" s="192" t="str">
        <f t="shared" si="14"/>
        <v>제04장 근로시간&gt;제05절 휴일과 휴일근로&gt;01</v>
      </c>
      <c r="Q90" s="192" t="str">
        <f t="shared" si="15"/>
        <v>1&gt;모의&gt;4.05&gt;2</v>
      </c>
      <c r="R90" s="192" t="str">
        <f t="shared" si="16"/>
        <v>1&gt;모의&gt;4.05&gt;1</v>
      </c>
      <c r="T90" s="3" t="str">
        <f t="shared" si="17"/>
        <v>4.05-1-1</v>
      </c>
    </row>
    <row r="91" spans="1:20" s="3" customFormat="1" ht="14.45" hidden="1" customHeight="1" x14ac:dyDescent="0.2">
      <c r="A91" s="180"/>
      <c r="B91" s="188">
        <f t="shared" si="12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1436</v>
      </c>
      <c r="J91" s="190" t="s">
        <v>417</v>
      </c>
      <c r="K91" s="191" t="str">
        <f>VLOOKUP(T91,통합목록!$Q$4:$T$310,4,0)</f>
        <v>휴일근로 가산수당 지급 원칙과 중복할증에 관한 판례의 태도 및 회사의 임금 미지급의 타당성</v>
      </c>
      <c r="L91" s="192" t="str">
        <f>VLOOKUP(T91,통합목록!$Q$4:$T$310,2,0)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 t="shared" si="13"/>
        <v>제04장 근로시간&gt;09&gt;2&gt;</v>
      </c>
      <c r="P91" s="192" t="str">
        <f t="shared" si="14"/>
        <v>제04장 근로시간&gt;제05절 휴일과 휴일근로&gt;02</v>
      </c>
      <c r="Q91" s="192" t="str">
        <f t="shared" si="15"/>
        <v>1&gt;모의&gt;4.05&gt;1</v>
      </c>
      <c r="R91" s="192" t="str">
        <f t="shared" si="16"/>
        <v>1&gt;모의&gt;4.05&gt;2</v>
      </c>
      <c r="T91" s="3" t="str">
        <f t="shared" si="17"/>
        <v>4.05-2-1</v>
      </c>
    </row>
    <row r="92" spans="1:20" s="3" customFormat="1" ht="14.45" hidden="1" customHeight="1" x14ac:dyDescent="0.2">
      <c r="A92" s="180"/>
      <c r="B92" s="188">
        <f t="shared" si="12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1435</v>
      </c>
      <c r="J92" s="190" t="s">
        <v>415</v>
      </c>
      <c r="K92" s="191" t="str">
        <f>VLOOKUP(T92,통합목록!$Q$4:$T$310,4,0)</f>
        <v>근로기준법상 휴게시간의 의의와 자유이용의 원칙 및 장소적 제약이 가해진 휴게시간의 유효성</v>
      </c>
      <c r="L92" s="192" t="str">
        <f>VLOOKUP(T92,통합목록!$Q$4:$T$310,2,0)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 t="shared" si="13"/>
        <v>제04장 근로시간&gt;06&gt;1&gt;</v>
      </c>
      <c r="P92" s="192" t="str">
        <f t="shared" si="14"/>
        <v>제04장 근로시간&gt;제04절 휴게시간&gt;01</v>
      </c>
      <c r="Q92" s="192" t="str">
        <f t="shared" si="15"/>
        <v>1&gt;모의&gt;4.04&gt;2</v>
      </c>
      <c r="R92" s="192" t="str">
        <f t="shared" si="16"/>
        <v>1&gt;모의&gt;4.04&gt;1</v>
      </c>
      <c r="T92" s="3" t="str">
        <f t="shared" si="17"/>
        <v>4.04-1-1</v>
      </c>
    </row>
    <row r="93" spans="1:20" s="3" customFormat="1" ht="14.45" hidden="1" customHeight="1" x14ac:dyDescent="0.2">
      <c r="A93" s="180"/>
      <c r="B93" s="188">
        <f t="shared" si="12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1435</v>
      </c>
      <c r="J93" s="190" t="s">
        <v>417</v>
      </c>
      <c r="K93" s="191" t="str">
        <f>VLOOKUP(T93,통합목록!$Q$4:$T$310,4,0)</f>
        <v>휴게시간과 근로시간 구별 기준 및 근로자의 비상대기 상태에 대한 근로시간 포함 여부</v>
      </c>
      <c r="L93" s="192" t="str">
        <f>VLOOKUP(T93,통합목록!$Q$4:$T$310,2,0)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 t="shared" si="13"/>
        <v>제04장 근로시간&gt;07&gt;2&gt;</v>
      </c>
      <c r="P93" s="192" t="str">
        <f t="shared" si="14"/>
        <v>제04장 근로시간&gt;제04절 휴게시간&gt;02</v>
      </c>
      <c r="Q93" s="192" t="str">
        <f t="shared" si="15"/>
        <v>1&gt;모의&gt;4.04&gt;1</v>
      </c>
      <c r="R93" s="192" t="str">
        <f t="shared" si="16"/>
        <v>1&gt;모의&gt;4.04&gt;2</v>
      </c>
      <c r="T93" s="3" t="str">
        <f t="shared" si="17"/>
        <v>4.04-2-1</v>
      </c>
    </row>
    <row r="94" spans="1:20" s="3" customFormat="1" ht="14.45" hidden="1" customHeight="1" x14ac:dyDescent="0.2">
      <c r="A94" s="180"/>
      <c r="B94" s="188">
        <f t="shared" si="12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1434</v>
      </c>
      <c r="J94" s="190" t="s">
        <v>415</v>
      </c>
      <c r="K94" s="191" t="str">
        <f>VLOOKUP(T94,통합목록!$Q$4:$T$310,4,0)</f>
        <v>근로기준법상 근로시간의 개념 및 판단 기준과 운행 전 준비 시간의 근로시간 해당 여부</v>
      </c>
      <c r="L94" s="192" t="str">
        <f>VLOOKUP(T94,통합목록!$Q$4:$T$310,2,0)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 t="shared" si="13"/>
        <v>제04장 근로시간&gt;04&gt;1&gt;</v>
      </c>
      <c r="P94" s="192" t="str">
        <f t="shared" si="14"/>
        <v>제04장 근로시간&gt;제01절 근로시간&gt;01</v>
      </c>
      <c r="Q94" s="192" t="str">
        <f t="shared" si="15"/>
        <v>1&gt;모의&gt;4.01&gt;2</v>
      </c>
      <c r="R94" s="192" t="str">
        <f t="shared" si="16"/>
        <v>1&gt;모의&gt;4.01&gt;1</v>
      </c>
      <c r="T94" s="3" t="str">
        <f t="shared" si="17"/>
        <v>4.01-1-1</v>
      </c>
    </row>
    <row r="95" spans="1:20" s="3" customFormat="1" ht="14.45" hidden="1" customHeight="1" x14ac:dyDescent="0.2">
      <c r="A95" s="180"/>
      <c r="B95" s="188">
        <f t="shared" si="12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1434</v>
      </c>
      <c r="J95" s="190" t="s">
        <v>417</v>
      </c>
      <c r="K95" s="191" t="str">
        <f>VLOOKUP(T95,통합목록!$Q$4:$T$310,4,0)</f>
        <v>운행 사이 대기시간의 법적 성격 판별 기준과 사안의 대기시간이 근로시간에 포함되는지 여부</v>
      </c>
      <c r="L95" s="192" t="str">
        <f>VLOOKUP(T95,통합목록!$Q$4:$T$310,2,0)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 t="shared" si="13"/>
        <v>제04장 근로시간&gt;05&gt;2&gt;</v>
      </c>
      <c r="P95" s="192" t="str">
        <f t="shared" si="14"/>
        <v>제04장 근로시간&gt;제01절 근로시간&gt;02</v>
      </c>
      <c r="Q95" s="192" t="str">
        <f t="shared" si="15"/>
        <v>1&gt;모의&gt;4.01&gt;1</v>
      </c>
      <c r="R95" s="192" t="str">
        <f t="shared" si="16"/>
        <v>1&gt;모의&gt;4.01&gt;2</v>
      </c>
      <c r="T95" s="3" t="str">
        <f t="shared" si="17"/>
        <v>4.01-2-1</v>
      </c>
    </row>
    <row r="96" spans="1:20" s="3" customFormat="1" ht="14.45" hidden="1" customHeight="1" x14ac:dyDescent="0.2">
      <c r="A96" s="180"/>
      <c r="B96" s="188">
        <f t="shared" si="12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1433</v>
      </c>
      <c r="J96" s="190" t="s">
        <v>415</v>
      </c>
      <c r="K96" s="191" t="str">
        <f>VLOOKUP(T96,통합목록!$Q$4:$T$310,4,0)</f>
        <v>최우선변제 임금채권의 범위와 근저당권 채권에 대한 우선권 및 구체적 변제액 산출</v>
      </c>
      <c r="L96" s="192" t="str">
        <f>VLOOKUP(T96,통합목록!$Q$4:$T$310,2,0)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 t="shared" si="13"/>
        <v>제03장 임금&gt;15&gt;1&gt;</v>
      </c>
      <c r="P96" s="192" t="str">
        <f t="shared" si="14"/>
        <v>제03장 임금&gt;제06절 임금채권의 우선변제&gt;01</v>
      </c>
      <c r="Q96" s="192" t="str">
        <f t="shared" si="15"/>
        <v>1&gt;모의&gt;3.06&gt;2</v>
      </c>
      <c r="R96" s="192" t="str">
        <f t="shared" si="16"/>
        <v>1&gt;모의&gt;3.06&gt;1</v>
      </c>
      <c r="S96" s="180"/>
      <c r="T96" s="3" t="str">
        <f t="shared" si="17"/>
        <v>3.06-1-1</v>
      </c>
    </row>
    <row r="97" spans="1:20" s="3" customFormat="1" ht="14.45" hidden="1" customHeight="1" x14ac:dyDescent="0.2">
      <c r="A97" s="180"/>
      <c r="B97" s="188">
        <f t="shared" si="12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1433</v>
      </c>
      <c r="J97" s="190" t="s">
        <v>417</v>
      </c>
      <c r="K97" s="191" t="str">
        <f>VLOOKUP(T97,통합목록!$Q$4:$T$310,4,0)</f>
        <v>나머지 임금 및 퇴직금 채권의 변제 순위와 조세・공과금 및 일반 채권과의 관계</v>
      </c>
      <c r="L97" s="192" t="str">
        <f>VLOOKUP(T97,통합목록!$Q$4:$T$310,2,0)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 t="shared" si="13"/>
        <v>제03장 임금&gt;16&gt;2&gt;</v>
      </c>
      <c r="P97" s="192" t="str">
        <f t="shared" si="14"/>
        <v>제03장 임금&gt;제06절 임금채권의 우선변제&gt;02</v>
      </c>
      <c r="Q97" s="192" t="str">
        <f t="shared" si="15"/>
        <v>1&gt;모의&gt;3.06&gt;1</v>
      </c>
      <c r="R97" s="192" t="str">
        <f t="shared" si="16"/>
        <v>1&gt;모의&gt;3.06&gt;2</v>
      </c>
      <c r="S97" s="180"/>
      <c r="T97" s="3" t="str">
        <f t="shared" si="17"/>
        <v>3.06-2-1</v>
      </c>
    </row>
    <row r="98" spans="1:20" s="3" customFormat="1" ht="14.45" hidden="1" customHeight="1" x14ac:dyDescent="0.2">
      <c r="A98" s="180"/>
      <c r="B98" s="188">
        <f t="shared" si="12"/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">
        <v>443</v>
      </c>
      <c r="H98" s="190" t="s">
        <v>469</v>
      </c>
      <c r="I98" s="352" t="s">
        <v>1432</v>
      </c>
      <c r="J98" s="190" t="s">
        <v>1240</v>
      </c>
      <c r="K98" s="191" t="str">
        <f>VLOOKUP(T98,통합목록!$Q$4:$T$310,4,0)</f>
        <v>매출처 파업 및 창고 부족으로 인한 휴업의 사용자 귀책사유 해당 여부</v>
      </c>
      <c r="L98" s="192" t="str">
        <f>VLOOKUP(T98,통합목록!$Q$4:$T$310,2,0)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 t="shared" si="13"/>
        <v>제03장 임금&gt;13&gt;1&gt;</v>
      </c>
      <c r="P98" s="192" t="str">
        <f t="shared" si="14"/>
        <v>제03장 임금&gt;제05절 휴업수당&gt;01</v>
      </c>
      <c r="Q98" s="192" t="str">
        <f t="shared" si="15"/>
        <v>1&gt;모의&gt;3.05&gt;2</v>
      </c>
      <c r="R98" s="192" t="str">
        <f t="shared" si="16"/>
        <v>1&gt;모의&gt;3.05&gt;1</v>
      </c>
      <c r="S98" s="180"/>
      <c r="T98" s="3" t="str">
        <f t="shared" si="17"/>
        <v>3.05-1-1</v>
      </c>
    </row>
    <row r="99" spans="1:20" s="3" customFormat="1" ht="14.45" hidden="1" customHeight="1" x14ac:dyDescent="0.2">
      <c r="A99" s="180"/>
      <c r="B99" s="188">
        <f t="shared" si="12"/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">
        <v>443</v>
      </c>
      <c r="H99" s="190" t="s">
        <v>472</v>
      </c>
      <c r="I99" s="352" t="s">
        <v>1432</v>
      </c>
      <c r="J99" s="190" t="s">
        <v>1241</v>
      </c>
      <c r="K99" s="191" t="str">
        <f>VLOOKUP(T99,통합목록!$Q$4:$T$310,4,0)</f>
        <v>노동위원회의 휴업수당 감액 승인이 취업규칙상 유리한 규정의 효력에 미치는 영향</v>
      </c>
      <c r="L99" s="192" t="str">
        <f>VLOOKUP(T99,통합목록!$Q$4:$T$310,2,0)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 t="shared" si="13"/>
        <v>제03장 임금&gt;14&gt;2&gt;</v>
      </c>
      <c r="P99" s="192" t="str">
        <f t="shared" si="14"/>
        <v>제03장 임금&gt;제05절 휴업수당&gt;02</v>
      </c>
      <c r="Q99" s="192" t="str">
        <f t="shared" si="15"/>
        <v>1&gt;모의&gt;3.05&gt;1</v>
      </c>
      <c r="R99" s="192" t="str">
        <f t="shared" si="16"/>
        <v>1&gt;모의&gt;3.05&gt;2</v>
      </c>
      <c r="S99" s="180"/>
      <c r="T99" s="3" t="str">
        <f t="shared" si="17"/>
        <v>3.05-2-1</v>
      </c>
    </row>
    <row r="100" spans="1:20" s="3" customFormat="1" ht="14.45" hidden="1" customHeight="1" x14ac:dyDescent="0.2">
      <c r="A100" s="180"/>
      <c r="B100" s="188">
        <f t="shared" ref="B100:B131" si="18"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">
        <v>443</v>
      </c>
      <c r="H100" s="190" t="s">
        <v>1323</v>
      </c>
      <c r="I100" s="352" t="s">
        <v>433</v>
      </c>
      <c r="J100" s="190" t="s">
        <v>1326</v>
      </c>
      <c r="K100" s="191" t="str">
        <f>VLOOKUP(T100,통합목록!$Q$4:$T$310,4,0)</f>
        <v>통상임금 고정성 징표의 배제 여부 및 재직조건부 정기상여금의 통상임금 인정 여부★</v>
      </c>
      <c r="L100" s="192" t="str">
        <f>VLOOKUP(T100,통합목록!$Q$4:$T$310,2,0)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 t="shared" ref="O100:O131" si="19">G100&amp;"&gt;"&amp;H100&amp;"&gt;"&amp;D100&amp;"&gt;"&amp;N100</f>
        <v>제03장 임금&gt;10&gt;1&gt;</v>
      </c>
      <c r="P100" s="192" t="str">
        <f t="shared" ref="P100:P131" si="20">G100&amp;"&gt;"&amp;I100&amp;"&gt;"&amp;J100</f>
        <v>제03장 임금&gt;제03절 통상임금&gt;05</v>
      </c>
      <c r="Q100" s="192" t="str">
        <f t="shared" ref="Q100:Q131" si="21">E100&amp;"&gt;"&amp;M100&amp;"&gt;"&amp;C100&amp;"&gt;"&amp;F100</f>
        <v>1&gt;모의&gt;3.03&gt;2</v>
      </c>
      <c r="R100" s="192" t="str">
        <f t="shared" ref="R100:R131" si="22">E100&amp;"&gt;"&amp;M100&amp;"&gt;"&amp;C100&amp;"&gt;"&amp;D100</f>
        <v>1&gt;모의&gt;3.03&gt;1</v>
      </c>
      <c r="S100" s="180"/>
      <c r="T100" s="3" t="str">
        <f t="shared" ref="T100:T131" si="23">C100&amp;"-"&amp;D100&amp;"-"&amp;E100</f>
        <v>3.03-1-1</v>
      </c>
    </row>
    <row r="101" spans="1:20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">
        <v>443</v>
      </c>
      <c r="H101" s="190" t="s">
        <v>1325</v>
      </c>
      <c r="I101" s="352" t="s">
        <v>433</v>
      </c>
      <c r="J101" s="190" t="s">
        <v>1327</v>
      </c>
      <c r="K101" s="191" t="str">
        <f>VLOOKUP(T101,통합목록!$Q$4:$T$310,4,0)</f>
        <v>일정 근무일수 충족 조건부 출근수당의 소정근로 대가성 관점에서의 통상임금 해당 여부★</v>
      </c>
      <c r="L101" s="192" t="str">
        <f>VLOOKUP(T101,통합목록!$Q$4:$T$310,2,0)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 t="shared" si="19"/>
        <v>제03장 임금&gt;12&gt;2&gt;</v>
      </c>
      <c r="P101" s="192" t="str">
        <f t="shared" si="20"/>
        <v>제03장 임금&gt;제03절 통상임금&gt;06</v>
      </c>
      <c r="Q101" s="192" t="str">
        <f t="shared" si="21"/>
        <v>1&gt;모의&gt;3.03&gt;1</v>
      </c>
      <c r="R101" s="192" t="str">
        <f t="shared" si="22"/>
        <v>1&gt;모의&gt;3.03&gt;2</v>
      </c>
      <c r="S101" s="180"/>
      <c r="T101" s="3" t="str">
        <f t="shared" si="23"/>
        <v>3.03-2-1</v>
      </c>
    </row>
    <row r="102" spans="1:20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1431</v>
      </c>
      <c r="J102" s="190" t="s">
        <v>415</v>
      </c>
      <c r="K102" s="191" t="str">
        <f>VLOOKUP(T102,통합목록!$Q$4:$T$310,4,0)</f>
        <v>추석 상여금과 경영성과급의 임금성 및 평균임금 산입 여부</v>
      </c>
      <c r="L102" s="192" t="str">
        <f>VLOOKUP(T102,통합목록!$Q$4:$T$310,2,0)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 t="shared" si="19"/>
        <v>제03장 임금&gt;08&gt;1&gt;</v>
      </c>
      <c r="P102" s="192" t="str">
        <f t="shared" si="20"/>
        <v>제03장 임금&gt;제02절 평균임금&gt;01</v>
      </c>
      <c r="Q102" s="192" t="str">
        <f t="shared" si="21"/>
        <v>1&gt;모의&gt;3.02&gt;2</v>
      </c>
      <c r="R102" s="192" t="str">
        <f t="shared" si="22"/>
        <v>1&gt;모의&gt;3.02&gt;1</v>
      </c>
      <c r="S102" s="180"/>
      <c r="T102" s="3" t="str">
        <f t="shared" si="23"/>
        <v>3.02-1-1</v>
      </c>
    </row>
    <row r="103" spans="1:20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1431</v>
      </c>
      <c r="J103" s="190" t="s">
        <v>417</v>
      </c>
      <c r="K103" s="191" t="str">
        <f>VLOOKUP(T103,통합목록!$Q$4:$T$310,4,0)</f>
        <v>특수 기간의 평균임금 산정방법과 연차유급휴가 미사용 수당의 산입 방식</v>
      </c>
      <c r="L103" s="192" t="str">
        <f>VLOOKUP(T103,통합목록!$Q$4:$T$310,2,0)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 t="shared" si="19"/>
        <v>제03장 임금&gt;09&gt;2&gt;</v>
      </c>
      <c r="P103" s="192" t="str">
        <f t="shared" si="20"/>
        <v>제03장 임금&gt;제02절 평균임금&gt;02</v>
      </c>
      <c r="Q103" s="192" t="str">
        <f t="shared" si="21"/>
        <v>1&gt;모의&gt;3.02&gt;1</v>
      </c>
      <c r="R103" s="192" t="str">
        <f t="shared" si="22"/>
        <v>1&gt;모의&gt;3.02&gt;2</v>
      </c>
      <c r="S103" s="180"/>
      <c r="T103" s="3" t="str">
        <f t="shared" si="23"/>
        <v>3.02-2-1</v>
      </c>
    </row>
    <row r="104" spans="1:20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1430</v>
      </c>
      <c r="J104" s="190" t="s">
        <v>415</v>
      </c>
      <c r="K104" s="191" t="str">
        <f>VLOOKUP(T104,통합목록!$Q$4:$T$310,4,0)</f>
        <v>경력 허위 기재가 근로계약의 효력에 미치는 영향과 회사의 조치에 대한 타당성 여부</v>
      </c>
      <c r="L104" s="192" t="str">
        <f>VLOOKUP(T104,통합목록!$Q$4:$T$310,2,0)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 t="shared" si="19"/>
        <v>제02장 근로관계의 성립&gt;06&gt;1&gt;</v>
      </c>
      <c r="P104" s="192" t="str">
        <f t="shared" si="20"/>
        <v>제02장 근로관계의 성립&gt;제04절 근로계약과 당사자의 권리 및 의무&gt;01</v>
      </c>
      <c r="Q104" s="192" t="str">
        <f t="shared" si="21"/>
        <v>1&gt;모의&gt;2.04&gt;3</v>
      </c>
      <c r="R104" s="192" t="str">
        <f t="shared" si="22"/>
        <v>1&gt;모의&gt;2.04&gt;1</v>
      </c>
      <c r="S104" s="180"/>
      <c r="T104" s="3" t="str">
        <f t="shared" si="23"/>
        <v>2.04-1-1</v>
      </c>
    </row>
    <row r="105" spans="1:20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1430</v>
      </c>
      <c r="J105" s="190" t="s">
        <v>417</v>
      </c>
      <c r="K105" s="191" t="str">
        <f>VLOOKUP(T105,통합목록!$Q$4:$T$310,4,0)</f>
        <v>경업금지약정의 효력, 회사의 전직금지 청구 가능 여부</v>
      </c>
      <c r="L105" s="192" t="str">
        <f>VLOOKUP(T105,통합목록!$Q$4:$T$310,2,0)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 t="shared" si="19"/>
        <v>제02장 근로관계의 성립&gt;07&gt;2&gt;</v>
      </c>
      <c r="P105" s="192" t="str">
        <f t="shared" si="20"/>
        <v>제02장 근로관계의 성립&gt;제04절 근로계약과 당사자의 권리 및 의무&gt;02</v>
      </c>
      <c r="Q105" s="192" t="str">
        <f t="shared" si="21"/>
        <v>1&gt;모의&gt;2.04&gt;2</v>
      </c>
      <c r="R105" s="192" t="str">
        <f t="shared" si="22"/>
        <v>1&gt;모의&gt;2.04&gt;2</v>
      </c>
      <c r="S105" s="180"/>
      <c r="T105" s="3" t="str">
        <f t="shared" si="23"/>
        <v>2.04-2-1</v>
      </c>
    </row>
    <row r="106" spans="1:20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1430</v>
      </c>
      <c r="J106" s="190" t="s">
        <v>426</v>
      </c>
      <c r="K106" s="191" t="str">
        <f>VLOOKUP(T106,통합목록!$Q$4:$T$310,4,0)</f>
        <v>기술적 영업비밀이 아닌 정보 유출에 대한 징계 및 손해배상 청구 가능 여부</v>
      </c>
      <c r="L106" s="192" t="str">
        <f>VLOOKUP(T106,통합목록!$Q$4:$T$310,2,0)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 t="shared" si="19"/>
        <v>제02장 근로관계의 성립&gt;08&gt;3&gt;</v>
      </c>
      <c r="P106" s="192" t="str">
        <f t="shared" si="20"/>
        <v>제02장 근로관계의 성립&gt;제04절 근로계약과 당사자의 권리 및 의무&gt;03</v>
      </c>
      <c r="Q106" s="192" t="str">
        <f t="shared" si="21"/>
        <v>1&gt;모의&gt;2.04&gt;1</v>
      </c>
      <c r="R106" s="192" t="str">
        <f t="shared" si="22"/>
        <v>1&gt;모의&gt;2.04&gt;3</v>
      </c>
      <c r="S106" s="180"/>
      <c r="T106" s="3" t="str">
        <f t="shared" si="23"/>
        <v>2.04-3-1</v>
      </c>
    </row>
    <row r="107" spans="1:20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">
        <v>1601</v>
      </c>
      <c r="H107" s="190" t="s">
        <v>1245</v>
      </c>
      <c r="I107" s="352" t="s">
        <v>1444</v>
      </c>
      <c r="J107" s="190" t="s">
        <v>1240</v>
      </c>
      <c r="K107" s="191" t="str">
        <f>VLOOKUP(T107,통합목록!$Q$4:$T$310,4,0)</f>
        <v>출근 중 제3자의 신호 위반 사고로 발생한 부상의 업무상 재해 인정 여부</v>
      </c>
      <c r="L107" s="192" t="str">
        <f>VLOOKUP(T107,통합목록!$Q$4:$T$310,2,0)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 t="shared" si="19"/>
        <v>제10장 업무상 재해 등&gt;07&gt;1&gt;</v>
      </c>
      <c r="P107" s="192" t="str">
        <f t="shared" si="20"/>
        <v>제10장 업무상 재해 등&gt;제04절 출퇴근 재해&gt;01</v>
      </c>
      <c r="Q107" s="192" t="str">
        <f t="shared" si="21"/>
        <v>1&gt;모의&gt;10.04&gt;2</v>
      </c>
      <c r="R107" s="192" t="str">
        <f t="shared" si="22"/>
        <v>1&gt;모의&gt;10.04&gt;1</v>
      </c>
      <c r="S107" s="180"/>
      <c r="T107" s="3" t="str">
        <f t="shared" si="23"/>
        <v>10.04-1-1</v>
      </c>
    </row>
    <row r="108" spans="1:20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">
        <v>1601</v>
      </c>
      <c r="H108" s="190" t="s">
        <v>1246</v>
      </c>
      <c r="I108" s="352" t="s">
        <v>1444</v>
      </c>
      <c r="J108" s="190" t="s">
        <v>1241</v>
      </c>
      <c r="K108" s="191" t="str">
        <f>VLOOKUP(T108,통합목록!$Q$4:$T$310,4,0)</f>
        <v>제3자 가해로 인한 출퇴근 재해 시 산재급여와 손해배상의 조정 및 구상 관계</v>
      </c>
      <c r="L108" s="192" t="str">
        <f>VLOOKUP(T108,통합목록!$Q$4:$T$310,2,0)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 t="shared" si="19"/>
        <v>제10장 업무상 재해 등&gt;08&gt;2&gt;</v>
      </c>
      <c r="P108" s="192" t="str">
        <f t="shared" si="20"/>
        <v>제10장 업무상 재해 등&gt;제04절 출퇴근 재해&gt;02</v>
      </c>
      <c r="Q108" s="192" t="str">
        <f t="shared" si="21"/>
        <v>1&gt;모의&gt;10.04&gt;1</v>
      </c>
      <c r="R108" s="192" t="str">
        <f t="shared" si="22"/>
        <v>1&gt;모의&gt;10.04&gt;2</v>
      </c>
      <c r="S108" s="180"/>
      <c r="T108" s="3" t="str">
        <f t="shared" si="23"/>
        <v>10.04-2-1</v>
      </c>
    </row>
    <row r="109" spans="1:20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1601</v>
      </c>
      <c r="H109" s="190" t="s">
        <v>431</v>
      </c>
      <c r="I109" s="352" t="s">
        <v>1443</v>
      </c>
      <c r="J109" s="190" t="s">
        <v>415</v>
      </c>
      <c r="K109" s="191" t="str">
        <f>VLOOKUP(T109,통합목록!$Q$4:$T$310,4,0)</f>
        <v>근로자의 만성 근로 및 단기 과로에 따른 뇌출혈의 업무상 질병 인정 여부</v>
      </c>
      <c r="L109" s="192" t="str">
        <f>VLOOKUP(T109,통합목록!$Q$4:$T$310,2,0)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 t="shared" si="19"/>
        <v>제10장 업무상 재해 등&gt;05&gt;1&gt;</v>
      </c>
      <c r="P109" s="192" t="str">
        <f t="shared" si="20"/>
        <v>제10장 업무상 재해 등&gt;제03절 업무상 질병&gt;01</v>
      </c>
      <c r="Q109" s="192" t="str">
        <f t="shared" si="21"/>
        <v>1&gt;모의&gt;10.03&gt;2</v>
      </c>
      <c r="R109" s="192" t="str">
        <f t="shared" si="22"/>
        <v>1&gt;모의&gt;10.03&gt;1</v>
      </c>
      <c r="S109" s="180"/>
      <c r="T109" s="3" t="str">
        <f t="shared" si="23"/>
        <v>10.03-1-1</v>
      </c>
    </row>
    <row r="110" spans="1:20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1601</v>
      </c>
      <c r="H110" s="190" t="s">
        <v>435</v>
      </c>
      <c r="I110" s="352" t="s">
        <v>1443</v>
      </c>
      <c r="J110" s="190" t="s">
        <v>417</v>
      </c>
      <c r="K110" s="191" t="str">
        <f>VLOOKUP(T110,통합목록!$Q$4:$T$310,4,0)</f>
        <v>근로자의 직장 내 괴롭힘으로 인한 우울증의 업무상 질병 인정 여부</v>
      </c>
      <c r="L110" s="192" t="str">
        <f>VLOOKUP(T110,통합목록!$Q$4:$T$310,2,0)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 t="shared" si="19"/>
        <v>제10장 업무상 재해 등&gt;06&gt;2&gt;</v>
      </c>
      <c r="P110" s="192" t="str">
        <f t="shared" si="20"/>
        <v>제10장 업무상 재해 등&gt;제03절 업무상 질병&gt;02</v>
      </c>
      <c r="Q110" s="192" t="str">
        <f t="shared" si="21"/>
        <v>1&gt;모의&gt;10.03&gt;1</v>
      </c>
      <c r="R110" s="192" t="str">
        <f t="shared" si="22"/>
        <v>1&gt;모의&gt;10.03&gt;2</v>
      </c>
      <c r="S110" s="180"/>
      <c r="T110" s="3" t="str">
        <f t="shared" si="23"/>
        <v>10.03-2-1</v>
      </c>
    </row>
    <row r="111" spans="1:20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1601</v>
      </c>
      <c r="H111" s="190" t="s">
        <v>426</v>
      </c>
      <c r="I111" s="352" t="s">
        <v>1442</v>
      </c>
      <c r="J111" s="190" t="s">
        <v>415</v>
      </c>
      <c r="K111" s="191" t="str">
        <f>VLOOKUP(T111,통합목록!$Q$4:$T$310,4,0)</f>
        <v>근로자의 오토바이 사고에 대한 출퇴근 재해 인정 여부 및 법적 근거</v>
      </c>
      <c r="L111" s="192" t="str">
        <f>VLOOKUP(T111,통합목록!$Q$4:$T$310,2,0)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 t="shared" si="19"/>
        <v>제10장 업무상 재해 등&gt;03&gt;1&gt;</v>
      </c>
      <c r="P111" s="192" t="str">
        <f t="shared" si="20"/>
        <v>제10장 업무상 재해 등&gt;제02절 업무상 사고&gt;01</v>
      </c>
      <c r="Q111" s="192" t="str">
        <f t="shared" si="21"/>
        <v>1&gt;모의&gt;10.02&gt;2</v>
      </c>
      <c r="R111" s="192" t="str">
        <f t="shared" si="22"/>
        <v>1&gt;모의&gt;10.02&gt;1</v>
      </c>
      <c r="S111" s="180"/>
      <c r="T111" s="3" t="str">
        <f t="shared" si="23"/>
        <v>10.02-1-1</v>
      </c>
    </row>
    <row r="112" spans="1:20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1601</v>
      </c>
      <c r="H112" s="190" t="s">
        <v>430</v>
      </c>
      <c r="I112" s="352" t="s">
        <v>1442</v>
      </c>
      <c r="J112" s="190" t="s">
        <v>417</v>
      </c>
      <c r="K112" s="191" t="str">
        <f>VLOOKUP(T112,통합목록!$Q$4:$T$310,4,0)</f>
        <v>근로자의 2차 회식 중 사고에 대한 업무상 재해 인정 여부</v>
      </c>
      <c r="L112" s="192" t="str">
        <f>VLOOKUP(T112,통합목록!$Q$4:$T$310,2,0)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 t="shared" si="19"/>
        <v>제10장 업무상 재해 등&gt;04&gt;2&gt;</v>
      </c>
      <c r="P112" s="192" t="str">
        <f t="shared" si="20"/>
        <v>제10장 업무상 재해 등&gt;제02절 업무상 사고&gt;02</v>
      </c>
      <c r="Q112" s="192" t="str">
        <f t="shared" si="21"/>
        <v>1&gt;모의&gt;10.02&gt;1</v>
      </c>
      <c r="R112" s="192" t="str">
        <f t="shared" si="22"/>
        <v>1&gt;모의&gt;10.02&gt;2</v>
      </c>
      <c r="S112" s="180"/>
      <c r="T112" s="3" t="str">
        <f t="shared" si="23"/>
        <v>10.02-2-1</v>
      </c>
    </row>
    <row r="113" spans="1:20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">
        <v>1478</v>
      </c>
      <c r="H113" s="190" t="s">
        <v>1418</v>
      </c>
      <c r="I113" s="352" t="s">
        <v>1425</v>
      </c>
      <c r="J113" s="190" t="s">
        <v>1415</v>
      </c>
      <c r="K113" s="191" t="str">
        <f>VLOOKUP(T113,통합목록!$Q$4:$T$310,4,0)</f>
        <v>동일 지배기업 산하 국내법인과 외국법인 한국영업소의 단일 사업장 인정 여부 및 해고 서면통지 적용 여부★</v>
      </c>
      <c r="L113" s="192" t="str">
        <f>VLOOKUP(T113,통합목록!$Q$4:$T$310,2,0)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 t="shared" si="19"/>
        <v>제01장 노동법 총론&gt;07&gt;1&gt;</v>
      </c>
      <c r="P113" s="192" t="str">
        <f t="shared" si="20"/>
        <v>제01장 노동법 총론&gt;제03절 근로기준법의 적용범위&gt;01</v>
      </c>
      <c r="Q113" s="192" t="str">
        <f t="shared" si="21"/>
        <v>1&gt;모의&gt;1.03&gt;2</v>
      </c>
      <c r="R113" s="192" t="str">
        <f t="shared" si="22"/>
        <v>1&gt;모의&gt;1.03&gt;1</v>
      </c>
      <c r="S113" s="180"/>
      <c r="T113" s="3" t="str">
        <f t="shared" si="23"/>
        <v>1.03-1-1</v>
      </c>
    </row>
    <row r="114" spans="1:20" s="3" customFormat="1" ht="14.45" hidden="1" customHeight="1" x14ac:dyDescent="0.2">
      <c r="A114" s="180"/>
      <c r="B114" s="188">
        <f t="shared" si="18"/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">
        <v>1478</v>
      </c>
      <c r="H114" s="190" t="s">
        <v>1419</v>
      </c>
      <c r="I114" s="352" t="s">
        <v>1425</v>
      </c>
      <c r="J114" s="190" t="s">
        <v>1416</v>
      </c>
      <c r="K114" s="191" t="str">
        <f>VLOOKUP(T114,통합목록!$Q$4:$T$310,4,0)</f>
        <v>국제근로관계에서 근로기준법상 상시 5인 이상 사업장 해당 여부 및 부당해고 구제신청의 적법성★</v>
      </c>
      <c r="L114" s="192" t="str">
        <f>VLOOKUP(T114,통합목록!$Q$4:$T$310,2,0)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 t="shared" si="19"/>
        <v>제01장 노동법 총론&gt;08&gt;2&gt;</v>
      </c>
      <c r="P114" s="192" t="str">
        <f t="shared" si="20"/>
        <v>제01장 노동법 총론&gt;제03절 근로기준법의 적용범위&gt;02</v>
      </c>
      <c r="Q114" s="192" t="str">
        <f t="shared" si="21"/>
        <v>1&gt;모의&gt;1.03&gt;1</v>
      </c>
      <c r="R114" s="192" t="str">
        <f t="shared" si="22"/>
        <v>1&gt;모의&gt;1.03&gt;2</v>
      </c>
      <c r="S114" s="180"/>
      <c r="T114" s="3" t="str">
        <f t="shared" si="23"/>
        <v>1.03-2-1</v>
      </c>
    </row>
    <row r="115" spans="1:20" s="3" customFormat="1" ht="14.45" hidden="1" customHeight="1" x14ac:dyDescent="0.2">
      <c r="A115" s="180"/>
      <c r="B115" s="188">
        <f t="shared" si="18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1478</v>
      </c>
      <c r="H115" s="190" t="s">
        <v>1359</v>
      </c>
      <c r="I115" s="352" t="s">
        <v>1424</v>
      </c>
      <c r="J115" s="190" t="s">
        <v>415</v>
      </c>
      <c r="K115" s="191" t="str">
        <f>VLOOKUP(T115,통합목록!$Q$4:$T$310,4,0)</f>
        <v>단체협약과 취업규칙의 충돌 시 유리한 취업규칙의 우선 적용 여부</v>
      </c>
      <c r="L115" s="192" t="str">
        <f>VLOOKUP(T115,통합목록!$Q$4:$T$310,2,0)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 t="shared" si="19"/>
        <v>제01장 노동법 총론&gt;05&gt;1&gt;</v>
      </c>
      <c r="P115" s="192" t="str">
        <f t="shared" si="20"/>
        <v>제01장 노동법 총론&gt;제02절 법원의 경합&gt;01</v>
      </c>
      <c r="Q115" s="192" t="str">
        <f t="shared" si="21"/>
        <v>1&gt;모의&gt;1.02&gt;2</v>
      </c>
      <c r="R115" s="192" t="str">
        <f t="shared" si="22"/>
        <v>1&gt;모의&gt;1.02&gt;1</v>
      </c>
      <c r="S115" s="180"/>
      <c r="T115" s="3" t="str">
        <f t="shared" si="23"/>
        <v>1.02-1-1</v>
      </c>
    </row>
    <row r="116" spans="1:20" s="3" customFormat="1" ht="14.45" hidden="1" customHeight="1" x14ac:dyDescent="0.2">
      <c r="A116" s="180"/>
      <c r="B116" s="188">
        <f t="shared" si="18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1478</v>
      </c>
      <c r="H116" s="190" t="s">
        <v>1360</v>
      </c>
      <c r="I116" s="352" t="s">
        <v>1424</v>
      </c>
      <c r="J116" s="190" t="s">
        <v>417</v>
      </c>
      <c r="K116" s="191" t="str">
        <f>VLOOKUP(T116,통합목록!$Q$4:$T$310,4,0)</f>
        <v>단체협약과 개별 근로계약 충돌 시 단체협약에 의한 근로조건 저하 가능성</v>
      </c>
      <c r="L116" s="192" t="str">
        <f>VLOOKUP(T116,통합목록!$Q$4:$T$310,2,0)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 t="shared" si="19"/>
        <v>제01장 노동법 총론&gt;06&gt;2&gt;</v>
      </c>
      <c r="P116" s="192" t="str">
        <f t="shared" si="20"/>
        <v>제01장 노동법 총론&gt;제02절 법원의 경합&gt;02</v>
      </c>
      <c r="Q116" s="192" t="str">
        <f t="shared" si="21"/>
        <v>1&gt;모의&gt;1.02&gt;1</v>
      </c>
      <c r="R116" s="192" t="str">
        <f t="shared" si="22"/>
        <v>1&gt;모의&gt;1.02&gt;2</v>
      </c>
      <c r="S116" s="180"/>
      <c r="T116" s="3" t="str">
        <f t="shared" si="23"/>
        <v>1.02-2-1</v>
      </c>
    </row>
    <row r="117" spans="1:20" s="3" customFormat="1" ht="14.45" customHeight="1" x14ac:dyDescent="0.2">
      <c r="A117" s="180"/>
      <c r="B117" s="188">
        <f t="shared" si="18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tr">
        <f>VLOOKUP(T117,통합목록!$Q$4:$T$310,4,0)</f>
        <v>우선재고용의무 위반에 따른 근로자 지위 인정 여부</v>
      </c>
      <c r="L117" s="192" t="str">
        <f>VLOOKUP(T117,통합목록!$Q$4:$T$310,2,0)</f>
        <v>열기2-01.노동법\02.문제\[기출][1][2025-1-1]우선재고용의무 위반에 따른 근로자 지위 인정 여부.txt</v>
      </c>
      <c r="M117" s="192" t="s">
        <v>1234</v>
      </c>
      <c r="N117" s="193"/>
      <c r="O117" s="192" t="str">
        <f t="shared" si="19"/>
        <v>제08장 근로관계의 종료&gt;01&gt;1-1&gt;</v>
      </c>
      <c r="P117" s="192" t="str">
        <f t="shared" si="20"/>
        <v>제08장 근로관계의 종료&gt;제02절 해고의 실체적 정당성&gt;01</v>
      </c>
      <c r="Q117" s="192" t="str">
        <f t="shared" si="21"/>
        <v>1&gt;기출&gt;2025&gt;3</v>
      </c>
      <c r="R117" s="192" t="str">
        <f t="shared" si="22"/>
        <v>1&gt;기출&gt;2025&gt;1-1</v>
      </c>
      <c r="S117" s="180"/>
      <c r="T117" s="3" t="str">
        <f t="shared" si="23"/>
        <v>2025-1-1-1</v>
      </c>
    </row>
    <row r="118" spans="1:20" ht="14.45" customHeight="1" x14ac:dyDescent="0.2">
      <c r="B118" s="188">
        <f t="shared" si="18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tr">
        <f>VLOOKUP(T118,통합목록!$Q$4:$T$310,4,0)</f>
        <v>우선재고용의무 위반 시 손해배상의무의 발생 시점 및 배상액 산정 방식(중간수입공제)</v>
      </c>
      <c r="L118" s="192" t="str">
        <f>VLOOKUP(T118,통합목록!$Q$4:$T$310,2,0)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1234</v>
      </c>
      <c r="N118" s="193"/>
      <c r="O118" s="192" t="str">
        <f t="shared" si="19"/>
        <v>제08장 근로관계의 종료&gt;02&gt;1-2&gt;</v>
      </c>
      <c r="P118" s="192" t="str">
        <f t="shared" si="20"/>
        <v>제08장 근로관계의 종료&gt;제02절 해고의 실체적 정당성&gt;02</v>
      </c>
      <c r="Q118" s="192" t="str">
        <f t="shared" si="21"/>
        <v>1&gt;기출&gt;2025&gt;2</v>
      </c>
      <c r="R118" s="192" t="str">
        <f t="shared" si="22"/>
        <v>1&gt;기출&gt;2025&gt;1-2</v>
      </c>
      <c r="T118" s="3" t="str">
        <f t="shared" si="23"/>
        <v>2025-1-2-1</v>
      </c>
    </row>
    <row r="119" spans="1:20" ht="14.45" customHeight="1" x14ac:dyDescent="0.2">
      <c r="B119" s="188">
        <f t="shared" si="18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1382</v>
      </c>
      <c r="H119" s="190" t="s">
        <v>415</v>
      </c>
      <c r="I119" s="352" t="s">
        <v>1495</v>
      </c>
      <c r="J119" s="190" t="s">
        <v>415</v>
      </c>
      <c r="K119" s="191" t="str">
        <f>VLOOKUP(T119,통합목록!$Q$4:$T$310,4,0)</f>
        <v>화학물질 누출 사고에 따른 근로자 및 노동조합 위원장의 작업중지권 행사의 정당성 여부</v>
      </c>
      <c r="L119" s="192" t="str">
        <f>VLOOKUP(T119,통합목록!$Q$4:$T$310,2,0)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1234</v>
      </c>
      <c r="N119" s="193"/>
      <c r="O119" s="192" t="str">
        <f t="shared" si="19"/>
        <v>제16장 부속법령&gt;01&gt;2&gt;</v>
      </c>
      <c r="P119" s="192" t="str">
        <f t="shared" si="20"/>
        <v>제16장 부속법령&gt;제04절 산안법&gt;01</v>
      </c>
      <c r="Q119" s="192" t="str">
        <f t="shared" si="21"/>
        <v>1&gt;기출&gt;2025&gt;1</v>
      </c>
      <c r="R119" s="192" t="str">
        <f t="shared" si="22"/>
        <v>1&gt;기출&gt;2025&gt;2</v>
      </c>
      <c r="S119" s="3"/>
      <c r="T119" s="3" t="str">
        <f t="shared" si="23"/>
        <v>2025-2-1</v>
      </c>
    </row>
    <row r="120" spans="1:20" ht="14.45" customHeight="1" x14ac:dyDescent="0.2">
      <c r="B120" s="188">
        <f t="shared" si="18"/>
        <v>117</v>
      </c>
      <c r="C120" s="189">
        <v>2024</v>
      </c>
      <c r="D120" s="190" t="s">
        <v>416</v>
      </c>
      <c r="E120" s="190" t="s">
        <v>419</v>
      </c>
      <c r="F120" s="190" t="s">
        <v>1740</v>
      </c>
      <c r="G120" s="191" t="s">
        <v>423</v>
      </c>
      <c r="H120" s="190" t="s">
        <v>415</v>
      </c>
      <c r="I120" s="352" t="s">
        <v>424</v>
      </c>
      <c r="J120" s="190" t="s">
        <v>415</v>
      </c>
      <c r="K120" s="191" t="str">
        <f>VLOOKUP(T120,통합목록!$Q$4:$T$310,4,0)</f>
        <v>영업양도 상황에서 회사 잔류를 희망한 근로자의 해고에 대한 정당성</v>
      </c>
      <c r="L120" s="192" t="str">
        <f>VLOOKUP(T120,통합목록!$Q$4:$T$310,2,0)</f>
        <v>열기2-01.노동법\02.문제\[기출][1][2024-1-2]영업양도 상황에서 회사 잔류를 희망한 근로자의 해고에 대한 정당성.txt</v>
      </c>
      <c r="M120" s="192" t="s">
        <v>1234</v>
      </c>
      <c r="N120" s="193"/>
      <c r="O120" s="192" t="str">
        <f t="shared" si="19"/>
        <v>제07장 근로관계의 이전&gt;01&gt;1-2&gt;</v>
      </c>
      <c r="P120" s="192" t="str">
        <f t="shared" si="20"/>
        <v>제07장 근로관계의 이전&gt;제01절 영업양도&gt;01</v>
      </c>
      <c r="Q120" s="192" t="str">
        <f t="shared" si="21"/>
        <v>1&gt;기출&gt;2024&gt;4</v>
      </c>
      <c r="R120" s="192" t="str">
        <f t="shared" si="22"/>
        <v>1&gt;기출&gt;2024&gt;1-2</v>
      </c>
      <c r="S120" s="3"/>
      <c r="T120" s="3" t="str">
        <f t="shared" si="23"/>
        <v>2024-1-2-1</v>
      </c>
    </row>
    <row r="121" spans="1:20" ht="14.45" customHeight="1" x14ac:dyDescent="0.2">
      <c r="B121" s="188">
        <f t="shared" si="18"/>
        <v>118</v>
      </c>
      <c r="C121" s="189">
        <v>2024</v>
      </c>
      <c r="D121" s="190" t="s">
        <v>1733</v>
      </c>
      <c r="E121" s="190" t="s">
        <v>1734</v>
      </c>
      <c r="F121" s="190" t="s">
        <v>1741</v>
      </c>
      <c r="G121" s="191" t="s">
        <v>1833</v>
      </c>
      <c r="H121" s="190" t="s">
        <v>1735</v>
      </c>
      <c r="I121" s="352" t="s">
        <v>1834</v>
      </c>
      <c r="J121" s="190" t="s">
        <v>1735</v>
      </c>
      <c r="K121" s="191" t="str">
        <f>VLOOKUP(T121,통합목록!$Q$4:$T$310,4,0)</f>
        <v>영업양도 상황에서 회사 잔류를 희망한 근로자의 해고에 대한 정당성</v>
      </c>
      <c r="L121" s="192" t="str">
        <f>VLOOKUP(T121,통합목록!$Q$4:$T$310,2,0)</f>
        <v>열기2-01.노동법\02.문제\[기출][1][2024-1-2]영업양도 상황에서 회사 잔류를 희망한 근로자의 해고에 대한 정당성.txt</v>
      </c>
      <c r="M121" s="192" t="s">
        <v>1738</v>
      </c>
      <c r="N121" s="193"/>
      <c r="O121" s="192" t="str">
        <f t="shared" si="19"/>
        <v>제08장 근로관계의 종료&gt;03&gt;1-2&gt;</v>
      </c>
      <c r="P121" s="192" t="str">
        <f t="shared" si="20"/>
        <v>제08장 근로관계의 종료&gt;제02절 해고의 실체적 정당성&gt;03</v>
      </c>
      <c r="Q121" s="192" t="str">
        <f t="shared" si="21"/>
        <v>1&gt;기출&gt;2024&gt;3</v>
      </c>
      <c r="R121" s="192" t="str">
        <f t="shared" si="22"/>
        <v>1&gt;기출&gt;2024&gt;1-2</v>
      </c>
      <c r="S121" s="3"/>
      <c r="T121" s="3" t="str">
        <f t="shared" si="23"/>
        <v>2024-1-2-1</v>
      </c>
    </row>
    <row r="122" spans="1:20" ht="14.45" customHeight="1" x14ac:dyDescent="0.2">
      <c r="B122" s="188">
        <f t="shared" si="18"/>
        <v>119</v>
      </c>
      <c r="C122" s="189">
        <v>2024</v>
      </c>
      <c r="D122" s="190" t="s">
        <v>412</v>
      </c>
      <c r="E122" s="190" t="s">
        <v>419</v>
      </c>
      <c r="F122" s="190" t="s">
        <v>1739</v>
      </c>
      <c r="G122" s="191" t="s">
        <v>421</v>
      </c>
      <c r="H122" s="190" t="s">
        <v>415</v>
      </c>
      <c r="I122" s="352" t="s">
        <v>1440</v>
      </c>
      <c r="J122" s="190" t="s">
        <v>415</v>
      </c>
      <c r="K122" s="191" t="str">
        <f>VLOOKUP(T122,통합목록!$Q$4:$T$310,4,0)</f>
        <v>기간제 근로자에 대한 근무평가 결과에 기초한 갱신거절 통보의 정당성 여부</v>
      </c>
      <c r="L122" s="192" t="str">
        <f>VLOOKUP(T122,통합목록!$Q$4:$T$310,2,0)</f>
        <v>열기2-01.노동법\02.문제\[기출][1][2024-1-1]기간제 근로자에 대한 근무평가 결과에 기초한 갱신거절 통보의 정당성 여부.txt</v>
      </c>
      <c r="M122" s="192" t="s">
        <v>1234</v>
      </c>
      <c r="N122" s="193"/>
      <c r="O122" s="192" t="str">
        <f t="shared" si="19"/>
        <v>제09장 비정규근로자&gt;01&gt;1-1&gt;</v>
      </c>
      <c r="P122" s="192" t="str">
        <f t="shared" si="20"/>
        <v>제09장 비정규근로자&gt;제01절 기간제근로자&gt;01</v>
      </c>
      <c r="Q122" s="192" t="str">
        <f t="shared" si="21"/>
        <v>1&gt;기출&gt;2024&gt;2</v>
      </c>
      <c r="R122" s="192" t="str">
        <f t="shared" si="22"/>
        <v>1&gt;기출&gt;2024&gt;1-1</v>
      </c>
      <c r="S122" s="3"/>
      <c r="T122" s="3" t="str">
        <f t="shared" si="23"/>
        <v>2024-1-1-1</v>
      </c>
    </row>
    <row r="123" spans="1:20" ht="14.45" customHeight="1" x14ac:dyDescent="0.2">
      <c r="B123" s="188">
        <f t="shared" si="18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1439</v>
      </c>
      <c r="J123" s="190" t="s">
        <v>415</v>
      </c>
      <c r="K123" s="191" t="str">
        <f>VLOOKUP(T123,통합목록!$Q$4:$T$310,4,0)</f>
        <v>부당해고 기간 중 중간수입공제의 범위와 최종 임금상당액 산정</v>
      </c>
      <c r="L123" s="192" t="str">
        <f>VLOOKUP(T123,통합목록!$Q$4:$T$310,2,0)</f>
        <v>열기2-01.노동법\02.문제\[기출][1][2024-2]부당해고 기간 중 중간수입공제의 범위와 최종 임금상당액 산정.txt</v>
      </c>
      <c r="M123" s="192" t="s">
        <v>1234</v>
      </c>
      <c r="N123" s="193"/>
      <c r="O123" s="192" t="str">
        <f t="shared" si="19"/>
        <v>제08장 근로관계의 종료&gt;04&gt;2&gt;</v>
      </c>
      <c r="P123" s="192" t="str">
        <f t="shared" si="20"/>
        <v>제08장 근로관계의 종료&gt;제04절 부당해고의 구제&gt;01</v>
      </c>
      <c r="Q123" s="192" t="str">
        <f t="shared" si="21"/>
        <v>1&gt;기출&gt;2024&gt;1</v>
      </c>
      <c r="R123" s="192" t="str">
        <f t="shared" si="22"/>
        <v>1&gt;기출&gt;2024&gt;2</v>
      </c>
      <c r="S123" s="3"/>
      <c r="T123" s="3" t="str">
        <f t="shared" si="23"/>
        <v>2024-2-1</v>
      </c>
    </row>
    <row r="124" spans="1:20" ht="14.45" customHeight="1" x14ac:dyDescent="0.2">
      <c r="B124" s="188">
        <f t="shared" si="18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tr">
        <f>VLOOKUP(T124,통합목록!$Q$4:$T$310,4,0)</f>
        <v>경영상 이유에 의한 해고 대상자 선정 기준에 대한 합리성 및 공정성</v>
      </c>
      <c r="L124" s="192" t="str">
        <f>VLOOKUP(T124,통합목록!$Q$4:$T$310,2,0)</f>
        <v>열기2-01.노동법\02.문제\[기출][1][2023-1-1]경영상 이유에 의한 해고 대상자 선정 기준에 대한 합리성 및 공정성.txt</v>
      </c>
      <c r="M124" s="192" t="s">
        <v>1234</v>
      </c>
      <c r="N124" s="193"/>
      <c r="O124" s="192" t="str">
        <f t="shared" si="19"/>
        <v>제08장 근로관계의 종료&gt;05&gt;1-1&gt;</v>
      </c>
      <c r="P124" s="192" t="str">
        <f t="shared" si="20"/>
        <v>제08장 근로관계의 종료&gt;제02절 해고의 실체적 정당성&gt;04</v>
      </c>
      <c r="Q124" s="192" t="str">
        <f t="shared" si="21"/>
        <v>1&gt;기출&gt;2023&gt;3</v>
      </c>
      <c r="R124" s="192" t="str">
        <f t="shared" si="22"/>
        <v>1&gt;기출&gt;2023&gt;1-1</v>
      </c>
      <c r="S124" s="3"/>
      <c r="T124" s="3" t="str">
        <f t="shared" si="23"/>
        <v>2023-1-1-1</v>
      </c>
    </row>
    <row r="125" spans="1:20" ht="14.45" customHeight="1" x14ac:dyDescent="0.2">
      <c r="B125" s="188">
        <f t="shared" si="18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tr">
        <f>VLOOKUP(T125,통합목록!$Q$4:$T$310,4,0)</f>
        <v>절차의 흠결이 있는 징계의 효력에 대한 노조 대표자 주장의 타당성+</v>
      </c>
      <c r="L125" s="192" t="str">
        <f>VLOOKUP(T125,통합목록!$Q$4:$T$310,2,0)</f>
        <v>열기2-01.노동법\02.문제\[기출][1][2023-1-2]절차의 흠결이 있는 징계의 효력에 대한 노조 대표자 주장의 타당성.txt</v>
      </c>
      <c r="M125" s="192" t="s">
        <v>1234</v>
      </c>
      <c r="N125" s="193"/>
      <c r="O125" s="192" t="str">
        <f t="shared" si="19"/>
        <v>제06장 인사처분&gt;01&gt;1-2&gt;</v>
      </c>
      <c r="P125" s="192" t="str">
        <f t="shared" si="20"/>
        <v>제06장 인사처분&gt;제05절 징계&gt;01</v>
      </c>
      <c r="Q125" s="192" t="str">
        <f t="shared" si="21"/>
        <v>1&gt;기출&gt;2023&gt;2</v>
      </c>
      <c r="R125" s="192" t="str">
        <f t="shared" si="22"/>
        <v>1&gt;기출&gt;2023&gt;1-2</v>
      </c>
      <c r="S125" s="3"/>
      <c r="T125" s="3" t="str">
        <f t="shared" si="23"/>
        <v>2023-1-2-1</v>
      </c>
    </row>
    <row r="126" spans="1:20" ht="14.45" customHeight="1" x14ac:dyDescent="0.2">
      <c r="B126" s="188">
        <f t="shared" si="18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tr">
        <f>VLOOKUP(T126,통합목록!$Q$4:$T$310,4,0)</f>
        <v>근로계약관계의 실질적 사용자 및 계약의 형태(도급, 전적, 파견)에 따른 직접고용의무 판단</v>
      </c>
      <c r="L126" s="192" t="str">
        <f>VLOOKUP(T126,통합목록!$Q$4:$T$310,2,0)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1234</v>
      </c>
      <c r="N126" s="193"/>
      <c r="O126" s="192" t="str">
        <f t="shared" si="19"/>
        <v>제09장 비정규근로자&gt;02&gt;2&gt;</v>
      </c>
      <c r="P126" s="192" t="str">
        <f t="shared" si="20"/>
        <v>제09장 비정규근로자&gt;제03절 파견근로자&gt;01</v>
      </c>
      <c r="Q126" s="192" t="str">
        <f t="shared" si="21"/>
        <v>1&gt;기출&gt;2023&gt;1</v>
      </c>
      <c r="R126" s="192" t="str">
        <f t="shared" si="22"/>
        <v>1&gt;기출&gt;2023&gt;2</v>
      </c>
      <c r="S126" s="3"/>
      <c r="T126" s="3" t="str">
        <f t="shared" si="23"/>
        <v>2023-2-1</v>
      </c>
    </row>
    <row r="127" spans="1:20" ht="14.45" customHeight="1" x14ac:dyDescent="0.2">
      <c r="B127" s="188">
        <f t="shared" si="18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tr">
        <f>VLOOKUP(T127,통합목록!$Q$4:$T$310,4,0)</f>
        <v>근무성적 불량 저성과자 해고의 정당성 요건 및 해고처분의 타당성 여부</v>
      </c>
      <c r="L127" s="192" t="str">
        <f>VLOOKUP(T127,통합목록!$Q$4:$T$310,2,0)</f>
        <v>열기2-01.노동법\02.문제\[기출][1][2022-1-1]근무성적 불량 저성과자 해고의 정당성 요건 및 해고처분의 타당성 여부.txt</v>
      </c>
      <c r="M127" s="192" t="s">
        <v>1234</v>
      </c>
      <c r="N127" s="193"/>
      <c r="O127" s="192" t="str">
        <f t="shared" si="19"/>
        <v>제08장 근로관계의 종료&gt;06&gt;1-1&gt;</v>
      </c>
      <c r="P127" s="192" t="str">
        <f t="shared" si="20"/>
        <v>제08장 근로관계의 종료&gt;제02절 해고의 실체적 정당성&gt;05</v>
      </c>
      <c r="Q127" s="192" t="str">
        <f t="shared" si="21"/>
        <v>1&gt;기출&gt;2022&gt;3</v>
      </c>
      <c r="R127" s="192" t="str">
        <f t="shared" si="22"/>
        <v>1&gt;기출&gt;2022&gt;1-1</v>
      </c>
      <c r="S127" s="3"/>
      <c r="T127" s="3" t="str">
        <f t="shared" si="23"/>
        <v>2022-1-1-1</v>
      </c>
    </row>
    <row r="128" spans="1:20" ht="14.45" customHeight="1" x14ac:dyDescent="0.2">
      <c r="B128" s="188">
        <f t="shared" si="18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tr">
        <f>VLOOKUP(T128,통합목록!$Q$4:$T$310,4,0)</f>
        <v>근로자가 해고사유를 구두로 인지하고 있는 경우 해고통지서상 해고사유 기재 누락 시 근로기준법 위반 여부</v>
      </c>
      <c r="L128" s="192" t="str">
        <f>VLOOKUP(T128,통합목록!$Q$4:$T$310,2,0)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1234</v>
      </c>
      <c r="N128" s="193"/>
      <c r="O128" s="192" t="str">
        <f t="shared" si="19"/>
        <v>제08장 근로관계의 종료&gt;07&gt;1-2&gt;</v>
      </c>
      <c r="P128" s="192" t="str">
        <f t="shared" si="20"/>
        <v>제08장 근로관계의 종료&gt;제03절 해고의 절차적 정당성&gt;01</v>
      </c>
      <c r="Q128" s="192" t="str">
        <f t="shared" si="21"/>
        <v>1&gt;기출&gt;2022&gt;2</v>
      </c>
      <c r="R128" s="192" t="str">
        <f t="shared" si="22"/>
        <v>1&gt;기출&gt;2022&gt;1-2</v>
      </c>
      <c r="S128" s="3"/>
      <c r="T128" s="3" t="str">
        <f t="shared" si="23"/>
        <v>2022-1-2-1</v>
      </c>
    </row>
    <row r="129" spans="2:20" ht="14.45" customHeight="1" x14ac:dyDescent="0.2">
      <c r="B129" s="188">
        <f t="shared" si="18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tr">
        <f>VLOOKUP(T129,통합목록!$Q$4:$T$310,4,0)</f>
        <v>정기상여금의 고정성에 따른 통상임금 해당 여부</v>
      </c>
      <c r="L129" s="192" t="str">
        <f>VLOOKUP(T129,통합목록!$Q$4:$T$310,2,0)</f>
        <v>열기2-01.노동법\02.문제\[기출][1][2022-2]정기상여금의 고정성에 따른 통상임금 해당 여부.txt</v>
      </c>
      <c r="M129" s="192" t="s">
        <v>1234</v>
      </c>
      <c r="N129" s="193"/>
      <c r="O129" s="192" t="str">
        <f t="shared" si="19"/>
        <v>제03장 임금&gt;01&gt;2&gt;</v>
      </c>
      <c r="P129" s="192" t="str">
        <f t="shared" si="20"/>
        <v>제03장 임금&gt;제03절 통상임금&gt;01</v>
      </c>
      <c r="Q129" s="192" t="str">
        <f t="shared" si="21"/>
        <v>1&gt;기출&gt;2022&gt;1</v>
      </c>
      <c r="R129" s="192" t="str">
        <f t="shared" si="22"/>
        <v>1&gt;기출&gt;2022&gt;2</v>
      </c>
      <c r="S129" s="3"/>
      <c r="T129" s="3" t="str">
        <f t="shared" si="23"/>
        <v>2022-2-1</v>
      </c>
    </row>
    <row r="130" spans="2:20" ht="14.45" customHeight="1" x14ac:dyDescent="0.2">
      <c r="B130" s="188">
        <f t="shared" si="18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tr">
        <f>VLOOKUP(T130,통합목록!$Q$4:$T$310,4,0)</f>
        <v>비조합원에 대한 불이익 취업규칙 적용의 효력</v>
      </c>
      <c r="L130" s="192" t="str">
        <f>VLOOKUP(T130,통합목록!$Q$4:$T$310,2,0)</f>
        <v>열기2-01.노동법\02.문제\[기출][1][2021-1-1]비조합원에 대한 불이익 취업규칙 적용의 효력.txt</v>
      </c>
      <c r="M130" s="192" t="s">
        <v>1234</v>
      </c>
      <c r="N130" s="193"/>
      <c r="O130" s="192" t="str">
        <f t="shared" si="19"/>
        <v>제05장 취업규칙&gt;01&gt;1-1&gt;</v>
      </c>
      <c r="P130" s="192" t="str">
        <f t="shared" si="20"/>
        <v>제05장 취업규칙&gt;제02절 취업규칙의 변경&gt;01</v>
      </c>
      <c r="Q130" s="192" t="str">
        <f t="shared" si="21"/>
        <v>1&gt;기출&gt;2021&gt;3</v>
      </c>
      <c r="R130" s="192" t="str">
        <f t="shared" si="22"/>
        <v>1&gt;기출&gt;2021&gt;1-1</v>
      </c>
      <c r="S130" s="3"/>
      <c r="T130" s="3" t="str">
        <f t="shared" si="23"/>
        <v>2021-1-1-1</v>
      </c>
    </row>
    <row r="131" spans="2:20" ht="14.45" customHeight="1" x14ac:dyDescent="0.2">
      <c r="B131" s="188">
        <f t="shared" si="18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tr">
        <f>VLOOKUP(T131,통합목록!$Q$4:$T$310,4,0)</f>
        <v>개별 근로자 대상 근로계약 대비 불이익 취업규칙의 동의 없는 적용 가능 여부</v>
      </c>
      <c r="L131" s="192" t="str">
        <f>VLOOKUP(T131,통합목록!$Q$4:$T$310,2,0)</f>
        <v>열기2-01.노동법\02.문제\[기출][1][2021-1-2]개별 근로자 대상 근로계약 대비 불이익 취업규칙의 동의 없는 적용 가능 여부.txt</v>
      </c>
      <c r="M131" s="192" t="s">
        <v>1234</v>
      </c>
      <c r="N131" s="193"/>
      <c r="O131" s="192" t="str">
        <f t="shared" si="19"/>
        <v>제05장 취업규칙&gt;02&gt;1-2&gt;</v>
      </c>
      <c r="P131" s="192" t="str">
        <f t="shared" si="20"/>
        <v>제05장 취업규칙&gt;제02절 취업규칙의 변경&gt;02</v>
      </c>
      <c r="Q131" s="192" t="str">
        <f t="shared" si="21"/>
        <v>1&gt;기출&gt;2021&gt;2</v>
      </c>
      <c r="R131" s="192" t="str">
        <f t="shared" si="22"/>
        <v>1&gt;기출&gt;2021&gt;1-2</v>
      </c>
      <c r="S131" s="3"/>
      <c r="T131" s="3" t="str">
        <f t="shared" si="23"/>
        <v>2021-1-2-1</v>
      </c>
    </row>
    <row r="132" spans="2:20" ht="14.45" customHeight="1" x14ac:dyDescent="0.2">
      <c r="B132" s="188">
        <f t="shared" ref="B132:B163" si="24">ROW()-3</f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1439</v>
      </c>
      <c r="J132" s="190" t="s">
        <v>417</v>
      </c>
      <c r="K132" s="191" t="str">
        <f>VLOOKUP(T132,통합목록!$Q$4:$T$310,4,0)</f>
        <v>정년 도달로 근로관계가 종료된 경우 부당해고 재심판정취소소송의 소의 이익 존부</v>
      </c>
      <c r="L132" s="192" t="str">
        <f>VLOOKUP(T132,통합목록!$Q$4:$T$310,2,0)</f>
        <v>열기2-01.노동법\02.문제\[기출][1][2021-2]정년 도달로 근로관계가 종료된 경우 부당해고 재심판정취소소송의 소의 이익 존부.txt</v>
      </c>
      <c r="M132" s="192" t="s">
        <v>1234</v>
      </c>
      <c r="N132" s="193"/>
      <c r="O132" s="192" t="str">
        <f t="shared" ref="O132:O163" si="25">G132&amp;"&gt;"&amp;H132&amp;"&gt;"&amp;D132&amp;"&gt;"&amp;N132</f>
        <v>제08장 근로관계의 종료&gt;08&gt;2&gt;</v>
      </c>
      <c r="P132" s="192" t="str">
        <f t="shared" ref="P132:P163" si="26">G132&amp;"&gt;"&amp;I132&amp;"&gt;"&amp;J132</f>
        <v>제08장 근로관계의 종료&gt;제04절 부당해고의 구제&gt;02</v>
      </c>
      <c r="Q132" s="192" t="str">
        <f t="shared" ref="Q132:Q163" si="27">E132&amp;"&gt;"&amp;M132&amp;"&gt;"&amp;C132&amp;"&gt;"&amp;F132</f>
        <v>1&gt;기출&gt;2021&gt;1</v>
      </c>
      <c r="R132" s="192" t="str">
        <f t="shared" ref="R132:R163" si="28">E132&amp;"&gt;"&amp;M132&amp;"&gt;"&amp;C132&amp;"&gt;"&amp;D132</f>
        <v>1&gt;기출&gt;2021&gt;2</v>
      </c>
      <c r="S132" s="3"/>
      <c r="T132" s="3" t="str">
        <f t="shared" ref="T132:T163" si="29">C132&amp;"-"&amp;D132&amp;"-"&amp;E132</f>
        <v>2021-2-1</v>
      </c>
    </row>
    <row r="133" spans="2:20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1478</v>
      </c>
      <c r="H133" s="190" t="s">
        <v>417</v>
      </c>
      <c r="I133" s="352" t="s">
        <v>1428</v>
      </c>
      <c r="J133" s="190" t="s">
        <v>415</v>
      </c>
      <c r="K133" s="191" t="str">
        <f>VLOOKUP(T133,통합목록!$Q$4:$T$310,4,0)</f>
        <v>명목상 외주업체 소속 근로자의 실질적 사업주 판단 기준</v>
      </c>
      <c r="L133" s="192" t="str">
        <f>VLOOKUP(T133,통합목록!$Q$4:$T$310,2,0)</f>
        <v>열기2-01.노동법\02.문제\[기출][1][2020-1-1]명목상 외주업체 소속 근로자의 실질적 사업주 판단 기준.txt</v>
      </c>
      <c r="M133" s="192" t="s">
        <v>1234</v>
      </c>
      <c r="N133" s="193"/>
      <c r="O133" s="192" t="str">
        <f t="shared" si="25"/>
        <v>제01장 노동법 총론&gt;02&gt;1-1&gt;</v>
      </c>
      <c r="P133" s="192" t="str">
        <f t="shared" si="26"/>
        <v>제01장 노동법 총론&gt;제06절 근로기준법상 사용자&gt;01</v>
      </c>
      <c r="Q133" s="192" t="str">
        <f t="shared" si="27"/>
        <v>1&gt;기출&gt;2020&gt;4</v>
      </c>
      <c r="R133" s="192" t="str">
        <f t="shared" si="28"/>
        <v>1&gt;기출&gt;2020&gt;1-1</v>
      </c>
      <c r="S133" s="3"/>
      <c r="T133" s="3" t="str">
        <f t="shared" si="29"/>
        <v>2020-1-1-1</v>
      </c>
    </row>
    <row r="134" spans="2:20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1835</v>
      </c>
      <c r="H134" s="190" t="s">
        <v>426</v>
      </c>
      <c r="I134" s="352" t="s">
        <v>1836</v>
      </c>
      <c r="J134" s="190" t="s">
        <v>417</v>
      </c>
      <c r="K134" s="191" t="str">
        <f>VLOOKUP(T134,통합목록!$Q$4:$T$310,4,0)</f>
        <v>명목상 외주업체 소속 근로자의 실질적 사업주 판단 기준</v>
      </c>
      <c r="L134" s="192" t="str">
        <f>VLOOKUP(T134,통합목록!$Q$4:$T$310,2,0)</f>
        <v>열기2-01.노동법\02.문제\[기출][1][2020-1-1]명목상 외주업체 소속 근로자의 실질적 사업주 판단 기준.txt</v>
      </c>
      <c r="M134" s="192" t="s">
        <v>1234</v>
      </c>
      <c r="N134" s="193"/>
      <c r="O134" s="192" t="str">
        <f t="shared" si="25"/>
        <v>제09장 비정규근로자&gt;03&gt;1-1&gt;</v>
      </c>
      <c r="P134" s="192" t="str">
        <f t="shared" si="26"/>
        <v>제09장 비정규근로자&gt;제03절 파견근로자&gt;02</v>
      </c>
      <c r="Q134" s="192" t="str">
        <f t="shared" si="27"/>
        <v>1&gt;기출&gt;2020&gt;3</v>
      </c>
      <c r="R134" s="192" t="str">
        <f t="shared" si="28"/>
        <v>1&gt;기출&gt;2020&gt;1-1</v>
      </c>
      <c r="S134" s="3"/>
      <c r="T134" s="3" t="str">
        <f t="shared" si="29"/>
        <v>2020-1-1-1</v>
      </c>
    </row>
    <row r="135" spans="2:20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tr">
        <f>VLOOKUP(T135,통합목록!$Q$4:$T$310,4,0)</f>
        <v>통행료 수납원의 근로자파견 여부 및 무허가 파견에 따른 직접고용의무</v>
      </c>
      <c r="L135" s="192" t="str">
        <f>VLOOKUP(T135,통합목록!$Q$4:$T$310,2,0)</f>
        <v>열기2-01.노동법\02.문제\[기출][1][2020-1-2]통행료 수납원의 근로자파견 여부 및 무허가 파견에 따른 직접고용의무.txt</v>
      </c>
      <c r="M135" s="192" t="s">
        <v>1234</v>
      </c>
      <c r="N135" s="193"/>
      <c r="O135" s="192" t="str">
        <f t="shared" si="25"/>
        <v>제09장 비정규근로자&gt;04&gt;1-2&gt;</v>
      </c>
      <c r="P135" s="192" t="str">
        <f t="shared" si="26"/>
        <v>제09장 비정규근로자&gt;제03절 파견근로자&gt;03</v>
      </c>
      <c r="Q135" s="192" t="str">
        <f t="shared" si="27"/>
        <v>1&gt;기출&gt;2020&gt;2</v>
      </c>
      <c r="R135" s="192" t="str">
        <f t="shared" si="28"/>
        <v>1&gt;기출&gt;2020&gt;1-2</v>
      </c>
      <c r="S135" s="3"/>
      <c r="T135" s="3" t="str">
        <f t="shared" si="29"/>
        <v>2020-1-2-1</v>
      </c>
    </row>
    <row r="136" spans="2:20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1601</v>
      </c>
      <c r="H136" s="190" t="s">
        <v>415</v>
      </c>
      <c r="I136" s="352" t="s">
        <v>439</v>
      </c>
      <c r="J136" s="190" t="s">
        <v>415</v>
      </c>
      <c r="K136" s="191" t="str">
        <f>VLOOKUP(T136,통합목록!$Q$4:$T$310,4,0)</f>
        <v>산업재해보상보험법상 2차 회식의 업무상 재해 인정 여부</v>
      </c>
      <c r="L136" s="192" t="str">
        <f>VLOOKUP(T136,통합목록!$Q$4:$T$310,2,0)</f>
        <v>열기2-01.노동법\02.문제\[기출][1][2020-2]산업재해보상보험법상 2차 회식의 업무상 재해 인정 여부.txt</v>
      </c>
      <c r="M136" s="192" t="s">
        <v>1234</v>
      </c>
      <c r="N136" s="193"/>
      <c r="O136" s="192" t="str">
        <f t="shared" si="25"/>
        <v>제10장 업무상 재해 등&gt;01&gt;2&gt;</v>
      </c>
      <c r="P136" s="192" t="str">
        <f t="shared" si="26"/>
        <v>제10장 업무상 재해 등&gt;제01절 업무상 재해&gt;01</v>
      </c>
      <c r="Q136" s="192" t="str">
        <f t="shared" si="27"/>
        <v>1&gt;기출&gt;2020&gt;1</v>
      </c>
      <c r="R136" s="192" t="str">
        <f t="shared" si="28"/>
        <v>1&gt;기출&gt;2020&gt;2</v>
      </c>
      <c r="S136" s="3"/>
      <c r="T136" s="3" t="str">
        <f t="shared" si="29"/>
        <v>2020-2-1</v>
      </c>
    </row>
    <row r="137" spans="2:20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tr">
        <f>VLOOKUP(T137,통합목록!$Q$4:$T$310,4,0)</f>
        <v>경영상 이유에 의한 해고 대상자 선정 기준의 위법성</v>
      </c>
      <c r="L137" s="192" t="str">
        <f>VLOOKUP(T137,통합목록!$Q$4:$T$310,2,0)</f>
        <v>열기2-01.노동법\02.문제\[기출][1][2019-1-1]경영상 이유에 의한 해고 대상자 선정 기준의 위법성.txt</v>
      </c>
      <c r="M137" s="192" t="s">
        <v>1234</v>
      </c>
      <c r="N137" s="193"/>
      <c r="O137" s="192" t="str">
        <f t="shared" si="25"/>
        <v>제08장 근로관계의 종료&gt;09&gt;1-1&gt;</v>
      </c>
      <c r="P137" s="192" t="str">
        <f t="shared" si="26"/>
        <v>제08장 근로관계의 종료&gt;제02절 해고의 실체적 정당성&gt;06</v>
      </c>
      <c r="Q137" s="192" t="str">
        <f t="shared" si="27"/>
        <v>1&gt;기출&gt;2019&gt;4</v>
      </c>
      <c r="R137" s="192" t="str">
        <f t="shared" si="28"/>
        <v>1&gt;기출&gt;2019&gt;1-1</v>
      </c>
      <c r="S137" s="3"/>
      <c r="T137" s="3" t="str">
        <f t="shared" si="29"/>
        <v>2019-1-1-1</v>
      </c>
    </row>
    <row r="138" spans="2:20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tr">
        <f>VLOOKUP(T138,통합목록!$Q$4:$T$310,4,0)</f>
        <v>중도 퇴사자 대상 사이닝보너스 반환 청구의 타당성</v>
      </c>
      <c r="L138" s="192" t="str">
        <f>VLOOKUP(T138,통합목록!$Q$4:$T$310,2,0)</f>
        <v>열기2-01.노동법\02.문제\[기출][1][2019-1-2]중도 퇴사자 대상 사이닝보너스 반환 청구의 타당성.txt</v>
      </c>
      <c r="M138" s="192" t="s">
        <v>1234</v>
      </c>
      <c r="N138" s="193"/>
      <c r="O138" s="192" t="str">
        <f t="shared" si="25"/>
        <v>제02장 근로관계의 성립&gt;01&gt;1-2&gt;</v>
      </c>
      <c r="P138" s="192" t="str">
        <f t="shared" si="26"/>
        <v>제02장 근로관계의 성립&gt;제02절 근로계약의 체결&gt;01</v>
      </c>
      <c r="Q138" s="192" t="str">
        <f t="shared" si="27"/>
        <v>1&gt;기출&gt;2019&gt;3</v>
      </c>
      <c r="R138" s="192" t="str">
        <f t="shared" si="28"/>
        <v>1&gt;기출&gt;2019&gt;1-2</v>
      </c>
      <c r="S138" s="3"/>
      <c r="T138" s="3" t="str">
        <f t="shared" si="29"/>
        <v>2019-1-2-1</v>
      </c>
    </row>
    <row r="139" spans="2:20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tr">
        <f>VLOOKUP(T139,통합목록!$Q$4:$T$310,4,0)</f>
        <v>임금채권 양수자의 청구에 대한 사용자의 지급 의무</v>
      </c>
      <c r="L139" s="192" t="str">
        <f>VLOOKUP(T139,통합목록!$Q$4:$T$310,2,0)</f>
        <v>열기2-01.노동법\02.문제\[기출][1][2019-2]임금채권 양수자의 청구에 대한 사용자의 지급 의무.txt</v>
      </c>
      <c r="M139" s="192" t="s">
        <v>1234</v>
      </c>
      <c r="N139" s="193"/>
      <c r="O139" s="192" t="str">
        <f t="shared" si="25"/>
        <v>제03장 임금&gt;02&gt;2&gt;</v>
      </c>
      <c r="P139" s="192" t="str">
        <f t="shared" si="26"/>
        <v>제03장 임금&gt;제04절 임금지급의 원칙&gt;01</v>
      </c>
      <c r="Q139" s="192" t="str">
        <f t="shared" si="27"/>
        <v>1&gt;기출&gt;2019&gt;1</v>
      </c>
      <c r="R139" s="192" t="str">
        <f t="shared" si="28"/>
        <v>1&gt;기출&gt;2019&gt;2</v>
      </c>
      <c r="S139" s="3"/>
      <c r="T139" s="3" t="str">
        <f t="shared" si="29"/>
        <v>2019-2-1</v>
      </c>
    </row>
    <row r="140" spans="2:20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1478</v>
      </c>
      <c r="H140" s="190" t="s">
        <v>430</v>
      </c>
      <c r="I140" s="352" t="s">
        <v>1426</v>
      </c>
      <c r="J140" s="190" t="s">
        <v>415</v>
      </c>
      <c r="K140" s="191" t="str">
        <f>VLOOKUP(T140,통합목록!$Q$4:$T$310,4,0)</f>
        <v>제조업체와 판매용역계약을 체결한 백화점 판매원의 근로기준법상 근로자 해당 여부</v>
      </c>
      <c r="L140" s="192" t="str">
        <f>VLOOKUP(T140,통합목록!$Q$4:$T$310,2,0)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1234</v>
      </c>
      <c r="N140" s="193"/>
      <c r="O140" s="192" t="str">
        <f t="shared" si="25"/>
        <v>제01장 노동법 총론&gt;04&gt;1-1&gt;</v>
      </c>
      <c r="P140" s="192" t="str">
        <f t="shared" si="26"/>
        <v>제01장 노동법 총론&gt;제04절 근로기준법상 근로자&gt;01</v>
      </c>
      <c r="Q140" s="192" t="str">
        <f t="shared" si="27"/>
        <v>1&gt;기출&gt;2018&gt;3</v>
      </c>
      <c r="R140" s="192" t="str">
        <f t="shared" si="28"/>
        <v>1&gt;기출&gt;2018&gt;1-1</v>
      </c>
      <c r="T140" s="3" t="str">
        <f t="shared" si="29"/>
        <v>2018-1-1-1</v>
      </c>
    </row>
    <row r="141" spans="2:20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tr">
        <f>VLOOKUP(T141,통합목록!$Q$4:$T$310,4,0)</f>
        <v>판매용역계약을 체결한 판매원이 지급받은 수수료의 통상임금 해당 여부</v>
      </c>
      <c r="L141" s="192" t="str">
        <f>VLOOKUP(T141,통합목록!$Q$4:$T$310,2,0)</f>
        <v>열기2-01.노동법\02.문제\[기출][1][2018-1-2]판매용역계약을 체결한 판매원이 지급받은 수수료의 통상임금 해당 여부.txt</v>
      </c>
      <c r="M141" s="192" t="s">
        <v>1234</v>
      </c>
      <c r="N141" s="193"/>
      <c r="O141" s="192" t="str">
        <f t="shared" si="25"/>
        <v>제03장 임금&gt;03&gt;1-2&gt;</v>
      </c>
      <c r="P141" s="192" t="str">
        <f t="shared" si="26"/>
        <v>제03장 임금&gt;제03절 통상임금&gt;02</v>
      </c>
      <c r="Q141" s="192" t="str">
        <f t="shared" si="27"/>
        <v>1&gt;기출&gt;2018&gt;2</v>
      </c>
      <c r="R141" s="192" t="str">
        <f t="shared" si="28"/>
        <v>1&gt;기출&gt;2018&gt;1-2</v>
      </c>
      <c r="T141" s="3" t="str">
        <f t="shared" si="29"/>
        <v>2018-1-2-1</v>
      </c>
    </row>
    <row r="142" spans="2:20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1440</v>
      </c>
      <c r="J142" s="190" t="s">
        <v>417</v>
      </c>
      <c r="K142" s="191" t="str">
        <f>VLOOKUP(T142,통합목록!$Q$4:$T$310,4,0)</f>
        <v>기간제 근로계약 만료 시 사용자의 갱신거절이 부당해고에 해당하는지에 관한 판례법리</v>
      </c>
      <c r="L142" s="192" t="str">
        <f>VLOOKUP(T142,통합목록!$Q$4:$T$310,2,0)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1234</v>
      </c>
      <c r="N142" s="193"/>
      <c r="O142" s="192" t="str">
        <f t="shared" si="25"/>
        <v>제09장 비정규근로자&gt;05&gt;2&gt;</v>
      </c>
      <c r="P142" s="192" t="str">
        <f t="shared" si="26"/>
        <v>제09장 비정규근로자&gt;제01절 기간제근로자&gt;02</v>
      </c>
      <c r="Q142" s="192" t="str">
        <f t="shared" si="27"/>
        <v>1&gt;기출&gt;2018&gt;1</v>
      </c>
      <c r="R142" s="192" t="str">
        <f t="shared" si="28"/>
        <v>1&gt;기출&gt;2018&gt;2</v>
      </c>
      <c r="T142" s="3" t="str">
        <f t="shared" si="29"/>
        <v>2018-2-1</v>
      </c>
    </row>
    <row r="143" spans="2:20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tr">
        <f>VLOOKUP(T143,통합목록!$Q$4:$T$310,4,0)</f>
        <v>확정되지 않은 징계사유로 단행된 해고의 정당성</v>
      </c>
      <c r="L143" s="192" t="str">
        <f>VLOOKUP(T143,통합목록!$Q$4:$T$310,2,0)</f>
        <v>열기2-01.노동법\02.문제\[기출][1][2017-1-1]확정되지 않은 징계사유로 단행된 해고의 정당성.txt</v>
      </c>
      <c r="M143" s="192" t="s">
        <v>1234</v>
      </c>
      <c r="N143" s="193"/>
      <c r="O143" s="192" t="str">
        <f t="shared" si="25"/>
        <v>제08장 근로관계의 종료&gt;10&gt;1-1&gt;</v>
      </c>
      <c r="P143" s="192" t="str">
        <f t="shared" si="26"/>
        <v>제08장 근로관계의 종료&gt;제02절 해고의 실체적 정당성&gt;07</v>
      </c>
      <c r="Q143" s="192" t="str">
        <f t="shared" si="27"/>
        <v>1&gt;기출&gt;2017&gt;3</v>
      </c>
      <c r="R143" s="192" t="str">
        <f t="shared" si="28"/>
        <v>1&gt;기출&gt;2017&gt;1-1</v>
      </c>
      <c r="T143" s="3" t="str">
        <f t="shared" si="29"/>
        <v>2017-1-1-1</v>
      </c>
    </row>
    <row r="144" spans="2:20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1382</v>
      </c>
      <c r="H144" s="190" t="s">
        <v>426</v>
      </c>
      <c r="I144" s="353" t="s">
        <v>1459</v>
      </c>
      <c r="J144" s="190" t="s">
        <v>415</v>
      </c>
      <c r="K144" s="191" t="str">
        <f>VLOOKUP(T144,통합목록!$Q$4:$T$310,4,0)</f>
        <v>매월 균분하여 지급받은 퇴직금 분할 약정의 효력</v>
      </c>
      <c r="L144" s="192" t="str">
        <f>VLOOKUP(T144,통합목록!$Q$4:$T$310,2,0)</f>
        <v>열기2-01.노동법\02.문제\[기출][1][2017-1-2]매월 균분하여 지급받은 퇴직금 분할 약정의 효력.txt</v>
      </c>
      <c r="M144" s="192" t="s">
        <v>1234</v>
      </c>
      <c r="N144" s="193"/>
      <c r="O144" s="192" t="str">
        <f t="shared" si="25"/>
        <v>제16장 부속법령&gt;03&gt;1-2&gt;</v>
      </c>
      <c r="P144" s="192" t="str">
        <f t="shared" si="26"/>
        <v>제16장 부속법령&gt;제12절 근퇴법&gt;01</v>
      </c>
      <c r="Q144" s="192" t="str">
        <f t="shared" si="27"/>
        <v>1&gt;기출&gt;2017&gt;2</v>
      </c>
      <c r="R144" s="192" t="str">
        <f t="shared" si="28"/>
        <v>1&gt;기출&gt;2017&gt;1-2</v>
      </c>
      <c r="T144" s="3" t="str">
        <f t="shared" si="29"/>
        <v>2017-1-2-1</v>
      </c>
    </row>
    <row r="145" spans="2:20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1488</v>
      </c>
      <c r="J145" s="190" t="s">
        <v>415</v>
      </c>
      <c r="K145" s="191" t="str">
        <f>VLOOKUP(T145,통합목록!$Q$4:$T$310,4,0)</f>
        <v>계약직에서 정규직으로 전환된 근로자에 대한 경력 인정 차별의 정당성 여부</v>
      </c>
      <c r="L145" s="192" t="str">
        <f>VLOOKUP(T145,통합목록!$Q$4:$T$310,2,0)</f>
        <v>열기2-01.노동법\02.문제\[기출][1][2017-2]계약직에서 정규직으로 전환된 근로자에 대한 경력 인정 차별의 정당성 여부.txt</v>
      </c>
      <c r="M145" s="192" t="s">
        <v>1234</v>
      </c>
      <c r="N145" s="193"/>
      <c r="O145" s="192" t="str">
        <f t="shared" si="25"/>
        <v>제09장 비정규근로자&gt;06&gt;2&gt;</v>
      </c>
      <c r="P145" s="192" t="str">
        <f t="shared" si="26"/>
        <v>제09장 비정규근로자&gt;제04절 차별 시정&gt;01</v>
      </c>
      <c r="Q145" s="192" t="str">
        <f t="shared" si="27"/>
        <v>1&gt;기출&gt;2017&gt;1</v>
      </c>
      <c r="R145" s="192" t="str">
        <f t="shared" si="28"/>
        <v>1&gt;기출&gt;2017&gt;2</v>
      </c>
      <c r="T145" s="3" t="str">
        <f t="shared" si="29"/>
        <v>2017-2-1</v>
      </c>
    </row>
    <row r="146" spans="2:20" ht="14.45" customHeight="1" x14ac:dyDescent="0.2">
      <c r="B146" s="188">
        <f t="shared" si="24"/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tr">
        <f>VLOOKUP(T146,통합목록!$Q$4:$T$310,4,0)</f>
        <v>적법한 파업 참가 근로자의 출근율 및 연차유급휴가 일수 산정 방식과 회사 주장의 정당성</v>
      </c>
      <c r="L146" s="192" t="str">
        <f>VLOOKUP(T146,통합목록!$Q$4:$T$310,2,0)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1234</v>
      </c>
      <c r="N146" s="193"/>
      <c r="O146" s="192" t="str">
        <f t="shared" si="25"/>
        <v>제04장 근로시간&gt;01&gt;1-1&gt;</v>
      </c>
      <c r="P146" s="192" t="str">
        <f t="shared" si="26"/>
        <v>제04장 근로시간&gt;제06절 연차유급휴가&gt;01</v>
      </c>
      <c r="Q146" s="192" t="str">
        <f t="shared" si="27"/>
        <v>1&gt;기출&gt;2016&gt;4</v>
      </c>
      <c r="R146" s="192" t="str">
        <f t="shared" si="28"/>
        <v>1&gt;기출&gt;2016&gt;1-1</v>
      </c>
      <c r="T146" s="3" t="str">
        <f t="shared" si="29"/>
        <v>2016-1-1-1</v>
      </c>
    </row>
    <row r="147" spans="2:20" ht="14.45" customHeight="1" x14ac:dyDescent="0.2">
      <c r="B147" s="188">
        <f t="shared" si="24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tr">
        <f>VLOOKUP(T147,통합목록!$Q$4:$T$310,4,0)</f>
        <v>이력서 허위 기재를 근거로 한 해고의 정당성</v>
      </c>
      <c r="L147" s="192" t="str">
        <f>VLOOKUP(T147,통합목록!$Q$4:$T$310,2,0)</f>
        <v>열기2-01.노동법\02.문제\[기출][1][2016-1-2]이력서 허위 기재를 근거로 한 해고의 정당성.txt</v>
      </c>
      <c r="M147" s="192" t="s">
        <v>1234</v>
      </c>
      <c r="N147" s="193"/>
      <c r="O147" s="192" t="str">
        <f t="shared" si="25"/>
        <v>제08장 근로관계의 종료&gt;11&gt;1-2&gt;</v>
      </c>
      <c r="P147" s="192" t="str">
        <f t="shared" si="26"/>
        <v>제08장 근로관계의 종료&gt;제02절 해고의 실체적 정당성&gt;08</v>
      </c>
      <c r="Q147" s="192" t="str">
        <f t="shared" si="27"/>
        <v>1&gt;기출&gt;2016&gt;3</v>
      </c>
      <c r="R147" s="192" t="str">
        <f t="shared" si="28"/>
        <v>1&gt;기출&gt;2016&gt;1-2</v>
      </c>
      <c r="T147" s="3" t="str">
        <f t="shared" si="29"/>
        <v>2016-1-2-1</v>
      </c>
    </row>
    <row r="148" spans="2:20" ht="14.45" customHeight="1" x14ac:dyDescent="0.2">
      <c r="B148" s="188">
        <f t="shared" si="24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tr">
        <f>VLOOKUP(T148,통합목록!$Q$4:$T$310,4,0)</f>
        <v>시용기간 만료 시 본채용 거부의 해고 여부 및 구두 통보의 정당성</v>
      </c>
      <c r="L148" s="192" t="str">
        <f>VLOOKUP(T148,통합목록!$Q$4:$T$310,2,0)</f>
        <v>열기2-01.노동법\02.문제\[기출][1][2016-2]시용기간 만료 시 본채용 거부의 해고 여부 및 구두 통보의 정당성.txt</v>
      </c>
      <c r="M148" s="192" t="s">
        <v>1234</v>
      </c>
      <c r="N148" s="193"/>
      <c r="O148" s="192" t="str">
        <f t="shared" si="25"/>
        <v>제02장 근로관계의 성립&gt;02&gt;2&gt;</v>
      </c>
      <c r="P148" s="192" t="str">
        <f t="shared" si="26"/>
        <v>제02장 근로관계의 성립&gt;제03절 근로계약과 근로관계&gt;01</v>
      </c>
      <c r="Q148" s="192" t="str">
        <f t="shared" si="27"/>
        <v>1&gt;기출&gt;2016&gt;2</v>
      </c>
      <c r="R148" s="192" t="str">
        <f t="shared" si="28"/>
        <v>1&gt;기출&gt;2016&gt;2</v>
      </c>
      <c r="T148" s="3" t="str">
        <f t="shared" si="29"/>
        <v>2016-2-1</v>
      </c>
    </row>
    <row r="149" spans="2:20" ht="14.45" customHeight="1" x14ac:dyDescent="0.2">
      <c r="B149" s="188">
        <f t="shared" si="24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1833</v>
      </c>
      <c r="H149" s="190" t="s">
        <v>465</v>
      </c>
      <c r="I149" s="352" t="s">
        <v>1837</v>
      </c>
      <c r="J149" s="190" t="s">
        <v>417</v>
      </c>
      <c r="K149" s="191" t="str">
        <f>VLOOKUP(T149,통합목록!$Q$4:$T$310,4,0)</f>
        <v>시용기간 만료 시 본채용 거부의 해고 여부 및 구두 통보의 정당성</v>
      </c>
      <c r="L149" s="192" t="str">
        <f>VLOOKUP(T149,통합목록!$Q$4:$T$310,2,0)</f>
        <v>열기2-01.노동법\02.문제\[기출][1][2016-2]시용기간 만료 시 본채용 거부의 해고 여부 및 구두 통보의 정당성.txt</v>
      </c>
      <c r="M149" s="192" t="s">
        <v>1234</v>
      </c>
      <c r="N149" s="193"/>
      <c r="O149" s="192" t="str">
        <f t="shared" si="25"/>
        <v>제08장 근로관계의 종료&gt;12&gt;2&gt;</v>
      </c>
      <c r="P149" s="192" t="str">
        <f t="shared" si="26"/>
        <v>제08장 근로관계의 종료&gt;제03절 해고의 절차적 정당성&gt;02</v>
      </c>
      <c r="Q149" s="192" t="str">
        <f t="shared" si="27"/>
        <v>1&gt;기출&gt;2016&gt;1</v>
      </c>
      <c r="R149" s="192" t="str">
        <f t="shared" si="28"/>
        <v>1&gt;기출&gt;2016&gt;2</v>
      </c>
      <c r="T149" s="3" t="str">
        <f t="shared" si="29"/>
        <v>2016-2-1</v>
      </c>
    </row>
    <row r="150" spans="2:20" ht="14.45" customHeight="1" x14ac:dyDescent="0.2">
      <c r="B150" s="188">
        <f t="shared" si="24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tr">
        <f>VLOOKUP(T150,통합목록!$Q$4:$T$310,4,0)</f>
        <v>노동조합 동의 없이 개별 근로자의 동의로 변경한 인사규정의 효력</v>
      </c>
      <c r="L150" s="192" t="str">
        <f>VLOOKUP(T150,통합목록!$Q$4:$T$310,2,0)</f>
        <v>열기2-01.노동법\02.문제\[기출][1][2015-1-i]노동조합 동의 없이 개별 근로자의 동의로 변경한 인사규정의 효력.txt</v>
      </c>
      <c r="M150" s="192" t="s">
        <v>1234</v>
      </c>
      <c r="N150" s="193"/>
      <c r="O150" s="192" t="str">
        <f t="shared" si="25"/>
        <v>제05장 취업규칙&gt;03&gt;1-i&gt;</v>
      </c>
      <c r="P150" s="192" t="str">
        <f t="shared" si="26"/>
        <v>제05장 취업규칙&gt;제02절 취업규칙의 변경&gt;03</v>
      </c>
      <c r="Q150" s="192" t="str">
        <f t="shared" si="27"/>
        <v>1&gt;기출&gt;2015&gt;3</v>
      </c>
      <c r="R150" s="192" t="str">
        <f t="shared" si="28"/>
        <v>1&gt;기출&gt;2015&gt;1-i</v>
      </c>
      <c r="T150" s="3" t="str">
        <f t="shared" si="29"/>
        <v>2015-1-i-1</v>
      </c>
    </row>
    <row r="151" spans="2:20" ht="14.45" customHeight="1" x14ac:dyDescent="0.2">
      <c r="B151" s="188">
        <f t="shared" si="24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tr">
        <f>VLOOKUP(T151,통합목록!$Q$4:$T$310,4,0)</f>
        <v>노동조합 동의 없이 개별 근로자의 동의로 변경한 인사규정을 근거로 한 휴직 명령 유지의 정당성</v>
      </c>
      <c r="L151" s="192" t="str">
        <f>VLOOKUP(T151,통합목록!$Q$4:$T$310,2,0)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1234</v>
      </c>
      <c r="N151" s="193"/>
      <c r="O151" s="192" t="str">
        <f t="shared" si="25"/>
        <v>제06장 인사처분&gt;02&gt;1-ii&gt;</v>
      </c>
      <c r="P151" s="192" t="str">
        <f t="shared" si="26"/>
        <v>제06장 인사처분&gt;제04절 휴직&gt;01</v>
      </c>
      <c r="Q151" s="192" t="str">
        <f t="shared" si="27"/>
        <v>1&gt;기출&gt;2015&gt;2</v>
      </c>
      <c r="R151" s="192" t="str">
        <f t="shared" si="28"/>
        <v>1&gt;기출&gt;2015&gt;1-ii</v>
      </c>
      <c r="T151" s="3" t="str">
        <f t="shared" si="29"/>
        <v>2015-1-ii-1</v>
      </c>
    </row>
    <row r="152" spans="2:20" ht="14.45" customHeight="1" x14ac:dyDescent="0.2">
      <c r="B152" s="188">
        <f t="shared" si="24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tr">
        <f>VLOOKUP(T152,통합목록!$Q$4:$T$310,4,0)</f>
        <v>회사분할에 따른 근로관계 승계 시 개별 근로자의 거부권 행사 가능 여부</v>
      </c>
      <c r="L152" s="192" t="str">
        <f>VLOOKUP(T152,통합목록!$Q$4:$T$310,2,0)</f>
        <v>열기2-01.노동법\02.문제\[기출][1][2015-2]회사분할에 따른 근로관계 승계 시 개별 근로자의 거부권 행사 가능 여부.txt</v>
      </c>
      <c r="M152" s="192" t="s">
        <v>1234</v>
      </c>
      <c r="N152" s="193"/>
      <c r="O152" s="192" t="str">
        <f t="shared" si="25"/>
        <v>제07장 근로관계의 이전&gt;02&gt;2&gt;</v>
      </c>
      <c r="P152" s="192" t="str">
        <f t="shared" si="26"/>
        <v>제07장 근로관계의 이전&gt;제03절 분할&gt;01</v>
      </c>
      <c r="Q152" s="192" t="str">
        <f t="shared" si="27"/>
        <v>1&gt;기출&gt;2015&gt;1</v>
      </c>
      <c r="R152" s="192" t="str">
        <f t="shared" si="28"/>
        <v>1&gt;기출&gt;2015&gt;2</v>
      </c>
      <c r="T152" s="3" t="str">
        <f t="shared" si="29"/>
        <v>2015-2-1</v>
      </c>
    </row>
    <row r="153" spans="2:20" ht="14.45" customHeight="1" x14ac:dyDescent="0.2">
      <c r="B153" s="188">
        <f t="shared" si="24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1486</v>
      </c>
      <c r="J153" s="190" t="s">
        <v>415</v>
      </c>
      <c r="K153" s="191" t="str">
        <f>VLOOKUP(T153,통합목록!$Q$4:$T$310,4,0)</f>
        <v>근무성적 불량 직원에 대한 직위해제・대기발령 처분의 정당성</v>
      </c>
      <c r="L153" s="192" t="str">
        <f>VLOOKUP(T153,통합목록!$Q$4:$T$310,2,0)</f>
        <v>열기2-01.노동법\02.문제\[기출][1][2014-1-1]근무성적 불량 직원에 대한 직위해제・대기발령 처분의 정당성.txt</v>
      </c>
      <c r="M153" s="192" t="s">
        <v>1234</v>
      </c>
      <c r="N153" s="193"/>
      <c r="O153" s="192" t="str">
        <f t="shared" si="25"/>
        <v>제06장 인사처분&gt;03&gt;1-1&gt;</v>
      </c>
      <c r="P153" s="192" t="str">
        <f t="shared" si="26"/>
        <v>제06장 인사처분&gt;제06절 직위해제0(대기발령)&gt;01</v>
      </c>
      <c r="Q153" s="192" t="str">
        <f t="shared" si="27"/>
        <v>1&gt;기출&gt;2014&gt;3</v>
      </c>
      <c r="R153" s="192" t="str">
        <f t="shared" si="28"/>
        <v>1&gt;기출&gt;2014&gt;1-1</v>
      </c>
      <c r="T153" s="3" t="str">
        <f t="shared" si="29"/>
        <v>2014-1-1-1</v>
      </c>
    </row>
    <row r="154" spans="2:20" ht="14.45" customHeight="1" x14ac:dyDescent="0.2">
      <c r="B154" s="188">
        <f t="shared" si="24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tr">
        <f>VLOOKUP(T154,통합목록!$Q$4:$T$310,4,0)</f>
        <v>직위해제 및 대기발령 이후 재발령 없이 당연퇴직된 처분의 정당성</v>
      </c>
      <c r="L154" s="192" t="str">
        <f>VLOOKUP(T154,통합목록!$Q$4:$T$310,2,0)</f>
        <v>열기2-01.노동법\02.문제\[기출][1][2014-1-2]직위해제 및 대기발령 이후 재발령 없이 당연퇴직된 처분의 정당성.txt</v>
      </c>
      <c r="M154" s="192" t="s">
        <v>1234</v>
      </c>
      <c r="N154" s="193"/>
      <c r="O154" s="192" t="str">
        <f t="shared" si="25"/>
        <v>제08장 근로관계의 종료&gt;13&gt;1-2&gt;</v>
      </c>
      <c r="P154" s="192" t="str">
        <f t="shared" si="26"/>
        <v>제08장 근로관계의 종료&gt;제02절 해고의 실체적 정당성&gt;09</v>
      </c>
      <c r="Q154" s="192" t="str">
        <f t="shared" si="27"/>
        <v>1&gt;기출&gt;2014&gt;2</v>
      </c>
      <c r="R154" s="192" t="str">
        <f t="shared" si="28"/>
        <v>1&gt;기출&gt;2014&gt;1-2</v>
      </c>
      <c r="T154" s="3" t="str">
        <f t="shared" si="29"/>
        <v>2014-1-2-1</v>
      </c>
    </row>
    <row r="155" spans="2:20" ht="14.45" customHeight="1" x14ac:dyDescent="0.2">
      <c r="B155" s="188">
        <f t="shared" si="24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tr">
        <f>VLOOKUP(T155,통합목록!$Q$4:$T$310,4,0)</f>
        <v>근로자의 임금채권과 사용자의 채권 간 상계 가능성</v>
      </c>
      <c r="L155" s="192" t="str">
        <f>VLOOKUP(T155,통합목록!$Q$4:$T$310,2,0)</f>
        <v>열기2-01.노동법\02.문제\[기출][1][2014-2]근로자의 임금채권과 사용자의 채권 간 상계 가능성.txt</v>
      </c>
      <c r="M155" s="192" t="s">
        <v>1234</v>
      </c>
      <c r="N155" s="193"/>
      <c r="O155" s="192" t="str">
        <f t="shared" si="25"/>
        <v>제03장 임금&gt;04&gt;2&gt;</v>
      </c>
      <c r="P155" s="192" t="str">
        <f t="shared" si="26"/>
        <v>제03장 임금&gt;제04절 임금지급의 원칙&gt;02</v>
      </c>
      <c r="Q155" s="192" t="str">
        <f t="shared" si="27"/>
        <v>1&gt;기출&gt;2014&gt;1</v>
      </c>
      <c r="R155" s="192" t="str">
        <f t="shared" si="28"/>
        <v>1&gt;기출&gt;2014&gt;2</v>
      </c>
      <c r="T155" s="3" t="str">
        <f t="shared" si="29"/>
        <v>2014-2-1</v>
      </c>
    </row>
    <row r="156" spans="2:20" ht="14.45" customHeight="1" x14ac:dyDescent="0.2">
      <c r="B156" s="188">
        <f t="shared" si="24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tr">
        <f>VLOOKUP(T156,통합목록!$Q$4:$T$310,4,0)</f>
        <v>노사협의회 의결을 거친 인사규정(취업규칙) 변경의 효력</v>
      </c>
      <c r="L156" s="192" t="str">
        <f>VLOOKUP(T156,통합목록!$Q$4:$T$310,2,0)</f>
        <v>열기2-01.노동법\02.문제\[기출][1][2013-1-1]노사협의회 의결을 거친 인사규정(취업규칙) 변경의 효력.txt</v>
      </c>
      <c r="M156" s="192" t="s">
        <v>1234</v>
      </c>
      <c r="N156" s="193"/>
      <c r="O156" s="192" t="str">
        <f t="shared" si="25"/>
        <v>제05장 취업규칙&gt;04&gt;1-1&gt;</v>
      </c>
      <c r="P156" s="192" t="str">
        <f t="shared" si="26"/>
        <v>제05장 취업규칙&gt;제02절 취업규칙의 변경&gt;04</v>
      </c>
      <c r="Q156" s="192" t="str">
        <f t="shared" si="27"/>
        <v>1&gt;기출&gt;2013&gt;3</v>
      </c>
      <c r="R156" s="192" t="str">
        <f t="shared" si="28"/>
        <v>1&gt;기출&gt;2013&gt;1-1</v>
      </c>
      <c r="T156" s="3" t="str">
        <f t="shared" si="29"/>
        <v>2013-1-1-1</v>
      </c>
    </row>
    <row r="157" spans="2:20" ht="14.45" customHeight="1" x14ac:dyDescent="0.2">
      <c r="B157" s="188">
        <f t="shared" si="24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tr">
        <f>VLOOKUP(T157,통합목록!$Q$4:$T$310,4,0)</f>
        <v>노사협의회 의결을 거친 인사규정(취업규칙)을 근거로 한 퇴직 통보의 효력</v>
      </c>
      <c r="L157" s="192" t="str">
        <f>VLOOKUP(T157,통합목록!$Q$4:$T$310,2,0)</f>
        <v>열기2-01.노동법\02.문제\[기출][1][2013-1-2]노사협의회 의결을 거친 인사규정(취업규칙)을 근거로 한 퇴직 통보의 효력.txt</v>
      </c>
      <c r="M157" s="192" t="s">
        <v>1234</v>
      </c>
      <c r="N157" s="193"/>
      <c r="O157" s="192" t="str">
        <f t="shared" si="25"/>
        <v>제05장 취업규칙&gt;05&gt;1-2&gt;</v>
      </c>
      <c r="P157" s="192" t="str">
        <f t="shared" si="26"/>
        <v>제05장 취업규칙&gt;제02절 취업규칙의 변경&gt;05</v>
      </c>
      <c r="Q157" s="192" t="str">
        <f t="shared" si="27"/>
        <v>1&gt;기출&gt;2013&gt;2</v>
      </c>
      <c r="R157" s="192" t="str">
        <f t="shared" si="28"/>
        <v>1&gt;기출&gt;2013&gt;1-2</v>
      </c>
      <c r="T157" s="3" t="str">
        <f t="shared" si="29"/>
        <v>2013-1-2-1</v>
      </c>
    </row>
    <row r="158" spans="2:20" ht="14.45" customHeight="1" x14ac:dyDescent="0.2">
      <c r="B158" s="188">
        <f t="shared" si="24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tr">
        <f>VLOOKUP(T158,통합목록!$Q$4:$T$310,4,0)</f>
        <v>영업양도 상황에서 근로관계 승계 거부 시 회사와 근로자의 법률 관계</v>
      </c>
      <c r="L158" s="192" t="str">
        <f>VLOOKUP(T158,통합목록!$Q$4:$T$310,2,0)</f>
        <v>열기2-01.노동법\02.문제\[기출][1][2013-2]영업양도 상황에서 근로관계 승계 거부 시 회사와 근로자의 법률 관계.txt</v>
      </c>
      <c r="M158" s="192" t="s">
        <v>1234</v>
      </c>
      <c r="N158" s="193"/>
      <c r="O158" s="192" t="str">
        <f t="shared" si="25"/>
        <v>제07장 근로관계의 이전&gt;03&gt;2&gt;</v>
      </c>
      <c r="P158" s="192" t="str">
        <f t="shared" si="26"/>
        <v>제07장 근로관계의 이전&gt;제01절 영업양도&gt;02</v>
      </c>
      <c r="Q158" s="192" t="str">
        <f t="shared" si="27"/>
        <v>1&gt;기출&gt;2013&gt;1</v>
      </c>
      <c r="R158" s="192" t="str">
        <f t="shared" si="28"/>
        <v>1&gt;기출&gt;2013&gt;2</v>
      </c>
      <c r="T158" s="3" t="str">
        <f t="shared" si="29"/>
        <v>2013-2-1</v>
      </c>
    </row>
    <row r="159" spans="2:20" ht="14.45" customHeight="1" x14ac:dyDescent="0.2">
      <c r="B159" s="188">
        <f t="shared" si="24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tr">
        <f>VLOOKUP(T159,통합목록!$Q$4:$T$310,4,0)</f>
        <v>통상임금 범위를 규정한 취업규칙 조항의 효력</v>
      </c>
      <c r="L159" s="192" t="str">
        <f>VLOOKUP(T159,통합목록!$Q$4:$T$310,2,0)</f>
        <v>열기2-01.노동법\02.문제\[기출][1][2012-1-1]통상임금 범위를 규정한 취업규칙 조항의 효력.txt</v>
      </c>
      <c r="M159" s="192" t="s">
        <v>1234</v>
      </c>
      <c r="N159" s="193"/>
      <c r="O159" s="192" t="str">
        <f t="shared" si="25"/>
        <v>제03장 임금&gt;05&gt;1-1&gt;</v>
      </c>
      <c r="P159" s="192" t="str">
        <f t="shared" si="26"/>
        <v>제03장 임금&gt;제03절 통상임금&gt;03</v>
      </c>
      <c r="Q159" s="192" t="str">
        <f t="shared" si="27"/>
        <v>1&gt;기출&gt;2012&gt;3</v>
      </c>
      <c r="R159" s="192" t="str">
        <f t="shared" si="28"/>
        <v>1&gt;기출&gt;2012&gt;1-1</v>
      </c>
      <c r="T159" s="3" t="str">
        <f t="shared" si="29"/>
        <v>2012-1-1-1</v>
      </c>
    </row>
    <row r="160" spans="2:20" ht="14.45" customHeight="1" x14ac:dyDescent="0.2">
      <c r="B160" s="188">
        <f t="shared" si="24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443</v>
      </c>
      <c r="H160" s="190" t="s">
        <v>435</v>
      </c>
      <c r="I160" s="352" t="s">
        <v>433</v>
      </c>
      <c r="J160" s="190" t="s">
        <v>430</v>
      </c>
      <c r="K160" s="191" t="str">
        <f>VLOOKUP(T160,통합목록!$Q$4:$T$310,4,0)</f>
        <v>부당해고기간 중 지급받지 못한 개근 표창의 청구 가능성</v>
      </c>
      <c r="L160" s="192" t="str">
        <f>VLOOKUP(T160,통합목록!$Q$4:$T$310,2,0)</f>
        <v>열기2-01.노동법\02.문제\[기출][1][2012-1-2]부당해고기간 중 지급받지 못한 개근 표창의 청구 가능성.txt</v>
      </c>
      <c r="M160" s="192" t="s">
        <v>1234</v>
      </c>
      <c r="N160" s="193" t="s">
        <v>1721</v>
      </c>
      <c r="O160" s="192" t="str">
        <f t="shared" si="25"/>
        <v>제03장 임금&gt;06&gt;1-2&gt;보충 포함</v>
      </c>
      <c r="P160" s="192" t="str">
        <f t="shared" si="26"/>
        <v>제03장 임금&gt;제03절 통상임금&gt;04</v>
      </c>
      <c r="Q160" s="192" t="str">
        <f t="shared" si="27"/>
        <v>1&gt;기출&gt;2012&gt;2</v>
      </c>
      <c r="R160" s="192" t="str">
        <f t="shared" si="28"/>
        <v>1&gt;기출&gt;2012&gt;1-2</v>
      </c>
      <c r="T160" s="3" t="str">
        <f t="shared" si="29"/>
        <v>2012-1-2-1</v>
      </c>
    </row>
    <row r="161" spans="2:20" ht="14.45" customHeight="1" x14ac:dyDescent="0.2">
      <c r="B161" s="188">
        <f t="shared" si="24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tr">
        <f>VLOOKUP(T161,통합목록!$Q$4:$T$310,4,0)</f>
        <v>중간착취의 배제 원칙의 의의, 요건, 중요성</v>
      </c>
      <c r="L161" s="192" t="str">
        <f>VLOOKUP(T161,통합목록!$Q$4:$T$310,2,0)</f>
        <v>열기2-01.노동법\02.문제\[기출][1][2012-2]중간착취의 배제 원칙의 의의, 요건, 중요성.txt</v>
      </c>
      <c r="M161" s="192" t="s">
        <v>1234</v>
      </c>
      <c r="N161" s="193"/>
      <c r="O161" s="192" t="str">
        <f t="shared" si="25"/>
        <v>제02장 근로관계의 성립&gt;03&gt;2&gt;</v>
      </c>
      <c r="P161" s="192" t="str">
        <f t="shared" si="26"/>
        <v>제02장 근로관계의 성립&gt;제01절 근로기준법의 기본원칙&gt;01</v>
      </c>
      <c r="Q161" s="192" t="str">
        <f t="shared" si="27"/>
        <v>1&gt;기출&gt;2012&gt;1</v>
      </c>
      <c r="R161" s="192" t="str">
        <f t="shared" si="28"/>
        <v>1&gt;기출&gt;2012&gt;2</v>
      </c>
      <c r="T161" s="3" t="str">
        <f t="shared" si="29"/>
        <v>2012-2-1</v>
      </c>
    </row>
    <row r="162" spans="2:20" ht="14.45" customHeight="1" x14ac:dyDescent="0.2">
      <c r="B162" s="188">
        <f t="shared" si="24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tr">
        <f>VLOOKUP(T162,통합목록!$Q$4:$T$310,4,0)</f>
        <v>포괄임금제의 의의, 유효요건, 유효성 판단 시 고려 사항</v>
      </c>
      <c r="L162" s="192" t="str">
        <f>VLOOKUP(T162,통합목록!$Q$4:$T$310,2,0)</f>
        <v>열기2-01.노동법\02.문제\[기출][1][2011-1]포괄임금제의 의의, 유효요건, 유효성 판단 시 고려 사항.txt</v>
      </c>
      <c r="M162" s="192" t="s">
        <v>1234</v>
      </c>
      <c r="N162" s="193"/>
      <c r="O162" s="192" t="str">
        <f t="shared" si="25"/>
        <v>제04장 근로시간&gt;02&gt;1&gt;</v>
      </c>
      <c r="P162" s="192" t="str">
        <f t="shared" si="26"/>
        <v>제04장 근로시간&gt;제03절 시간외근로&gt;01</v>
      </c>
      <c r="Q162" s="192" t="str">
        <f t="shared" si="27"/>
        <v>1&gt;기출&gt;2011&gt;4</v>
      </c>
      <c r="R162" s="192" t="str">
        <f t="shared" si="28"/>
        <v>1&gt;기출&gt;2011&gt;1</v>
      </c>
      <c r="T162" s="3" t="str">
        <f t="shared" si="29"/>
        <v>2011-1-1</v>
      </c>
    </row>
    <row r="163" spans="2:20" ht="14.45" customHeight="1" x14ac:dyDescent="0.2">
      <c r="B163" s="188">
        <f t="shared" si="24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430</v>
      </c>
      <c r="K163" s="191" t="str">
        <f>VLOOKUP(T163,통합목록!$Q$4:$T$310,4,0)</f>
        <v>기간제 근로자와 회사가 주장할 수 있는 해고 관련 노동법상 쟁점(해고의 절차 및 구제신청의 이익)</v>
      </c>
      <c r="L163" s="192" t="str">
        <f>VLOOKUP(T163,통합목록!$Q$4:$T$310,2,0)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1234</v>
      </c>
      <c r="N163" s="193"/>
      <c r="O163" s="192" t="str">
        <f t="shared" si="25"/>
        <v>제08장 근로관계의 종료&gt;15&gt;2&gt;</v>
      </c>
      <c r="P163" s="192" t="str">
        <f t="shared" si="26"/>
        <v>제08장 근로관계의 종료&gt;제03절 해고의 절차적 정당성&gt;04</v>
      </c>
      <c r="Q163" s="192" t="str">
        <f t="shared" si="27"/>
        <v>1&gt;기출&gt;2011&gt;3</v>
      </c>
      <c r="R163" s="192" t="str">
        <f t="shared" si="28"/>
        <v>1&gt;기출&gt;2011&gt;2</v>
      </c>
      <c r="T163" s="3" t="str">
        <f t="shared" si="29"/>
        <v>2011-2-1</v>
      </c>
    </row>
    <row r="164" spans="2:20" ht="14.45" customHeight="1" x14ac:dyDescent="0.2">
      <c r="B164" s="188">
        <f t="shared" ref="B164:B174" si="30">ROW()-3</f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1835</v>
      </c>
      <c r="H164" s="190" t="s">
        <v>440</v>
      </c>
      <c r="I164" s="352" t="s">
        <v>1838</v>
      </c>
      <c r="J164" s="190" t="s">
        <v>426</v>
      </c>
      <c r="K164" s="191" t="str">
        <f>VLOOKUP(T164,통합목록!$Q$4:$T$310,4,0)</f>
        <v>기간제 근로자와 회사가 주장할 수 있는 해고 관련 노동법상 쟁점(해고의 절차 및 구제신청의 이익)</v>
      </c>
      <c r="L164" s="192" t="str">
        <f>VLOOKUP(T164,통합목록!$Q$4:$T$310,2,0)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1234</v>
      </c>
      <c r="N164" s="193"/>
      <c r="O164" s="192" t="str">
        <f t="shared" ref="O164:O174" si="31">G164&amp;"&gt;"&amp;H164&amp;"&gt;"&amp;D164&amp;"&gt;"&amp;N164</f>
        <v>제09장 비정규근로자&gt;07&gt;2&gt;</v>
      </c>
      <c r="P164" s="192" t="str">
        <f t="shared" ref="P164:P174" si="32">G164&amp;"&gt;"&amp;I164&amp;"&gt;"&amp;J164</f>
        <v>제09장 비정규근로자&gt;제01절 기간제근로자&gt;03</v>
      </c>
      <c r="Q164" s="192" t="str">
        <f t="shared" ref="Q164:Q174" si="33">E164&amp;"&gt;"&amp;M164&amp;"&gt;"&amp;C164&amp;"&gt;"&amp;F164</f>
        <v>1&gt;기출&gt;2011&gt;2</v>
      </c>
      <c r="R164" s="192" t="str">
        <f t="shared" ref="R164:R174" si="34">E164&amp;"&gt;"&amp;M164&amp;"&gt;"&amp;C164&amp;"&gt;"&amp;D164</f>
        <v>1&gt;기출&gt;2011&gt;2</v>
      </c>
      <c r="T164" s="3" t="str">
        <f t="shared" ref="T164:T174" si="35">C164&amp;"-"&amp;D164&amp;"-"&amp;E164</f>
        <v>2011-2-1</v>
      </c>
    </row>
    <row r="165" spans="2:20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1825</v>
      </c>
      <c r="H165" s="190" t="s">
        <v>1397</v>
      </c>
      <c r="I165" s="352" t="s">
        <v>1839</v>
      </c>
      <c r="J165" s="190" t="s">
        <v>415</v>
      </c>
      <c r="K165" s="191" t="str">
        <f>VLOOKUP(T165,통합목록!$Q$4:$T$310,4,0)</f>
        <v>기간제 근로자와 회사가 주장할 수 있는 해고 관련 노동법상 쟁점(해고의 절차 및 구제신청의 이익)</v>
      </c>
      <c r="L165" s="192" t="str">
        <f>VLOOKUP(T165,통합목록!$Q$4:$T$310,2,0)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1234</v>
      </c>
      <c r="N165" s="193" t="s">
        <v>1554</v>
      </c>
      <c r="O165" s="192" t="str">
        <f t="shared" si="31"/>
        <v>제15장 부당노동행위&gt;12&gt;2&gt;보충(Ⅳ목차) 참조</v>
      </c>
      <c r="P165" s="192" t="str">
        <f t="shared" si="32"/>
        <v>제15장 부당노동행위&gt;제06절 부당노동행위에 대한 구제&gt;01</v>
      </c>
      <c r="Q165" s="192" t="str">
        <f t="shared" si="33"/>
        <v>1&gt;기출&gt;2011&gt;1</v>
      </c>
      <c r="R165" s="192" t="str">
        <f t="shared" si="34"/>
        <v>1&gt;기출&gt;2011&gt;2</v>
      </c>
      <c r="T165" s="3" t="str">
        <f t="shared" si="35"/>
        <v>2011-2-1</v>
      </c>
    </row>
    <row r="166" spans="2:20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tr">
        <f>VLOOKUP(T166,통합목록!$Q$4:$T$310,4,0)</f>
        <v>해외연수 후 의무근로기간 약정 위반 시 연수비용 반환의 적법성 및 퇴직금과 연수비용의 상계 가능성</v>
      </c>
      <c r="L166" s="192" t="str">
        <f>VLOOKUP(T166,통합목록!$Q$4:$T$310,2,0)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1234</v>
      </c>
      <c r="N166" s="193"/>
      <c r="O166" s="192" t="str">
        <f t="shared" si="31"/>
        <v>제02장 근로관계의 성립&gt;04&gt;1&gt;</v>
      </c>
      <c r="P166" s="192" t="str">
        <f t="shared" si="32"/>
        <v>제02장 근로관계의 성립&gt;제02절 근로계약의 체결&gt;02</v>
      </c>
      <c r="Q166" s="192" t="str">
        <f t="shared" si="33"/>
        <v>1&gt;기출&gt;2010&gt;3</v>
      </c>
      <c r="R166" s="192" t="str">
        <f t="shared" si="34"/>
        <v>1&gt;기출&gt;2010&gt;1</v>
      </c>
      <c r="T166" s="3" t="str">
        <f t="shared" si="35"/>
        <v>2010-1-1</v>
      </c>
    </row>
    <row r="167" spans="2:20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1840</v>
      </c>
      <c r="H167" s="190" t="s">
        <v>440</v>
      </c>
      <c r="I167" s="352" t="s">
        <v>1841</v>
      </c>
      <c r="J167" s="190" t="s">
        <v>426</v>
      </c>
      <c r="K167" s="191" t="str">
        <f>VLOOKUP(T167,통합목록!$Q$4:$T$310,4,0)</f>
        <v>해외연수 후 의무근로기간 약정 위반 시 연수비용 반환의 적법성 및 퇴직금과 연수비용의 상계 가능성</v>
      </c>
      <c r="L167" s="192" t="str">
        <f>VLOOKUP(T167,통합목록!$Q$4:$T$310,2,0)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1234</v>
      </c>
      <c r="N167" s="193"/>
      <c r="O167" s="192" t="str">
        <f t="shared" si="31"/>
        <v>제03장 임금&gt;07&gt;1&gt;</v>
      </c>
      <c r="P167" s="192" t="str">
        <f t="shared" si="32"/>
        <v>제03장 임금&gt;제04절 임금지급의 원칙&gt;03</v>
      </c>
      <c r="Q167" s="192" t="str">
        <f t="shared" si="33"/>
        <v>1&gt;기출&gt;2010&gt;2</v>
      </c>
      <c r="R167" s="192" t="str">
        <f t="shared" si="34"/>
        <v>1&gt;기출&gt;2010&gt;1</v>
      </c>
      <c r="T167" s="3" t="str">
        <f t="shared" si="35"/>
        <v>2010-1-1</v>
      </c>
    </row>
    <row r="168" spans="2:20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tr">
        <f>VLOOKUP(T168,통합목록!$Q$4:$T$310,4,0)</f>
        <v>전적명령의 법적 성격, 유효요건, 남용 판단 기준</v>
      </c>
      <c r="L168" s="192" t="str">
        <f>VLOOKUP(T168,통합목록!$Q$4:$T$310,2,0)</f>
        <v>열기2-01.노동법\02.문제\[기출][1][2010-2]전적명령의 법적 성격, 유효요건, 남용 판단 기준.txt</v>
      </c>
      <c r="M168" s="192" t="s">
        <v>1234</v>
      </c>
      <c r="N168" s="193"/>
      <c r="O168" s="192" t="str">
        <f t="shared" si="31"/>
        <v>제06장 인사처분&gt;04&gt;2&gt;</v>
      </c>
      <c r="P168" s="192" t="str">
        <f t="shared" si="32"/>
        <v>제06장 인사처분&gt;제03절 전적&gt;01</v>
      </c>
      <c r="Q168" s="192" t="str">
        <f t="shared" si="33"/>
        <v>1&gt;기출&gt;2010&gt;1</v>
      </c>
      <c r="R168" s="192" t="str">
        <f t="shared" si="34"/>
        <v>1&gt;기출&gt;2010&gt;2</v>
      </c>
      <c r="T168" s="3" t="str">
        <f t="shared" si="35"/>
        <v>2010-2-1</v>
      </c>
    </row>
    <row r="169" spans="2:20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432</v>
      </c>
      <c r="J169" s="190" t="s">
        <v>431</v>
      </c>
      <c r="K169" s="191" t="str">
        <f>VLOOKUP(T169,통합목록!$Q$4:$T$310,4,0)</f>
        <v>해고의 예고와 해고의 서면 통지에 대한 의의, 내용, 예외, 법적 효과</v>
      </c>
      <c r="L169" s="192" t="str">
        <f>VLOOKUP(T169,통합목록!$Q$4:$T$310,2,0)</f>
        <v>열기2-01.노동법\02.문제\[기출][1][2009-1]해고의 예고와 해고의 서면 통지에 대한 의의, 내용, 예외, 법적 효과.txt</v>
      </c>
      <c r="M169" s="192" t="s">
        <v>1234</v>
      </c>
      <c r="N169" s="193"/>
      <c r="O169" s="192" t="str">
        <f t="shared" si="31"/>
        <v>제08장 근로관계의 종료&gt;16&gt;1&gt;</v>
      </c>
      <c r="P169" s="192" t="str">
        <f t="shared" si="32"/>
        <v>제08장 근로관계의 종료&gt;제03절 해고의 절차적 정당성&gt;05</v>
      </c>
      <c r="Q169" s="192" t="str">
        <f t="shared" si="33"/>
        <v>1&gt;기출&gt;2009&gt;3</v>
      </c>
      <c r="R169" s="192" t="str">
        <f t="shared" si="34"/>
        <v>1&gt;기출&gt;2009&gt;1</v>
      </c>
      <c r="T169" s="3" t="str">
        <f t="shared" si="35"/>
        <v>2009-1-1</v>
      </c>
    </row>
    <row r="170" spans="2:20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tr">
        <f>VLOOKUP(T170,통합목록!$Q$4:$T$310,4,0)</f>
        <v>근로기준법상 위약예정의 금지의 의의, 내용, 효력 및 법률관계</v>
      </c>
      <c r="L170" s="192" t="str">
        <f>VLOOKUP(T170,통합목록!$Q$4:$T$310,2,0)</f>
        <v>열기2-01.노동법\02.문제\[기출][1][2009-2-1]근로기준법상 위약예정의 금지의 의의, 내용, 효력 및 법률관계.txt</v>
      </c>
      <c r="M170" s="192" t="s">
        <v>1234</v>
      </c>
      <c r="N170" s="193"/>
      <c r="O170" s="192" t="str">
        <f t="shared" si="31"/>
        <v>제02장 근로관계의 성립&gt;05&gt;2-1&gt;</v>
      </c>
      <c r="P170" s="192" t="str">
        <f t="shared" si="32"/>
        <v>제02장 근로관계의 성립&gt;제02절 근로계약의 체결&gt;03</v>
      </c>
      <c r="Q170" s="192" t="str">
        <f t="shared" si="33"/>
        <v>1&gt;기출&gt;2009&gt;2</v>
      </c>
      <c r="R170" s="192" t="str">
        <f t="shared" si="34"/>
        <v>1&gt;기출&gt;2009&gt;2-1</v>
      </c>
      <c r="T170" s="3" t="str">
        <f t="shared" si="35"/>
        <v>2009-2-1-1</v>
      </c>
    </row>
    <row r="171" spans="2:20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1382</v>
      </c>
      <c r="H171" s="190" t="s">
        <v>430</v>
      </c>
      <c r="I171" s="352" t="s">
        <v>1497</v>
      </c>
      <c r="J171" s="190" t="s">
        <v>415</v>
      </c>
      <c r="K171" s="191" t="str">
        <f>VLOOKUP(T171,통합목록!$Q$4:$T$310,4,0)</f>
        <v>고용보험법상 육아휴직 급여의 의의, 지급 요건, 지급 기간 및 금액, 특례 및 기타 사항</v>
      </c>
      <c r="L171" s="192" t="str">
        <f>VLOOKUP(T171,통합목록!$Q$4:$T$310,2,0)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 t="shared" si="31"/>
        <v>제16장 부속법령&gt;04&gt;2-2&gt;</v>
      </c>
      <c r="P171" s="192" t="str">
        <f t="shared" si="32"/>
        <v>제16장 부속법령&gt;제06절 고보법&gt;01</v>
      </c>
      <c r="Q171" s="192" t="str">
        <f t="shared" si="33"/>
        <v>1&gt;기출&gt;2009&gt;1</v>
      </c>
      <c r="R171" s="192" t="str">
        <f t="shared" si="34"/>
        <v>1&gt;기출&gt;2009&gt;2-2</v>
      </c>
      <c r="T171" s="3" t="str">
        <f t="shared" si="35"/>
        <v>2009-2-2-1</v>
      </c>
    </row>
    <row r="172" spans="2:20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1720</v>
      </c>
      <c r="I172" s="352" t="s">
        <v>418</v>
      </c>
      <c r="J172" s="190" t="s">
        <v>453</v>
      </c>
      <c r="K172" s="191" t="str">
        <f>VLOOKUP(T172,통합목록!$Q$4:$T$310,4,0)</f>
        <v>경영상 이유에 의한 해고의 의의, 요건, 절차 및 구제, 재고용 의무</v>
      </c>
      <c r="L172" s="192" t="str">
        <f>VLOOKUP(T172,통합목록!$Q$4:$T$310,2,0)</f>
        <v>열기2-01.노동법\02.문제\[기출][1][2008-1]경영상 이유에 의한 해고의 의의, 요건, 절차 및 구제, 재고용 의무.txt</v>
      </c>
      <c r="M172" s="192" t="s">
        <v>1234</v>
      </c>
      <c r="N172" s="193"/>
      <c r="O172" s="192" t="str">
        <f t="shared" si="31"/>
        <v>제08장 근로관계의 종료&gt;17&gt;1&gt;</v>
      </c>
      <c r="P172" s="192" t="str">
        <f t="shared" si="32"/>
        <v>제08장 근로관계의 종료&gt;제02절 해고의 실체적 정당성&gt;10</v>
      </c>
      <c r="Q172" s="192" t="str">
        <f t="shared" si="33"/>
        <v>1&gt;기출&gt;2008&gt;3</v>
      </c>
      <c r="R172" s="192" t="str">
        <f t="shared" si="34"/>
        <v>1&gt;기출&gt;2008&gt;1</v>
      </c>
      <c r="T172" s="3" t="str">
        <f t="shared" si="35"/>
        <v>2008-1-1</v>
      </c>
    </row>
    <row r="173" spans="2:20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1601</v>
      </c>
      <c r="H173" s="190" t="s">
        <v>417</v>
      </c>
      <c r="I173" s="352" t="s">
        <v>439</v>
      </c>
      <c r="J173" s="190" t="s">
        <v>417</v>
      </c>
      <c r="K173" s="191" t="str">
        <f>VLOOKUP(T173,통합목록!$Q$4:$T$310,4,0)</f>
        <v>근로기준법과 민법・산업재해보상보험법 간의 재해보상 관계</v>
      </c>
      <c r="L173" s="192" t="str">
        <f>VLOOKUP(T173,통합목록!$Q$4:$T$310,2,0)</f>
        <v>열기2-01.노동법\02.문제\[기출][1][2008-2-1]근로기준법과 민법・산업재해보상보험법 간의 재해보상 관계.txt</v>
      </c>
      <c r="M173" s="192" t="s">
        <v>1234</v>
      </c>
      <c r="N173" s="193"/>
      <c r="O173" s="192" t="str">
        <f t="shared" si="31"/>
        <v>제10장 업무상 재해 등&gt;02&gt;2-1&gt;</v>
      </c>
      <c r="P173" s="192" t="str">
        <f t="shared" si="32"/>
        <v>제10장 업무상 재해 등&gt;제01절 업무상 재해&gt;02</v>
      </c>
      <c r="Q173" s="192" t="str">
        <f t="shared" si="33"/>
        <v>1&gt;기출&gt;2008&gt;2</v>
      </c>
      <c r="R173" s="192" t="str">
        <f t="shared" si="34"/>
        <v>1&gt;기출&gt;2008&gt;2-1</v>
      </c>
      <c r="T173" s="3" t="str">
        <f t="shared" si="35"/>
        <v>2008-2-1-1</v>
      </c>
    </row>
    <row r="174" spans="2:20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tr">
        <f>VLOOKUP(T174,통합목록!$Q$4:$T$310,4,0)</f>
        <v>근로기준법상 연장근로 제한의 원칙, 예외, 위반의 효과</v>
      </c>
      <c r="L174" s="192" t="str">
        <f>VLOOKUP(T174,통합목록!$Q$4:$T$310,2,0)</f>
        <v>열기2-01.노동법\02.문제\[기출][1][2008-2-2]근로기준법상 연장근로 제한의 원칙, 예외, 위반의 효과.txt</v>
      </c>
      <c r="M174" s="192" t="s">
        <v>1234</v>
      </c>
      <c r="N174" s="193"/>
      <c r="O174" s="192" t="str">
        <f t="shared" si="31"/>
        <v>제04장 근로시간&gt;03&gt;2-2&gt;</v>
      </c>
      <c r="P174" s="192" t="str">
        <f t="shared" si="32"/>
        <v>제04장 근로시간&gt;제02절 근로시간의 보호&gt;01</v>
      </c>
      <c r="Q174" s="192" t="str">
        <f t="shared" si="33"/>
        <v>1&gt;기출&gt;2008&gt;1</v>
      </c>
      <c r="R174" s="192" t="str">
        <f t="shared" si="34"/>
        <v>1&gt;기출&gt;2008&gt;2-2</v>
      </c>
      <c r="T174" s="3" t="str">
        <f t="shared" si="35"/>
        <v>2008-2-2-1</v>
      </c>
    </row>
  </sheetData>
  <autoFilter ref="B3:T174" xr:uid="{ABD2A85A-1492-4F35-8DAE-CAFFA8F33E4C}">
    <filterColumn colId="3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T174">
      <sortCondition descending="1" ref="Q3:Q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6" t="s">
        <v>57</v>
      </c>
      <c r="D2" s="387"/>
      <c r="E2" s="387"/>
      <c r="F2" s="387"/>
      <c r="G2" s="387"/>
      <c r="H2" s="387"/>
      <c r="I2" s="387"/>
      <c r="J2" s="387"/>
      <c r="K2" s="387"/>
      <c r="L2" s="388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1742</v>
      </c>
      <c r="E3" s="359"/>
      <c r="F3" s="359"/>
      <c r="G3" s="359" t="s">
        <v>1801</v>
      </c>
      <c r="H3" s="359" t="s">
        <v>1771</v>
      </c>
      <c r="I3" s="359" t="s">
        <v>1805</v>
      </c>
      <c r="J3" s="359" t="s">
        <v>1775</v>
      </c>
      <c r="K3" s="359" t="s">
        <v>1806</v>
      </c>
      <c r="L3" s="360" t="s">
        <v>1823</v>
      </c>
      <c r="M3" s="317"/>
      <c r="N3" s="318"/>
      <c r="O3" s="318"/>
      <c r="Q3" s="313" t="s">
        <v>1762</v>
      </c>
    </row>
    <row r="4" spans="2:17" ht="189" customHeight="1" x14ac:dyDescent="0.2">
      <c r="B4" s="307" t="s">
        <v>1478</v>
      </c>
      <c r="C4" s="305" t="s">
        <v>1650</v>
      </c>
      <c r="D4" s="319" t="s">
        <v>1558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1773</v>
      </c>
      <c r="I4" s="344" t="s">
        <v>1774</v>
      </c>
      <c r="J4" s="344" t="s">
        <v>1772</v>
      </c>
      <c r="K4" s="344" t="s">
        <v>1766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1478</v>
      </c>
      <c r="C5" s="304" t="s">
        <v>1650</v>
      </c>
      <c r="D5" s="323" t="s">
        <v>1559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1478</v>
      </c>
      <c r="C6" s="304" t="s">
        <v>1650</v>
      </c>
      <c r="D6" s="323" t="s">
        <v>1584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1478</v>
      </c>
      <c r="C7" s="304" t="s">
        <v>1650</v>
      </c>
      <c r="D7" s="323" t="s">
        <v>1560</v>
      </c>
      <c r="E7" s="324" t="s">
        <v>31</v>
      </c>
      <c r="F7" s="325" t="s">
        <v>1743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1802</v>
      </c>
      <c r="I7" s="345" t="s">
        <v>1803</v>
      </c>
      <c r="J7" s="345" t="s">
        <v>1804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1478</v>
      </c>
      <c r="C8" s="304" t="s">
        <v>1258</v>
      </c>
      <c r="D8" s="327" t="s">
        <v>1156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1807</v>
      </c>
      <c r="I8" s="345" t="s">
        <v>1821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1478</v>
      </c>
      <c r="C9" s="304" t="s">
        <v>1258</v>
      </c>
      <c r="D9" s="327" t="s">
        <v>1157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1478</v>
      </c>
      <c r="C10" s="304" t="s">
        <v>1258</v>
      </c>
      <c r="D10" s="327" t="s">
        <v>1158</v>
      </c>
      <c r="E10" s="324" t="s">
        <v>31</v>
      </c>
      <c r="F10" s="325" t="s">
        <v>1744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1478</v>
      </c>
      <c r="C11" s="328" t="s">
        <v>1258</v>
      </c>
      <c r="D11" s="329" t="s">
        <v>1159</v>
      </c>
      <c r="E11" s="330" t="s">
        <v>28</v>
      </c>
      <c r="F11" s="336" t="s">
        <v>1745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1258</v>
      </c>
      <c r="D12" s="333" t="s">
        <v>1160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1258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1258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1258</v>
      </c>
      <c r="D15" s="327" t="s">
        <v>58</v>
      </c>
      <c r="E15" s="324" t="s">
        <v>31</v>
      </c>
      <c r="F15" s="324" t="s">
        <v>1743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1258</v>
      </c>
      <c r="D16" s="327" t="s">
        <v>1118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1650</v>
      </c>
      <c r="D17" s="327" t="s">
        <v>1561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1650</v>
      </c>
      <c r="D18" s="327" t="s">
        <v>1562</v>
      </c>
      <c r="E18" s="324" t="s">
        <v>31</v>
      </c>
      <c r="F18" s="324" t="s">
        <v>1744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1650</v>
      </c>
      <c r="D19" s="329" t="s">
        <v>1563</v>
      </c>
      <c r="E19" s="330" t="s">
        <v>31</v>
      </c>
      <c r="F19" s="330" t="s">
        <v>1745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1650</v>
      </c>
      <c r="D20" s="333" t="s">
        <v>1564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1650</v>
      </c>
      <c r="D21" s="327" t="s">
        <v>1565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1258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1258</v>
      </c>
      <c r="D23" s="327" t="s">
        <v>63</v>
      </c>
      <c r="E23" s="324" t="s">
        <v>31</v>
      </c>
      <c r="F23" s="324" t="s">
        <v>1743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1258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1258</v>
      </c>
      <c r="D25" s="327" t="s">
        <v>1161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1650</v>
      </c>
      <c r="D26" s="327" t="s">
        <v>1566</v>
      </c>
      <c r="E26" s="324" t="s">
        <v>31</v>
      </c>
      <c r="F26" s="324" t="s">
        <v>1744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1820</v>
      </c>
      <c r="I26" s="345" t="s">
        <v>1810</v>
      </c>
      <c r="J26" s="345" t="s">
        <v>1822</v>
      </c>
      <c r="K26" s="345" t="s">
        <v>1809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1650</v>
      </c>
      <c r="D27" s="327" t="s">
        <v>1567</v>
      </c>
      <c r="E27" s="324" t="s">
        <v>31</v>
      </c>
      <c r="F27" s="324" t="s">
        <v>1745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1811</v>
      </c>
      <c r="J27" s="345" t="s">
        <v>1808</v>
      </c>
      <c r="K27" s="345" t="s">
        <v>1809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1234</v>
      </c>
      <c r="D28" s="327" t="s">
        <v>236</v>
      </c>
      <c r="E28" s="324" t="s">
        <v>31</v>
      </c>
      <c r="F28" s="324" t="s">
        <v>1746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1258</v>
      </c>
      <c r="D29" s="327" t="s">
        <v>1162</v>
      </c>
      <c r="E29" s="324" t="s">
        <v>31</v>
      </c>
      <c r="F29" s="324" t="s">
        <v>1747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1258</v>
      </c>
      <c r="D30" s="327" t="s">
        <v>64</v>
      </c>
      <c r="E30" s="324" t="s">
        <v>31</v>
      </c>
      <c r="F30" s="324" t="s">
        <v>1748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1650</v>
      </c>
      <c r="D31" s="327" t="s">
        <v>1568</v>
      </c>
      <c r="E31" s="324" t="s">
        <v>31</v>
      </c>
      <c r="F31" s="324" t="s">
        <v>1749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1650</v>
      </c>
      <c r="D32" s="327" t="s">
        <v>1569</v>
      </c>
      <c r="E32" s="324" t="s">
        <v>31</v>
      </c>
      <c r="F32" s="324" t="s">
        <v>1750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1650</v>
      </c>
      <c r="D33" s="327" t="s">
        <v>1570</v>
      </c>
      <c r="E33" s="324" t="s">
        <v>31</v>
      </c>
      <c r="F33" s="324" t="s">
        <v>1751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1650</v>
      </c>
      <c r="D34" s="329" t="s">
        <v>1571</v>
      </c>
      <c r="E34" s="330" t="s">
        <v>31</v>
      </c>
      <c r="F34" s="330" t="s">
        <v>1752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1650</v>
      </c>
      <c r="D35" s="333" t="s">
        <v>1572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1650</v>
      </c>
      <c r="D36" s="327" t="s">
        <v>1573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1258</v>
      </c>
      <c r="D37" s="327" t="s">
        <v>1163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1258</v>
      </c>
      <c r="D38" s="327" t="s">
        <v>1133</v>
      </c>
      <c r="E38" s="324" t="s">
        <v>31</v>
      </c>
      <c r="F38" s="324" t="s">
        <v>1743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1650</v>
      </c>
      <c r="D39" s="327" t="s">
        <v>1574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1650</v>
      </c>
      <c r="D40" s="327" t="s">
        <v>1575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1650</v>
      </c>
      <c r="D41" s="327" t="s">
        <v>1576</v>
      </c>
      <c r="E41" s="324" t="s">
        <v>31</v>
      </c>
      <c r="F41" s="324" t="s">
        <v>1744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1650</v>
      </c>
      <c r="D42" s="327" t="s">
        <v>1577</v>
      </c>
      <c r="E42" s="324" t="s">
        <v>31</v>
      </c>
      <c r="F42" s="324" t="s">
        <v>1745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1258</v>
      </c>
      <c r="D43" s="327" t="s">
        <v>1164</v>
      </c>
      <c r="E43" s="324" t="s">
        <v>31</v>
      </c>
      <c r="F43" s="324" t="s">
        <v>1746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1650</v>
      </c>
      <c r="D44" s="327" t="s">
        <v>1578</v>
      </c>
      <c r="E44" s="324" t="s">
        <v>31</v>
      </c>
      <c r="F44" s="324" t="s">
        <v>1747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1650</v>
      </c>
      <c r="D45" s="329" t="s">
        <v>1579</v>
      </c>
      <c r="E45" s="330" t="s">
        <v>31</v>
      </c>
      <c r="F45" s="330" t="s">
        <v>1748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1258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1258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1258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1258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1258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1258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1258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1258</v>
      </c>
      <c r="D53" s="327" t="s">
        <v>1165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1258</v>
      </c>
      <c r="D54" s="329" t="s">
        <v>1166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1258</v>
      </c>
      <c r="D55" s="333" t="s">
        <v>1167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1258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1650</v>
      </c>
      <c r="D57" s="327" t="s">
        <v>1580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1650</v>
      </c>
      <c r="D58" s="327" t="s">
        <v>1581</v>
      </c>
      <c r="E58" s="324" t="s">
        <v>31</v>
      </c>
      <c r="F58" s="324" t="s">
        <v>1743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1258</v>
      </c>
      <c r="D59" s="329" t="s">
        <v>1168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1258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1258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1258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1258</v>
      </c>
      <c r="D63" s="327" t="s">
        <v>77</v>
      </c>
      <c r="E63" s="324" t="s">
        <v>31</v>
      </c>
      <c r="F63" s="324" t="s">
        <v>1743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1258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1258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1258</v>
      </c>
      <c r="D66" s="327" t="s">
        <v>1169</v>
      </c>
      <c r="E66" s="324" t="s">
        <v>31</v>
      </c>
      <c r="F66" s="324" t="s">
        <v>1744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1258</v>
      </c>
      <c r="D67" s="327" t="s">
        <v>1730</v>
      </c>
      <c r="E67" s="324" t="s">
        <v>419</v>
      </c>
      <c r="F67" s="324" t="s">
        <v>1745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1258</v>
      </c>
      <c r="D68" s="327" t="s">
        <v>72</v>
      </c>
      <c r="E68" s="324" t="s">
        <v>31</v>
      </c>
      <c r="F68" s="324" t="s">
        <v>1746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1258</v>
      </c>
      <c r="D69" s="327" t="s">
        <v>73</v>
      </c>
      <c r="E69" s="324" t="s">
        <v>31</v>
      </c>
      <c r="F69" s="324" t="s">
        <v>1747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1650</v>
      </c>
      <c r="D70" s="327" t="s">
        <v>1707</v>
      </c>
      <c r="E70" s="324" t="s">
        <v>31</v>
      </c>
      <c r="F70" s="324" t="s">
        <v>1748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1258</v>
      </c>
      <c r="D71" s="327" t="s">
        <v>82</v>
      </c>
      <c r="E71" s="324" t="s">
        <v>31</v>
      </c>
      <c r="F71" s="324" t="s">
        <v>1749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1258</v>
      </c>
      <c r="D72" s="327" t="s">
        <v>237</v>
      </c>
      <c r="E72" s="324" t="s">
        <v>31</v>
      </c>
      <c r="F72" s="324" t="s">
        <v>1750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1258</v>
      </c>
      <c r="D73" s="327" t="s">
        <v>79</v>
      </c>
      <c r="E73" s="324" t="s">
        <v>27</v>
      </c>
      <c r="F73" s="324" t="s">
        <v>1751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1258</v>
      </c>
      <c r="D74" s="327" t="s">
        <v>1118</v>
      </c>
      <c r="E74" s="324" t="s">
        <v>31</v>
      </c>
      <c r="F74" s="324" t="s">
        <v>1752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1258</v>
      </c>
      <c r="D75" s="327" t="s">
        <v>1170</v>
      </c>
      <c r="E75" s="324" t="s">
        <v>31</v>
      </c>
      <c r="F75" s="324" t="s">
        <v>1753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1650</v>
      </c>
      <c r="D76" s="327" t="s">
        <v>1707</v>
      </c>
      <c r="E76" s="324" t="s">
        <v>31</v>
      </c>
      <c r="F76" s="324" t="s">
        <v>1754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1258</v>
      </c>
      <c r="D77" s="327" t="s">
        <v>284</v>
      </c>
      <c r="E77" s="324" t="s">
        <v>31</v>
      </c>
      <c r="F77" s="324" t="s">
        <v>1755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1258</v>
      </c>
      <c r="D78" s="329" t="s">
        <v>282</v>
      </c>
      <c r="E78" s="330" t="s">
        <v>31</v>
      </c>
      <c r="F78" s="330" t="s">
        <v>1756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1258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1258</v>
      </c>
      <c r="D80" s="327" t="s">
        <v>1171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1258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1650</v>
      </c>
      <c r="D82" s="327" t="s">
        <v>1582</v>
      </c>
      <c r="E82" s="324" t="s">
        <v>31</v>
      </c>
      <c r="F82" s="324" t="s">
        <v>1743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1650</v>
      </c>
      <c r="D83" s="327" t="s">
        <v>1583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1258</v>
      </c>
      <c r="D84" s="327" t="s">
        <v>1158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1258</v>
      </c>
      <c r="D85" s="327" t="s">
        <v>85</v>
      </c>
      <c r="E85" s="324" t="s">
        <v>31</v>
      </c>
      <c r="F85" s="324" t="s">
        <v>1744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1258</v>
      </c>
      <c r="D86" s="327" t="s">
        <v>84</v>
      </c>
      <c r="E86" s="324" t="s">
        <v>31</v>
      </c>
      <c r="F86" s="324" t="s">
        <v>1745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1258</v>
      </c>
      <c r="D87" s="329" t="s">
        <v>1172</v>
      </c>
      <c r="E87" s="330" t="s">
        <v>31</v>
      </c>
      <c r="F87" s="330" t="s">
        <v>1746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1258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1258</v>
      </c>
      <c r="D89" s="327" t="s">
        <v>1173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1650</v>
      </c>
      <c r="D90" s="327" t="s">
        <v>1202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1650</v>
      </c>
      <c r="D91" s="327" t="s">
        <v>1203</v>
      </c>
      <c r="E91" s="324" t="s">
        <v>31</v>
      </c>
      <c r="F91" s="324" t="s">
        <v>1743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1650</v>
      </c>
      <c r="D92" s="327" t="s">
        <v>1204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1650</v>
      </c>
      <c r="D93" s="327" t="s">
        <v>1205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1650</v>
      </c>
      <c r="D94" s="327" t="s">
        <v>1206</v>
      </c>
      <c r="E94" s="324" t="s">
        <v>31</v>
      </c>
      <c r="F94" s="324" t="s">
        <v>1744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1650</v>
      </c>
      <c r="D95" s="329" t="s">
        <v>1207</v>
      </c>
      <c r="E95" s="330" t="s">
        <v>31</v>
      </c>
      <c r="F95" s="330" t="s">
        <v>1745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1258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1258</v>
      </c>
      <c r="D97" s="327" t="s">
        <v>1160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1258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1650</v>
      </c>
      <c r="D99" s="327" t="s">
        <v>1208</v>
      </c>
      <c r="E99" s="324" t="s">
        <v>28</v>
      </c>
      <c r="F99" s="324" t="s">
        <v>1743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1650</v>
      </c>
      <c r="D100" s="327" t="s">
        <v>1209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1650</v>
      </c>
      <c r="D101" s="327" t="s">
        <v>1210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1650</v>
      </c>
      <c r="D102" s="327" t="s">
        <v>1211</v>
      </c>
      <c r="E102" s="324" t="s">
        <v>28</v>
      </c>
      <c r="F102" s="324" t="s">
        <v>1744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1258</v>
      </c>
      <c r="D103" s="327" t="s">
        <v>1161</v>
      </c>
      <c r="E103" s="324">
        <v>2</v>
      </c>
      <c r="F103" s="324" t="s">
        <v>1745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1650</v>
      </c>
      <c r="D104" s="327" t="s">
        <v>1212</v>
      </c>
      <c r="E104" s="324" t="s">
        <v>28</v>
      </c>
      <c r="F104" s="324" t="s">
        <v>1746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1650</v>
      </c>
      <c r="D105" s="327" t="s">
        <v>1213</v>
      </c>
      <c r="E105" s="324" t="s">
        <v>28</v>
      </c>
      <c r="F105" s="324" t="s">
        <v>1747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1258</v>
      </c>
      <c r="D106" s="327" t="s">
        <v>1167</v>
      </c>
      <c r="E106" s="324">
        <v>2</v>
      </c>
      <c r="F106" s="324" t="s">
        <v>1748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1258</v>
      </c>
      <c r="D107" s="329" t="s">
        <v>1174</v>
      </c>
      <c r="E107" s="330">
        <v>2</v>
      </c>
      <c r="F107" s="330" t="s">
        <v>1749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1258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1258</v>
      </c>
      <c r="D109" s="327" t="s">
        <v>1133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1258</v>
      </c>
      <c r="D110" s="327" t="s">
        <v>1594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1258</v>
      </c>
      <c r="D111" s="327" t="s">
        <v>1169</v>
      </c>
      <c r="E111" s="324">
        <v>2</v>
      </c>
      <c r="F111" s="324" t="s">
        <v>1743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1258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1258</v>
      </c>
      <c r="D113" s="327" t="s">
        <v>1133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1258</v>
      </c>
      <c r="D114" s="327" t="s">
        <v>86</v>
      </c>
      <c r="E114" s="324">
        <v>2</v>
      </c>
      <c r="F114" s="324" t="s">
        <v>1744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1258</v>
      </c>
      <c r="D115" s="327" t="s">
        <v>282</v>
      </c>
      <c r="E115" s="324">
        <v>2</v>
      </c>
      <c r="F115" s="324" t="s">
        <v>1745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1258</v>
      </c>
      <c r="D116" s="327" t="s">
        <v>72</v>
      </c>
      <c r="E116" s="324">
        <v>2</v>
      </c>
      <c r="F116" s="324" t="s">
        <v>1746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1258</v>
      </c>
      <c r="D117" s="327" t="s">
        <v>1165</v>
      </c>
      <c r="E117" s="324">
        <v>2</v>
      </c>
      <c r="F117" s="324" t="s">
        <v>1747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1650</v>
      </c>
      <c r="D118" s="327" t="s">
        <v>1214</v>
      </c>
      <c r="E118" s="324" t="s">
        <v>28</v>
      </c>
      <c r="F118" s="324" t="s">
        <v>1748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1650</v>
      </c>
      <c r="D119" s="329" t="s">
        <v>1215</v>
      </c>
      <c r="E119" s="330" t="s">
        <v>28</v>
      </c>
      <c r="F119" s="330" t="s">
        <v>1749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1650</v>
      </c>
      <c r="D120" s="333" t="s">
        <v>1216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1650</v>
      </c>
      <c r="D121" s="327" t="s">
        <v>1217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1258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1258</v>
      </c>
      <c r="D123" s="327" t="s">
        <v>63</v>
      </c>
      <c r="E123" s="324">
        <v>2</v>
      </c>
      <c r="F123" s="324" t="s">
        <v>1743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1258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1258</v>
      </c>
      <c r="D125" s="327" t="s">
        <v>1175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1650</v>
      </c>
      <c r="D126" s="327" t="s">
        <v>1218</v>
      </c>
      <c r="E126" s="324" t="s">
        <v>28</v>
      </c>
      <c r="F126" s="324" t="s">
        <v>1744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1650</v>
      </c>
      <c r="D127" s="327" t="s">
        <v>1219</v>
      </c>
      <c r="E127" s="324" t="s">
        <v>28</v>
      </c>
      <c r="F127" s="324" t="s">
        <v>1745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1258</v>
      </c>
      <c r="D128" s="327" t="s">
        <v>1166</v>
      </c>
      <c r="E128" s="324">
        <v>2</v>
      </c>
      <c r="F128" s="324" t="s">
        <v>1746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1258</v>
      </c>
      <c r="D129" s="327" t="s">
        <v>113</v>
      </c>
      <c r="E129" s="324">
        <v>2</v>
      </c>
      <c r="F129" s="324" t="s">
        <v>1747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1650</v>
      </c>
      <c r="D130" s="327" t="s">
        <v>1220</v>
      </c>
      <c r="E130" s="324" t="s">
        <v>28</v>
      </c>
      <c r="F130" s="324" t="s">
        <v>1748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1650</v>
      </c>
      <c r="D131" s="327" t="s">
        <v>1221</v>
      </c>
      <c r="E131" s="324" t="s">
        <v>28</v>
      </c>
      <c r="F131" s="324" t="s">
        <v>1749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1258</v>
      </c>
      <c r="D132" s="327" t="s">
        <v>91</v>
      </c>
      <c r="E132" s="324">
        <v>2</v>
      </c>
      <c r="F132" s="324" t="s">
        <v>1750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1258</v>
      </c>
      <c r="D133" s="329" t="s">
        <v>1018</v>
      </c>
      <c r="E133" s="330">
        <v>2</v>
      </c>
      <c r="F133" s="330" t="s">
        <v>1751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1258</v>
      </c>
      <c r="D134" s="333" t="s">
        <v>1176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1258</v>
      </c>
      <c r="D135" s="327" t="s">
        <v>1177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1258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1258</v>
      </c>
      <c r="D137" s="327" t="s">
        <v>1014</v>
      </c>
      <c r="E137" s="324">
        <v>2</v>
      </c>
      <c r="F137" s="324" t="s">
        <v>1743</v>
      </c>
      <c r="G137" s="349" t="str">
        <f>VLOOKUP(Q137,통합목록!$Q$4:$T$310,4,0)</f>
        <v>노동조합 쟁의행위의 절차적 정당성의 요건, 절차 위반 시 효력</v>
      </c>
      <c r="H137" s="345" t="s">
        <v>1781</v>
      </c>
      <c r="I137" s="345"/>
      <c r="J137" s="345"/>
      <c r="K137" s="345" t="s">
        <v>1783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1258</v>
      </c>
      <c r="D138" s="327" t="s">
        <v>1171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1258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1258</v>
      </c>
      <c r="D140" s="327" t="s">
        <v>237</v>
      </c>
      <c r="E140" s="324">
        <v>2</v>
      </c>
      <c r="F140" s="324" t="s">
        <v>1744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1258</v>
      </c>
      <c r="D141" s="327" t="s">
        <v>77</v>
      </c>
      <c r="E141" s="324">
        <v>2</v>
      </c>
      <c r="F141" s="324" t="s">
        <v>1745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1258</v>
      </c>
      <c r="D142" s="327" t="s">
        <v>92</v>
      </c>
      <c r="E142" s="324">
        <v>2</v>
      </c>
      <c r="F142" s="324" t="s">
        <v>1746</v>
      </c>
      <c r="G142" s="349" t="str">
        <f>VLOOKUP(Q142,통합목록!$Q$4:$T$310,4,0)</f>
        <v>직장점거 중 단행된 사용자의 직장폐쇄에 따른 법률적 효과</v>
      </c>
      <c r="H142" s="345" t="s">
        <v>1785</v>
      </c>
      <c r="I142" s="345" t="s">
        <v>1784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1258</v>
      </c>
      <c r="D143" s="327" t="s">
        <v>71</v>
      </c>
      <c r="E143" s="324">
        <v>2</v>
      </c>
      <c r="F143" s="324" t="s">
        <v>1747</v>
      </c>
      <c r="G143" s="349" t="str">
        <f>VLOOKUP(Q143,통합목록!$Q$4:$T$310,4,0)</f>
        <v>사용자의 정당한 직장폐쇄의 개념, 요건, 법적 효과</v>
      </c>
      <c r="H143" s="345" t="s">
        <v>1795</v>
      </c>
      <c r="I143" s="345"/>
      <c r="J143" s="345"/>
      <c r="K143" s="345" t="s">
        <v>1796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1258</v>
      </c>
      <c r="D144" s="327" t="s">
        <v>1178</v>
      </c>
      <c r="E144" s="324">
        <v>2</v>
      </c>
      <c r="F144" s="324" t="s">
        <v>1748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1794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1258</v>
      </c>
      <c r="D145" s="327" t="s">
        <v>76</v>
      </c>
      <c r="E145" s="324">
        <v>2</v>
      </c>
      <c r="F145" s="324" t="s">
        <v>1749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1798</v>
      </c>
      <c r="I145" s="345" t="s">
        <v>1797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1650</v>
      </c>
      <c r="D146" s="327" t="s">
        <v>1222</v>
      </c>
      <c r="E146" s="324" t="s">
        <v>28</v>
      </c>
      <c r="F146" s="324" t="s">
        <v>1750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1650</v>
      </c>
      <c r="D147" s="327" t="s">
        <v>1223</v>
      </c>
      <c r="E147" s="324" t="s">
        <v>28</v>
      </c>
      <c r="F147" s="324" t="s">
        <v>1751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1800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1650</v>
      </c>
      <c r="D148" s="327" t="s">
        <v>1224</v>
      </c>
      <c r="E148" s="324" t="s">
        <v>28</v>
      </c>
      <c r="F148" s="324" t="s">
        <v>1752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1650</v>
      </c>
      <c r="D149" s="327" t="s">
        <v>1225</v>
      </c>
      <c r="E149" s="324" t="s">
        <v>28</v>
      </c>
      <c r="F149" s="324" t="s">
        <v>1753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1650</v>
      </c>
      <c r="D150" s="327" t="s">
        <v>1226</v>
      </c>
      <c r="E150" s="324" t="s">
        <v>28</v>
      </c>
      <c r="F150" s="324" t="s">
        <v>1754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1650</v>
      </c>
      <c r="D151" s="327" t="s">
        <v>1227</v>
      </c>
      <c r="E151" s="324" t="s">
        <v>28</v>
      </c>
      <c r="F151" s="324" t="s">
        <v>1755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1258</v>
      </c>
      <c r="D152" s="327" t="s">
        <v>93</v>
      </c>
      <c r="E152" s="324">
        <v>2</v>
      </c>
      <c r="F152" s="324" t="s">
        <v>1756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1258</v>
      </c>
      <c r="D153" s="327" t="s">
        <v>1158</v>
      </c>
      <c r="E153" s="324">
        <v>2</v>
      </c>
      <c r="F153" s="324" t="s">
        <v>1757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1258</v>
      </c>
      <c r="D154" s="327" t="s">
        <v>85</v>
      </c>
      <c r="E154" s="324">
        <v>2</v>
      </c>
      <c r="F154" s="324" t="s">
        <v>1758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1258</v>
      </c>
      <c r="D155" s="329" t="s">
        <v>81</v>
      </c>
      <c r="E155" s="330">
        <v>2</v>
      </c>
      <c r="F155" s="330" t="s">
        <v>1759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1258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1258</v>
      </c>
      <c r="D157" s="327" t="s">
        <v>1179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1258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1650</v>
      </c>
      <c r="D159" s="327" t="s">
        <v>1228</v>
      </c>
      <c r="E159" s="324" t="s">
        <v>28</v>
      </c>
      <c r="F159" s="324" t="s">
        <v>1743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1650</v>
      </c>
      <c r="D160" s="327" t="s">
        <v>1229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1258</v>
      </c>
      <c r="D161" s="327" t="s">
        <v>1156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1258</v>
      </c>
      <c r="D162" s="327" t="s">
        <v>61</v>
      </c>
      <c r="E162" s="324">
        <v>2</v>
      </c>
      <c r="F162" s="324" t="s">
        <v>1744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1258</v>
      </c>
      <c r="D163" s="327" t="s">
        <v>74</v>
      </c>
      <c r="E163" s="324">
        <v>2</v>
      </c>
      <c r="F163" s="324" t="s">
        <v>1745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1258</v>
      </c>
      <c r="D164" s="327" t="s">
        <v>65</v>
      </c>
      <c r="E164" s="324">
        <v>2</v>
      </c>
      <c r="F164" s="324" t="s">
        <v>1746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1258</v>
      </c>
      <c r="D165" s="327" t="s">
        <v>66</v>
      </c>
      <c r="E165" s="324">
        <v>2</v>
      </c>
      <c r="F165" s="324" t="s">
        <v>1747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1258</v>
      </c>
      <c r="D166" s="327" t="s">
        <v>1172</v>
      </c>
      <c r="E166" s="324">
        <v>2</v>
      </c>
      <c r="F166" s="324" t="s">
        <v>1748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1258</v>
      </c>
      <c r="D167" s="327" t="s">
        <v>85</v>
      </c>
      <c r="E167" s="324">
        <v>2</v>
      </c>
      <c r="F167" s="324" t="s">
        <v>1749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1258</v>
      </c>
      <c r="D168" s="327" t="s">
        <v>237</v>
      </c>
      <c r="E168" s="324" t="s">
        <v>31</v>
      </c>
      <c r="F168" s="324" t="s">
        <v>1750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1258</v>
      </c>
      <c r="D169" s="329" t="s">
        <v>1180</v>
      </c>
      <c r="E169" s="330">
        <v>2</v>
      </c>
      <c r="F169" s="330" t="s">
        <v>1751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1258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1258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1258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1258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1258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75" t="s">
        <v>3</v>
      </c>
      <c r="C2" s="389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15" sqref="H15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90" t="s">
        <v>540</v>
      </c>
      <c r="C2" s="391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1610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1610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37" activePane="bottomLeft" state="frozen"/>
      <selection pane="bottomLeft" activeCell="B55" sqref="B55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1814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1813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1812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7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0</v>
      </c>
      <c r="E39" s="209">
        <f>_xlfn.MAXIFS(문제목록!C:C,문제목록!I:I,기출빈도!C39,문제목록!M:M,"기출")</f>
        <v>0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3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1815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1816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1817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tabSelected="1" workbookViewId="0">
      <pane ySplit="4" topLeftCell="A5" activePane="bottomLeft" state="frozen"/>
      <selection pane="bottomLeft" activeCell="F6" sqref="F6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1861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1862</v>
      </c>
      <c r="I2" s="373" t="s">
        <v>151</v>
      </c>
      <c r="J2" s="373" t="s">
        <v>1863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1864</v>
      </c>
      <c r="I3" s="374"/>
      <c r="J3" s="374" t="s">
        <v>1866</v>
      </c>
    </row>
    <row r="4" spans="2:10" ht="13.5" x14ac:dyDescent="0.2">
      <c r="B4" s="369" t="s">
        <v>1868</v>
      </c>
      <c r="C4" s="370"/>
      <c r="D4" s="370"/>
      <c r="E4" s="370"/>
      <c r="F4" s="370"/>
      <c r="G4" s="370"/>
      <c r="H4" s="370"/>
      <c r="I4" s="370"/>
      <c r="J4" s="370"/>
    </row>
    <row r="5" spans="2:10" ht="164.1" customHeight="1" x14ac:dyDescent="0.2">
      <c r="B5" s="371" t="s">
        <v>1843</v>
      </c>
      <c r="C5" s="372"/>
      <c r="D5" s="372"/>
      <c r="E5" s="372"/>
      <c r="F5" s="372"/>
      <c r="G5" s="372"/>
      <c r="H5" s="372"/>
      <c r="I5" s="372" t="s">
        <v>1867</v>
      </c>
      <c r="J5" s="372"/>
    </row>
    <row r="6" spans="2:10" ht="164.1" customHeight="1" x14ac:dyDescent="0.2">
      <c r="B6" s="371" t="s">
        <v>1844</v>
      </c>
      <c r="C6" s="372"/>
      <c r="D6" s="372"/>
      <c r="E6" s="372"/>
      <c r="F6" s="372"/>
      <c r="G6" s="372"/>
      <c r="H6" s="372"/>
      <c r="I6" s="372"/>
      <c r="J6" s="372"/>
    </row>
    <row r="7" spans="2:10" ht="164.1" customHeight="1" x14ac:dyDescent="0.2">
      <c r="B7" s="371" t="s">
        <v>1845</v>
      </c>
      <c r="C7" s="372"/>
      <c r="D7" s="372"/>
      <c r="E7" s="372"/>
      <c r="F7" s="372"/>
      <c r="G7" s="372"/>
      <c r="H7" s="372"/>
      <c r="I7" s="372"/>
      <c r="J7" s="372"/>
    </row>
    <row r="8" spans="2:10" ht="164.1" customHeight="1" x14ac:dyDescent="0.2">
      <c r="B8" s="371" t="s">
        <v>1846</v>
      </c>
      <c r="C8" s="372"/>
      <c r="D8" s="372"/>
      <c r="E8" s="372"/>
      <c r="F8" s="372"/>
      <c r="G8" s="372"/>
      <c r="H8" s="372"/>
      <c r="I8" s="372"/>
      <c r="J8" s="372"/>
    </row>
    <row r="9" spans="2:10" ht="164.1" customHeight="1" x14ac:dyDescent="0.2">
      <c r="B9" s="371" t="s">
        <v>1847</v>
      </c>
      <c r="C9" s="372"/>
      <c r="D9" s="372"/>
      <c r="E9" s="372"/>
      <c r="F9" s="372"/>
      <c r="G9" s="372"/>
      <c r="H9" s="372"/>
      <c r="I9" s="372"/>
      <c r="J9" s="372"/>
    </row>
    <row r="10" spans="2:10" ht="164.1" customHeight="1" x14ac:dyDescent="0.2">
      <c r="B10" s="371" t="s">
        <v>1848</v>
      </c>
      <c r="C10" s="372"/>
      <c r="D10" s="372"/>
      <c r="E10" s="372"/>
      <c r="F10" s="372"/>
      <c r="G10" s="372"/>
      <c r="H10" s="372"/>
      <c r="I10" s="372"/>
      <c r="J10" s="372"/>
    </row>
    <row r="11" spans="2:10" ht="164.1" customHeight="1" x14ac:dyDescent="0.2">
      <c r="B11" s="371" t="s">
        <v>1849</v>
      </c>
      <c r="C11" s="372"/>
      <c r="D11" s="372"/>
      <c r="E11" s="372"/>
      <c r="F11" s="372"/>
      <c r="G11" s="372"/>
      <c r="H11" s="372"/>
      <c r="I11" s="372"/>
      <c r="J11" s="372"/>
    </row>
    <row r="12" spans="2:10" ht="164.1" customHeight="1" x14ac:dyDescent="0.2">
      <c r="B12" s="371" t="s">
        <v>1850</v>
      </c>
      <c r="C12" s="372"/>
      <c r="D12" s="372"/>
      <c r="E12" s="372"/>
      <c r="F12" s="372"/>
      <c r="G12" s="372"/>
      <c r="H12" s="372"/>
      <c r="I12" s="372"/>
      <c r="J12" s="372"/>
    </row>
    <row r="13" spans="2:10" ht="164.1" customHeight="1" x14ac:dyDescent="0.2">
      <c r="B13" s="371" t="s">
        <v>1851</v>
      </c>
      <c r="C13" s="372"/>
      <c r="D13" s="372"/>
      <c r="E13" s="372"/>
      <c r="F13" s="372"/>
      <c r="G13" s="372"/>
      <c r="H13" s="372"/>
      <c r="I13" s="372"/>
      <c r="J13" s="372"/>
    </row>
    <row r="14" spans="2:10" ht="164.1" customHeight="1" x14ac:dyDescent="0.2">
      <c r="B14" s="371" t="s">
        <v>1852</v>
      </c>
      <c r="C14" s="372"/>
      <c r="D14" s="372"/>
      <c r="E14" s="372"/>
      <c r="F14" s="372"/>
      <c r="G14" s="372"/>
      <c r="H14" s="372"/>
      <c r="I14" s="372"/>
      <c r="J14" s="372"/>
    </row>
    <row r="15" spans="2:10" ht="164.1" customHeight="1" x14ac:dyDescent="0.2">
      <c r="B15" s="371" t="s">
        <v>1853</v>
      </c>
      <c r="C15" s="372"/>
      <c r="D15" s="372"/>
      <c r="E15" s="372"/>
      <c r="F15" s="372"/>
      <c r="G15" s="372"/>
      <c r="H15" s="372"/>
      <c r="I15" s="372"/>
      <c r="J15" s="372"/>
    </row>
    <row r="16" spans="2:10" ht="164.1" customHeight="1" x14ac:dyDescent="0.2">
      <c r="B16" s="371" t="s">
        <v>1854</v>
      </c>
      <c r="C16" s="372"/>
      <c r="D16" s="372"/>
      <c r="E16" s="372"/>
      <c r="F16" s="372"/>
      <c r="G16" s="372"/>
      <c r="H16" s="372"/>
      <c r="I16" s="372"/>
      <c r="J16" s="372"/>
    </row>
    <row r="17" spans="2:10" ht="164.1" customHeight="1" x14ac:dyDescent="0.2">
      <c r="B17" s="371" t="s">
        <v>1855</v>
      </c>
      <c r="C17" s="372"/>
      <c r="D17" s="372"/>
      <c r="E17" s="372"/>
      <c r="F17" s="372"/>
      <c r="G17" s="372"/>
      <c r="H17" s="372"/>
      <c r="I17" s="372"/>
      <c r="J17" s="372"/>
    </row>
    <row r="18" spans="2:10" ht="164.1" customHeight="1" x14ac:dyDescent="0.2">
      <c r="B18" s="371" t="s">
        <v>1856</v>
      </c>
      <c r="C18" s="372"/>
      <c r="D18" s="372"/>
      <c r="E18" s="372"/>
      <c r="F18" s="372"/>
      <c r="G18" s="372"/>
      <c r="H18" s="372"/>
      <c r="I18" s="372"/>
      <c r="J18" s="372"/>
    </row>
    <row r="19" spans="2:10" ht="164.1" customHeight="1" x14ac:dyDescent="0.2">
      <c r="B19" s="371" t="s">
        <v>1857</v>
      </c>
      <c r="C19" s="372"/>
      <c r="D19" s="372"/>
      <c r="E19" s="372"/>
      <c r="F19" s="372"/>
      <c r="G19" s="372"/>
      <c r="H19" s="372"/>
      <c r="I19" s="372"/>
      <c r="J19" s="372"/>
    </row>
    <row r="20" spans="2:10" ht="164.1" customHeight="1" x14ac:dyDescent="0.2">
      <c r="B20" s="371" t="s">
        <v>1858</v>
      </c>
      <c r="C20" s="372"/>
      <c r="D20" s="372"/>
      <c r="E20" s="372"/>
      <c r="F20" s="372"/>
      <c r="G20" s="372"/>
      <c r="H20" s="372"/>
      <c r="I20" s="372"/>
      <c r="J20" s="372"/>
    </row>
    <row r="21" spans="2:10" ht="164.1" customHeight="1" x14ac:dyDescent="0.2">
      <c r="B21" s="371" t="s">
        <v>1859</v>
      </c>
      <c r="C21" s="372"/>
      <c r="D21" s="372"/>
      <c r="E21" s="372"/>
      <c r="F21" s="372"/>
      <c r="G21" s="372"/>
      <c r="H21" s="372"/>
      <c r="I21" s="372"/>
      <c r="J21" s="372"/>
    </row>
    <row r="22" spans="2:10" ht="164.1" customHeight="1" x14ac:dyDescent="0.2">
      <c r="B22" s="371" t="s">
        <v>1860</v>
      </c>
      <c r="C22" s="372"/>
      <c r="D22" s="372"/>
      <c r="E22" s="372"/>
      <c r="F22" s="372"/>
      <c r="G22" s="372"/>
      <c r="H22" s="372"/>
      <c r="I22" s="372"/>
      <c r="J22" s="372"/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G3" sqref="G3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154</v>
      </c>
      <c r="D2" s="373" t="s">
        <v>155</v>
      </c>
      <c r="E2" s="373" t="s">
        <v>157</v>
      </c>
      <c r="F2" s="373" t="s">
        <v>158</v>
      </c>
      <c r="G2" s="373" t="s">
        <v>159</v>
      </c>
      <c r="H2" s="373" t="s">
        <v>1863</v>
      </c>
      <c r="I2" s="373"/>
      <c r="J2" s="373"/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/>
    </row>
    <row r="4" spans="2:10" ht="29.1" customHeight="1" x14ac:dyDescent="0.2">
      <c r="B4" s="369" t="s">
        <v>1842</v>
      </c>
      <c r="C4" s="370"/>
      <c r="D4" s="370"/>
      <c r="E4" s="370"/>
      <c r="F4" s="370"/>
      <c r="G4" s="370"/>
      <c r="H4" s="370"/>
      <c r="I4" s="370"/>
      <c r="J4" s="370"/>
    </row>
    <row r="5" spans="2:10" ht="164.1" customHeight="1" x14ac:dyDescent="0.2">
      <c r="B5" s="371" t="s">
        <v>1843</v>
      </c>
      <c r="C5" s="372"/>
      <c r="D5" s="372"/>
      <c r="E5" s="372"/>
      <c r="F5" s="372"/>
      <c r="G5" s="372"/>
      <c r="H5" s="372"/>
      <c r="I5" s="372"/>
      <c r="J5" s="372"/>
    </row>
    <row r="6" spans="2:10" ht="164.1" customHeight="1" x14ac:dyDescent="0.2">
      <c r="B6" s="371" t="s">
        <v>1844</v>
      </c>
      <c r="C6" s="372"/>
      <c r="D6" s="372"/>
      <c r="E6" s="372"/>
      <c r="F6" s="372"/>
      <c r="G6" s="372"/>
      <c r="H6" s="372"/>
      <c r="I6" s="372"/>
      <c r="J6" s="372"/>
    </row>
    <row r="7" spans="2:10" ht="164.1" customHeight="1" x14ac:dyDescent="0.2">
      <c r="B7" s="371" t="s">
        <v>1845</v>
      </c>
      <c r="C7" s="372"/>
      <c r="D7" s="372"/>
      <c r="E7" s="372"/>
      <c r="F7" s="372"/>
      <c r="G7" s="372"/>
      <c r="H7" s="372"/>
      <c r="I7" s="372"/>
      <c r="J7" s="372"/>
    </row>
    <row r="8" spans="2:10" ht="164.1" customHeight="1" x14ac:dyDescent="0.2">
      <c r="B8" s="371" t="s">
        <v>1846</v>
      </c>
      <c r="C8" s="372"/>
      <c r="D8" s="372"/>
      <c r="E8" s="372"/>
      <c r="F8" s="372"/>
      <c r="G8" s="372"/>
      <c r="H8" s="372"/>
      <c r="I8" s="372"/>
      <c r="J8" s="372"/>
    </row>
    <row r="9" spans="2:10" ht="164.1" customHeight="1" x14ac:dyDescent="0.2">
      <c r="B9" s="371" t="s">
        <v>1847</v>
      </c>
      <c r="C9" s="372"/>
      <c r="D9" s="372"/>
      <c r="E9" s="372"/>
      <c r="F9" s="372"/>
      <c r="G9" s="372"/>
      <c r="H9" s="372"/>
      <c r="I9" s="372"/>
      <c r="J9" s="372"/>
    </row>
    <row r="10" spans="2:10" ht="164.1" customHeight="1" x14ac:dyDescent="0.2">
      <c r="B10" s="371" t="s">
        <v>1848</v>
      </c>
      <c r="C10" s="372"/>
      <c r="D10" s="372"/>
      <c r="E10" s="372"/>
      <c r="F10" s="372"/>
      <c r="G10" s="372"/>
      <c r="H10" s="372"/>
      <c r="I10" s="372"/>
      <c r="J10" s="372"/>
    </row>
    <row r="11" spans="2:10" ht="164.1" customHeight="1" x14ac:dyDescent="0.2">
      <c r="B11" s="371" t="s">
        <v>1849</v>
      </c>
      <c r="C11" s="372"/>
      <c r="D11" s="372"/>
      <c r="E11" s="372"/>
      <c r="F11" s="372"/>
      <c r="G11" s="372"/>
      <c r="H11" s="372"/>
      <c r="I11" s="372"/>
      <c r="J11" s="372"/>
    </row>
    <row r="12" spans="2:10" ht="164.1" customHeight="1" x14ac:dyDescent="0.2">
      <c r="B12" s="371" t="s">
        <v>1850</v>
      </c>
      <c r="C12" s="372"/>
      <c r="D12" s="372"/>
      <c r="E12" s="372"/>
      <c r="F12" s="372"/>
      <c r="G12" s="372"/>
      <c r="H12" s="372"/>
      <c r="I12" s="372"/>
      <c r="J12" s="372"/>
    </row>
    <row r="13" spans="2:10" ht="164.1" customHeight="1" x14ac:dyDescent="0.2">
      <c r="B13" s="371" t="s">
        <v>1851</v>
      </c>
      <c r="C13" s="372"/>
      <c r="D13" s="372"/>
      <c r="E13" s="372"/>
      <c r="F13" s="372"/>
      <c r="G13" s="372"/>
      <c r="H13" s="372"/>
      <c r="I13" s="372"/>
      <c r="J13" s="372"/>
    </row>
    <row r="14" spans="2:10" ht="164.1" customHeight="1" x14ac:dyDescent="0.2">
      <c r="B14" s="371" t="s">
        <v>1852</v>
      </c>
      <c r="C14" s="372"/>
      <c r="D14" s="372"/>
      <c r="E14" s="372"/>
      <c r="F14" s="372"/>
      <c r="G14" s="372"/>
      <c r="H14" s="372"/>
      <c r="I14" s="372"/>
      <c r="J14" s="372"/>
    </row>
    <row r="15" spans="2:10" ht="164.1" customHeight="1" x14ac:dyDescent="0.2">
      <c r="B15" s="371" t="s">
        <v>1853</v>
      </c>
      <c r="C15" s="372"/>
      <c r="D15" s="372"/>
      <c r="E15" s="372"/>
      <c r="F15" s="372"/>
      <c r="G15" s="372"/>
      <c r="H15" s="372"/>
      <c r="I15" s="372"/>
      <c r="J15" s="372"/>
    </row>
    <row r="16" spans="2:10" ht="164.1" customHeight="1" x14ac:dyDescent="0.2">
      <c r="B16" s="371" t="s">
        <v>1854</v>
      </c>
      <c r="C16" s="372"/>
      <c r="D16" s="372"/>
      <c r="E16" s="372"/>
      <c r="F16" s="372"/>
      <c r="G16" s="372"/>
      <c r="H16" s="372"/>
      <c r="I16" s="372"/>
      <c r="J16" s="372"/>
    </row>
    <row r="17" spans="2:10" ht="164.1" customHeight="1" x14ac:dyDescent="0.2">
      <c r="B17" s="371" t="s">
        <v>1855</v>
      </c>
      <c r="C17" s="372"/>
      <c r="D17" s="372"/>
      <c r="E17" s="372"/>
      <c r="F17" s="372"/>
      <c r="G17" s="372"/>
      <c r="H17" s="372"/>
      <c r="I17" s="372"/>
      <c r="J17" s="372"/>
    </row>
    <row r="18" spans="2:10" ht="164.1" customHeight="1" x14ac:dyDescent="0.2">
      <c r="B18" s="371" t="s">
        <v>1856</v>
      </c>
      <c r="C18" s="372"/>
      <c r="D18" s="372"/>
      <c r="E18" s="372"/>
      <c r="F18" s="372"/>
      <c r="G18" s="372"/>
      <c r="H18" s="372"/>
      <c r="I18" s="372"/>
      <c r="J18" s="372"/>
    </row>
    <row r="19" spans="2:10" ht="164.1" customHeight="1" x14ac:dyDescent="0.2">
      <c r="B19" s="371" t="s">
        <v>1857</v>
      </c>
      <c r="C19" s="372"/>
      <c r="D19" s="372"/>
      <c r="E19" s="372"/>
      <c r="F19" s="372"/>
      <c r="G19" s="372"/>
      <c r="H19" s="372"/>
      <c r="I19" s="372"/>
      <c r="J19" s="372"/>
    </row>
    <row r="20" spans="2:10" ht="164.1" customHeight="1" x14ac:dyDescent="0.2">
      <c r="B20" s="371" t="s">
        <v>1858</v>
      </c>
      <c r="C20" s="372"/>
      <c r="D20" s="372"/>
      <c r="E20" s="372"/>
      <c r="F20" s="372"/>
      <c r="G20" s="372"/>
      <c r="H20" s="372"/>
      <c r="I20" s="372"/>
      <c r="J20" s="372"/>
    </row>
    <row r="21" spans="2:10" ht="164.1" customHeight="1" x14ac:dyDescent="0.2">
      <c r="B21" s="371" t="s">
        <v>1859</v>
      </c>
      <c r="C21" s="372"/>
      <c r="D21" s="372"/>
      <c r="E21" s="372"/>
      <c r="F21" s="372"/>
      <c r="G21" s="372"/>
      <c r="H21" s="372"/>
      <c r="I21" s="372"/>
      <c r="J21" s="372"/>
    </row>
    <row r="22" spans="2:10" ht="164.1" customHeight="1" x14ac:dyDescent="0.2">
      <c r="B22" s="371" t="s">
        <v>1860</v>
      </c>
      <c r="C22" s="372"/>
      <c r="D22" s="372"/>
      <c r="E22" s="372"/>
      <c r="F22" s="372"/>
      <c r="G22" s="372"/>
      <c r="H22" s="372"/>
      <c r="I22" s="372"/>
      <c r="J22" s="372"/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2026-08-13T23:25:49Z</dcterms:modified>
  <cp:category/>
  <cp:contentStatus/>
</cp:coreProperties>
</file>