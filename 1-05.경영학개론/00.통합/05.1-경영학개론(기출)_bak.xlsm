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현재_통합_문서" defaultThemeVersion="166925"/>
  <mc:AlternateContent xmlns:mc="http://schemas.openxmlformats.org/markup-compatibility/2006">
    <mc:Choice Requires="x15">
      <x15ac:absPath xmlns:x15ac="http://schemas.microsoft.com/office/spreadsheetml/2010/11/ac" url="https://d.docs.live.net/6fcc97d1f31d20fa/01.개인/자격증/공인노무사/03.기출/03.필사/"/>
    </mc:Choice>
  </mc:AlternateContent>
  <xr:revisionPtr revIDLastSave="19334" documentId="8_{446D7C5D-1A60-4937-8CF0-170E748D36B3}" xr6:coauthVersionLast="47" xr6:coauthVersionMax="47" xr10:uidLastSave="{6F56A768-E412-44E9-89E8-E3F70428C25D}"/>
  <bookViews>
    <workbookView xWindow="-120" yWindow="-120" windowWidth="29040" windowHeight="15720" tabRatio="967" activeTab="2" xr2:uid="{00000000-000D-0000-FFFF-FFFF00000000}"/>
  </bookViews>
  <sheets>
    <sheet name="기출문제" sheetId="7" r:id="rId1"/>
    <sheet name="테스트(수시)" sheetId="20" r:id="rId2"/>
    <sheet name="테스트(1회)" sheetId="22" r:id="rId3"/>
    <sheet name="테스트(2회)" sheetId="23" r:id="rId4"/>
    <sheet name="테스트(3회)" sheetId="24" r:id="rId5"/>
    <sheet name="테스트(4회)" sheetId="25" r:id="rId6"/>
    <sheet name="테스트(5회)" sheetId="26" r:id="rId7"/>
  </sheets>
  <definedNames>
    <definedName name="_xlnm._FilterDatabase" localSheetId="0" hidden="1">기출문제!$B$3:$O$3</definedName>
    <definedName name="_xleta.COUNT" hidden="1" xlm="1">#NAME?</definedName>
    <definedName name="_xleta.COUNTIF"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 name="_xlnm.Print_Area" localSheetId="2">'테스트(1회)'!$B$7:$F$332</definedName>
    <definedName name="_xlnm.Print_Area" localSheetId="3">'테스트(2회)'!$B$7:$F$332</definedName>
    <definedName name="_xlnm.Print_Area" localSheetId="4">'테스트(3회)'!$B$7:$F$332</definedName>
    <definedName name="_xlnm.Print_Area" localSheetId="5">'테스트(4회)'!$B$7:$F$332</definedName>
    <definedName name="_xlnm.Print_Area" localSheetId="6">'테스트(5회)'!$B$7:$F$332</definedName>
    <definedName name="_xlnm.Print_Area" localSheetId="1">'테스트(수시)'!$B$7:$F$332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9" i="7" l="1"/>
  <c r="H269" i="7" s="1"/>
  <c r="K269" i="7"/>
  <c r="L269" i="7"/>
  <c r="M269" i="7"/>
  <c r="N269" i="7"/>
  <c r="J270" i="7"/>
  <c r="K270" i="7"/>
  <c r="L270" i="7"/>
  <c r="M270" i="7"/>
  <c r="N270" i="7"/>
  <c r="J271" i="7"/>
  <c r="K271" i="7"/>
  <c r="L271" i="7"/>
  <c r="M271" i="7"/>
  <c r="N271" i="7"/>
  <c r="J272" i="7"/>
  <c r="K272" i="7"/>
  <c r="L272" i="7"/>
  <c r="M272" i="7"/>
  <c r="N272" i="7"/>
  <c r="J273" i="7"/>
  <c r="K273" i="7"/>
  <c r="L273" i="7"/>
  <c r="M273" i="7"/>
  <c r="N273" i="7"/>
  <c r="J274" i="7"/>
  <c r="K274" i="7"/>
  <c r="L274" i="7"/>
  <c r="M274" i="7"/>
  <c r="N274" i="7"/>
  <c r="J275" i="7"/>
  <c r="K275" i="7"/>
  <c r="L275" i="7"/>
  <c r="M275" i="7"/>
  <c r="N275" i="7"/>
  <c r="J276" i="7"/>
  <c r="H276" i="7" s="1"/>
  <c r="K276" i="7"/>
  <c r="L276" i="7"/>
  <c r="M276" i="7"/>
  <c r="N276" i="7"/>
  <c r="J277" i="7"/>
  <c r="K277" i="7"/>
  <c r="L277" i="7"/>
  <c r="M277" i="7"/>
  <c r="N277" i="7"/>
  <c r="J278" i="7"/>
  <c r="K278" i="7"/>
  <c r="L278" i="7"/>
  <c r="M278" i="7"/>
  <c r="N278" i="7"/>
  <c r="J279" i="7"/>
  <c r="K279" i="7"/>
  <c r="L279" i="7"/>
  <c r="M279" i="7"/>
  <c r="N279" i="7"/>
  <c r="J280" i="7"/>
  <c r="K280" i="7"/>
  <c r="L280" i="7"/>
  <c r="M280" i="7"/>
  <c r="N280" i="7"/>
  <c r="J281" i="7"/>
  <c r="K281" i="7"/>
  <c r="L281" i="7"/>
  <c r="M281" i="7"/>
  <c r="N281" i="7"/>
  <c r="J282" i="7"/>
  <c r="K282" i="7"/>
  <c r="L282" i="7"/>
  <c r="M282" i="7"/>
  <c r="N282" i="7"/>
  <c r="J283" i="7"/>
  <c r="K283" i="7"/>
  <c r="L283" i="7"/>
  <c r="M283" i="7"/>
  <c r="N283" i="7"/>
  <c r="J284" i="7"/>
  <c r="K284" i="7"/>
  <c r="L284" i="7"/>
  <c r="M284" i="7"/>
  <c r="N284" i="7"/>
  <c r="J285" i="7"/>
  <c r="K285" i="7"/>
  <c r="L285" i="7"/>
  <c r="M285" i="7"/>
  <c r="N285" i="7"/>
  <c r="J286" i="7"/>
  <c r="K286" i="7"/>
  <c r="L286" i="7"/>
  <c r="M286" i="7"/>
  <c r="N286" i="7"/>
  <c r="J287" i="7"/>
  <c r="H287" i="7" s="1"/>
  <c r="K287" i="7"/>
  <c r="L287" i="7"/>
  <c r="M287" i="7"/>
  <c r="N287" i="7"/>
  <c r="J288" i="7"/>
  <c r="H288" i="7" s="1"/>
  <c r="K288" i="7"/>
  <c r="L288" i="7"/>
  <c r="M288" i="7"/>
  <c r="N288" i="7"/>
  <c r="J289" i="7"/>
  <c r="K289" i="7"/>
  <c r="L289" i="7"/>
  <c r="M289" i="7"/>
  <c r="N289" i="7"/>
  <c r="J290" i="7"/>
  <c r="K290" i="7"/>
  <c r="L290" i="7"/>
  <c r="M290" i="7"/>
  <c r="N290" i="7"/>
  <c r="J291" i="7"/>
  <c r="K291" i="7"/>
  <c r="L291" i="7"/>
  <c r="M291" i="7"/>
  <c r="N291" i="7"/>
  <c r="J292" i="7"/>
  <c r="K292" i="7"/>
  <c r="L292" i="7"/>
  <c r="M292" i="7"/>
  <c r="N292" i="7"/>
  <c r="J293" i="7"/>
  <c r="K293" i="7"/>
  <c r="L293" i="7"/>
  <c r="M293" i="7"/>
  <c r="N293" i="7"/>
  <c r="J294" i="7"/>
  <c r="K294" i="7"/>
  <c r="L294" i="7"/>
  <c r="M294" i="7"/>
  <c r="N294" i="7"/>
  <c r="J295" i="7"/>
  <c r="K295" i="7"/>
  <c r="L295" i="7"/>
  <c r="M295" i="7"/>
  <c r="N295" i="7"/>
  <c r="J296" i="7"/>
  <c r="K296" i="7"/>
  <c r="L296" i="7"/>
  <c r="M296" i="7"/>
  <c r="N296" i="7"/>
  <c r="J297" i="7"/>
  <c r="K297" i="7"/>
  <c r="L297" i="7"/>
  <c r="M297" i="7"/>
  <c r="N297" i="7"/>
  <c r="J298" i="7"/>
  <c r="K298" i="7"/>
  <c r="L298" i="7"/>
  <c r="M298" i="7"/>
  <c r="N298" i="7"/>
  <c r="J299" i="7"/>
  <c r="H299" i="7" s="1"/>
  <c r="K299" i="7"/>
  <c r="L299" i="7"/>
  <c r="M299" i="7"/>
  <c r="N299" i="7"/>
  <c r="J300" i="7"/>
  <c r="H300" i="7" s="1"/>
  <c r="K300" i="7"/>
  <c r="L300" i="7"/>
  <c r="M300" i="7"/>
  <c r="N300" i="7"/>
  <c r="J301" i="7"/>
  <c r="K301" i="7"/>
  <c r="L301" i="7"/>
  <c r="M301" i="7"/>
  <c r="N301" i="7"/>
  <c r="J302" i="7"/>
  <c r="K302" i="7"/>
  <c r="L302" i="7"/>
  <c r="M302" i="7"/>
  <c r="N302" i="7"/>
  <c r="J303" i="7"/>
  <c r="K303" i="7"/>
  <c r="L303" i="7"/>
  <c r="M303" i="7"/>
  <c r="N303" i="7"/>
  <c r="J304" i="7"/>
  <c r="K304" i="7"/>
  <c r="L304" i="7"/>
  <c r="M304" i="7"/>
  <c r="N304" i="7"/>
  <c r="J305" i="7"/>
  <c r="K305" i="7"/>
  <c r="L305" i="7"/>
  <c r="M305" i="7"/>
  <c r="N305" i="7"/>
  <c r="J306" i="7"/>
  <c r="K306" i="7"/>
  <c r="L306" i="7"/>
  <c r="M306" i="7"/>
  <c r="N306" i="7"/>
  <c r="J307" i="7"/>
  <c r="K307" i="7"/>
  <c r="L307" i="7"/>
  <c r="M307" i="7"/>
  <c r="N307" i="7"/>
  <c r="J308" i="7"/>
  <c r="K308" i="7"/>
  <c r="L308" i="7"/>
  <c r="M308" i="7"/>
  <c r="N308" i="7"/>
  <c r="J309" i="7"/>
  <c r="K309" i="7"/>
  <c r="L309" i="7"/>
  <c r="M309" i="7"/>
  <c r="N309" i="7"/>
  <c r="J310" i="7"/>
  <c r="K310" i="7"/>
  <c r="L310" i="7"/>
  <c r="M310" i="7"/>
  <c r="N310" i="7"/>
  <c r="J311" i="7"/>
  <c r="H311" i="7" s="1"/>
  <c r="K311" i="7"/>
  <c r="L311" i="7"/>
  <c r="M311" i="7"/>
  <c r="N311" i="7"/>
  <c r="J312" i="7"/>
  <c r="H312" i="7" s="1"/>
  <c r="K312" i="7"/>
  <c r="L312" i="7"/>
  <c r="M312" i="7"/>
  <c r="N312" i="7"/>
  <c r="J313" i="7"/>
  <c r="K313" i="7"/>
  <c r="L313" i="7"/>
  <c r="M313" i="7"/>
  <c r="N313" i="7"/>
  <c r="J314" i="7"/>
  <c r="K314" i="7"/>
  <c r="L314" i="7"/>
  <c r="M314" i="7"/>
  <c r="N314" i="7"/>
  <c r="J315" i="7"/>
  <c r="K315" i="7"/>
  <c r="L315" i="7"/>
  <c r="M315" i="7"/>
  <c r="N315" i="7"/>
  <c r="J316" i="7"/>
  <c r="K316" i="7"/>
  <c r="L316" i="7"/>
  <c r="M316" i="7"/>
  <c r="N316" i="7"/>
  <c r="J317" i="7"/>
  <c r="K317" i="7"/>
  <c r="L317" i="7"/>
  <c r="M317" i="7"/>
  <c r="N317" i="7"/>
  <c r="J318" i="7"/>
  <c r="K318" i="7"/>
  <c r="L318" i="7"/>
  <c r="M318" i="7"/>
  <c r="N318" i="7"/>
  <c r="J319" i="7"/>
  <c r="K319" i="7"/>
  <c r="L319" i="7"/>
  <c r="M319" i="7"/>
  <c r="N319" i="7"/>
  <c r="J320" i="7"/>
  <c r="K320" i="7"/>
  <c r="L320" i="7"/>
  <c r="M320" i="7"/>
  <c r="N320" i="7"/>
  <c r="J321" i="7"/>
  <c r="K321" i="7"/>
  <c r="L321" i="7"/>
  <c r="M321" i="7"/>
  <c r="N321" i="7"/>
  <c r="J322" i="7"/>
  <c r="K322" i="7"/>
  <c r="L322" i="7"/>
  <c r="M322" i="7"/>
  <c r="N322" i="7"/>
  <c r="J323" i="7"/>
  <c r="H323" i="7" s="1"/>
  <c r="K323" i="7"/>
  <c r="L323" i="7"/>
  <c r="M323" i="7"/>
  <c r="N323" i="7"/>
  <c r="J324" i="7"/>
  <c r="H324" i="7" s="1"/>
  <c r="K324" i="7"/>
  <c r="L324" i="7"/>
  <c r="M324" i="7"/>
  <c r="N324" i="7"/>
  <c r="J325" i="7"/>
  <c r="K325" i="7"/>
  <c r="L325" i="7"/>
  <c r="M325" i="7"/>
  <c r="N325" i="7"/>
  <c r="J326" i="7"/>
  <c r="K326" i="7"/>
  <c r="L326" i="7"/>
  <c r="M326" i="7"/>
  <c r="N326" i="7"/>
  <c r="J327" i="7"/>
  <c r="K327" i="7"/>
  <c r="L327" i="7"/>
  <c r="M327" i="7"/>
  <c r="N327" i="7"/>
  <c r="J328" i="7"/>
  <c r="K328" i="7"/>
  <c r="L328" i="7"/>
  <c r="M328" i="7"/>
  <c r="N328" i="7"/>
  <c r="J329" i="7"/>
  <c r="K329" i="7"/>
  <c r="L329" i="7"/>
  <c r="M329" i="7"/>
  <c r="N329" i="7"/>
  <c r="J330" i="7"/>
  <c r="K330" i="7"/>
  <c r="L330" i="7"/>
  <c r="M330" i="7"/>
  <c r="N330" i="7"/>
  <c r="J331" i="7"/>
  <c r="K331" i="7"/>
  <c r="L331" i="7"/>
  <c r="M331" i="7"/>
  <c r="N331" i="7"/>
  <c r="J332" i="7"/>
  <c r="K332" i="7"/>
  <c r="L332" i="7"/>
  <c r="M332" i="7"/>
  <c r="N332" i="7"/>
  <c r="J333" i="7"/>
  <c r="K333" i="7"/>
  <c r="L333" i="7"/>
  <c r="M333" i="7"/>
  <c r="N333" i="7"/>
  <c r="J334" i="7"/>
  <c r="K334" i="7"/>
  <c r="L334" i="7"/>
  <c r="M334" i="7"/>
  <c r="N334" i="7"/>
  <c r="J335" i="7"/>
  <c r="K335" i="7"/>
  <c r="L335" i="7"/>
  <c r="M335" i="7"/>
  <c r="N335" i="7"/>
  <c r="J336" i="7"/>
  <c r="H336" i="7" s="1"/>
  <c r="K336" i="7"/>
  <c r="L336" i="7"/>
  <c r="M336" i="7"/>
  <c r="N336" i="7"/>
  <c r="J337" i="7"/>
  <c r="K337" i="7"/>
  <c r="L337" i="7"/>
  <c r="M337" i="7"/>
  <c r="N337" i="7"/>
  <c r="J338" i="7"/>
  <c r="K338" i="7"/>
  <c r="L338" i="7"/>
  <c r="M338" i="7"/>
  <c r="N338" i="7"/>
  <c r="J339" i="7"/>
  <c r="K339" i="7"/>
  <c r="L339" i="7"/>
  <c r="M339" i="7"/>
  <c r="N339" i="7"/>
  <c r="J340" i="7"/>
  <c r="K340" i="7"/>
  <c r="L340" i="7"/>
  <c r="M340" i="7"/>
  <c r="N340" i="7"/>
  <c r="J341" i="7"/>
  <c r="K341" i="7"/>
  <c r="L341" i="7"/>
  <c r="M341" i="7"/>
  <c r="N341" i="7"/>
  <c r="J342" i="7"/>
  <c r="K342" i="7"/>
  <c r="L342" i="7"/>
  <c r="M342" i="7"/>
  <c r="N342" i="7"/>
  <c r="J343" i="7"/>
  <c r="K343" i="7"/>
  <c r="L343" i="7"/>
  <c r="M343" i="7"/>
  <c r="N343" i="7"/>
  <c r="J344" i="7"/>
  <c r="K344" i="7"/>
  <c r="L344" i="7"/>
  <c r="M344" i="7"/>
  <c r="N344" i="7"/>
  <c r="J345" i="7"/>
  <c r="K345" i="7"/>
  <c r="L345" i="7"/>
  <c r="M345" i="7"/>
  <c r="N345" i="7"/>
  <c r="J346" i="7"/>
  <c r="K346" i="7"/>
  <c r="L346" i="7"/>
  <c r="M346" i="7"/>
  <c r="N346" i="7"/>
  <c r="J347" i="7"/>
  <c r="K347" i="7"/>
  <c r="L347" i="7"/>
  <c r="M347" i="7"/>
  <c r="N347" i="7"/>
  <c r="J348" i="7"/>
  <c r="H348" i="7" s="1"/>
  <c r="K348" i="7"/>
  <c r="L348" i="7"/>
  <c r="M348" i="7"/>
  <c r="N348" i="7"/>
  <c r="J349" i="7"/>
  <c r="K349" i="7"/>
  <c r="L349" i="7"/>
  <c r="M349" i="7"/>
  <c r="N349" i="7"/>
  <c r="J350" i="7"/>
  <c r="K350" i="7"/>
  <c r="L350" i="7"/>
  <c r="M350" i="7"/>
  <c r="N350" i="7"/>
  <c r="J351" i="7"/>
  <c r="K351" i="7"/>
  <c r="L351" i="7"/>
  <c r="M351" i="7"/>
  <c r="N351" i="7"/>
  <c r="J352" i="7"/>
  <c r="K352" i="7"/>
  <c r="L352" i="7"/>
  <c r="M352" i="7"/>
  <c r="N352" i="7"/>
  <c r="J353" i="7"/>
  <c r="K353" i="7"/>
  <c r="L353" i="7"/>
  <c r="M353" i="7"/>
  <c r="N353" i="7"/>
  <c r="J354" i="7"/>
  <c r="K354" i="7"/>
  <c r="L354" i="7"/>
  <c r="M354" i="7"/>
  <c r="N354" i="7"/>
  <c r="J355" i="7"/>
  <c r="K355" i="7"/>
  <c r="L355" i="7"/>
  <c r="M355" i="7"/>
  <c r="N355" i="7"/>
  <c r="J356" i="7"/>
  <c r="K356" i="7"/>
  <c r="L356" i="7"/>
  <c r="M356" i="7"/>
  <c r="N356" i="7"/>
  <c r="J357" i="7"/>
  <c r="K357" i="7"/>
  <c r="L357" i="7"/>
  <c r="M357" i="7"/>
  <c r="N357" i="7"/>
  <c r="J358" i="7"/>
  <c r="K358" i="7"/>
  <c r="L358" i="7"/>
  <c r="M358" i="7"/>
  <c r="N358" i="7"/>
  <c r="J359" i="7"/>
  <c r="K359" i="7"/>
  <c r="L359" i="7"/>
  <c r="M359" i="7"/>
  <c r="N359" i="7"/>
  <c r="J360" i="7"/>
  <c r="H360" i="7" s="1"/>
  <c r="K360" i="7"/>
  <c r="L360" i="7"/>
  <c r="M360" i="7"/>
  <c r="N360" i="7"/>
  <c r="J361" i="7"/>
  <c r="K361" i="7"/>
  <c r="L361" i="7"/>
  <c r="M361" i="7"/>
  <c r="N361" i="7"/>
  <c r="J362" i="7"/>
  <c r="K362" i="7"/>
  <c r="L362" i="7"/>
  <c r="M362" i="7"/>
  <c r="N362" i="7"/>
  <c r="J363" i="7"/>
  <c r="K363" i="7"/>
  <c r="L363" i="7"/>
  <c r="M363" i="7"/>
  <c r="N363" i="7"/>
  <c r="J364" i="7"/>
  <c r="K364" i="7"/>
  <c r="L364" i="7"/>
  <c r="M364" i="7"/>
  <c r="N364" i="7"/>
  <c r="J365" i="7"/>
  <c r="K365" i="7"/>
  <c r="L365" i="7"/>
  <c r="M365" i="7"/>
  <c r="N365" i="7"/>
  <c r="J366" i="7"/>
  <c r="K366" i="7"/>
  <c r="L366" i="7"/>
  <c r="M366" i="7"/>
  <c r="N366" i="7"/>
  <c r="J367" i="7"/>
  <c r="K367" i="7"/>
  <c r="L367" i="7"/>
  <c r="M367" i="7"/>
  <c r="N367" i="7"/>
  <c r="J368" i="7"/>
  <c r="K368" i="7"/>
  <c r="L368" i="7"/>
  <c r="M368" i="7"/>
  <c r="N368" i="7"/>
  <c r="J369" i="7"/>
  <c r="K369" i="7"/>
  <c r="L369" i="7"/>
  <c r="M369" i="7"/>
  <c r="N369" i="7"/>
  <c r="J370" i="7"/>
  <c r="K370" i="7"/>
  <c r="L370" i="7"/>
  <c r="M370" i="7"/>
  <c r="N370" i="7"/>
  <c r="J371" i="7"/>
  <c r="K371" i="7"/>
  <c r="L371" i="7"/>
  <c r="M371" i="7"/>
  <c r="N371" i="7"/>
  <c r="J372" i="7"/>
  <c r="H372" i="7" s="1"/>
  <c r="K372" i="7"/>
  <c r="L372" i="7"/>
  <c r="M372" i="7"/>
  <c r="N372" i="7"/>
  <c r="J373" i="7"/>
  <c r="K373" i="7"/>
  <c r="L373" i="7"/>
  <c r="M373" i="7"/>
  <c r="N373" i="7"/>
  <c r="J374" i="7"/>
  <c r="K374" i="7"/>
  <c r="L374" i="7"/>
  <c r="M374" i="7"/>
  <c r="N374" i="7"/>
  <c r="J375" i="7"/>
  <c r="K375" i="7"/>
  <c r="L375" i="7"/>
  <c r="M375" i="7"/>
  <c r="N375" i="7"/>
  <c r="J376" i="7"/>
  <c r="K376" i="7"/>
  <c r="L376" i="7"/>
  <c r="M376" i="7"/>
  <c r="N376" i="7"/>
  <c r="J377" i="7"/>
  <c r="K377" i="7"/>
  <c r="L377" i="7"/>
  <c r="M377" i="7"/>
  <c r="N377" i="7"/>
  <c r="J378" i="7"/>
  <c r="K378" i="7"/>
  <c r="L378" i="7"/>
  <c r="M378" i="7"/>
  <c r="N378" i="7"/>
  <c r="J379" i="7"/>
  <c r="K379" i="7"/>
  <c r="L379" i="7"/>
  <c r="M379" i="7"/>
  <c r="N379" i="7"/>
  <c r="J380" i="7"/>
  <c r="K380" i="7"/>
  <c r="L380" i="7"/>
  <c r="M380" i="7"/>
  <c r="N380" i="7"/>
  <c r="J381" i="7"/>
  <c r="K381" i="7"/>
  <c r="L381" i="7"/>
  <c r="M381" i="7"/>
  <c r="N381" i="7"/>
  <c r="J382" i="7"/>
  <c r="K382" i="7"/>
  <c r="L382" i="7"/>
  <c r="M382" i="7"/>
  <c r="N382" i="7"/>
  <c r="J383" i="7"/>
  <c r="K383" i="7"/>
  <c r="L383" i="7"/>
  <c r="M383" i="7"/>
  <c r="N383" i="7"/>
  <c r="J384" i="7"/>
  <c r="H384" i="7" s="1"/>
  <c r="K384" i="7"/>
  <c r="L384" i="7"/>
  <c r="M384" i="7"/>
  <c r="N384" i="7"/>
  <c r="J385" i="7"/>
  <c r="K385" i="7"/>
  <c r="L385" i="7"/>
  <c r="M385" i="7"/>
  <c r="N385" i="7"/>
  <c r="J386" i="7"/>
  <c r="K386" i="7"/>
  <c r="L386" i="7"/>
  <c r="M386" i="7"/>
  <c r="N386" i="7"/>
  <c r="J387" i="7"/>
  <c r="K387" i="7"/>
  <c r="L387" i="7"/>
  <c r="M387" i="7"/>
  <c r="N387" i="7"/>
  <c r="J388" i="7"/>
  <c r="K388" i="7"/>
  <c r="L388" i="7"/>
  <c r="M388" i="7"/>
  <c r="N388" i="7"/>
  <c r="J389" i="7"/>
  <c r="K389" i="7"/>
  <c r="L389" i="7"/>
  <c r="M389" i="7"/>
  <c r="N389" i="7"/>
  <c r="J390" i="7"/>
  <c r="K390" i="7"/>
  <c r="L390" i="7"/>
  <c r="M390" i="7"/>
  <c r="N390" i="7"/>
  <c r="J391" i="7"/>
  <c r="K391" i="7"/>
  <c r="L391" i="7"/>
  <c r="M391" i="7"/>
  <c r="N391" i="7"/>
  <c r="J392" i="7"/>
  <c r="K392" i="7"/>
  <c r="L392" i="7"/>
  <c r="M392" i="7"/>
  <c r="N392" i="7"/>
  <c r="J393" i="7"/>
  <c r="K393" i="7"/>
  <c r="L393" i="7"/>
  <c r="M393" i="7"/>
  <c r="N393" i="7"/>
  <c r="G397" i="26"/>
  <c r="F397" i="26"/>
  <c r="E397" i="26"/>
  <c r="G396" i="26"/>
  <c r="F396" i="26"/>
  <c r="E396" i="26"/>
  <c r="G395" i="26"/>
  <c r="F395" i="26"/>
  <c r="E395" i="26"/>
  <c r="G394" i="26"/>
  <c r="F394" i="26"/>
  <c r="E394" i="26"/>
  <c r="G393" i="26"/>
  <c r="F393" i="26"/>
  <c r="E393" i="26"/>
  <c r="G392" i="26"/>
  <c r="F392" i="26"/>
  <c r="E392" i="26"/>
  <c r="G391" i="26"/>
  <c r="F391" i="26"/>
  <c r="E391" i="26"/>
  <c r="G390" i="26"/>
  <c r="F390" i="26"/>
  <c r="E390" i="26"/>
  <c r="G389" i="26"/>
  <c r="F389" i="26"/>
  <c r="E389" i="26"/>
  <c r="G388" i="26"/>
  <c r="F388" i="26"/>
  <c r="E388" i="26"/>
  <c r="G387" i="26"/>
  <c r="F387" i="26"/>
  <c r="E387" i="26"/>
  <c r="G386" i="26"/>
  <c r="F386" i="26"/>
  <c r="E386" i="26"/>
  <c r="G385" i="26"/>
  <c r="F385" i="26"/>
  <c r="E385" i="26"/>
  <c r="G384" i="26"/>
  <c r="F384" i="26"/>
  <c r="E384" i="26"/>
  <c r="G383" i="26"/>
  <c r="F383" i="26"/>
  <c r="E383" i="26"/>
  <c r="G382" i="26"/>
  <c r="F382" i="26"/>
  <c r="E382" i="26"/>
  <c r="G381" i="26"/>
  <c r="F381" i="26"/>
  <c r="E381" i="26"/>
  <c r="G380" i="26"/>
  <c r="F380" i="26"/>
  <c r="E380" i="26"/>
  <c r="G379" i="26"/>
  <c r="F379" i="26"/>
  <c r="E379" i="26"/>
  <c r="G378" i="26"/>
  <c r="F378" i="26"/>
  <c r="E378" i="26"/>
  <c r="G377" i="26"/>
  <c r="F377" i="26"/>
  <c r="E377" i="26"/>
  <c r="G376" i="26"/>
  <c r="F376" i="26"/>
  <c r="E376" i="26"/>
  <c r="G375" i="26"/>
  <c r="F375" i="26"/>
  <c r="E375" i="26"/>
  <c r="G374" i="26"/>
  <c r="F374" i="26"/>
  <c r="E374" i="26"/>
  <c r="G373" i="26"/>
  <c r="F373" i="26"/>
  <c r="E373" i="26"/>
  <c r="G372" i="26"/>
  <c r="F372" i="26"/>
  <c r="E372" i="26"/>
  <c r="G371" i="26"/>
  <c r="F371" i="26"/>
  <c r="E371" i="26"/>
  <c r="G370" i="26"/>
  <c r="F370" i="26"/>
  <c r="E370" i="26"/>
  <c r="G369" i="26"/>
  <c r="F369" i="26"/>
  <c r="E369" i="26"/>
  <c r="G368" i="26"/>
  <c r="F368" i="26"/>
  <c r="E368" i="26"/>
  <c r="G367" i="26"/>
  <c r="F367" i="26"/>
  <c r="E367" i="26"/>
  <c r="G366" i="26"/>
  <c r="F366" i="26"/>
  <c r="E366" i="26"/>
  <c r="G365" i="26"/>
  <c r="F365" i="26"/>
  <c r="E365" i="26"/>
  <c r="G364" i="26"/>
  <c r="F364" i="26"/>
  <c r="E364" i="26"/>
  <c r="G363" i="26"/>
  <c r="F363" i="26"/>
  <c r="E363" i="26"/>
  <c r="G362" i="26"/>
  <c r="F362" i="26"/>
  <c r="E362" i="26"/>
  <c r="G361" i="26"/>
  <c r="F361" i="26"/>
  <c r="E361" i="26"/>
  <c r="G360" i="26"/>
  <c r="F360" i="26"/>
  <c r="E360" i="26"/>
  <c r="G359" i="26"/>
  <c r="F359" i="26"/>
  <c r="E359" i="26"/>
  <c r="G358" i="26"/>
  <c r="F358" i="26"/>
  <c r="E358" i="26"/>
  <c r="G357" i="26"/>
  <c r="F357" i="26"/>
  <c r="E357" i="26"/>
  <c r="G356" i="26"/>
  <c r="F356" i="26"/>
  <c r="E356" i="26"/>
  <c r="G355" i="26"/>
  <c r="F355" i="26"/>
  <c r="E355" i="26"/>
  <c r="G354" i="26"/>
  <c r="F354" i="26"/>
  <c r="E354" i="26"/>
  <c r="G353" i="26"/>
  <c r="F353" i="26"/>
  <c r="E353" i="26"/>
  <c r="G352" i="26"/>
  <c r="F352" i="26"/>
  <c r="E352" i="26"/>
  <c r="G351" i="26"/>
  <c r="F351" i="26"/>
  <c r="E351" i="26"/>
  <c r="G350" i="26"/>
  <c r="F350" i="26"/>
  <c r="E350" i="26"/>
  <c r="G349" i="26"/>
  <c r="F349" i="26"/>
  <c r="E349" i="26"/>
  <c r="G348" i="26"/>
  <c r="F348" i="26"/>
  <c r="E348" i="26"/>
  <c r="G347" i="26"/>
  <c r="F347" i="26"/>
  <c r="E347" i="26"/>
  <c r="G346" i="26"/>
  <c r="F346" i="26"/>
  <c r="E346" i="26"/>
  <c r="G345" i="26"/>
  <c r="F345" i="26"/>
  <c r="E345" i="26"/>
  <c r="G344" i="26"/>
  <c r="F344" i="26"/>
  <c r="E344" i="26"/>
  <c r="G343" i="26"/>
  <c r="F343" i="26"/>
  <c r="E343" i="26"/>
  <c r="G342" i="26"/>
  <c r="F342" i="26"/>
  <c r="E342" i="26"/>
  <c r="G341" i="26"/>
  <c r="F341" i="26"/>
  <c r="E341" i="26"/>
  <c r="G340" i="26"/>
  <c r="F340" i="26"/>
  <c r="E340" i="26"/>
  <c r="G339" i="26"/>
  <c r="F339" i="26"/>
  <c r="E339" i="26"/>
  <c r="G338" i="26"/>
  <c r="F338" i="26"/>
  <c r="E338" i="26"/>
  <c r="G337" i="26"/>
  <c r="F337" i="26"/>
  <c r="E337" i="26"/>
  <c r="G336" i="26"/>
  <c r="F336" i="26"/>
  <c r="E336" i="26"/>
  <c r="G335" i="26"/>
  <c r="F335" i="26"/>
  <c r="E335" i="26"/>
  <c r="G334" i="26"/>
  <c r="F334" i="26"/>
  <c r="E334" i="26"/>
  <c r="G333" i="26"/>
  <c r="F333" i="26"/>
  <c r="E333" i="26"/>
  <c r="G332" i="26"/>
  <c r="F332" i="26"/>
  <c r="E332" i="26"/>
  <c r="G331" i="26"/>
  <c r="F331" i="26"/>
  <c r="E331" i="26"/>
  <c r="G330" i="26"/>
  <c r="F330" i="26"/>
  <c r="E330" i="26"/>
  <c r="G329" i="26"/>
  <c r="F329" i="26"/>
  <c r="E329" i="26"/>
  <c r="G328" i="26"/>
  <c r="F328" i="26"/>
  <c r="E328" i="26"/>
  <c r="G327" i="26"/>
  <c r="F327" i="26"/>
  <c r="E327" i="26"/>
  <c r="G326" i="26"/>
  <c r="F326" i="26"/>
  <c r="E326" i="26"/>
  <c r="G325" i="26"/>
  <c r="F325" i="26"/>
  <c r="E325" i="26"/>
  <c r="G324" i="26"/>
  <c r="F324" i="26"/>
  <c r="E324" i="26"/>
  <c r="G323" i="26"/>
  <c r="F323" i="26"/>
  <c r="E323" i="26"/>
  <c r="G322" i="26"/>
  <c r="F322" i="26"/>
  <c r="E322" i="26"/>
  <c r="G321" i="26"/>
  <c r="F321" i="26"/>
  <c r="E321" i="26"/>
  <c r="G320" i="26"/>
  <c r="F320" i="26"/>
  <c r="E320" i="26"/>
  <c r="G319" i="26"/>
  <c r="F319" i="26"/>
  <c r="E319" i="26"/>
  <c r="G318" i="26"/>
  <c r="F318" i="26"/>
  <c r="E318" i="26"/>
  <c r="G317" i="26"/>
  <c r="F317" i="26"/>
  <c r="E317" i="26"/>
  <c r="G316" i="26"/>
  <c r="F316" i="26"/>
  <c r="E316" i="26"/>
  <c r="G315" i="26"/>
  <c r="F315" i="26"/>
  <c r="E315" i="26"/>
  <c r="G314" i="26"/>
  <c r="F314" i="26"/>
  <c r="E314" i="26"/>
  <c r="G313" i="26"/>
  <c r="F313" i="26"/>
  <c r="E313" i="26"/>
  <c r="G312" i="26"/>
  <c r="F312" i="26"/>
  <c r="E312" i="26"/>
  <c r="G311" i="26"/>
  <c r="F311" i="26"/>
  <c r="E311" i="26"/>
  <c r="G310" i="26"/>
  <c r="F310" i="26"/>
  <c r="E310" i="26"/>
  <c r="G309" i="26"/>
  <c r="F309" i="26"/>
  <c r="E309" i="26"/>
  <c r="G308" i="26"/>
  <c r="F308" i="26"/>
  <c r="E308" i="26"/>
  <c r="G307" i="26"/>
  <c r="F307" i="26"/>
  <c r="E307" i="26"/>
  <c r="G306" i="26"/>
  <c r="F306" i="26"/>
  <c r="E306" i="26"/>
  <c r="G305" i="26"/>
  <c r="F305" i="26"/>
  <c r="E305" i="26"/>
  <c r="G304" i="26"/>
  <c r="F304" i="26"/>
  <c r="E304" i="26"/>
  <c r="G303" i="26"/>
  <c r="F303" i="26"/>
  <c r="E303" i="26"/>
  <c r="G302" i="26"/>
  <c r="F302" i="26"/>
  <c r="E302" i="26"/>
  <c r="G301" i="26"/>
  <c r="F301" i="26"/>
  <c r="E301" i="26"/>
  <c r="G300" i="26"/>
  <c r="F300" i="26"/>
  <c r="E300" i="26"/>
  <c r="G299" i="26"/>
  <c r="F299" i="26"/>
  <c r="E299" i="26"/>
  <c r="G298" i="26"/>
  <c r="F298" i="26"/>
  <c r="E298" i="26"/>
  <c r="G297" i="26"/>
  <c r="F297" i="26"/>
  <c r="E297" i="26"/>
  <c r="G296" i="26"/>
  <c r="F296" i="26"/>
  <c r="E296" i="26"/>
  <c r="G295" i="26"/>
  <c r="F295" i="26"/>
  <c r="E295" i="26"/>
  <c r="G294" i="26"/>
  <c r="F294" i="26"/>
  <c r="E294" i="26"/>
  <c r="G293" i="26"/>
  <c r="F293" i="26"/>
  <c r="E293" i="26"/>
  <c r="G292" i="26"/>
  <c r="F292" i="26"/>
  <c r="E292" i="26"/>
  <c r="G291" i="26"/>
  <c r="F291" i="26"/>
  <c r="E291" i="26"/>
  <c r="G290" i="26"/>
  <c r="F290" i="26"/>
  <c r="E290" i="26"/>
  <c r="G289" i="26"/>
  <c r="F289" i="26"/>
  <c r="E289" i="26"/>
  <c r="G288" i="26"/>
  <c r="F288" i="26"/>
  <c r="E288" i="26"/>
  <c r="G287" i="26"/>
  <c r="F287" i="26"/>
  <c r="E287" i="26"/>
  <c r="G286" i="26"/>
  <c r="F286" i="26"/>
  <c r="E286" i="26"/>
  <c r="G285" i="26"/>
  <c r="F285" i="26"/>
  <c r="E285" i="26"/>
  <c r="G284" i="26"/>
  <c r="F284" i="26"/>
  <c r="E284" i="26"/>
  <c r="G283" i="26"/>
  <c r="F283" i="26"/>
  <c r="E283" i="26"/>
  <c r="G282" i="26"/>
  <c r="F282" i="26"/>
  <c r="E282" i="26"/>
  <c r="G281" i="26"/>
  <c r="F281" i="26"/>
  <c r="E281" i="26"/>
  <c r="G280" i="26"/>
  <c r="F280" i="26"/>
  <c r="E280" i="26"/>
  <c r="G279" i="26"/>
  <c r="F279" i="26"/>
  <c r="E279" i="26"/>
  <c r="G278" i="26"/>
  <c r="F278" i="26"/>
  <c r="E278" i="26"/>
  <c r="G277" i="26"/>
  <c r="F277" i="26"/>
  <c r="E277" i="26"/>
  <c r="G276" i="26"/>
  <c r="F276" i="26"/>
  <c r="E276" i="26"/>
  <c r="G275" i="26"/>
  <c r="F275" i="26"/>
  <c r="E275" i="26"/>
  <c r="G274" i="26"/>
  <c r="F274" i="26"/>
  <c r="E274" i="26"/>
  <c r="G273" i="26"/>
  <c r="F273" i="26"/>
  <c r="E273" i="26"/>
  <c r="G272" i="26"/>
  <c r="N268" i="7" s="1"/>
  <c r="F272" i="26"/>
  <c r="E272" i="26"/>
  <c r="G271" i="26"/>
  <c r="N267" i="7" s="1"/>
  <c r="F271" i="26"/>
  <c r="E271" i="26"/>
  <c r="G270" i="26"/>
  <c r="N266" i="7" s="1"/>
  <c r="F270" i="26"/>
  <c r="E270" i="26"/>
  <c r="G269" i="26"/>
  <c r="N265" i="7" s="1"/>
  <c r="F269" i="26"/>
  <c r="E269" i="26"/>
  <c r="G268" i="26"/>
  <c r="N264" i="7" s="1"/>
  <c r="F268" i="26"/>
  <c r="E268" i="26"/>
  <c r="G267" i="26"/>
  <c r="N263" i="7" s="1"/>
  <c r="F267" i="26"/>
  <c r="E267" i="26"/>
  <c r="G266" i="26"/>
  <c r="N262" i="7" s="1"/>
  <c r="F266" i="26"/>
  <c r="E266" i="26"/>
  <c r="G265" i="26"/>
  <c r="N261" i="7" s="1"/>
  <c r="F265" i="26"/>
  <c r="E265" i="26"/>
  <c r="G264" i="26"/>
  <c r="N260" i="7" s="1"/>
  <c r="F264" i="26"/>
  <c r="E264" i="26"/>
  <c r="G263" i="26"/>
  <c r="N259" i="7" s="1"/>
  <c r="F263" i="26"/>
  <c r="E263" i="26"/>
  <c r="G262" i="26"/>
  <c r="N258" i="7" s="1"/>
  <c r="F262" i="26"/>
  <c r="E262" i="26"/>
  <c r="G261" i="26"/>
  <c r="N257" i="7" s="1"/>
  <c r="F261" i="26"/>
  <c r="E261" i="26"/>
  <c r="G260" i="26"/>
  <c r="N256" i="7" s="1"/>
  <c r="F260" i="26"/>
  <c r="E260" i="26"/>
  <c r="G259" i="26"/>
  <c r="N255" i="7" s="1"/>
  <c r="F259" i="26"/>
  <c r="E259" i="26"/>
  <c r="G258" i="26"/>
  <c r="N254" i="7" s="1"/>
  <c r="F258" i="26"/>
  <c r="E258" i="26"/>
  <c r="G257" i="26"/>
  <c r="N253" i="7" s="1"/>
  <c r="F257" i="26"/>
  <c r="E257" i="26"/>
  <c r="G256" i="26"/>
  <c r="N252" i="7" s="1"/>
  <c r="F256" i="26"/>
  <c r="E256" i="26"/>
  <c r="G255" i="26"/>
  <c r="N251" i="7" s="1"/>
  <c r="F255" i="26"/>
  <c r="E255" i="26"/>
  <c r="G254" i="26"/>
  <c r="N250" i="7" s="1"/>
  <c r="F254" i="26"/>
  <c r="E254" i="26"/>
  <c r="G253" i="26"/>
  <c r="N249" i="7" s="1"/>
  <c r="F253" i="26"/>
  <c r="E253" i="26"/>
  <c r="G252" i="26"/>
  <c r="N248" i="7" s="1"/>
  <c r="F252" i="26"/>
  <c r="E252" i="26"/>
  <c r="G251" i="26"/>
  <c r="N247" i="7" s="1"/>
  <c r="F251" i="26"/>
  <c r="E251" i="26"/>
  <c r="G250" i="26"/>
  <c r="N246" i="7" s="1"/>
  <c r="F250" i="26"/>
  <c r="E250" i="26"/>
  <c r="G249" i="26"/>
  <c r="N245" i="7" s="1"/>
  <c r="F249" i="26"/>
  <c r="E249" i="26"/>
  <c r="G248" i="26"/>
  <c r="N244" i="7" s="1"/>
  <c r="F248" i="26"/>
  <c r="E248" i="26"/>
  <c r="G247" i="26"/>
  <c r="N243" i="7" s="1"/>
  <c r="F247" i="26"/>
  <c r="E247" i="26"/>
  <c r="G246" i="26"/>
  <c r="N242" i="7" s="1"/>
  <c r="F246" i="26"/>
  <c r="E246" i="26"/>
  <c r="G245" i="26"/>
  <c r="N241" i="7" s="1"/>
  <c r="F245" i="26"/>
  <c r="E245" i="26"/>
  <c r="G244" i="26"/>
  <c r="N240" i="7" s="1"/>
  <c r="F244" i="26"/>
  <c r="E244" i="26"/>
  <c r="G243" i="26"/>
  <c r="N239" i="7" s="1"/>
  <c r="F243" i="26"/>
  <c r="E243" i="26"/>
  <c r="G242" i="26"/>
  <c r="N238" i="7" s="1"/>
  <c r="F242" i="26"/>
  <c r="E242" i="26"/>
  <c r="G241" i="26"/>
  <c r="N237" i="7" s="1"/>
  <c r="F241" i="26"/>
  <c r="E241" i="26"/>
  <c r="G240" i="26"/>
  <c r="N236" i="7" s="1"/>
  <c r="F240" i="26"/>
  <c r="E240" i="26"/>
  <c r="G239" i="26"/>
  <c r="N235" i="7" s="1"/>
  <c r="F239" i="26"/>
  <c r="E239" i="26"/>
  <c r="G238" i="26"/>
  <c r="N234" i="7" s="1"/>
  <c r="F238" i="26"/>
  <c r="E238" i="26"/>
  <c r="G237" i="26"/>
  <c r="N233" i="7" s="1"/>
  <c r="F237" i="26"/>
  <c r="E237" i="26"/>
  <c r="G236" i="26"/>
  <c r="N232" i="7" s="1"/>
  <c r="F236" i="26"/>
  <c r="E236" i="26"/>
  <c r="G235" i="26"/>
  <c r="N231" i="7" s="1"/>
  <c r="F235" i="26"/>
  <c r="E235" i="26"/>
  <c r="G234" i="26"/>
  <c r="N230" i="7" s="1"/>
  <c r="F234" i="26"/>
  <c r="E234" i="26"/>
  <c r="G233" i="26"/>
  <c r="N229" i="7" s="1"/>
  <c r="F233" i="26"/>
  <c r="E233" i="26"/>
  <c r="G232" i="26"/>
  <c r="N228" i="7" s="1"/>
  <c r="F232" i="26"/>
  <c r="E232" i="26"/>
  <c r="G231" i="26"/>
  <c r="N227" i="7" s="1"/>
  <c r="F231" i="26"/>
  <c r="E231" i="26"/>
  <c r="G230" i="26"/>
  <c r="N226" i="7" s="1"/>
  <c r="F230" i="26"/>
  <c r="E230" i="26"/>
  <c r="G229" i="26"/>
  <c r="N225" i="7" s="1"/>
  <c r="F229" i="26"/>
  <c r="E229" i="26"/>
  <c r="G228" i="26"/>
  <c r="N224" i="7" s="1"/>
  <c r="F228" i="26"/>
  <c r="E228" i="26"/>
  <c r="G227" i="26"/>
  <c r="N223" i="7" s="1"/>
  <c r="F227" i="26"/>
  <c r="E227" i="26"/>
  <c r="G226" i="26"/>
  <c r="N222" i="7" s="1"/>
  <c r="F226" i="26"/>
  <c r="E226" i="26"/>
  <c r="G225" i="26"/>
  <c r="N221" i="7" s="1"/>
  <c r="F225" i="26"/>
  <c r="E225" i="26"/>
  <c r="G224" i="26"/>
  <c r="N220" i="7" s="1"/>
  <c r="F224" i="26"/>
  <c r="E224" i="26"/>
  <c r="G223" i="26"/>
  <c r="N219" i="7" s="1"/>
  <c r="F223" i="26"/>
  <c r="E223" i="26"/>
  <c r="G222" i="26"/>
  <c r="N218" i="7" s="1"/>
  <c r="F222" i="26"/>
  <c r="E222" i="26"/>
  <c r="G221" i="26"/>
  <c r="N217" i="7" s="1"/>
  <c r="F221" i="26"/>
  <c r="E221" i="26"/>
  <c r="G220" i="26"/>
  <c r="N216" i="7" s="1"/>
  <c r="F220" i="26"/>
  <c r="E220" i="26"/>
  <c r="G219" i="26"/>
  <c r="N215" i="7" s="1"/>
  <c r="F219" i="26"/>
  <c r="E219" i="26"/>
  <c r="G218" i="26"/>
  <c r="N214" i="7" s="1"/>
  <c r="F218" i="26"/>
  <c r="E218" i="26"/>
  <c r="G217" i="26"/>
  <c r="N213" i="7" s="1"/>
  <c r="F217" i="26"/>
  <c r="E217" i="26"/>
  <c r="G216" i="26"/>
  <c r="N212" i="7" s="1"/>
  <c r="F216" i="26"/>
  <c r="E216" i="26"/>
  <c r="G215" i="26"/>
  <c r="N211" i="7" s="1"/>
  <c r="F215" i="26"/>
  <c r="E215" i="26"/>
  <c r="G214" i="26"/>
  <c r="N210" i="7" s="1"/>
  <c r="F214" i="26"/>
  <c r="E214" i="26"/>
  <c r="G213" i="26"/>
  <c r="N209" i="7" s="1"/>
  <c r="F213" i="26"/>
  <c r="E213" i="26"/>
  <c r="G212" i="26"/>
  <c r="N208" i="7" s="1"/>
  <c r="F212" i="26"/>
  <c r="E212" i="26"/>
  <c r="G211" i="26"/>
  <c r="N207" i="7" s="1"/>
  <c r="F211" i="26"/>
  <c r="E211" i="26"/>
  <c r="G210" i="26"/>
  <c r="N206" i="7" s="1"/>
  <c r="F210" i="26"/>
  <c r="E210" i="26"/>
  <c r="G209" i="26"/>
  <c r="N205" i="7" s="1"/>
  <c r="F209" i="26"/>
  <c r="E209" i="26"/>
  <c r="G208" i="26"/>
  <c r="N204" i="7" s="1"/>
  <c r="F208" i="26"/>
  <c r="E208" i="26"/>
  <c r="G207" i="26"/>
  <c r="N203" i="7" s="1"/>
  <c r="F207" i="26"/>
  <c r="E207" i="26"/>
  <c r="G206" i="26"/>
  <c r="N202" i="7" s="1"/>
  <c r="F206" i="26"/>
  <c r="E206" i="26"/>
  <c r="G205" i="26"/>
  <c r="N201" i="7" s="1"/>
  <c r="F205" i="26"/>
  <c r="E205" i="26"/>
  <c r="G204" i="26"/>
  <c r="N200" i="7" s="1"/>
  <c r="F204" i="26"/>
  <c r="E204" i="26"/>
  <c r="G203" i="26"/>
  <c r="N199" i="7" s="1"/>
  <c r="F203" i="26"/>
  <c r="E203" i="26"/>
  <c r="G202" i="26"/>
  <c r="N198" i="7" s="1"/>
  <c r="F202" i="26"/>
  <c r="E202" i="26"/>
  <c r="G201" i="26"/>
  <c r="N197" i="7" s="1"/>
  <c r="F201" i="26"/>
  <c r="E201" i="26"/>
  <c r="G200" i="26"/>
  <c r="N196" i="7" s="1"/>
  <c r="F200" i="26"/>
  <c r="E200" i="26"/>
  <c r="G199" i="26"/>
  <c r="N195" i="7" s="1"/>
  <c r="F199" i="26"/>
  <c r="E199" i="26"/>
  <c r="G198" i="26"/>
  <c r="N194" i="7" s="1"/>
  <c r="F198" i="26"/>
  <c r="E198" i="26"/>
  <c r="G197" i="26"/>
  <c r="N193" i="7" s="1"/>
  <c r="F197" i="26"/>
  <c r="E197" i="26"/>
  <c r="G196" i="26"/>
  <c r="N192" i="7" s="1"/>
  <c r="F196" i="26"/>
  <c r="E196" i="26"/>
  <c r="G195" i="26"/>
  <c r="N191" i="7" s="1"/>
  <c r="F195" i="26"/>
  <c r="E195" i="26"/>
  <c r="G194" i="26"/>
  <c r="N190" i="7" s="1"/>
  <c r="F194" i="26"/>
  <c r="E194" i="26"/>
  <c r="G193" i="26"/>
  <c r="N189" i="7" s="1"/>
  <c r="F193" i="26"/>
  <c r="E193" i="26"/>
  <c r="G192" i="26"/>
  <c r="N188" i="7" s="1"/>
  <c r="F192" i="26"/>
  <c r="E192" i="26"/>
  <c r="G191" i="26"/>
  <c r="N187" i="7" s="1"/>
  <c r="F191" i="26"/>
  <c r="E191" i="26"/>
  <c r="G190" i="26"/>
  <c r="N186" i="7" s="1"/>
  <c r="F190" i="26"/>
  <c r="E190" i="26"/>
  <c r="G189" i="26"/>
  <c r="N185" i="7" s="1"/>
  <c r="F189" i="26"/>
  <c r="E189" i="26"/>
  <c r="G188" i="26"/>
  <c r="N184" i="7" s="1"/>
  <c r="F188" i="26"/>
  <c r="E188" i="26"/>
  <c r="G187" i="26"/>
  <c r="N183" i="7" s="1"/>
  <c r="F187" i="26"/>
  <c r="E187" i="26"/>
  <c r="G186" i="26"/>
  <c r="N182" i="7" s="1"/>
  <c r="F186" i="26"/>
  <c r="E186" i="26"/>
  <c r="G185" i="26"/>
  <c r="N181" i="7" s="1"/>
  <c r="F185" i="26"/>
  <c r="E185" i="26"/>
  <c r="G184" i="26"/>
  <c r="N180" i="7" s="1"/>
  <c r="F184" i="26"/>
  <c r="E184" i="26"/>
  <c r="G183" i="26"/>
  <c r="N179" i="7" s="1"/>
  <c r="F183" i="26"/>
  <c r="E183" i="26"/>
  <c r="G182" i="26"/>
  <c r="N178" i="7" s="1"/>
  <c r="F182" i="26"/>
  <c r="E182" i="26"/>
  <c r="G181" i="26"/>
  <c r="N177" i="7" s="1"/>
  <c r="F181" i="26"/>
  <c r="E181" i="26"/>
  <c r="G180" i="26"/>
  <c r="N176" i="7" s="1"/>
  <c r="F180" i="26"/>
  <c r="E180" i="26"/>
  <c r="G179" i="26"/>
  <c r="N175" i="7" s="1"/>
  <c r="F179" i="26"/>
  <c r="E179" i="26"/>
  <c r="G178" i="26"/>
  <c r="N174" i="7" s="1"/>
  <c r="F178" i="26"/>
  <c r="E178" i="26"/>
  <c r="G177" i="26"/>
  <c r="N173" i="7" s="1"/>
  <c r="F177" i="26"/>
  <c r="E177" i="26"/>
  <c r="G176" i="26"/>
  <c r="N172" i="7" s="1"/>
  <c r="F176" i="26"/>
  <c r="E176" i="26"/>
  <c r="G175" i="26"/>
  <c r="N171" i="7" s="1"/>
  <c r="F175" i="26"/>
  <c r="E175" i="26"/>
  <c r="G174" i="26"/>
  <c r="N170" i="7" s="1"/>
  <c r="F174" i="26"/>
  <c r="E174" i="26"/>
  <c r="G173" i="26"/>
  <c r="N169" i="7" s="1"/>
  <c r="F173" i="26"/>
  <c r="E173" i="26"/>
  <c r="G172" i="26"/>
  <c r="N168" i="7" s="1"/>
  <c r="F172" i="26"/>
  <c r="E172" i="26"/>
  <c r="G171" i="26"/>
  <c r="N167" i="7" s="1"/>
  <c r="F171" i="26"/>
  <c r="E171" i="26"/>
  <c r="G170" i="26"/>
  <c r="N166" i="7" s="1"/>
  <c r="F170" i="26"/>
  <c r="E170" i="26"/>
  <c r="G169" i="26"/>
  <c r="N165" i="7" s="1"/>
  <c r="F169" i="26"/>
  <c r="E169" i="26"/>
  <c r="G168" i="26"/>
  <c r="N164" i="7" s="1"/>
  <c r="F168" i="26"/>
  <c r="E168" i="26"/>
  <c r="G167" i="26"/>
  <c r="N163" i="7" s="1"/>
  <c r="F167" i="26"/>
  <c r="E167" i="26"/>
  <c r="G166" i="26"/>
  <c r="N162" i="7" s="1"/>
  <c r="F166" i="26"/>
  <c r="E166" i="26"/>
  <c r="G165" i="26"/>
  <c r="N161" i="7" s="1"/>
  <c r="F165" i="26"/>
  <c r="E165" i="26"/>
  <c r="G164" i="26"/>
  <c r="N160" i="7" s="1"/>
  <c r="F164" i="26"/>
  <c r="E164" i="26"/>
  <c r="G163" i="26"/>
  <c r="N159" i="7" s="1"/>
  <c r="F163" i="26"/>
  <c r="E163" i="26"/>
  <c r="G162" i="26"/>
  <c r="N158" i="7" s="1"/>
  <c r="F162" i="26"/>
  <c r="E162" i="26"/>
  <c r="G161" i="26"/>
  <c r="N157" i="7" s="1"/>
  <c r="F161" i="26"/>
  <c r="E161" i="26"/>
  <c r="G160" i="26"/>
  <c r="N156" i="7" s="1"/>
  <c r="F160" i="26"/>
  <c r="E160" i="26"/>
  <c r="G159" i="26"/>
  <c r="N155" i="7" s="1"/>
  <c r="F159" i="26"/>
  <c r="E159" i="26"/>
  <c r="G158" i="26"/>
  <c r="N154" i="7" s="1"/>
  <c r="F158" i="26"/>
  <c r="E158" i="26"/>
  <c r="G157" i="26"/>
  <c r="N153" i="7" s="1"/>
  <c r="F157" i="26"/>
  <c r="E157" i="26"/>
  <c r="G156" i="26"/>
  <c r="N152" i="7" s="1"/>
  <c r="F156" i="26"/>
  <c r="E156" i="26"/>
  <c r="G155" i="26"/>
  <c r="N151" i="7" s="1"/>
  <c r="F155" i="26"/>
  <c r="E155" i="26"/>
  <c r="G154" i="26"/>
  <c r="N150" i="7" s="1"/>
  <c r="F154" i="26"/>
  <c r="E154" i="26"/>
  <c r="G153" i="26"/>
  <c r="N149" i="7" s="1"/>
  <c r="F153" i="26"/>
  <c r="E153" i="26"/>
  <c r="G152" i="26"/>
  <c r="N148" i="7" s="1"/>
  <c r="F152" i="26"/>
  <c r="E152" i="26"/>
  <c r="G151" i="26"/>
  <c r="N147" i="7" s="1"/>
  <c r="F151" i="26"/>
  <c r="E151" i="26"/>
  <c r="G150" i="26"/>
  <c r="N146" i="7" s="1"/>
  <c r="F150" i="26"/>
  <c r="E150" i="26"/>
  <c r="G149" i="26"/>
  <c r="N145" i="7" s="1"/>
  <c r="F149" i="26"/>
  <c r="E149" i="26"/>
  <c r="G148" i="26"/>
  <c r="N144" i="7" s="1"/>
  <c r="F148" i="26"/>
  <c r="E148" i="26"/>
  <c r="G147" i="26"/>
  <c r="N143" i="7" s="1"/>
  <c r="F147" i="26"/>
  <c r="E147" i="26"/>
  <c r="G146" i="26"/>
  <c r="N142" i="7" s="1"/>
  <c r="F146" i="26"/>
  <c r="E146" i="26"/>
  <c r="G145" i="26"/>
  <c r="N141" i="7" s="1"/>
  <c r="F145" i="26"/>
  <c r="E145" i="26"/>
  <c r="G144" i="26"/>
  <c r="N140" i="7" s="1"/>
  <c r="F144" i="26"/>
  <c r="E144" i="26"/>
  <c r="G143" i="26"/>
  <c r="N139" i="7" s="1"/>
  <c r="F143" i="26"/>
  <c r="E143" i="26"/>
  <c r="G142" i="26"/>
  <c r="N138" i="7" s="1"/>
  <c r="F142" i="26"/>
  <c r="E142" i="26"/>
  <c r="G141" i="26"/>
  <c r="N137" i="7" s="1"/>
  <c r="F141" i="26"/>
  <c r="E141" i="26"/>
  <c r="G140" i="26"/>
  <c r="N136" i="7" s="1"/>
  <c r="F140" i="26"/>
  <c r="E140" i="26"/>
  <c r="G139" i="26"/>
  <c r="N135" i="7" s="1"/>
  <c r="F139" i="26"/>
  <c r="E139" i="26"/>
  <c r="G138" i="26"/>
  <c r="N134" i="7" s="1"/>
  <c r="F138" i="26"/>
  <c r="E138" i="26"/>
  <c r="G137" i="26"/>
  <c r="N133" i="7" s="1"/>
  <c r="F137" i="26"/>
  <c r="E137" i="26"/>
  <c r="G136" i="26"/>
  <c r="N132" i="7" s="1"/>
  <c r="F136" i="26"/>
  <c r="E136" i="26"/>
  <c r="G135" i="26"/>
  <c r="N131" i="7" s="1"/>
  <c r="F135" i="26"/>
  <c r="E135" i="26"/>
  <c r="G134" i="26"/>
  <c r="N130" i="7" s="1"/>
  <c r="F134" i="26"/>
  <c r="E134" i="26"/>
  <c r="G133" i="26"/>
  <c r="N129" i="7" s="1"/>
  <c r="F133" i="26"/>
  <c r="E133" i="26"/>
  <c r="G132" i="26"/>
  <c r="N128" i="7" s="1"/>
  <c r="F132" i="26"/>
  <c r="E132" i="26"/>
  <c r="G131" i="26"/>
  <c r="N127" i="7" s="1"/>
  <c r="F131" i="26"/>
  <c r="E131" i="26"/>
  <c r="G130" i="26"/>
  <c r="N126" i="7" s="1"/>
  <c r="F130" i="26"/>
  <c r="E130" i="26"/>
  <c r="G129" i="26"/>
  <c r="N125" i="7" s="1"/>
  <c r="F129" i="26"/>
  <c r="E129" i="26"/>
  <c r="G128" i="26"/>
  <c r="N124" i="7" s="1"/>
  <c r="F128" i="26"/>
  <c r="E128" i="26"/>
  <c r="G127" i="26"/>
  <c r="N123" i="7" s="1"/>
  <c r="F127" i="26"/>
  <c r="E127" i="26"/>
  <c r="G126" i="26"/>
  <c r="N122" i="7" s="1"/>
  <c r="F126" i="26"/>
  <c r="E126" i="26"/>
  <c r="G125" i="26"/>
  <c r="N121" i="7" s="1"/>
  <c r="F125" i="26"/>
  <c r="E125" i="26"/>
  <c r="G124" i="26"/>
  <c r="N120" i="7" s="1"/>
  <c r="F124" i="26"/>
  <c r="E124" i="26"/>
  <c r="G123" i="26"/>
  <c r="N119" i="7" s="1"/>
  <c r="F123" i="26"/>
  <c r="E123" i="26"/>
  <c r="G122" i="26"/>
  <c r="N118" i="7" s="1"/>
  <c r="F122" i="26"/>
  <c r="E122" i="26"/>
  <c r="G121" i="26"/>
  <c r="N117" i="7" s="1"/>
  <c r="F121" i="26"/>
  <c r="E121" i="26"/>
  <c r="G120" i="26"/>
  <c r="N116" i="7" s="1"/>
  <c r="F120" i="26"/>
  <c r="E120" i="26"/>
  <c r="G119" i="26"/>
  <c r="N115" i="7" s="1"/>
  <c r="F119" i="26"/>
  <c r="E119" i="26"/>
  <c r="G118" i="26"/>
  <c r="N114" i="7" s="1"/>
  <c r="F118" i="26"/>
  <c r="E118" i="26"/>
  <c r="G117" i="26"/>
  <c r="N113" i="7" s="1"/>
  <c r="F117" i="26"/>
  <c r="E117" i="26"/>
  <c r="G116" i="26"/>
  <c r="N112" i="7" s="1"/>
  <c r="F116" i="26"/>
  <c r="E116" i="26"/>
  <c r="G115" i="26"/>
  <c r="N111" i="7" s="1"/>
  <c r="F115" i="26"/>
  <c r="E115" i="26"/>
  <c r="G114" i="26"/>
  <c r="N110" i="7" s="1"/>
  <c r="F114" i="26"/>
  <c r="E114" i="26"/>
  <c r="G113" i="26"/>
  <c r="N109" i="7" s="1"/>
  <c r="F113" i="26"/>
  <c r="E113" i="26"/>
  <c r="G112" i="26"/>
  <c r="N108" i="7" s="1"/>
  <c r="F112" i="26"/>
  <c r="E112" i="26"/>
  <c r="G111" i="26"/>
  <c r="N107" i="7" s="1"/>
  <c r="F111" i="26"/>
  <c r="E111" i="26"/>
  <c r="G110" i="26"/>
  <c r="N106" i="7" s="1"/>
  <c r="F110" i="26"/>
  <c r="E110" i="26"/>
  <c r="G109" i="26"/>
  <c r="N105" i="7" s="1"/>
  <c r="F109" i="26"/>
  <c r="E109" i="26"/>
  <c r="G108" i="26"/>
  <c r="N104" i="7" s="1"/>
  <c r="F108" i="26"/>
  <c r="E108" i="26"/>
  <c r="G107" i="26"/>
  <c r="N103" i="7" s="1"/>
  <c r="F107" i="26"/>
  <c r="E107" i="26"/>
  <c r="G106" i="26"/>
  <c r="N102" i="7" s="1"/>
  <c r="F106" i="26"/>
  <c r="E106" i="26"/>
  <c r="G105" i="26"/>
  <c r="N101" i="7" s="1"/>
  <c r="F105" i="26"/>
  <c r="E105" i="26"/>
  <c r="G104" i="26"/>
  <c r="N100" i="7" s="1"/>
  <c r="F104" i="26"/>
  <c r="E104" i="26"/>
  <c r="G103" i="26"/>
  <c r="N99" i="7" s="1"/>
  <c r="F103" i="26"/>
  <c r="E103" i="26"/>
  <c r="G102" i="26"/>
  <c r="N98" i="7" s="1"/>
  <c r="F102" i="26"/>
  <c r="E102" i="26"/>
  <c r="G101" i="26"/>
  <c r="N97" i="7" s="1"/>
  <c r="F101" i="26"/>
  <c r="E101" i="26"/>
  <c r="G100" i="26"/>
  <c r="N96" i="7" s="1"/>
  <c r="F100" i="26"/>
  <c r="E100" i="26"/>
  <c r="G99" i="26"/>
  <c r="N95" i="7" s="1"/>
  <c r="F99" i="26"/>
  <c r="E99" i="26"/>
  <c r="G98" i="26"/>
  <c r="N94" i="7" s="1"/>
  <c r="F98" i="26"/>
  <c r="E98" i="26"/>
  <c r="G97" i="26"/>
  <c r="N93" i="7" s="1"/>
  <c r="F97" i="26"/>
  <c r="E97" i="26"/>
  <c r="G96" i="26"/>
  <c r="N92" i="7" s="1"/>
  <c r="F96" i="26"/>
  <c r="E96" i="26"/>
  <c r="G95" i="26"/>
  <c r="N91" i="7" s="1"/>
  <c r="F95" i="26"/>
  <c r="E95" i="26"/>
  <c r="G94" i="26"/>
  <c r="N90" i="7" s="1"/>
  <c r="F94" i="26"/>
  <c r="E94" i="26"/>
  <c r="G93" i="26"/>
  <c r="N89" i="7" s="1"/>
  <c r="F93" i="26"/>
  <c r="E93" i="26"/>
  <c r="G92" i="26"/>
  <c r="N88" i="7" s="1"/>
  <c r="F92" i="26"/>
  <c r="E92" i="26"/>
  <c r="G91" i="26"/>
  <c r="N87" i="7" s="1"/>
  <c r="F91" i="26"/>
  <c r="E91" i="26"/>
  <c r="G90" i="26"/>
  <c r="N86" i="7" s="1"/>
  <c r="F90" i="26"/>
  <c r="E90" i="26"/>
  <c r="G89" i="26"/>
  <c r="N85" i="7" s="1"/>
  <c r="F89" i="26"/>
  <c r="E89" i="26"/>
  <c r="G88" i="26"/>
  <c r="N84" i="7" s="1"/>
  <c r="F88" i="26"/>
  <c r="E88" i="26"/>
  <c r="G87" i="26"/>
  <c r="N83" i="7" s="1"/>
  <c r="F87" i="26"/>
  <c r="E87" i="26"/>
  <c r="G86" i="26"/>
  <c r="N82" i="7" s="1"/>
  <c r="F86" i="26"/>
  <c r="E86" i="26"/>
  <c r="G85" i="26"/>
  <c r="N81" i="7" s="1"/>
  <c r="F85" i="26"/>
  <c r="E85" i="26"/>
  <c r="G84" i="26"/>
  <c r="N80" i="7" s="1"/>
  <c r="F84" i="26"/>
  <c r="E84" i="26"/>
  <c r="G83" i="26"/>
  <c r="N79" i="7" s="1"/>
  <c r="F83" i="26"/>
  <c r="E83" i="26"/>
  <c r="G82" i="26"/>
  <c r="N78" i="7" s="1"/>
  <c r="F82" i="26"/>
  <c r="E82" i="26"/>
  <c r="G81" i="26"/>
  <c r="N77" i="7" s="1"/>
  <c r="F81" i="26"/>
  <c r="E81" i="26"/>
  <c r="G80" i="26"/>
  <c r="N76" i="7" s="1"/>
  <c r="F80" i="26"/>
  <c r="E80" i="26"/>
  <c r="G79" i="26"/>
  <c r="N75" i="7" s="1"/>
  <c r="F79" i="26"/>
  <c r="E79" i="26"/>
  <c r="G78" i="26"/>
  <c r="N74" i="7" s="1"/>
  <c r="F78" i="26"/>
  <c r="E78" i="26"/>
  <c r="G77" i="26"/>
  <c r="N73" i="7" s="1"/>
  <c r="F77" i="26"/>
  <c r="E77" i="26"/>
  <c r="G76" i="26"/>
  <c r="N72" i="7" s="1"/>
  <c r="F76" i="26"/>
  <c r="E76" i="26"/>
  <c r="G75" i="26"/>
  <c r="N71" i="7" s="1"/>
  <c r="F75" i="26"/>
  <c r="E75" i="26"/>
  <c r="G74" i="26"/>
  <c r="N70" i="7" s="1"/>
  <c r="F74" i="26"/>
  <c r="E74" i="26"/>
  <c r="G73" i="26"/>
  <c r="N69" i="7" s="1"/>
  <c r="F73" i="26"/>
  <c r="E73" i="26"/>
  <c r="G72" i="26"/>
  <c r="N68" i="7" s="1"/>
  <c r="F72" i="26"/>
  <c r="E72" i="26"/>
  <c r="G71" i="26"/>
  <c r="N67" i="7" s="1"/>
  <c r="F71" i="26"/>
  <c r="E71" i="26"/>
  <c r="G70" i="26"/>
  <c r="N66" i="7" s="1"/>
  <c r="F70" i="26"/>
  <c r="E70" i="26"/>
  <c r="G69" i="26"/>
  <c r="N65" i="7" s="1"/>
  <c r="F69" i="26"/>
  <c r="E69" i="26"/>
  <c r="G68" i="26"/>
  <c r="N64" i="7" s="1"/>
  <c r="F68" i="26"/>
  <c r="E68" i="26"/>
  <c r="G67" i="26"/>
  <c r="N63" i="7" s="1"/>
  <c r="F67" i="26"/>
  <c r="E67" i="26"/>
  <c r="G66" i="26"/>
  <c r="N62" i="7" s="1"/>
  <c r="F66" i="26"/>
  <c r="E66" i="26"/>
  <c r="G65" i="26"/>
  <c r="N61" i="7" s="1"/>
  <c r="F65" i="26"/>
  <c r="E65" i="26"/>
  <c r="G64" i="26"/>
  <c r="N60" i="7" s="1"/>
  <c r="F64" i="26"/>
  <c r="E64" i="26"/>
  <c r="G63" i="26"/>
  <c r="N59" i="7" s="1"/>
  <c r="F63" i="26"/>
  <c r="E63" i="26"/>
  <c r="G62" i="26"/>
  <c r="N58" i="7" s="1"/>
  <c r="F62" i="26"/>
  <c r="E62" i="26"/>
  <c r="G61" i="26"/>
  <c r="N57" i="7" s="1"/>
  <c r="F61" i="26"/>
  <c r="E61" i="26"/>
  <c r="G60" i="26"/>
  <c r="N56" i="7" s="1"/>
  <c r="F60" i="26"/>
  <c r="E60" i="26"/>
  <c r="G59" i="26"/>
  <c r="N55" i="7" s="1"/>
  <c r="F59" i="26"/>
  <c r="E59" i="26"/>
  <c r="G58" i="26"/>
  <c r="N54" i="7" s="1"/>
  <c r="F58" i="26"/>
  <c r="E58" i="26"/>
  <c r="G57" i="26"/>
  <c r="N53" i="7" s="1"/>
  <c r="F57" i="26"/>
  <c r="E57" i="26"/>
  <c r="G56" i="26"/>
  <c r="N52" i="7" s="1"/>
  <c r="F56" i="26"/>
  <c r="E56" i="26"/>
  <c r="G55" i="26"/>
  <c r="N51" i="7" s="1"/>
  <c r="F55" i="26"/>
  <c r="E55" i="26"/>
  <c r="G54" i="26"/>
  <c r="N50" i="7" s="1"/>
  <c r="F54" i="26"/>
  <c r="E54" i="26"/>
  <c r="G53" i="26"/>
  <c r="N49" i="7" s="1"/>
  <c r="F53" i="26"/>
  <c r="E53" i="26"/>
  <c r="G52" i="26"/>
  <c r="N48" i="7" s="1"/>
  <c r="F52" i="26"/>
  <c r="E52" i="26"/>
  <c r="G51" i="26"/>
  <c r="N47" i="7" s="1"/>
  <c r="F51" i="26"/>
  <c r="E51" i="26"/>
  <c r="G50" i="26"/>
  <c r="N46" i="7" s="1"/>
  <c r="F50" i="26"/>
  <c r="E50" i="26"/>
  <c r="G49" i="26"/>
  <c r="N45" i="7" s="1"/>
  <c r="F49" i="26"/>
  <c r="E49" i="26"/>
  <c r="G48" i="26"/>
  <c r="N44" i="7" s="1"/>
  <c r="F48" i="26"/>
  <c r="E48" i="26"/>
  <c r="G47" i="26"/>
  <c r="N43" i="7" s="1"/>
  <c r="F47" i="26"/>
  <c r="E47" i="26"/>
  <c r="G46" i="26"/>
  <c r="N42" i="7" s="1"/>
  <c r="F46" i="26"/>
  <c r="E46" i="26"/>
  <c r="G45" i="26"/>
  <c r="N41" i="7" s="1"/>
  <c r="F45" i="26"/>
  <c r="E45" i="26"/>
  <c r="G44" i="26"/>
  <c r="N40" i="7" s="1"/>
  <c r="F44" i="26"/>
  <c r="E44" i="26"/>
  <c r="G43" i="26"/>
  <c r="N39" i="7" s="1"/>
  <c r="F43" i="26"/>
  <c r="E43" i="26"/>
  <c r="G42" i="26"/>
  <c r="N38" i="7" s="1"/>
  <c r="F42" i="26"/>
  <c r="E42" i="26"/>
  <c r="G41" i="26"/>
  <c r="N37" i="7" s="1"/>
  <c r="F41" i="26"/>
  <c r="E41" i="26"/>
  <c r="G40" i="26"/>
  <c r="N36" i="7" s="1"/>
  <c r="F40" i="26"/>
  <c r="E40" i="26"/>
  <c r="G39" i="26"/>
  <c r="N35" i="7" s="1"/>
  <c r="F39" i="26"/>
  <c r="E39" i="26"/>
  <c r="G38" i="26"/>
  <c r="N34" i="7" s="1"/>
  <c r="F38" i="26"/>
  <c r="E38" i="26"/>
  <c r="G37" i="26"/>
  <c r="N33" i="7" s="1"/>
  <c r="F37" i="26"/>
  <c r="E37" i="26"/>
  <c r="G36" i="26"/>
  <c r="N32" i="7" s="1"/>
  <c r="F36" i="26"/>
  <c r="E36" i="26"/>
  <c r="G35" i="26"/>
  <c r="N31" i="7" s="1"/>
  <c r="F35" i="26"/>
  <c r="E35" i="26"/>
  <c r="G34" i="26"/>
  <c r="N30" i="7" s="1"/>
  <c r="F34" i="26"/>
  <c r="E34" i="26"/>
  <c r="G33" i="26"/>
  <c r="N29" i="7" s="1"/>
  <c r="F33" i="26"/>
  <c r="E33" i="26"/>
  <c r="G32" i="26"/>
  <c r="N28" i="7" s="1"/>
  <c r="F32" i="26"/>
  <c r="E32" i="26"/>
  <c r="G31" i="26"/>
  <c r="N27" i="7" s="1"/>
  <c r="F31" i="26"/>
  <c r="E31" i="26"/>
  <c r="G30" i="26"/>
  <c r="N26" i="7" s="1"/>
  <c r="F30" i="26"/>
  <c r="E30" i="26"/>
  <c r="G29" i="26"/>
  <c r="N25" i="7" s="1"/>
  <c r="F29" i="26"/>
  <c r="E29" i="26"/>
  <c r="G28" i="26"/>
  <c r="N24" i="7" s="1"/>
  <c r="F28" i="26"/>
  <c r="E28" i="26"/>
  <c r="G27" i="26"/>
  <c r="N23" i="7" s="1"/>
  <c r="F27" i="26"/>
  <c r="E27" i="26"/>
  <c r="G26" i="26"/>
  <c r="N22" i="7" s="1"/>
  <c r="F26" i="26"/>
  <c r="E26" i="26"/>
  <c r="G25" i="26"/>
  <c r="N21" i="7" s="1"/>
  <c r="F25" i="26"/>
  <c r="E25" i="26"/>
  <c r="G24" i="26"/>
  <c r="N20" i="7" s="1"/>
  <c r="F24" i="26"/>
  <c r="E24" i="26"/>
  <c r="G23" i="26"/>
  <c r="N19" i="7" s="1"/>
  <c r="F23" i="26"/>
  <c r="E23" i="26"/>
  <c r="G22" i="26"/>
  <c r="N18" i="7" s="1"/>
  <c r="F22" i="26"/>
  <c r="E22" i="26"/>
  <c r="G21" i="26"/>
  <c r="N17" i="7" s="1"/>
  <c r="F21" i="26"/>
  <c r="E21" i="26"/>
  <c r="G20" i="26"/>
  <c r="N16" i="7" s="1"/>
  <c r="F20" i="26"/>
  <c r="E20" i="26"/>
  <c r="G19" i="26"/>
  <c r="N15" i="7" s="1"/>
  <c r="F19" i="26"/>
  <c r="E19" i="26"/>
  <c r="G18" i="26"/>
  <c r="N14" i="7" s="1"/>
  <c r="F18" i="26"/>
  <c r="E18" i="26"/>
  <c r="G17" i="26"/>
  <c r="N13" i="7" s="1"/>
  <c r="F17" i="26"/>
  <c r="E17" i="26"/>
  <c r="G16" i="26"/>
  <c r="N12" i="7" s="1"/>
  <c r="F16" i="26"/>
  <c r="E16" i="26"/>
  <c r="G15" i="26"/>
  <c r="N11" i="7" s="1"/>
  <c r="F15" i="26"/>
  <c r="E15" i="26"/>
  <c r="G14" i="26"/>
  <c r="N10" i="7" s="1"/>
  <c r="F14" i="26"/>
  <c r="E14" i="26"/>
  <c r="G13" i="26"/>
  <c r="N9" i="7" s="1"/>
  <c r="F13" i="26"/>
  <c r="E13" i="26"/>
  <c r="G12" i="26"/>
  <c r="N8" i="7" s="1"/>
  <c r="F12" i="26"/>
  <c r="E12" i="26"/>
  <c r="G11" i="26"/>
  <c r="N7" i="7" s="1"/>
  <c r="F11" i="26"/>
  <c r="E11" i="26"/>
  <c r="G10" i="26"/>
  <c r="N6" i="7" s="1"/>
  <c r="F10" i="26"/>
  <c r="E10" i="26"/>
  <c r="G9" i="26"/>
  <c r="N5" i="7" s="1"/>
  <c r="F9" i="26"/>
  <c r="E9" i="26"/>
  <c r="G8" i="26"/>
  <c r="N4" i="7" s="1"/>
  <c r="F8" i="26"/>
  <c r="E8" i="26"/>
  <c r="G2" i="26"/>
  <c r="G397" i="25"/>
  <c r="F397" i="25"/>
  <c r="E397" i="25"/>
  <c r="G396" i="25"/>
  <c r="F396" i="25"/>
  <c r="E396" i="25"/>
  <c r="G395" i="25"/>
  <c r="F395" i="25"/>
  <c r="E395" i="25"/>
  <c r="G394" i="25"/>
  <c r="F394" i="25"/>
  <c r="E394" i="25"/>
  <c r="G393" i="25"/>
  <c r="F393" i="25"/>
  <c r="E393" i="25"/>
  <c r="G392" i="25"/>
  <c r="F392" i="25"/>
  <c r="E392" i="25"/>
  <c r="G391" i="25"/>
  <c r="F391" i="25"/>
  <c r="E391" i="25"/>
  <c r="G390" i="25"/>
  <c r="F390" i="25"/>
  <c r="E390" i="25"/>
  <c r="G389" i="25"/>
  <c r="F389" i="25"/>
  <c r="E389" i="25"/>
  <c r="G388" i="25"/>
  <c r="F388" i="25"/>
  <c r="E388" i="25"/>
  <c r="G387" i="25"/>
  <c r="F387" i="25"/>
  <c r="E387" i="25"/>
  <c r="G386" i="25"/>
  <c r="F386" i="25"/>
  <c r="E386" i="25"/>
  <c r="G385" i="25"/>
  <c r="F385" i="25"/>
  <c r="E385" i="25"/>
  <c r="G384" i="25"/>
  <c r="F384" i="25"/>
  <c r="E384" i="25"/>
  <c r="G383" i="25"/>
  <c r="F383" i="25"/>
  <c r="E383" i="25"/>
  <c r="G382" i="25"/>
  <c r="F382" i="25"/>
  <c r="E382" i="25"/>
  <c r="G381" i="25"/>
  <c r="F381" i="25"/>
  <c r="E381" i="25"/>
  <c r="G380" i="25"/>
  <c r="F380" i="25"/>
  <c r="E380" i="25"/>
  <c r="G379" i="25"/>
  <c r="F379" i="25"/>
  <c r="E379" i="25"/>
  <c r="G378" i="25"/>
  <c r="F378" i="25"/>
  <c r="E378" i="25"/>
  <c r="G377" i="25"/>
  <c r="F377" i="25"/>
  <c r="E377" i="25"/>
  <c r="G376" i="25"/>
  <c r="F376" i="25"/>
  <c r="E376" i="25"/>
  <c r="G375" i="25"/>
  <c r="F375" i="25"/>
  <c r="E375" i="25"/>
  <c r="G374" i="25"/>
  <c r="F374" i="25"/>
  <c r="E374" i="25"/>
  <c r="G373" i="25"/>
  <c r="F373" i="25"/>
  <c r="E373" i="25"/>
  <c r="G372" i="25"/>
  <c r="F372" i="25"/>
  <c r="E372" i="25"/>
  <c r="G371" i="25"/>
  <c r="F371" i="25"/>
  <c r="E371" i="25"/>
  <c r="G370" i="25"/>
  <c r="F370" i="25"/>
  <c r="E370" i="25"/>
  <c r="G369" i="25"/>
  <c r="F369" i="25"/>
  <c r="E369" i="25"/>
  <c r="G368" i="25"/>
  <c r="F368" i="25"/>
  <c r="E368" i="25"/>
  <c r="G367" i="25"/>
  <c r="F367" i="25"/>
  <c r="E367" i="25"/>
  <c r="G366" i="25"/>
  <c r="F366" i="25"/>
  <c r="E366" i="25"/>
  <c r="G365" i="25"/>
  <c r="F365" i="25"/>
  <c r="E365" i="25"/>
  <c r="G364" i="25"/>
  <c r="F364" i="25"/>
  <c r="E364" i="25"/>
  <c r="G363" i="25"/>
  <c r="F363" i="25"/>
  <c r="E363" i="25"/>
  <c r="G362" i="25"/>
  <c r="F362" i="25"/>
  <c r="E362" i="25"/>
  <c r="G361" i="25"/>
  <c r="F361" i="25"/>
  <c r="E361" i="25"/>
  <c r="G360" i="25"/>
  <c r="F360" i="25"/>
  <c r="E360" i="25"/>
  <c r="G359" i="25"/>
  <c r="F359" i="25"/>
  <c r="E359" i="25"/>
  <c r="G358" i="25"/>
  <c r="F358" i="25"/>
  <c r="E358" i="25"/>
  <c r="G357" i="25"/>
  <c r="F357" i="25"/>
  <c r="E357" i="25"/>
  <c r="G356" i="25"/>
  <c r="F356" i="25"/>
  <c r="E356" i="25"/>
  <c r="G355" i="25"/>
  <c r="F355" i="25"/>
  <c r="E355" i="25"/>
  <c r="G354" i="25"/>
  <c r="F354" i="25"/>
  <c r="E354" i="25"/>
  <c r="G353" i="25"/>
  <c r="F353" i="25"/>
  <c r="E353" i="25"/>
  <c r="G352" i="25"/>
  <c r="F352" i="25"/>
  <c r="E352" i="25"/>
  <c r="G351" i="25"/>
  <c r="F351" i="25"/>
  <c r="E351" i="25"/>
  <c r="G350" i="25"/>
  <c r="F350" i="25"/>
  <c r="E350" i="25"/>
  <c r="G349" i="25"/>
  <c r="F349" i="25"/>
  <c r="E349" i="25"/>
  <c r="G348" i="25"/>
  <c r="F348" i="25"/>
  <c r="E348" i="25"/>
  <c r="G347" i="25"/>
  <c r="F347" i="25"/>
  <c r="E347" i="25"/>
  <c r="G346" i="25"/>
  <c r="F346" i="25"/>
  <c r="E346" i="25"/>
  <c r="G345" i="25"/>
  <c r="F345" i="25"/>
  <c r="E345" i="25"/>
  <c r="G344" i="25"/>
  <c r="F344" i="25"/>
  <c r="E344" i="25"/>
  <c r="G343" i="25"/>
  <c r="F343" i="25"/>
  <c r="E343" i="25"/>
  <c r="G342" i="25"/>
  <c r="F342" i="25"/>
  <c r="E342" i="25"/>
  <c r="G341" i="25"/>
  <c r="F341" i="25"/>
  <c r="E341" i="25"/>
  <c r="G340" i="25"/>
  <c r="F340" i="25"/>
  <c r="E340" i="25"/>
  <c r="G339" i="25"/>
  <c r="F339" i="25"/>
  <c r="E339" i="25"/>
  <c r="G338" i="25"/>
  <c r="F338" i="25"/>
  <c r="E338" i="25"/>
  <c r="G337" i="25"/>
  <c r="F337" i="25"/>
  <c r="E337" i="25"/>
  <c r="G336" i="25"/>
  <c r="F336" i="25"/>
  <c r="E336" i="25"/>
  <c r="G335" i="25"/>
  <c r="F335" i="25"/>
  <c r="E335" i="25"/>
  <c r="G334" i="25"/>
  <c r="F334" i="25"/>
  <c r="E334" i="25"/>
  <c r="G333" i="25"/>
  <c r="F333" i="25"/>
  <c r="E333" i="25"/>
  <c r="G332" i="25"/>
  <c r="F332" i="25"/>
  <c r="E332" i="25"/>
  <c r="G331" i="25"/>
  <c r="F331" i="25"/>
  <c r="E331" i="25"/>
  <c r="G330" i="25"/>
  <c r="F330" i="25"/>
  <c r="E330" i="25"/>
  <c r="G329" i="25"/>
  <c r="F329" i="25"/>
  <c r="E329" i="25"/>
  <c r="G328" i="25"/>
  <c r="F328" i="25"/>
  <c r="E328" i="25"/>
  <c r="G327" i="25"/>
  <c r="F327" i="25"/>
  <c r="E327" i="25"/>
  <c r="G326" i="25"/>
  <c r="F326" i="25"/>
  <c r="E326" i="25"/>
  <c r="G325" i="25"/>
  <c r="F325" i="25"/>
  <c r="E325" i="25"/>
  <c r="G324" i="25"/>
  <c r="F324" i="25"/>
  <c r="E324" i="25"/>
  <c r="G323" i="25"/>
  <c r="F323" i="25"/>
  <c r="E323" i="25"/>
  <c r="G322" i="25"/>
  <c r="F322" i="25"/>
  <c r="E322" i="25"/>
  <c r="G321" i="25"/>
  <c r="F321" i="25"/>
  <c r="E321" i="25"/>
  <c r="G320" i="25"/>
  <c r="F320" i="25"/>
  <c r="E320" i="25"/>
  <c r="G319" i="25"/>
  <c r="F319" i="25"/>
  <c r="E319" i="25"/>
  <c r="G318" i="25"/>
  <c r="F318" i="25"/>
  <c r="E318" i="25"/>
  <c r="G317" i="25"/>
  <c r="F317" i="25"/>
  <c r="E317" i="25"/>
  <c r="G316" i="25"/>
  <c r="F316" i="25"/>
  <c r="E316" i="25"/>
  <c r="G315" i="25"/>
  <c r="F315" i="25"/>
  <c r="E315" i="25"/>
  <c r="G314" i="25"/>
  <c r="F314" i="25"/>
  <c r="E314" i="25"/>
  <c r="G313" i="25"/>
  <c r="F313" i="25"/>
  <c r="E313" i="25"/>
  <c r="G312" i="25"/>
  <c r="F312" i="25"/>
  <c r="E312" i="25"/>
  <c r="G311" i="25"/>
  <c r="F311" i="25"/>
  <c r="E311" i="25"/>
  <c r="G310" i="25"/>
  <c r="F310" i="25"/>
  <c r="E310" i="25"/>
  <c r="G309" i="25"/>
  <c r="F309" i="25"/>
  <c r="E309" i="25"/>
  <c r="G308" i="25"/>
  <c r="F308" i="25"/>
  <c r="E308" i="25"/>
  <c r="G307" i="25"/>
  <c r="F307" i="25"/>
  <c r="E307" i="25"/>
  <c r="G306" i="25"/>
  <c r="F306" i="25"/>
  <c r="E306" i="25"/>
  <c r="G305" i="25"/>
  <c r="F305" i="25"/>
  <c r="E305" i="25"/>
  <c r="G304" i="25"/>
  <c r="F304" i="25"/>
  <c r="E304" i="25"/>
  <c r="G303" i="25"/>
  <c r="F303" i="25"/>
  <c r="E303" i="25"/>
  <c r="G302" i="25"/>
  <c r="F302" i="25"/>
  <c r="E302" i="25"/>
  <c r="G301" i="25"/>
  <c r="F301" i="25"/>
  <c r="E301" i="25"/>
  <c r="G300" i="25"/>
  <c r="F300" i="25"/>
  <c r="E300" i="25"/>
  <c r="G299" i="25"/>
  <c r="F299" i="25"/>
  <c r="E299" i="25"/>
  <c r="G298" i="25"/>
  <c r="F298" i="25"/>
  <c r="E298" i="25"/>
  <c r="G297" i="25"/>
  <c r="F297" i="25"/>
  <c r="E297" i="25"/>
  <c r="G296" i="25"/>
  <c r="F296" i="25"/>
  <c r="E296" i="25"/>
  <c r="G295" i="25"/>
  <c r="F295" i="25"/>
  <c r="E295" i="25"/>
  <c r="G294" i="25"/>
  <c r="F294" i="25"/>
  <c r="E294" i="25"/>
  <c r="G293" i="25"/>
  <c r="F293" i="25"/>
  <c r="E293" i="25"/>
  <c r="G292" i="25"/>
  <c r="F292" i="25"/>
  <c r="E292" i="25"/>
  <c r="G291" i="25"/>
  <c r="F291" i="25"/>
  <c r="E291" i="25"/>
  <c r="G290" i="25"/>
  <c r="F290" i="25"/>
  <c r="E290" i="25"/>
  <c r="G289" i="25"/>
  <c r="F289" i="25"/>
  <c r="E289" i="25"/>
  <c r="G288" i="25"/>
  <c r="F288" i="25"/>
  <c r="E288" i="25"/>
  <c r="G287" i="25"/>
  <c r="F287" i="25"/>
  <c r="E287" i="25"/>
  <c r="G286" i="25"/>
  <c r="F286" i="25"/>
  <c r="E286" i="25"/>
  <c r="G285" i="25"/>
  <c r="F285" i="25"/>
  <c r="E285" i="25"/>
  <c r="G284" i="25"/>
  <c r="F284" i="25"/>
  <c r="E284" i="25"/>
  <c r="G283" i="25"/>
  <c r="F283" i="25"/>
  <c r="E283" i="25"/>
  <c r="G282" i="25"/>
  <c r="F282" i="25"/>
  <c r="E282" i="25"/>
  <c r="G281" i="25"/>
  <c r="F281" i="25"/>
  <c r="E281" i="25"/>
  <c r="G280" i="25"/>
  <c r="F280" i="25"/>
  <c r="E280" i="25"/>
  <c r="G279" i="25"/>
  <c r="F279" i="25"/>
  <c r="E279" i="25"/>
  <c r="G278" i="25"/>
  <c r="F278" i="25"/>
  <c r="E278" i="25"/>
  <c r="G277" i="25"/>
  <c r="F277" i="25"/>
  <c r="E277" i="25"/>
  <c r="G276" i="25"/>
  <c r="F276" i="25"/>
  <c r="E276" i="25"/>
  <c r="G275" i="25"/>
  <c r="F275" i="25"/>
  <c r="E275" i="25"/>
  <c r="G274" i="25"/>
  <c r="F274" i="25"/>
  <c r="E274" i="25"/>
  <c r="G273" i="25"/>
  <c r="F273" i="25"/>
  <c r="E273" i="25"/>
  <c r="G272" i="25"/>
  <c r="M268" i="7" s="1"/>
  <c r="F272" i="25"/>
  <c r="E272" i="25"/>
  <c r="G271" i="25"/>
  <c r="M267" i="7" s="1"/>
  <c r="F271" i="25"/>
  <c r="E271" i="25"/>
  <c r="G270" i="25"/>
  <c r="M266" i="7" s="1"/>
  <c r="F270" i="25"/>
  <c r="E270" i="25"/>
  <c r="G269" i="25"/>
  <c r="M265" i="7" s="1"/>
  <c r="F269" i="25"/>
  <c r="E269" i="25"/>
  <c r="G268" i="25"/>
  <c r="M264" i="7" s="1"/>
  <c r="F268" i="25"/>
  <c r="E268" i="25"/>
  <c r="G267" i="25"/>
  <c r="M263" i="7" s="1"/>
  <c r="F267" i="25"/>
  <c r="E267" i="25"/>
  <c r="G266" i="25"/>
  <c r="M262" i="7" s="1"/>
  <c r="F266" i="25"/>
  <c r="E266" i="25"/>
  <c r="G265" i="25"/>
  <c r="M261" i="7" s="1"/>
  <c r="F265" i="25"/>
  <c r="E265" i="25"/>
  <c r="G264" i="25"/>
  <c r="M260" i="7" s="1"/>
  <c r="F264" i="25"/>
  <c r="E264" i="25"/>
  <c r="G263" i="25"/>
  <c r="M259" i="7" s="1"/>
  <c r="F263" i="25"/>
  <c r="E263" i="25"/>
  <c r="G262" i="25"/>
  <c r="M258" i="7" s="1"/>
  <c r="F262" i="25"/>
  <c r="E262" i="25"/>
  <c r="G261" i="25"/>
  <c r="M257" i="7" s="1"/>
  <c r="F261" i="25"/>
  <c r="E261" i="25"/>
  <c r="G260" i="25"/>
  <c r="M256" i="7" s="1"/>
  <c r="F260" i="25"/>
  <c r="E260" i="25"/>
  <c r="G259" i="25"/>
  <c r="M255" i="7" s="1"/>
  <c r="F259" i="25"/>
  <c r="E259" i="25"/>
  <c r="G258" i="25"/>
  <c r="M254" i="7" s="1"/>
  <c r="F258" i="25"/>
  <c r="E258" i="25"/>
  <c r="G257" i="25"/>
  <c r="M253" i="7" s="1"/>
  <c r="F257" i="25"/>
  <c r="E257" i="25"/>
  <c r="G256" i="25"/>
  <c r="M252" i="7" s="1"/>
  <c r="F256" i="25"/>
  <c r="E256" i="25"/>
  <c r="G255" i="25"/>
  <c r="M251" i="7" s="1"/>
  <c r="F255" i="25"/>
  <c r="E255" i="25"/>
  <c r="G254" i="25"/>
  <c r="M250" i="7" s="1"/>
  <c r="F254" i="25"/>
  <c r="E254" i="25"/>
  <c r="G253" i="25"/>
  <c r="M249" i="7" s="1"/>
  <c r="F253" i="25"/>
  <c r="E253" i="25"/>
  <c r="G252" i="25"/>
  <c r="M248" i="7" s="1"/>
  <c r="F252" i="25"/>
  <c r="E252" i="25"/>
  <c r="G251" i="25"/>
  <c r="M247" i="7" s="1"/>
  <c r="F251" i="25"/>
  <c r="E251" i="25"/>
  <c r="G250" i="25"/>
  <c r="M246" i="7" s="1"/>
  <c r="F250" i="25"/>
  <c r="E250" i="25"/>
  <c r="G249" i="25"/>
  <c r="M245" i="7" s="1"/>
  <c r="F249" i="25"/>
  <c r="E249" i="25"/>
  <c r="G248" i="25"/>
  <c r="M244" i="7" s="1"/>
  <c r="F248" i="25"/>
  <c r="E248" i="25"/>
  <c r="G247" i="25"/>
  <c r="M243" i="7" s="1"/>
  <c r="F247" i="25"/>
  <c r="E247" i="25"/>
  <c r="G246" i="25"/>
  <c r="M242" i="7" s="1"/>
  <c r="F246" i="25"/>
  <c r="E246" i="25"/>
  <c r="G245" i="25"/>
  <c r="M241" i="7" s="1"/>
  <c r="F245" i="25"/>
  <c r="E245" i="25"/>
  <c r="G244" i="25"/>
  <c r="M240" i="7" s="1"/>
  <c r="F244" i="25"/>
  <c r="E244" i="25"/>
  <c r="G243" i="25"/>
  <c r="M239" i="7" s="1"/>
  <c r="F243" i="25"/>
  <c r="E243" i="25"/>
  <c r="G242" i="25"/>
  <c r="M238" i="7" s="1"/>
  <c r="F242" i="25"/>
  <c r="E242" i="25"/>
  <c r="G241" i="25"/>
  <c r="M237" i="7" s="1"/>
  <c r="F241" i="25"/>
  <c r="E241" i="25"/>
  <c r="G240" i="25"/>
  <c r="M236" i="7" s="1"/>
  <c r="F240" i="25"/>
  <c r="E240" i="25"/>
  <c r="G239" i="25"/>
  <c r="M235" i="7" s="1"/>
  <c r="F239" i="25"/>
  <c r="E239" i="25"/>
  <c r="G238" i="25"/>
  <c r="M234" i="7" s="1"/>
  <c r="F238" i="25"/>
  <c r="E238" i="25"/>
  <c r="G237" i="25"/>
  <c r="M233" i="7" s="1"/>
  <c r="F237" i="25"/>
  <c r="E237" i="25"/>
  <c r="G236" i="25"/>
  <c r="M232" i="7" s="1"/>
  <c r="F236" i="25"/>
  <c r="E236" i="25"/>
  <c r="G235" i="25"/>
  <c r="M231" i="7" s="1"/>
  <c r="F235" i="25"/>
  <c r="E235" i="25"/>
  <c r="G234" i="25"/>
  <c r="M230" i="7" s="1"/>
  <c r="F234" i="25"/>
  <c r="E234" i="25"/>
  <c r="G233" i="25"/>
  <c r="M229" i="7" s="1"/>
  <c r="F233" i="25"/>
  <c r="E233" i="25"/>
  <c r="G232" i="25"/>
  <c r="M228" i="7" s="1"/>
  <c r="F232" i="25"/>
  <c r="E232" i="25"/>
  <c r="G231" i="25"/>
  <c r="M227" i="7" s="1"/>
  <c r="F231" i="25"/>
  <c r="E231" i="25"/>
  <c r="G230" i="25"/>
  <c r="M226" i="7" s="1"/>
  <c r="F230" i="25"/>
  <c r="E230" i="25"/>
  <c r="G229" i="25"/>
  <c r="M225" i="7" s="1"/>
  <c r="F229" i="25"/>
  <c r="E229" i="25"/>
  <c r="G228" i="25"/>
  <c r="M224" i="7" s="1"/>
  <c r="F228" i="25"/>
  <c r="E228" i="25"/>
  <c r="G227" i="25"/>
  <c r="M223" i="7" s="1"/>
  <c r="F227" i="25"/>
  <c r="E227" i="25"/>
  <c r="G226" i="25"/>
  <c r="M222" i="7" s="1"/>
  <c r="F226" i="25"/>
  <c r="E226" i="25"/>
  <c r="G225" i="25"/>
  <c r="M221" i="7" s="1"/>
  <c r="F225" i="25"/>
  <c r="E225" i="25"/>
  <c r="G224" i="25"/>
  <c r="M220" i="7" s="1"/>
  <c r="F224" i="25"/>
  <c r="E224" i="25"/>
  <c r="G223" i="25"/>
  <c r="M219" i="7" s="1"/>
  <c r="F223" i="25"/>
  <c r="E223" i="25"/>
  <c r="G222" i="25"/>
  <c r="M218" i="7" s="1"/>
  <c r="F222" i="25"/>
  <c r="E222" i="25"/>
  <c r="G221" i="25"/>
  <c r="M217" i="7" s="1"/>
  <c r="F221" i="25"/>
  <c r="E221" i="25"/>
  <c r="G220" i="25"/>
  <c r="M216" i="7" s="1"/>
  <c r="F220" i="25"/>
  <c r="E220" i="25"/>
  <c r="G219" i="25"/>
  <c r="M215" i="7" s="1"/>
  <c r="F219" i="25"/>
  <c r="E219" i="25"/>
  <c r="G218" i="25"/>
  <c r="M214" i="7" s="1"/>
  <c r="F218" i="25"/>
  <c r="E218" i="25"/>
  <c r="G217" i="25"/>
  <c r="M213" i="7" s="1"/>
  <c r="F217" i="25"/>
  <c r="E217" i="25"/>
  <c r="G216" i="25"/>
  <c r="M212" i="7" s="1"/>
  <c r="F216" i="25"/>
  <c r="E216" i="25"/>
  <c r="G215" i="25"/>
  <c r="M211" i="7" s="1"/>
  <c r="F215" i="25"/>
  <c r="E215" i="25"/>
  <c r="G214" i="25"/>
  <c r="M210" i="7" s="1"/>
  <c r="F214" i="25"/>
  <c r="E214" i="25"/>
  <c r="G213" i="25"/>
  <c r="M209" i="7" s="1"/>
  <c r="F213" i="25"/>
  <c r="E213" i="25"/>
  <c r="G212" i="25"/>
  <c r="M208" i="7" s="1"/>
  <c r="F212" i="25"/>
  <c r="E212" i="25"/>
  <c r="G211" i="25"/>
  <c r="M207" i="7" s="1"/>
  <c r="F211" i="25"/>
  <c r="E211" i="25"/>
  <c r="G210" i="25"/>
  <c r="M206" i="7" s="1"/>
  <c r="F210" i="25"/>
  <c r="E210" i="25"/>
  <c r="G209" i="25"/>
  <c r="M205" i="7" s="1"/>
  <c r="F209" i="25"/>
  <c r="E209" i="25"/>
  <c r="G208" i="25"/>
  <c r="M204" i="7" s="1"/>
  <c r="F208" i="25"/>
  <c r="E208" i="25"/>
  <c r="G207" i="25"/>
  <c r="M203" i="7" s="1"/>
  <c r="F207" i="25"/>
  <c r="E207" i="25"/>
  <c r="G206" i="25"/>
  <c r="M202" i="7" s="1"/>
  <c r="F206" i="25"/>
  <c r="E206" i="25"/>
  <c r="G205" i="25"/>
  <c r="M201" i="7" s="1"/>
  <c r="F205" i="25"/>
  <c r="E205" i="25"/>
  <c r="G204" i="25"/>
  <c r="M200" i="7" s="1"/>
  <c r="F204" i="25"/>
  <c r="E204" i="25"/>
  <c r="G203" i="25"/>
  <c r="M199" i="7" s="1"/>
  <c r="F203" i="25"/>
  <c r="E203" i="25"/>
  <c r="G202" i="25"/>
  <c r="M198" i="7" s="1"/>
  <c r="F202" i="25"/>
  <c r="E202" i="25"/>
  <c r="G201" i="25"/>
  <c r="M197" i="7" s="1"/>
  <c r="F201" i="25"/>
  <c r="E201" i="25"/>
  <c r="G200" i="25"/>
  <c r="M196" i="7" s="1"/>
  <c r="F200" i="25"/>
  <c r="E200" i="25"/>
  <c r="G199" i="25"/>
  <c r="M195" i="7" s="1"/>
  <c r="F199" i="25"/>
  <c r="E199" i="25"/>
  <c r="G198" i="25"/>
  <c r="M194" i="7" s="1"/>
  <c r="F198" i="25"/>
  <c r="E198" i="25"/>
  <c r="G197" i="25"/>
  <c r="M193" i="7" s="1"/>
  <c r="F197" i="25"/>
  <c r="E197" i="25"/>
  <c r="G196" i="25"/>
  <c r="M192" i="7" s="1"/>
  <c r="F196" i="25"/>
  <c r="E196" i="25"/>
  <c r="G195" i="25"/>
  <c r="M191" i="7" s="1"/>
  <c r="F195" i="25"/>
  <c r="E195" i="25"/>
  <c r="G194" i="25"/>
  <c r="M190" i="7" s="1"/>
  <c r="F194" i="25"/>
  <c r="E194" i="25"/>
  <c r="G193" i="25"/>
  <c r="M189" i="7" s="1"/>
  <c r="F193" i="25"/>
  <c r="E193" i="25"/>
  <c r="G192" i="25"/>
  <c r="M188" i="7" s="1"/>
  <c r="F192" i="25"/>
  <c r="E192" i="25"/>
  <c r="G191" i="25"/>
  <c r="M187" i="7" s="1"/>
  <c r="F191" i="25"/>
  <c r="E191" i="25"/>
  <c r="G190" i="25"/>
  <c r="M186" i="7" s="1"/>
  <c r="F190" i="25"/>
  <c r="E190" i="25"/>
  <c r="G189" i="25"/>
  <c r="M185" i="7" s="1"/>
  <c r="F189" i="25"/>
  <c r="E189" i="25"/>
  <c r="G188" i="25"/>
  <c r="M184" i="7" s="1"/>
  <c r="F188" i="25"/>
  <c r="E188" i="25"/>
  <c r="G187" i="25"/>
  <c r="M183" i="7" s="1"/>
  <c r="F187" i="25"/>
  <c r="E187" i="25"/>
  <c r="G186" i="25"/>
  <c r="M182" i="7" s="1"/>
  <c r="F186" i="25"/>
  <c r="E186" i="25"/>
  <c r="G185" i="25"/>
  <c r="M181" i="7" s="1"/>
  <c r="F185" i="25"/>
  <c r="E185" i="25"/>
  <c r="G184" i="25"/>
  <c r="M180" i="7" s="1"/>
  <c r="F184" i="25"/>
  <c r="E184" i="25"/>
  <c r="G183" i="25"/>
  <c r="M179" i="7" s="1"/>
  <c r="F183" i="25"/>
  <c r="E183" i="25"/>
  <c r="G182" i="25"/>
  <c r="M178" i="7" s="1"/>
  <c r="F182" i="25"/>
  <c r="E182" i="25"/>
  <c r="G181" i="25"/>
  <c r="M177" i="7" s="1"/>
  <c r="F181" i="25"/>
  <c r="E181" i="25"/>
  <c r="G180" i="25"/>
  <c r="M176" i="7" s="1"/>
  <c r="F180" i="25"/>
  <c r="E180" i="25"/>
  <c r="G179" i="25"/>
  <c r="M175" i="7" s="1"/>
  <c r="F179" i="25"/>
  <c r="E179" i="25"/>
  <c r="G178" i="25"/>
  <c r="M174" i="7" s="1"/>
  <c r="F178" i="25"/>
  <c r="E178" i="25"/>
  <c r="G177" i="25"/>
  <c r="M173" i="7" s="1"/>
  <c r="F177" i="25"/>
  <c r="E177" i="25"/>
  <c r="G176" i="25"/>
  <c r="M172" i="7" s="1"/>
  <c r="F176" i="25"/>
  <c r="E176" i="25"/>
  <c r="G175" i="25"/>
  <c r="M171" i="7" s="1"/>
  <c r="F175" i="25"/>
  <c r="E175" i="25"/>
  <c r="G174" i="25"/>
  <c r="M170" i="7" s="1"/>
  <c r="F174" i="25"/>
  <c r="E174" i="25"/>
  <c r="G173" i="25"/>
  <c r="M169" i="7" s="1"/>
  <c r="F173" i="25"/>
  <c r="E173" i="25"/>
  <c r="G172" i="25"/>
  <c r="M168" i="7" s="1"/>
  <c r="F172" i="25"/>
  <c r="E172" i="25"/>
  <c r="G171" i="25"/>
  <c r="M167" i="7" s="1"/>
  <c r="F171" i="25"/>
  <c r="E171" i="25"/>
  <c r="G170" i="25"/>
  <c r="M166" i="7" s="1"/>
  <c r="F170" i="25"/>
  <c r="E170" i="25"/>
  <c r="G169" i="25"/>
  <c r="M165" i="7" s="1"/>
  <c r="F169" i="25"/>
  <c r="E169" i="25"/>
  <c r="G168" i="25"/>
  <c r="M164" i="7" s="1"/>
  <c r="F168" i="25"/>
  <c r="E168" i="25"/>
  <c r="G167" i="25"/>
  <c r="M163" i="7" s="1"/>
  <c r="F167" i="25"/>
  <c r="E167" i="25"/>
  <c r="G166" i="25"/>
  <c r="M162" i="7" s="1"/>
  <c r="F166" i="25"/>
  <c r="E166" i="25"/>
  <c r="G165" i="25"/>
  <c r="M161" i="7" s="1"/>
  <c r="F165" i="25"/>
  <c r="E165" i="25"/>
  <c r="G164" i="25"/>
  <c r="M160" i="7" s="1"/>
  <c r="F164" i="25"/>
  <c r="E164" i="25"/>
  <c r="G163" i="25"/>
  <c r="M159" i="7" s="1"/>
  <c r="F163" i="25"/>
  <c r="E163" i="25"/>
  <c r="G162" i="25"/>
  <c r="M158" i="7" s="1"/>
  <c r="F162" i="25"/>
  <c r="E162" i="25"/>
  <c r="G161" i="25"/>
  <c r="M157" i="7" s="1"/>
  <c r="F161" i="25"/>
  <c r="E161" i="25"/>
  <c r="G160" i="25"/>
  <c r="M156" i="7" s="1"/>
  <c r="F160" i="25"/>
  <c r="E160" i="25"/>
  <c r="G159" i="25"/>
  <c r="M155" i="7" s="1"/>
  <c r="F159" i="25"/>
  <c r="E159" i="25"/>
  <c r="G158" i="25"/>
  <c r="M154" i="7" s="1"/>
  <c r="F158" i="25"/>
  <c r="E158" i="25"/>
  <c r="G157" i="25"/>
  <c r="M153" i="7" s="1"/>
  <c r="F157" i="25"/>
  <c r="E157" i="25"/>
  <c r="G156" i="25"/>
  <c r="M152" i="7" s="1"/>
  <c r="F156" i="25"/>
  <c r="E156" i="25"/>
  <c r="G155" i="25"/>
  <c r="M151" i="7" s="1"/>
  <c r="F155" i="25"/>
  <c r="E155" i="25"/>
  <c r="G154" i="25"/>
  <c r="M150" i="7" s="1"/>
  <c r="F154" i="25"/>
  <c r="E154" i="25"/>
  <c r="G153" i="25"/>
  <c r="M149" i="7" s="1"/>
  <c r="F153" i="25"/>
  <c r="E153" i="25"/>
  <c r="G152" i="25"/>
  <c r="M148" i="7" s="1"/>
  <c r="F152" i="25"/>
  <c r="E152" i="25"/>
  <c r="G151" i="25"/>
  <c r="M147" i="7" s="1"/>
  <c r="F151" i="25"/>
  <c r="E151" i="25"/>
  <c r="G150" i="25"/>
  <c r="M146" i="7" s="1"/>
  <c r="F150" i="25"/>
  <c r="E150" i="25"/>
  <c r="G149" i="25"/>
  <c r="M145" i="7" s="1"/>
  <c r="F149" i="25"/>
  <c r="E149" i="25"/>
  <c r="G148" i="25"/>
  <c r="M144" i="7" s="1"/>
  <c r="F148" i="25"/>
  <c r="E148" i="25"/>
  <c r="G147" i="25"/>
  <c r="M143" i="7" s="1"/>
  <c r="F147" i="25"/>
  <c r="E147" i="25"/>
  <c r="G146" i="25"/>
  <c r="M142" i="7" s="1"/>
  <c r="F146" i="25"/>
  <c r="E146" i="25"/>
  <c r="G145" i="25"/>
  <c r="M141" i="7" s="1"/>
  <c r="F145" i="25"/>
  <c r="E145" i="25"/>
  <c r="G144" i="25"/>
  <c r="M140" i="7" s="1"/>
  <c r="F144" i="25"/>
  <c r="E144" i="25"/>
  <c r="G143" i="25"/>
  <c r="M139" i="7" s="1"/>
  <c r="F143" i="25"/>
  <c r="E143" i="25"/>
  <c r="G142" i="25"/>
  <c r="M138" i="7" s="1"/>
  <c r="F142" i="25"/>
  <c r="E142" i="25"/>
  <c r="G141" i="25"/>
  <c r="M137" i="7" s="1"/>
  <c r="F141" i="25"/>
  <c r="E141" i="25"/>
  <c r="G140" i="25"/>
  <c r="M136" i="7" s="1"/>
  <c r="F140" i="25"/>
  <c r="E140" i="25"/>
  <c r="G139" i="25"/>
  <c r="M135" i="7" s="1"/>
  <c r="F139" i="25"/>
  <c r="E139" i="25"/>
  <c r="G138" i="25"/>
  <c r="M134" i="7" s="1"/>
  <c r="F138" i="25"/>
  <c r="E138" i="25"/>
  <c r="G137" i="25"/>
  <c r="M133" i="7" s="1"/>
  <c r="F137" i="25"/>
  <c r="E137" i="25"/>
  <c r="G136" i="25"/>
  <c r="M132" i="7" s="1"/>
  <c r="F136" i="25"/>
  <c r="E136" i="25"/>
  <c r="G135" i="25"/>
  <c r="M131" i="7" s="1"/>
  <c r="F135" i="25"/>
  <c r="E135" i="25"/>
  <c r="G134" i="25"/>
  <c r="M130" i="7" s="1"/>
  <c r="F134" i="25"/>
  <c r="E134" i="25"/>
  <c r="G133" i="25"/>
  <c r="M129" i="7" s="1"/>
  <c r="F133" i="25"/>
  <c r="E133" i="25"/>
  <c r="G132" i="25"/>
  <c r="M128" i="7" s="1"/>
  <c r="F132" i="25"/>
  <c r="E132" i="25"/>
  <c r="G131" i="25"/>
  <c r="M127" i="7" s="1"/>
  <c r="F131" i="25"/>
  <c r="E131" i="25"/>
  <c r="G130" i="25"/>
  <c r="M126" i="7" s="1"/>
  <c r="F130" i="25"/>
  <c r="E130" i="25"/>
  <c r="G129" i="25"/>
  <c r="M125" i="7" s="1"/>
  <c r="F129" i="25"/>
  <c r="E129" i="25"/>
  <c r="G128" i="25"/>
  <c r="M124" i="7" s="1"/>
  <c r="F128" i="25"/>
  <c r="E128" i="25"/>
  <c r="G127" i="25"/>
  <c r="M123" i="7" s="1"/>
  <c r="F127" i="25"/>
  <c r="E127" i="25"/>
  <c r="G126" i="25"/>
  <c r="M122" i="7" s="1"/>
  <c r="F126" i="25"/>
  <c r="E126" i="25"/>
  <c r="G125" i="25"/>
  <c r="M121" i="7" s="1"/>
  <c r="F125" i="25"/>
  <c r="E125" i="25"/>
  <c r="G124" i="25"/>
  <c r="M120" i="7" s="1"/>
  <c r="F124" i="25"/>
  <c r="E124" i="25"/>
  <c r="G123" i="25"/>
  <c r="M119" i="7" s="1"/>
  <c r="F123" i="25"/>
  <c r="E123" i="25"/>
  <c r="G122" i="25"/>
  <c r="M118" i="7" s="1"/>
  <c r="F122" i="25"/>
  <c r="E122" i="25"/>
  <c r="G121" i="25"/>
  <c r="M117" i="7" s="1"/>
  <c r="F121" i="25"/>
  <c r="E121" i="25"/>
  <c r="G120" i="25"/>
  <c r="M116" i="7" s="1"/>
  <c r="F120" i="25"/>
  <c r="E120" i="25"/>
  <c r="G119" i="25"/>
  <c r="M115" i="7" s="1"/>
  <c r="F119" i="25"/>
  <c r="E119" i="25"/>
  <c r="G118" i="25"/>
  <c r="M114" i="7" s="1"/>
  <c r="F118" i="25"/>
  <c r="E118" i="25"/>
  <c r="G117" i="25"/>
  <c r="M113" i="7" s="1"/>
  <c r="F117" i="25"/>
  <c r="E117" i="25"/>
  <c r="G116" i="25"/>
  <c r="M112" i="7" s="1"/>
  <c r="F116" i="25"/>
  <c r="E116" i="25"/>
  <c r="G115" i="25"/>
  <c r="M111" i="7" s="1"/>
  <c r="F115" i="25"/>
  <c r="E115" i="25"/>
  <c r="G114" i="25"/>
  <c r="M110" i="7" s="1"/>
  <c r="F114" i="25"/>
  <c r="E114" i="25"/>
  <c r="G113" i="25"/>
  <c r="M109" i="7" s="1"/>
  <c r="F113" i="25"/>
  <c r="E113" i="25"/>
  <c r="G112" i="25"/>
  <c r="M108" i="7" s="1"/>
  <c r="F112" i="25"/>
  <c r="E112" i="25"/>
  <c r="G111" i="25"/>
  <c r="M107" i="7" s="1"/>
  <c r="F111" i="25"/>
  <c r="E111" i="25"/>
  <c r="G110" i="25"/>
  <c r="M106" i="7" s="1"/>
  <c r="F110" i="25"/>
  <c r="E110" i="25"/>
  <c r="G109" i="25"/>
  <c r="M105" i="7" s="1"/>
  <c r="F109" i="25"/>
  <c r="E109" i="25"/>
  <c r="G108" i="25"/>
  <c r="M104" i="7" s="1"/>
  <c r="F108" i="25"/>
  <c r="E108" i="25"/>
  <c r="G107" i="25"/>
  <c r="M103" i="7" s="1"/>
  <c r="F107" i="25"/>
  <c r="E107" i="25"/>
  <c r="G106" i="25"/>
  <c r="M102" i="7" s="1"/>
  <c r="F106" i="25"/>
  <c r="E106" i="25"/>
  <c r="G105" i="25"/>
  <c r="M101" i="7" s="1"/>
  <c r="F105" i="25"/>
  <c r="E105" i="25"/>
  <c r="G104" i="25"/>
  <c r="M100" i="7" s="1"/>
  <c r="F104" i="25"/>
  <c r="E104" i="25"/>
  <c r="G103" i="25"/>
  <c r="M99" i="7" s="1"/>
  <c r="F103" i="25"/>
  <c r="E103" i="25"/>
  <c r="G102" i="25"/>
  <c r="M98" i="7" s="1"/>
  <c r="F102" i="25"/>
  <c r="E102" i="25"/>
  <c r="G101" i="25"/>
  <c r="M97" i="7" s="1"/>
  <c r="F101" i="25"/>
  <c r="E101" i="25"/>
  <c r="G100" i="25"/>
  <c r="M96" i="7" s="1"/>
  <c r="F100" i="25"/>
  <c r="E100" i="25"/>
  <c r="G99" i="25"/>
  <c r="M95" i="7" s="1"/>
  <c r="F99" i="25"/>
  <c r="E99" i="25"/>
  <c r="G98" i="25"/>
  <c r="M94" i="7" s="1"/>
  <c r="F98" i="25"/>
  <c r="E98" i="25"/>
  <c r="G97" i="25"/>
  <c r="M93" i="7" s="1"/>
  <c r="F97" i="25"/>
  <c r="E97" i="25"/>
  <c r="G96" i="25"/>
  <c r="M92" i="7" s="1"/>
  <c r="F96" i="25"/>
  <c r="E96" i="25"/>
  <c r="G95" i="25"/>
  <c r="M91" i="7" s="1"/>
  <c r="F95" i="25"/>
  <c r="E95" i="25"/>
  <c r="G94" i="25"/>
  <c r="M90" i="7" s="1"/>
  <c r="F94" i="25"/>
  <c r="E94" i="25"/>
  <c r="G93" i="25"/>
  <c r="M89" i="7" s="1"/>
  <c r="F93" i="25"/>
  <c r="E93" i="25"/>
  <c r="G92" i="25"/>
  <c r="M88" i="7" s="1"/>
  <c r="F92" i="25"/>
  <c r="E92" i="25"/>
  <c r="G91" i="25"/>
  <c r="M87" i="7" s="1"/>
  <c r="F91" i="25"/>
  <c r="E91" i="25"/>
  <c r="G90" i="25"/>
  <c r="M86" i="7" s="1"/>
  <c r="F90" i="25"/>
  <c r="E90" i="25"/>
  <c r="G89" i="25"/>
  <c r="M85" i="7" s="1"/>
  <c r="F89" i="25"/>
  <c r="E89" i="25"/>
  <c r="G88" i="25"/>
  <c r="M84" i="7" s="1"/>
  <c r="F88" i="25"/>
  <c r="E88" i="25"/>
  <c r="G87" i="25"/>
  <c r="M83" i="7" s="1"/>
  <c r="F87" i="25"/>
  <c r="E87" i="25"/>
  <c r="G86" i="25"/>
  <c r="M82" i="7" s="1"/>
  <c r="F86" i="25"/>
  <c r="E86" i="25"/>
  <c r="G85" i="25"/>
  <c r="M81" i="7" s="1"/>
  <c r="F85" i="25"/>
  <c r="E85" i="25"/>
  <c r="G84" i="25"/>
  <c r="M80" i="7" s="1"/>
  <c r="F84" i="25"/>
  <c r="E84" i="25"/>
  <c r="G83" i="25"/>
  <c r="M79" i="7" s="1"/>
  <c r="F83" i="25"/>
  <c r="E83" i="25"/>
  <c r="G82" i="25"/>
  <c r="M78" i="7" s="1"/>
  <c r="F82" i="25"/>
  <c r="E82" i="25"/>
  <c r="G81" i="25"/>
  <c r="M77" i="7" s="1"/>
  <c r="F81" i="25"/>
  <c r="E81" i="25"/>
  <c r="G80" i="25"/>
  <c r="M76" i="7" s="1"/>
  <c r="F80" i="25"/>
  <c r="E80" i="25"/>
  <c r="G79" i="25"/>
  <c r="M75" i="7" s="1"/>
  <c r="F79" i="25"/>
  <c r="E79" i="25"/>
  <c r="G78" i="25"/>
  <c r="M74" i="7" s="1"/>
  <c r="F78" i="25"/>
  <c r="E78" i="25"/>
  <c r="G77" i="25"/>
  <c r="M73" i="7" s="1"/>
  <c r="F77" i="25"/>
  <c r="E77" i="25"/>
  <c r="G76" i="25"/>
  <c r="M72" i="7" s="1"/>
  <c r="F76" i="25"/>
  <c r="E76" i="25"/>
  <c r="G75" i="25"/>
  <c r="M71" i="7" s="1"/>
  <c r="F75" i="25"/>
  <c r="E75" i="25"/>
  <c r="G74" i="25"/>
  <c r="M70" i="7" s="1"/>
  <c r="F74" i="25"/>
  <c r="E74" i="25"/>
  <c r="G73" i="25"/>
  <c r="M69" i="7" s="1"/>
  <c r="F73" i="25"/>
  <c r="E73" i="25"/>
  <c r="G72" i="25"/>
  <c r="M68" i="7" s="1"/>
  <c r="F72" i="25"/>
  <c r="E72" i="25"/>
  <c r="G71" i="25"/>
  <c r="M67" i="7" s="1"/>
  <c r="F71" i="25"/>
  <c r="E71" i="25"/>
  <c r="G70" i="25"/>
  <c r="M66" i="7" s="1"/>
  <c r="F70" i="25"/>
  <c r="E70" i="25"/>
  <c r="G69" i="25"/>
  <c r="M65" i="7" s="1"/>
  <c r="F69" i="25"/>
  <c r="E69" i="25"/>
  <c r="G68" i="25"/>
  <c r="M64" i="7" s="1"/>
  <c r="F68" i="25"/>
  <c r="E68" i="25"/>
  <c r="G67" i="25"/>
  <c r="M63" i="7" s="1"/>
  <c r="F67" i="25"/>
  <c r="E67" i="25"/>
  <c r="G66" i="25"/>
  <c r="M62" i="7" s="1"/>
  <c r="F66" i="25"/>
  <c r="E66" i="25"/>
  <c r="G65" i="25"/>
  <c r="M61" i="7" s="1"/>
  <c r="F65" i="25"/>
  <c r="E65" i="25"/>
  <c r="G64" i="25"/>
  <c r="M60" i="7" s="1"/>
  <c r="F64" i="25"/>
  <c r="E64" i="25"/>
  <c r="G63" i="25"/>
  <c r="M59" i="7" s="1"/>
  <c r="F63" i="25"/>
  <c r="E63" i="25"/>
  <c r="G62" i="25"/>
  <c r="M58" i="7" s="1"/>
  <c r="F62" i="25"/>
  <c r="E62" i="25"/>
  <c r="G61" i="25"/>
  <c r="M57" i="7" s="1"/>
  <c r="F61" i="25"/>
  <c r="E61" i="25"/>
  <c r="G60" i="25"/>
  <c r="M56" i="7" s="1"/>
  <c r="F60" i="25"/>
  <c r="E60" i="25"/>
  <c r="G59" i="25"/>
  <c r="M55" i="7" s="1"/>
  <c r="F59" i="25"/>
  <c r="E59" i="25"/>
  <c r="G58" i="25"/>
  <c r="M54" i="7" s="1"/>
  <c r="F58" i="25"/>
  <c r="E58" i="25"/>
  <c r="G57" i="25"/>
  <c r="M53" i="7" s="1"/>
  <c r="F57" i="25"/>
  <c r="E57" i="25"/>
  <c r="G56" i="25"/>
  <c r="M52" i="7" s="1"/>
  <c r="F56" i="25"/>
  <c r="E56" i="25"/>
  <c r="G55" i="25"/>
  <c r="M51" i="7" s="1"/>
  <c r="F55" i="25"/>
  <c r="E55" i="25"/>
  <c r="G54" i="25"/>
  <c r="M50" i="7" s="1"/>
  <c r="F54" i="25"/>
  <c r="E54" i="25"/>
  <c r="G53" i="25"/>
  <c r="M49" i="7" s="1"/>
  <c r="F53" i="25"/>
  <c r="E53" i="25"/>
  <c r="G52" i="25"/>
  <c r="M48" i="7" s="1"/>
  <c r="F52" i="25"/>
  <c r="E52" i="25"/>
  <c r="G51" i="25"/>
  <c r="M47" i="7" s="1"/>
  <c r="F51" i="25"/>
  <c r="E51" i="25"/>
  <c r="G50" i="25"/>
  <c r="M46" i="7" s="1"/>
  <c r="F50" i="25"/>
  <c r="E50" i="25"/>
  <c r="G49" i="25"/>
  <c r="M45" i="7" s="1"/>
  <c r="F49" i="25"/>
  <c r="E49" i="25"/>
  <c r="G48" i="25"/>
  <c r="M44" i="7" s="1"/>
  <c r="F48" i="25"/>
  <c r="E48" i="25"/>
  <c r="G47" i="25"/>
  <c r="M43" i="7" s="1"/>
  <c r="F47" i="25"/>
  <c r="E47" i="25"/>
  <c r="G46" i="25"/>
  <c r="M42" i="7" s="1"/>
  <c r="F46" i="25"/>
  <c r="E46" i="25"/>
  <c r="G45" i="25"/>
  <c r="M41" i="7" s="1"/>
  <c r="F45" i="25"/>
  <c r="E45" i="25"/>
  <c r="G44" i="25"/>
  <c r="M40" i="7" s="1"/>
  <c r="F44" i="25"/>
  <c r="E44" i="25"/>
  <c r="G43" i="25"/>
  <c r="M39" i="7" s="1"/>
  <c r="F43" i="25"/>
  <c r="E43" i="25"/>
  <c r="G42" i="25"/>
  <c r="M38" i="7" s="1"/>
  <c r="F42" i="25"/>
  <c r="E42" i="25"/>
  <c r="G41" i="25"/>
  <c r="M37" i="7" s="1"/>
  <c r="F41" i="25"/>
  <c r="E41" i="25"/>
  <c r="G40" i="25"/>
  <c r="M36" i="7" s="1"/>
  <c r="F40" i="25"/>
  <c r="E40" i="25"/>
  <c r="G39" i="25"/>
  <c r="M35" i="7" s="1"/>
  <c r="F39" i="25"/>
  <c r="E39" i="25"/>
  <c r="G38" i="25"/>
  <c r="M34" i="7" s="1"/>
  <c r="F38" i="25"/>
  <c r="E38" i="25"/>
  <c r="G37" i="25"/>
  <c r="M33" i="7" s="1"/>
  <c r="F37" i="25"/>
  <c r="E37" i="25"/>
  <c r="G36" i="25"/>
  <c r="M32" i="7" s="1"/>
  <c r="F36" i="25"/>
  <c r="E36" i="25"/>
  <c r="G35" i="25"/>
  <c r="M31" i="7" s="1"/>
  <c r="F35" i="25"/>
  <c r="E35" i="25"/>
  <c r="G34" i="25"/>
  <c r="M30" i="7" s="1"/>
  <c r="F34" i="25"/>
  <c r="E34" i="25"/>
  <c r="G33" i="25"/>
  <c r="M29" i="7" s="1"/>
  <c r="F33" i="25"/>
  <c r="E33" i="25"/>
  <c r="G32" i="25"/>
  <c r="M28" i="7" s="1"/>
  <c r="F32" i="25"/>
  <c r="E32" i="25"/>
  <c r="G31" i="25"/>
  <c r="M27" i="7" s="1"/>
  <c r="F31" i="25"/>
  <c r="E31" i="25"/>
  <c r="G30" i="25"/>
  <c r="M26" i="7" s="1"/>
  <c r="F30" i="25"/>
  <c r="E30" i="25"/>
  <c r="G29" i="25"/>
  <c r="M25" i="7" s="1"/>
  <c r="F29" i="25"/>
  <c r="E29" i="25"/>
  <c r="G28" i="25"/>
  <c r="M24" i="7" s="1"/>
  <c r="F28" i="25"/>
  <c r="E28" i="25"/>
  <c r="G27" i="25"/>
  <c r="M23" i="7" s="1"/>
  <c r="F27" i="25"/>
  <c r="E27" i="25"/>
  <c r="G26" i="25"/>
  <c r="M22" i="7" s="1"/>
  <c r="F26" i="25"/>
  <c r="E26" i="25"/>
  <c r="G25" i="25"/>
  <c r="M21" i="7" s="1"/>
  <c r="F25" i="25"/>
  <c r="E25" i="25"/>
  <c r="G24" i="25"/>
  <c r="M20" i="7" s="1"/>
  <c r="F24" i="25"/>
  <c r="E24" i="25"/>
  <c r="G23" i="25"/>
  <c r="M19" i="7" s="1"/>
  <c r="F23" i="25"/>
  <c r="E23" i="25"/>
  <c r="G22" i="25"/>
  <c r="M18" i="7" s="1"/>
  <c r="F22" i="25"/>
  <c r="E22" i="25"/>
  <c r="G21" i="25"/>
  <c r="M17" i="7" s="1"/>
  <c r="F21" i="25"/>
  <c r="E21" i="25"/>
  <c r="G20" i="25"/>
  <c r="M16" i="7" s="1"/>
  <c r="F20" i="25"/>
  <c r="E20" i="25"/>
  <c r="G19" i="25"/>
  <c r="M15" i="7" s="1"/>
  <c r="F19" i="25"/>
  <c r="E19" i="25"/>
  <c r="G18" i="25"/>
  <c r="M14" i="7" s="1"/>
  <c r="F18" i="25"/>
  <c r="E18" i="25"/>
  <c r="G17" i="25"/>
  <c r="M13" i="7" s="1"/>
  <c r="F17" i="25"/>
  <c r="E17" i="25"/>
  <c r="G16" i="25"/>
  <c r="M12" i="7" s="1"/>
  <c r="F16" i="25"/>
  <c r="E16" i="25"/>
  <c r="G15" i="25"/>
  <c r="M11" i="7" s="1"/>
  <c r="F15" i="25"/>
  <c r="E15" i="25"/>
  <c r="G14" i="25"/>
  <c r="M10" i="7" s="1"/>
  <c r="F14" i="25"/>
  <c r="E14" i="25"/>
  <c r="G13" i="25"/>
  <c r="M9" i="7" s="1"/>
  <c r="F13" i="25"/>
  <c r="E13" i="25"/>
  <c r="G12" i="25"/>
  <c r="M8" i="7" s="1"/>
  <c r="F12" i="25"/>
  <c r="E12" i="25"/>
  <c r="G11" i="25"/>
  <c r="M7" i="7" s="1"/>
  <c r="F11" i="25"/>
  <c r="E11" i="25"/>
  <c r="G10" i="25"/>
  <c r="M6" i="7" s="1"/>
  <c r="F10" i="25"/>
  <c r="E10" i="25"/>
  <c r="G9" i="25"/>
  <c r="M5" i="7" s="1"/>
  <c r="F9" i="25"/>
  <c r="E9" i="25"/>
  <c r="G8" i="25"/>
  <c r="F8" i="25"/>
  <c r="E8" i="25"/>
  <c r="G2" i="25"/>
  <c r="G397" i="24"/>
  <c r="F397" i="24"/>
  <c r="E397" i="24"/>
  <c r="G396" i="24"/>
  <c r="F396" i="24"/>
  <c r="E396" i="24"/>
  <c r="G395" i="24"/>
  <c r="F395" i="24"/>
  <c r="E395" i="24"/>
  <c r="G394" i="24"/>
  <c r="F394" i="24"/>
  <c r="E394" i="24"/>
  <c r="G393" i="24"/>
  <c r="F393" i="24"/>
  <c r="E393" i="24"/>
  <c r="G392" i="24"/>
  <c r="F392" i="24"/>
  <c r="E392" i="24"/>
  <c r="G391" i="24"/>
  <c r="F391" i="24"/>
  <c r="E391" i="24"/>
  <c r="G390" i="24"/>
  <c r="F390" i="24"/>
  <c r="E390" i="24"/>
  <c r="G389" i="24"/>
  <c r="F389" i="24"/>
  <c r="E389" i="24"/>
  <c r="G388" i="24"/>
  <c r="F388" i="24"/>
  <c r="E388" i="24"/>
  <c r="G387" i="24"/>
  <c r="F387" i="24"/>
  <c r="E387" i="24"/>
  <c r="G386" i="24"/>
  <c r="F386" i="24"/>
  <c r="E386" i="24"/>
  <c r="G385" i="24"/>
  <c r="F385" i="24"/>
  <c r="E385" i="24"/>
  <c r="G384" i="24"/>
  <c r="F384" i="24"/>
  <c r="E384" i="24"/>
  <c r="G383" i="24"/>
  <c r="F383" i="24"/>
  <c r="E383" i="24"/>
  <c r="G382" i="24"/>
  <c r="F382" i="24"/>
  <c r="E382" i="24"/>
  <c r="G381" i="24"/>
  <c r="F381" i="24"/>
  <c r="E381" i="24"/>
  <c r="G380" i="24"/>
  <c r="F380" i="24"/>
  <c r="E380" i="24"/>
  <c r="G379" i="24"/>
  <c r="F379" i="24"/>
  <c r="E379" i="24"/>
  <c r="G378" i="24"/>
  <c r="F378" i="24"/>
  <c r="E378" i="24"/>
  <c r="G377" i="24"/>
  <c r="F377" i="24"/>
  <c r="E377" i="24"/>
  <c r="G376" i="24"/>
  <c r="F376" i="24"/>
  <c r="E376" i="24"/>
  <c r="G375" i="24"/>
  <c r="F375" i="24"/>
  <c r="E375" i="24"/>
  <c r="G374" i="24"/>
  <c r="F374" i="24"/>
  <c r="E374" i="24"/>
  <c r="G373" i="24"/>
  <c r="F373" i="24"/>
  <c r="E373" i="24"/>
  <c r="G372" i="24"/>
  <c r="F372" i="24"/>
  <c r="E372" i="24"/>
  <c r="G371" i="24"/>
  <c r="F371" i="24"/>
  <c r="E371" i="24"/>
  <c r="G370" i="24"/>
  <c r="F370" i="24"/>
  <c r="E370" i="24"/>
  <c r="G369" i="24"/>
  <c r="F369" i="24"/>
  <c r="E369" i="24"/>
  <c r="G368" i="24"/>
  <c r="F368" i="24"/>
  <c r="E368" i="24"/>
  <c r="G367" i="24"/>
  <c r="F367" i="24"/>
  <c r="E367" i="24"/>
  <c r="G366" i="24"/>
  <c r="F366" i="24"/>
  <c r="E366" i="24"/>
  <c r="G365" i="24"/>
  <c r="F365" i="24"/>
  <c r="E365" i="24"/>
  <c r="G364" i="24"/>
  <c r="F364" i="24"/>
  <c r="E364" i="24"/>
  <c r="G363" i="24"/>
  <c r="F363" i="24"/>
  <c r="E363" i="24"/>
  <c r="G362" i="24"/>
  <c r="F362" i="24"/>
  <c r="E362" i="24"/>
  <c r="G361" i="24"/>
  <c r="F361" i="24"/>
  <c r="E361" i="24"/>
  <c r="G360" i="24"/>
  <c r="F360" i="24"/>
  <c r="E360" i="24"/>
  <c r="G359" i="24"/>
  <c r="F359" i="24"/>
  <c r="E359" i="24"/>
  <c r="G358" i="24"/>
  <c r="F358" i="24"/>
  <c r="E358" i="24"/>
  <c r="G357" i="24"/>
  <c r="F357" i="24"/>
  <c r="E357" i="24"/>
  <c r="G356" i="24"/>
  <c r="F356" i="24"/>
  <c r="E356" i="24"/>
  <c r="G355" i="24"/>
  <c r="F355" i="24"/>
  <c r="E355" i="24"/>
  <c r="G354" i="24"/>
  <c r="F354" i="24"/>
  <c r="E354" i="24"/>
  <c r="G353" i="24"/>
  <c r="F353" i="24"/>
  <c r="E353" i="24"/>
  <c r="G352" i="24"/>
  <c r="F352" i="24"/>
  <c r="E352" i="24"/>
  <c r="G351" i="24"/>
  <c r="F351" i="24"/>
  <c r="E351" i="24"/>
  <c r="G350" i="24"/>
  <c r="F350" i="24"/>
  <c r="E350" i="24"/>
  <c r="G349" i="24"/>
  <c r="F349" i="24"/>
  <c r="E349" i="24"/>
  <c r="G348" i="24"/>
  <c r="F348" i="24"/>
  <c r="E348" i="24"/>
  <c r="G347" i="24"/>
  <c r="F347" i="24"/>
  <c r="E347" i="24"/>
  <c r="G346" i="24"/>
  <c r="F346" i="24"/>
  <c r="E346" i="24"/>
  <c r="G345" i="24"/>
  <c r="F345" i="24"/>
  <c r="E345" i="24"/>
  <c r="G344" i="24"/>
  <c r="F344" i="24"/>
  <c r="E344" i="24"/>
  <c r="G343" i="24"/>
  <c r="F343" i="24"/>
  <c r="E343" i="24"/>
  <c r="G342" i="24"/>
  <c r="F342" i="24"/>
  <c r="E342" i="24"/>
  <c r="G341" i="24"/>
  <c r="F341" i="24"/>
  <c r="E341" i="24"/>
  <c r="G340" i="24"/>
  <c r="F340" i="24"/>
  <c r="E340" i="24"/>
  <c r="G339" i="24"/>
  <c r="F339" i="24"/>
  <c r="E339" i="24"/>
  <c r="G338" i="24"/>
  <c r="F338" i="24"/>
  <c r="E338" i="24"/>
  <c r="G337" i="24"/>
  <c r="F337" i="24"/>
  <c r="E337" i="24"/>
  <c r="G336" i="24"/>
  <c r="F336" i="24"/>
  <c r="E336" i="24"/>
  <c r="G335" i="24"/>
  <c r="F335" i="24"/>
  <c r="E335" i="24"/>
  <c r="G334" i="24"/>
  <c r="F334" i="24"/>
  <c r="E334" i="24"/>
  <c r="G333" i="24"/>
  <c r="F333" i="24"/>
  <c r="E333" i="24"/>
  <c r="G332" i="24"/>
  <c r="F332" i="24"/>
  <c r="E332" i="24"/>
  <c r="G331" i="24"/>
  <c r="F331" i="24"/>
  <c r="E331" i="24"/>
  <c r="G330" i="24"/>
  <c r="F330" i="24"/>
  <c r="E330" i="24"/>
  <c r="G329" i="24"/>
  <c r="F329" i="24"/>
  <c r="E329" i="24"/>
  <c r="G328" i="24"/>
  <c r="F328" i="24"/>
  <c r="E328" i="24"/>
  <c r="G327" i="24"/>
  <c r="F327" i="24"/>
  <c r="E327" i="24"/>
  <c r="G326" i="24"/>
  <c r="F326" i="24"/>
  <c r="E326" i="24"/>
  <c r="G325" i="24"/>
  <c r="F325" i="24"/>
  <c r="E325" i="24"/>
  <c r="G324" i="24"/>
  <c r="F324" i="24"/>
  <c r="E324" i="24"/>
  <c r="G323" i="24"/>
  <c r="F323" i="24"/>
  <c r="E323" i="24"/>
  <c r="G322" i="24"/>
  <c r="F322" i="24"/>
  <c r="E322" i="24"/>
  <c r="G321" i="24"/>
  <c r="F321" i="24"/>
  <c r="E321" i="24"/>
  <c r="G320" i="24"/>
  <c r="F320" i="24"/>
  <c r="E320" i="24"/>
  <c r="G319" i="24"/>
  <c r="F319" i="24"/>
  <c r="E319" i="24"/>
  <c r="G318" i="24"/>
  <c r="F318" i="24"/>
  <c r="E318" i="24"/>
  <c r="G317" i="24"/>
  <c r="F317" i="24"/>
  <c r="E317" i="24"/>
  <c r="G316" i="24"/>
  <c r="F316" i="24"/>
  <c r="E316" i="24"/>
  <c r="G315" i="24"/>
  <c r="F315" i="24"/>
  <c r="E315" i="24"/>
  <c r="G314" i="24"/>
  <c r="F314" i="24"/>
  <c r="E314" i="24"/>
  <c r="G313" i="24"/>
  <c r="F313" i="24"/>
  <c r="E313" i="24"/>
  <c r="G312" i="24"/>
  <c r="F312" i="24"/>
  <c r="E312" i="24"/>
  <c r="G311" i="24"/>
  <c r="F311" i="24"/>
  <c r="E311" i="24"/>
  <c r="G310" i="24"/>
  <c r="F310" i="24"/>
  <c r="E310" i="24"/>
  <c r="G309" i="24"/>
  <c r="F309" i="24"/>
  <c r="E309" i="24"/>
  <c r="G308" i="24"/>
  <c r="F308" i="24"/>
  <c r="E308" i="24"/>
  <c r="G307" i="24"/>
  <c r="F307" i="24"/>
  <c r="E307" i="24"/>
  <c r="G306" i="24"/>
  <c r="F306" i="24"/>
  <c r="E306" i="24"/>
  <c r="G305" i="24"/>
  <c r="F305" i="24"/>
  <c r="E305" i="24"/>
  <c r="G304" i="24"/>
  <c r="F304" i="24"/>
  <c r="E304" i="24"/>
  <c r="G303" i="24"/>
  <c r="F303" i="24"/>
  <c r="E303" i="24"/>
  <c r="G302" i="24"/>
  <c r="F302" i="24"/>
  <c r="E302" i="24"/>
  <c r="G301" i="24"/>
  <c r="F301" i="24"/>
  <c r="E301" i="24"/>
  <c r="G300" i="24"/>
  <c r="F300" i="24"/>
  <c r="E300" i="24"/>
  <c r="G299" i="24"/>
  <c r="F299" i="24"/>
  <c r="E299" i="24"/>
  <c r="G298" i="24"/>
  <c r="F298" i="24"/>
  <c r="E298" i="24"/>
  <c r="G297" i="24"/>
  <c r="F297" i="24"/>
  <c r="E297" i="24"/>
  <c r="G296" i="24"/>
  <c r="F296" i="24"/>
  <c r="E296" i="24"/>
  <c r="G295" i="24"/>
  <c r="F295" i="24"/>
  <c r="E295" i="24"/>
  <c r="G294" i="24"/>
  <c r="F294" i="24"/>
  <c r="E294" i="24"/>
  <c r="G293" i="24"/>
  <c r="F293" i="24"/>
  <c r="E293" i="24"/>
  <c r="G292" i="24"/>
  <c r="F292" i="24"/>
  <c r="E292" i="24"/>
  <c r="G291" i="24"/>
  <c r="F291" i="24"/>
  <c r="E291" i="24"/>
  <c r="G290" i="24"/>
  <c r="F290" i="24"/>
  <c r="E290" i="24"/>
  <c r="G289" i="24"/>
  <c r="F289" i="24"/>
  <c r="E289" i="24"/>
  <c r="G288" i="24"/>
  <c r="F288" i="24"/>
  <c r="E288" i="24"/>
  <c r="G287" i="24"/>
  <c r="F287" i="24"/>
  <c r="E287" i="24"/>
  <c r="G286" i="24"/>
  <c r="F286" i="24"/>
  <c r="E286" i="24"/>
  <c r="G285" i="24"/>
  <c r="F285" i="24"/>
  <c r="E285" i="24"/>
  <c r="G284" i="24"/>
  <c r="F284" i="24"/>
  <c r="E284" i="24"/>
  <c r="G283" i="24"/>
  <c r="F283" i="24"/>
  <c r="E283" i="24"/>
  <c r="G282" i="24"/>
  <c r="F282" i="24"/>
  <c r="E282" i="24"/>
  <c r="G281" i="24"/>
  <c r="F281" i="24"/>
  <c r="E281" i="24"/>
  <c r="G280" i="24"/>
  <c r="F280" i="24"/>
  <c r="E280" i="24"/>
  <c r="G279" i="24"/>
  <c r="F279" i="24"/>
  <c r="E279" i="24"/>
  <c r="G278" i="24"/>
  <c r="F278" i="24"/>
  <c r="E278" i="24"/>
  <c r="G277" i="24"/>
  <c r="F277" i="24"/>
  <c r="E277" i="24"/>
  <c r="G276" i="24"/>
  <c r="F276" i="24"/>
  <c r="E276" i="24"/>
  <c r="G275" i="24"/>
  <c r="F275" i="24"/>
  <c r="E275" i="24"/>
  <c r="G274" i="24"/>
  <c r="F274" i="24"/>
  <c r="E274" i="24"/>
  <c r="G273" i="24"/>
  <c r="F273" i="24"/>
  <c r="E273" i="24"/>
  <c r="G272" i="24"/>
  <c r="L268" i="7" s="1"/>
  <c r="F272" i="24"/>
  <c r="E272" i="24"/>
  <c r="G271" i="24"/>
  <c r="L267" i="7" s="1"/>
  <c r="F271" i="24"/>
  <c r="E271" i="24"/>
  <c r="G270" i="24"/>
  <c r="L266" i="7" s="1"/>
  <c r="F270" i="24"/>
  <c r="E270" i="24"/>
  <c r="G269" i="24"/>
  <c r="L265" i="7" s="1"/>
  <c r="F269" i="24"/>
  <c r="E269" i="24"/>
  <c r="G268" i="24"/>
  <c r="L264" i="7" s="1"/>
  <c r="F268" i="24"/>
  <c r="E268" i="24"/>
  <c r="G267" i="24"/>
  <c r="L263" i="7" s="1"/>
  <c r="F267" i="24"/>
  <c r="E267" i="24"/>
  <c r="G266" i="24"/>
  <c r="L262" i="7" s="1"/>
  <c r="F266" i="24"/>
  <c r="E266" i="24"/>
  <c r="G265" i="24"/>
  <c r="L261" i="7" s="1"/>
  <c r="F265" i="24"/>
  <c r="E265" i="24"/>
  <c r="G264" i="24"/>
  <c r="L260" i="7" s="1"/>
  <c r="F264" i="24"/>
  <c r="E264" i="24"/>
  <c r="G263" i="24"/>
  <c r="L259" i="7" s="1"/>
  <c r="F263" i="24"/>
  <c r="E263" i="24"/>
  <c r="G262" i="24"/>
  <c r="L258" i="7" s="1"/>
  <c r="F262" i="24"/>
  <c r="E262" i="24"/>
  <c r="G261" i="24"/>
  <c r="L257" i="7" s="1"/>
  <c r="F261" i="24"/>
  <c r="E261" i="24"/>
  <c r="G260" i="24"/>
  <c r="L256" i="7" s="1"/>
  <c r="F260" i="24"/>
  <c r="E260" i="24"/>
  <c r="G259" i="24"/>
  <c r="L255" i="7" s="1"/>
  <c r="F259" i="24"/>
  <c r="E259" i="24"/>
  <c r="G258" i="24"/>
  <c r="L254" i="7" s="1"/>
  <c r="F258" i="24"/>
  <c r="E258" i="24"/>
  <c r="G257" i="24"/>
  <c r="L253" i="7" s="1"/>
  <c r="F257" i="24"/>
  <c r="E257" i="24"/>
  <c r="G256" i="24"/>
  <c r="L252" i="7" s="1"/>
  <c r="F256" i="24"/>
  <c r="E256" i="24"/>
  <c r="G255" i="24"/>
  <c r="L251" i="7" s="1"/>
  <c r="F255" i="24"/>
  <c r="E255" i="24"/>
  <c r="G254" i="24"/>
  <c r="L250" i="7" s="1"/>
  <c r="F254" i="24"/>
  <c r="E254" i="24"/>
  <c r="G253" i="24"/>
  <c r="L249" i="7" s="1"/>
  <c r="F253" i="24"/>
  <c r="E253" i="24"/>
  <c r="G252" i="24"/>
  <c r="L248" i="7" s="1"/>
  <c r="F252" i="24"/>
  <c r="E252" i="24"/>
  <c r="G251" i="24"/>
  <c r="L247" i="7" s="1"/>
  <c r="F251" i="24"/>
  <c r="E251" i="24"/>
  <c r="G250" i="24"/>
  <c r="L246" i="7" s="1"/>
  <c r="F250" i="24"/>
  <c r="E250" i="24"/>
  <c r="G249" i="24"/>
  <c r="L245" i="7" s="1"/>
  <c r="F249" i="24"/>
  <c r="E249" i="24"/>
  <c r="G248" i="24"/>
  <c r="L244" i="7" s="1"/>
  <c r="F248" i="24"/>
  <c r="E248" i="24"/>
  <c r="G247" i="24"/>
  <c r="L243" i="7" s="1"/>
  <c r="F247" i="24"/>
  <c r="E247" i="24"/>
  <c r="G246" i="24"/>
  <c r="L242" i="7" s="1"/>
  <c r="F246" i="24"/>
  <c r="E246" i="24"/>
  <c r="G245" i="24"/>
  <c r="L241" i="7" s="1"/>
  <c r="F245" i="24"/>
  <c r="E245" i="24"/>
  <c r="G244" i="24"/>
  <c r="L240" i="7" s="1"/>
  <c r="F244" i="24"/>
  <c r="E244" i="24"/>
  <c r="G243" i="24"/>
  <c r="L239" i="7" s="1"/>
  <c r="F243" i="24"/>
  <c r="E243" i="24"/>
  <c r="G242" i="24"/>
  <c r="L238" i="7" s="1"/>
  <c r="F242" i="24"/>
  <c r="E242" i="24"/>
  <c r="G241" i="24"/>
  <c r="L237" i="7" s="1"/>
  <c r="F241" i="24"/>
  <c r="E241" i="24"/>
  <c r="G240" i="24"/>
  <c r="L236" i="7" s="1"/>
  <c r="F240" i="24"/>
  <c r="E240" i="24"/>
  <c r="G239" i="24"/>
  <c r="L235" i="7" s="1"/>
  <c r="F239" i="24"/>
  <c r="E239" i="24"/>
  <c r="G238" i="24"/>
  <c r="L234" i="7" s="1"/>
  <c r="F238" i="24"/>
  <c r="E238" i="24"/>
  <c r="G237" i="24"/>
  <c r="L233" i="7" s="1"/>
  <c r="F237" i="24"/>
  <c r="E237" i="24"/>
  <c r="G236" i="24"/>
  <c r="L232" i="7" s="1"/>
  <c r="F236" i="24"/>
  <c r="E236" i="24"/>
  <c r="G235" i="24"/>
  <c r="L231" i="7" s="1"/>
  <c r="F235" i="24"/>
  <c r="E235" i="24"/>
  <c r="G234" i="24"/>
  <c r="L230" i="7" s="1"/>
  <c r="F234" i="24"/>
  <c r="E234" i="24"/>
  <c r="G233" i="24"/>
  <c r="L229" i="7" s="1"/>
  <c r="F233" i="24"/>
  <c r="E233" i="24"/>
  <c r="G232" i="24"/>
  <c r="L228" i="7" s="1"/>
  <c r="F232" i="24"/>
  <c r="E232" i="24"/>
  <c r="G231" i="24"/>
  <c r="L227" i="7" s="1"/>
  <c r="F231" i="24"/>
  <c r="E231" i="24"/>
  <c r="G230" i="24"/>
  <c r="L226" i="7" s="1"/>
  <c r="F230" i="24"/>
  <c r="E230" i="24"/>
  <c r="G229" i="24"/>
  <c r="L225" i="7" s="1"/>
  <c r="F229" i="24"/>
  <c r="E229" i="24"/>
  <c r="G228" i="24"/>
  <c r="L224" i="7" s="1"/>
  <c r="F228" i="24"/>
  <c r="E228" i="24"/>
  <c r="G227" i="24"/>
  <c r="L223" i="7" s="1"/>
  <c r="F227" i="24"/>
  <c r="E227" i="24"/>
  <c r="G226" i="24"/>
  <c r="L222" i="7" s="1"/>
  <c r="F226" i="24"/>
  <c r="E226" i="24"/>
  <c r="G225" i="24"/>
  <c r="L221" i="7" s="1"/>
  <c r="F225" i="24"/>
  <c r="E225" i="24"/>
  <c r="G224" i="24"/>
  <c r="L220" i="7" s="1"/>
  <c r="F224" i="24"/>
  <c r="E224" i="24"/>
  <c r="G223" i="24"/>
  <c r="L219" i="7" s="1"/>
  <c r="F223" i="24"/>
  <c r="E223" i="24"/>
  <c r="G222" i="24"/>
  <c r="L218" i="7" s="1"/>
  <c r="F222" i="24"/>
  <c r="E222" i="24"/>
  <c r="G221" i="24"/>
  <c r="L217" i="7" s="1"/>
  <c r="F221" i="24"/>
  <c r="E221" i="24"/>
  <c r="G220" i="24"/>
  <c r="L216" i="7" s="1"/>
  <c r="F220" i="24"/>
  <c r="E220" i="24"/>
  <c r="G219" i="24"/>
  <c r="L215" i="7" s="1"/>
  <c r="F219" i="24"/>
  <c r="E219" i="24"/>
  <c r="G218" i="24"/>
  <c r="L214" i="7" s="1"/>
  <c r="F218" i="24"/>
  <c r="E218" i="24"/>
  <c r="G217" i="24"/>
  <c r="L213" i="7" s="1"/>
  <c r="F217" i="24"/>
  <c r="E217" i="24"/>
  <c r="G216" i="24"/>
  <c r="L212" i="7" s="1"/>
  <c r="F216" i="24"/>
  <c r="E216" i="24"/>
  <c r="G215" i="24"/>
  <c r="L211" i="7" s="1"/>
  <c r="F215" i="24"/>
  <c r="E215" i="24"/>
  <c r="G214" i="24"/>
  <c r="L210" i="7" s="1"/>
  <c r="F214" i="24"/>
  <c r="E214" i="24"/>
  <c r="G213" i="24"/>
  <c r="L209" i="7" s="1"/>
  <c r="F213" i="24"/>
  <c r="E213" i="24"/>
  <c r="G212" i="24"/>
  <c r="L208" i="7" s="1"/>
  <c r="F212" i="24"/>
  <c r="E212" i="24"/>
  <c r="G211" i="24"/>
  <c r="L207" i="7" s="1"/>
  <c r="F211" i="24"/>
  <c r="E211" i="24"/>
  <c r="G210" i="24"/>
  <c r="L206" i="7" s="1"/>
  <c r="F210" i="24"/>
  <c r="E210" i="24"/>
  <c r="G209" i="24"/>
  <c r="L205" i="7" s="1"/>
  <c r="F209" i="24"/>
  <c r="E209" i="24"/>
  <c r="G208" i="24"/>
  <c r="L204" i="7" s="1"/>
  <c r="F208" i="24"/>
  <c r="E208" i="24"/>
  <c r="G207" i="24"/>
  <c r="L203" i="7" s="1"/>
  <c r="F207" i="24"/>
  <c r="E207" i="24"/>
  <c r="G206" i="24"/>
  <c r="L202" i="7" s="1"/>
  <c r="F206" i="24"/>
  <c r="E206" i="24"/>
  <c r="G205" i="24"/>
  <c r="L201" i="7" s="1"/>
  <c r="F205" i="24"/>
  <c r="E205" i="24"/>
  <c r="G204" i="24"/>
  <c r="L200" i="7" s="1"/>
  <c r="F204" i="24"/>
  <c r="E204" i="24"/>
  <c r="G203" i="24"/>
  <c r="L199" i="7" s="1"/>
  <c r="F203" i="24"/>
  <c r="E203" i="24"/>
  <c r="G202" i="24"/>
  <c r="L198" i="7" s="1"/>
  <c r="F202" i="24"/>
  <c r="E202" i="24"/>
  <c r="G201" i="24"/>
  <c r="L197" i="7" s="1"/>
  <c r="F201" i="24"/>
  <c r="E201" i="24"/>
  <c r="G200" i="24"/>
  <c r="L196" i="7" s="1"/>
  <c r="F200" i="24"/>
  <c r="E200" i="24"/>
  <c r="G199" i="24"/>
  <c r="L195" i="7" s="1"/>
  <c r="F199" i="24"/>
  <c r="E199" i="24"/>
  <c r="G198" i="24"/>
  <c r="L194" i="7" s="1"/>
  <c r="F198" i="24"/>
  <c r="E198" i="24"/>
  <c r="G197" i="24"/>
  <c r="L193" i="7" s="1"/>
  <c r="F197" i="24"/>
  <c r="E197" i="24"/>
  <c r="G196" i="24"/>
  <c r="L192" i="7" s="1"/>
  <c r="F196" i="24"/>
  <c r="E196" i="24"/>
  <c r="G195" i="24"/>
  <c r="L191" i="7" s="1"/>
  <c r="F195" i="24"/>
  <c r="E195" i="24"/>
  <c r="G194" i="24"/>
  <c r="L190" i="7" s="1"/>
  <c r="F194" i="24"/>
  <c r="E194" i="24"/>
  <c r="G193" i="24"/>
  <c r="L189" i="7" s="1"/>
  <c r="F193" i="24"/>
  <c r="E193" i="24"/>
  <c r="G192" i="24"/>
  <c r="L188" i="7" s="1"/>
  <c r="F192" i="24"/>
  <c r="E192" i="24"/>
  <c r="G191" i="24"/>
  <c r="L187" i="7" s="1"/>
  <c r="F191" i="24"/>
  <c r="E191" i="24"/>
  <c r="G190" i="24"/>
  <c r="L186" i="7" s="1"/>
  <c r="F190" i="24"/>
  <c r="E190" i="24"/>
  <c r="G189" i="24"/>
  <c r="L185" i="7" s="1"/>
  <c r="F189" i="24"/>
  <c r="E189" i="24"/>
  <c r="G188" i="24"/>
  <c r="L184" i="7" s="1"/>
  <c r="F188" i="24"/>
  <c r="E188" i="24"/>
  <c r="G187" i="24"/>
  <c r="L183" i="7" s="1"/>
  <c r="F187" i="24"/>
  <c r="E187" i="24"/>
  <c r="G186" i="24"/>
  <c r="L182" i="7" s="1"/>
  <c r="F186" i="24"/>
  <c r="E186" i="24"/>
  <c r="G185" i="24"/>
  <c r="L181" i="7" s="1"/>
  <c r="F185" i="24"/>
  <c r="E185" i="24"/>
  <c r="G184" i="24"/>
  <c r="L180" i="7" s="1"/>
  <c r="F184" i="24"/>
  <c r="E184" i="24"/>
  <c r="G183" i="24"/>
  <c r="L179" i="7" s="1"/>
  <c r="F183" i="24"/>
  <c r="E183" i="24"/>
  <c r="G182" i="24"/>
  <c r="L178" i="7" s="1"/>
  <c r="F182" i="24"/>
  <c r="E182" i="24"/>
  <c r="G181" i="24"/>
  <c r="L177" i="7" s="1"/>
  <c r="F181" i="24"/>
  <c r="E181" i="24"/>
  <c r="G180" i="24"/>
  <c r="L176" i="7" s="1"/>
  <c r="F180" i="24"/>
  <c r="E180" i="24"/>
  <c r="G179" i="24"/>
  <c r="L175" i="7" s="1"/>
  <c r="F179" i="24"/>
  <c r="E179" i="24"/>
  <c r="G178" i="24"/>
  <c r="L174" i="7" s="1"/>
  <c r="F178" i="24"/>
  <c r="E178" i="24"/>
  <c r="G177" i="24"/>
  <c r="L173" i="7" s="1"/>
  <c r="F177" i="24"/>
  <c r="E177" i="24"/>
  <c r="G176" i="24"/>
  <c r="L172" i="7" s="1"/>
  <c r="F176" i="24"/>
  <c r="E176" i="24"/>
  <c r="G175" i="24"/>
  <c r="L171" i="7" s="1"/>
  <c r="F175" i="24"/>
  <c r="E175" i="24"/>
  <c r="G174" i="24"/>
  <c r="L170" i="7" s="1"/>
  <c r="F174" i="24"/>
  <c r="E174" i="24"/>
  <c r="G173" i="24"/>
  <c r="L169" i="7" s="1"/>
  <c r="F173" i="24"/>
  <c r="E173" i="24"/>
  <c r="G172" i="24"/>
  <c r="L168" i="7" s="1"/>
  <c r="F172" i="24"/>
  <c r="E172" i="24"/>
  <c r="G171" i="24"/>
  <c r="L167" i="7" s="1"/>
  <c r="F171" i="24"/>
  <c r="E171" i="24"/>
  <c r="G170" i="24"/>
  <c r="L166" i="7" s="1"/>
  <c r="F170" i="24"/>
  <c r="E170" i="24"/>
  <c r="G169" i="24"/>
  <c r="L165" i="7" s="1"/>
  <c r="F169" i="24"/>
  <c r="E169" i="24"/>
  <c r="G168" i="24"/>
  <c r="L164" i="7" s="1"/>
  <c r="F168" i="24"/>
  <c r="E168" i="24"/>
  <c r="G167" i="24"/>
  <c r="L163" i="7" s="1"/>
  <c r="F167" i="24"/>
  <c r="E167" i="24"/>
  <c r="G166" i="24"/>
  <c r="L162" i="7" s="1"/>
  <c r="F166" i="24"/>
  <c r="E166" i="24"/>
  <c r="G165" i="24"/>
  <c r="L161" i="7" s="1"/>
  <c r="F165" i="24"/>
  <c r="E165" i="24"/>
  <c r="G164" i="24"/>
  <c r="L160" i="7" s="1"/>
  <c r="F164" i="24"/>
  <c r="E164" i="24"/>
  <c r="G163" i="24"/>
  <c r="L159" i="7" s="1"/>
  <c r="F163" i="24"/>
  <c r="E163" i="24"/>
  <c r="G162" i="24"/>
  <c r="L158" i="7" s="1"/>
  <c r="F162" i="24"/>
  <c r="E162" i="24"/>
  <c r="G161" i="24"/>
  <c r="L157" i="7" s="1"/>
  <c r="F161" i="24"/>
  <c r="E161" i="24"/>
  <c r="G160" i="24"/>
  <c r="L156" i="7" s="1"/>
  <c r="F160" i="24"/>
  <c r="E160" i="24"/>
  <c r="G159" i="24"/>
  <c r="L155" i="7" s="1"/>
  <c r="F159" i="24"/>
  <c r="E159" i="24"/>
  <c r="G158" i="24"/>
  <c r="L154" i="7" s="1"/>
  <c r="F158" i="24"/>
  <c r="E158" i="24"/>
  <c r="G157" i="24"/>
  <c r="L153" i="7" s="1"/>
  <c r="F157" i="24"/>
  <c r="E157" i="24"/>
  <c r="G156" i="24"/>
  <c r="L152" i="7" s="1"/>
  <c r="F156" i="24"/>
  <c r="E156" i="24"/>
  <c r="G155" i="24"/>
  <c r="L151" i="7" s="1"/>
  <c r="F155" i="24"/>
  <c r="E155" i="24"/>
  <c r="G154" i="24"/>
  <c r="L150" i="7" s="1"/>
  <c r="F154" i="24"/>
  <c r="E154" i="24"/>
  <c r="G153" i="24"/>
  <c r="L149" i="7" s="1"/>
  <c r="F153" i="24"/>
  <c r="E153" i="24"/>
  <c r="G152" i="24"/>
  <c r="L148" i="7" s="1"/>
  <c r="F152" i="24"/>
  <c r="E152" i="24"/>
  <c r="G151" i="24"/>
  <c r="L147" i="7" s="1"/>
  <c r="F151" i="24"/>
  <c r="E151" i="24"/>
  <c r="G150" i="24"/>
  <c r="L146" i="7" s="1"/>
  <c r="F150" i="24"/>
  <c r="E150" i="24"/>
  <c r="G149" i="24"/>
  <c r="L145" i="7" s="1"/>
  <c r="F149" i="24"/>
  <c r="E149" i="24"/>
  <c r="G148" i="24"/>
  <c r="L144" i="7" s="1"/>
  <c r="F148" i="24"/>
  <c r="E148" i="24"/>
  <c r="G147" i="24"/>
  <c r="L143" i="7" s="1"/>
  <c r="F147" i="24"/>
  <c r="E147" i="24"/>
  <c r="G146" i="24"/>
  <c r="L142" i="7" s="1"/>
  <c r="F146" i="24"/>
  <c r="E146" i="24"/>
  <c r="G145" i="24"/>
  <c r="L141" i="7" s="1"/>
  <c r="F145" i="24"/>
  <c r="E145" i="24"/>
  <c r="G144" i="24"/>
  <c r="L140" i="7" s="1"/>
  <c r="F144" i="24"/>
  <c r="E144" i="24"/>
  <c r="G143" i="24"/>
  <c r="L139" i="7" s="1"/>
  <c r="F143" i="24"/>
  <c r="E143" i="24"/>
  <c r="G142" i="24"/>
  <c r="L138" i="7" s="1"/>
  <c r="F142" i="24"/>
  <c r="E142" i="24"/>
  <c r="G141" i="24"/>
  <c r="L137" i="7" s="1"/>
  <c r="F141" i="24"/>
  <c r="E141" i="24"/>
  <c r="G140" i="24"/>
  <c r="L136" i="7" s="1"/>
  <c r="F140" i="24"/>
  <c r="E140" i="24"/>
  <c r="G139" i="24"/>
  <c r="L135" i="7" s="1"/>
  <c r="F139" i="24"/>
  <c r="E139" i="24"/>
  <c r="G138" i="24"/>
  <c r="L134" i="7" s="1"/>
  <c r="F138" i="24"/>
  <c r="E138" i="24"/>
  <c r="G137" i="24"/>
  <c r="L133" i="7" s="1"/>
  <c r="F137" i="24"/>
  <c r="E137" i="24"/>
  <c r="G136" i="24"/>
  <c r="L132" i="7" s="1"/>
  <c r="F136" i="24"/>
  <c r="E136" i="24"/>
  <c r="G135" i="24"/>
  <c r="L131" i="7" s="1"/>
  <c r="F135" i="24"/>
  <c r="E135" i="24"/>
  <c r="G134" i="24"/>
  <c r="L130" i="7" s="1"/>
  <c r="F134" i="24"/>
  <c r="E134" i="24"/>
  <c r="G133" i="24"/>
  <c r="L129" i="7" s="1"/>
  <c r="F133" i="24"/>
  <c r="E133" i="24"/>
  <c r="G132" i="24"/>
  <c r="L128" i="7" s="1"/>
  <c r="F132" i="24"/>
  <c r="E132" i="24"/>
  <c r="G131" i="24"/>
  <c r="L127" i="7" s="1"/>
  <c r="F131" i="24"/>
  <c r="E131" i="24"/>
  <c r="G130" i="24"/>
  <c r="L126" i="7" s="1"/>
  <c r="F130" i="24"/>
  <c r="E130" i="24"/>
  <c r="G129" i="24"/>
  <c r="L125" i="7" s="1"/>
  <c r="F129" i="24"/>
  <c r="E129" i="24"/>
  <c r="G128" i="24"/>
  <c r="L124" i="7" s="1"/>
  <c r="F128" i="24"/>
  <c r="E128" i="24"/>
  <c r="G127" i="24"/>
  <c r="L123" i="7" s="1"/>
  <c r="F127" i="24"/>
  <c r="E127" i="24"/>
  <c r="G126" i="24"/>
  <c r="L122" i="7" s="1"/>
  <c r="F126" i="24"/>
  <c r="E126" i="24"/>
  <c r="G125" i="24"/>
  <c r="L121" i="7" s="1"/>
  <c r="F125" i="24"/>
  <c r="E125" i="24"/>
  <c r="G124" i="24"/>
  <c r="L120" i="7" s="1"/>
  <c r="F124" i="24"/>
  <c r="E124" i="24"/>
  <c r="G123" i="24"/>
  <c r="L119" i="7" s="1"/>
  <c r="F123" i="24"/>
  <c r="E123" i="24"/>
  <c r="G122" i="24"/>
  <c r="L118" i="7" s="1"/>
  <c r="F122" i="24"/>
  <c r="E122" i="24"/>
  <c r="G121" i="24"/>
  <c r="L117" i="7" s="1"/>
  <c r="F121" i="24"/>
  <c r="E121" i="24"/>
  <c r="G120" i="24"/>
  <c r="L116" i="7" s="1"/>
  <c r="F120" i="24"/>
  <c r="E120" i="24"/>
  <c r="G119" i="24"/>
  <c r="L115" i="7" s="1"/>
  <c r="F119" i="24"/>
  <c r="E119" i="24"/>
  <c r="G118" i="24"/>
  <c r="L114" i="7" s="1"/>
  <c r="F118" i="24"/>
  <c r="E118" i="24"/>
  <c r="G117" i="24"/>
  <c r="L113" i="7" s="1"/>
  <c r="F117" i="24"/>
  <c r="E117" i="24"/>
  <c r="G116" i="24"/>
  <c r="L112" i="7" s="1"/>
  <c r="F116" i="24"/>
  <c r="E116" i="24"/>
  <c r="G115" i="24"/>
  <c r="L111" i="7" s="1"/>
  <c r="F115" i="24"/>
  <c r="E115" i="24"/>
  <c r="G114" i="24"/>
  <c r="L110" i="7" s="1"/>
  <c r="F114" i="24"/>
  <c r="E114" i="24"/>
  <c r="G113" i="24"/>
  <c r="L109" i="7" s="1"/>
  <c r="F113" i="24"/>
  <c r="E113" i="24"/>
  <c r="G112" i="24"/>
  <c r="L108" i="7" s="1"/>
  <c r="F112" i="24"/>
  <c r="E112" i="24"/>
  <c r="G111" i="24"/>
  <c r="L107" i="7" s="1"/>
  <c r="F111" i="24"/>
  <c r="E111" i="24"/>
  <c r="G110" i="24"/>
  <c r="L106" i="7" s="1"/>
  <c r="F110" i="24"/>
  <c r="E110" i="24"/>
  <c r="G109" i="24"/>
  <c r="L105" i="7" s="1"/>
  <c r="F109" i="24"/>
  <c r="E109" i="24"/>
  <c r="G108" i="24"/>
  <c r="L104" i="7" s="1"/>
  <c r="F108" i="24"/>
  <c r="E108" i="24"/>
  <c r="G107" i="24"/>
  <c r="L103" i="7" s="1"/>
  <c r="F107" i="24"/>
  <c r="E107" i="24"/>
  <c r="G106" i="24"/>
  <c r="L102" i="7" s="1"/>
  <c r="F106" i="24"/>
  <c r="E106" i="24"/>
  <c r="G105" i="24"/>
  <c r="L101" i="7" s="1"/>
  <c r="F105" i="24"/>
  <c r="E105" i="24"/>
  <c r="G104" i="24"/>
  <c r="L100" i="7" s="1"/>
  <c r="F104" i="24"/>
  <c r="E104" i="24"/>
  <c r="G103" i="24"/>
  <c r="L99" i="7" s="1"/>
  <c r="F103" i="24"/>
  <c r="E103" i="24"/>
  <c r="G102" i="24"/>
  <c r="L98" i="7" s="1"/>
  <c r="F102" i="24"/>
  <c r="E102" i="24"/>
  <c r="G101" i="24"/>
  <c r="L97" i="7" s="1"/>
  <c r="F101" i="24"/>
  <c r="E101" i="24"/>
  <c r="G100" i="24"/>
  <c r="L96" i="7" s="1"/>
  <c r="F100" i="24"/>
  <c r="E100" i="24"/>
  <c r="G99" i="24"/>
  <c r="L95" i="7" s="1"/>
  <c r="F99" i="24"/>
  <c r="E99" i="24"/>
  <c r="G98" i="24"/>
  <c r="L94" i="7" s="1"/>
  <c r="F98" i="24"/>
  <c r="E98" i="24"/>
  <c r="G97" i="24"/>
  <c r="L93" i="7" s="1"/>
  <c r="F97" i="24"/>
  <c r="E97" i="24"/>
  <c r="G96" i="24"/>
  <c r="L92" i="7" s="1"/>
  <c r="F96" i="24"/>
  <c r="E96" i="24"/>
  <c r="G95" i="24"/>
  <c r="L91" i="7" s="1"/>
  <c r="F95" i="24"/>
  <c r="E95" i="24"/>
  <c r="G94" i="24"/>
  <c r="L90" i="7" s="1"/>
  <c r="F94" i="24"/>
  <c r="E94" i="24"/>
  <c r="G93" i="24"/>
  <c r="L89" i="7" s="1"/>
  <c r="F93" i="24"/>
  <c r="E93" i="24"/>
  <c r="G92" i="24"/>
  <c r="L88" i="7" s="1"/>
  <c r="F92" i="24"/>
  <c r="E92" i="24"/>
  <c r="G91" i="24"/>
  <c r="L87" i="7" s="1"/>
  <c r="F91" i="24"/>
  <c r="E91" i="24"/>
  <c r="G90" i="24"/>
  <c r="L86" i="7" s="1"/>
  <c r="F90" i="24"/>
  <c r="E90" i="24"/>
  <c r="G89" i="24"/>
  <c r="L85" i="7" s="1"/>
  <c r="F89" i="24"/>
  <c r="E89" i="24"/>
  <c r="G88" i="24"/>
  <c r="L84" i="7" s="1"/>
  <c r="F88" i="24"/>
  <c r="E88" i="24"/>
  <c r="G87" i="24"/>
  <c r="L83" i="7" s="1"/>
  <c r="F87" i="24"/>
  <c r="E87" i="24"/>
  <c r="G86" i="24"/>
  <c r="L82" i="7" s="1"/>
  <c r="F86" i="24"/>
  <c r="E86" i="24"/>
  <c r="G85" i="24"/>
  <c r="L81" i="7" s="1"/>
  <c r="F85" i="24"/>
  <c r="E85" i="24"/>
  <c r="G84" i="24"/>
  <c r="L80" i="7" s="1"/>
  <c r="F84" i="24"/>
  <c r="E84" i="24"/>
  <c r="G83" i="24"/>
  <c r="L79" i="7" s="1"/>
  <c r="F83" i="24"/>
  <c r="E83" i="24"/>
  <c r="G82" i="24"/>
  <c r="L78" i="7" s="1"/>
  <c r="F82" i="24"/>
  <c r="E82" i="24"/>
  <c r="G81" i="24"/>
  <c r="L77" i="7" s="1"/>
  <c r="F81" i="24"/>
  <c r="E81" i="24"/>
  <c r="G80" i="24"/>
  <c r="L76" i="7" s="1"/>
  <c r="F80" i="24"/>
  <c r="E80" i="24"/>
  <c r="G79" i="24"/>
  <c r="L75" i="7" s="1"/>
  <c r="F79" i="24"/>
  <c r="E79" i="24"/>
  <c r="G78" i="24"/>
  <c r="L74" i="7" s="1"/>
  <c r="F78" i="24"/>
  <c r="E78" i="24"/>
  <c r="G77" i="24"/>
  <c r="L73" i="7" s="1"/>
  <c r="F77" i="24"/>
  <c r="E77" i="24"/>
  <c r="G76" i="24"/>
  <c r="L72" i="7" s="1"/>
  <c r="F76" i="24"/>
  <c r="E76" i="24"/>
  <c r="G75" i="24"/>
  <c r="L71" i="7" s="1"/>
  <c r="F75" i="24"/>
  <c r="E75" i="24"/>
  <c r="G74" i="24"/>
  <c r="L70" i="7" s="1"/>
  <c r="F74" i="24"/>
  <c r="E74" i="24"/>
  <c r="G73" i="24"/>
  <c r="L69" i="7" s="1"/>
  <c r="F73" i="24"/>
  <c r="E73" i="24"/>
  <c r="G72" i="24"/>
  <c r="L68" i="7" s="1"/>
  <c r="F72" i="24"/>
  <c r="E72" i="24"/>
  <c r="G71" i="24"/>
  <c r="L67" i="7" s="1"/>
  <c r="F71" i="24"/>
  <c r="E71" i="24"/>
  <c r="G70" i="24"/>
  <c r="L66" i="7" s="1"/>
  <c r="F70" i="24"/>
  <c r="E70" i="24"/>
  <c r="G69" i="24"/>
  <c r="L65" i="7" s="1"/>
  <c r="F69" i="24"/>
  <c r="E69" i="24"/>
  <c r="G68" i="24"/>
  <c r="L64" i="7" s="1"/>
  <c r="F68" i="24"/>
  <c r="E68" i="24"/>
  <c r="G67" i="24"/>
  <c r="L63" i="7" s="1"/>
  <c r="F67" i="24"/>
  <c r="E67" i="24"/>
  <c r="G66" i="24"/>
  <c r="L62" i="7" s="1"/>
  <c r="F66" i="24"/>
  <c r="E66" i="24"/>
  <c r="G65" i="24"/>
  <c r="L61" i="7" s="1"/>
  <c r="F65" i="24"/>
  <c r="E65" i="24"/>
  <c r="G64" i="24"/>
  <c r="L60" i="7" s="1"/>
  <c r="F64" i="24"/>
  <c r="E64" i="24"/>
  <c r="G63" i="24"/>
  <c r="L59" i="7" s="1"/>
  <c r="F63" i="24"/>
  <c r="E63" i="24"/>
  <c r="G62" i="24"/>
  <c r="L58" i="7" s="1"/>
  <c r="F62" i="24"/>
  <c r="E62" i="24"/>
  <c r="G61" i="24"/>
  <c r="L57" i="7" s="1"/>
  <c r="F61" i="24"/>
  <c r="E61" i="24"/>
  <c r="G60" i="24"/>
  <c r="L56" i="7" s="1"/>
  <c r="F60" i="24"/>
  <c r="E60" i="24"/>
  <c r="G59" i="24"/>
  <c r="L55" i="7" s="1"/>
  <c r="F59" i="24"/>
  <c r="E59" i="24"/>
  <c r="G58" i="24"/>
  <c r="L54" i="7" s="1"/>
  <c r="F58" i="24"/>
  <c r="E58" i="24"/>
  <c r="G57" i="24"/>
  <c r="L53" i="7" s="1"/>
  <c r="F57" i="24"/>
  <c r="E57" i="24"/>
  <c r="G56" i="24"/>
  <c r="L52" i="7" s="1"/>
  <c r="F56" i="24"/>
  <c r="E56" i="24"/>
  <c r="G55" i="24"/>
  <c r="L51" i="7" s="1"/>
  <c r="F55" i="24"/>
  <c r="E55" i="24"/>
  <c r="G54" i="24"/>
  <c r="L50" i="7" s="1"/>
  <c r="F54" i="24"/>
  <c r="E54" i="24"/>
  <c r="G53" i="24"/>
  <c r="L49" i="7" s="1"/>
  <c r="F53" i="24"/>
  <c r="E53" i="24"/>
  <c r="G52" i="24"/>
  <c r="L48" i="7" s="1"/>
  <c r="F52" i="24"/>
  <c r="E52" i="24"/>
  <c r="G51" i="24"/>
  <c r="L47" i="7" s="1"/>
  <c r="F51" i="24"/>
  <c r="E51" i="24"/>
  <c r="G50" i="24"/>
  <c r="L46" i="7" s="1"/>
  <c r="F50" i="24"/>
  <c r="E50" i="24"/>
  <c r="G49" i="24"/>
  <c r="L45" i="7" s="1"/>
  <c r="F49" i="24"/>
  <c r="E49" i="24"/>
  <c r="G48" i="24"/>
  <c r="L44" i="7" s="1"/>
  <c r="F48" i="24"/>
  <c r="E48" i="24"/>
  <c r="G47" i="24"/>
  <c r="L43" i="7" s="1"/>
  <c r="F47" i="24"/>
  <c r="E47" i="24"/>
  <c r="G46" i="24"/>
  <c r="L42" i="7" s="1"/>
  <c r="F46" i="24"/>
  <c r="E46" i="24"/>
  <c r="G45" i="24"/>
  <c r="L41" i="7" s="1"/>
  <c r="F45" i="24"/>
  <c r="E45" i="24"/>
  <c r="G44" i="24"/>
  <c r="L40" i="7" s="1"/>
  <c r="F44" i="24"/>
  <c r="E44" i="24"/>
  <c r="G43" i="24"/>
  <c r="L39" i="7" s="1"/>
  <c r="F43" i="24"/>
  <c r="E43" i="24"/>
  <c r="G42" i="24"/>
  <c r="L38" i="7" s="1"/>
  <c r="F42" i="24"/>
  <c r="E42" i="24"/>
  <c r="G41" i="24"/>
  <c r="L37" i="7" s="1"/>
  <c r="F41" i="24"/>
  <c r="E41" i="24"/>
  <c r="G40" i="24"/>
  <c r="L36" i="7" s="1"/>
  <c r="F40" i="24"/>
  <c r="E40" i="24"/>
  <c r="G39" i="24"/>
  <c r="L35" i="7" s="1"/>
  <c r="F39" i="24"/>
  <c r="E39" i="24"/>
  <c r="G38" i="24"/>
  <c r="L34" i="7" s="1"/>
  <c r="F38" i="24"/>
  <c r="E38" i="24"/>
  <c r="G37" i="24"/>
  <c r="L33" i="7" s="1"/>
  <c r="F37" i="24"/>
  <c r="E37" i="24"/>
  <c r="G36" i="24"/>
  <c r="L32" i="7" s="1"/>
  <c r="F36" i="24"/>
  <c r="E36" i="24"/>
  <c r="G35" i="24"/>
  <c r="L31" i="7" s="1"/>
  <c r="F35" i="24"/>
  <c r="E35" i="24"/>
  <c r="G34" i="24"/>
  <c r="L30" i="7" s="1"/>
  <c r="F34" i="24"/>
  <c r="E34" i="24"/>
  <c r="G33" i="24"/>
  <c r="L29" i="7" s="1"/>
  <c r="F33" i="24"/>
  <c r="E33" i="24"/>
  <c r="G32" i="24"/>
  <c r="L28" i="7" s="1"/>
  <c r="F32" i="24"/>
  <c r="E32" i="24"/>
  <c r="G31" i="24"/>
  <c r="L27" i="7" s="1"/>
  <c r="F31" i="24"/>
  <c r="E31" i="24"/>
  <c r="G30" i="24"/>
  <c r="L26" i="7" s="1"/>
  <c r="F30" i="24"/>
  <c r="E30" i="24"/>
  <c r="G29" i="24"/>
  <c r="L25" i="7" s="1"/>
  <c r="F29" i="24"/>
  <c r="E29" i="24"/>
  <c r="G28" i="24"/>
  <c r="L24" i="7" s="1"/>
  <c r="F28" i="24"/>
  <c r="E28" i="24"/>
  <c r="G27" i="24"/>
  <c r="L23" i="7" s="1"/>
  <c r="F27" i="24"/>
  <c r="E27" i="24"/>
  <c r="G26" i="24"/>
  <c r="L22" i="7" s="1"/>
  <c r="F26" i="24"/>
  <c r="E26" i="24"/>
  <c r="G25" i="24"/>
  <c r="L21" i="7" s="1"/>
  <c r="F25" i="24"/>
  <c r="E25" i="24"/>
  <c r="G24" i="24"/>
  <c r="L20" i="7" s="1"/>
  <c r="F24" i="24"/>
  <c r="E24" i="24"/>
  <c r="G23" i="24"/>
  <c r="L19" i="7" s="1"/>
  <c r="F23" i="24"/>
  <c r="E23" i="24"/>
  <c r="G22" i="24"/>
  <c r="L18" i="7" s="1"/>
  <c r="F22" i="24"/>
  <c r="E22" i="24"/>
  <c r="G21" i="24"/>
  <c r="L17" i="7" s="1"/>
  <c r="F21" i="24"/>
  <c r="E21" i="24"/>
  <c r="G20" i="24"/>
  <c r="L16" i="7" s="1"/>
  <c r="F20" i="24"/>
  <c r="E20" i="24"/>
  <c r="G19" i="24"/>
  <c r="L15" i="7" s="1"/>
  <c r="F19" i="24"/>
  <c r="E19" i="24"/>
  <c r="G18" i="24"/>
  <c r="L14" i="7" s="1"/>
  <c r="F18" i="24"/>
  <c r="E18" i="24"/>
  <c r="G17" i="24"/>
  <c r="L13" i="7" s="1"/>
  <c r="F17" i="24"/>
  <c r="E17" i="24"/>
  <c r="G16" i="24"/>
  <c r="L12" i="7" s="1"/>
  <c r="F16" i="24"/>
  <c r="E16" i="24"/>
  <c r="G15" i="24"/>
  <c r="L11" i="7" s="1"/>
  <c r="F15" i="24"/>
  <c r="E15" i="24"/>
  <c r="G14" i="24"/>
  <c r="L10" i="7" s="1"/>
  <c r="F14" i="24"/>
  <c r="E14" i="24"/>
  <c r="G13" i="24"/>
  <c r="L9" i="7" s="1"/>
  <c r="F13" i="24"/>
  <c r="E13" i="24"/>
  <c r="G12" i="24"/>
  <c r="L8" i="7" s="1"/>
  <c r="F12" i="24"/>
  <c r="E12" i="24"/>
  <c r="G11" i="24"/>
  <c r="L7" i="7" s="1"/>
  <c r="F11" i="24"/>
  <c r="E11" i="24"/>
  <c r="G10" i="24"/>
  <c r="L6" i="7" s="1"/>
  <c r="F10" i="24"/>
  <c r="E10" i="24"/>
  <c r="G9" i="24"/>
  <c r="L5" i="7" s="1"/>
  <c r="F9" i="24"/>
  <c r="E9" i="24"/>
  <c r="G8" i="24"/>
  <c r="L4" i="7" s="1"/>
  <c r="F8" i="24"/>
  <c r="E8" i="24"/>
  <c r="G2" i="24"/>
  <c r="G397" i="23"/>
  <c r="F397" i="23"/>
  <c r="E397" i="23"/>
  <c r="G396" i="23"/>
  <c r="F396" i="23"/>
  <c r="E396" i="23"/>
  <c r="G395" i="23"/>
  <c r="F395" i="23"/>
  <c r="E395" i="23"/>
  <c r="G394" i="23"/>
  <c r="F394" i="23"/>
  <c r="E394" i="23"/>
  <c r="G393" i="23"/>
  <c r="F393" i="23"/>
  <c r="E393" i="23"/>
  <c r="G392" i="23"/>
  <c r="F392" i="23"/>
  <c r="E392" i="23"/>
  <c r="G391" i="23"/>
  <c r="F391" i="23"/>
  <c r="E391" i="23"/>
  <c r="G390" i="23"/>
  <c r="F390" i="23"/>
  <c r="E390" i="23"/>
  <c r="G389" i="23"/>
  <c r="F389" i="23"/>
  <c r="E389" i="23"/>
  <c r="G388" i="23"/>
  <c r="F388" i="23"/>
  <c r="E388" i="23"/>
  <c r="G387" i="23"/>
  <c r="F387" i="23"/>
  <c r="E387" i="23"/>
  <c r="G386" i="23"/>
  <c r="F386" i="23"/>
  <c r="E386" i="23"/>
  <c r="G385" i="23"/>
  <c r="F385" i="23"/>
  <c r="E385" i="23"/>
  <c r="G384" i="23"/>
  <c r="F384" i="23"/>
  <c r="E384" i="23"/>
  <c r="G383" i="23"/>
  <c r="F383" i="23"/>
  <c r="E383" i="23"/>
  <c r="G382" i="23"/>
  <c r="F382" i="23"/>
  <c r="E382" i="23"/>
  <c r="G381" i="23"/>
  <c r="F381" i="23"/>
  <c r="E381" i="23"/>
  <c r="G380" i="23"/>
  <c r="F380" i="23"/>
  <c r="E380" i="23"/>
  <c r="G379" i="23"/>
  <c r="F379" i="23"/>
  <c r="E379" i="23"/>
  <c r="G378" i="23"/>
  <c r="F378" i="23"/>
  <c r="E378" i="23"/>
  <c r="G377" i="23"/>
  <c r="F377" i="23"/>
  <c r="E377" i="23"/>
  <c r="G376" i="23"/>
  <c r="F376" i="23"/>
  <c r="E376" i="23"/>
  <c r="G375" i="23"/>
  <c r="F375" i="23"/>
  <c r="E375" i="23"/>
  <c r="G374" i="23"/>
  <c r="F374" i="23"/>
  <c r="E374" i="23"/>
  <c r="G373" i="23"/>
  <c r="F373" i="23"/>
  <c r="E373" i="23"/>
  <c r="G372" i="23"/>
  <c r="F372" i="23"/>
  <c r="E372" i="23"/>
  <c r="G371" i="23"/>
  <c r="F371" i="23"/>
  <c r="E371" i="23"/>
  <c r="G370" i="23"/>
  <c r="F370" i="23"/>
  <c r="E370" i="23"/>
  <c r="G369" i="23"/>
  <c r="F369" i="23"/>
  <c r="E369" i="23"/>
  <c r="G368" i="23"/>
  <c r="F368" i="23"/>
  <c r="E368" i="23"/>
  <c r="G367" i="23"/>
  <c r="F367" i="23"/>
  <c r="E367" i="23"/>
  <c r="G366" i="23"/>
  <c r="F366" i="23"/>
  <c r="E366" i="23"/>
  <c r="G365" i="23"/>
  <c r="F365" i="23"/>
  <c r="E365" i="23"/>
  <c r="G364" i="23"/>
  <c r="F364" i="23"/>
  <c r="E364" i="23"/>
  <c r="G363" i="23"/>
  <c r="F363" i="23"/>
  <c r="E363" i="23"/>
  <c r="G362" i="23"/>
  <c r="F362" i="23"/>
  <c r="E362" i="23"/>
  <c r="G361" i="23"/>
  <c r="F361" i="23"/>
  <c r="E361" i="23"/>
  <c r="G360" i="23"/>
  <c r="F360" i="23"/>
  <c r="E360" i="23"/>
  <c r="G359" i="23"/>
  <c r="F359" i="23"/>
  <c r="E359" i="23"/>
  <c r="G358" i="23"/>
  <c r="F358" i="23"/>
  <c r="E358" i="23"/>
  <c r="G357" i="23"/>
  <c r="F357" i="23"/>
  <c r="E357" i="23"/>
  <c r="G356" i="23"/>
  <c r="F356" i="23"/>
  <c r="E356" i="23"/>
  <c r="G355" i="23"/>
  <c r="F355" i="23"/>
  <c r="E355" i="23"/>
  <c r="G354" i="23"/>
  <c r="F354" i="23"/>
  <c r="E354" i="23"/>
  <c r="G353" i="23"/>
  <c r="F353" i="23"/>
  <c r="E353" i="23"/>
  <c r="G352" i="23"/>
  <c r="F352" i="23"/>
  <c r="E352" i="23"/>
  <c r="G351" i="23"/>
  <c r="F351" i="23"/>
  <c r="E351" i="23"/>
  <c r="G350" i="23"/>
  <c r="F350" i="23"/>
  <c r="E350" i="23"/>
  <c r="G349" i="23"/>
  <c r="F349" i="23"/>
  <c r="E349" i="23"/>
  <c r="G348" i="23"/>
  <c r="F348" i="23"/>
  <c r="E348" i="23"/>
  <c r="G347" i="23"/>
  <c r="F347" i="23"/>
  <c r="E347" i="23"/>
  <c r="G346" i="23"/>
  <c r="F346" i="23"/>
  <c r="E346" i="23"/>
  <c r="G345" i="23"/>
  <c r="F345" i="23"/>
  <c r="E345" i="23"/>
  <c r="G344" i="23"/>
  <c r="F344" i="23"/>
  <c r="E344" i="23"/>
  <c r="G343" i="23"/>
  <c r="F343" i="23"/>
  <c r="E343" i="23"/>
  <c r="G342" i="23"/>
  <c r="F342" i="23"/>
  <c r="E342" i="23"/>
  <c r="G341" i="23"/>
  <c r="F341" i="23"/>
  <c r="E341" i="23"/>
  <c r="G340" i="23"/>
  <c r="F340" i="23"/>
  <c r="E340" i="23"/>
  <c r="G339" i="23"/>
  <c r="F339" i="23"/>
  <c r="E339" i="23"/>
  <c r="G338" i="23"/>
  <c r="F338" i="23"/>
  <c r="E338" i="23"/>
  <c r="G337" i="23"/>
  <c r="F337" i="23"/>
  <c r="E337" i="23"/>
  <c r="G336" i="23"/>
  <c r="F336" i="23"/>
  <c r="E336" i="23"/>
  <c r="G335" i="23"/>
  <c r="F335" i="23"/>
  <c r="E335" i="23"/>
  <c r="G334" i="23"/>
  <c r="F334" i="23"/>
  <c r="E334" i="23"/>
  <c r="G333" i="23"/>
  <c r="F333" i="23"/>
  <c r="E333" i="23"/>
  <c r="G332" i="23"/>
  <c r="F332" i="23"/>
  <c r="E332" i="23"/>
  <c r="G331" i="23"/>
  <c r="F331" i="23"/>
  <c r="E331" i="23"/>
  <c r="G330" i="23"/>
  <c r="F330" i="23"/>
  <c r="E330" i="23"/>
  <c r="G329" i="23"/>
  <c r="F329" i="23"/>
  <c r="E329" i="23"/>
  <c r="G328" i="23"/>
  <c r="F328" i="23"/>
  <c r="E328" i="23"/>
  <c r="G327" i="23"/>
  <c r="F327" i="23"/>
  <c r="E327" i="23"/>
  <c r="G326" i="23"/>
  <c r="F326" i="23"/>
  <c r="E326" i="23"/>
  <c r="G325" i="23"/>
  <c r="F325" i="23"/>
  <c r="E325" i="23"/>
  <c r="G324" i="23"/>
  <c r="F324" i="23"/>
  <c r="E324" i="23"/>
  <c r="G323" i="23"/>
  <c r="F323" i="23"/>
  <c r="E323" i="23"/>
  <c r="G322" i="23"/>
  <c r="F322" i="23"/>
  <c r="E322" i="23"/>
  <c r="G321" i="23"/>
  <c r="F321" i="23"/>
  <c r="E321" i="23"/>
  <c r="G320" i="23"/>
  <c r="F320" i="23"/>
  <c r="E320" i="23"/>
  <c r="G319" i="23"/>
  <c r="F319" i="23"/>
  <c r="E319" i="23"/>
  <c r="G318" i="23"/>
  <c r="F318" i="23"/>
  <c r="E318" i="23"/>
  <c r="G317" i="23"/>
  <c r="F317" i="23"/>
  <c r="E317" i="23"/>
  <c r="G316" i="23"/>
  <c r="F316" i="23"/>
  <c r="E316" i="23"/>
  <c r="G315" i="23"/>
  <c r="F315" i="23"/>
  <c r="E315" i="23"/>
  <c r="G314" i="23"/>
  <c r="F314" i="23"/>
  <c r="E314" i="23"/>
  <c r="G313" i="23"/>
  <c r="F313" i="23"/>
  <c r="E313" i="23"/>
  <c r="G312" i="23"/>
  <c r="F312" i="23"/>
  <c r="E312" i="23"/>
  <c r="G311" i="23"/>
  <c r="F311" i="23"/>
  <c r="E311" i="23"/>
  <c r="G310" i="23"/>
  <c r="F310" i="23"/>
  <c r="E310" i="23"/>
  <c r="G309" i="23"/>
  <c r="F309" i="23"/>
  <c r="E309" i="23"/>
  <c r="G308" i="23"/>
  <c r="F308" i="23"/>
  <c r="E308" i="23"/>
  <c r="G307" i="23"/>
  <c r="F307" i="23"/>
  <c r="E307" i="23"/>
  <c r="G306" i="23"/>
  <c r="F306" i="23"/>
  <c r="E306" i="23"/>
  <c r="G305" i="23"/>
  <c r="F305" i="23"/>
  <c r="E305" i="23"/>
  <c r="G304" i="23"/>
  <c r="F304" i="23"/>
  <c r="E304" i="23"/>
  <c r="G303" i="23"/>
  <c r="F303" i="23"/>
  <c r="E303" i="23"/>
  <c r="G302" i="23"/>
  <c r="F302" i="23"/>
  <c r="E302" i="23"/>
  <c r="G301" i="23"/>
  <c r="F301" i="23"/>
  <c r="E301" i="23"/>
  <c r="G300" i="23"/>
  <c r="F300" i="23"/>
  <c r="E300" i="23"/>
  <c r="G299" i="23"/>
  <c r="F299" i="23"/>
  <c r="E299" i="23"/>
  <c r="G298" i="23"/>
  <c r="F298" i="23"/>
  <c r="E298" i="23"/>
  <c r="G297" i="23"/>
  <c r="F297" i="23"/>
  <c r="E297" i="23"/>
  <c r="G296" i="23"/>
  <c r="F296" i="23"/>
  <c r="E296" i="23"/>
  <c r="G295" i="23"/>
  <c r="F295" i="23"/>
  <c r="E295" i="23"/>
  <c r="G294" i="23"/>
  <c r="F294" i="23"/>
  <c r="E294" i="23"/>
  <c r="G293" i="23"/>
  <c r="F293" i="23"/>
  <c r="E293" i="23"/>
  <c r="G292" i="23"/>
  <c r="F292" i="23"/>
  <c r="E292" i="23"/>
  <c r="G291" i="23"/>
  <c r="F291" i="23"/>
  <c r="E291" i="23"/>
  <c r="G290" i="23"/>
  <c r="F290" i="23"/>
  <c r="E290" i="23"/>
  <c r="G289" i="23"/>
  <c r="F289" i="23"/>
  <c r="E289" i="23"/>
  <c r="G288" i="23"/>
  <c r="F288" i="23"/>
  <c r="E288" i="23"/>
  <c r="G287" i="23"/>
  <c r="F287" i="23"/>
  <c r="E287" i="23"/>
  <c r="G286" i="23"/>
  <c r="F286" i="23"/>
  <c r="E286" i="23"/>
  <c r="G285" i="23"/>
  <c r="F285" i="23"/>
  <c r="E285" i="23"/>
  <c r="G284" i="23"/>
  <c r="F284" i="23"/>
  <c r="E284" i="23"/>
  <c r="G283" i="23"/>
  <c r="F283" i="23"/>
  <c r="E283" i="23"/>
  <c r="G282" i="23"/>
  <c r="F282" i="23"/>
  <c r="E282" i="23"/>
  <c r="G281" i="23"/>
  <c r="F281" i="23"/>
  <c r="E281" i="23"/>
  <c r="G280" i="23"/>
  <c r="F280" i="23"/>
  <c r="E280" i="23"/>
  <c r="G279" i="23"/>
  <c r="F279" i="23"/>
  <c r="E279" i="23"/>
  <c r="G278" i="23"/>
  <c r="F278" i="23"/>
  <c r="E278" i="23"/>
  <c r="G277" i="23"/>
  <c r="F277" i="23"/>
  <c r="E277" i="23"/>
  <c r="G276" i="23"/>
  <c r="F276" i="23"/>
  <c r="E276" i="23"/>
  <c r="G275" i="23"/>
  <c r="F275" i="23"/>
  <c r="E275" i="23"/>
  <c r="G274" i="23"/>
  <c r="F274" i="23"/>
  <c r="E274" i="23"/>
  <c r="G273" i="23"/>
  <c r="F273" i="23"/>
  <c r="E273" i="23"/>
  <c r="G272" i="23"/>
  <c r="K268" i="7" s="1"/>
  <c r="F272" i="23"/>
  <c r="E272" i="23"/>
  <c r="G271" i="23"/>
  <c r="K267" i="7" s="1"/>
  <c r="F271" i="23"/>
  <c r="E271" i="23"/>
  <c r="G270" i="23"/>
  <c r="K266" i="7" s="1"/>
  <c r="F270" i="23"/>
  <c r="E270" i="23"/>
  <c r="G269" i="23"/>
  <c r="K265" i="7" s="1"/>
  <c r="F269" i="23"/>
  <c r="E269" i="23"/>
  <c r="G268" i="23"/>
  <c r="K264" i="7" s="1"/>
  <c r="F268" i="23"/>
  <c r="E268" i="23"/>
  <c r="G267" i="23"/>
  <c r="K263" i="7" s="1"/>
  <c r="F267" i="23"/>
  <c r="E267" i="23"/>
  <c r="G266" i="23"/>
  <c r="K262" i="7" s="1"/>
  <c r="F266" i="23"/>
  <c r="E266" i="23"/>
  <c r="G265" i="23"/>
  <c r="K261" i="7" s="1"/>
  <c r="F265" i="23"/>
  <c r="E265" i="23"/>
  <c r="G264" i="23"/>
  <c r="K260" i="7" s="1"/>
  <c r="F264" i="23"/>
  <c r="E264" i="23"/>
  <c r="G263" i="23"/>
  <c r="K259" i="7" s="1"/>
  <c r="F263" i="23"/>
  <c r="E263" i="23"/>
  <c r="G262" i="23"/>
  <c r="K258" i="7" s="1"/>
  <c r="F262" i="23"/>
  <c r="E262" i="23"/>
  <c r="G261" i="23"/>
  <c r="K257" i="7" s="1"/>
  <c r="F261" i="23"/>
  <c r="E261" i="23"/>
  <c r="G260" i="23"/>
  <c r="K256" i="7" s="1"/>
  <c r="F260" i="23"/>
  <c r="E260" i="23"/>
  <c r="G259" i="23"/>
  <c r="K255" i="7" s="1"/>
  <c r="F259" i="23"/>
  <c r="E259" i="23"/>
  <c r="G258" i="23"/>
  <c r="K254" i="7" s="1"/>
  <c r="F258" i="23"/>
  <c r="E258" i="23"/>
  <c r="G257" i="23"/>
  <c r="K253" i="7" s="1"/>
  <c r="F257" i="23"/>
  <c r="E257" i="23"/>
  <c r="G256" i="23"/>
  <c r="K252" i="7" s="1"/>
  <c r="F256" i="23"/>
  <c r="E256" i="23"/>
  <c r="G255" i="23"/>
  <c r="K251" i="7" s="1"/>
  <c r="F255" i="23"/>
  <c r="E255" i="23"/>
  <c r="G254" i="23"/>
  <c r="K250" i="7" s="1"/>
  <c r="F254" i="23"/>
  <c r="E254" i="23"/>
  <c r="G253" i="23"/>
  <c r="K249" i="7" s="1"/>
  <c r="F253" i="23"/>
  <c r="E253" i="23"/>
  <c r="G252" i="23"/>
  <c r="K248" i="7" s="1"/>
  <c r="F252" i="23"/>
  <c r="E252" i="23"/>
  <c r="G251" i="23"/>
  <c r="K247" i="7" s="1"/>
  <c r="F251" i="23"/>
  <c r="E251" i="23"/>
  <c r="G250" i="23"/>
  <c r="K246" i="7" s="1"/>
  <c r="F250" i="23"/>
  <c r="E250" i="23"/>
  <c r="G249" i="23"/>
  <c r="K245" i="7" s="1"/>
  <c r="F249" i="23"/>
  <c r="E249" i="23"/>
  <c r="G248" i="23"/>
  <c r="K244" i="7" s="1"/>
  <c r="F248" i="23"/>
  <c r="E248" i="23"/>
  <c r="G247" i="23"/>
  <c r="K243" i="7" s="1"/>
  <c r="F247" i="23"/>
  <c r="E247" i="23"/>
  <c r="G246" i="23"/>
  <c r="K242" i="7" s="1"/>
  <c r="F246" i="23"/>
  <c r="E246" i="23"/>
  <c r="G245" i="23"/>
  <c r="K241" i="7" s="1"/>
  <c r="F245" i="23"/>
  <c r="E245" i="23"/>
  <c r="G244" i="23"/>
  <c r="K240" i="7" s="1"/>
  <c r="F244" i="23"/>
  <c r="E244" i="23"/>
  <c r="G243" i="23"/>
  <c r="K239" i="7" s="1"/>
  <c r="F243" i="23"/>
  <c r="E243" i="23"/>
  <c r="G242" i="23"/>
  <c r="K238" i="7" s="1"/>
  <c r="F242" i="23"/>
  <c r="E242" i="23"/>
  <c r="G241" i="23"/>
  <c r="K237" i="7" s="1"/>
  <c r="F241" i="23"/>
  <c r="E241" i="23"/>
  <c r="G240" i="23"/>
  <c r="K236" i="7" s="1"/>
  <c r="F240" i="23"/>
  <c r="E240" i="23"/>
  <c r="G239" i="23"/>
  <c r="K235" i="7" s="1"/>
  <c r="F239" i="23"/>
  <c r="E239" i="23"/>
  <c r="G238" i="23"/>
  <c r="K234" i="7" s="1"/>
  <c r="F238" i="23"/>
  <c r="E238" i="23"/>
  <c r="G237" i="23"/>
  <c r="K233" i="7" s="1"/>
  <c r="F237" i="23"/>
  <c r="E237" i="23"/>
  <c r="G236" i="23"/>
  <c r="K232" i="7" s="1"/>
  <c r="F236" i="23"/>
  <c r="E236" i="23"/>
  <c r="G235" i="23"/>
  <c r="K231" i="7" s="1"/>
  <c r="F235" i="23"/>
  <c r="E235" i="23"/>
  <c r="G234" i="23"/>
  <c r="K230" i="7" s="1"/>
  <c r="F234" i="23"/>
  <c r="E234" i="23"/>
  <c r="G233" i="23"/>
  <c r="K229" i="7" s="1"/>
  <c r="F233" i="23"/>
  <c r="E233" i="23"/>
  <c r="G232" i="23"/>
  <c r="K228" i="7" s="1"/>
  <c r="F232" i="23"/>
  <c r="E232" i="23"/>
  <c r="G231" i="23"/>
  <c r="K227" i="7" s="1"/>
  <c r="F231" i="23"/>
  <c r="E231" i="23"/>
  <c r="G230" i="23"/>
  <c r="K226" i="7" s="1"/>
  <c r="F230" i="23"/>
  <c r="E230" i="23"/>
  <c r="G229" i="23"/>
  <c r="K225" i="7" s="1"/>
  <c r="F229" i="23"/>
  <c r="E229" i="23"/>
  <c r="G228" i="23"/>
  <c r="K224" i="7" s="1"/>
  <c r="F228" i="23"/>
  <c r="E228" i="23"/>
  <c r="G227" i="23"/>
  <c r="K223" i="7" s="1"/>
  <c r="F227" i="23"/>
  <c r="E227" i="23"/>
  <c r="G226" i="23"/>
  <c r="K222" i="7" s="1"/>
  <c r="F226" i="23"/>
  <c r="E226" i="23"/>
  <c r="G225" i="23"/>
  <c r="K221" i="7" s="1"/>
  <c r="F225" i="23"/>
  <c r="E225" i="23"/>
  <c r="G224" i="23"/>
  <c r="K220" i="7" s="1"/>
  <c r="F224" i="23"/>
  <c r="E224" i="23"/>
  <c r="G223" i="23"/>
  <c r="K219" i="7" s="1"/>
  <c r="F223" i="23"/>
  <c r="E223" i="23"/>
  <c r="G222" i="23"/>
  <c r="K218" i="7" s="1"/>
  <c r="F222" i="23"/>
  <c r="E222" i="23"/>
  <c r="G221" i="23"/>
  <c r="K217" i="7" s="1"/>
  <c r="F221" i="23"/>
  <c r="E221" i="23"/>
  <c r="G220" i="23"/>
  <c r="K216" i="7" s="1"/>
  <c r="F220" i="23"/>
  <c r="E220" i="23"/>
  <c r="G219" i="23"/>
  <c r="K215" i="7" s="1"/>
  <c r="F219" i="23"/>
  <c r="E219" i="23"/>
  <c r="G218" i="23"/>
  <c r="K214" i="7" s="1"/>
  <c r="F218" i="23"/>
  <c r="E218" i="23"/>
  <c r="G217" i="23"/>
  <c r="K213" i="7" s="1"/>
  <c r="F217" i="23"/>
  <c r="E217" i="23"/>
  <c r="G216" i="23"/>
  <c r="K212" i="7" s="1"/>
  <c r="F216" i="23"/>
  <c r="E216" i="23"/>
  <c r="G215" i="23"/>
  <c r="K211" i="7" s="1"/>
  <c r="F215" i="23"/>
  <c r="E215" i="23"/>
  <c r="G214" i="23"/>
  <c r="K210" i="7" s="1"/>
  <c r="F214" i="23"/>
  <c r="E214" i="23"/>
  <c r="G213" i="23"/>
  <c r="K209" i="7" s="1"/>
  <c r="F213" i="23"/>
  <c r="E213" i="23"/>
  <c r="G212" i="23"/>
  <c r="K208" i="7" s="1"/>
  <c r="F212" i="23"/>
  <c r="E212" i="23"/>
  <c r="G211" i="23"/>
  <c r="K207" i="7" s="1"/>
  <c r="F211" i="23"/>
  <c r="E211" i="23"/>
  <c r="G210" i="23"/>
  <c r="K206" i="7" s="1"/>
  <c r="F210" i="23"/>
  <c r="E210" i="23"/>
  <c r="G209" i="23"/>
  <c r="K205" i="7" s="1"/>
  <c r="F209" i="23"/>
  <c r="E209" i="23"/>
  <c r="G208" i="23"/>
  <c r="K204" i="7" s="1"/>
  <c r="F208" i="23"/>
  <c r="E208" i="23"/>
  <c r="G207" i="23"/>
  <c r="K203" i="7" s="1"/>
  <c r="F207" i="23"/>
  <c r="E207" i="23"/>
  <c r="G206" i="23"/>
  <c r="K202" i="7" s="1"/>
  <c r="F206" i="23"/>
  <c r="E206" i="23"/>
  <c r="G205" i="23"/>
  <c r="K201" i="7" s="1"/>
  <c r="F205" i="23"/>
  <c r="E205" i="23"/>
  <c r="G204" i="23"/>
  <c r="K200" i="7" s="1"/>
  <c r="F204" i="23"/>
  <c r="E204" i="23"/>
  <c r="G203" i="23"/>
  <c r="K199" i="7" s="1"/>
  <c r="F203" i="23"/>
  <c r="E203" i="23"/>
  <c r="G202" i="23"/>
  <c r="K198" i="7" s="1"/>
  <c r="F202" i="23"/>
  <c r="E202" i="23"/>
  <c r="G201" i="23"/>
  <c r="K197" i="7" s="1"/>
  <c r="F201" i="23"/>
  <c r="E201" i="23"/>
  <c r="G200" i="23"/>
  <c r="K196" i="7" s="1"/>
  <c r="F200" i="23"/>
  <c r="E200" i="23"/>
  <c r="G199" i="23"/>
  <c r="K195" i="7" s="1"/>
  <c r="F199" i="23"/>
  <c r="E199" i="23"/>
  <c r="G198" i="23"/>
  <c r="K194" i="7" s="1"/>
  <c r="F198" i="23"/>
  <c r="E198" i="23"/>
  <c r="G197" i="23"/>
  <c r="K193" i="7" s="1"/>
  <c r="F197" i="23"/>
  <c r="E197" i="23"/>
  <c r="G196" i="23"/>
  <c r="K192" i="7" s="1"/>
  <c r="F196" i="23"/>
  <c r="E196" i="23"/>
  <c r="G195" i="23"/>
  <c r="K191" i="7" s="1"/>
  <c r="F195" i="23"/>
  <c r="E195" i="23"/>
  <c r="G194" i="23"/>
  <c r="K190" i="7" s="1"/>
  <c r="F194" i="23"/>
  <c r="E194" i="23"/>
  <c r="G193" i="23"/>
  <c r="K189" i="7" s="1"/>
  <c r="F193" i="23"/>
  <c r="E193" i="23"/>
  <c r="G192" i="23"/>
  <c r="K188" i="7" s="1"/>
  <c r="F192" i="23"/>
  <c r="E192" i="23"/>
  <c r="G191" i="23"/>
  <c r="K187" i="7" s="1"/>
  <c r="F191" i="23"/>
  <c r="E191" i="23"/>
  <c r="G190" i="23"/>
  <c r="K186" i="7" s="1"/>
  <c r="F190" i="23"/>
  <c r="E190" i="23"/>
  <c r="G189" i="23"/>
  <c r="K185" i="7" s="1"/>
  <c r="F189" i="23"/>
  <c r="E189" i="23"/>
  <c r="G188" i="23"/>
  <c r="K184" i="7" s="1"/>
  <c r="F188" i="23"/>
  <c r="E188" i="23"/>
  <c r="G187" i="23"/>
  <c r="K183" i="7" s="1"/>
  <c r="F187" i="23"/>
  <c r="E187" i="23"/>
  <c r="G186" i="23"/>
  <c r="K182" i="7" s="1"/>
  <c r="F186" i="23"/>
  <c r="E186" i="23"/>
  <c r="G185" i="23"/>
  <c r="K181" i="7" s="1"/>
  <c r="F185" i="23"/>
  <c r="E185" i="23"/>
  <c r="G184" i="23"/>
  <c r="K180" i="7" s="1"/>
  <c r="F184" i="23"/>
  <c r="E184" i="23"/>
  <c r="G183" i="23"/>
  <c r="K179" i="7" s="1"/>
  <c r="F183" i="23"/>
  <c r="E183" i="23"/>
  <c r="G182" i="23"/>
  <c r="K178" i="7" s="1"/>
  <c r="F182" i="23"/>
  <c r="E182" i="23"/>
  <c r="G181" i="23"/>
  <c r="K177" i="7" s="1"/>
  <c r="F181" i="23"/>
  <c r="E181" i="23"/>
  <c r="G180" i="23"/>
  <c r="K176" i="7" s="1"/>
  <c r="F180" i="23"/>
  <c r="E180" i="23"/>
  <c r="G179" i="23"/>
  <c r="K175" i="7" s="1"/>
  <c r="F179" i="23"/>
  <c r="E179" i="23"/>
  <c r="G178" i="23"/>
  <c r="K174" i="7" s="1"/>
  <c r="F178" i="23"/>
  <c r="E178" i="23"/>
  <c r="G177" i="23"/>
  <c r="K173" i="7" s="1"/>
  <c r="F177" i="23"/>
  <c r="E177" i="23"/>
  <c r="G176" i="23"/>
  <c r="K172" i="7" s="1"/>
  <c r="F176" i="23"/>
  <c r="E176" i="23"/>
  <c r="G175" i="23"/>
  <c r="K171" i="7" s="1"/>
  <c r="F175" i="23"/>
  <c r="E175" i="23"/>
  <c r="G174" i="23"/>
  <c r="K170" i="7" s="1"/>
  <c r="F174" i="23"/>
  <c r="E174" i="23"/>
  <c r="G173" i="23"/>
  <c r="K169" i="7" s="1"/>
  <c r="F173" i="23"/>
  <c r="E173" i="23"/>
  <c r="G172" i="23"/>
  <c r="K168" i="7" s="1"/>
  <c r="F172" i="23"/>
  <c r="E172" i="23"/>
  <c r="G171" i="23"/>
  <c r="K167" i="7" s="1"/>
  <c r="F171" i="23"/>
  <c r="E171" i="23"/>
  <c r="G170" i="23"/>
  <c r="K166" i="7" s="1"/>
  <c r="F170" i="23"/>
  <c r="E170" i="23"/>
  <c r="G169" i="23"/>
  <c r="K165" i="7" s="1"/>
  <c r="F169" i="23"/>
  <c r="E169" i="23"/>
  <c r="G168" i="23"/>
  <c r="K164" i="7" s="1"/>
  <c r="F168" i="23"/>
  <c r="E168" i="23"/>
  <c r="G167" i="23"/>
  <c r="K163" i="7" s="1"/>
  <c r="F167" i="23"/>
  <c r="E167" i="23"/>
  <c r="G166" i="23"/>
  <c r="K162" i="7" s="1"/>
  <c r="F166" i="23"/>
  <c r="E166" i="23"/>
  <c r="G165" i="23"/>
  <c r="K161" i="7" s="1"/>
  <c r="F165" i="23"/>
  <c r="E165" i="23"/>
  <c r="G164" i="23"/>
  <c r="K160" i="7" s="1"/>
  <c r="F164" i="23"/>
  <c r="E164" i="23"/>
  <c r="G163" i="23"/>
  <c r="K159" i="7" s="1"/>
  <c r="F163" i="23"/>
  <c r="E163" i="23"/>
  <c r="G162" i="23"/>
  <c r="K158" i="7" s="1"/>
  <c r="F162" i="23"/>
  <c r="E162" i="23"/>
  <c r="G161" i="23"/>
  <c r="K157" i="7" s="1"/>
  <c r="F161" i="23"/>
  <c r="E161" i="23"/>
  <c r="G160" i="23"/>
  <c r="K156" i="7" s="1"/>
  <c r="F160" i="23"/>
  <c r="E160" i="23"/>
  <c r="G159" i="23"/>
  <c r="K155" i="7" s="1"/>
  <c r="F159" i="23"/>
  <c r="E159" i="23"/>
  <c r="G158" i="23"/>
  <c r="K154" i="7" s="1"/>
  <c r="F158" i="23"/>
  <c r="E158" i="23"/>
  <c r="G157" i="23"/>
  <c r="K153" i="7" s="1"/>
  <c r="F157" i="23"/>
  <c r="E157" i="23"/>
  <c r="G156" i="23"/>
  <c r="K152" i="7" s="1"/>
  <c r="F156" i="23"/>
  <c r="E156" i="23"/>
  <c r="G155" i="23"/>
  <c r="K151" i="7" s="1"/>
  <c r="F155" i="23"/>
  <c r="E155" i="23"/>
  <c r="G154" i="23"/>
  <c r="K150" i="7" s="1"/>
  <c r="F154" i="23"/>
  <c r="E154" i="23"/>
  <c r="G153" i="23"/>
  <c r="K149" i="7" s="1"/>
  <c r="F153" i="23"/>
  <c r="E153" i="23"/>
  <c r="G152" i="23"/>
  <c r="K148" i="7" s="1"/>
  <c r="F152" i="23"/>
  <c r="E152" i="23"/>
  <c r="G151" i="23"/>
  <c r="K147" i="7" s="1"/>
  <c r="F151" i="23"/>
  <c r="E151" i="23"/>
  <c r="G150" i="23"/>
  <c r="K146" i="7" s="1"/>
  <c r="F150" i="23"/>
  <c r="E150" i="23"/>
  <c r="G149" i="23"/>
  <c r="K145" i="7" s="1"/>
  <c r="F149" i="23"/>
  <c r="E149" i="23"/>
  <c r="G148" i="23"/>
  <c r="K144" i="7" s="1"/>
  <c r="F148" i="23"/>
  <c r="E148" i="23"/>
  <c r="G147" i="23"/>
  <c r="K143" i="7" s="1"/>
  <c r="F147" i="23"/>
  <c r="E147" i="23"/>
  <c r="G146" i="23"/>
  <c r="K142" i="7" s="1"/>
  <c r="F146" i="23"/>
  <c r="E146" i="23"/>
  <c r="G145" i="23"/>
  <c r="K141" i="7" s="1"/>
  <c r="F145" i="23"/>
  <c r="E145" i="23"/>
  <c r="G144" i="23"/>
  <c r="K140" i="7" s="1"/>
  <c r="F144" i="23"/>
  <c r="E144" i="23"/>
  <c r="G143" i="23"/>
  <c r="K139" i="7" s="1"/>
  <c r="F143" i="23"/>
  <c r="E143" i="23"/>
  <c r="G142" i="23"/>
  <c r="K138" i="7" s="1"/>
  <c r="F142" i="23"/>
  <c r="E142" i="23"/>
  <c r="G141" i="23"/>
  <c r="K137" i="7" s="1"/>
  <c r="F141" i="23"/>
  <c r="E141" i="23"/>
  <c r="G140" i="23"/>
  <c r="K136" i="7" s="1"/>
  <c r="F140" i="23"/>
  <c r="E140" i="23"/>
  <c r="G139" i="23"/>
  <c r="K135" i="7" s="1"/>
  <c r="F139" i="23"/>
  <c r="E139" i="23"/>
  <c r="G138" i="23"/>
  <c r="K134" i="7" s="1"/>
  <c r="F138" i="23"/>
  <c r="E138" i="23"/>
  <c r="G137" i="23"/>
  <c r="K133" i="7" s="1"/>
  <c r="F137" i="23"/>
  <c r="E137" i="23"/>
  <c r="G136" i="23"/>
  <c r="K132" i="7" s="1"/>
  <c r="F136" i="23"/>
  <c r="E136" i="23"/>
  <c r="G135" i="23"/>
  <c r="K131" i="7" s="1"/>
  <c r="F135" i="23"/>
  <c r="E135" i="23"/>
  <c r="G134" i="23"/>
  <c r="K130" i="7" s="1"/>
  <c r="F134" i="23"/>
  <c r="E134" i="23"/>
  <c r="G133" i="23"/>
  <c r="K129" i="7" s="1"/>
  <c r="F133" i="23"/>
  <c r="E133" i="23"/>
  <c r="G132" i="23"/>
  <c r="K128" i="7" s="1"/>
  <c r="F132" i="23"/>
  <c r="E132" i="23"/>
  <c r="G131" i="23"/>
  <c r="K127" i="7" s="1"/>
  <c r="F131" i="23"/>
  <c r="E131" i="23"/>
  <c r="G130" i="23"/>
  <c r="K126" i="7" s="1"/>
  <c r="F130" i="23"/>
  <c r="E130" i="23"/>
  <c r="G129" i="23"/>
  <c r="K125" i="7" s="1"/>
  <c r="F129" i="23"/>
  <c r="E129" i="23"/>
  <c r="G128" i="23"/>
  <c r="K124" i="7" s="1"/>
  <c r="F128" i="23"/>
  <c r="E128" i="23"/>
  <c r="G127" i="23"/>
  <c r="K123" i="7" s="1"/>
  <c r="F127" i="23"/>
  <c r="E127" i="23"/>
  <c r="G126" i="23"/>
  <c r="K122" i="7" s="1"/>
  <c r="F126" i="23"/>
  <c r="E126" i="23"/>
  <c r="G125" i="23"/>
  <c r="K121" i="7" s="1"/>
  <c r="F125" i="23"/>
  <c r="E125" i="23"/>
  <c r="G124" i="23"/>
  <c r="K120" i="7" s="1"/>
  <c r="F124" i="23"/>
  <c r="E124" i="23"/>
  <c r="G123" i="23"/>
  <c r="K119" i="7" s="1"/>
  <c r="F123" i="23"/>
  <c r="E123" i="23"/>
  <c r="G122" i="23"/>
  <c r="K118" i="7" s="1"/>
  <c r="F122" i="23"/>
  <c r="E122" i="23"/>
  <c r="G121" i="23"/>
  <c r="K117" i="7" s="1"/>
  <c r="F121" i="23"/>
  <c r="E121" i="23"/>
  <c r="G120" i="23"/>
  <c r="K116" i="7" s="1"/>
  <c r="F120" i="23"/>
  <c r="E120" i="23"/>
  <c r="G119" i="23"/>
  <c r="K115" i="7" s="1"/>
  <c r="F119" i="23"/>
  <c r="E119" i="23"/>
  <c r="G118" i="23"/>
  <c r="K114" i="7" s="1"/>
  <c r="F118" i="23"/>
  <c r="E118" i="23"/>
  <c r="G117" i="23"/>
  <c r="K113" i="7" s="1"/>
  <c r="F117" i="23"/>
  <c r="E117" i="23"/>
  <c r="G116" i="23"/>
  <c r="K112" i="7" s="1"/>
  <c r="F116" i="23"/>
  <c r="E116" i="23"/>
  <c r="G115" i="23"/>
  <c r="K111" i="7" s="1"/>
  <c r="F115" i="23"/>
  <c r="E115" i="23"/>
  <c r="G114" i="23"/>
  <c r="K110" i="7" s="1"/>
  <c r="F114" i="23"/>
  <c r="E114" i="23"/>
  <c r="G113" i="23"/>
  <c r="K109" i="7" s="1"/>
  <c r="F113" i="23"/>
  <c r="E113" i="23"/>
  <c r="G112" i="23"/>
  <c r="K108" i="7" s="1"/>
  <c r="F112" i="23"/>
  <c r="E112" i="23"/>
  <c r="G111" i="23"/>
  <c r="K107" i="7" s="1"/>
  <c r="F111" i="23"/>
  <c r="E111" i="23"/>
  <c r="G110" i="23"/>
  <c r="K106" i="7" s="1"/>
  <c r="F110" i="23"/>
  <c r="E110" i="23"/>
  <c r="G109" i="23"/>
  <c r="K105" i="7" s="1"/>
  <c r="F109" i="23"/>
  <c r="E109" i="23"/>
  <c r="G108" i="23"/>
  <c r="K104" i="7" s="1"/>
  <c r="F108" i="23"/>
  <c r="E108" i="23"/>
  <c r="G107" i="23"/>
  <c r="K103" i="7" s="1"/>
  <c r="F107" i="23"/>
  <c r="E107" i="23"/>
  <c r="G106" i="23"/>
  <c r="K102" i="7" s="1"/>
  <c r="F106" i="23"/>
  <c r="E106" i="23"/>
  <c r="G105" i="23"/>
  <c r="K101" i="7" s="1"/>
  <c r="F105" i="23"/>
  <c r="E105" i="23"/>
  <c r="G104" i="23"/>
  <c r="K100" i="7" s="1"/>
  <c r="F104" i="23"/>
  <c r="E104" i="23"/>
  <c r="G103" i="23"/>
  <c r="K99" i="7" s="1"/>
  <c r="F103" i="23"/>
  <c r="E103" i="23"/>
  <c r="G102" i="23"/>
  <c r="K98" i="7" s="1"/>
  <c r="F102" i="23"/>
  <c r="E102" i="23"/>
  <c r="G101" i="23"/>
  <c r="K97" i="7" s="1"/>
  <c r="F101" i="23"/>
  <c r="E101" i="23"/>
  <c r="G100" i="23"/>
  <c r="K96" i="7" s="1"/>
  <c r="F100" i="23"/>
  <c r="E100" i="23"/>
  <c r="G99" i="23"/>
  <c r="K95" i="7" s="1"/>
  <c r="F99" i="23"/>
  <c r="E99" i="23"/>
  <c r="G98" i="23"/>
  <c r="K94" i="7" s="1"/>
  <c r="F98" i="23"/>
  <c r="E98" i="23"/>
  <c r="G97" i="23"/>
  <c r="K93" i="7" s="1"/>
  <c r="F97" i="23"/>
  <c r="E97" i="23"/>
  <c r="G96" i="23"/>
  <c r="K92" i="7" s="1"/>
  <c r="F96" i="23"/>
  <c r="E96" i="23"/>
  <c r="G95" i="23"/>
  <c r="K91" i="7" s="1"/>
  <c r="F95" i="23"/>
  <c r="E95" i="23"/>
  <c r="G94" i="23"/>
  <c r="K90" i="7" s="1"/>
  <c r="F94" i="23"/>
  <c r="E94" i="23"/>
  <c r="G93" i="23"/>
  <c r="K89" i="7" s="1"/>
  <c r="F93" i="23"/>
  <c r="E93" i="23"/>
  <c r="G92" i="23"/>
  <c r="K88" i="7" s="1"/>
  <c r="F92" i="23"/>
  <c r="E92" i="23"/>
  <c r="G91" i="23"/>
  <c r="K87" i="7" s="1"/>
  <c r="F91" i="23"/>
  <c r="E91" i="23"/>
  <c r="G90" i="23"/>
  <c r="K86" i="7" s="1"/>
  <c r="F90" i="23"/>
  <c r="E90" i="23"/>
  <c r="G89" i="23"/>
  <c r="K85" i="7" s="1"/>
  <c r="F89" i="23"/>
  <c r="E89" i="23"/>
  <c r="G88" i="23"/>
  <c r="K84" i="7" s="1"/>
  <c r="F88" i="23"/>
  <c r="E88" i="23"/>
  <c r="G87" i="23"/>
  <c r="K83" i="7" s="1"/>
  <c r="F87" i="23"/>
  <c r="E87" i="23"/>
  <c r="G86" i="23"/>
  <c r="K82" i="7" s="1"/>
  <c r="F86" i="23"/>
  <c r="E86" i="23"/>
  <c r="G85" i="23"/>
  <c r="K81" i="7" s="1"/>
  <c r="F85" i="23"/>
  <c r="E85" i="23"/>
  <c r="G84" i="23"/>
  <c r="K80" i="7" s="1"/>
  <c r="F84" i="23"/>
  <c r="E84" i="23"/>
  <c r="G83" i="23"/>
  <c r="K79" i="7" s="1"/>
  <c r="F83" i="23"/>
  <c r="E83" i="23"/>
  <c r="G82" i="23"/>
  <c r="K78" i="7" s="1"/>
  <c r="F82" i="23"/>
  <c r="E82" i="23"/>
  <c r="G81" i="23"/>
  <c r="K77" i="7" s="1"/>
  <c r="F81" i="23"/>
  <c r="E81" i="23"/>
  <c r="G80" i="23"/>
  <c r="K76" i="7" s="1"/>
  <c r="F80" i="23"/>
  <c r="E80" i="23"/>
  <c r="G79" i="23"/>
  <c r="K75" i="7" s="1"/>
  <c r="F79" i="23"/>
  <c r="E79" i="23"/>
  <c r="G78" i="23"/>
  <c r="K74" i="7" s="1"/>
  <c r="F78" i="23"/>
  <c r="E78" i="23"/>
  <c r="G77" i="23"/>
  <c r="K73" i="7" s="1"/>
  <c r="F77" i="23"/>
  <c r="E77" i="23"/>
  <c r="G76" i="23"/>
  <c r="K72" i="7" s="1"/>
  <c r="F76" i="23"/>
  <c r="E76" i="23"/>
  <c r="G75" i="23"/>
  <c r="K71" i="7" s="1"/>
  <c r="F75" i="23"/>
  <c r="E75" i="23"/>
  <c r="G74" i="23"/>
  <c r="K70" i="7" s="1"/>
  <c r="F74" i="23"/>
  <c r="E74" i="23"/>
  <c r="G73" i="23"/>
  <c r="K69" i="7" s="1"/>
  <c r="F73" i="23"/>
  <c r="E73" i="23"/>
  <c r="G72" i="23"/>
  <c r="K68" i="7" s="1"/>
  <c r="F72" i="23"/>
  <c r="E72" i="23"/>
  <c r="G71" i="23"/>
  <c r="K67" i="7" s="1"/>
  <c r="F71" i="23"/>
  <c r="E71" i="23"/>
  <c r="G70" i="23"/>
  <c r="K66" i="7" s="1"/>
  <c r="F70" i="23"/>
  <c r="E70" i="23"/>
  <c r="G69" i="23"/>
  <c r="K65" i="7" s="1"/>
  <c r="F69" i="23"/>
  <c r="E69" i="23"/>
  <c r="G68" i="23"/>
  <c r="K64" i="7" s="1"/>
  <c r="F68" i="23"/>
  <c r="E68" i="23"/>
  <c r="G67" i="23"/>
  <c r="K63" i="7" s="1"/>
  <c r="F67" i="23"/>
  <c r="E67" i="23"/>
  <c r="G66" i="23"/>
  <c r="K62" i="7" s="1"/>
  <c r="F66" i="23"/>
  <c r="E66" i="23"/>
  <c r="G65" i="23"/>
  <c r="K61" i="7" s="1"/>
  <c r="F65" i="23"/>
  <c r="E65" i="23"/>
  <c r="G64" i="23"/>
  <c r="K60" i="7" s="1"/>
  <c r="F64" i="23"/>
  <c r="E64" i="23"/>
  <c r="G63" i="23"/>
  <c r="K59" i="7" s="1"/>
  <c r="F63" i="23"/>
  <c r="E63" i="23"/>
  <c r="G62" i="23"/>
  <c r="K58" i="7" s="1"/>
  <c r="F62" i="23"/>
  <c r="E62" i="23"/>
  <c r="G61" i="23"/>
  <c r="K57" i="7" s="1"/>
  <c r="F61" i="23"/>
  <c r="E61" i="23"/>
  <c r="G60" i="23"/>
  <c r="K56" i="7" s="1"/>
  <c r="F60" i="23"/>
  <c r="E60" i="23"/>
  <c r="G59" i="23"/>
  <c r="K55" i="7" s="1"/>
  <c r="F59" i="23"/>
  <c r="E59" i="23"/>
  <c r="G58" i="23"/>
  <c r="K54" i="7" s="1"/>
  <c r="F58" i="23"/>
  <c r="E58" i="23"/>
  <c r="G57" i="23"/>
  <c r="K53" i="7" s="1"/>
  <c r="F57" i="23"/>
  <c r="E57" i="23"/>
  <c r="G56" i="23"/>
  <c r="K52" i="7" s="1"/>
  <c r="F56" i="23"/>
  <c r="E56" i="23"/>
  <c r="G55" i="23"/>
  <c r="K51" i="7" s="1"/>
  <c r="F55" i="23"/>
  <c r="E55" i="23"/>
  <c r="G54" i="23"/>
  <c r="K50" i="7" s="1"/>
  <c r="F54" i="23"/>
  <c r="E54" i="23"/>
  <c r="G53" i="23"/>
  <c r="K49" i="7" s="1"/>
  <c r="F53" i="23"/>
  <c r="E53" i="23"/>
  <c r="G52" i="23"/>
  <c r="K48" i="7" s="1"/>
  <c r="F52" i="23"/>
  <c r="E52" i="23"/>
  <c r="G51" i="23"/>
  <c r="K47" i="7" s="1"/>
  <c r="F51" i="23"/>
  <c r="E51" i="23"/>
  <c r="G50" i="23"/>
  <c r="K46" i="7" s="1"/>
  <c r="F50" i="23"/>
  <c r="E50" i="23"/>
  <c r="G49" i="23"/>
  <c r="K45" i="7" s="1"/>
  <c r="F49" i="23"/>
  <c r="E49" i="23"/>
  <c r="G48" i="23"/>
  <c r="K44" i="7" s="1"/>
  <c r="F48" i="23"/>
  <c r="E48" i="23"/>
  <c r="G47" i="23"/>
  <c r="K43" i="7" s="1"/>
  <c r="F47" i="23"/>
  <c r="E47" i="23"/>
  <c r="G46" i="23"/>
  <c r="K42" i="7" s="1"/>
  <c r="F46" i="23"/>
  <c r="E46" i="23"/>
  <c r="G45" i="23"/>
  <c r="K41" i="7" s="1"/>
  <c r="F45" i="23"/>
  <c r="E45" i="23"/>
  <c r="G44" i="23"/>
  <c r="K40" i="7" s="1"/>
  <c r="F44" i="23"/>
  <c r="E44" i="23"/>
  <c r="G43" i="23"/>
  <c r="K39" i="7" s="1"/>
  <c r="F43" i="23"/>
  <c r="E43" i="23"/>
  <c r="G42" i="23"/>
  <c r="K38" i="7" s="1"/>
  <c r="F42" i="23"/>
  <c r="E42" i="23"/>
  <c r="G41" i="23"/>
  <c r="K37" i="7" s="1"/>
  <c r="F41" i="23"/>
  <c r="E41" i="23"/>
  <c r="G40" i="23"/>
  <c r="K36" i="7" s="1"/>
  <c r="F40" i="23"/>
  <c r="E40" i="23"/>
  <c r="G39" i="23"/>
  <c r="K35" i="7" s="1"/>
  <c r="F39" i="23"/>
  <c r="E39" i="23"/>
  <c r="G38" i="23"/>
  <c r="K34" i="7" s="1"/>
  <c r="F38" i="23"/>
  <c r="E38" i="23"/>
  <c r="G37" i="23"/>
  <c r="K33" i="7" s="1"/>
  <c r="F37" i="23"/>
  <c r="E37" i="23"/>
  <c r="G36" i="23"/>
  <c r="K32" i="7" s="1"/>
  <c r="F36" i="23"/>
  <c r="E36" i="23"/>
  <c r="G35" i="23"/>
  <c r="K31" i="7" s="1"/>
  <c r="F35" i="23"/>
  <c r="E35" i="23"/>
  <c r="G34" i="23"/>
  <c r="K30" i="7" s="1"/>
  <c r="F34" i="23"/>
  <c r="E34" i="23"/>
  <c r="G33" i="23"/>
  <c r="K29" i="7" s="1"/>
  <c r="F33" i="23"/>
  <c r="E33" i="23"/>
  <c r="G32" i="23"/>
  <c r="K28" i="7" s="1"/>
  <c r="F32" i="23"/>
  <c r="E32" i="23"/>
  <c r="G31" i="23"/>
  <c r="K27" i="7" s="1"/>
  <c r="F31" i="23"/>
  <c r="E31" i="23"/>
  <c r="G30" i="23"/>
  <c r="K26" i="7" s="1"/>
  <c r="F30" i="23"/>
  <c r="E30" i="23"/>
  <c r="G29" i="23"/>
  <c r="K25" i="7" s="1"/>
  <c r="F29" i="23"/>
  <c r="E29" i="23"/>
  <c r="G28" i="23"/>
  <c r="K24" i="7" s="1"/>
  <c r="F28" i="23"/>
  <c r="E28" i="23"/>
  <c r="G27" i="23"/>
  <c r="K23" i="7" s="1"/>
  <c r="F27" i="23"/>
  <c r="E27" i="23"/>
  <c r="G26" i="23"/>
  <c r="K22" i="7" s="1"/>
  <c r="F26" i="23"/>
  <c r="E26" i="23"/>
  <c r="G25" i="23"/>
  <c r="K21" i="7" s="1"/>
  <c r="F25" i="23"/>
  <c r="E25" i="23"/>
  <c r="G24" i="23"/>
  <c r="K20" i="7" s="1"/>
  <c r="F24" i="23"/>
  <c r="E24" i="23"/>
  <c r="G23" i="23"/>
  <c r="K19" i="7" s="1"/>
  <c r="F23" i="23"/>
  <c r="E23" i="23"/>
  <c r="G22" i="23"/>
  <c r="K18" i="7" s="1"/>
  <c r="F22" i="23"/>
  <c r="E22" i="23"/>
  <c r="G21" i="23"/>
  <c r="K17" i="7" s="1"/>
  <c r="F21" i="23"/>
  <c r="E21" i="23"/>
  <c r="G20" i="23"/>
  <c r="K16" i="7" s="1"/>
  <c r="F20" i="23"/>
  <c r="E20" i="23"/>
  <c r="G19" i="23"/>
  <c r="K15" i="7" s="1"/>
  <c r="F19" i="23"/>
  <c r="E19" i="23"/>
  <c r="G18" i="23"/>
  <c r="K14" i="7" s="1"/>
  <c r="F18" i="23"/>
  <c r="E18" i="23"/>
  <c r="G17" i="23"/>
  <c r="K13" i="7" s="1"/>
  <c r="F17" i="23"/>
  <c r="E17" i="23"/>
  <c r="G16" i="23"/>
  <c r="K12" i="7" s="1"/>
  <c r="F16" i="23"/>
  <c r="E16" i="23"/>
  <c r="G15" i="23"/>
  <c r="K11" i="7" s="1"/>
  <c r="F15" i="23"/>
  <c r="E15" i="23"/>
  <c r="G14" i="23"/>
  <c r="K10" i="7" s="1"/>
  <c r="F14" i="23"/>
  <c r="E14" i="23"/>
  <c r="G13" i="23"/>
  <c r="K9" i="7" s="1"/>
  <c r="F13" i="23"/>
  <c r="E13" i="23"/>
  <c r="G12" i="23"/>
  <c r="K8" i="7" s="1"/>
  <c r="F12" i="23"/>
  <c r="E12" i="23"/>
  <c r="G11" i="23"/>
  <c r="K7" i="7" s="1"/>
  <c r="F11" i="23"/>
  <c r="E11" i="23"/>
  <c r="G10" i="23"/>
  <c r="K6" i="7" s="1"/>
  <c r="F10" i="23"/>
  <c r="E10" i="23"/>
  <c r="G9" i="23"/>
  <c r="K5" i="7" s="1"/>
  <c r="F9" i="23"/>
  <c r="E9" i="23"/>
  <c r="G8" i="23"/>
  <c r="K4" i="7" s="1"/>
  <c r="F8" i="23"/>
  <c r="E8" i="23"/>
  <c r="G2" i="23"/>
  <c r="G397" i="22"/>
  <c r="F397" i="22"/>
  <c r="E397" i="22"/>
  <c r="G396" i="22"/>
  <c r="F396" i="22"/>
  <c r="E396" i="22"/>
  <c r="G395" i="22"/>
  <c r="F395" i="22"/>
  <c r="E395" i="22"/>
  <c r="G394" i="22"/>
  <c r="F394" i="22"/>
  <c r="E394" i="22"/>
  <c r="G393" i="22"/>
  <c r="F393" i="22"/>
  <c r="E393" i="22"/>
  <c r="G392" i="22"/>
  <c r="F392" i="22"/>
  <c r="E392" i="22"/>
  <c r="G391" i="22"/>
  <c r="F391" i="22"/>
  <c r="E391" i="22"/>
  <c r="G390" i="22"/>
  <c r="F390" i="22"/>
  <c r="E390" i="22"/>
  <c r="G389" i="22"/>
  <c r="F389" i="22"/>
  <c r="E389" i="22"/>
  <c r="G388" i="22"/>
  <c r="F388" i="22"/>
  <c r="E388" i="22"/>
  <c r="G387" i="22"/>
  <c r="F387" i="22"/>
  <c r="E387" i="22"/>
  <c r="G386" i="22"/>
  <c r="F386" i="22"/>
  <c r="E386" i="22"/>
  <c r="G385" i="22"/>
  <c r="F385" i="22"/>
  <c r="E385" i="22"/>
  <c r="G384" i="22"/>
  <c r="F384" i="22"/>
  <c r="E384" i="22"/>
  <c r="G383" i="22"/>
  <c r="F383" i="22"/>
  <c r="E383" i="22"/>
  <c r="G382" i="22"/>
  <c r="F382" i="22"/>
  <c r="E382" i="22"/>
  <c r="G381" i="22"/>
  <c r="F381" i="22"/>
  <c r="E381" i="22"/>
  <c r="G380" i="22"/>
  <c r="F380" i="22"/>
  <c r="E380" i="22"/>
  <c r="G379" i="22"/>
  <c r="F379" i="22"/>
  <c r="E379" i="22"/>
  <c r="G378" i="22"/>
  <c r="F378" i="22"/>
  <c r="E378" i="22"/>
  <c r="G377" i="22"/>
  <c r="F377" i="22"/>
  <c r="E377" i="22"/>
  <c r="G376" i="22"/>
  <c r="F376" i="22"/>
  <c r="E376" i="22"/>
  <c r="G375" i="22"/>
  <c r="F375" i="22"/>
  <c r="E375" i="22"/>
  <c r="G374" i="22"/>
  <c r="F374" i="22"/>
  <c r="E374" i="22"/>
  <c r="G373" i="22"/>
  <c r="F373" i="22"/>
  <c r="E373" i="22"/>
  <c r="G372" i="22"/>
  <c r="F372" i="22"/>
  <c r="E372" i="22"/>
  <c r="G371" i="22"/>
  <c r="F371" i="22"/>
  <c r="E371" i="22"/>
  <c r="G370" i="22"/>
  <c r="F370" i="22"/>
  <c r="E370" i="22"/>
  <c r="G369" i="22"/>
  <c r="F369" i="22"/>
  <c r="E369" i="22"/>
  <c r="G368" i="22"/>
  <c r="F368" i="22"/>
  <c r="E368" i="22"/>
  <c r="G367" i="22"/>
  <c r="F367" i="22"/>
  <c r="E367" i="22"/>
  <c r="G366" i="22"/>
  <c r="F366" i="22"/>
  <c r="E366" i="22"/>
  <c r="G365" i="22"/>
  <c r="F365" i="22"/>
  <c r="E365" i="22"/>
  <c r="G364" i="22"/>
  <c r="F364" i="22"/>
  <c r="E364" i="22"/>
  <c r="G363" i="22"/>
  <c r="F363" i="22"/>
  <c r="E363" i="22"/>
  <c r="G362" i="22"/>
  <c r="F362" i="22"/>
  <c r="E362" i="22"/>
  <c r="G361" i="22"/>
  <c r="F361" i="22"/>
  <c r="E361" i="22"/>
  <c r="G360" i="22"/>
  <c r="F360" i="22"/>
  <c r="E360" i="22"/>
  <c r="G359" i="22"/>
  <c r="F359" i="22"/>
  <c r="E359" i="22"/>
  <c r="G358" i="22"/>
  <c r="F358" i="22"/>
  <c r="E358" i="22"/>
  <c r="G357" i="22"/>
  <c r="F357" i="22"/>
  <c r="E357" i="22"/>
  <c r="G356" i="22"/>
  <c r="F356" i="22"/>
  <c r="E356" i="22"/>
  <c r="G355" i="22"/>
  <c r="F355" i="22"/>
  <c r="E355" i="22"/>
  <c r="G354" i="22"/>
  <c r="F354" i="22"/>
  <c r="E354" i="22"/>
  <c r="G353" i="22"/>
  <c r="F353" i="22"/>
  <c r="E353" i="22"/>
  <c r="G352" i="22"/>
  <c r="F352" i="22"/>
  <c r="E352" i="22"/>
  <c r="G351" i="22"/>
  <c r="F351" i="22"/>
  <c r="E351" i="22"/>
  <c r="G350" i="22"/>
  <c r="F350" i="22"/>
  <c r="E350" i="22"/>
  <c r="G349" i="22"/>
  <c r="F349" i="22"/>
  <c r="E349" i="22"/>
  <c r="G348" i="22"/>
  <c r="F348" i="22"/>
  <c r="E348" i="22"/>
  <c r="G347" i="22"/>
  <c r="F347" i="22"/>
  <c r="E347" i="22"/>
  <c r="G346" i="22"/>
  <c r="F346" i="22"/>
  <c r="E346" i="22"/>
  <c r="G345" i="22"/>
  <c r="F345" i="22"/>
  <c r="E345" i="22"/>
  <c r="G344" i="22"/>
  <c r="F344" i="22"/>
  <c r="E344" i="22"/>
  <c r="G343" i="22"/>
  <c r="F343" i="22"/>
  <c r="E343" i="22"/>
  <c r="G342" i="22"/>
  <c r="F342" i="22"/>
  <c r="E342" i="22"/>
  <c r="G341" i="22"/>
  <c r="F341" i="22"/>
  <c r="E341" i="22"/>
  <c r="G340" i="22"/>
  <c r="F340" i="22"/>
  <c r="E340" i="22"/>
  <c r="G339" i="22"/>
  <c r="F339" i="22"/>
  <c r="E339" i="22"/>
  <c r="G338" i="22"/>
  <c r="F338" i="22"/>
  <c r="E338" i="22"/>
  <c r="G337" i="22"/>
  <c r="F337" i="22"/>
  <c r="E337" i="22"/>
  <c r="G336" i="22"/>
  <c r="F336" i="22"/>
  <c r="E336" i="22"/>
  <c r="G335" i="22"/>
  <c r="F335" i="22"/>
  <c r="E335" i="22"/>
  <c r="G334" i="22"/>
  <c r="F334" i="22"/>
  <c r="E334" i="22"/>
  <c r="G333" i="22"/>
  <c r="F333" i="22"/>
  <c r="E333" i="22"/>
  <c r="G332" i="22"/>
  <c r="F332" i="22"/>
  <c r="E332" i="22"/>
  <c r="G331" i="22"/>
  <c r="F331" i="22"/>
  <c r="E331" i="22"/>
  <c r="G330" i="22"/>
  <c r="F330" i="22"/>
  <c r="E330" i="22"/>
  <c r="G329" i="22"/>
  <c r="F329" i="22"/>
  <c r="E329" i="22"/>
  <c r="G328" i="22"/>
  <c r="F328" i="22"/>
  <c r="E328" i="22"/>
  <c r="G327" i="22"/>
  <c r="F327" i="22"/>
  <c r="E327" i="22"/>
  <c r="G326" i="22"/>
  <c r="F326" i="22"/>
  <c r="E326" i="22"/>
  <c r="G325" i="22"/>
  <c r="F325" i="22"/>
  <c r="E325" i="22"/>
  <c r="G324" i="22"/>
  <c r="F324" i="22"/>
  <c r="E324" i="22"/>
  <c r="G323" i="22"/>
  <c r="F323" i="22"/>
  <c r="E323" i="22"/>
  <c r="G322" i="22"/>
  <c r="F322" i="22"/>
  <c r="E322" i="22"/>
  <c r="G321" i="22"/>
  <c r="F321" i="22"/>
  <c r="E321" i="22"/>
  <c r="G320" i="22"/>
  <c r="F320" i="22"/>
  <c r="E320" i="22"/>
  <c r="G319" i="22"/>
  <c r="F319" i="22"/>
  <c r="E319" i="22"/>
  <c r="G318" i="22"/>
  <c r="F318" i="22"/>
  <c r="E318" i="22"/>
  <c r="G317" i="22"/>
  <c r="F317" i="22"/>
  <c r="E317" i="22"/>
  <c r="G316" i="22"/>
  <c r="F316" i="22"/>
  <c r="E316" i="22"/>
  <c r="G315" i="22"/>
  <c r="F315" i="22"/>
  <c r="E315" i="22"/>
  <c r="G314" i="22"/>
  <c r="F314" i="22"/>
  <c r="E314" i="22"/>
  <c r="G313" i="22"/>
  <c r="F313" i="22"/>
  <c r="E313" i="22"/>
  <c r="G312" i="22"/>
  <c r="F312" i="22"/>
  <c r="E312" i="22"/>
  <c r="G311" i="22"/>
  <c r="F311" i="22"/>
  <c r="E311" i="22"/>
  <c r="G310" i="22"/>
  <c r="F310" i="22"/>
  <c r="E310" i="22"/>
  <c r="G309" i="22"/>
  <c r="F309" i="22"/>
  <c r="E309" i="22"/>
  <c r="G308" i="22"/>
  <c r="F308" i="22"/>
  <c r="E308" i="22"/>
  <c r="G307" i="22"/>
  <c r="F307" i="22"/>
  <c r="E307" i="22"/>
  <c r="G306" i="22"/>
  <c r="F306" i="22"/>
  <c r="E306" i="22"/>
  <c r="G305" i="22"/>
  <c r="F305" i="22"/>
  <c r="E305" i="22"/>
  <c r="G304" i="22"/>
  <c r="F304" i="22"/>
  <c r="E304" i="22"/>
  <c r="G303" i="22"/>
  <c r="F303" i="22"/>
  <c r="E303" i="22"/>
  <c r="G302" i="22"/>
  <c r="F302" i="22"/>
  <c r="E302" i="22"/>
  <c r="G301" i="22"/>
  <c r="F301" i="22"/>
  <c r="E301" i="22"/>
  <c r="G300" i="22"/>
  <c r="F300" i="22"/>
  <c r="E300" i="22"/>
  <c r="G299" i="22"/>
  <c r="F299" i="22"/>
  <c r="E299" i="22"/>
  <c r="G298" i="22"/>
  <c r="F298" i="22"/>
  <c r="E298" i="22"/>
  <c r="G297" i="22"/>
  <c r="F297" i="22"/>
  <c r="E297" i="22"/>
  <c r="G296" i="22"/>
  <c r="F296" i="22"/>
  <c r="E296" i="22"/>
  <c r="G295" i="22"/>
  <c r="F295" i="22"/>
  <c r="E295" i="22"/>
  <c r="G294" i="22"/>
  <c r="F294" i="22"/>
  <c r="E294" i="22"/>
  <c r="G293" i="22"/>
  <c r="F293" i="22"/>
  <c r="E293" i="22"/>
  <c r="G292" i="22"/>
  <c r="F292" i="22"/>
  <c r="E292" i="22"/>
  <c r="G291" i="22"/>
  <c r="F291" i="22"/>
  <c r="E291" i="22"/>
  <c r="G290" i="22"/>
  <c r="F290" i="22"/>
  <c r="E290" i="22"/>
  <c r="G289" i="22"/>
  <c r="F289" i="22"/>
  <c r="E289" i="22"/>
  <c r="G288" i="22"/>
  <c r="F288" i="22"/>
  <c r="E288" i="22"/>
  <c r="G287" i="22"/>
  <c r="F287" i="22"/>
  <c r="E287" i="22"/>
  <c r="G286" i="22"/>
  <c r="F286" i="22"/>
  <c r="E286" i="22"/>
  <c r="G285" i="22"/>
  <c r="F285" i="22"/>
  <c r="E285" i="22"/>
  <c r="G284" i="22"/>
  <c r="F284" i="22"/>
  <c r="E284" i="22"/>
  <c r="G283" i="22"/>
  <c r="F283" i="22"/>
  <c r="E283" i="22"/>
  <c r="G282" i="22"/>
  <c r="F282" i="22"/>
  <c r="E282" i="22"/>
  <c r="G281" i="22"/>
  <c r="F281" i="22"/>
  <c r="E281" i="22"/>
  <c r="G280" i="22"/>
  <c r="F280" i="22"/>
  <c r="E280" i="22"/>
  <c r="G279" i="22"/>
  <c r="F279" i="22"/>
  <c r="E279" i="22"/>
  <c r="G278" i="22"/>
  <c r="F278" i="22"/>
  <c r="E278" i="22"/>
  <c r="G277" i="22"/>
  <c r="F277" i="22"/>
  <c r="E277" i="22"/>
  <c r="G276" i="22"/>
  <c r="F276" i="22"/>
  <c r="E276" i="22"/>
  <c r="G275" i="22"/>
  <c r="F275" i="22"/>
  <c r="E275" i="22"/>
  <c r="G274" i="22"/>
  <c r="F274" i="22"/>
  <c r="E274" i="22"/>
  <c r="G273" i="22"/>
  <c r="F273" i="22"/>
  <c r="E273" i="22"/>
  <c r="F272" i="22"/>
  <c r="G272" i="22" s="1"/>
  <c r="J268" i="7" s="1"/>
  <c r="E272" i="22"/>
  <c r="F271" i="22"/>
  <c r="G271" i="22" s="1"/>
  <c r="J267" i="7" s="1"/>
  <c r="E271" i="22"/>
  <c r="F270" i="22"/>
  <c r="G270" i="22" s="1"/>
  <c r="J266" i="7" s="1"/>
  <c r="E270" i="22"/>
  <c r="G269" i="22"/>
  <c r="J265" i="7" s="1"/>
  <c r="F269" i="22"/>
  <c r="E269" i="22"/>
  <c r="F268" i="22"/>
  <c r="G268" i="22" s="1"/>
  <c r="J264" i="7" s="1"/>
  <c r="E268" i="22"/>
  <c r="F267" i="22"/>
  <c r="G267" i="22" s="1"/>
  <c r="J263" i="7" s="1"/>
  <c r="E267" i="22"/>
  <c r="F266" i="22"/>
  <c r="G266" i="22" s="1"/>
  <c r="J262" i="7" s="1"/>
  <c r="E266" i="22"/>
  <c r="F265" i="22"/>
  <c r="G265" i="22" s="1"/>
  <c r="J261" i="7" s="1"/>
  <c r="E265" i="22"/>
  <c r="F264" i="22"/>
  <c r="G264" i="22" s="1"/>
  <c r="J260" i="7" s="1"/>
  <c r="E264" i="22"/>
  <c r="F263" i="22"/>
  <c r="G263" i="22" s="1"/>
  <c r="J259" i="7" s="1"/>
  <c r="E263" i="22"/>
  <c r="F262" i="22"/>
  <c r="G262" i="22" s="1"/>
  <c r="J258" i="7" s="1"/>
  <c r="E262" i="22"/>
  <c r="F261" i="22"/>
  <c r="G261" i="22" s="1"/>
  <c r="J257" i="7" s="1"/>
  <c r="E261" i="22"/>
  <c r="F260" i="22"/>
  <c r="G260" i="22" s="1"/>
  <c r="J256" i="7" s="1"/>
  <c r="E260" i="22"/>
  <c r="F259" i="22"/>
  <c r="G259" i="22" s="1"/>
  <c r="J255" i="7" s="1"/>
  <c r="E259" i="22"/>
  <c r="F258" i="22"/>
  <c r="G258" i="22" s="1"/>
  <c r="J254" i="7" s="1"/>
  <c r="E258" i="22"/>
  <c r="F257" i="22"/>
  <c r="G257" i="22" s="1"/>
  <c r="J253" i="7" s="1"/>
  <c r="E257" i="22"/>
  <c r="F256" i="22"/>
  <c r="G256" i="22" s="1"/>
  <c r="J252" i="7" s="1"/>
  <c r="H252" i="7" s="1"/>
  <c r="E256" i="22"/>
  <c r="F255" i="22"/>
  <c r="G255" i="22" s="1"/>
  <c r="J251" i="7" s="1"/>
  <c r="E255" i="22"/>
  <c r="F254" i="22"/>
  <c r="G254" i="22" s="1"/>
  <c r="J250" i="7" s="1"/>
  <c r="E254" i="22"/>
  <c r="F253" i="22"/>
  <c r="G253" i="22" s="1"/>
  <c r="J249" i="7" s="1"/>
  <c r="E253" i="22"/>
  <c r="F252" i="22"/>
  <c r="G252" i="22" s="1"/>
  <c r="J248" i="7" s="1"/>
  <c r="E252" i="22"/>
  <c r="F251" i="22"/>
  <c r="G251" i="22" s="1"/>
  <c r="J247" i="7" s="1"/>
  <c r="E251" i="22"/>
  <c r="F250" i="22"/>
  <c r="G250" i="22" s="1"/>
  <c r="J246" i="7" s="1"/>
  <c r="E250" i="22"/>
  <c r="F249" i="22"/>
  <c r="G249" i="22" s="1"/>
  <c r="J245" i="7" s="1"/>
  <c r="E249" i="22"/>
  <c r="F248" i="22"/>
  <c r="G248" i="22" s="1"/>
  <c r="J244" i="7" s="1"/>
  <c r="E248" i="22"/>
  <c r="F247" i="22"/>
  <c r="G247" i="22" s="1"/>
  <c r="J243" i="7" s="1"/>
  <c r="E247" i="22"/>
  <c r="F246" i="22"/>
  <c r="G246" i="22" s="1"/>
  <c r="J242" i="7" s="1"/>
  <c r="E246" i="22"/>
  <c r="G245" i="22"/>
  <c r="J241" i="7" s="1"/>
  <c r="F245" i="22"/>
  <c r="E245" i="22"/>
  <c r="F244" i="22"/>
  <c r="G244" i="22" s="1"/>
  <c r="J240" i="7" s="1"/>
  <c r="E244" i="22"/>
  <c r="F243" i="22"/>
  <c r="G243" i="22" s="1"/>
  <c r="J239" i="7" s="1"/>
  <c r="E243" i="22"/>
  <c r="F242" i="22"/>
  <c r="G242" i="22" s="1"/>
  <c r="J238" i="7" s="1"/>
  <c r="E242" i="22"/>
  <c r="G241" i="22"/>
  <c r="J237" i="7" s="1"/>
  <c r="F241" i="22"/>
  <c r="E241" i="22"/>
  <c r="F240" i="22"/>
  <c r="G240" i="22" s="1"/>
  <c r="J236" i="7" s="1"/>
  <c r="E240" i="22"/>
  <c r="F239" i="22"/>
  <c r="G239" i="22" s="1"/>
  <c r="J235" i="7" s="1"/>
  <c r="H235" i="7" s="1"/>
  <c r="E239" i="22"/>
  <c r="F238" i="22"/>
  <c r="G238" i="22" s="1"/>
  <c r="J234" i="7" s="1"/>
  <c r="E238" i="22"/>
  <c r="F237" i="22"/>
  <c r="G237" i="22" s="1"/>
  <c r="J233" i="7" s="1"/>
  <c r="E237" i="22"/>
  <c r="F236" i="22"/>
  <c r="G236" i="22" s="1"/>
  <c r="J232" i="7" s="1"/>
  <c r="E236" i="22"/>
  <c r="F235" i="22"/>
  <c r="G235" i="22" s="1"/>
  <c r="J231" i="7" s="1"/>
  <c r="E235" i="22"/>
  <c r="F234" i="22"/>
  <c r="G234" i="22" s="1"/>
  <c r="J230" i="7" s="1"/>
  <c r="E234" i="22"/>
  <c r="F233" i="22"/>
  <c r="G233" i="22" s="1"/>
  <c r="J229" i="7" s="1"/>
  <c r="E233" i="22"/>
  <c r="F232" i="22"/>
  <c r="G232" i="22" s="1"/>
  <c r="J228" i="7" s="1"/>
  <c r="E232" i="22"/>
  <c r="F231" i="22"/>
  <c r="G231" i="22" s="1"/>
  <c r="J227" i="7" s="1"/>
  <c r="E231" i="22"/>
  <c r="F230" i="22"/>
  <c r="G230" i="22" s="1"/>
  <c r="J226" i="7" s="1"/>
  <c r="E230" i="22"/>
  <c r="G229" i="22"/>
  <c r="J225" i="7" s="1"/>
  <c r="F229" i="22"/>
  <c r="E229" i="22"/>
  <c r="F228" i="22"/>
  <c r="G228" i="22" s="1"/>
  <c r="J224" i="7" s="1"/>
  <c r="E228" i="22"/>
  <c r="F227" i="22"/>
  <c r="G227" i="22" s="1"/>
  <c r="J223" i="7" s="1"/>
  <c r="E227" i="22"/>
  <c r="F226" i="22"/>
  <c r="G226" i="22" s="1"/>
  <c r="J222" i="7" s="1"/>
  <c r="E226" i="22"/>
  <c r="F225" i="22"/>
  <c r="G225" i="22" s="1"/>
  <c r="J221" i="7" s="1"/>
  <c r="E225" i="22"/>
  <c r="F224" i="22"/>
  <c r="G224" i="22" s="1"/>
  <c r="J220" i="7" s="1"/>
  <c r="E224" i="22"/>
  <c r="G223" i="22"/>
  <c r="J219" i="7" s="1"/>
  <c r="F223" i="22"/>
  <c r="E223" i="22"/>
  <c r="F222" i="22"/>
  <c r="G222" i="22" s="1"/>
  <c r="J218" i="7" s="1"/>
  <c r="E222" i="22"/>
  <c r="F221" i="22"/>
  <c r="G221" i="22" s="1"/>
  <c r="J217" i="7" s="1"/>
  <c r="E221" i="22"/>
  <c r="F220" i="22"/>
  <c r="G220" i="22" s="1"/>
  <c r="J216" i="7" s="1"/>
  <c r="E220" i="22"/>
  <c r="F219" i="22"/>
  <c r="G219" i="22" s="1"/>
  <c r="J215" i="7" s="1"/>
  <c r="E219" i="22"/>
  <c r="F218" i="22"/>
  <c r="G218" i="22" s="1"/>
  <c r="J214" i="7" s="1"/>
  <c r="E218" i="22"/>
  <c r="G217" i="22"/>
  <c r="J213" i="7" s="1"/>
  <c r="F217" i="22"/>
  <c r="E217" i="22"/>
  <c r="F216" i="22"/>
  <c r="G216" i="22" s="1"/>
  <c r="J212" i="7" s="1"/>
  <c r="E216" i="22"/>
  <c r="F215" i="22"/>
  <c r="G215" i="22" s="1"/>
  <c r="J211" i="7" s="1"/>
  <c r="E215" i="22"/>
  <c r="F214" i="22"/>
  <c r="G214" i="22" s="1"/>
  <c r="J210" i="7" s="1"/>
  <c r="E214" i="22"/>
  <c r="F213" i="22"/>
  <c r="G213" i="22" s="1"/>
  <c r="J209" i="7" s="1"/>
  <c r="E213" i="22"/>
  <c r="F212" i="22"/>
  <c r="G212" i="22" s="1"/>
  <c r="J208" i="7" s="1"/>
  <c r="E212" i="22"/>
  <c r="F211" i="22"/>
  <c r="G211" i="22" s="1"/>
  <c r="J207" i="7" s="1"/>
  <c r="E211" i="22"/>
  <c r="F210" i="22"/>
  <c r="G210" i="22" s="1"/>
  <c r="J206" i="7" s="1"/>
  <c r="E210" i="22"/>
  <c r="F209" i="22"/>
  <c r="G209" i="22" s="1"/>
  <c r="J205" i="7" s="1"/>
  <c r="E209" i="22"/>
  <c r="F208" i="22"/>
  <c r="G208" i="22" s="1"/>
  <c r="J204" i="7" s="1"/>
  <c r="E208" i="22"/>
  <c r="F207" i="22"/>
  <c r="G207" i="22" s="1"/>
  <c r="J203" i="7" s="1"/>
  <c r="E207" i="22"/>
  <c r="F206" i="22"/>
  <c r="G206" i="22" s="1"/>
  <c r="J202" i="7" s="1"/>
  <c r="E206" i="22"/>
  <c r="F205" i="22"/>
  <c r="G205" i="22" s="1"/>
  <c r="J201" i="7" s="1"/>
  <c r="E205" i="22"/>
  <c r="F204" i="22"/>
  <c r="G204" i="22" s="1"/>
  <c r="J200" i="7" s="1"/>
  <c r="H200" i="7" s="1"/>
  <c r="E204" i="22"/>
  <c r="F203" i="22"/>
  <c r="G203" i="22" s="1"/>
  <c r="J199" i="7" s="1"/>
  <c r="E203" i="22"/>
  <c r="F202" i="22"/>
  <c r="G202" i="22" s="1"/>
  <c r="J198" i="7" s="1"/>
  <c r="E202" i="22"/>
  <c r="F201" i="22"/>
  <c r="G201" i="22" s="1"/>
  <c r="J197" i="7" s="1"/>
  <c r="E201" i="22"/>
  <c r="F200" i="22"/>
  <c r="G200" i="22" s="1"/>
  <c r="J196" i="7" s="1"/>
  <c r="E200" i="22"/>
  <c r="G199" i="22"/>
  <c r="J195" i="7" s="1"/>
  <c r="F199" i="22"/>
  <c r="E199" i="22"/>
  <c r="F198" i="22"/>
  <c r="G198" i="22" s="1"/>
  <c r="J194" i="7" s="1"/>
  <c r="E198" i="22"/>
  <c r="F197" i="22"/>
  <c r="G197" i="22" s="1"/>
  <c r="J193" i="7" s="1"/>
  <c r="E197" i="22"/>
  <c r="F196" i="22"/>
  <c r="G196" i="22" s="1"/>
  <c r="J192" i="7" s="1"/>
  <c r="E196" i="22"/>
  <c r="F195" i="22"/>
  <c r="G195" i="22" s="1"/>
  <c r="J191" i="7" s="1"/>
  <c r="E195" i="22"/>
  <c r="F194" i="22"/>
  <c r="G194" i="22" s="1"/>
  <c r="J190" i="7" s="1"/>
  <c r="E194" i="22"/>
  <c r="F193" i="22"/>
  <c r="G193" i="22" s="1"/>
  <c r="J189" i="7" s="1"/>
  <c r="E193" i="22"/>
  <c r="F192" i="22"/>
  <c r="G192" i="22" s="1"/>
  <c r="J188" i="7" s="1"/>
  <c r="H188" i="7" s="1"/>
  <c r="E192" i="22"/>
  <c r="F191" i="22"/>
  <c r="G191" i="22" s="1"/>
  <c r="J187" i="7" s="1"/>
  <c r="E191" i="22"/>
  <c r="F190" i="22"/>
  <c r="G190" i="22" s="1"/>
  <c r="J186" i="7" s="1"/>
  <c r="E190" i="22"/>
  <c r="F189" i="22"/>
  <c r="G189" i="22" s="1"/>
  <c r="J185" i="7" s="1"/>
  <c r="E189" i="22"/>
  <c r="F188" i="22"/>
  <c r="G188" i="22" s="1"/>
  <c r="J184" i="7" s="1"/>
  <c r="E188" i="22"/>
  <c r="G187" i="22"/>
  <c r="J183" i="7" s="1"/>
  <c r="F187" i="22"/>
  <c r="E187" i="22"/>
  <c r="F186" i="22"/>
  <c r="G186" i="22" s="1"/>
  <c r="J182" i="7" s="1"/>
  <c r="E186" i="22"/>
  <c r="F185" i="22"/>
  <c r="G185" i="22" s="1"/>
  <c r="J181" i="7" s="1"/>
  <c r="E185" i="22"/>
  <c r="F184" i="22"/>
  <c r="G184" i="22" s="1"/>
  <c r="J180" i="7" s="1"/>
  <c r="E184" i="22"/>
  <c r="F183" i="22"/>
  <c r="G183" i="22" s="1"/>
  <c r="J179" i="7" s="1"/>
  <c r="E183" i="22"/>
  <c r="F182" i="22"/>
  <c r="G182" i="22" s="1"/>
  <c r="J178" i="7" s="1"/>
  <c r="E182" i="22"/>
  <c r="F181" i="22"/>
  <c r="G181" i="22" s="1"/>
  <c r="J177" i="7" s="1"/>
  <c r="E181" i="22"/>
  <c r="F180" i="22"/>
  <c r="G180" i="22" s="1"/>
  <c r="J176" i="7" s="1"/>
  <c r="H176" i="7" s="1"/>
  <c r="E180" i="22"/>
  <c r="F179" i="22"/>
  <c r="G179" i="22" s="1"/>
  <c r="J175" i="7" s="1"/>
  <c r="E179" i="22"/>
  <c r="F178" i="22"/>
  <c r="G178" i="22" s="1"/>
  <c r="J174" i="7" s="1"/>
  <c r="E178" i="22"/>
  <c r="F177" i="22"/>
  <c r="G177" i="22" s="1"/>
  <c r="J173" i="7" s="1"/>
  <c r="E177" i="22"/>
  <c r="F176" i="22"/>
  <c r="G176" i="22" s="1"/>
  <c r="J172" i="7" s="1"/>
  <c r="E176" i="22"/>
  <c r="G175" i="22"/>
  <c r="J171" i="7" s="1"/>
  <c r="F175" i="22"/>
  <c r="E175" i="22"/>
  <c r="F174" i="22"/>
  <c r="G174" i="22" s="1"/>
  <c r="J170" i="7" s="1"/>
  <c r="E174" i="22"/>
  <c r="F173" i="22"/>
  <c r="G173" i="22" s="1"/>
  <c r="J169" i="7" s="1"/>
  <c r="E173" i="22"/>
  <c r="F172" i="22"/>
  <c r="G172" i="22" s="1"/>
  <c r="J168" i="7" s="1"/>
  <c r="E172" i="22"/>
  <c r="F171" i="22"/>
  <c r="G171" i="22" s="1"/>
  <c r="J167" i="7" s="1"/>
  <c r="E171" i="22"/>
  <c r="F170" i="22"/>
  <c r="G170" i="22" s="1"/>
  <c r="J166" i="7" s="1"/>
  <c r="E170" i="22"/>
  <c r="G169" i="22"/>
  <c r="J165" i="7" s="1"/>
  <c r="F169" i="22"/>
  <c r="E169" i="22"/>
  <c r="F168" i="22"/>
  <c r="G168" i="22" s="1"/>
  <c r="J164" i="7" s="1"/>
  <c r="H164" i="7" s="1"/>
  <c r="E168" i="22"/>
  <c r="F167" i="22"/>
  <c r="G167" i="22" s="1"/>
  <c r="J163" i="7" s="1"/>
  <c r="E167" i="22"/>
  <c r="F166" i="22"/>
  <c r="G166" i="22" s="1"/>
  <c r="J162" i="7" s="1"/>
  <c r="E166" i="22"/>
  <c r="F165" i="22"/>
  <c r="G165" i="22" s="1"/>
  <c r="J161" i="7" s="1"/>
  <c r="E165" i="22"/>
  <c r="F164" i="22"/>
  <c r="G164" i="22" s="1"/>
  <c r="J160" i="7" s="1"/>
  <c r="H160" i="7" s="1"/>
  <c r="E164" i="22"/>
  <c r="G163" i="22"/>
  <c r="J159" i="7" s="1"/>
  <c r="F163" i="22"/>
  <c r="E163" i="22"/>
  <c r="F162" i="22"/>
  <c r="G162" i="22" s="1"/>
  <c r="J158" i="7" s="1"/>
  <c r="E162" i="22"/>
  <c r="F161" i="22"/>
  <c r="G161" i="22" s="1"/>
  <c r="J157" i="7" s="1"/>
  <c r="E161" i="22"/>
  <c r="F160" i="22"/>
  <c r="G160" i="22" s="1"/>
  <c r="J156" i="7" s="1"/>
  <c r="E160" i="22"/>
  <c r="F159" i="22"/>
  <c r="G159" i="22" s="1"/>
  <c r="J155" i="7" s="1"/>
  <c r="E159" i="22"/>
  <c r="F158" i="22"/>
  <c r="G158" i="22" s="1"/>
  <c r="J154" i="7" s="1"/>
  <c r="E158" i="22"/>
  <c r="F157" i="22"/>
  <c r="G157" i="22" s="1"/>
  <c r="J153" i="7" s="1"/>
  <c r="E157" i="22"/>
  <c r="F156" i="22"/>
  <c r="G156" i="22" s="1"/>
  <c r="J152" i="7" s="1"/>
  <c r="H152" i="7" s="1"/>
  <c r="E156" i="22"/>
  <c r="F155" i="22"/>
  <c r="G155" i="22" s="1"/>
  <c r="J151" i="7" s="1"/>
  <c r="E155" i="22"/>
  <c r="F154" i="22"/>
  <c r="G154" i="22" s="1"/>
  <c r="J150" i="7" s="1"/>
  <c r="E154" i="22"/>
  <c r="F153" i="22"/>
  <c r="G153" i="22" s="1"/>
  <c r="J149" i="7" s="1"/>
  <c r="E153" i="22"/>
  <c r="F152" i="22"/>
  <c r="G152" i="22" s="1"/>
  <c r="J148" i="7" s="1"/>
  <c r="H148" i="7" s="1"/>
  <c r="E152" i="22"/>
  <c r="F151" i="22"/>
  <c r="G151" i="22" s="1"/>
  <c r="J147" i="7" s="1"/>
  <c r="E151" i="22"/>
  <c r="F150" i="22"/>
  <c r="G150" i="22" s="1"/>
  <c r="J146" i="7" s="1"/>
  <c r="E150" i="22"/>
  <c r="G149" i="22"/>
  <c r="J145" i="7" s="1"/>
  <c r="F149" i="22"/>
  <c r="E149" i="22"/>
  <c r="F148" i="22"/>
  <c r="G148" i="22" s="1"/>
  <c r="J144" i="7" s="1"/>
  <c r="E148" i="22"/>
  <c r="F147" i="22"/>
  <c r="G147" i="22" s="1"/>
  <c r="J143" i="7" s="1"/>
  <c r="E147" i="22"/>
  <c r="F146" i="22"/>
  <c r="G146" i="22" s="1"/>
  <c r="J142" i="7" s="1"/>
  <c r="E146" i="22"/>
  <c r="F145" i="22"/>
  <c r="G145" i="22" s="1"/>
  <c r="J141" i="7" s="1"/>
  <c r="E145" i="22"/>
  <c r="F144" i="22"/>
  <c r="G144" i="22" s="1"/>
  <c r="J140" i="7" s="1"/>
  <c r="H140" i="7" s="1"/>
  <c r="E144" i="22"/>
  <c r="G143" i="22"/>
  <c r="J139" i="7" s="1"/>
  <c r="F143" i="22"/>
  <c r="E143" i="22"/>
  <c r="F142" i="22"/>
  <c r="G142" i="22" s="1"/>
  <c r="J138" i="7" s="1"/>
  <c r="E142" i="22"/>
  <c r="F141" i="22"/>
  <c r="G141" i="22" s="1"/>
  <c r="J137" i="7" s="1"/>
  <c r="E141" i="22"/>
  <c r="F140" i="22"/>
  <c r="G140" i="22" s="1"/>
  <c r="J136" i="7" s="1"/>
  <c r="H136" i="7" s="1"/>
  <c r="E140" i="22"/>
  <c r="G139" i="22"/>
  <c r="J135" i="7" s="1"/>
  <c r="F139" i="22"/>
  <c r="E139" i="22"/>
  <c r="F138" i="22"/>
  <c r="G138" i="22" s="1"/>
  <c r="J134" i="7" s="1"/>
  <c r="E138" i="22"/>
  <c r="F137" i="22"/>
  <c r="G137" i="22" s="1"/>
  <c r="J133" i="7" s="1"/>
  <c r="E137" i="22"/>
  <c r="F136" i="22"/>
  <c r="G136" i="22" s="1"/>
  <c r="J132" i="7" s="1"/>
  <c r="E136" i="22"/>
  <c r="F135" i="22"/>
  <c r="G135" i="22" s="1"/>
  <c r="J131" i="7" s="1"/>
  <c r="E135" i="22"/>
  <c r="F134" i="22"/>
  <c r="G134" i="22" s="1"/>
  <c r="J130" i="7" s="1"/>
  <c r="E134" i="22"/>
  <c r="F133" i="22"/>
  <c r="G133" i="22" s="1"/>
  <c r="J129" i="7" s="1"/>
  <c r="E133" i="22"/>
  <c r="F132" i="22"/>
  <c r="G132" i="22" s="1"/>
  <c r="J128" i="7" s="1"/>
  <c r="H128" i="7" s="1"/>
  <c r="E132" i="22"/>
  <c r="F131" i="22"/>
  <c r="G131" i="22" s="1"/>
  <c r="J127" i="7" s="1"/>
  <c r="E131" i="22"/>
  <c r="F130" i="22"/>
  <c r="G130" i="22" s="1"/>
  <c r="J126" i="7" s="1"/>
  <c r="E130" i="22"/>
  <c r="F129" i="22"/>
  <c r="G129" i="22" s="1"/>
  <c r="J125" i="7" s="1"/>
  <c r="E129" i="22"/>
  <c r="F128" i="22"/>
  <c r="G128" i="22" s="1"/>
  <c r="J124" i="7" s="1"/>
  <c r="H124" i="7" s="1"/>
  <c r="E128" i="22"/>
  <c r="F127" i="22"/>
  <c r="G127" i="22" s="1"/>
  <c r="J123" i="7" s="1"/>
  <c r="E127" i="22"/>
  <c r="F126" i="22"/>
  <c r="G126" i="22" s="1"/>
  <c r="J122" i="7" s="1"/>
  <c r="E126" i="22"/>
  <c r="G125" i="22"/>
  <c r="J121" i="7" s="1"/>
  <c r="F125" i="22"/>
  <c r="E125" i="22"/>
  <c r="F124" i="22"/>
  <c r="G124" i="22" s="1"/>
  <c r="J120" i="7" s="1"/>
  <c r="H120" i="7" s="1"/>
  <c r="E124" i="22"/>
  <c r="F123" i="22"/>
  <c r="G123" i="22" s="1"/>
  <c r="J119" i="7" s="1"/>
  <c r="E123" i="22"/>
  <c r="F122" i="22"/>
  <c r="G122" i="22" s="1"/>
  <c r="J118" i="7" s="1"/>
  <c r="E122" i="22"/>
  <c r="F121" i="22"/>
  <c r="G121" i="22" s="1"/>
  <c r="J117" i="7" s="1"/>
  <c r="E121" i="22"/>
  <c r="F120" i="22"/>
  <c r="G120" i="22" s="1"/>
  <c r="J116" i="7" s="1"/>
  <c r="H116" i="7" s="1"/>
  <c r="E120" i="22"/>
  <c r="F119" i="22"/>
  <c r="G119" i="22" s="1"/>
  <c r="J115" i="7" s="1"/>
  <c r="E119" i="22"/>
  <c r="F118" i="22"/>
  <c r="G118" i="22" s="1"/>
  <c r="J114" i="7" s="1"/>
  <c r="E118" i="22"/>
  <c r="F117" i="22"/>
  <c r="G117" i="22" s="1"/>
  <c r="J113" i="7" s="1"/>
  <c r="E117" i="22"/>
  <c r="F116" i="22"/>
  <c r="G116" i="22" s="1"/>
  <c r="J112" i="7" s="1"/>
  <c r="H112" i="7" s="1"/>
  <c r="E116" i="22"/>
  <c r="G115" i="22"/>
  <c r="J111" i="7" s="1"/>
  <c r="F115" i="22"/>
  <c r="E115" i="22"/>
  <c r="F114" i="22"/>
  <c r="G114" i="22" s="1"/>
  <c r="J110" i="7" s="1"/>
  <c r="E114" i="22"/>
  <c r="F113" i="22"/>
  <c r="G113" i="22" s="1"/>
  <c r="J109" i="7" s="1"/>
  <c r="E113" i="22"/>
  <c r="F112" i="22"/>
  <c r="G112" i="22" s="1"/>
  <c r="J108" i="7" s="1"/>
  <c r="H108" i="7" s="1"/>
  <c r="E112" i="22"/>
  <c r="F111" i="22"/>
  <c r="G111" i="22" s="1"/>
  <c r="J107" i="7" s="1"/>
  <c r="E111" i="22"/>
  <c r="F110" i="22"/>
  <c r="G110" i="22" s="1"/>
  <c r="J106" i="7" s="1"/>
  <c r="E110" i="22"/>
  <c r="F109" i="22"/>
  <c r="G109" i="22" s="1"/>
  <c r="J105" i="7" s="1"/>
  <c r="E109" i="22"/>
  <c r="F108" i="22"/>
  <c r="G108" i="22" s="1"/>
  <c r="J104" i="7" s="1"/>
  <c r="H104" i="7" s="1"/>
  <c r="E108" i="22"/>
  <c r="F107" i="22"/>
  <c r="G107" i="22" s="1"/>
  <c r="J103" i="7" s="1"/>
  <c r="E107" i="22"/>
  <c r="F106" i="22"/>
  <c r="G106" i="22" s="1"/>
  <c r="J102" i="7" s="1"/>
  <c r="E106" i="22"/>
  <c r="F105" i="22"/>
  <c r="G105" i="22" s="1"/>
  <c r="J101" i="7" s="1"/>
  <c r="E105" i="22"/>
  <c r="F104" i="22"/>
  <c r="G104" i="22" s="1"/>
  <c r="J100" i="7" s="1"/>
  <c r="H100" i="7" s="1"/>
  <c r="E104" i="22"/>
  <c r="F103" i="22"/>
  <c r="G103" i="22" s="1"/>
  <c r="J99" i="7" s="1"/>
  <c r="E103" i="22"/>
  <c r="F102" i="22"/>
  <c r="G102" i="22" s="1"/>
  <c r="J98" i="7" s="1"/>
  <c r="E102" i="22"/>
  <c r="F101" i="22"/>
  <c r="G101" i="22" s="1"/>
  <c r="J97" i="7" s="1"/>
  <c r="E101" i="22"/>
  <c r="F100" i="22"/>
  <c r="G100" i="22" s="1"/>
  <c r="J96" i="7" s="1"/>
  <c r="H96" i="7" s="1"/>
  <c r="E100" i="22"/>
  <c r="F99" i="22"/>
  <c r="G99" i="22" s="1"/>
  <c r="J95" i="7" s="1"/>
  <c r="E99" i="22"/>
  <c r="F98" i="22"/>
  <c r="G98" i="22" s="1"/>
  <c r="J94" i="7" s="1"/>
  <c r="E98" i="22"/>
  <c r="F97" i="22"/>
  <c r="G97" i="22" s="1"/>
  <c r="J93" i="7" s="1"/>
  <c r="E97" i="22"/>
  <c r="F96" i="22"/>
  <c r="G96" i="22" s="1"/>
  <c r="J92" i="7" s="1"/>
  <c r="H92" i="7" s="1"/>
  <c r="E96" i="22"/>
  <c r="F95" i="22"/>
  <c r="G95" i="22" s="1"/>
  <c r="J91" i="7" s="1"/>
  <c r="E95" i="22"/>
  <c r="F94" i="22"/>
  <c r="G94" i="22" s="1"/>
  <c r="J90" i="7" s="1"/>
  <c r="E94" i="22"/>
  <c r="F93" i="22"/>
  <c r="G93" i="22" s="1"/>
  <c r="J89" i="7" s="1"/>
  <c r="E93" i="22"/>
  <c r="F92" i="22"/>
  <c r="G92" i="22" s="1"/>
  <c r="J88" i="7" s="1"/>
  <c r="H88" i="7" s="1"/>
  <c r="E92" i="22"/>
  <c r="F91" i="22"/>
  <c r="G91" i="22" s="1"/>
  <c r="J87" i="7" s="1"/>
  <c r="E91" i="22"/>
  <c r="F90" i="22"/>
  <c r="G90" i="22" s="1"/>
  <c r="J86" i="7" s="1"/>
  <c r="E90" i="22"/>
  <c r="F89" i="22"/>
  <c r="G89" i="22" s="1"/>
  <c r="J85" i="7" s="1"/>
  <c r="E89" i="22"/>
  <c r="F88" i="22"/>
  <c r="G88" i="22" s="1"/>
  <c r="J84" i="7" s="1"/>
  <c r="H84" i="7" s="1"/>
  <c r="E88" i="22"/>
  <c r="F87" i="22"/>
  <c r="G87" i="22" s="1"/>
  <c r="J83" i="7" s="1"/>
  <c r="E87" i="22"/>
  <c r="F86" i="22"/>
  <c r="G86" i="22" s="1"/>
  <c r="J82" i="7" s="1"/>
  <c r="E86" i="22"/>
  <c r="F85" i="22"/>
  <c r="G85" i="22" s="1"/>
  <c r="J81" i="7" s="1"/>
  <c r="E85" i="22"/>
  <c r="F84" i="22"/>
  <c r="G84" i="22" s="1"/>
  <c r="J80" i="7" s="1"/>
  <c r="H80" i="7" s="1"/>
  <c r="E84" i="22"/>
  <c r="F83" i="22"/>
  <c r="G83" i="22" s="1"/>
  <c r="J79" i="7" s="1"/>
  <c r="E83" i="22"/>
  <c r="F82" i="22"/>
  <c r="G82" i="22" s="1"/>
  <c r="J78" i="7" s="1"/>
  <c r="E82" i="22"/>
  <c r="F81" i="22"/>
  <c r="G81" i="22" s="1"/>
  <c r="J77" i="7" s="1"/>
  <c r="E81" i="22"/>
  <c r="F80" i="22"/>
  <c r="G80" i="22" s="1"/>
  <c r="J76" i="7" s="1"/>
  <c r="H76" i="7" s="1"/>
  <c r="E80" i="22"/>
  <c r="F79" i="22"/>
  <c r="G79" i="22" s="1"/>
  <c r="J75" i="7" s="1"/>
  <c r="E79" i="22"/>
  <c r="F78" i="22"/>
  <c r="G78" i="22" s="1"/>
  <c r="J74" i="7" s="1"/>
  <c r="E78" i="22"/>
  <c r="F77" i="22"/>
  <c r="G77" i="22" s="1"/>
  <c r="J73" i="7" s="1"/>
  <c r="E77" i="22"/>
  <c r="F76" i="22"/>
  <c r="G76" i="22" s="1"/>
  <c r="J72" i="7" s="1"/>
  <c r="H72" i="7" s="1"/>
  <c r="E76" i="22"/>
  <c r="F75" i="22"/>
  <c r="G75" i="22" s="1"/>
  <c r="J71" i="7" s="1"/>
  <c r="E75" i="22"/>
  <c r="F74" i="22"/>
  <c r="G74" i="22" s="1"/>
  <c r="J70" i="7" s="1"/>
  <c r="E74" i="22"/>
  <c r="F73" i="22"/>
  <c r="G73" i="22" s="1"/>
  <c r="J69" i="7" s="1"/>
  <c r="E73" i="22"/>
  <c r="F72" i="22"/>
  <c r="G72" i="22" s="1"/>
  <c r="J68" i="7" s="1"/>
  <c r="H68" i="7" s="1"/>
  <c r="E72" i="22"/>
  <c r="G71" i="22"/>
  <c r="J67" i="7" s="1"/>
  <c r="F71" i="22"/>
  <c r="E71" i="22"/>
  <c r="F70" i="22"/>
  <c r="G70" i="22" s="1"/>
  <c r="J66" i="7" s="1"/>
  <c r="E70" i="22"/>
  <c r="F69" i="22"/>
  <c r="G69" i="22" s="1"/>
  <c r="J65" i="7" s="1"/>
  <c r="E69" i="22"/>
  <c r="F68" i="22"/>
  <c r="G68" i="22" s="1"/>
  <c r="J64" i="7" s="1"/>
  <c r="H64" i="7" s="1"/>
  <c r="E68" i="22"/>
  <c r="F67" i="22"/>
  <c r="G67" i="22" s="1"/>
  <c r="J63" i="7" s="1"/>
  <c r="E67" i="22"/>
  <c r="F66" i="22"/>
  <c r="G66" i="22" s="1"/>
  <c r="J62" i="7" s="1"/>
  <c r="E66" i="22"/>
  <c r="F65" i="22"/>
  <c r="G65" i="22" s="1"/>
  <c r="J61" i="7" s="1"/>
  <c r="E65" i="22"/>
  <c r="F64" i="22"/>
  <c r="G64" i="22" s="1"/>
  <c r="J60" i="7" s="1"/>
  <c r="H60" i="7" s="1"/>
  <c r="E64" i="22"/>
  <c r="F63" i="22"/>
  <c r="G63" i="22" s="1"/>
  <c r="J59" i="7" s="1"/>
  <c r="E63" i="22"/>
  <c r="F62" i="22"/>
  <c r="G62" i="22" s="1"/>
  <c r="J58" i="7" s="1"/>
  <c r="E62" i="22"/>
  <c r="F61" i="22"/>
  <c r="G61" i="22" s="1"/>
  <c r="J57" i="7" s="1"/>
  <c r="E61" i="22"/>
  <c r="F60" i="22"/>
  <c r="G60" i="22" s="1"/>
  <c r="J56" i="7" s="1"/>
  <c r="H56" i="7" s="1"/>
  <c r="E60" i="22"/>
  <c r="F59" i="22"/>
  <c r="G59" i="22" s="1"/>
  <c r="J55" i="7" s="1"/>
  <c r="E59" i="22"/>
  <c r="F58" i="22"/>
  <c r="G58" i="22" s="1"/>
  <c r="J54" i="7" s="1"/>
  <c r="E58" i="22"/>
  <c r="F57" i="22"/>
  <c r="G57" i="22" s="1"/>
  <c r="J53" i="7" s="1"/>
  <c r="E57" i="22"/>
  <c r="F56" i="22"/>
  <c r="G56" i="22" s="1"/>
  <c r="J52" i="7" s="1"/>
  <c r="H52" i="7" s="1"/>
  <c r="E56" i="22"/>
  <c r="F55" i="22"/>
  <c r="G55" i="22" s="1"/>
  <c r="J51" i="7" s="1"/>
  <c r="E55" i="22"/>
  <c r="F54" i="22"/>
  <c r="G54" i="22" s="1"/>
  <c r="J50" i="7" s="1"/>
  <c r="E54" i="22"/>
  <c r="F53" i="22"/>
  <c r="G53" i="22" s="1"/>
  <c r="J49" i="7" s="1"/>
  <c r="E53" i="22"/>
  <c r="F52" i="22"/>
  <c r="G52" i="22" s="1"/>
  <c r="J48" i="7" s="1"/>
  <c r="H48" i="7" s="1"/>
  <c r="E52" i="22"/>
  <c r="F51" i="22"/>
  <c r="G51" i="22" s="1"/>
  <c r="J47" i="7" s="1"/>
  <c r="E51" i="22"/>
  <c r="F50" i="22"/>
  <c r="G50" i="22" s="1"/>
  <c r="J46" i="7" s="1"/>
  <c r="E50" i="22"/>
  <c r="F49" i="22"/>
  <c r="G49" i="22" s="1"/>
  <c r="J45" i="7" s="1"/>
  <c r="E49" i="22"/>
  <c r="F48" i="22"/>
  <c r="G48" i="22" s="1"/>
  <c r="J44" i="7" s="1"/>
  <c r="H44" i="7" s="1"/>
  <c r="E48" i="22"/>
  <c r="G47" i="22"/>
  <c r="J43" i="7" s="1"/>
  <c r="F47" i="22"/>
  <c r="E47" i="22"/>
  <c r="F46" i="22"/>
  <c r="G46" i="22" s="1"/>
  <c r="J42" i="7" s="1"/>
  <c r="E46" i="22"/>
  <c r="F45" i="22"/>
  <c r="G45" i="22" s="1"/>
  <c r="J41" i="7" s="1"/>
  <c r="E45" i="22"/>
  <c r="F44" i="22"/>
  <c r="G44" i="22" s="1"/>
  <c r="J40" i="7" s="1"/>
  <c r="H40" i="7" s="1"/>
  <c r="E44" i="22"/>
  <c r="G43" i="22"/>
  <c r="J39" i="7" s="1"/>
  <c r="F43" i="22"/>
  <c r="E43" i="22"/>
  <c r="F42" i="22"/>
  <c r="G42" i="22" s="1"/>
  <c r="J38" i="7" s="1"/>
  <c r="E42" i="22"/>
  <c r="F41" i="22"/>
  <c r="G41" i="22" s="1"/>
  <c r="J37" i="7" s="1"/>
  <c r="E41" i="22"/>
  <c r="F40" i="22"/>
  <c r="G40" i="22" s="1"/>
  <c r="J36" i="7" s="1"/>
  <c r="H36" i="7" s="1"/>
  <c r="E40" i="22"/>
  <c r="F39" i="22"/>
  <c r="G39" i="22" s="1"/>
  <c r="J35" i="7" s="1"/>
  <c r="E39" i="22"/>
  <c r="F38" i="22"/>
  <c r="G38" i="22" s="1"/>
  <c r="J34" i="7" s="1"/>
  <c r="E38" i="22"/>
  <c r="F37" i="22"/>
  <c r="G37" i="22" s="1"/>
  <c r="J33" i="7" s="1"/>
  <c r="E37" i="22"/>
  <c r="F36" i="22"/>
  <c r="G36" i="22" s="1"/>
  <c r="J32" i="7" s="1"/>
  <c r="H32" i="7" s="1"/>
  <c r="E36" i="22"/>
  <c r="F35" i="22"/>
  <c r="G35" i="22" s="1"/>
  <c r="J31" i="7" s="1"/>
  <c r="E35" i="22"/>
  <c r="F34" i="22"/>
  <c r="G34" i="22" s="1"/>
  <c r="J30" i="7" s="1"/>
  <c r="E34" i="22"/>
  <c r="F33" i="22"/>
  <c r="G33" i="22" s="1"/>
  <c r="J29" i="7" s="1"/>
  <c r="E33" i="22"/>
  <c r="F32" i="22"/>
  <c r="G32" i="22" s="1"/>
  <c r="J28" i="7" s="1"/>
  <c r="H28" i="7" s="1"/>
  <c r="E32" i="22"/>
  <c r="F31" i="22"/>
  <c r="G31" i="22" s="1"/>
  <c r="J27" i="7" s="1"/>
  <c r="E31" i="22"/>
  <c r="F30" i="22"/>
  <c r="G30" i="22" s="1"/>
  <c r="J26" i="7" s="1"/>
  <c r="E30" i="22"/>
  <c r="G29" i="22"/>
  <c r="J25" i="7" s="1"/>
  <c r="F29" i="22"/>
  <c r="E29" i="22"/>
  <c r="F28" i="22"/>
  <c r="G28" i="22" s="1"/>
  <c r="J24" i="7" s="1"/>
  <c r="H24" i="7" s="1"/>
  <c r="E28" i="22"/>
  <c r="F27" i="22"/>
  <c r="G27" i="22" s="1"/>
  <c r="J23" i="7" s="1"/>
  <c r="E27" i="22"/>
  <c r="F26" i="22"/>
  <c r="G26" i="22" s="1"/>
  <c r="J22" i="7" s="1"/>
  <c r="E26" i="22"/>
  <c r="F25" i="22"/>
  <c r="G25" i="22" s="1"/>
  <c r="J21" i="7" s="1"/>
  <c r="E25" i="22"/>
  <c r="F24" i="22"/>
  <c r="G24" i="22" s="1"/>
  <c r="J20" i="7" s="1"/>
  <c r="H20" i="7" s="1"/>
  <c r="E24" i="22"/>
  <c r="F23" i="22"/>
  <c r="G23" i="22" s="1"/>
  <c r="J19" i="7" s="1"/>
  <c r="E23" i="22"/>
  <c r="F22" i="22"/>
  <c r="G22" i="22" s="1"/>
  <c r="J18" i="7" s="1"/>
  <c r="E22" i="22"/>
  <c r="F21" i="22"/>
  <c r="G21" i="22" s="1"/>
  <c r="J17" i="7" s="1"/>
  <c r="E21" i="22"/>
  <c r="F20" i="22"/>
  <c r="G20" i="22" s="1"/>
  <c r="J16" i="7" s="1"/>
  <c r="H16" i="7" s="1"/>
  <c r="E20" i="22"/>
  <c r="G19" i="22"/>
  <c r="J15" i="7" s="1"/>
  <c r="F19" i="22"/>
  <c r="E19" i="22"/>
  <c r="F18" i="22"/>
  <c r="G18" i="22" s="1"/>
  <c r="J14" i="7" s="1"/>
  <c r="E18" i="22"/>
  <c r="F17" i="22"/>
  <c r="G17" i="22" s="1"/>
  <c r="J13" i="7" s="1"/>
  <c r="E17" i="22"/>
  <c r="F16" i="22"/>
  <c r="G16" i="22" s="1"/>
  <c r="J12" i="7" s="1"/>
  <c r="H12" i="7" s="1"/>
  <c r="E16" i="22"/>
  <c r="F15" i="22"/>
  <c r="G15" i="22" s="1"/>
  <c r="J11" i="7" s="1"/>
  <c r="E15" i="22"/>
  <c r="F14" i="22"/>
  <c r="G14" i="22" s="1"/>
  <c r="J10" i="7" s="1"/>
  <c r="E14" i="22"/>
  <c r="F13" i="22"/>
  <c r="G13" i="22" s="1"/>
  <c r="J9" i="7" s="1"/>
  <c r="E13" i="22"/>
  <c r="F12" i="22"/>
  <c r="G12" i="22" s="1"/>
  <c r="J8" i="7" s="1"/>
  <c r="H8" i="7" s="1"/>
  <c r="E12" i="22"/>
  <c r="F11" i="22"/>
  <c r="G11" i="22" s="1"/>
  <c r="J7" i="7" s="1"/>
  <c r="E11" i="22"/>
  <c r="F10" i="22"/>
  <c r="G10" i="22" s="1"/>
  <c r="J6" i="7" s="1"/>
  <c r="E10" i="22"/>
  <c r="F9" i="22"/>
  <c r="G9" i="22" s="1"/>
  <c r="J5" i="7" s="1"/>
  <c r="E9" i="22"/>
  <c r="F8" i="22"/>
  <c r="G8" i="22" s="1"/>
  <c r="J4" i="7" s="1"/>
  <c r="E8" i="22"/>
  <c r="G2" i="22"/>
  <c r="G2" i="20"/>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4" i="7"/>
  <c r="E333" i="20"/>
  <c r="F333" i="20"/>
  <c r="G333" i="20"/>
  <c r="E334" i="20"/>
  <c r="F334" i="20"/>
  <c r="G334" i="20"/>
  <c r="E335" i="20"/>
  <c r="F335" i="20"/>
  <c r="G335" i="20"/>
  <c r="E336" i="20"/>
  <c r="F336" i="20"/>
  <c r="G336" i="20"/>
  <c r="E337" i="20"/>
  <c r="F337" i="20"/>
  <c r="G337" i="20"/>
  <c r="E338" i="20"/>
  <c r="F338" i="20"/>
  <c r="G338" i="20"/>
  <c r="E339" i="20"/>
  <c r="F339" i="20"/>
  <c r="G339" i="20"/>
  <c r="E340" i="20"/>
  <c r="F340" i="20"/>
  <c r="G340" i="20"/>
  <c r="E341" i="20"/>
  <c r="F341" i="20"/>
  <c r="G341" i="20"/>
  <c r="E342" i="20"/>
  <c r="F342" i="20"/>
  <c r="G342" i="20"/>
  <c r="E343" i="20"/>
  <c r="F343" i="20"/>
  <c r="G343" i="20"/>
  <c r="E344" i="20"/>
  <c r="F344" i="20"/>
  <c r="G344" i="20"/>
  <c r="E345" i="20"/>
  <c r="F345" i="20"/>
  <c r="G345" i="20"/>
  <c r="E346" i="20"/>
  <c r="F346" i="20"/>
  <c r="G346" i="20"/>
  <c r="E347" i="20"/>
  <c r="F347" i="20"/>
  <c r="G347" i="20"/>
  <c r="E348" i="20"/>
  <c r="F348" i="20"/>
  <c r="G348" i="20"/>
  <c r="E349" i="20"/>
  <c r="F349" i="20"/>
  <c r="G349" i="20"/>
  <c r="E350" i="20"/>
  <c r="F350" i="20"/>
  <c r="G350" i="20"/>
  <c r="E351" i="20"/>
  <c r="F351" i="20"/>
  <c r="G351" i="20"/>
  <c r="E352" i="20"/>
  <c r="F352" i="20"/>
  <c r="G352" i="20"/>
  <c r="E353" i="20"/>
  <c r="F353" i="20"/>
  <c r="G353" i="20"/>
  <c r="E354" i="20"/>
  <c r="F354" i="20"/>
  <c r="G354" i="20"/>
  <c r="E355" i="20"/>
  <c r="F355" i="20"/>
  <c r="G355" i="20"/>
  <c r="E356" i="20"/>
  <c r="F356" i="20"/>
  <c r="G356" i="20"/>
  <c r="E357" i="20"/>
  <c r="F357" i="20"/>
  <c r="G357" i="20"/>
  <c r="E358" i="20"/>
  <c r="F358" i="20"/>
  <c r="G358" i="20"/>
  <c r="E359" i="20"/>
  <c r="F359" i="20"/>
  <c r="G359" i="20"/>
  <c r="E360" i="20"/>
  <c r="F360" i="20"/>
  <c r="G360" i="20"/>
  <c r="E361" i="20"/>
  <c r="F361" i="20"/>
  <c r="G361" i="20"/>
  <c r="E362" i="20"/>
  <c r="F362" i="20"/>
  <c r="G362" i="20"/>
  <c r="E363" i="20"/>
  <c r="F363" i="20"/>
  <c r="G363" i="20"/>
  <c r="E364" i="20"/>
  <c r="F364" i="20"/>
  <c r="G364" i="20"/>
  <c r="E365" i="20"/>
  <c r="F365" i="20"/>
  <c r="G365" i="20"/>
  <c r="E366" i="20"/>
  <c r="F366" i="20"/>
  <c r="G366" i="20"/>
  <c r="E367" i="20"/>
  <c r="F367" i="20"/>
  <c r="G367" i="20"/>
  <c r="E368" i="20"/>
  <c r="F368" i="20"/>
  <c r="G368" i="20"/>
  <c r="E369" i="20"/>
  <c r="F369" i="20"/>
  <c r="G369" i="20"/>
  <c r="E370" i="20"/>
  <c r="F370" i="20"/>
  <c r="G370" i="20"/>
  <c r="E371" i="20"/>
  <c r="F371" i="20"/>
  <c r="G371" i="20"/>
  <c r="E372" i="20"/>
  <c r="F372" i="20"/>
  <c r="G372" i="20"/>
  <c r="E373" i="20"/>
  <c r="F373" i="20"/>
  <c r="G373" i="20"/>
  <c r="E374" i="20"/>
  <c r="F374" i="20"/>
  <c r="G374" i="20"/>
  <c r="E375" i="20"/>
  <c r="F375" i="20"/>
  <c r="G375" i="20"/>
  <c r="E376" i="20"/>
  <c r="F376" i="20"/>
  <c r="G376" i="20"/>
  <c r="E377" i="20"/>
  <c r="F377" i="20"/>
  <c r="G377" i="20"/>
  <c r="E378" i="20"/>
  <c r="F378" i="20"/>
  <c r="G378" i="20"/>
  <c r="E379" i="20"/>
  <c r="F379" i="20"/>
  <c r="G379" i="20"/>
  <c r="E380" i="20"/>
  <c r="F380" i="20"/>
  <c r="G380" i="20"/>
  <c r="E381" i="20"/>
  <c r="F381" i="20"/>
  <c r="G381" i="20"/>
  <c r="E382" i="20"/>
  <c r="F382" i="20"/>
  <c r="G382" i="20"/>
  <c r="E383" i="20"/>
  <c r="F383" i="20"/>
  <c r="G383" i="20"/>
  <c r="E384" i="20"/>
  <c r="F384" i="20"/>
  <c r="G384" i="20"/>
  <c r="E385" i="20"/>
  <c r="F385" i="20"/>
  <c r="G385" i="20"/>
  <c r="E386" i="20"/>
  <c r="F386" i="20"/>
  <c r="G386" i="20"/>
  <c r="E387" i="20"/>
  <c r="F387" i="20"/>
  <c r="G387" i="20"/>
  <c r="E388" i="20"/>
  <c r="F388" i="20"/>
  <c r="G388" i="20"/>
  <c r="E389" i="20"/>
  <c r="F389" i="20"/>
  <c r="G389" i="20"/>
  <c r="E390" i="20"/>
  <c r="F390" i="20"/>
  <c r="G390" i="20"/>
  <c r="E391" i="20"/>
  <c r="F391" i="20"/>
  <c r="G391" i="20"/>
  <c r="E392" i="20"/>
  <c r="F392" i="20"/>
  <c r="G392" i="20"/>
  <c r="E393" i="20"/>
  <c r="F393" i="20"/>
  <c r="G393" i="20"/>
  <c r="E394" i="20"/>
  <c r="F394" i="20"/>
  <c r="G394" i="20"/>
  <c r="E395" i="20"/>
  <c r="F395" i="20"/>
  <c r="G395" i="20"/>
  <c r="E396" i="20"/>
  <c r="F396" i="20"/>
  <c r="G396" i="20"/>
  <c r="E397" i="20"/>
  <c r="F397" i="20"/>
  <c r="G397" i="20"/>
  <c r="H301" i="7"/>
  <c r="H286" i="7"/>
  <c r="H277" i="7"/>
  <c r="H275" i="7"/>
  <c r="H274" i="7"/>
  <c r="H270" i="7"/>
  <c r="H271" i="7" l="1"/>
  <c r="H386" i="7"/>
  <c r="H374" i="7"/>
  <c r="H362" i="7"/>
  <c r="H350" i="7"/>
  <c r="H338" i="7"/>
  <c r="H326" i="7"/>
  <c r="H314" i="7"/>
  <c r="H302" i="7"/>
  <c r="H290" i="7"/>
  <c r="H278" i="7"/>
  <c r="H393" i="7"/>
  <c r="H381" i="7"/>
  <c r="H369" i="7"/>
  <c r="H357" i="7"/>
  <c r="H345" i="7"/>
  <c r="H333" i="7"/>
  <c r="H321" i="7"/>
  <c r="H309" i="7"/>
  <c r="H297" i="7"/>
  <c r="H285" i="7"/>
  <c r="H273" i="7"/>
  <c r="H383" i="7"/>
  <c r="H371" i="7"/>
  <c r="H359" i="7"/>
  <c r="H347" i="7"/>
  <c r="H335" i="7"/>
  <c r="H349" i="7"/>
  <c r="H337" i="7"/>
  <c r="H325" i="7"/>
  <c r="H313" i="7"/>
  <c r="H289" i="7"/>
  <c r="H272" i="7"/>
  <c r="H315" i="7"/>
  <c r="H303" i="7"/>
  <c r="H291" i="7"/>
  <c r="H279" i="7"/>
  <c r="H346" i="7"/>
  <c r="H334" i="7"/>
  <c r="H322" i="7"/>
  <c r="H310" i="7"/>
  <c r="H298" i="7"/>
  <c r="H31" i="7"/>
  <c r="H238" i="7"/>
  <c r="H53" i="7"/>
  <c r="H6" i="7"/>
  <c r="H38" i="7"/>
  <c r="H62" i="7"/>
  <c r="H86" i="7"/>
  <c r="H103" i="7"/>
  <c r="H179" i="7"/>
  <c r="H27" i="7"/>
  <c r="H79" i="7"/>
  <c r="H171" i="7"/>
  <c r="H7" i="7"/>
  <c r="H11" i="7"/>
  <c r="H19" i="7"/>
  <c r="H43" i="7"/>
  <c r="H51" i="7"/>
  <c r="H59" i="7"/>
  <c r="H67" i="7"/>
  <c r="H75" i="7"/>
  <c r="H87" i="7"/>
  <c r="H95" i="7"/>
  <c r="H111" i="7"/>
  <c r="H123" i="7"/>
  <c r="H131" i="7"/>
  <c r="H147" i="7"/>
  <c r="H155" i="7"/>
  <c r="H183" i="7"/>
  <c r="H15" i="7"/>
  <c r="H23" i="7"/>
  <c r="H35" i="7"/>
  <c r="H39" i="7"/>
  <c r="H47" i="7"/>
  <c r="H55" i="7"/>
  <c r="H63" i="7"/>
  <c r="H71" i="7"/>
  <c r="H83" i="7"/>
  <c r="H91" i="7"/>
  <c r="H99" i="7"/>
  <c r="H107" i="7"/>
  <c r="H115" i="7"/>
  <c r="H119" i="7"/>
  <c r="H135" i="7"/>
  <c r="H143" i="7"/>
  <c r="H159" i="7"/>
  <c r="H167" i="7"/>
  <c r="H175" i="7"/>
  <c r="H187" i="7"/>
  <c r="H191" i="7"/>
  <c r="H195" i="7"/>
  <c r="H199" i="7"/>
  <c r="H203" i="7"/>
  <c r="H207" i="7"/>
  <c r="H215" i="7"/>
  <c r="H223" i="7"/>
  <c r="H255" i="7"/>
  <c r="H259" i="7"/>
  <c r="H263" i="7"/>
  <c r="H267" i="7"/>
  <c r="H29" i="7"/>
  <c r="H77" i="7"/>
  <c r="H101" i="7"/>
  <c r="H110" i="7"/>
  <c r="H5" i="7"/>
  <c r="H17" i="7"/>
  <c r="H41" i="7"/>
  <c r="H65" i="7"/>
  <c r="H89" i="7"/>
  <c r="H113" i="7"/>
  <c r="H153" i="7"/>
  <c r="H165" i="7"/>
  <c r="H253" i="7"/>
  <c r="H257" i="7"/>
  <c r="H261" i="7"/>
  <c r="H265" i="7"/>
  <c r="H14" i="7"/>
  <c r="H18" i="7"/>
  <c r="H26" i="7"/>
  <c r="H30" i="7"/>
  <c r="H42" i="7"/>
  <c r="H50" i="7"/>
  <c r="H54" i="7"/>
  <c r="H66" i="7"/>
  <c r="H74" i="7"/>
  <c r="H78" i="7"/>
  <c r="H90" i="7"/>
  <c r="H98" i="7"/>
  <c r="H102" i="7"/>
  <c r="H114" i="7"/>
  <c r="H126" i="7"/>
  <c r="H130" i="7"/>
  <c r="H138" i="7"/>
  <c r="H142" i="7"/>
  <c r="H154" i="7"/>
  <c r="H166" i="7"/>
  <c r="H170" i="7"/>
  <c r="H178" i="7"/>
  <c r="H182" i="7"/>
  <c r="H190" i="7"/>
  <c r="H194" i="7"/>
  <c r="H202" i="7"/>
  <c r="H206" i="7"/>
  <c r="H210" i="7"/>
  <c r="H214" i="7"/>
  <c r="H218" i="7"/>
  <c r="H222" i="7"/>
  <c r="H226" i="7"/>
  <c r="H254" i="7"/>
  <c r="H258" i="7"/>
  <c r="H262" i="7"/>
  <c r="H266" i="7"/>
  <c r="H227" i="7"/>
  <c r="H251" i="7"/>
  <c r="H256" i="7"/>
  <c r="H260" i="7"/>
  <c r="H233" i="7"/>
  <c r="H237" i="7"/>
  <c r="H245" i="7"/>
  <c r="H9" i="7"/>
  <c r="H21" i="7"/>
  <c r="H33" i="7"/>
  <c r="H45" i="7"/>
  <c r="H57" i="7"/>
  <c r="H69" i="7"/>
  <c r="H81" i="7"/>
  <c r="H93" i="7"/>
  <c r="H105" i="7"/>
  <c r="H117" i="7"/>
  <c r="H129" i="7"/>
  <c r="H141" i="7"/>
  <c r="H246" i="7"/>
  <c r="H127" i="7"/>
  <c r="H139" i="7"/>
  <c r="H151" i="7"/>
  <c r="H163" i="7"/>
  <c r="H230" i="7"/>
  <c r="H234" i="7"/>
  <c r="H242" i="7"/>
  <c r="H250" i="7"/>
  <c r="H231" i="7"/>
  <c r="H239" i="7"/>
  <c r="H247" i="7"/>
  <c r="G3" i="25"/>
  <c r="G4" i="25" s="1"/>
  <c r="G5" i="25" s="1"/>
  <c r="H243" i="7"/>
  <c r="H13" i="7"/>
  <c r="H25" i="7"/>
  <c r="H37" i="7"/>
  <c r="H49" i="7"/>
  <c r="H61" i="7"/>
  <c r="H73" i="7"/>
  <c r="H85" i="7"/>
  <c r="H97" i="7"/>
  <c r="H109" i="7"/>
  <c r="H121" i="7"/>
  <c r="H125" i="7"/>
  <c r="H133" i="7"/>
  <c r="H137" i="7"/>
  <c r="H145" i="7"/>
  <c r="H149" i="7"/>
  <c r="H157" i="7"/>
  <c r="H161" i="7"/>
  <c r="H169" i="7"/>
  <c r="H173" i="7"/>
  <c r="H122" i="7"/>
  <c r="H134" i="7"/>
  <c r="H146" i="7"/>
  <c r="H158" i="7"/>
  <c r="H232" i="7"/>
  <c r="H240" i="7"/>
  <c r="H244" i="7"/>
  <c r="H248" i="7"/>
  <c r="H10" i="7"/>
  <c r="H22" i="7"/>
  <c r="H34" i="7"/>
  <c r="H46" i="7"/>
  <c r="H58" i="7"/>
  <c r="H70" i="7"/>
  <c r="H82" i="7"/>
  <c r="H94" i="7"/>
  <c r="H106" i="7"/>
  <c r="H118" i="7"/>
  <c r="H186" i="7"/>
  <c r="H132" i="7"/>
  <c r="H144" i="7"/>
  <c r="H156" i="7"/>
  <c r="H168" i="7"/>
  <c r="H180" i="7"/>
  <c r="H192" i="7"/>
  <c r="G3" i="26"/>
  <c r="G4" i="26" s="1"/>
  <c r="G5" i="26" s="1"/>
  <c r="H229" i="7"/>
  <c r="H241" i="7"/>
  <c r="H249" i="7"/>
  <c r="H150" i="7"/>
  <c r="H208" i="7"/>
  <c r="H212" i="7"/>
  <c r="H220" i="7"/>
  <c r="H228" i="7"/>
  <c r="H236" i="7"/>
  <c r="H264" i="7"/>
  <c r="H268" i="7"/>
  <c r="H172" i="7"/>
  <c r="H184" i="7"/>
  <c r="H196" i="7"/>
  <c r="H216" i="7"/>
  <c r="H224" i="7"/>
  <c r="H198" i="7"/>
  <c r="H177" i="7"/>
  <c r="H197" i="7"/>
  <c r="H209" i="7"/>
  <c r="H213" i="7"/>
  <c r="H221" i="7"/>
  <c r="H162" i="7"/>
  <c r="H174" i="7"/>
  <c r="H189" i="7"/>
  <c r="H201" i="7"/>
  <c r="H217" i="7"/>
  <c r="H225" i="7"/>
  <c r="H204" i="7"/>
  <c r="H211" i="7"/>
  <c r="H219" i="7"/>
  <c r="H181" i="7"/>
  <c r="H185" i="7"/>
  <c r="H193" i="7"/>
  <c r="H205" i="7"/>
  <c r="G3" i="23"/>
  <c r="G4" i="23" s="1"/>
  <c r="G5" i="23" s="1"/>
  <c r="H392" i="7"/>
  <c r="H387" i="7"/>
  <c r="H380" i="7"/>
  <c r="H375" i="7"/>
  <c r="H368" i="7"/>
  <c r="H363" i="7"/>
  <c r="H356" i="7"/>
  <c r="H351" i="7"/>
  <c r="H344" i="7"/>
  <c r="H339" i="7"/>
  <c r="H332" i="7"/>
  <c r="H327" i="7"/>
  <c r="H320" i="7"/>
  <c r="H308" i="7"/>
  <c r="H296" i="7"/>
  <c r="H284" i="7"/>
  <c r="M4" i="7"/>
  <c r="H4" i="7" s="1"/>
  <c r="H389" i="7"/>
  <c r="H377" i="7"/>
  <c r="H365" i="7"/>
  <c r="H353" i="7"/>
  <c r="H341" i="7"/>
  <c r="H329" i="7"/>
  <c r="H317" i="7"/>
  <c r="H305" i="7"/>
  <c r="H293" i="7"/>
  <c r="H281" i="7"/>
  <c r="H391" i="7"/>
  <c r="H379" i="7"/>
  <c r="H367" i="7"/>
  <c r="H355" i="7"/>
  <c r="H343" i="7"/>
  <c r="H331" i="7"/>
  <c r="H319" i="7"/>
  <c r="H307" i="7"/>
  <c r="H295" i="7"/>
  <c r="H283" i="7"/>
  <c r="H388" i="7"/>
  <c r="H376" i="7"/>
  <c r="H364" i="7"/>
  <c r="H352" i="7"/>
  <c r="H340" i="7"/>
  <c r="H328" i="7"/>
  <c r="H316" i="7"/>
  <c r="H304" i="7"/>
  <c r="H292" i="7"/>
  <c r="H280" i="7"/>
  <c r="G3" i="24"/>
  <c r="G4" i="24" s="1"/>
  <c r="G5" i="24" s="1"/>
  <c r="H390" i="7"/>
  <c r="H385" i="7"/>
  <c r="H382" i="7"/>
  <c r="H378" i="7"/>
  <c r="H373" i="7"/>
  <c r="H370" i="7"/>
  <c r="H366" i="7"/>
  <c r="H361" i="7"/>
  <c r="H358" i="7"/>
  <c r="H354" i="7"/>
  <c r="H342" i="7"/>
  <c r="H330" i="7"/>
  <c r="H318" i="7"/>
  <c r="H306" i="7"/>
  <c r="H294" i="7"/>
  <c r="H282" i="7"/>
  <c r="G3" i="22"/>
  <c r="G4" i="22" s="1"/>
  <c r="G5" i="22" s="1"/>
  <c r="G258" i="20"/>
  <c r="G259" i="20"/>
  <c r="G260" i="20"/>
  <c r="G261" i="20"/>
  <c r="G262" i="20"/>
  <c r="G263" i="20"/>
  <c r="G264" i="20"/>
  <c r="G265" i="20"/>
  <c r="G266" i="20"/>
  <c r="G267" i="20"/>
  <c r="G268" i="20"/>
  <c r="G269" i="20"/>
  <c r="G270" i="20"/>
  <c r="G271" i="20"/>
  <c r="G272" i="20"/>
  <c r="G273" i="20"/>
  <c r="G274" i="20"/>
  <c r="G275" i="20"/>
  <c r="G276" i="20"/>
  <c r="G277" i="20"/>
  <c r="G278" i="20"/>
  <c r="G279" i="20"/>
  <c r="G280" i="20"/>
  <c r="G281" i="20"/>
  <c r="G282" i="20"/>
  <c r="G283" i="20"/>
  <c r="G284" i="20"/>
  <c r="G285" i="20"/>
  <c r="G286" i="20"/>
  <c r="G287" i="20"/>
  <c r="G288" i="20"/>
  <c r="G289" i="20"/>
  <c r="G290" i="20"/>
  <c r="G291" i="20"/>
  <c r="G292" i="20"/>
  <c r="G293" i="20"/>
  <c r="G294" i="20"/>
  <c r="G295" i="20"/>
  <c r="G296" i="20"/>
  <c r="G297" i="20"/>
  <c r="G298" i="20"/>
  <c r="G299" i="20"/>
  <c r="G300" i="20"/>
  <c r="G301" i="20"/>
  <c r="G302" i="20"/>
  <c r="G303" i="20"/>
  <c r="G304" i="20"/>
  <c r="G305" i="20"/>
  <c r="G306" i="20"/>
  <c r="G307" i="20"/>
  <c r="G308" i="20"/>
  <c r="G309" i="20"/>
  <c r="G310" i="20"/>
  <c r="G311" i="20"/>
  <c r="G312" i="20"/>
  <c r="G313" i="20"/>
  <c r="G314" i="20"/>
  <c r="G315" i="20"/>
  <c r="G316" i="20"/>
  <c r="G317" i="20"/>
  <c r="G318" i="20"/>
  <c r="G319" i="20"/>
  <c r="G320" i="20"/>
  <c r="G321" i="20"/>
  <c r="G322" i="20"/>
  <c r="G323" i="20"/>
  <c r="G324" i="20"/>
  <c r="G325" i="20"/>
  <c r="G326" i="20"/>
  <c r="G327" i="20"/>
  <c r="G328" i="20"/>
  <c r="G329" i="20"/>
  <c r="G330" i="20"/>
  <c r="G331" i="20"/>
  <c r="G332" i="20"/>
  <c r="G257" i="20"/>
  <c r="G256" i="20"/>
  <c r="G255" i="20"/>
  <c r="G254" i="20"/>
  <c r="G253" i="20"/>
  <c r="G252" i="20"/>
  <c r="G251" i="20"/>
  <c r="G250" i="20"/>
  <c r="G249" i="20"/>
  <c r="G248" i="20"/>
  <c r="G247" i="20"/>
  <c r="G246" i="20"/>
  <c r="G245" i="20"/>
  <c r="G244" i="20"/>
  <c r="G243" i="20"/>
  <c r="G242" i="20"/>
  <c r="G241" i="20"/>
  <c r="G240" i="20"/>
  <c r="G239" i="20"/>
  <c r="G238" i="20"/>
  <c r="G237" i="20"/>
  <c r="G236" i="20"/>
  <c r="G235" i="20"/>
  <c r="G234" i="20"/>
  <c r="G233" i="20"/>
  <c r="G232" i="20"/>
  <c r="G231" i="20"/>
  <c r="G230" i="20"/>
  <c r="G229" i="20"/>
  <c r="G228" i="20"/>
  <c r="G227" i="20"/>
  <c r="G226" i="20"/>
  <c r="G225" i="20"/>
  <c r="G224" i="20"/>
  <c r="G223" i="20"/>
  <c r="G222" i="20"/>
  <c r="G221" i="20"/>
  <c r="G220" i="20"/>
  <c r="G219" i="20"/>
  <c r="G218" i="20"/>
  <c r="G217" i="20"/>
  <c r="G216" i="20"/>
  <c r="G215" i="20"/>
  <c r="G214" i="20"/>
  <c r="G213" i="20"/>
  <c r="G212" i="20"/>
  <c r="G211" i="20"/>
  <c r="G210" i="20"/>
  <c r="G209" i="20"/>
  <c r="G208" i="20"/>
  <c r="E58" i="20"/>
  <c r="F58" i="20"/>
  <c r="G58" i="20" s="1"/>
  <c r="E59" i="20"/>
  <c r="F59" i="20"/>
  <c r="G59" i="20" s="1"/>
  <c r="E60" i="20"/>
  <c r="F60" i="20"/>
  <c r="G60" i="20" s="1"/>
  <c r="E61" i="20"/>
  <c r="F61" i="20"/>
  <c r="G61" i="20" s="1"/>
  <c r="E62" i="20"/>
  <c r="F62" i="20"/>
  <c r="G62" i="20" s="1"/>
  <c r="E63" i="20"/>
  <c r="F63" i="20"/>
  <c r="G63" i="20" s="1"/>
  <c r="E64" i="20"/>
  <c r="F64" i="20"/>
  <c r="G64" i="20" s="1"/>
  <c r="E65" i="20"/>
  <c r="F65" i="20"/>
  <c r="G65" i="20" s="1"/>
  <c r="E66" i="20"/>
  <c r="F66" i="20"/>
  <c r="G66" i="20" s="1"/>
  <c r="E67" i="20"/>
  <c r="F67" i="20"/>
  <c r="G67" i="20" s="1"/>
  <c r="E68" i="20"/>
  <c r="F68" i="20"/>
  <c r="G68" i="20" s="1"/>
  <c r="E69" i="20"/>
  <c r="F69" i="20"/>
  <c r="G69" i="20" s="1"/>
  <c r="E70" i="20"/>
  <c r="F70" i="20"/>
  <c r="G70" i="20" s="1"/>
  <c r="E71" i="20"/>
  <c r="F71" i="20"/>
  <c r="G71" i="20" s="1"/>
  <c r="E72" i="20"/>
  <c r="F72" i="20"/>
  <c r="G72" i="20" s="1"/>
  <c r="E73" i="20"/>
  <c r="F73" i="20"/>
  <c r="G73" i="20" s="1"/>
  <c r="E74" i="20"/>
  <c r="F74" i="20"/>
  <c r="G74" i="20" s="1"/>
  <c r="E75" i="20"/>
  <c r="F75" i="20"/>
  <c r="G75" i="20" s="1"/>
  <c r="E76" i="20"/>
  <c r="F76" i="20"/>
  <c r="G76" i="20" s="1"/>
  <c r="E77" i="20"/>
  <c r="F77" i="20"/>
  <c r="G77" i="20" s="1"/>
  <c r="E78" i="20"/>
  <c r="F78" i="20"/>
  <c r="G78" i="20" s="1"/>
  <c r="E79" i="20"/>
  <c r="F79" i="20"/>
  <c r="G79" i="20" s="1"/>
  <c r="E80" i="20"/>
  <c r="F80" i="20"/>
  <c r="G80" i="20" s="1"/>
  <c r="E81" i="20"/>
  <c r="F81" i="20"/>
  <c r="G81" i="20" s="1"/>
  <c r="E82" i="20"/>
  <c r="F82" i="20"/>
  <c r="G82" i="20" s="1"/>
  <c r="E83" i="20"/>
  <c r="F83" i="20"/>
  <c r="G83" i="20" s="1"/>
  <c r="E84" i="20"/>
  <c r="F84" i="20"/>
  <c r="G84" i="20" s="1"/>
  <c r="E85" i="20"/>
  <c r="F85" i="20"/>
  <c r="G85" i="20" s="1"/>
  <c r="E86" i="20"/>
  <c r="F86" i="20"/>
  <c r="G86" i="20" s="1"/>
  <c r="E87" i="20"/>
  <c r="F87" i="20"/>
  <c r="G87" i="20" s="1"/>
  <c r="E88" i="20"/>
  <c r="F88" i="20"/>
  <c r="G88" i="20" s="1"/>
  <c r="E89" i="20"/>
  <c r="F89" i="20"/>
  <c r="G89" i="20" s="1"/>
  <c r="E90" i="20"/>
  <c r="F90" i="20"/>
  <c r="G90" i="20" s="1"/>
  <c r="E91" i="20"/>
  <c r="F91" i="20"/>
  <c r="G91" i="20" s="1"/>
  <c r="E92" i="20"/>
  <c r="F92" i="20"/>
  <c r="G92" i="20" s="1"/>
  <c r="E93" i="20"/>
  <c r="F93" i="20"/>
  <c r="G93" i="20" s="1"/>
  <c r="E94" i="20"/>
  <c r="F94" i="20"/>
  <c r="G94" i="20" s="1"/>
  <c r="E95" i="20"/>
  <c r="F95" i="20"/>
  <c r="G95" i="20" s="1"/>
  <c r="E96" i="20"/>
  <c r="F96" i="20"/>
  <c r="G96" i="20" s="1"/>
  <c r="E97" i="20"/>
  <c r="F97" i="20"/>
  <c r="G97" i="20" s="1"/>
  <c r="E98" i="20"/>
  <c r="F98" i="20"/>
  <c r="G98" i="20" s="1"/>
  <c r="E99" i="20"/>
  <c r="F99" i="20"/>
  <c r="G99" i="20" s="1"/>
  <c r="E100" i="20"/>
  <c r="F100" i="20"/>
  <c r="G100" i="20" s="1"/>
  <c r="E101" i="20"/>
  <c r="F101" i="20"/>
  <c r="G101" i="20" s="1"/>
  <c r="E102" i="20"/>
  <c r="F102" i="20"/>
  <c r="G102" i="20" s="1"/>
  <c r="E103" i="20"/>
  <c r="F103" i="20"/>
  <c r="G103" i="20" s="1"/>
  <c r="E104" i="20"/>
  <c r="F104" i="20"/>
  <c r="G104" i="20" s="1"/>
  <c r="E105" i="20"/>
  <c r="F105" i="20"/>
  <c r="G105" i="20" s="1"/>
  <c r="E106" i="20"/>
  <c r="F106" i="20"/>
  <c r="G106" i="20" s="1"/>
  <c r="E107" i="20"/>
  <c r="F107" i="20"/>
  <c r="G107" i="20" s="1"/>
  <c r="E108" i="20"/>
  <c r="F108" i="20"/>
  <c r="G108" i="20" s="1"/>
  <c r="E109" i="20"/>
  <c r="F109" i="20"/>
  <c r="G109" i="20" s="1"/>
  <c r="E110" i="20"/>
  <c r="F110" i="20"/>
  <c r="G110" i="20" s="1"/>
  <c r="E111" i="20"/>
  <c r="F111" i="20"/>
  <c r="G111" i="20" s="1"/>
  <c r="E112" i="20"/>
  <c r="F112" i="20"/>
  <c r="G112" i="20" s="1"/>
  <c r="E113" i="20"/>
  <c r="F113" i="20"/>
  <c r="G113" i="20" s="1"/>
  <c r="E114" i="20"/>
  <c r="F114" i="20"/>
  <c r="G114" i="20" s="1"/>
  <c r="E115" i="20"/>
  <c r="F115" i="20"/>
  <c r="G115" i="20" s="1"/>
  <c r="E116" i="20"/>
  <c r="F116" i="20"/>
  <c r="G116" i="20" s="1"/>
  <c r="E117" i="20"/>
  <c r="F117" i="20"/>
  <c r="G117" i="20" s="1"/>
  <c r="E118" i="20"/>
  <c r="F118" i="20"/>
  <c r="G118" i="20" s="1"/>
  <c r="E119" i="20"/>
  <c r="F119" i="20"/>
  <c r="G119" i="20" s="1"/>
  <c r="E120" i="20"/>
  <c r="F120" i="20"/>
  <c r="G120" i="20" s="1"/>
  <c r="E121" i="20"/>
  <c r="F121" i="20"/>
  <c r="G121" i="20" s="1"/>
  <c r="E122" i="20"/>
  <c r="F122" i="20"/>
  <c r="G122" i="20" s="1"/>
  <c r="E123" i="20"/>
  <c r="F123" i="20"/>
  <c r="G123" i="20" s="1"/>
  <c r="E124" i="20"/>
  <c r="F124" i="20"/>
  <c r="G124" i="20" s="1"/>
  <c r="E125" i="20"/>
  <c r="F125" i="20"/>
  <c r="G125" i="20" s="1"/>
  <c r="E126" i="20"/>
  <c r="F126" i="20"/>
  <c r="G126" i="20" s="1"/>
  <c r="E127" i="20"/>
  <c r="F127" i="20"/>
  <c r="G127" i="20" s="1"/>
  <c r="E128" i="20"/>
  <c r="F128" i="20"/>
  <c r="G128" i="20" s="1"/>
  <c r="E129" i="20"/>
  <c r="F129" i="20"/>
  <c r="G129" i="20" s="1"/>
  <c r="E130" i="20"/>
  <c r="F130" i="20"/>
  <c r="G130" i="20" s="1"/>
  <c r="E131" i="20"/>
  <c r="F131" i="20"/>
  <c r="G131" i="20" s="1"/>
  <c r="E132" i="20"/>
  <c r="F132" i="20"/>
  <c r="G132" i="20" s="1"/>
  <c r="E133" i="20"/>
  <c r="F133" i="20"/>
  <c r="G133" i="20" s="1"/>
  <c r="E134" i="20"/>
  <c r="F134" i="20"/>
  <c r="G134" i="20" s="1"/>
  <c r="E135" i="20"/>
  <c r="F135" i="20"/>
  <c r="G135" i="20" s="1"/>
  <c r="E136" i="20"/>
  <c r="F136" i="20"/>
  <c r="G136" i="20" s="1"/>
  <c r="E137" i="20"/>
  <c r="F137" i="20"/>
  <c r="G137" i="20" s="1"/>
  <c r="E138" i="20"/>
  <c r="F138" i="20"/>
  <c r="G138" i="20" s="1"/>
  <c r="E139" i="20"/>
  <c r="F139" i="20"/>
  <c r="G139" i="20" s="1"/>
  <c r="E140" i="20"/>
  <c r="F140" i="20"/>
  <c r="G140" i="20" s="1"/>
  <c r="E141" i="20"/>
  <c r="F141" i="20"/>
  <c r="G141" i="20" s="1"/>
  <c r="E142" i="20"/>
  <c r="F142" i="20"/>
  <c r="G142" i="20" s="1"/>
  <c r="E143" i="20"/>
  <c r="F143" i="20"/>
  <c r="G143" i="20" s="1"/>
  <c r="E144" i="20"/>
  <c r="F144" i="20"/>
  <c r="G144" i="20" s="1"/>
  <c r="E145" i="20"/>
  <c r="F145" i="20"/>
  <c r="G145" i="20" s="1"/>
  <c r="E146" i="20"/>
  <c r="F146" i="20"/>
  <c r="G146" i="20" s="1"/>
  <c r="E147" i="20"/>
  <c r="F147" i="20"/>
  <c r="G147" i="20" s="1"/>
  <c r="E148" i="20"/>
  <c r="F148" i="20"/>
  <c r="G148" i="20" s="1"/>
  <c r="E149" i="20"/>
  <c r="F149" i="20"/>
  <c r="G149" i="20" s="1"/>
  <c r="E150" i="20"/>
  <c r="F150" i="20"/>
  <c r="G150" i="20" s="1"/>
  <c r="E151" i="20"/>
  <c r="F151" i="20"/>
  <c r="G151" i="20" s="1"/>
  <c r="E152" i="20"/>
  <c r="F152" i="20"/>
  <c r="G152" i="20" s="1"/>
  <c r="E153" i="20"/>
  <c r="F153" i="20"/>
  <c r="G153" i="20" s="1"/>
  <c r="E154" i="20"/>
  <c r="F154" i="20"/>
  <c r="G154" i="20" s="1"/>
  <c r="E155" i="20"/>
  <c r="F155" i="20"/>
  <c r="G155" i="20" s="1"/>
  <c r="E156" i="20"/>
  <c r="F156" i="20"/>
  <c r="G156" i="20" s="1"/>
  <c r="E157" i="20"/>
  <c r="F157" i="20"/>
  <c r="G157" i="20" s="1"/>
  <c r="E158" i="20"/>
  <c r="F158" i="20"/>
  <c r="G158" i="20" s="1"/>
  <c r="E159" i="20"/>
  <c r="F159" i="20"/>
  <c r="G159" i="20" s="1"/>
  <c r="E160" i="20"/>
  <c r="F160" i="20"/>
  <c r="G160" i="20" s="1"/>
  <c r="E161" i="20"/>
  <c r="F161" i="20"/>
  <c r="G161" i="20" s="1"/>
  <c r="E162" i="20"/>
  <c r="F162" i="20"/>
  <c r="G162" i="20" s="1"/>
  <c r="E163" i="20"/>
  <c r="F163" i="20"/>
  <c r="G163" i="20" s="1"/>
  <c r="E164" i="20"/>
  <c r="F164" i="20"/>
  <c r="G164" i="20" s="1"/>
  <c r="E165" i="20"/>
  <c r="F165" i="20"/>
  <c r="G165" i="20" s="1"/>
  <c r="E166" i="20"/>
  <c r="F166" i="20"/>
  <c r="G166" i="20" s="1"/>
  <c r="E167" i="20"/>
  <c r="F167" i="20"/>
  <c r="G167" i="20" s="1"/>
  <c r="E168" i="20"/>
  <c r="F168" i="20"/>
  <c r="G168" i="20" s="1"/>
  <c r="E169" i="20"/>
  <c r="F169" i="20"/>
  <c r="G169" i="20" s="1"/>
  <c r="E170" i="20"/>
  <c r="F170" i="20"/>
  <c r="G170" i="20" s="1"/>
  <c r="E171" i="20"/>
  <c r="F171" i="20"/>
  <c r="G171" i="20" s="1"/>
  <c r="E172" i="20"/>
  <c r="F172" i="20"/>
  <c r="G172" i="20" s="1"/>
  <c r="E173" i="20"/>
  <c r="F173" i="20"/>
  <c r="G173" i="20" s="1"/>
  <c r="E174" i="20"/>
  <c r="F174" i="20"/>
  <c r="G174" i="20" s="1"/>
  <c r="E175" i="20"/>
  <c r="F175" i="20"/>
  <c r="G175" i="20" s="1"/>
  <c r="E176" i="20"/>
  <c r="F176" i="20"/>
  <c r="G176" i="20" s="1"/>
  <c r="E177" i="20"/>
  <c r="F177" i="20"/>
  <c r="G177" i="20" s="1"/>
  <c r="E178" i="20"/>
  <c r="F178" i="20"/>
  <c r="G178" i="20" s="1"/>
  <c r="E179" i="20"/>
  <c r="F179" i="20"/>
  <c r="G179" i="20" s="1"/>
  <c r="E180" i="20"/>
  <c r="F180" i="20"/>
  <c r="G180" i="20" s="1"/>
  <c r="E181" i="20"/>
  <c r="F181" i="20"/>
  <c r="G181" i="20" s="1"/>
  <c r="E182" i="20"/>
  <c r="F182" i="20"/>
  <c r="G182" i="20" s="1"/>
  <c r="E183" i="20"/>
  <c r="F183" i="20"/>
  <c r="G183" i="20" s="1"/>
  <c r="E184" i="20"/>
  <c r="F184" i="20"/>
  <c r="G184" i="20" s="1"/>
  <c r="E185" i="20"/>
  <c r="F185" i="20"/>
  <c r="G185" i="20" s="1"/>
  <c r="E186" i="20"/>
  <c r="F186" i="20"/>
  <c r="G186" i="20" s="1"/>
  <c r="E187" i="20"/>
  <c r="F187" i="20"/>
  <c r="G187" i="20" s="1"/>
  <c r="E188" i="20"/>
  <c r="F188" i="20"/>
  <c r="G188" i="20" s="1"/>
  <c r="E189" i="20"/>
  <c r="F189" i="20"/>
  <c r="G189" i="20" s="1"/>
  <c r="E190" i="20"/>
  <c r="F190" i="20"/>
  <c r="G190" i="20" s="1"/>
  <c r="E191" i="20"/>
  <c r="F191" i="20"/>
  <c r="G191" i="20" s="1"/>
  <c r="E192" i="20"/>
  <c r="F192" i="20"/>
  <c r="G192" i="20" s="1"/>
  <c r="E193" i="20"/>
  <c r="F193" i="20"/>
  <c r="G193" i="20" s="1"/>
  <c r="E194" i="20"/>
  <c r="F194" i="20"/>
  <c r="G194" i="20" s="1"/>
  <c r="E195" i="20"/>
  <c r="F195" i="20"/>
  <c r="G195" i="20" s="1"/>
  <c r="E196" i="20"/>
  <c r="F196" i="20"/>
  <c r="G196" i="20" s="1"/>
  <c r="E197" i="20"/>
  <c r="F197" i="20"/>
  <c r="G197" i="20" s="1"/>
  <c r="E198" i="20"/>
  <c r="F198" i="20"/>
  <c r="G198" i="20" s="1"/>
  <c r="E199" i="20"/>
  <c r="F199" i="20"/>
  <c r="G199" i="20" s="1"/>
  <c r="E200" i="20"/>
  <c r="F200" i="20"/>
  <c r="G200" i="20" s="1"/>
  <c r="E201" i="20"/>
  <c r="F201" i="20"/>
  <c r="G201" i="20" s="1"/>
  <c r="E202" i="20"/>
  <c r="F202" i="20"/>
  <c r="G202" i="20" s="1"/>
  <c r="E203" i="20"/>
  <c r="F203" i="20"/>
  <c r="G203" i="20" s="1"/>
  <c r="E204" i="20"/>
  <c r="F204" i="20"/>
  <c r="G204" i="20" s="1"/>
  <c r="E205" i="20"/>
  <c r="F205" i="20"/>
  <c r="G205" i="20" s="1"/>
  <c r="E206" i="20"/>
  <c r="F206" i="20"/>
  <c r="G206" i="20" s="1"/>
  <c r="E207" i="20"/>
  <c r="F207" i="20"/>
  <c r="G207" i="20" s="1"/>
  <c r="E208" i="20"/>
  <c r="F208" i="20"/>
  <c r="E209" i="20"/>
  <c r="F209" i="20"/>
  <c r="E210" i="20"/>
  <c r="F210" i="20"/>
  <c r="E211" i="20"/>
  <c r="F211" i="20"/>
  <c r="E212" i="20"/>
  <c r="F212" i="20"/>
  <c r="E213" i="20"/>
  <c r="F213" i="20"/>
  <c r="E214" i="20"/>
  <c r="F214" i="20"/>
  <c r="E215" i="20"/>
  <c r="F215" i="20"/>
  <c r="E216" i="20"/>
  <c r="F216" i="20"/>
  <c r="E217" i="20"/>
  <c r="F217" i="20"/>
  <c r="E218" i="20"/>
  <c r="F218" i="20"/>
  <c r="E219" i="20"/>
  <c r="F219" i="20"/>
  <c r="E220" i="20"/>
  <c r="F220" i="20"/>
  <c r="E221" i="20"/>
  <c r="F221" i="20"/>
  <c r="E222" i="20"/>
  <c r="F222" i="20"/>
  <c r="E223" i="20"/>
  <c r="F223" i="20"/>
  <c r="E224" i="20"/>
  <c r="F224" i="20"/>
  <c r="E225" i="20"/>
  <c r="F225" i="20"/>
  <c r="E226" i="20"/>
  <c r="F226" i="20"/>
  <c r="E227" i="20"/>
  <c r="F227" i="20"/>
  <c r="E228" i="20"/>
  <c r="F228" i="20"/>
  <c r="E229" i="20"/>
  <c r="F229" i="20"/>
  <c r="E230" i="20"/>
  <c r="F230" i="20"/>
  <c r="E231" i="20"/>
  <c r="F231" i="20"/>
  <c r="E232" i="20"/>
  <c r="F232" i="20"/>
  <c r="E233" i="20"/>
  <c r="F233" i="20"/>
  <c r="E234" i="20"/>
  <c r="F234" i="20"/>
  <c r="E235" i="20"/>
  <c r="F235" i="20"/>
  <c r="E236" i="20"/>
  <c r="F236" i="20"/>
  <c r="E237" i="20"/>
  <c r="F237" i="20"/>
  <c r="E238" i="20"/>
  <c r="F238" i="20"/>
  <c r="E239" i="20"/>
  <c r="F239" i="20"/>
  <c r="E240" i="20"/>
  <c r="F240" i="20"/>
  <c r="E241" i="20"/>
  <c r="F241" i="20"/>
  <c r="E242" i="20"/>
  <c r="F242" i="20"/>
  <c r="E243" i="20"/>
  <c r="F243" i="20"/>
  <c r="E244" i="20"/>
  <c r="F244" i="20"/>
  <c r="E245" i="20"/>
  <c r="F245" i="20"/>
  <c r="E246" i="20"/>
  <c r="F246" i="20"/>
  <c r="E247" i="20"/>
  <c r="F247" i="20"/>
  <c r="E248" i="20"/>
  <c r="F248" i="20"/>
  <c r="E249" i="20"/>
  <c r="F249" i="20"/>
  <c r="E250" i="20"/>
  <c r="F250" i="20"/>
  <c r="E251" i="20"/>
  <c r="F251" i="20"/>
  <c r="E252" i="20"/>
  <c r="F252" i="20"/>
  <c r="E253" i="20"/>
  <c r="F253" i="20"/>
  <c r="E254" i="20"/>
  <c r="F254" i="20"/>
  <c r="E255" i="20"/>
  <c r="F255" i="20"/>
  <c r="E256" i="20"/>
  <c r="F256" i="20"/>
  <c r="E257" i="20"/>
  <c r="F257" i="20"/>
  <c r="E258" i="20"/>
  <c r="F258" i="20"/>
  <c r="E259" i="20"/>
  <c r="F259" i="20"/>
  <c r="E260" i="20"/>
  <c r="F260" i="20"/>
  <c r="E261" i="20"/>
  <c r="F261" i="20"/>
  <c r="E262" i="20"/>
  <c r="F262" i="20"/>
  <c r="E263" i="20"/>
  <c r="F263" i="20"/>
  <c r="E264" i="20"/>
  <c r="F264" i="20"/>
  <c r="E265" i="20"/>
  <c r="F265" i="20"/>
  <c r="E266" i="20"/>
  <c r="F266" i="20"/>
  <c r="E267" i="20"/>
  <c r="F267" i="20"/>
  <c r="E268" i="20"/>
  <c r="F268" i="20"/>
  <c r="E269" i="20"/>
  <c r="F269" i="20"/>
  <c r="E270" i="20"/>
  <c r="F270" i="20"/>
  <c r="E271" i="20"/>
  <c r="F271" i="20"/>
  <c r="E272" i="20"/>
  <c r="F272" i="20"/>
  <c r="E273" i="20"/>
  <c r="F273" i="20"/>
  <c r="E274" i="20"/>
  <c r="F274" i="20"/>
  <c r="E275" i="20"/>
  <c r="F275" i="20"/>
  <c r="E276" i="20"/>
  <c r="F276" i="20"/>
  <c r="E277" i="20"/>
  <c r="F277" i="20"/>
  <c r="E278" i="20"/>
  <c r="F278" i="20"/>
  <c r="E279" i="20"/>
  <c r="F279" i="20"/>
  <c r="E280" i="20"/>
  <c r="F280" i="20"/>
  <c r="E281" i="20"/>
  <c r="F281" i="20"/>
  <c r="E282" i="20"/>
  <c r="F282" i="20"/>
  <c r="E283" i="20"/>
  <c r="F283" i="20"/>
  <c r="E284" i="20"/>
  <c r="F284" i="20"/>
  <c r="E285" i="20"/>
  <c r="F285" i="20"/>
  <c r="E286" i="20"/>
  <c r="F286" i="20"/>
  <c r="E287" i="20"/>
  <c r="F287" i="20"/>
  <c r="E288" i="20"/>
  <c r="F288" i="20"/>
  <c r="E289" i="20"/>
  <c r="F289" i="20"/>
  <c r="E290" i="20"/>
  <c r="F290" i="20"/>
  <c r="E291" i="20"/>
  <c r="F291" i="20"/>
  <c r="E292" i="20"/>
  <c r="F292" i="20"/>
  <c r="E293" i="20"/>
  <c r="F293" i="20"/>
  <c r="E294" i="20"/>
  <c r="F294" i="20"/>
  <c r="E295" i="20"/>
  <c r="F295" i="20"/>
  <c r="E296" i="20"/>
  <c r="F296" i="20"/>
  <c r="E297" i="20"/>
  <c r="F297" i="20"/>
  <c r="E298" i="20"/>
  <c r="F298" i="20"/>
  <c r="E299" i="20"/>
  <c r="F299" i="20"/>
  <c r="E300" i="20"/>
  <c r="F300" i="20"/>
  <c r="E301" i="20"/>
  <c r="F301" i="20"/>
  <c r="E302" i="20"/>
  <c r="F302" i="20"/>
  <c r="E303" i="20"/>
  <c r="F303" i="20"/>
  <c r="E304" i="20"/>
  <c r="F304" i="20"/>
  <c r="E305" i="20"/>
  <c r="F305" i="20"/>
  <c r="E306" i="20"/>
  <c r="F306" i="20"/>
  <c r="E307" i="20"/>
  <c r="F307" i="20"/>
  <c r="E308" i="20"/>
  <c r="F308" i="20"/>
  <c r="E309" i="20"/>
  <c r="F309" i="20"/>
  <c r="E310" i="20"/>
  <c r="F310" i="20"/>
  <c r="E311" i="20"/>
  <c r="F311" i="20"/>
  <c r="E312" i="20"/>
  <c r="F312" i="20"/>
  <c r="E313" i="20"/>
  <c r="F313" i="20"/>
  <c r="E314" i="20"/>
  <c r="F314" i="20"/>
  <c r="E315" i="20"/>
  <c r="F315" i="20"/>
  <c r="E316" i="20"/>
  <c r="F316" i="20"/>
  <c r="E317" i="20"/>
  <c r="F317" i="20"/>
  <c r="E318" i="20"/>
  <c r="F318" i="20"/>
  <c r="E319" i="20"/>
  <c r="F319" i="20"/>
  <c r="E320" i="20"/>
  <c r="F320" i="20"/>
  <c r="E321" i="20"/>
  <c r="F321" i="20"/>
  <c r="E322" i="20"/>
  <c r="F322" i="20"/>
  <c r="E323" i="20"/>
  <c r="F323" i="20"/>
  <c r="E324" i="20"/>
  <c r="F324" i="20"/>
  <c r="E325" i="20"/>
  <c r="F325" i="20"/>
  <c r="E326" i="20"/>
  <c r="F326" i="20"/>
  <c r="E327" i="20"/>
  <c r="F327" i="20"/>
  <c r="E328" i="20"/>
  <c r="F328" i="20"/>
  <c r="E329" i="20"/>
  <c r="F329" i="20"/>
  <c r="E330" i="20"/>
  <c r="F330" i="20"/>
  <c r="E331" i="20"/>
  <c r="F331" i="20"/>
  <c r="E332" i="20"/>
  <c r="F332" i="20"/>
  <c r="E9" i="20"/>
  <c r="F9" i="20"/>
  <c r="G9" i="20" s="1"/>
  <c r="E10" i="20"/>
  <c r="F10" i="20"/>
  <c r="G10" i="20" s="1"/>
  <c r="E11" i="20"/>
  <c r="F11" i="20"/>
  <c r="G11" i="20" s="1"/>
  <c r="E12" i="20"/>
  <c r="F12" i="20"/>
  <c r="G12" i="20" s="1"/>
  <c r="E13" i="20"/>
  <c r="F13" i="20"/>
  <c r="G13" i="20" s="1"/>
  <c r="E14" i="20"/>
  <c r="F14" i="20"/>
  <c r="G14" i="20" s="1"/>
  <c r="E15" i="20"/>
  <c r="F15" i="20"/>
  <c r="G15" i="20" s="1"/>
  <c r="E16" i="20"/>
  <c r="F16" i="20"/>
  <c r="G16" i="20" s="1"/>
  <c r="E17" i="20"/>
  <c r="F17" i="20"/>
  <c r="G17" i="20" s="1"/>
  <c r="E18" i="20"/>
  <c r="F18" i="20"/>
  <c r="G18" i="20" s="1"/>
  <c r="E19" i="20"/>
  <c r="F19" i="20"/>
  <c r="G19" i="20" s="1"/>
  <c r="E20" i="20"/>
  <c r="F20" i="20"/>
  <c r="G20" i="20" s="1"/>
  <c r="E21" i="20"/>
  <c r="F21" i="20"/>
  <c r="G21" i="20" s="1"/>
  <c r="E22" i="20"/>
  <c r="F22" i="20"/>
  <c r="G22" i="20" s="1"/>
  <c r="E23" i="20"/>
  <c r="F23" i="20"/>
  <c r="G23" i="20" s="1"/>
  <c r="E24" i="20"/>
  <c r="F24" i="20"/>
  <c r="G24" i="20" s="1"/>
  <c r="E25" i="20"/>
  <c r="F25" i="20"/>
  <c r="G25" i="20" s="1"/>
  <c r="E26" i="20"/>
  <c r="F26" i="20"/>
  <c r="G26" i="20" s="1"/>
  <c r="E27" i="20"/>
  <c r="F27" i="20"/>
  <c r="G27" i="20" s="1"/>
  <c r="E28" i="20"/>
  <c r="F28" i="20"/>
  <c r="G28" i="20" s="1"/>
  <c r="E29" i="20"/>
  <c r="F29" i="20"/>
  <c r="G29" i="20" s="1"/>
  <c r="E30" i="20"/>
  <c r="F30" i="20"/>
  <c r="G30" i="20" s="1"/>
  <c r="E31" i="20"/>
  <c r="F31" i="20"/>
  <c r="G31" i="20" s="1"/>
  <c r="E32" i="20"/>
  <c r="F32" i="20"/>
  <c r="G32" i="20" s="1"/>
  <c r="E33" i="20"/>
  <c r="F33" i="20"/>
  <c r="G33" i="20" s="1"/>
  <c r="E34" i="20"/>
  <c r="F34" i="20"/>
  <c r="G34" i="20" s="1"/>
  <c r="E35" i="20"/>
  <c r="F35" i="20"/>
  <c r="G35" i="20" s="1"/>
  <c r="E36" i="20"/>
  <c r="F36" i="20"/>
  <c r="G36" i="20" s="1"/>
  <c r="E37" i="20"/>
  <c r="F37" i="20"/>
  <c r="G37" i="20" s="1"/>
  <c r="E38" i="20"/>
  <c r="F38" i="20"/>
  <c r="G38" i="20" s="1"/>
  <c r="E39" i="20"/>
  <c r="F39" i="20"/>
  <c r="G39" i="20" s="1"/>
  <c r="E40" i="20"/>
  <c r="F40" i="20"/>
  <c r="G40" i="20" s="1"/>
  <c r="E41" i="20"/>
  <c r="F41" i="20"/>
  <c r="G41" i="20" s="1"/>
  <c r="E42" i="20"/>
  <c r="F42" i="20"/>
  <c r="G42" i="20" s="1"/>
  <c r="E43" i="20"/>
  <c r="F43" i="20"/>
  <c r="G43" i="20" s="1"/>
  <c r="E44" i="20"/>
  <c r="F44" i="20"/>
  <c r="G44" i="20" s="1"/>
  <c r="E45" i="20"/>
  <c r="F45" i="20"/>
  <c r="G45" i="20" s="1"/>
  <c r="E46" i="20"/>
  <c r="F46" i="20"/>
  <c r="G46" i="20" s="1"/>
  <c r="E47" i="20"/>
  <c r="F47" i="20"/>
  <c r="G47" i="20" s="1"/>
  <c r="E48" i="20"/>
  <c r="F48" i="20"/>
  <c r="G48" i="20" s="1"/>
  <c r="E49" i="20"/>
  <c r="F49" i="20"/>
  <c r="G49" i="20" s="1"/>
  <c r="E50" i="20"/>
  <c r="F50" i="20"/>
  <c r="G50" i="20" s="1"/>
  <c r="E51" i="20"/>
  <c r="F51" i="20"/>
  <c r="G51" i="20" s="1"/>
  <c r="E52" i="20"/>
  <c r="F52" i="20"/>
  <c r="G52" i="20" s="1"/>
  <c r="E53" i="20"/>
  <c r="F53" i="20"/>
  <c r="G53" i="20" s="1"/>
  <c r="E54" i="20"/>
  <c r="F54" i="20"/>
  <c r="G54" i="20" s="1"/>
  <c r="E55" i="20"/>
  <c r="F55" i="20"/>
  <c r="G55" i="20" s="1"/>
  <c r="E56" i="20"/>
  <c r="F56" i="20"/>
  <c r="G56" i="20" s="1"/>
  <c r="E57" i="20"/>
  <c r="F57" i="20"/>
  <c r="G57" i="20" s="1"/>
  <c r="F8" i="20"/>
  <c r="G8" i="20" s="1"/>
  <c r="E8" i="20"/>
  <c r="G3" i="20" l="1"/>
  <c r="G4" i="20" s="1"/>
  <c r="G5" i="20" s="1"/>
</calcChain>
</file>

<file path=xl/sharedStrings.xml><?xml version="1.0" encoding="utf-8"?>
<sst xmlns="http://schemas.openxmlformats.org/spreadsheetml/2006/main" count="3622" uniqueCount="1059">
  <si>
    <t>No</t>
    <phoneticPr fontId="1" type="noConversion"/>
  </si>
  <si>
    <t>코드</t>
    <phoneticPr fontId="1" type="noConversion"/>
  </si>
  <si>
    <t>문제</t>
    <phoneticPr fontId="1" type="noConversion"/>
  </si>
  <si>
    <t>정답</t>
    <phoneticPr fontId="1" type="noConversion"/>
  </si>
  <si>
    <t>오답
횟수</t>
    <phoneticPr fontId="1" type="noConversion"/>
  </si>
  <si>
    <t>1-2023-101</t>
    <phoneticPr fontId="1" type="noConversion"/>
  </si>
  <si>
    <t>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t>
    <phoneticPr fontId="1" type="noConversion"/>
  </si>
  <si>
    <t>1-2023-102</t>
  </si>
  <si>
    <t>1-2023-103</t>
  </si>
  <si>
    <t>103. 경영환경을 일반환경과 과업환경으로 구분할 때, 기업에게 직접적인 영향을 주는 과업환경에 해당하는 것은?
① 정치적 환경
② 경제적 환경
③ 기술적 환경
④ 경쟁자
⑤ 사회문화적 환경</t>
    <phoneticPr fontId="1" type="noConversion"/>
  </si>
  <si>
    <t>1-2023-104</t>
  </si>
  <si>
    <t>104. 민츠버그(H. Mintzberg)의 5가지 조직유형에 해당하지 않는 것은?
① 매트릭스 조직
② 기계적 관료제
③ 전문적 관료제
④ 애드호크라시
⑤ 사업부제 조직</t>
    <phoneticPr fontId="1" type="noConversion"/>
  </si>
  <si>
    <t>1-2023-105</t>
  </si>
  <si>
    <t>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t>
    <phoneticPr fontId="1" type="noConversion"/>
  </si>
  <si>
    <t>1-2023-106</t>
  </si>
  <si>
    <t>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t>
    <phoneticPr fontId="1" type="noConversion"/>
  </si>
  <si>
    <t>1-2023-107</t>
  </si>
  <si>
    <t>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t>
    <phoneticPr fontId="1" type="noConversion"/>
  </si>
  <si>
    <t>1-2023-108</t>
  </si>
  <si>
    <t>1-2023-109</t>
  </si>
  <si>
    <t>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t>
    <phoneticPr fontId="1" type="noConversion"/>
  </si>
  <si>
    <t>1-2023-110</t>
  </si>
  <si>
    <t>1-2023-111</t>
  </si>
  <si>
    <t>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t>
    <phoneticPr fontId="1" type="noConversion"/>
  </si>
  <si>
    <t>1-2023-112</t>
  </si>
  <si>
    <t>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t>
    <phoneticPr fontId="1" type="noConversion"/>
  </si>
  <si>
    <t>1-2023-113</t>
  </si>
  <si>
    <t>113. 로저스(E. Rogers)의 혁신에 대한 수용자 유형이 아닌 것은?
① 혁신자(innovators)
② 조기수용자(early adopters)
③ 후기수용자(late adopters)
④ 조기다수자(early majority)
⑤ 후기다수자(late majority)</t>
    <phoneticPr fontId="1" type="noConversion"/>
  </si>
  <si>
    <t>1-2023-114</t>
  </si>
  <si>
    <t>114. (주)한국의 매출 및 매출채권 자료가 다음과 같을 때, 매출채권의 평균회수시간은? (단, 1년은 360일로 가정한다.)
매출액            ￦3,000,000
기초매출채권        150,000
기말매출채권        100,000
① 10일
② 15일
③ 18일
④ 20일
⑤ 24일</t>
    <phoneticPr fontId="1" type="noConversion"/>
  </si>
  <si>
    <t>1-2023-115</t>
  </si>
  <si>
    <t>1-2023-116</t>
  </si>
  <si>
    <t>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t>
    <phoneticPr fontId="1" type="noConversion"/>
  </si>
  <si>
    <t>1-2023-117</t>
  </si>
  <si>
    <t>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t>
    <phoneticPr fontId="1" type="noConversion"/>
  </si>
  <si>
    <t>1-2023-118</t>
  </si>
  <si>
    <t>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t>
    <phoneticPr fontId="1" type="noConversion"/>
  </si>
  <si>
    <t>1-2023-119</t>
  </si>
  <si>
    <t>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t>
    <phoneticPr fontId="1" type="noConversion"/>
  </si>
  <si>
    <t>1-2023-120</t>
  </si>
  <si>
    <t>1-2023-121</t>
  </si>
  <si>
    <t>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t>
    <phoneticPr fontId="1" type="noConversion"/>
  </si>
  <si>
    <t>1-2023-122</t>
  </si>
  <si>
    <t>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t>
    <phoneticPr fontId="1" type="noConversion"/>
  </si>
  <si>
    <t>1-2023-123</t>
  </si>
  <si>
    <t>123. 현행 K - IFRS에 의한 재무제표에 해당하지 않는 것은?
① 재무상태변동표
② 포괄손익계산서
③ 자본변동표
④ 현금흐름표
⑤ 주석</t>
    <phoneticPr fontId="1" type="noConversion"/>
  </si>
  <si>
    <t>1-2023-124</t>
  </si>
  <si>
    <t>124. 일반 사용자의 컴퓨터 시스템 접근을 차단한 후, 접근을 허용하는 조건으로 대가를 요구하는 악성코드는?
① 스니핑(sniffing)
② 랜섬웨어(ransomware)
③ 스팸웨어(spamware)
④ 피싱(phishing)
⑤ 파밍(pharming)</t>
    <phoneticPr fontId="1" type="noConversion"/>
  </si>
  <si>
    <t>1-2023-125</t>
  </si>
  <si>
    <t>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t>
    <phoneticPr fontId="1" type="noConversion"/>
  </si>
  <si>
    <t>1-2021-101</t>
    <phoneticPr fontId="1" type="noConversion"/>
  </si>
  <si>
    <t>101. 페이욜(H. Fayol)의 일반적 관리원칙에 해당하지 않는 것은?
① 지휘의 통일성
② 직무의 분업화
③ 보상의 공정성
④ 조직의 분권화
⑤ 권한과 책임의 일치</t>
    <phoneticPr fontId="1" type="noConversion"/>
  </si>
  <si>
    <t>1-2021-102</t>
  </si>
  <si>
    <t>102. 다음의 특성에 해당되는 기업집중 형태는?
○ 주식 소유, 금융적 방법 등에 의한 결합
○ 외형상으로 독립성이 유지되지만 실질적으로는 종속관계
○ 모회사와 자회사 형태로 존재
① 카르텔(cartel)
② 콤비나트(combinat)
③ 트러스트(trust)
④ 콘체른(concern)
⑤ 디베스티처(divestiture)</t>
    <phoneticPr fontId="1" type="noConversion"/>
  </si>
  <si>
    <t>1-2021-103</t>
  </si>
  <si>
    <t>103. 캐롤(B. A. Carrol)의 피라미드 모형에서 제시된 기업의 사회적 책임의 단계로 옳은 것은?
① 경제적 책임 → 법적 책임 → 윤리적 책임 → 자선적 책임
② 경제적 책임 → 윤리적 책임 → 법적 책임 → 자선적 책임
③ 경제적 책임 → 자선적 책임 → 윤리적 책임 → 법적 책임
④ 경제적 책임 → 법적 책임 → 자선적 책임 → 윤리적 책임
⑤ 경제적 책임 → 윤리적 책임 → 자선적 책임 → 법적 책임</t>
    <phoneticPr fontId="1" type="noConversion"/>
  </si>
  <si>
    <t>1-2021-104</t>
  </si>
  <si>
    <t>104. GE/ 맥킨지 매트릭스(GE/McKinsey matrix)에서 전략적 사업부를 분류하기 위한 두 기준은? 
① 산업매력도 - 사업단위 위치(경쟁력)
② 시장성장률 - 시장점유율
③ 산업매력도 - 시장성장률
④ 사업단위 위치(경쟁력) - 시장점유율
⑤ 시장점유율 - 가격경쟁력</t>
    <phoneticPr fontId="1" type="noConversion"/>
  </si>
  <si>
    <t>1-2021-105</t>
  </si>
  <si>
    <t>105. 허츠버그(F. Herzberg)의 2요인이론에서 위생요인에 해당하는 것은? 
① 성취감
② 도전감
③ 임금
④ 성장가능성
⑤ 직무내용</t>
    <phoneticPr fontId="1" type="noConversion"/>
  </si>
  <si>
    <t>1-2021-106</t>
  </si>
  <si>
    <t>106. 전통적 직무설계와 관련 없는 것은?
① 분업
② 과학적 관리
③ 전문화
④ 표준화
⑤ 직무순환</t>
    <phoneticPr fontId="1" type="noConversion"/>
  </si>
  <si>
    <t>1-2021-107</t>
  </si>
  <si>
    <t>107. 인사평가의 분배적 오류에 해당하는 것은?
① 후광효과
② 상동적 태도
③ 관대화 경향
④ 대비오류
⑤ 확증편향</t>
    <phoneticPr fontId="1" type="noConversion"/>
  </si>
  <si>
    <t>1-2021-108</t>
  </si>
  <si>
    <t>108. 교육참가자들이 소규모 집단을 구성하여 팀워크로 경영상의 실제 문제를 해결하도록 하여 문제해결과정에 대한 성찰을 통해 학습하게 하는 교육방식은?
① Team Learning
② Organizational Learning
③ Problem Based Learning
④ Blended Learning
⑤ Action Learning</t>
    <phoneticPr fontId="1" type="noConversion"/>
  </si>
  <si>
    <t>1-2021-109</t>
  </si>
  <si>
    <t>109. 마키아벨리즘(Machiavellism)에 관한 설명으로 옳지 않은 것은?
① 마키아벨리즘은 자신의 이익을 위해 타인을 이용하고 조작하려는 성향이다.
② 마키아벨리즘이 높은 사람은 감정적 거리를 잘 유지한다.
③ 마키아벨리즘이 높은 사람은 남을 잘 설득하며 자신도 잘 설득된다.
④ 마키아벨리즘이 높은 사람은 최소한의 규정과 재량권이 있을 때 높은 성과를 보이는 경향이 있다.
⑤ 마키아벨리즘이 높은 사람은 목적이 수단을 정당화시킬 수 있다고 믿는 경향이 있다.</t>
    <phoneticPr fontId="1" type="noConversion"/>
  </si>
  <si>
    <t>1-2021-110</t>
  </si>
  <si>
    <t>1-2021-111</t>
  </si>
  <si>
    <t>111. 직무특성모형(Job Characteristics Model)의 핵심직무차원에 포함되지 않는 것은?
① 성장욕구 강도(Growth Need Strength)
② 과업정체성(Task Identity)
③ 과업중요성(Task Significance)
④ 자율성(Autonomy)
⑤ 피드백(Feedback)</t>
    <phoneticPr fontId="1" type="noConversion"/>
  </si>
  <si>
    <t>1-2021-112</t>
  </si>
  <si>
    <t>1-2021-113</t>
  </si>
  <si>
    <t>113. 선매품(Shopping Goods)에 관한 설명으로 옳은 것은? 
① 소비자가 필요하다고 느낄 때 수시로 구매하는 경향을 보인다.
② 소비자는 가격, 품질, 스타일 등 다양한 정보를 수집하여 신중하게 비교하는 경향을 보인다.
③ 소비자는 잘 알지 못하거나 알고 있어도 능동적으로 구매하려 하지 않는다.
④ 일상생활에서 빈번히 구매하는 저관여 제품들이 많다.
⑤ 독특한 특징을 지니거나 브랜드 차별성을 지니는 제품들이 많다.</t>
    <phoneticPr fontId="1" type="noConversion"/>
  </si>
  <si>
    <t>1-2021-114</t>
  </si>
  <si>
    <t>1-2021-115</t>
  </si>
  <si>
    <t>115. 서비스의 특성으로 옳지 않은 것은? 
① 무형성
② 비분리성
③ 반응성
④ 소멸성
⑤ 변동성(이질성)</t>
    <phoneticPr fontId="1" type="noConversion"/>
  </si>
  <si>
    <t>1-2021-116</t>
  </si>
  <si>
    <t>116. 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
① A, B, C
② A, C, B
③ B, A, C
④ C, A, B
⑤ C, B, A</t>
    <phoneticPr fontId="1" type="noConversion"/>
  </si>
  <si>
    <t>1-2021-117</t>
  </si>
  <si>
    <t>117. 증권시장선(SML)과 자본시장선(CML)에 관한 설명으로 옳지 않은 것은?
① 증권시장선의 기울기는 표준편차로 측정된 위험 1단위에 대한 균형가격을 의미한다.
② 증권시장선 아래에 위치한 자산은 과대평가된 자산이다.
③ 자본시장선은 효율적 자산의 기대수익률과 표준편차의 선형관계를 나타낸다.
④ 자본시장선에 위치한 위험자산은 무위험자산과 시장포트폴리오의 결합으로 구성된 자산이다.
⑤ 자본시장선에 위치한 위험자산과 시장포트폴리오의 상관계수는 1이다.</t>
    <phoneticPr fontId="1" type="noConversion"/>
  </si>
  <si>
    <t>1-2021-118</t>
  </si>
  <si>
    <t>118. 올해 말(t=1)에 예상되는 A사 보통주의 주당 배당금은 1,000원이며, 이후 배당금은 매년 10%씩 영구히 증가할 것으로 기대된다. 현재(t=0) A사 보통주의 주가(내재가치)가 10,000원이라고 할 경우 이 주식의 자본비용은?
① 10%
② 15%
③ 20%
④ 25%
⑤ 30%</t>
    <phoneticPr fontId="1" type="noConversion"/>
  </si>
  <si>
    <t>1-2021-119</t>
  </si>
  <si>
    <t>119. 주식 A와 B의 기대수익률은 각각 10%, 20%이다, 총 투자자금 중 40%를 주식 A에, 60%를 주식 B에 투자하여 구성한 포트폴리오 P의 기대수익률은?
① 15%
② 16%
③ 17%
④ 18%
⑤ 19%</t>
    <phoneticPr fontId="1" type="noConversion"/>
  </si>
  <si>
    <t>1-2021-120</t>
  </si>
  <si>
    <t>120. 식스시그마의 성공적 수행을 위한 5단계 활동으로 옳은 순서는?
① 계획 → 분석 → 측정 → 개선 → 평가
② 계획 → 분석 → 측정 → 평가 → 개선
③ 계획 → 측정 → 평가 → 통제 → 개선
④ 정의 → 측정 → 분석 → 개선 → 통제
⑤ 정의 → 측정 → 평가 → 통제 → 개선</t>
    <phoneticPr fontId="1" type="noConversion"/>
  </si>
  <si>
    <t>1-2021-121</t>
  </si>
  <si>
    <t>121. 공급자에서 기업 내 변환과정과 유통망을 거쳐 최종 고객에 이르기까지 자재, 제품, 서비스 및 정보의 흐름을 전체 시스템 관점에서 설계하고 관리하는 것은?
① EOQ
② MRP
③ TQM
④ SCM
⑤ FMS</t>
    <phoneticPr fontId="1" type="noConversion"/>
  </si>
  <si>
    <t>1-2021-122</t>
  </si>
  <si>
    <t>122. 공장을 신축하고자 1억원의 토지를 현금으로 취득한 거래가 재무제표 요소에 미치는 영향은?
① 자본의 감소, 자산의 감소
② 자산의 증가, 자산의 감소
③ 자산의 증가, 자본의 증가
④ 자산의 증가, 부채의 증가
⑤ 비용의 증가, 자산의 감소</t>
    <phoneticPr fontId="1" type="noConversion"/>
  </si>
  <si>
    <t>1-2021-123</t>
  </si>
  <si>
    <t>1-2021-124</t>
  </si>
  <si>
    <t>124. 재무상태표의 부채에 해당하지 않는 것은?
① 매입채무
② 선급비용
③ 선수금
④ 사채
⑤ 예수금</t>
    <phoneticPr fontId="1" type="noConversion"/>
  </si>
  <si>
    <t>1-2021-125</t>
  </si>
  <si>
    <t>125. 급여계산, 고객주문처리, 재고관리 등 일상적이고 반복적인 과업을 주로 수행하는 정보시스템은?
① EIS
② DSS
③ ES
④ SIS
⑤ TPS</t>
    <phoneticPr fontId="1" type="noConversion"/>
  </si>
  <si>
    <t>1-2020-101</t>
    <phoneticPr fontId="1" type="noConversion"/>
  </si>
  <si>
    <t>1-2020-102</t>
  </si>
  <si>
    <t>102. (주)한국은 정부의 대규모 사업에 참여하면서 다수 기업과 공동출자를 하고자 한다. 이 전략 유형에 해당하는 것은?
① 우회전략(Turnaround Strategy)
② 집중전략(Concentration Strategy)
③ 프랜차이징(Franchsing)
④ 컨소시엄(Consortium)
⑤ 포획전략(Captive Strategy)</t>
    <phoneticPr fontId="1" type="noConversion"/>
  </si>
  <si>
    <t>1-2020-103</t>
  </si>
  <si>
    <t>103. 매트릭스 조직의 장점에 해당하지 않는 것은?
① 구성원들 간 갈등해결 용이
② 환경 불확실성에 신속한 대응
③ 인적자원의 유연한 활용
④ 제품 다양성 확보
⑤ 구성원들의 역량향상 기회 제공</t>
    <phoneticPr fontId="1" type="noConversion"/>
  </si>
  <si>
    <t>1-2020-104</t>
  </si>
  <si>
    <t>104. 사용자가 노동조합의 정당한 활동을 방해하는 것은?
① 태업
② 단체교섭
③ 부당노동행위
④ 노동쟁의
⑤ 준법투쟁</t>
    <phoneticPr fontId="1" type="noConversion"/>
  </si>
  <si>
    <t>1-2020-105</t>
  </si>
  <si>
    <t>105. 하우스(R. House)가 제시한 경로-목표이론의 리더십 유형에 해당하지 않는 것은?
① 권한위임적 리더십
② 지시적 리더십
③ 지원적 리더십
④ 성취지향적 리더십
⑤ 참가적 리더십</t>
    <phoneticPr fontId="1" type="noConversion"/>
  </si>
  <si>
    <t>1-2020-106</t>
  </si>
  <si>
    <t>1-2020-107</t>
  </si>
  <si>
    <t>107. 기업의 사회적 책임 중에서 제1의 책임에 해당하는 것은?
① 법적 책임
② 경제적 책임
③ 윤리적 책임
④ 자선적 책임
⑤ 환경적 책임</t>
    <phoneticPr fontId="1" type="noConversion"/>
  </si>
  <si>
    <t>1-2020-108</t>
  </si>
  <si>
    <t>108. 파스칼(R. Pascale)과 피터스(T. Peters)의 조직문화 7S 중 다른 요소들을 연결시켜 주는 핵심적인 요소는?
① 전략(Strategy)
② 관리기술(Skill)
③ 공유가치(Shared Value)
④ 관리시스템(System)
⑤ 구성원(Staff)</t>
    <phoneticPr fontId="1" type="noConversion"/>
  </si>
  <si>
    <t>1-2020-109</t>
  </si>
  <si>
    <t>109. 브룸(V. Vroom)이 제시한 기대이론의 작동순서로 올바른 것은?
① 기대감 → 수단성 → 유의성
② 기대감 → 유의성 → 수단성
③ 수단성 → 유의성 → 기대감
④ 유의성 → 수단성 → 기대감
⑤ 유의성 → 기대감 → 수단성</t>
    <phoneticPr fontId="1" type="noConversion"/>
  </si>
  <si>
    <t>1-2020-110</t>
  </si>
  <si>
    <t>110. MBO에서 목표설정 시 SMART 원칙으로 옳지 않은 것은?
① 구체적(Specific)이어야 한다.
② 측정가능(Measurable)하여야 한다.
③ 조직목표와의 일치성(Aligned with Organizational Goals)이 있어야 한다.
④ 현실적이며 결과지향적(Realistic and Result-Oriented)이어야 한다.
⑤ 훈련가능(Trainable)하여야 한다.</t>
    <phoneticPr fontId="1" type="noConversion"/>
  </si>
  <si>
    <t>1-2020-111</t>
  </si>
  <si>
    <t>111. (주)한국은 10,000원에 상당하는 두루마리 화장지 가격을 9,990원으로 책정하였다. 이러한 가격결정 방법은?
① 단수가격
② 명성가격
③ 총화가격
④ 촉진가격
⑤ 관습가격</t>
    <phoneticPr fontId="1" type="noConversion"/>
  </si>
  <si>
    <t>1-2020-112</t>
  </si>
  <si>
    <t>1-2020-113</t>
  </si>
  <si>
    <t>113. 마케팅 전략에 관한 설명으로 옳은 것은?
① 마케팅 비용을 절감하기 위해 차별화 마케팅 전략을 도입한다.
② 제품전문화 전략은 표적시장 선정전략의 일종이다.
③ 포지셔닝은 전체 시장을 목표로 하는 마케팅전략이다.
④ 제품의 확장속성이란 판매자가 제공하거나 구매자가 추구하는 본질적 편익을 말한다.
⑤ 시장세분화 전제조건으로서의 실질성이란 세분시장의 구매력 등이 측정가능해야 함을 의미한다.</t>
    <phoneticPr fontId="1" type="noConversion"/>
  </si>
  <si>
    <t>1-2020-114</t>
  </si>
  <si>
    <t>114. 포터(M. Porter)의 가치사슬(Value Chain)모델에서 주요활동(Primary Activities)에 해당하는 것은?
① 인적자원관리
② 서비스
③ 기술개발
④ 기획・재무
⑤ 법률자문</t>
  </si>
  <si>
    <t>1-2020-115</t>
  </si>
  <si>
    <t>1-2020-116</t>
  </si>
  <si>
    <t>116. 품질의 산포가 우연원인에 의한 것인지, 이상원인에 의한 것인지를 밝혀주는 역할을 하며, 제조공정의 상태를 파악하기 위해 공정관리에 이용되는 것은?
① 파레토도
② 관리도
③ 산포도
④ 특성요인도
⑤ 히스토그램</t>
    <phoneticPr fontId="1" type="noConversion"/>
  </si>
  <si>
    <t>1-2020-117</t>
  </si>
  <si>
    <t>1-2020-118</t>
  </si>
  <si>
    <t>1-2020-119</t>
  </si>
  <si>
    <t>119. 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
① 순현가법
② 수익성지수법
③ 회수기간법
④ 내부수익률법
⑤ 평균회계이익률법</t>
    <phoneticPr fontId="1" type="noConversion"/>
  </si>
  <si>
    <t>1-2020-120</t>
  </si>
  <si>
    <t>120. (주)한국의 총자산이 40억원, 비유동자산이 25억원, 유동부채가 10억원인 경우 유동비율은?
① 50%
② 70%
③ 100%
④ 150%
⑤ 200%</t>
    <phoneticPr fontId="1" type="noConversion"/>
  </si>
  <si>
    <t>1-2020-121</t>
  </si>
  <si>
    <t>121. 자본항목의 분류가 다른 것은?
① 주식할인발행차금
② 감자차손
③ 자기주식
④ 미교부주식배당금
⑤ 자기주식처분이익</t>
    <phoneticPr fontId="1" type="noConversion"/>
  </si>
  <si>
    <t>1-2020-122</t>
  </si>
  <si>
    <t>122. 부채에 관한 설명으로 옳지 않은 것은?
① 매입채무는 일반적인 상거래에서 발생한 외상매입금과 지급어음을 말한다.
② 예수금은 거래처나 종업원을 대신하여 납부기관에 납부할 때 소멸하는 부채이다.
③ 미지급금은 비유동자산의 취득 등 일반적인 상거래 이외에서 발생한 채무를 말한다.
④ 장기차입금의 상환기일이 결산일로부터 1년 이내에 도래하는 경우 유동성장기차입금으로 대체하고 유동부채로 분류한다.
⑤ 매입채무, 차입금, 선수금, 사채 등은 금융부채에 속한다.</t>
    <phoneticPr fontId="1" type="noConversion"/>
  </si>
  <si>
    <t>1-2020-123</t>
  </si>
  <si>
    <t>1-2020-124</t>
  </si>
  <si>
    <t>124. 전자(상)거래의 유형에 관한 설명으로 옳은 것은?
① B2E는 기업과 직원 간 전자(상)거래를 말한다.
② B2C는 소비자와 소비자 간 전자(상)거래를 말한다.
③ B2B는 기업 내 전자(상)거래를 말한다.
④ C2C는 기업과 소비자 간 전자(상)거래를 말한다.
⑤ C2G는 기업 간 전자(상)거래를 말한다.</t>
    <phoneticPr fontId="1" type="noConversion"/>
  </si>
  <si>
    <t>1-2020-125</t>
  </si>
  <si>
    <t>1-2019-101</t>
    <phoneticPr fontId="1" type="noConversion"/>
  </si>
  <si>
    <t>101. 테일러(F. W. Taylor)의 과학적 관리법에 관한 설명으로 옳지 않은 것은?
① 시간 및 동작 연구
② 기능적 직장제도
③ 집단중심의 보상
④ 과업에 적합한 종업원 선발과 훈련 강조
⑤ 고임금 저노무비 지향</t>
    <phoneticPr fontId="1" type="noConversion"/>
  </si>
  <si>
    <t>1-2019-102</t>
  </si>
  <si>
    <t>102. 매슬로우(A. H. Maslow)의 욕구단계이론에 관한 설명으로 옳지 않은 것은?
① 최하위 단계의 욕구는 생리적 욕구이다.
② 최상위 단계의 욕구는 자아실현 욕구이다.
③ 욕구계층을 5단계로 설명하고 있다.
④ 다른 사람으로부터 인정과 존경을 받고자 하는 욕구는 성장욕구에 속한다.
⑤ 하위단계의 욕구가 충족되어야 상위단계의 욕구를 충족시키기 위한 동기부여가 된다.</t>
    <phoneticPr fontId="1" type="noConversion"/>
  </si>
  <si>
    <t>1-2019-103</t>
  </si>
  <si>
    <t>103. 균형성과표(Balanced Score Card)에 해당하지 않는 것은?
① 고객 관점
② 내부 프로세스 관점
③ 사회적 책임 관점
④ 학습과 성장 관점
⑤ 재무 관점</t>
    <phoneticPr fontId="1" type="noConversion"/>
  </si>
  <si>
    <t>1-2019-104</t>
  </si>
  <si>
    <t>104. 강화계획(schedules of reinforcement)에서 불규칙한 횟수의 바람직한 행동 후 강화요인을 제공하는 기법은?
① 고정간격법
② 변동간격법
③ 고정비율법
④ 변동비율법
⑤ 연속강화법</t>
    <phoneticPr fontId="1" type="noConversion"/>
  </si>
  <si>
    <t>1-2019-105</t>
  </si>
  <si>
    <t>105. 아담스(J. S. Adams)의 공정성이론에서 조직구성원들이 개인적 불공정성을 시정(是正)하기 위한 방법에 해당하지 않는 것은?
① 투입의 변경
② 산출의 변경
③ 투입과 산출의 인지적 왜곡
④ 장(場) 이탈
⑤ 준거인물 유지</t>
    <phoneticPr fontId="1" type="noConversion"/>
  </si>
  <si>
    <t>1-2019-106</t>
  </si>
  <si>
    <t>106. 직무급의 특징에 관한 설명으로 옳지 않은 것은?
① 직무의 상대적 가치에 따라 개별임금이 결정된다.
② 능력주의 인사풍토 조성에 유리하다.
③ 인건비의 효율성이 증대된다.
④ 동일노동 동일임금 실현이 가능해진다.
⑤ 시행 절차가 간단하고 적용이 용이하다.</t>
    <phoneticPr fontId="1" type="noConversion"/>
  </si>
  <si>
    <t>1-2019-107</t>
  </si>
  <si>
    <t>107. 노동조합의 조직형태에 관한 설명으로 옳지 않은 것은?
① 직종별 노동조합은 동종 근로자 집단으로 조직되어 단결이 강화되고 단체교섭과 임금협상이 용이하다.
② 일반노동조합은 숙련근로자들의 최저생활조건을 확보하기 위한 조직으로 초기에 발달한 형태이다.
③ 기업별 노동조합은 조합원들이 동일기업에 종사하고 있으므로 근로조건을 획일적으로 적용하기가 용이하다.
④ 산업별 노동조합은 기업과 직종을 초월한 거대한 조직으로서 정책활동 등에 의해 압력단체로서의 지위를 가진다.
⑤ 연합체 조직은 각 지역이나 기업 또는 직종별 단위조합이 단체의 자격으로 지역적 내지 전국적 조직의 구성원이 되는 형태이다.</t>
    <phoneticPr fontId="1" type="noConversion"/>
  </si>
  <si>
    <t>1-2019-108</t>
  </si>
  <si>
    <t>108. 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
① ㄱ. 감정적 요소 ㄴ. 인지적 요소 ㄷ. 행동적 요소
② ㄱ. 감정적 요소 ㄴ. 행동적 요소 ㄷ. 인지적 요소
③ ㄱ. 인지적 요소 ㄴ. 행동적 요소 ㄷ. 감정적 요소
④ ㄱ. 인지적 요소 ㄴ. 감정적 요소 ㄷ. 행동적 요소
⑤ ㄱ. 행동적 요소 ㄴ. 감정적 요소 ㄷ. 인지적 요소</t>
    <phoneticPr fontId="1" type="noConversion"/>
  </si>
  <si>
    <t>1-2019-109</t>
  </si>
  <si>
    <t>109. 프렌치와 레이븐(French &amp; Raven)의 권력원천 분류에 따라 개인적 원천의 권력에 해당하는 것을 모두 고른 것은?
ㄱ. 강제적 권력
ㄴ. 준거적 권력
ㄷ. 전문적 권력
ㄹ. 합법적 권력
ㅁ. 보상적 권력
① ㄱ, ㄴ
② ㄴ, ㄷ
③ ㄷ, ㄹ
④ ㄹ, ㅁ
⑤ ㄱ, ㄴ, ㅁ</t>
    <phoneticPr fontId="1" type="noConversion"/>
  </si>
  <si>
    <t>1-2019-110</t>
  </si>
  <si>
    <t>110. 모집 방법 중 사내공모제(job posting system)의 특징에 관한 설명으로 옳지 않은 것은?
① 종업원의 상위직급 승진 기회가 제한된다.
② 외부 인력의 영입이 차단되어 조직이 정체될 가능성이 있다.
③ 지원자의 소속부서 상사와의 인간관계가 훼손될 수 있다.
④ 특정부서의 선발 시 연고주의를 고집할 경우 조직 내 파벌이 조성될 수 있다.
⑤ 선발과정에서 여러번 탈락되었을 때 지원자의 심리적 위축감이 고조된다.</t>
    <phoneticPr fontId="1" type="noConversion"/>
  </si>
  <si>
    <t>1-2019-111</t>
  </si>
  <si>
    <t>111. 인사고과의 오류 중 피고과자가 속한 사회적 집단에 대한 평가에 기초하여 판단하는 것은?
① 상동적 오류(stereotyping errors)
② 논리적 오류(logical errors)
③ 대비오류(contrast errors)
④ 근접오류(proximity errors)
⑤ 후광효과(halo effect)</t>
    <phoneticPr fontId="1" type="noConversion"/>
  </si>
  <si>
    <t>1-2019-112</t>
  </si>
  <si>
    <t>112. 집단의사결정의 특징에 관한 설명으로 옳지 않은 것은?
① 구성원으로부터 다양한 정보를 얻을 수 있다.
② 의사결정에 참여한 구성원들의 교육효과가 높게 나타난다.
③ 구성원의 합의에 의한 것이므로 수용도와 응집력이 높아진다.
④ 서로의 의견에 비판없이 동의하는 경향이 있다.
⑤ 차선책을 채택하는 오류가 발생하지 않는다.</t>
    <phoneticPr fontId="1" type="noConversion"/>
  </si>
  <si>
    <t>1-2019-113</t>
  </si>
  <si>
    <t>113. 생산성을 높이고, 유통을 효율화 시키는 등 주로 원가절감에 관심을 갖는 마케팅 개념은?
① 판매 개념
② 생산 개념
③ 관계마케팅 개념
④ 통합마케팅 개념
⑤ 내부마케팅 개념</t>
    <phoneticPr fontId="1" type="noConversion"/>
  </si>
  <si>
    <t>1-2019-114</t>
  </si>
  <si>
    <t>114. 수요가 공급을 초과할 때 수요를 감소시키는 것을 목적으로 하는 마케팅관리 기법은?
① 전환적 마케팅(conversional marketing)
② 동시화 마케팅(synchro marketing)
③ 자극적 마케팅(stimulative marketing)
④ 개발적 마케팅(developmental marketing)
⑤ 디마케팅(demarketing)</t>
    <phoneticPr fontId="1" type="noConversion"/>
  </si>
  <si>
    <t>1-2019-115</t>
  </si>
  <si>
    <t>115. 수직적 마케팅시스템(Vertical Marketing System) 중 소유권의 정도와 통제력이 강한 유형에 해당하는 것은?
① 계약형 VMS
② 기업형 VMS
③ 관리형 VMS
④ 협력형 VMS
⑤ 혼합형 VMS</t>
    <phoneticPr fontId="1" type="noConversion"/>
  </si>
  <si>
    <t>1-2019-116</t>
  </si>
  <si>
    <t>116. 소비자 심리에 근거한 가격결정 방법으로 옳지 않은 것은?
① 종속가격(captive pricing)
② 단수가격(odd pricing)
③ 준거가격(reference pricing)
④ 긍지가격(prestige pricing)
⑤ 관습가격(customary pricing)</t>
    <phoneticPr fontId="1" type="noConversion"/>
  </si>
  <si>
    <t>1-2019-117</t>
  </si>
  <si>
    <t>117. (주)한국의 유동자산은 1,200,000원이고, 유동비율과 당좌비율은 각각 200%와 150%이다. (주)한국의 재고자산은?
① 300,000원
② 600,000원
③ 900,000원
④ 1,800,000원
⑤ 2,400,000원</t>
    <phoneticPr fontId="1" type="noConversion"/>
  </si>
  <si>
    <t>1-2019-118</t>
  </si>
  <si>
    <t>118. 투자안의 경제성분석방법 중 화폐의 시간가치를 고려한 방법을 모두 고른 것은?
ㄱ. 회수기간법
ㄴ. 수익성지수법
ㄷ. 회계적이익률법
ㄹ. 순현재가치법
ㅁ. 내부수익률법
① ㄱ, ㄴ
② ㄱ, ㄹ
③ ㄴ, ㄷ
④ ㄴ, ㄹ, ㅁ
⑤ ㄷ, ㄹ, ㅁ</t>
    <phoneticPr fontId="1" type="noConversion"/>
  </si>
  <si>
    <t>1-2019-119</t>
  </si>
  <si>
    <t>119. (주)한국의 자기자본 시장가치와 타인자본 시장가치는 각각 5억원이다. 자기자본 비용은 16%이고, 세전타인자본비용은 12%이다. 법인세율이 50%일 때 (주)한국의 가중평균자본비용(WACC)은?
① 6%
② 8%
③ 11%
④ 13%
⑤ 15%</t>
    <phoneticPr fontId="1" type="noConversion"/>
  </si>
  <si>
    <t>1-2019-120</t>
  </si>
  <si>
    <t>120. (주)한국의 A부품에 대한 연간수요는 4,000개이며, A부품 구입가격은 단위당 8,000원이다. 1회당 주문비용은 4,000원이고, 단위당 연간 재고유지비용은 구입가격의 10%일 때 A부품의 경제적 주문량(EOQ)은?
① 100개
② 200개
③ 300개
④ 400개
⑤ 600개</t>
    <phoneticPr fontId="1" type="noConversion"/>
  </si>
  <si>
    <t>1-2019-121</t>
  </si>
  <si>
    <t>121. 수요예측기법 중 인과형 예측기법(causal forecasting methods)에 해당하는 것은?
① 델파이법
② 패널동의법
③ 회귀분석법
④ 판매원 의견종합법
⑤ 자료유추법</t>
    <phoneticPr fontId="1" type="noConversion"/>
  </si>
  <si>
    <t>1-2019-122</t>
  </si>
  <si>
    <t>122. 포괄손익계산서의 계정에 해당하지 않는 것은?
① 감가상각비
② 광고비
③ 매출원가
④ 자기주식처분이익
⑤ 유형자산처분이익</t>
    <phoneticPr fontId="1" type="noConversion"/>
  </si>
  <si>
    <t>1-2019-123</t>
  </si>
  <si>
    <t>123. (주)한국(결산일: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
① 처분이익 20,000원
② 처분손실 20,000원
③ 처분이익 100,000원
④ 처분손실 100,000원
⑤ 처분손실 300,000원</t>
    <phoneticPr fontId="1" type="noConversion"/>
  </si>
  <si>
    <t>1-2019-124</t>
  </si>
  <si>
    <t>124. 다음 중 자본잉여금에 해당하는 항목은?
① 미교부주식배당금
② 법정적립금
③ 임의적립금
④ 미처분이익잉여금
⑤ 주식발행초과금</t>
    <phoneticPr fontId="1" type="noConversion"/>
  </si>
  <si>
    <t>1-2019-125</t>
  </si>
  <si>
    <t>125. 스마트폰에 신용카드 등의 금융정보를 담아 10 ~ 15 cm의 근거리에서 결제를 가능하게 하는 무선통신기술은?
① 블루투스(Bluetooth)
② GPS(Global Positioning System)
③ NFC(Near Field Communication)
④ IoT(Internet of Things)
⑤ 텔레매틱스(Telematics)</t>
    <phoneticPr fontId="1" type="noConversion"/>
  </si>
  <si>
    <t>1-2018-101</t>
    <phoneticPr fontId="1" type="noConversion"/>
  </si>
  <si>
    <t>101. 동종 또는 유사업종의 기업들이 법적, 경제적 독립성을 유지하면서 협정을 통해 수평적으로 결합하는 형태는?
① 지주회사(Holding Company)
② 카르텔(Cartel)
③ 컨글로메리트(Conglomerate)
④ 트러스트(Trust)
⑤ 콘체른(Concern)</t>
    <phoneticPr fontId="1" type="noConversion"/>
  </si>
  <si>
    <t>1-2018-102</t>
  </si>
  <si>
    <t>102. 포터(M. Porter)의 경쟁전략 유형에 해당하는 것은?
① 차별화(Differentitaion) 전략
② 블루오션(Blue Ocean) 전략
③ 방어자(Defender) 전략
④ 반응자(Reactor) 전략
⑤ 분석자(Analyzer) 전략</t>
    <phoneticPr fontId="1" type="noConversion"/>
  </si>
  <si>
    <t>1-2018-103</t>
  </si>
  <si>
    <t>1-2018-104</t>
  </si>
  <si>
    <t>104. 평가센터법(Assessment Center)에 관한 설명으로 옳지 않은 것은?
① 평가에 대한 신뢰성이 양호하다.
② 승진에 대한 의사결정에 유용하다.
③ 교육훈련에 대한 타당성이 높다.
④ 평가센터에 초대받지 못한 종업원의 심리적 저항이 예상된다.
⑤ 다른 평가기법에 비해 상대적으로 비용과 시간이 적게 소요된다.</t>
    <phoneticPr fontId="1" type="noConversion"/>
  </si>
  <si>
    <t>1-2018-105</t>
  </si>
  <si>
    <t>105. 최저임금제의 필요성으로 옳지 않은 것은?
① 계약자유 원칙의 한계 보완
② 저임금 노동자 보호
③ 임금인하 경쟁 방지
④ 유효수요 창출
⑤ 소비자 부담 완화</t>
    <phoneticPr fontId="1" type="noConversion"/>
  </si>
  <si>
    <t>1-2018-106</t>
  </si>
  <si>
    <t>106. 인사평가방법중 피평가자의 능력, 태도, 작업, 성과 등에 관련된 표준행동들을 제시하고 평가자가 해당 서술문을 대조하여 평가하는 방법은?
① 서열법
② 평정척도법
③ 체크리스트법
④ 중요사건기술법
⑤ 목표관리법</t>
    <phoneticPr fontId="1" type="noConversion"/>
  </si>
  <si>
    <t>1-2018-107</t>
  </si>
  <si>
    <t>107. 교육훈련 필요성을 파악하기 위한 일반적인 분석방법이 아닌 것은?
① 전문가 자문법
② 역할연기법
③ 자료조사법
④ 면접법
⑤ 델파이기법</t>
    <phoneticPr fontId="1" type="noConversion"/>
  </si>
  <si>
    <t>1-2018-108</t>
  </si>
  <si>
    <t>108. 맥그리거(D. McGregor)의 X - Y이론은 인간에 대한 기본 가정에 따라 동기부여방식이 달라진다는 것이다. Y이론에 해당하는 가정 또는 동기부여방식이 아닌 것은?
① 문제해결을 위한 창조적 능력 보유
② 직무수행에 대한 분명한 지시
③ 조직목표 달성을 위한 자기 통제
④ 성취감과 자아실현 추구
⑤ 노동에 대한 자연스러운 수용</t>
    <phoneticPr fontId="1" type="noConversion"/>
  </si>
  <si>
    <t>1-2018-109</t>
  </si>
  <si>
    <t>1-2018-110</t>
  </si>
  <si>
    <t>110. 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
① 연봉제
② 개인성과급제
③ 임금피크제
④ 럭커 플랜
⑤ 스캔론 플랜</t>
    <phoneticPr fontId="1" type="noConversion"/>
  </si>
  <si>
    <t>1-2018-111</t>
  </si>
  <si>
    <t>111. 다음에서 설명하는 소비재는?
○ 특정 브랜드에 대한 고객 충성도가 높다.
○ 제품마다 고유한 특성을 지니고 있다.
○ 브랜드마다 차이가 크다.
○ 구매 시 많은 시간과 노력을 필요로 한다.
① 편의품(Convenience Goods)
② 선매품(Shopping Goods)
③ 전문품(Specialty Goods)
④ 자본재(Captical Items)
⑤ 원자재(Raw Materials)</t>
    <phoneticPr fontId="1" type="noConversion"/>
  </si>
  <si>
    <t>1-2018-112</t>
  </si>
  <si>
    <t>112. 신제품 가격결정방법 중 초기고가전략(Skimming Pricing)을 채택하기 어려운 이유는?
① 수요의 가격탄력성이 높은 경우
② 생산 및 마케팅 비용이 높은 경우
③ 경쟁자의 시장진입이 어려운 경우
④ 제품의 혁신성이 큰 경우
⑤ 독보적인 기술이 있는 경우</t>
    <phoneticPr fontId="1" type="noConversion"/>
  </si>
  <si>
    <t>1-2018-113</t>
  </si>
  <si>
    <t>113. 효과적인 시장세분화를 위한 요건으로 옳지 않은 것은?
① 측정가능성
② 충분한 시장 규모
③ 접근가능성
④ 세분시장 간의 동질성
⑤ 실행가능성</t>
    <phoneticPr fontId="1" type="noConversion"/>
  </si>
  <si>
    <t>1-2018-114</t>
  </si>
  <si>
    <t>114. 촉진믹스(Promotion Mix) 활동에 해당되지 않는 것은?
① 옥외광고
② 방문판매
③ 홍보
④ 가격할인
⑤ 개방적 유통</t>
    <phoneticPr fontId="1" type="noConversion"/>
  </si>
  <si>
    <t>1-2018-115</t>
  </si>
  <si>
    <t>115. A기업은 액면가액 10,000원, 만기 2년, 액면이자율 연 3%인 채권을 발행하였다. 시장이자율이 연 2%라면, 이 채권의 이론가격은? (단, 가격은 소수점 첫째 자리에서 반올림한다.)
① 9,194원
② 9,594원
③ 10,194원
④ 10,594원
⑤ 10,994원</t>
    <phoneticPr fontId="1" type="noConversion"/>
  </si>
  <si>
    <t>1-2018-116</t>
  </si>
  <si>
    <t>116. 자본예산은 투자로 인한 수익이 1년 이상에 걸쳐 장기적으로 실현될 투자결정에 관한 일련의 과정을 말한다. 투자안의 평가방법에 해당하지 않는 것은?
① 유동성분석법
② 수익성지수법
③ 순현재가치법
④ 내부수익률법
⑤ 회수기간법</t>
    <phoneticPr fontId="1" type="noConversion"/>
  </si>
  <si>
    <t>1-2018-117</t>
  </si>
  <si>
    <t>117. 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
① 90,910원
② 173,550원
③ 182,640원
④ 235,500원
⑤ 256,190원</t>
    <phoneticPr fontId="1" type="noConversion"/>
  </si>
  <si>
    <t>1-2018-118</t>
  </si>
  <si>
    <t>118. 최종품목 또는 완제품의 주생산일정계획(Master Production Schedule)을 기반으로 제품생산에 필요한 각종 원자재, 부품, 중간조립품의 주문량과 주문시기를 결정하는 재고관리방법은?
① 자재소요계획(MRP)
② 적시(JIT) 생산시스템
③ 린(Lean) 생산
④ 공급사슬관리(SCM)
⑤ 칸반(Kanban) 시스템</t>
    <phoneticPr fontId="1" type="noConversion"/>
  </si>
  <si>
    <t>1-2018-119</t>
  </si>
  <si>
    <t>1-2018-120</t>
  </si>
  <si>
    <t>120. 재고품목을 가치나 상대적 중요도에 따라 차별화하여 관리하는 ABC 재고관리에 관한 설명으로 옳은 것은?
① A등급은 재고가치가 낮은 품목들이 속한다.
② A등급 품목은 로트 크기를 크게 유지한다.
③ C등급 품목은 재고유지비가 높다.
④ ABC등급 분석을 위해 롱테일(Long Tail)법칙을 활용한다.
⑤ 가격, 사용량 등을 기준으로 등급을 구분한다.</t>
    <phoneticPr fontId="1" type="noConversion"/>
  </si>
  <si>
    <t>1-2018-121</t>
  </si>
  <si>
    <t>1-2018-122</t>
  </si>
  <si>
    <t>122. 당좌자산에 해당하는 것을 모두 고른 것은?
ㄱ. 현금
ㄴ. 보통예금
ㄷ. 투자부동산
ㄹ. 단기금융상품
① ㄱ, ㄴ
② ㄷ, ㄹ
③ ㄱ, ㄴ, ㄹ
④ ㄴ, ㄷ, ㄹ
⑤ ㄱ, ㄴ, ㄷ, ㄹ</t>
    <phoneticPr fontId="1" type="noConversion"/>
  </si>
  <si>
    <t>1-2018-123</t>
  </si>
  <si>
    <t>123. 재무상태표의 항목에 해당되지 않는 것은?
① 차입금
② 이익잉여금
③ 매출채권
④ 판매비
⑤ 재고자산</t>
    <phoneticPr fontId="1" type="noConversion"/>
  </si>
  <si>
    <t>1-2018-124</t>
  </si>
  <si>
    <t>1-2018-125</t>
  </si>
  <si>
    <t>1-2017-101</t>
    <phoneticPr fontId="1" type="noConversion"/>
  </si>
  <si>
    <t>101. 제품/시장 매트릭스(product/market matrix)에서 신제품을 가지고 신시장에 진출하는 성장전략은?
① 다각화 전략
② 제품개발 전략
③ 집중화 전략
④ 시장침투 전략
⑤ 시장개발 전략</t>
    <phoneticPr fontId="1" type="noConversion"/>
  </si>
  <si>
    <t>1-2017-102</t>
  </si>
  <si>
    <t>102. 경영이론의 주창자와 그 내용이 옳지 않은 것은?
① 테일러(Taylor): 차별적 성과급제
② 메이요(Mayo): 비공식 조직의 중시
③ 페이욜(Fayol): 권한과 책임의 원칙
④ 포드(Ford): 고임금 고가격의 원칙
⑤ 베버(Weber): 규칙과 절차의 중시</t>
    <phoneticPr fontId="1" type="noConversion"/>
  </si>
  <si>
    <t>1-2017-103</t>
  </si>
  <si>
    <t>103. 생산수량과 일정을 토대로 필요한 자재조달 계획을 수립하는 관리시스템은?
① CIM
② FMS
③ MRP
④ SCM
⑤ TQM</t>
    <phoneticPr fontId="1" type="noConversion"/>
  </si>
  <si>
    <t>1-2017-104</t>
  </si>
  <si>
    <t>1-2017-105</t>
  </si>
  <si>
    <t>1-2017-106</t>
  </si>
  <si>
    <t>106. 호손실험(Hawthorne experiment)의 순서가 바르게 나열된 것은?
ㄱ. 면접실험
ㄴ. 조명실험
ㄷ. 배전기 전선작업실 관찰
ㄹ. 계전기 조립실험
① ㄱ → ㄴ → ㄷ → ㄹ
② ㄱ → ㄹ → ㄷ → ㄴ
③ ㄴ → ㄹ → ㄱ → ㄷ
④ ㄴ → ㄹ → ㄷ → ㄱ
⑤ ㄹ → ㄱ → ㄷ → ㄴ</t>
    <phoneticPr fontId="1" type="noConversion"/>
  </si>
  <si>
    <t>1-2017-107</t>
  </si>
  <si>
    <t>107. 기대이론에서 동기부여를 유발하는 요인에 관한 설명으로 옳지 않은 것은?
① 수단성이 높아야 동기부여가 된다.
② 기대가 높아야 동기부여가 된다.
③ 조직에 대한 신뢰가 클수록 수단성이 높아진다.
④ 가치관에 부합되는 보상이 주어질수록 유의성이 높아진다.
⑤ 종업원들은 주어진 보상에 대하여 동일한 유의성을 갖는다.</t>
    <phoneticPr fontId="1" type="noConversion"/>
  </si>
  <si>
    <t>1-2017-108</t>
  </si>
  <si>
    <t>108. 리더십에 관한 설명으로 옳지 않은 것은?
① 거래적 리더십은 리더와 종업원 사이의 교환이나 거래관계를 통해 발휘된다.
② 서번트 리더십은 목표달성이라는 결과보다 구성원에 대한 서비스에 초점을 둔다.
③ 카리스마적 리더십은 비전달성을 위해 위험감수 등 비범한 행동을 보인다.
④ 변혁적 리더십은 장기비전을 제시하고 구성원들의 가치관 변화와 조직몰입을 증가시킨다.
⑤ 슈퍼 리더십은 리더가 종업원들을 관리하고 통제할 수 있는 힘과 기술을 가지도록 하는데 초점을 둔다.</t>
    <phoneticPr fontId="1" type="noConversion"/>
  </si>
  <si>
    <t>1-2017-109</t>
  </si>
  <si>
    <t>109. 질적 인력수요 예측기법에 해당하지 않는 것은?
① 브레인스토밍법
② 명목집단법
③ 시나리오 기법
④ 자격요건 분석법
⑤ 노동과학적 기법</t>
    <phoneticPr fontId="1" type="noConversion"/>
  </si>
  <si>
    <t>1-2017-110</t>
  </si>
  <si>
    <t>110. 종업원 선발을 위한 면접에 관한 설명으로 옳은 것은?
① 비구조화 면접은 표준화된 질문지를 사용한다.
② 집단 면접의 경우 맥락효과(context effect)가 발생할 수 있다.
③ 면접의 신뢰성과 타당성을 높이기 위해 면접내용 개발 단계에서 면접관이나 경영진을 배제한다.
④ 위원회 면접은 한명의 면접자가 여러 명의 피면접자를 평가하는 방식이다.
⑤ 스트레스 면접은 여러 시기에 걸쳐 여러 사람이 면접하는 방식이다.</t>
    <phoneticPr fontId="1" type="noConversion"/>
  </si>
  <si>
    <t>1-2017-111</t>
  </si>
  <si>
    <t>111. 노사관계에 관한 설명으로 옳지 않은 것은?
① 좁은 의미의 노사관계는 집단적 노사관계를 의미한다.
② 메인트넌스 숍(maintenance shop)은 조합원이 아닌 종업원에게도 노동조합비를 징수하는 제도이다.
③ 우리나라 노동조합의 조직형태는 기업별 노조가 대부분이다.
④ 사용자는 노동조합의 파업에 대응하여 직장을 폐쇄할 수 있다.
⑤ 채용이후 자동적으로 노동조합에 가입하는 제도는 유니온 숍(union shop)이다.</t>
    <phoneticPr fontId="1" type="noConversion"/>
  </si>
  <si>
    <t>1-2017-112</t>
  </si>
  <si>
    <t>112. 시장세분화에 관한 설명으로 옳지 않은 것은?
① 세분화된 시장 내에서는 이질성이 극대화 되도록 해야 한다.
② 효과적인 시장세분화를 위해서는 시장의 규모가 측정 가능해야 한다.
③ 나이, 성별, 소득은 인구통계학적 세분화 기준에 속한다.
④ 제품사용 상황, 추구편익은 행동적 세분화 기준에 속한다.
⑤ 라이프스타일, 성격은 심리도식적 세분화 기준에 속한다.</t>
    <phoneticPr fontId="1" type="noConversion"/>
  </si>
  <si>
    <t>1-2017-113</t>
  </si>
  <si>
    <t>113. A 사가 프린터를 저렴하게 판매한 후, 그 프린터의 토너를 비싼 가격으로 결정하는 방법은?
① 종속제품 가격결정(captive product pricing)
② 묶음 가격결정(bundle pricing)
③ 단수 가격결정(odd pricing)
④ 침투 가격결정(penetration pricing)
⑤ 스키밍 가격결정(skimming pricing)</t>
    <phoneticPr fontId="1" type="noConversion"/>
  </si>
  <si>
    <t>1-2017-114</t>
  </si>
  <si>
    <t>114. 제품 구성요소 중 유형제품(tangible product)에 해당하는 것은?
① 보증(guarantee)
② 상표명(brand name)
③ 대금결제방식(payment)
④ 배달(delivery)
⑤ 애프터 서비스(after service)</t>
    <phoneticPr fontId="1" type="noConversion"/>
  </si>
  <si>
    <t>1-2017-115</t>
  </si>
  <si>
    <t>115. 다음에서 증권시장선(SML)을 이용하여 A 주식의 균형기대수익률을 구한 값은?
○ 무위험이자율: 5%
○ 시장포트폴리오 기대수익률: 10%
○ A 주식의 베타: 1.2
① 5%
② 7%
③ 9%
④ 11%
⑤ 13%</t>
    <phoneticPr fontId="1" type="noConversion"/>
  </si>
  <si>
    <t>1-2017-116</t>
  </si>
  <si>
    <t>116. 자본자산가격결정모형(CAPM)의 가정으로 옳지 않은 것은?
① 투자자는 위험회피형 투자자이며 기대효용 극대화를 추구한다.
② 무위험자산이 존재하며, 무위험이자율로 무제한 차입 또는 대출이 가능하다.
③ 세금과 거래비용이 존재하는 불완전 자본시장이다.
④ 투자자는 평균 - 분산 기준에 따라 포트폴리오를 선택한다.
⑤ 모든 투자자는 투자대상의 미래 수익률의 확률분포에 대하여 동질적 예측을 한다.</t>
    <phoneticPr fontId="1" type="noConversion"/>
  </si>
  <si>
    <t>117. 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
① ㄱ, ㄴ
② ㄴ, ㄷ
③ ㄱ, ㄹ
④ ㄷ, ㄹ
⑤ ㄴ, ㄷ, ㄹ</t>
    <phoneticPr fontId="1" type="noConversion"/>
  </si>
  <si>
    <t>1-2017-118</t>
  </si>
  <si>
    <t>1-2017-119</t>
  </si>
  <si>
    <t>119. 회계감사의 감사의견에 포함되지 않는 것은?
① 적정 의견
② 부적정 의견
③ 한정 의견
④ 불한정 의견
⑤ 의견 거절</t>
    <phoneticPr fontId="1" type="noConversion"/>
  </si>
  <si>
    <t>1-2017-120</t>
  </si>
  <si>
    <t>120. 자본 항목에 해당하는 것은?
① 이익잉여금
② 사채
③ 영업권
④ 미수수익
⑤ 선수수익</t>
    <phoneticPr fontId="1" type="noConversion"/>
  </si>
  <si>
    <t>1-2017-121</t>
  </si>
  <si>
    <t>1-2017-122</t>
  </si>
  <si>
    <t>122. 다음이 설명하는 기법은?
○ 비구조적인 문제를 다루는데 유용하다.
○ 경험을 체계화하고 정형화하여 해결책을 발견한다.
① 팀 빌딩
② 휴리스틱
③ 군집분석
④ 회귀분석
⑤ 선형계획법</t>
    <phoneticPr fontId="1" type="noConversion"/>
  </si>
  <si>
    <t>1-2017-123</t>
  </si>
  <si>
    <t>123. 전사적 자원관리(ERP) 도입의 효과가 아닌 것은?
① 신기술 수용 및 활용
② 사업장 및 업무통합
③ 고객 이미지 개선
④ 정보 적시 제공
⑤ 업무프로세스 복잡화</t>
    <phoneticPr fontId="1" type="noConversion"/>
  </si>
  <si>
    <t>1-2017-124</t>
  </si>
  <si>
    <t>124. 모바일 비즈니스의 특성으로 옳지 않은 것은?
① 편재성
② 접근성
③ 고정성
④ 편리성
⑤ 접속성</t>
    <phoneticPr fontId="1" type="noConversion"/>
  </si>
  <si>
    <t>1-2017-125</t>
  </si>
  <si>
    <t>1-2016-101</t>
    <phoneticPr fontId="1" type="noConversion"/>
  </si>
  <si>
    <t>1-2016-102</t>
  </si>
  <si>
    <t>102. 매슬로우(A. H. Maslow)가 제시한 욕구단계이론의 내용이 아닌 것은?
① 권한위임에 대한 욕구
② 신체적 안전에 대한 욕구
③ 소속감이나 애정에 대한 욕구
④ 의식주에 대한 욕구
⑤ 존경받고 싶은 욕구</t>
    <phoneticPr fontId="1" type="noConversion"/>
  </si>
  <si>
    <t>1-2016-103</t>
  </si>
  <si>
    <t>1-2016-104</t>
  </si>
  <si>
    <t>104. 브릭스(BRICs)로 일컬어지는 신흥경제권 국가가 아닌 것은?
① 인도
② 캐나다
③ 러시아
④ 브라질
⑤ 중국</t>
    <phoneticPr fontId="1" type="noConversion"/>
  </si>
  <si>
    <t>1-2016-105</t>
  </si>
  <si>
    <t>105. 임금수준의 관리에 관한 설명으로 옳지 않은 것은?
① 대외적 공정성을 확보하기 위해서는 노동시장의 임금수준 파악이 필요하다.
② 기업의 임금 지불능력을 파악하는 기준으로 생산성과 수익성을 들 수 있다.
③ 임금수준 결정 시 선도전략은 유능한 종업원을 유인하는 효과가 크다.
④ 임금수준의 관리는 적정성의 원칙을 지향한다.
⑤ 임금수준의 하한선은 기업의 지불능력에 의하여 결정된다.</t>
    <phoneticPr fontId="1" type="noConversion"/>
  </si>
  <si>
    <t>1-2016-106</t>
  </si>
  <si>
    <t>106. 허츠버그(F. Herzberg)의 2요인이론에서 동기요인을 모두 고른 것은?
ㄱ. 상사와의 관계
ㄴ. 성취
ㄷ. 회사 정책 및 관리방침
ㄹ. 작업조건
ㅁ. 인정
① ㄱ, ㄴ
② ㄱ, ㅁ
③ ㄴ, ㄷ
④ ㄴ, ㅁ
⑤ ㄹ, ㅁ</t>
    <phoneticPr fontId="1" type="noConversion"/>
  </si>
  <si>
    <t>1-2016-107</t>
  </si>
  <si>
    <t>1-2016-108</t>
  </si>
  <si>
    <t>1-2016-109</t>
  </si>
  <si>
    <t>109. 인간관계론에 해당하는 내용은?
① 기획업무와 집행업무를 분리시킴으로써 계획과 통제의 개념 확립
② 시간 및 동작 연구를 통하여 표준 과업량 설정
③ 자연발생적으로 형성된 비공식 조직의 존재 인식
④ 과업에 적합한 근로자 선발 및 교육훈련 방법 고안
⑤ 전문기능별 책임자가 작업에 대한 분업적 지도 수행</t>
    <phoneticPr fontId="1" type="noConversion"/>
  </si>
  <si>
    <t>1-2016-110</t>
  </si>
  <si>
    <t>110. 직무기술서에 포함되는 사항이 아닌 것은?
① 요구되는 지식
② 작업 조건
③ 직무수행의 절차
④ 수행되는 과업
⑤ 직무수행의 방법</t>
    <phoneticPr fontId="1" type="noConversion"/>
  </si>
  <si>
    <t>1-2016-111</t>
  </si>
  <si>
    <t>111. 프렌치(J.R.P. French)와 레이븐(B. Raven)이 구분한 5가지 권력 유형이 아닌 것은?
① 합법적 권력
② 기회적 권력
③ 강제적 권력
④ 보상적 권력
⑤ 준거적 권력</t>
    <phoneticPr fontId="1" type="noConversion"/>
  </si>
  <si>
    <t>1-2016-112</t>
  </si>
  <si>
    <t>1-2016-113</t>
  </si>
  <si>
    <t>113. 보스턴 컨설팅 그룹(BCG)의 사업 포트폴리오 매트릭스에 관한 설명으로 옳은 것은?
① 산업의 매력도와 사업의 강점을 기준으로 분류한다.
② 물음표(Question Mark)에 속해 있는 사업단위는 투자가 필요하나 성장가능성은 낮다.
③ 개(Dog)에 속해 있는 사업단위는 확대전략이 필수적이다.
④ 별(Star)에 속해 있는 사업단위는 철수나 매각이 필수적이다.
⑤ 자금젖소(Cash Cow)에 속해 있는 사업단위는 수익이 높고 안정적이다.</t>
    <phoneticPr fontId="1" type="noConversion"/>
  </si>
  <si>
    <t>1-2016-114</t>
  </si>
  <si>
    <t>114. 마케팅 커뮤티케이션 활동인 촉진믹스(Promotion Mix)의 구성요소와 관련이 없는 것은?
① 선별적 유통점포 개설
② 구매시점 진열
③ PR(Public Relastions)
④ 광고
⑤ 인적판매</t>
    <phoneticPr fontId="1" type="noConversion"/>
  </si>
  <si>
    <t>1-2016-115</t>
  </si>
  <si>
    <t>115. 소비자들의 구매의사 결정과정을 순서대로 바르게 나열한 것은?
① 정보탐색 → 필요인식 → 대안평가 → 구매 → 구매 후 행동
② 정보탐색 → 필요인식 → 구매 → 대안평가 → 구매 후 행동
③ 정보탐색 → 대안평가 → 필요인식 → 구매 → 구매 후 행동
④ 필요인식 → 정보탐색 → 대안평가 → 구매 → 구매 후 행동
⑤ 대안평가 → 정보탐색 → 필요인식 → 구매 → 구매 후 행동</t>
    <phoneticPr fontId="1" type="noConversion"/>
  </si>
  <si>
    <t>1-2016-116</t>
  </si>
  <si>
    <t>116. 제품구매에 대한 심리적 불편을 겪게 되는 인지부조화(Cognitive Dissonance)에 관한 설명으로 옳은 것은?
① 반품이나 환불이 가능할 때 많이 발생한다.
② 구매제품의 만족수준에 정비례하여 발생한다.
③ 고관여 제품에서 많이 발생한다.
④ 제품구매 전에 경험하는 긴장감과 걱정의 감정을 뜻한다.
⑤ 사후서비스(A/S)가 좋을수록 많이 발생한다.</t>
    <phoneticPr fontId="1" type="noConversion"/>
  </si>
  <si>
    <t>1-2016-117</t>
  </si>
  <si>
    <t>117. 총자산회전율의 산식은?
① 매출액/매출채권
② 매출액/총자산
③ 순이익/자기자본
④ 총자산/매출액
⑤ 자기자본/순이기</t>
    <phoneticPr fontId="1" type="noConversion"/>
  </si>
  <si>
    <t>1-2016-118</t>
  </si>
  <si>
    <t>118. 주식에 관한 설명으로 옳지 않은 것은?
① 기업의 이익 중 일부를 주주에게 분배하는 것을 배당이라 한다.
② 기업은 발행한 보통주에 대한 상환의무를 갖지 않는다.
③ 주식은 자금조달이 필요한 경우 추가로 발행될 수 있다.
④ 모든 주식은 채권과 달리 액면가가 없다.
⑤ 주주는 투자한 금액 내에서 유한책임을 진다.</t>
    <phoneticPr fontId="1" type="noConversion"/>
  </si>
  <si>
    <t>1-2016-119</t>
  </si>
  <si>
    <t>119. 생산시스템 설계에 해당하는 것은?
① 일정관리
② 시설입지
③ 재고관리
④ 품질관리
⑤ 수요예측</t>
    <phoneticPr fontId="1" type="noConversion"/>
  </si>
  <si>
    <t>1-2016-120</t>
  </si>
  <si>
    <t>120. 해리스(F. W. Harris)가 제시한 EOQ(경제적 주문량) 모형의 가정으로 옳은 것은?
① 단일품목만을 대상으로 한다.
② 조달기간은 분기 단위로 변동한다.
③ 수량할인이 적용된다.
④ 연간수요량은 알 수 없다.
⑤ 주문비용은 주문량에 정비례한다.</t>
    <phoneticPr fontId="1" type="noConversion"/>
  </si>
  <si>
    <t>1-2016-121</t>
  </si>
  <si>
    <t>1-2016-122</t>
  </si>
  <si>
    <t>1-2016-123</t>
  </si>
  <si>
    <t>123. 경영정보시스템의 분석 및 설계 과정에서 수행하는 작업이 아닌 것은?
① 입력 자료의 내용, 양식, 형태, 분량 분석
② 출력물의 양식, 내용, 분량, 출력주기 정의
③ 시스템 테스트를 위한 테이터 준비, 시스템 수정
④ 자료가 출력되기 위해 필요한 수식연산, 비교연산, 논리연산 설계
⑤ 데이터베이스 구조 및 특성, 자료처리 분량 및 속도, 레코드 및 파일 구조 명세화</t>
    <phoneticPr fontId="1" type="noConversion"/>
  </si>
  <si>
    <t>1-2016-124</t>
  </si>
  <si>
    <t>124. 빅데이터 기술에 관한 설명으로 옳지 않은 것은?
① 관계형 데이터베이스인 NoSQL, Hbase 등을 분석에 활용한다.
② 구조화되지 않은 데이터도 분석 대상으로 한다.
③ 많은 양의 정보를 처리한다.
④ 빠르게 변화하거나 증가하는 데이터도 분석이 가능하다.
⑤ 제조업, 금융업, 유통업 등 다양한 분야에 활용된다.</t>
    <phoneticPr fontId="1" type="noConversion"/>
  </si>
  <si>
    <t>1-2016-125</t>
  </si>
  <si>
    <t>1-2015-101</t>
    <phoneticPr fontId="1" type="noConversion"/>
  </si>
  <si>
    <t>1-2015-102</t>
  </si>
  <si>
    <t>102. BCG의 성장-점유율 매트릭스에서 시장성장률은 낮고 상대적 시장점유율이 높은 영역은?
① Dog
② Star
③ Cash Cow
④ Problem Child
⑤ Question Mark</t>
    <phoneticPr fontId="1" type="noConversion"/>
  </si>
  <si>
    <t>1-2015-103</t>
  </si>
  <si>
    <t>103. 테일러(F. Taylor)의 과학적 관리의 특징으로 옳지 않은 것은?
① 과업관리
② 작업지도표 제도
③ 차별적 성과급제
④ 기능식 직장제도
⑤ 컨베이어 시스템</t>
    <phoneticPr fontId="1" type="noConversion"/>
  </si>
  <si>
    <t>1-2015-104</t>
  </si>
  <si>
    <t>104. 임금관리에 관한 설명으로 옳지 않은 것은?
① 임금체계는 공정성이 중요한 관심사이다.
② 연공급은 근속연수를 기준으로 임금을 차등화하는 제도이다.
③ 직무급은 직무의 표준화와 전문화가 선행되어야 한다.
④ 직능급은 동일 직무를 수행하면 동일 임금을 지급한다.
⑤ 임금수준을 결정하는 주요 요인에는 기업의 지불능력과 생산성 등이 있다.</t>
    <phoneticPr fontId="1" type="noConversion"/>
  </si>
  <si>
    <t>1-2015-105</t>
  </si>
  <si>
    <t>105. 수단성(instrumentality) 및 유의성(valence)을 포함한 동기부여이론은?
① 기대이론(expectancy theory)
② 2요인이론(two factor theory)
③ 강화이론(reinforcement theory)
④ 목표설정이론(goal setting theory)
⑤ 인지평가이론(cognitive evaluation theory)</t>
    <phoneticPr fontId="1" type="noConversion"/>
  </si>
  <si>
    <t>1-2015-106</t>
  </si>
  <si>
    <t>1-2015-107</t>
  </si>
  <si>
    <t>107. 선발시험 합격자들의 시험성적과 입사 후 일정 기간이 지나서 이들이 달성한 직무성과와의 상관관계를 측정하는 지표는?
① 신뢰도
② 대비효과
③ 현재타당도
④ 내용타당도
⑤ 예측타당도</t>
    <phoneticPr fontId="1" type="noConversion"/>
  </si>
  <si>
    <t>1-2015-108</t>
  </si>
  <si>
    <t>108. Big 5 모델에서 제시하는 다섯 가지 성격요소가 아닌 것은?
① 개방성(openness)
② 객관성(objectivity)
③ 외향성(extraversion)
④ 성실성(conscientiousness)
⑤ 정서적 안정성(emotional stability)</t>
    <phoneticPr fontId="1" type="noConversion"/>
  </si>
  <si>
    <t>1-2015-109</t>
  </si>
  <si>
    <t>109. Communication에서 전달된 메시지를 자신에게 주는 의미로 변환시키는 사고 과정은?
① 잡음(noise)
② 해독(decoding)
③ 반응(response)
④ 부호화(encoding)
⑤ 피드백(feedback)</t>
    <phoneticPr fontId="1" type="noConversion"/>
  </si>
  <si>
    <t>1-2015-110</t>
  </si>
  <si>
    <t>1-2015-111</t>
  </si>
  <si>
    <t>111. 조합원 및 비조합원 모두에게 조합비를 징수하는 shop제도는?
① open shop
② closed shop
③ agency shop
④ preferential shop
⑤ maintenance shop</t>
    <phoneticPr fontId="1" type="noConversion"/>
  </si>
  <si>
    <t>1-2015-112</t>
  </si>
  <si>
    <t>112. 표적시장에 관한 설명으로 옳지 않은 것은?
① 단일표적시장에는 집중적 마케팅전략을 구사한다.
② 다수표적시장에는 순환적 마케팅전략을 구사한다.
③ 통합표적시장에는 역세분화 마케팅전략을 구사한다.
④ 인적, 물적, 기술적 자원이 부족한 기업은 보통 집중적 마케팅전략을 구사한다.
⑤ 세분시장 평가 시에는 세분시장의 매력도, 기업의 목표와 자원 등을 고려해야 한다.</t>
    <phoneticPr fontId="1" type="noConversion"/>
  </si>
  <si>
    <t>1-2015-113</t>
  </si>
  <si>
    <t>113. 전형적인 제품수명주기(PLC)에 관한 설명으로 옳지 않은 것은?
① 도입기, 성장기, 성숙기, 쇠퇴기의 4단계로 나누어진다.
② 성장기에는 제품선호형 광고에서 정보제공형 광고로 전환한다.
③ 도입기에는 제품인지도를 높이기 위해 광고비가 많이 소요된다.
④ 성숙기에는 제품의 매출성장률이 점차적으로 둔화되기 시작한다.
⑤ 쇠퇴기에는 제품에 대해 유지전략, 수확전략, 철수전략 등을 고려할 수 있다.</t>
    <phoneticPr fontId="1" type="noConversion"/>
  </si>
  <si>
    <t>1-2015-114</t>
  </si>
  <si>
    <t>114. 통합적 마케팅 커뮤니케이션에 관한 설명 중 옳지 않은 것은?
① 강화광고는 기존 사용자에게 브랜드에 대한 확신과 만족도를 높여 준다.
② 가족 브랜딩(family branding)은 개별 브랜딩과는 달리 한 제품을 촉진하면 나머지 제품도 촉진된다는 이점이 있다.
③ 촉진에서 풀(pull) 정책은 제품에 대한 강한 수요를 유발할 목적으로 광고나 판매촉진 등을 활용하는 정책이다.
④ PR은 조직의 이해관계자들에게 호의적인 인상을 심어주기 위하여 홍보, 후원, 이벤트, 웹사이트 등을 사용하는 커뮤니케이션 방법이다.
⑤ 버즈(buzz) 마케팅은 소비자에게 메시지를 빨리 전파할 수 있게 이메일이나 모바일을 통하여 메시지를 공유한다.</t>
    <phoneticPr fontId="1" type="noConversion"/>
  </si>
  <si>
    <t>1-2015-115</t>
  </si>
  <si>
    <t>115. 투자안의 순현가를 0으로 만드는 수익률(할인율)은?
① 초과수익률
② 실질수익률
③ 경상수익률
④ 내부수익률
⑤ 명목수익률</t>
    <phoneticPr fontId="1" type="noConversion"/>
  </si>
  <si>
    <t>1-2015-116</t>
  </si>
  <si>
    <t>116. 매출액순이익률이 2%이고 총자본회전율이 5인 기업의 총자본순이익률은?
① 1%
② 2.5%
③ 5%
④ 7%
⑤ 10%</t>
    <phoneticPr fontId="1" type="noConversion"/>
  </si>
  <si>
    <t>1-2015-117</t>
  </si>
  <si>
    <t>117. 매년 말 200만원을 영원히 지급받는 영구연금의 현재가치는? (단, 연간이자율은 10%)
① 1,400만원
② 1,600만원
③ 1,800만원
④ 2,000만원
⑤ 2,200만원</t>
    <phoneticPr fontId="1" type="noConversion"/>
  </si>
  <si>
    <t>1-2015-118</t>
  </si>
  <si>
    <t>1-2015-119</t>
  </si>
  <si>
    <t>119. 생산관리의 전형적인 목표(과업)로 옳지 않은 것은?
① 촉진강화
② 품질향상
③ 원가절감
④ 납기준수
⑤ 유연성제고</t>
    <phoneticPr fontId="1" type="noConversion"/>
  </si>
  <si>
    <t>1-2015-120</t>
  </si>
  <si>
    <t>120. JIT(Just-in-time) 시스템의 특징으로 옳지 않은 것은?
① 푸쉬(push) 방식이다.
② 필요한 만큼의 자재만을 생산한다.
③ 공급자와 긴밀한 관계를 유지한다.
④ 가능한 한 소량 로트(lot) 크기를 사용하여 재고를 관리한다.
⑤ 생산지시와 자재이동을 가시적으로 통제하기 위한 방법으로 간판(Kanban)을 사용한다.</t>
    <phoneticPr fontId="1" type="noConversion"/>
  </si>
  <si>
    <t>1-2015-121</t>
  </si>
  <si>
    <t>121. 내용연수를 기준으로 초기에 비용을 많이 계상하는 감가상각방법은?
① 정액법
② 정률법
③ 선입선출법
④ 후입선출법
⑤ 저가법</t>
    <phoneticPr fontId="1" type="noConversion"/>
  </si>
  <si>
    <t>1-2015-122</t>
  </si>
  <si>
    <t>122. 액면가액 5,000원인 주식 100주를 발행하여 회사를 설립할 경우 올바른 분개는?
① (차) 현금 500,000 / (대) 부채 500,000
② (차) 자본금 500,000 / (대) 부채 500,000
③ (차) 자본금 500,000 / (대) 현금 500,000
④ (차) 현금 500,000 / (대) 자본금 500,000
⑤ (차) 부채 500,000 / (대) 자본금 500,000</t>
    <phoneticPr fontId="1" type="noConversion"/>
  </si>
  <si>
    <t>1-2015-123</t>
  </si>
  <si>
    <t>123. 재무상태표에서 비유동자산에 해당하는 계정과목은?
① 영업권
② 매입채무
③ 매출채권
④ 자기주식
⑤ 법정적립금</t>
    <phoneticPr fontId="1" type="noConversion"/>
  </si>
  <si>
    <t>1-2015-124</t>
  </si>
  <si>
    <t>124. 데이터 중복을 최소화하고 무결성을 극대화하며, 최상의 성능을 달성할 수 있도록 관계형 데이터베이스를 분석하고 효율화하는 과정을 지칭하는 용어는?
① 통합화(integration)
② 최적화(optimization)
③ 정규화(normalization)
④ 집중화(centralization)
⑤ 표준화(standardization)</t>
    <phoneticPr fontId="1" type="noConversion"/>
  </si>
  <si>
    <t>1-2015-125</t>
  </si>
  <si>
    <t>125. USB는 컴퓨터와 주변장치(키보드, 마우스, 메모리스틱 등)를 연결하는 장치이다. 여기서, USB는 U=Universal, S=Serial, B=( )의 약자이다. 괄호 안에 들어갈 단어는?
① Bit
② Bus
③ Box
④ Boot
⑤ Base</t>
    <phoneticPr fontId="1" type="noConversion"/>
  </si>
  <si>
    <t>1-2014-101</t>
    <phoneticPr fontId="1" type="noConversion"/>
  </si>
  <si>
    <t>101. 조직구성원들의 경영참여와 관련이 없는 것은?
① 분임조
② 제안제도
③ 성과배분제도
④ 종업원지주제도
⑤ 전문경영인제도</t>
    <phoneticPr fontId="1" type="noConversion"/>
  </si>
  <si>
    <t>1-2014-102</t>
  </si>
  <si>
    <t>102. 투자안의 경제성 평가방법에 관한 설명으로 옳은 것은?
① 회계적이익률법은 화폐의 시간적 가치를 고려한다.
② 회수기간법은 회수기간 이후의 현금흐름을 고려한다.
③ 내부수익률법은 평균이익률법이라고도 한다.
④ 순현재가치법에서는 가치의 가산원리가 적용된다.
⑤ 수익성지수법은 수익성지수가 0보다 커야 경제성이 있다.</t>
    <phoneticPr fontId="1" type="noConversion"/>
  </si>
  <si>
    <t>1-2014-103</t>
  </si>
  <si>
    <t>103. 산업재해의 원인 중 성격이 다른 것은?
① 건물, 기계설비, 장치의 결함
② 안전보호장치, 보호구의 오작동
③ 생산공정의 결함
④ 개인의 부주의, 불안정한 행동
⑤ 경계표시, 설비의 오류</t>
    <phoneticPr fontId="1" type="noConversion"/>
  </si>
  <si>
    <t>1-2014-104</t>
  </si>
  <si>
    <t>104. 채찍효과의 발생요인이 아닌 것은?
① 공급망의 단계별로 이루어지는 수요예측
② 일정기간 예상되는 물량에 대한 일괄주문방식
③ 판촉 및 세일 등으로 인한 가격변동
④ 공급을 초과하는 수요에 따른 구매자간 힘겨루기
⑤ 전자자료교환 사용</t>
    <phoneticPr fontId="1" type="noConversion"/>
  </si>
  <si>
    <t>1-2014-105</t>
  </si>
  <si>
    <t>105. 클라우드 컴퓨팅에 관한 설명으로 옳지 않은 것은?
① 인터넷기술을 활용하여 가상화된 IT자원을 서비스로 제공하는 방식이다.
② 사용자는 소프트웨어, 스토리지, 서버, 네트워크 등 다양한 IT자원을 필요한 만큼 빌려서 사용한다.
③ 조직의 모든 정보시스템의 중앙집중화로 막대한 IT자원을 필요로 한다.
④ 사용자 주문형 셀프서비스, 광범위한 네트워크 접속, 자원공유, 사용량 기반 과금제 등의 특징을 갖는다.
⑤ 단기간 필요한 서비스, 규모의 변화가 큰 서비스, 범용 애플리케이션을 구축하는 경우에 효과적이다.</t>
    <phoneticPr fontId="1" type="noConversion"/>
  </si>
  <si>
    <t>1-2014-106</t>
  </si>
  <si>
    <t>106. 매슬로우(Maslow)의 욕구단계를 순서대로 나열한 것은?
ㄱ. 생리욕구
ㄴ. 안전욕구
ㄷ. 소속욕구
ㄹ. 존경욕구
ㅁ. 자아실현욕구
① ㄱ - ㄴ - ㄷ - ㄹ - ㅁ
② ㄱ - ㄷ - ㄴ - ㄹ - ㅁ
③ ㄱ - ㄷ - ㄴ - ㅁ - ㄹ
④ ㄴ - ㄱ - ㄷ - ㄹ - ㅁ
⑤ ㄴ - ㄱ - ㄷ - ㅁ - ㄹ</t>
    <phoneticPr fontId="1" type="noConversion"/>
  </si>
  <si>
    <t>1-2014-107</t>
  </si>
  <si>
    <t>107. 차별화 전략의 원천에 해당되는 것은?
① 경험효과
② 규모의 경제
③ 투입요소 비용
④ 생산시설 활용도
⑤ 제품의 특성과 포지셔닝</t>
    <phoneticPr fontId="1" type="noConversion"/>
  </si>
  <si>
    <t>1-2014-108</t>
  </si>
  <si>
    <t>108. 변혁적 리더가 갖추어야 할 자질이 아닌 것은?
① 조건적 보상
② 비전제시 능력
③ 신뢰 확보
④ 비전전달 능력
⑤ 설득력과 지도력</t>
    <phoneticPr fontId="1" type="noConversion"/>
  </si>
  <si>
    <t>1-2014-109</t>
  </si>
  <si>
    <t>109. 기업성과를 높이기 위해 정보통신기술을 적극적으로 활용하여 업무과정을 근본적으로 재설계하는 경영기법은?
① 콘커런트 엔지니어링
② 비즈니스 프로세스 리엔지니어링
③ 조직 리스트럭처링
④ 다운사이징
⑤ 벤치마킹</t>
    <phoneticPr fontId="1" type="noConversion"/>
  </si>
  <si>
    <t>1-2014-110</t>
  </si>
  <si>
    <t>110. 선물거래에 관한 설명으로 옳은 것은?
① 계약당사자 간 직접거래가 이루어진다.
② 계약조건이 표준화되어 있지 않다.
③ 결제소에 의해 일일정산이 이루어진다.
④ 장외시장에서 거래가 이루어진다.
⑤ 계약불이행 위험이 커서 계약당사자의 신용이 중요하다.</t>
    <phoneticPr fontId="1" type="noConversion"/>
  </si>
  <si>
    <t>1-2014-111</t>
  </si>
  <si>
    <t>111. 약한 문화를 가진 조직의 특성에 해당되는 것은?
① 응집력이 강하다.
② 의례의식, 상징, 이야기를 자주 사용한다.
③ 다양한 하위문화의 존재를 허용한다.
④ 조직가치의 중요성에 대한 광범위한 합의가 이루어져 있다.
⑤ 조직의 가치와 전략에 대한 구성원의 몰입을 증가시킨다.</t>
    <phoneticPr fontId="1" type="noConversion"/>
  </si>
  <si>
    <t>1-2014-112</t>
  </si>
  <si>
    <t>112. 2014년 5월 수요예측치는 200개이고 실제수요치는 180개인 경우, 지수평활계수가 0.8이면 단순지수평활법에 의한 2014년 6월 수요예측치는?
① 164개
② 184개
③ 204개
④ 214개
⑤ 224개</t>
    <phoneticPr fontId="1" type="noConversion"/>
  </si>
  <si>
    <t>1-2014-113</t>
  </si>
  <si>
    <t>113. 제품수명주기를 순서대로 나열한 것은?
ㄱ. 도입기
ㄴ. 성장기
ㄷ. 성숙기
ㄹ. 쇠퇴기
① ㄱ - ㄴ - ㄷ - ㄹ
② ㄱ - ㄷ - ㄴ - ㄹ
③ ㄴ - ㄱ - ㄷ - ㄹ
④ ㄴ - ㄱ - ㄹ - ㄷ
⑤ ㄷ - ㄱ - ㄹ - ㄴ</t>
    <phoneticPr fontId="1" type="noConversion"/>
  </si>
  <si>
    <t>1-2014-114</t>
  </si>
  <si>
    <t>114. 복리후생에 관한 설명으로 옳지 않은 것은?
① 구성원의 직무만족 및 기업공동체의식 제고를 위해서 임금 이외에 추가적으로 제공하는 보상이다.
② 의무와 자율, 관리복잡성 등의 특성이 있다.
③ 통근차량 지원, 식당 및 탁아소 운영, 체육시설 운영 등의 법정복리후생이 있다.
④ 경제적・사회적・정치적・윤리적 이유가 있다.
⑤ 합리성, 적정성, 협력성, 공개성 등의 관리원칙이 있다.</t>
  </si>
  <si>
    <t>1-2014-115</t>
  </si>
  <si>
    <t>115. 차량을 200만원에 구입하여 40만원은 현금 지급하고 잔액은 외상으로 하였다. 이 거래결과로 옳은 것을 모두 고른 것은?
ㄱ. 총자산 감소
ㄴ. 총자산 증가
ㄷ. 총부채 감소
ㄹ. 총부채 증가
① ㄱ, ㄷ
② ㄱ, ㄹ
③ ㄴ, ㄷ
④ ㄴ, ㄹ
⑤ ㄷ, ㄹ</t>
    <phoneticPr fontId="1" type="noConversion"/>
  </si>
  <si>
    <t>1-2014-116</t>
  </si>
  <si>
    <t>116. 수요의 가격탄력성이 가장 높은 경우는?
① 대체재나 경쟁자가 거의 없을 때
② 구매자들이 높은 가격을 쉽게 지각하지 못할 때
③ 구매자들이 구매습관을 바꾸기 어려울 때
④ 구매자들이 대체품의 가격을 쉽게 비교할 수 있을 때
⑤ 구매자들이 높은 가격이 그만한 이유가 있다고 생각할 때</t>
    <phoneticPr fontId="1" type="noConversion"/>
  </si>
  <si>
    <t>1-2014-117</t>
  </si>
  <si>
    <t>117. 분배적 교섭의 특성에 해당되는 것은?
① 나도 이기고 상대도 이긴다.
② 장기적 관계를 형성한다.
③ 정보공유를 통해 각 당사자의 관심을 충족시킨다.
④ 당사자 사이의 이해관계보다 각 당사자의 입장에 초점을 맞춘다.
⑤ 양 당사자 모두 만족할 만큼 파이를 확대한다.</t>
    <phoneticPr fontId="1" type="noConversion"/>
  </si>
  <si>
    <t>1-2014-118</t>
  </si>
  <si>
    <t>118. 마코위츠(Markowitz)가 제시한 포트폴리오 이론의 가정으로 옳은 것은?
① 투자자들은 기대수익극대화를 추구한다.
② 거래비용과 세금을 고려한다.
③ 투자자들은 포트폴리오 구성 시 무위험자산을 고려한다.
④ 완전자본시장이 고려된다.
⑤ 투자자들은 투자대상의 미래수익률 확률분포에 대하여 같은 예측을 한다.</t>
    <phoneticPr fontId="1" type="noConversion"/>
  </si>
  <si>
    <t>1-2014-119</t>
  </si>
  <si>
    <t>119. 관계마케팅의 등장배경으로 옳지 않은 것은?
① 정보통신기술의 급격한 발전
② 구매자 중심시장에서 판매자 중심시장으로 전환
③ 고객욕구 다양화로 고객만족이 더욱 어려워짐
④ 시장 규제완화로 신시장 진입기회 증가에 따른 경쟁자의 증가
⑤ 마케팅 커뮤니케이션의 효율성을 높이기 위해 표적고객들에게 차별화된 메시지 전달이 필요해짐</t>
    <phoneticPr fontId="1" type="noConversion"/>
  </si>
  <si>
    <t>1-2014-120</t>
  </si>
  <si>
    <t>120. 조직에서 권력을 강화하기 위한 전술이 아닌 것은?
① 목표관리
② 불확실한 영역에 진입
③ 의존성 창출
④ 희소자원 제공
⑤ 전략적 상황요인 충족</t>
    <phoneticPr fontId="1" type="noConversion"/>
  </si>
  <si>
    <t>1-2014-121</t>
  </si>
  <si>
    <t>121. 린(lean) 생산방식의 전제조건이 아닌 것은?
① 작업장 정비
② 품질경영과 실수방지책 구축
③ 푸쉬 시스템 도입
④ 생산준비시간 단축
⑤ 생산스케쥴 평준화와 안정화</t>
    <phoneticPr fontId="1" type="noConversion"/>
  </si>
  <si>
    <t>1-2014-122</t>
  </si>
  <si>
    <t>122. 유동비율 120 %, 유동부채 100억원, 재고자산 40억원이면 당좌비율은?
① 70 %
② 80 %
③ 90 %
④ 100 %
⑤ 110 %</t>
    <phoneticPr fontId="1" type="noConversion"/>
  </si>
  <si>
    <t>1-2014-123</t>
  </si>
  <si>
    <t>123. 무한책임사원과 유한책임사원으로 구성된 상법상의 기업형태는?
① 합명회사
② 합자회사
③ 유한회사
④ 주식회사
⑤ 자영회사</t>
    <phoneticPr fontId="1" type="noConversion"/>
  </si>
  <si>
    <t>1-2014-124</t>
  </si>
  <si>
    <t>124. 로저스(Rogers)가 주장한 혁신의 수용과 확산모형에서 신제품을 수용하는
소비자 분포의 비율로 옳지 않은 것은?
① 혁신자(innovators) - 2.5 %
② 조기수용자(early adopters) - 16 %
③ 전기다수자(early majorities) - 34 %
④ 후기다수자(late majorities) - 34 %
⑤ 최후수용자(laggards) - 16 %</t>
    <phoneticPr fontId="1" type="noConversion"/>
  </si>
  <si>
    <t>1-2014-125</t>
  </si>
  <si>
    <t>125. 샤인(Schein)이 제시한 경력 닻의 내용으로 옳지 않은 것은?
① 전문역량 닻 - 일의 실제 내용에 주된 관심이 있으며 전문분야에 종사하기를 원한다.
② 관리역량 닻 - 특정 전문영역보다 관리직에 주된 관심이 있다.
③ 자율성・독립 닻 - 조직의 규칙과 제약조건에서 벗어나려는데 주된 관심이 있으며 스스로 결정할 수 있는 경력을 선호한다.
④ 도전 닻 - 해결하기 어려운 문제나 극복 곤란한 장애를 해결하는 데 주된 관심이 있다.
⑤ 기업가 닻 - 타인을 돕는 직업에서 일함으로써 타인의 삶을 향상시키고 사회를 위해 봉사하는데 주된 관심이 있다.</t>
  </si>
  <si>
    <t>1-2013-101</t>
    <phoneticPr fontId="1" type="noConversion"/>
  </si>
  <si>
    <t>101. 제품 - 시장 매트릭스에서 기존시장에 그대로 머물면서 기존제품의 매출을 늘리고 시장점유율을 한층 높여가는 성장전략은?
① 시장침투
② 제품개발
③ 시장개발
④ 다각화
⑤ 고객세분화</t>
    <phoneticPr fontId="1" type="noConversion"/>
  </si>
  <si>
    <t>1-2013-102</t>
  </si>
  <si>
    <t>102. 시장세분화에 관한 설명으로 옳은 것은?
① 인구통계적 세분화는 나이, 성별, 가족규모, 소득, 직업, 종교, 교육수준 등을 바탕으로 시장을 나누는 것이다.
② 사회심리적 세분화는 추구하는 편익, 사용량, 상표애호도, 사용 여부 등을 바탕으로 시장을 나누는 것이다.
③ 시장표적화는 시장 내에서 우월한 위치를 차지하도록 고객을 위한 제품・서비스 및 마케팅 믹스를 개발하는 것이다.
④ 시장포지셔닝은 세분화된 시장의 좋은 점을 분석한 후 진입할 세분시장을 선택하는 것이다.
⑤ 행동적 세분화는 구매자의 사회적 위치, 생활습관, 개인성격 등을 바탕으로 시장을 나누는 것이다.</t>
    <phoneticPr fontId="1" type="noConversion"/>
  </si>
  <si>
    <t>1-2013-103</t>
  </si>
  <si>
    <t>103. 옵션에 관한 설명으로 옳지 않은 것은?
① 옵션이란 약정된 기간 동안에 미리 정해진 가격으로 약정된 증권이나 상품 등을 사거나 팔 수 있는 권리이다.
② 콜옵션은 약정된 증권이나 상품 등을 팔 수 있는 권리이다.
③ 유럽형 옵션은 만기에만 권리를 행사할 수 있다.
④ 옵션은 위험 회피를 위한 유용한 수단이다.
⑤ 기초자산이란 옵션의 근간이 되는 자산을 의미한다.</t>
    <phoneticPr fontId="1" type="noConversion"/>
  </si>
  <si>
    <t>1-2013-104</t>
  </si>
  <si>
    <t>104. 현재 100,000원을 연 10% 확정된 복리이자로 은행에 예금할 경우 2년 후 미래가치는?
① 110,000원
② 111,000원
③ 120,000원
④ 121,000원
⑤ 122,000원</t>
    <phoneticPr fontId="1" type="noConversion"/>
  </si>
  <si>
    <t>1-2013-105</t>
  </si>
  <si>
    <t>105. OJT(On the Job Training)에 해당하는 것은?
① 세미나
② 사례연구
③ 도제식 훈련
④ 시뮬레이션
⑤ 역할연기법</t>
    <phoneticPr fontId="1" type="noConversion"/>
  </si>
  <si>
    <t>1-2013-106</t>
  </si>
  <si>
    <t>106. 단위당 소요되는 표준작업시간과 실제작업시간을 비교하여 절약된 작업시간에 대한 생산성 이득을 노사가 각각 50 : 50 의 비율로 배분하는 임금제도는?
① 임프로쉐어 플랜
② 스캔론 플랜
③ 럭커 플랜
④ 메리크식 복률성과급
⑤ 테일러식 차별성과급</t>
    <phoneticPr fontId="1" type="noConversion"/>
  </si>
  <si>
    <t>1-2013-107</t>
  </si>
  <si>
    <t>107. 기존에 제공해 주던 긍정적 보상을 제공해 주지 않음으로써 어떤 행동을 줄이거나 중지하도록 하기 위한 강화(reinforcement) 방법은?
① 긍정적 강화
② 소거
③ 벌
④ 부정적 강화
⑤ 적극적 강화</t>
    <phoneticPr fontId="1" type="noConversion"/>
  </si>
  <si>
    <t>1-2013-108</t>
  </si>
  <si>
    <t>108. 산업별 노동조합이 개별기업 사용자와 개별적으로 행하는 경우의 단체교섭 방식은?
① 통일교섭
② 공동교섭
③ 집단교섭
④ 대각선교섭
⑤ 기업별 교섭</t>
    <phoneticPr fontId="1" type="noConversion"/>
  </si>
  <si>
    <t>1-2013-109</t>
  </si>
  <si>
    <t>109. 인사평가 측정결과의 검증기준 중 '직무성과와 관련성이 있는 내용을 측정하는 정도'를 의미하는 것은?
① 신뢰성
② 수용성
③ 타당성
④ 구체성
⑤ 실용성</t>
    <phoneticPr fontId="1" type="noConversion"/>
  </si>
  <si>
    <t>1-2013-110</t>
  </si>
  <si>
    <t>110. 조직행동의 집단수준 변수에 해당하는 것은?
① 학습
② 지각
③ 태도
④ 성격
⑤ 협상</t>
    <phoneticPr fontId="1" type="noConversion"/>
  </si>
  <si>
    <t>1-2013-111</t>
  </si>
  <si>
    <t>111. 부하들 스스로가 자신을 리드하도록 만드는 리더십은?
① 슈퍼 리더십
② 서번트 리더십
③ 카리스마적 리더십
④ 거래적 리더십
⑤ 코칭 리더십</t>
    <phoneticPr fontId="1" type="noConversion"/>
  </si>
  <si>
    <t>1-2013-112</t>
  </si>
  <si>
    <t>112. 인사고과에서 평가문항의 발생빈도를 근거로 피고과자를 평가하는 방법은?
① 직접서열법
② 행위관찰평가법
③ 분류법
④ 요인비교법
⑤ 쌍대비교법</t>
    <phoneticPr fontId="1" type="noConversion"/>
  </si>
  <si>
    <t>1-2013-113</t>
  </si>
  <si>
    <t>1-2013-114</t>
  </si>
  <si>
    <t>114. 다음의 계정과목 중 재무상태표의 구성항목이 아닌 것은?
① 유형자산
② 유동부채
③ 자본금
④ 이익잉여금
⑤ 매출원가</t>
    <phoneticPr fontId="1" type="noConversion"/>
  </si>
  <si>
    <t>1-2013-115</t>
  </si>
  <si>
    <t>115. 회계의 순환과정을 순서대로 나열한 것은?
ㄱ. 수정분개
ㄴ. 거래발생
ㄷ. 분개
ㄹ. 수정전시산표 작성
ㅁ. 원장 전기
ㅂ. 재무제표 작성
① ㄴ - ㄷ - ㄱ - ㅁ - ㄹ - ㅂ
② ㅁ - ㄴ - ㄷ - ㄱ - ㄹ - ㅂ
③ ㅁ - ㄴ - ㄷ - ㄹ - ㅂ - ㄱ
④ ㄴ - ㄷ - ㅁ - ㄹ - ㄱ - ㅂ
⑤ ㄴ - ㄷ - ㄹ - ㅁ - ㅂ - ㄱ</t>
    <phoneticPr fontId="1" type="noConversion"/>
  </si>
  <si>
    <t>1-2013-116</t>
  </si>
  <si>
    <t>116. 제품 A의 연간 수요는 10,000개로 예상된다. 이 제품의 연간 재고유지비용이 단위당 200원이고 주문 1회당 소요되는 주문비용은 100원이다. 이 경우 경제적 주문량(EOQ)에 의한 최적 주문 횟수는?
① 50회
② 75회
③ 100회
④ 150회
⑤ 200회</t>
    <phoneticPr fontId="1" type="noConversion"/>
  </si>
  <si>
    <t>1-2013-117</t>
  </si>
  <si>
    <t>117. 다음 특성에 알맞는 생산운영관리시스템의 명칭은?
○ 칸반(Kanban) 시스템
○ 린(lean) 시스템
○ 무재고 생산 지향
○ 생산의 평준화
① JIT
② MRP
③ MRP Ⅱ
④ CIM
⑤ FMS</t>
    <phoneticPr fontId="1" type="noConversion"/>
  </si>
  <si>
    <t>1-2013-118</t>
  </si>
  <si>
    <t>118. 시계열(time series) 분해법은 시계열변동을 4가지 구성요소로 분해하여 수요를 예측하는 방법이다. 4가지 구성요소에 해당하지 않는 것은?
① 계절(seasonal) 변동
② 추세(trend) 변동
③ 불규칙(irregular) 변동
④ 순환(cyclical) 변동
⑤ 인과(causal) 변동</t>
    <phoneticPr fontId="1" type="noConversion"/>
  </si>
  <si>
    <t>1-2013-119</t>
  </si>
  <si>
    <t>119. 최고경영자층의 의사결정을 지원하기 위한 목적으로 개발된 경영정보시스템의 명칭은?
① ERP
② EDI
③ POS
④ EIS
⑤ TPS</t>
    <phoneticPr fontId="1" type="noConversion"/>
  </si>
  <si>
    <t>1-2013-120</t>
  </si>
  <si>
    <t>120. 다음 네트워크 용어들의 밑줄 친 P에 해당하는 영어 단어는?
○ TCP / IP
○ HTTP
① program
② process
③ procedure
④ profile
⑤ protocol</t>
    <phoneticPr fontId="1" type="noConversion"/>
  </si>
  <si>
    <t>1-2013-121</t>
  </si>
  <si>
    <t>121. 투자안 분석기법으로서의 순현가(NPV)법에 관한 설명으로 옳은 것은?
① 순현가는 투자의 결과 발생하는 현금유입의 현재가치에서 현금유입의 미래가치를 차감한 것이다.
② 순현가법에서는 수익과 비용에 의하여 계산한 회계적 이익을 사용한다.
③ 순현가법에서는 투자안의 내용연수 동안 발생할 미래의 모든 현금흐름을 반영한다.
④ 순현가법에서는 현금흐름을 최대한 큰 할인율로 할인한다.
⑤ 순현가법에서는 투자의 결과 발생하는 현금유입이 투자안의 내부수익률로 재투자될 수 있다고 가정한다.</t>
    <phoneticPr fontId="1" type="noConversion"/>
  </si>
  <si>
    <t>1-2013-122</t>
  </si>
  <si>
    <t>122. 현대 경영이론에서 계획, 조직, 지휘, 조정, 통제의 관리기능을 주장한 사람은?
① F. W. Taylor
② Henry Ford
③ H. A. Simon
④ Henri Fayol
⑤ H. Mintzberg</t>
    <phoneticPr fontId="1" type="noConversion"/>
  </si>
  <si>
    <t>1-2013-123</t>
  </si>
  <si>
    <t>123. BCG 매트릭스에서 시간 흐름에 따른 사업단위(SBU)의 수명주기를 순서대로 나열한 것은?
① 별 ⟶ 현금젖소 ⟶ 개 ⟶ 물음표
② 물음표 ⟶ 별 ⟶ 현금젖소 ⟶ 개
③ 현금젖소 ⟶ 개 ⟶ 별 ⟶ 물음표
④ 개 ⟶ 물음표 ⟶ 현금젖소 ⟶ 별
⑤ 물음표 ⟶ 현금젖소 ⟶ 별 ⟶ 개</t>
    <phoneticPr fontId="1" type="noConversion"/>
  </si>
  <si>
    <t>1-2013-124</t>
  </si>
  <si>
    <t>1-2013-125</t>
  </si>
  <si>
    <t>125. 신제품을 가장 먼저 받아들이는 그룹에 이어 두번째로 신제품의 정보를 수집하여 신중하게 수용하는 그룹은?
① 조기수용자(early adopters)
② 혁신자(innovators)
③ 조기다수자(early majority)
④ 후기다수자(late majority)
⑤ 최후수용자(laggards)</t>
    <phoneticPr fontId="1" type="noConversion"/>
  </si>
  <si>
    <t>1-2012-101</t>
    <phoneticPr fontId="1" type="noConversion"/>
  </si>
  <si>
    <t>101. 포터(M. Porter)가 제시한 산업경쟁에 영향을 미치는 5개의 요인에 해당되지 않는 것은?
① 대체품의 위협
② 진입장벽
③ 구매자의 교섭력
④ 산업 내 경쟁업체들의 경쟁
⑤ 원가구조</t>
    <phoneticPr fontId="1" type="noConversion"/>
  </si>
  <si>
    <t>1-2012-102</t>
  </si>
  <si>
    <t>102. 특정 기업이 자사 제품을 경쟁제품과 비교하여 유리하고 독특한 위치를 차지하도록 하는 마케팅 전략은?
① 관계마케팅
② 포지셔닝
③ 표적시장 선정
④ 일대일 마케팅
⑤ 시장세분화</t>
    <phoneticPr fontId="1" type="noConversion"/>
  </si>
  <si>
    <t>1-2012-103</t>
  </si>
  <si>
    <t>103. 인사고과에 관한 설명으로 옳지 않은 것은?
① 인사고과란 종업원의 능력과 업적을 평가하여 그가 보유하고 있는 현재적 및 잠재적 유용성을 조직적으로 파악하는 방법이다.
② 인사고과의 수용성은 종업원이 인사고과 결과가 정당하다고 느끼는 정도이다.
③ 인사고과의 타당성은 고과내용이 고과목적을 얼마나 잘 반영하고 있느냐에 관한 것이다.
④ 현혹효과(halo effect)는 피고과자의 어느 한 면을 기준으로 다른 것까지 함께 평가하는 경향을 말한다.
⑤ 대비오차(contrast errors)는 피고과자의 능력을 실제보다 높게 평가하는 경향을 말한다.</t>
    <phoneticPr fontId="1" type="noConversion"/>
  </si>
  <si>
    <t>1-2012-104</t>
  </si>
  <si>
    <t>104. 경영정보시스템 관련 용어에 대한 설명으로 옳은 것은?
① 데이터베이스관리시스템은 비즈니스 수행에 필요한 일상적인 거래를 처리하는 정보시스템이다.
② 전문가시스템은 일반적인 업무를 지원하는 정보시스템이다.
③ 전사적자원관리시스템은 공급자와 공급기업을 연계하여 활용하는 정보시스템이다.
④ 의사결정지원시스템은 데이터를 저장하고 관리하는 정보시스템이다.
⑤ 중역정보시스템은 최고경영자층이 전략적인 의사결정을 하도록 도와주는 정보시스템이다.</t>
    <phoneticPr fontId="1" type="noConversion"/>
  </si>
  <si>
    <t>1-2012-105</t>
  </si>
  <si>
    <t>105. 동기부여의 내용이론에 해당하는 것은?
① 성취동기이론
② 기대이론
③ 공정성이론
④ 목표설정이론
⑤ 인지평가이론</t>
    <phoneticPr fontId="1" type="noConversion"/>
  </si>
  <si>
    <t>1-2012-106</t>
  </si>
  <si>
    <t>106. 한 사람의 업무담당자가 기능부문과 제품부문의 관리자로부터 동시에 통제를 받도록 이중권한 구조를 형성하는 조직구조는?
① 기능별 조직
② 사업부제 조직
③ 매트릭스 조직
④ 프로젝트 조직
⑤ 팀제 조직</t>
    <phoneticPr fontId="1" type="noConversion"/>
  </si>
  <si>
    <t>1-2012-107</t>
  </si>
  <si>
    <t>107. 6 시그마의 프로세스 개선 5단계에 해당되지 않는 것은?
① 정의
② 측정
③ 분석
④ 계획
⑤ 통제</t>
    <phoneticPr fontId="1" type="noConversion"/>
  </si>
  <si>
    <t>1-2012-108</t>
  </si>
  <si>
    <t>108. 수요예측 기법 중 정성적 기법에 해당되지 않는 것은?
① 델파이법
② 시계열분석
③ 전문가패널법
④ 자료유추법
⑤ 패널동의법</t>
    <phoneticPr fontId="1" type="noConversion"/>
  </si>
  <si>
    <t>1-2012-109</t>
  </si>
  <si>
    <t>109. 인간관계론의 내용에 관한 설명으로 옳은 것은?
① 과학적 관리법과 유사한 이론이다.
② 인간 없는 조직이란 비판을 들었다.
③ 심리요인과 사회요인은 생산성에 영향을 주지 않는다.
④ 비공식집단을 인식했으나 그 중요성을 낮게 평가했다.
⑤ 메이요(E. Mayo)와 뢰슬리스버거(F. Roethlisberger)를 중심으로 호손실험을 거쳐 정리되었다.</t>
    <phoneticPr fontId="1" type="noConversion"/>
  </si>
  <si>
    <t>1-2012-110</t>
  </si>
  <si>
    <t>110. 제약회사 등에서 많이 사용하는 상표전략으로 각 제품마다 다른 상표를 적용하는 전략은?
① 개별상표
② 가족상표
③ 상표확장
④ 복수상표
⑤ 사적상표</t>
    <phoneticPr fontId="1" type="noConversion"/>
  </si>
  <si>
    <t>1-2012-111</t>
  </si>
  <si>
    <t>1-2012-112</t>
  </si>
  <si>
    <t>112. 거래를 분개할 때 결합관계가 옳지 않은 것은?
      차 변     /     대 변
① 자본증가 / 부채증가
② 자산증가 / 자산감소
③ 자산증가 / 수익발생
④ 부채감소 / 수익발생
⑤ 비용발생 / 자산감소</t>
    <phoneticPr fontId="1" type="noConversion"/>
  </si>
  <si>
    <t>1-2012-113</t>
  </si>
  <si>
    <t>113. 생산제품의 판매가치와 인건비와의 관계에서 배분액을 계산하는 집단성과급제는?
① 순응임금제
② 물가연동제
③ 스캔론 플랜
④ 럭커 플랜
⑤ 시간급</t>
    <phoneticPr fontId="1" type="noConversion"/>
  </si>
  <si>
    <t>1-2012-114</t>
  </si>
  <si>
    <t>114. 자본시장선(CML)과 증권시장선(SML)에 관한 설명으로 옳은 것은?
① 자본시장선을 이용하여 타인자본 비용을 산출할 수 있다.
② 자본시장선을 이용하여 비효율적 포트폴리오의 균형가격을 산출할 수 있다.
③ 자본시장선은 위험자산만을 고려할 경우의 효율적 투자기회선이다.
④ 증권시장선은 포트폴리오 기대수익률과 포트폴리오 표준편차간의 선형관계를 나타낸다.
⑤ 증권시장선 위에 존재하는 주식은 주가가 과소평가된 주식이다.</t>
    <phoneticPr fontId="1" type="noConversion"/>
  </si>
  <si>
    <t>1-2012-115</t>
  </si>
  <si>
    <t>115. 자본예산기법과 포트폴리오에 관한 설명으로 옳지 않은 것은?
① 포트폴리오의 분산은 각 구성주식의 분산을 투자비율로 가중평균하여 산출한다.
② 비체계적 위험은 분산투자를 통해 제거할 수 있는 위험이다.
③ 단일 투자안의 경우 순현가법과 내부수익률법의 경제성 평가 결과는 동일하다.
④ 포트폴리오 기대수익률은 각 구성주식의 기대수익률을 투자비율로 가중평균하여 산출한다.
⑤ 두 투자안 중 하나의 투자안을 선택해야 하는 경우 순현가법과 내부수익률법의 선택 결과가 다를 수 있다.</t>
    <phoneticPr fontId="1" type="noConversion"/>
  </si>
  <si>
    <t>1-2012-116</t>
  </si>
  <si>
    <t>116. A 기업의 X 부품에 대한 연간 수요는 2,000개 이다. X 부품의 1회 주문비용은 1,000원, 연간 단위당 재고 유지비용은 400원일 때 경제적 주문량 모형을 이용하여 1회 경제적 주문량과 이때의 연간 총비용을 구하면?
① 50개, 20,000원
② 50개, 40,000원
③ 100개, 20,000원
④ 100개, 40,000원
⑤ 150개, 60,000원</t>
    <phoneticPr fontId="1" type="noConversion"/>
  </si>
  <si>
    <t>1-2012-117</t>
  </si>
  <si>
    <t>117. 기업가 정신의 핵심요소가 아닌 것은?
① 비전의 제시와 실현욕구
② 창의성과 혁신
③ 성취동기
④ 인적 네트워크 구축
⑤ 도전정신</t>
    <phoneticPr fontId="1" type="noConversion"/>
  </si>
  <si>
    <t>1-2012-118</t>
  </si>
  <si>
    <t>118. BCG 매트릭스에 관한 설명으로 옳은 것은?
① 횡축은 시장성장률, 종축은 상대적 시장점유율이다.
② 물음표 영역은 시장성장률이 높고, 상대적 시장점유율은 낮아 계속적인 투자가 필요하다.
③ 별 영역은 시장성장률이 낮고, 상대적 시장점유율은 높아 현상유지를 해야 한다.
④ 자금젖소 영역은 현금창출이 많지만, 상대적 시장점유율이 낮아 많은 투자가 필요하다.
⑤ 개 영역은 시장지배적인 위치를 구축하여 성숙기에 접어든 경우이다.</t>
    <phoneticPr fontId="1" type="noConversion"/>
  </si>
  <si>
    <t>1-2012-119</t>
  </si>
  <si>
    <t>119. 임금에 관한 설명으로 옳지 않은 것은?
① 직무급은 직무를 평가하여 상대적인 가치에 따라 임금수준을 결정한다.
② 직능급은 종업원의 직무수행능력을 기준으로 임금수준을 결정한다.
③ 메릭식 복률성과급은 임률의 종류를 두 가지로 정하고 있다.
④ 할증급은 종업원에게 작업한 시간에 대하여 성과가 낮다 하더라도 일정한 임금을 보장한다.
⑤ 연공급은 종업원의 근속연수와 학력 등을 기준으로 임금수준을 결정한다.</t>
    <phoneticPr fontId="1" type="noConversion"/>
  </si>
  <si>
    <t>1-2012-120</t>
  </si>
  <si>
    <t>120. 전문가시스템(ES)의 구성요소에 해당되지 않는 것은?
① 지식베이스
② 추론기관
③ 계획기관
④ 설명기관
⑤ 사용자인터페이스</t>
    <phoneticPr fontId="1" type="noConversion"/>
  </si>
  <si>
    <t>1-2012-121</t>
  </si>
  <si>
    <t>121. 허시와 블랜차드(P. Hersey &amp; K. H. Blanchard)의 상황적 리더십 이론에 관한 설명으로 옳은 것은?
① 부하의 성과에 따른 리더의 보상에 초점을 맞춘다.
② 리더는 부하의 성숙도에 맞는 리더십을 행사함으로써 리더십 유효성을 높일 수 있다.
③ 리더가 부하를 섬기고 봉사함으로써 조직을 이끈다.
④ 리더십 유형은 지시형, 설득형, 거래형, 희생형의 4가지로 구분된다.
⑤ 리더십에 영향을 줄 수 있는 상황적 요소는 과업구조, 리더의 지위권력 등이다.</t>
    <phoneticPr fontId="1" type="noConversion"/>
  </si>
  <si>
    <t>1-2012-122</t>
  </si>
  <si>
    <t>122. 오하이오 주립대학 모형의 리더십 유형구분은?
① 구조주도형 리더 - 배려형 리더
② 직무 중심적 리더 - 종업원 중심적 리더
③ 독재적 리더 - 민주적 리더
④ 이상형 리더 - 과업지향형 리더
⑤ 무관심형 리더 - 인간관계형 리더</t>
    <phoneticPr fontId="1" type="noConversion"/>
  </si>
  <si>
    <t>1-2012-123</t>
  </si>
  <si>
    <t>123. A 주식의 금년도 말 1주당 배당금은 1,100원으로 추정되며, 이후 배당금은 매년 10%씩 증가할 것으로 예상된다. A 주식에 대한 요구수익률이 15%일 경우, 고든(M. J. Gordon)의 항상성장모형에 의한 A 주식의 1주당 현재가치는?
① 4,400원
② 7,333원
③ 11,000원
④ 22,000원
⑤ 23,000원</t>
    <phoneticPr fontId="1" type="noConversion"/>
  </si>
  <si>
    <t>1-2012-124</t>
  </si>
  <si>
    <t>124. 관리회계에 관한 설명으로 옳지 않은 것은?
① 내부정보이용자에게 유용한 정보이다.
② 재무제표 작성을 주목적으로 한다.
③ 경영자에게 당면한 문제를 해결하기 위한 정보를 제공한다.
④ 경영계획이나 통제를 위한 정보를 제공한다.
⑤ 법적 강제력이 없다.</t>
    <phoneticPr fontId="1" type="noConversion"/>
  </si>
  <si>
    <t>1-2012-125</t>
  </si>
  <si>
    <t>125. 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
① 12,000원
② 13,000원
③ 14,000원
④ 18,000원
⑤ 22,000원</t>
    <phoneticPr fontId="1" type="noConversion"/>
  </si>
  <si>
    <t>1-2011-101</t>
    <phoneticPr fontId="1" type="noConversion"/>
  </si>
  <si>
    <t>101. 리더십연구 학자와 그 리더십이론의 연결이 옳지 않은 것은?
① 피들러(Fiedler) : 상황이론
② 허시와 블랜차드(Hersey &amp; Blanchard) : 경로-목표이론
③ 블레이크와 머튼(Blake &amp; Mouton) : 관리격자이론
④ 브룸과 이튼(Vroom &amp; Yetton) : 리더-참여모형
⑤ 그린리프(Greenleaf) : 서번트(servant) 리더십</t>
    <phoneticPr fontId="1" type="noConversion"/>
  </si>
  <si>
    <t>1-2011-102</t>
  </si>
  <si>
    <t>102. 적시생산(JIT) 시스템의 특성이 아닌 것은?
① 푸시시스템(push system)
② 칸반 생산
③ 공장부하의 균일화
④ 유연한 자원
⑤ 빠른 생산준비시간</t>
    <phoneticPr fontId="1" type="noConversion"/>
  </si>
  <si>
    <t>1-2011-103</t>
  </si>
  <si>
    <t>103. 생산합리화의 3S로 옳은 것은?
① 표준화(standardization) - 단순화(simplification) - 전문화(specialization)
② 규격화(specification) - 세분화(segmentation) - 전문화(specialization)
③ 단순화(simplification) - 규격화(specification) - 세분화(segmentation)
④ 세분화(segmentation) - 표준화(standardization) - 단순화(simplification)
⑤ 규격화(specification) - 전문화(specialization) - 표준화(standardization)</t>
    <phoneticPr fontId="1" type="noConversion"/>
  </si>
  <si>
    <t>1-2011-104</t>
  </si>
  <si>
    <t>104. 소비자들이 제품가격의 높고 낮음을 평가할 때 비교기준으로 사용하는 가격은?
① 유보가격
② 최저수용가격
③ 관습가격
④ 준거가격
⑤ 단수가격</t>
    <phoneticPr fontId="1" type="noConversion"/>
  </si>
  <si>
    <t>1-2011-105</t>
  </si>
  <si>
    <t>105. 재무비율에 관한 설명으로 옳지 않은 것은?
① 수익성 비율은 한 기업이 이익을 얻기 위해 다양한 자원들을 얼마나 효율적으로 사용하는지를 측정한다.
② 주가수익비율(PER)은 기업의 현재 주가를 주당순이익(EPS)으로 나누어 산출한다.
③ 활동성 비율은 기업의 자산을 얼마나 효율적으로 사용했는지를 측정한다.
④ 레버리지 비율은 기업의 장기채무 지급능력을 측정한다.
⑤ 재고자산회전율이 산업평균보다 낮은 경우 재고부족으로 인한 기회비용이 나타난다.</t>
    <phoneticPr fontId="1" type="noConversion"/>
  </si>
  <si>
    <t>1-2011-106</t>
  </si>
  <si>
    <t>106. 주식회사에 관한 특징으로 옳지 않은 것은?
① 주주의 유한책임
② 소유와 경영의 분리 가능
③ 소유권 이전의 어려움
④ 자본의 증권화
⑤ 대규모 자본조달 가능</t>
    <phoneticPr fontId="1" type="noConversion"/>
  </si>
  <si>
    <t>1-2011-107</t>
  </si>
  <si>
    <t>107. 제품수명주기(PLC)의 단계별 특성에 관한 설명으로 옳지 않은 것은?
① 도입기에는 경쟁자의 수가 적다.
② 성장기에는 매출 성장이 빠르다.
③ 성숙기에는 이익이 점점 증가한다.
④ 쇠퇴기에는 경쟁자의 수가 감소한다.
⑤ 쇠퇴기에는 비용지출이 감소한다.</t>
    <phoneticPr fontId="1" type="noConversion"/>
  </si>
  <si>
    <t>1-2011-108</t>
  </si>
  <si>
    <t>108. 현대적 리더십이론의 하나인 변혁적 리더십에서 변혁적 리더의 특성이 아닌 것은?
① 카리스마
② 영감고취(inspiration)
③ 지적인 자극
④ 개별적 배려
⑤ 예외에 의한 관리</t>
    <phoneticPr fontId="1" type="noConversion"/>
  </si>
  <si>
    <t>1-2011-109</t>
  </si>
  <si>
    <t>109. 현대 경영학 이론에 관한 설명으로 옳지 않은 것은?
① 과학적 관리법에서는 효율과 합리성을 강조한다.
② 인간관계론에서는 인간의 사회・심리적 요인을 중시한다.
③ 행동과학이론에서는 조직 내 비공식조직의 활용을 중시한다.
④ 시스템이론에서는 조직을 여러 구성인자가 유기적으로 상호작용하는 결합체로 본다.
⑤ 상황이론에서는 조직구조가 조직이 처한 상황에 적합해야 한다고 본다.</t>
    <phoneticPr fontId="1" type="noConversion"/>
  </si>
  <si>
    <t>1-2011-110</t>
  </si>
  <si>
    <t>110. 재무제표의 구성요소에 관한 설명으로 옳지 않은 것은?
① 자산은 기업이 소유하고 있는 토지, 건물, 기계, 채권 등과 같은 경제적 자원을 말한다.
② 부채에는 외상매입금이나 차입금 등이 포함된다.
③ 수익은 자산의 유입이나 증가 또는 부채의 감소에 따라 자본의 증가를 초래하는 특정 회계기간 동안에 발생한 경제적 효익의 증가이다.
④ 부채는 상환될 때까지 지급할 금액을 기준으로 유동부채와 비유동부채로 분류된다.
⑤ 이익 또는 손실은 수익에서 비용을 차감하여 구한다.</t>
    <phoneticPr fontId="1" type="noConversion"/>
  </si>
  <si>
    <t>1-2011-111</t>
  </si>
  <si>
    <t>111. 촉진믹스(promotion mix) 중 판매촉진(sales promotion) 활동에 해당하지 않는 것은?
① 적극적인 광고 및 홍보
② 샘플 제공
③ 가격 할인
④ 상품전시회 개최
⑤ 할인권 제공</t>
    <phoneticPr fontId="1" type="noConversion"/>
  </si>
  <si>
    <t>1-2011-112</t>
  </si>
  <si>
    <t>112. 기업이 공급사슬관리(SCM)를 적극적으로 수행해야 할 필요성과 관계가 없는 것은?
① 운송비의 지속적 감소
② 글로벌화의 진전
③ 아웃소싱의 증가
④ 공급사슬의 복잡화
⑤ 전자상거래 도입의 증가</t>
    <phoneticPr fontId="1" type="noConversion"/>
  </si>
  <si>
    <t>1-2011-113</t>
  </si>
  <si>
    <t>113. 인사고과 시 평가자에게 흔히 나타나는 고과상의 오류로 옳지 않은 것은?
① 후광효과(halo effect)
② 서열화 경향(ranking tendency)
③ 관대화 경향(leniency tendency)
④ 논리적 오류(logical errors)
⑤ 최근효과(recency effect)</t>
    <phoneticPr fontId="1" type="noConversion"/>
  </si>
  <si>
    <t>1-2011-114</t>
  </si>
  <si>
    <t>114. 조직의 최하위부서에서 이루어지는 일상적인 업무처리를 돕는 정보시스템은?
① 전략계획시스템(strategic planning system)
② 거래처리시스템(transaction processing system)
③ 의사결정지원시스템(decision support system)
④ 전문가시스템(expert system)
⑤ 관리통제시스템(managerial control system)</t>
    <phoneticPr fontId="1" type="noConversion"/>
  </si>
  <si>
    <t>1-2011-115</t>
  </si>
  <si>
    <t>115. 피터 셍게(Peter Senge)가 주장한 학습조직 모형의 내용에 해당하지 않는 것은?
① 팀 학습
② 개인적 숙련
③ 성과에 따른 평가
④ 시스템적 사고
⑤ 비전의 공유</t>
    <phoneticPr fontId="1" type="noConversion"/>
  </si>
  <si>
    <t>1-2011-116</t>
  </si>
  <si>
    <t>116. 자기자본과 타인자본이 차지하는 비중이 5 : 5 이며, 자기자본비용은 12%이고, 타인자본비용은 10%이다. 법인세율 50%를 가정하여 가중평균자본비용(WACC)을 계산하면? (단, 이자비용의 세금절감 효과는 자본비용에 반영함)
① 8.5%
② 9.5%
③ 10.5%
④ 12.5%
⑤ 14.5%</t>
    <phoneticPr fontId="1" type="noConversion"/>
  </si>
  <si>
    <t>1-2011-117</t>
  </si>
  <si>
    <t>117. 조직 내 직무간의 상대적 가치를 평가하는 직무평가 요소가 아닌 것은?
① 지식
② 숙련
③ 경험
④ 노력
⑤ 성과</t>
    <phoneticPr fontId="1" type="noConversion"/>
  </si>
  <si>
    <t>1-2011-118</t>
  </si>
  <si>
    <t>118. 기업의 배당정책에 영향을 미치는 요인으로 가장 거리가 먼 것은?
① 기업의 유동성
② 시장의 경쟁상태
③ 새로운 투자기회
④ 부채상환의 의무
⑤ 기업의 지배권</t>
    <phoneticPr fontId="1" type="noConversion"/>
  </si>
  <si>
    <t>1-2011-119</t>
  </si>
  <si>
    <t>119. 기계적 조직과 유기적 조직의 비교・설명으로 옳은 것은?
① 기계적 조직은 직무 전문화가 낮고, 유기적 조직은 직무 전문화가 높다.
② 기계적 조직은 의사결정 권한이 분권화되어 있고, 유기적 조직은 의사결정 권한이 집권화되어 있다.
③ 기계적 조직은 동태적이고 복잡한 환경에 적합하며, 유기적 조직은 안정적이고 단순한 환경에 적합하다.
④ 기계적 조직은 통제범위가 넓고, 유기적 조직은 통제범위가 좁다.
⑤ 기계적 조직은 지휘계통이 길고, 유기적 조직은 지휘계통이 짧다.</t>
    <phoneticPr fontId="1" type="noConversion"/>
  </si>
  <si>
    <t>1-2011-120</t>
  </si>
  <si>
    <t>120. 투자안의 평가방법에 관한 설명으로 옳지 않은 것은?
① 순현재가치(NPV)법에서 투자안의 NPV가 0보다 크면 투자안을 채택한다.
② 수익성지수(PI)법에서 투자안의 PI가 0보다 크면 투자안을 채택한다.
③ 내부수익률(IRR)법에서 투자안의 IRR이 자본비용보다 크면 투자안을 채택한다.
④ 회계이익률법에서 투자안의 회계이익률이 목표회계이익률보다 크면 투자안을 채택한다.
⑤ 회수기간법에서 투자안의 회수기간이 목표회수기간보다 짧으면 투자안을 채택한다.</t>
    <phoneticPr fontId="1" type="noConversion"/>
  </si>
  <si>
    <t>1-2011-121</t>
  </si>
  <si>
    <t>121. 근로자의 직무수행 능력을 기준으로 임금을 결정하는 임금체계는?
① 직무급
② 연공급
③ 직능급
④ 업적급
⑤ 성과급</t>
    <phoneticPr fontId="1" type="noConversion"/>
  </si>
  <si>
    <t>1-2011-122</t>
  </si>
  <si>
    <t>122. 해외시장으로의 진출 전략에 관한 설명으로 옳지 않은 것은?
① 전략적 제휴는 다른 기업들과 특정 사업 및 업무 분야에 걸쳐 협력관계를 맺어 공동으로 해외사업에 진출하는 전략이다.
② 해외자회사의 장점은 해외시장에서 많은 자금과 기술을 운영하면서 기업의 자산들을 해외정부로부터 안전하게 지킬 수 있는 것이다.
③ 라이선싱(licensing)은 자신의 제품을 생산할 수 있는 권리를 일정한 대가를 받고 외국 기업에게 일정기간동안 부여하는 것을 말한다.
④ 국제합작투자의 장점은 기술의 공유, 위험의 분산, 마케팅 및 경영 노하우의 공유 등이다.
⑤ 해외직접투자는 기술・자본・상표・경영능력 등 여러 생산요소가 하나의 시스템으로 해외에 이전되는 것을 말한다.</t>
    <phoneticPr fontId="1" type="noConversion"/>
  </si>
  <si>
    <t>1-2011-123</t>
  </si>
  <si>
    <t>123. 회계시스템에 인식・측정될 수 있는 거래로 분류될 수 없는 것은?
① 상품을 구입하다.
② 용역을 제공하다.
③ 돈을 빌려오다.
④ 도난을 당하다.
⑤ 계약을 체결하다.</t>
    <phoneticPr fontId="1" type="noConversion"/>
  </si>
  <si>
    <t>1-2011-124</t>
  </si>
  <si>
    <t>124. 근로자의 임금 지급시 조합원의 노동조합비를 일괄하여 징수하는 제도는?
① 유니온 숍(union shop)
② 오픈 숍(open shop)
③ 클로즈드 숍(closed shop)
④ 체크오프 시스템(check-off system)
⑤ 에이전시 숍(agency shop)</t>
    <phoneticPr fontId="1" type="noConversion"/>
  </si>
  <si>
    <t>1-2011-125</t>
  </si>
  <si>
    <t>125. 경영정보시스템(MIS)에 관한 설명으로 옳지 않은 것은?
① MIS는 경영시스템의 하위 시스템 중 하나이다.
② MIS는 경영자에게 데이터보다 정보를 제공하는 데 중점을 둔다.
③ MIS는 정보시스템을 통해 기업의 경영목표를 달성하도록 지원하는 시스템이다.
④ 정보는 숫자, 이름 또는 수량과 같이 분석되지 않은 사실을 말한다.
⑤ 정보시스템은 데이터를 입력받아 이를 정보로 변화시키는 시스템이다.</t>
    <phoneticPr fontId="1" type="noConversion"/>
  </si>
  <si>
    <t>1-2010-101</t>
    <phoneticPr fontId="1" type="noConversion"/>
  </si>
  <si>
    <t>101. 테일러(F. W. Taylor)의 과학적 관리법의 내용에 해당되지 않는 것은?
① 공정한 일일 작업량 설정
② 시간연구 및 동작연구
③ 차별성과급제
④ 기능식 직장제도
⑤ 사회적 접근</t>
    <phoneticPr fontId="1" type="noConversion"/>
  </si>
  <si>
    <t>1-2010-102</t>
  </si>
  <si>
    <t>102. BCG 매트릭스에서 상대적 시장점유율은 낮고 시장성장률이 높은 영역은?
① 별(Stars)
② 물음표(Question Marks)
③ 닭(Hens)
④ 개(Dogs)
⑤ 현금젖소(Cash Cows)</t>
    <phoneticPr fontId="1" type="noConversion"/>
  </si>
  <si>
    <t>1-2010-103</t>
  </si>
  <si>
    <t>103. 재고관리의 ABC관리법에서 품목을 분류할 때 가장 많이 사용되는 분석방법은?
① 민감도분석
② 추세분석
③ 비용-편익 분석
④ 파레토분석
⑤ 인과분석</t>
    <phoneticPr fontId="1" type="noConversion"/>
  </si>
  <si>
    <t>1-2010-104</t>
  </si>
  <si>
    <t>104. 시장세분화를 위한 소비자의 행동분석적 요인에 해당되지 않는 것은?
① 편익
② 제품사용경험
③ 제품의 사용정도
④ 상표애호도
⑤ 가족생애주기</t>
    <phoneticPr fontId="1" type="noConversion"/>
  </si>
  <si>
    <t>1-2010-105</t>
  </si>
  <si>
    <t>105. 어린이식품을 생산하여 판매하는 A사가 A라는 브랜드를 가지고 전국에 10개의 'A 어린이집'을 열고자 한다. A사가 사용하려는 브랜드 전략은?
① 라인확장(line extension)
② 차별화(differentiation)
③ 공동 브랜드(co-brand)
④ 리포지셔닝(repositioning)
⑤ 범주 확장(category extension)</t>
    <phoneticPr fontId="1" type="noConversion"/>
  </si>
  <si>
    <t>1-2010-106</t>
  </si>
  <si>
    <t>106. 임금수준 결정의 기업 내적 요소가 아닌 것은?
① 기업규모
② 경영전략
③ 노동조합
④ 생계비
⑤ 지불능력</t>
    <phoneticPr fontId="1" type="noConversion"/>
  </si>
  <si>
    <t>1-2010-107</t>
  </si>
  <si>
    <t>107. 상품A의 단위당 가격이 20,000원이고, 단위당 변동영업비용이 14,000원이다. 고정영업비용이 48,000,000원이라면 상품A의 손익분기점에 해당하는 매출액은?
① 140,000,000원
② 150,000,000원
③ 160,000,000원
④ 170,000,000원
⑤ 180,000,000원</t>
    <phoneticPr fontId="1" type="noConversion"/>
  </si>
  <si>
    <t>1-2010-108</t>
  </si>
  <si>
    <t>108. 문제의 분석가능성과 과업다양성이라는 두 가지 차원을 이용한 페로우(C. Perrow)의 기술분류에 해당되지 않는 것은?
① 장인기술
② 비일상적 기술
③ 중개형 기술
④ 일상적 기술
⑤ 공학적 기술</t>
    <phoneticPr fontId="1" type="noConversion"/>
  </si>
  <si>
    <t>1-2010-109</t>
  </si>
  <si>
    <t>109. 포터(M. E. Porter)가 주장한 경쟁력 확보를 위한 본원적 전략에 해당되는 것은?
① 제품전략, 서비스전략
② 유지전략, 혁신전략
③ 구조전략, 기능전략
④ 원가우위전략, 차별화전략
⑤ 구조조정전략, 인수합병전략</t>
    <phoneticPr fontId="1" type="noConversion"/>
  </si>
  <si>
    <t>1-2010-110</t>
  </si>
  <si>
    <t>110. 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
① ㄱ, ㄴ
② ㄴ, ㄷ
③ ㄱ, ㄷ, ㄹ
④ ㄴ, ㄷ, ㄹ
⑤ ㄱ, ㄴ, ㄷ, ㄹ</t>
    <phoneticPr fontId="1" type="noConversion"/>
  </si>
  <si>
    <t>1-2010-111</t>
  </si>
  <si>
    <t>111. 회계나 재무적 관점으로만 경영성과를 평가하는 전통적 성과평가 방식을 탈피하여 재무, 고객, 내부 프로세스 및 학습・성장 등의 네 가지 관점에서 경영성과를 평가하는 경영기법은?
① CRM
② BSC
③ SCM
④ KMS
⑤ ERP</t>
    <phoneticPr fontId="1" type="noConversion"/>
  </si>
  <si>
    <t>1-2010-112</t>
  </si>
  <si>
    <t>112. 허쯔버그(F. Herzberg)의 2요인이론에서 동기요인(motivator)에 해당되는 것은?
① 감독
② 성취감
③ 복리후생
④ 작업환경
⑤ 임금</t>
    <phoneticPr fontId="1" type="noConversion"/>
  </si>
  <si>
    <t>1-2010-113</t>
  </si>
  <si>
    <t>113. 유동자산 항목에 해당되는 것은?
① 재고자산
② 유형자산
③ 기계장치
④ 차량운반구
⑤ 무형자산</t>
    <phoneticPr fontId="1" type="noConversion"/>
  </si>
  <si>
    <t>1-2010-114</t>
  </si>
  <si>
    <t>114. 목표에 의한 관리(MBO)의 주요 특성이 아닌 것은?
① 목표달성 기간의 명시
② 상사와 부하간의 협의를 통한 목표설정
③ 다면평가
④ 목표의 구체성
⑤ 실적에 대한 피드백</t>
    <phoneticPr fontId="1" type="noConversion"/>
  </si>
  <si>
    <t>1-2010-115</t>
  </si>
  <si>
    <t>115. 정보가 지녀야 할 바람직한 가치 및 특성 중 가장 거리가 먼 것은?
① 적시성
② 완전성
③ 검증 가능성
④ 관련성
⑤ 복잡성</t>
    <phoneticPr fontId="1" type="noConversion"/>
  </si>
  <si>
    <t>1-2010-116</t>
  </si>
  <si>
    <t>116. 제품P의 연간 수요는 10,000개로 예상된다. 이 제품의 연간 재고유지비용이 단위당 100원이고, 주문 1회당 소요되는 주문비용은 200원이다. 이 경우 경제적 주문량(EOQ)은?
① 100
② 150
③ 200
④ 250
⑤ 300</t>
    <phoneticPr fontId="1" type="noConversion"/>
  </si>
  <si>
    <t>1-2010-117</t>
  </si>
  <si>
    <t>117. 핵크맨(J. R. Hackman)과 올드햄(G. Oldham)의 직무특성이론에서 제시된 핵심직무특성이 아닌 것은?
① 피드백
② 자율성
③ 기술다양성
④ 과업정체성
⑤ 직무전문성</t>
    <phoneticPr fontId="1" type="noConversion"/>
  </si>
  <si>
    <t>1-2010-118</t>
  </si>
  <si>
    <t>118. 영업활동을 통한 현금흐름에 해당되는 것은?
① 재화와 용역의 구입에 따른 현금유출
② 유형자산 처분에 따른 현금유입
③ 제3자에 대한 대여금
④ 주식이나 기타 지분상품의 발행에 따른 현금유입
⑤ 차입금의 상환에 따른 현금유출</t>
    <phoneticPr fontId="1" type="noConversion"/>
  </si>
  <si>
    <t>1-2010-119</t>
  </si>
  <si>
    <t>119. 직무를 수행하는데 필요한 기능, 능력, 자격 등 직무수행요건(인적요건)에 초점을 두어 작성한 직무분석의 결과물은?
① 직무명세서
② 직무평가
③ 직무표준서
④ 직무기술서
⑤ 직무지침서</t>
    <phoneticPr fontId="1" type="noConversion"/>
  </si>
  <si>
    <t>1-2010-120</t>
  </si>
  <si>
    <t>120. 총자산회전율을 계산할 때 분자에 해당되는 항목은?
① 당기순이익
② 매출액
③ 유동자산
④ 재고자산
⑤ 비유동자산</t>
    <phoneticPr fontId="1" type="noConversion"/>
  </si>
  <si>
    <t>1-2010-121</t>
  </si>
  <si>
    <t>121. 개인의 일부 특성을 기반으로 그 개인 전체를 평가하는 지각경향은?
① 스테레오타입
② 최근효과
③ 자존적 편견
④ 후광효과
⑤ 대조효과</t>
    <phoneticPr fontId="1" type="noConversion"/>
  </si>
  <si>
    <t>1-2010-122</t>
  </si>
  <si>
    <t>122. 생산관리의 주요 활동목표와 가장 거리가 먼 것은?
① 포지셔닝
② 품질
③ 원가
④ 납기
⑤ 유연성</t>
    <phoneticPr fontId="1" type="noConversion"/>
  </si>
  <si>
    <t>1-2010-123</t>
  </si>
  <si>
    <t>123. 상사의 의사결정이나 계획 및 통제의 권한을 위양하여 부하의 재량권과 자율성을 강화하는 직무설계 방식은?
① 직무확대
② 직무세분화
③ 직무충실화
④ 직무전문화
⑤ 직무특성화</t>
    <phoneticPr fontId="1" type="noConversion"/>
  </si>
  <si>
    <t>1-2010-124</t>
  </si>
  <si>
    <t>124. 마케팅 믹스에서 촉진활동에 해당되지 않는 것은?
① 광고
② 구전
③ 홍보
④ 판매촉진
⑤ 인적판매</t>
    <phoneticPr fontId="1" type="noConversion"/>
  </si>
  <si>
    <t>1-2010-125</t>
  </si>
  <si>
    <t>125. 집단 내에 강력한 리더가 있는 것은 아니지만 어느 정도 대표성 있는 인물을 통해 비교적 공식적인 계층을 따라 의사소통이 신속하게 이루어지는 의사소통 네트워크 유형은?
① 완전연결형
② 바퀴형
③ 원형
④ 연쇄형
⑤ Y자형</t>
    <phoneticPr fontId="1" type="noConversion"/>
  </si>
  <si>
    <t>1-2022-101</t>
    <phoneticPr fontId="1" type="noConversion"/>
  </si>
  <si>
    <t>1-2022-102</t>
  </si>
  <si>
    <t>1-2022-103</t>
  </si>
  <si>
    <t>1-2022-104</t>
  </si>
  <si>
    <t>1-2022-105</t>
  </si>
  <si>
    <t>1-2022-106</t>
  </si>
  <si>
    <t>1-2022-107</t>
  </si>
  <si>
    <t>1-2022-108</t>
  </si>
  <si>
    <t>1-2022-109</t>
  </si>
  <si>
    <t>1-2022-110</t>
  </si>
  <si>
    <t>1-2022-111</t>
  </si>
  <si>
    <t>1-2022-112</t>
  </si>
  <si>
    <t>1-2022-113</t>
  </si>
  <si>
    <t>1-2022-114</t>
  </si>
  <si>
    <t>1-2022-115</t>
  </si>
  <si>
    <t>1-2022-116</t>
  </si>
  <si>
    <t>1-2022-117</t>
  </si>
  <si>
    <t>1-2022-118</t>
  </si>
  <si>
    <t>1-2022-119</t>
  </si>
  <si>
    <t>1-2022-120</t>
  </si>
  <si>
    <t>1-2022-121</t>
  </si>
  <si>
    <t>1-2022-122</t>
  </si>
  <si>
    <t>1-2022-123</t>
  </si>
  <si>
    <t>1-2022-124</t>
  </si>
  <si>
    <t>1-2022-125</t>
  </si>
  <si>
    <t>101. 프랜차이즈(franchise)에 관한 설명으로 옳지 않은 것은?
① 가맹점은 운영측면에서 개인점포에 비해 자율성이 높다.
② 가맹본부의 사업확장이 용이하다.
③ 가맹점은 인지도가 있는 브랜드와 상품으로 사업을 시작할 수 있다.
④ 가맹점은 가맹본부로부터 경영지도와 지원을 받을 수 있다.
⑤ 가맹점은 프랜차이즈 비용이 부담이 될 수 있다.</t>
    <phoneticPr fontId="1" type="noConversion"/>
  </si>
  <si>
    <t>104. 직무스트레스에 관한 설명으로 옳지 않은 것은?
① 직무스트레스의 잠재적 원인으로는 환경요인, 조직적 요인, 개인적 요인이 존재한다.
② 직무스트레스 원인과 경험된 스트레스 간에 조정변수가 존재한다.
③ 사회적 지지는 직무스트레스의 조정변수이다.
④ 직무스트레스 결과로는 생리적 증상, 심리적 증상, 행동적 증상이 있다.
⑤ 직무스트레스와 직무성과간의 관계는 U자형으로 나타난다.</t>
    <phoneticPr fontId="1" type="noConversion"/>
  </si>
  <si>
    <t>105. 메이요(E. Mayo)의 호손실험 중 배선작업 실험에 관한 설명으로 옳지 않은 것은?
① 작업자를 둘러싸고 있는 사회적 요인들이 작업능률에 미치는 영향을 파악하였다.
② 생산현장에서 비공식조직을 확인하였다.
③ 비공식조직이 작업능률에 영향을 미치는 것을 발견하였다.
④ 관찰연구를 통해 진행되었다.
⑤ 경제적 욕구의 중요성을 재확인하였다.</t>
    <phoneticPr fontId="1" type="noConversion"/>
  </si>
  <si>
    <t>109. 직무분석에 관한 설명으로 옳은 것은?
① 직무의 내용을 체계적으로 정리하여 직무명세서를 작성한다.
② 직무수행자에게 요구되는 자격요건을 정리하여 직무기술서를 작성한다.
③ 직무분석과 인력확보를 연계하는 것은 타당하지 않다.
④ 직무분석은 작업장의 안전사고 예방에 도움이 된다.
⑤ 직무분석은 직무평가 결과를 토대로 실시한다.</t>
    <phoneticPr fontId="1" type="noConversion"/>
  </si>
  <si>
    <t>110. 스캔론 플랜(Scanlon Plan)에 관한 설명으로 옳지 않은 것은?
① 기업이 창출한 부가가치를 기준으로 성과급을 산정한다.
② 집단성과급제도이다.
③ 생산제품의 판매가치와 인건비의 관계에서 배분액을 결정한다.
④ 실제인건비가 표준인건비보다 적을 때 그 차액을 보너스로 배분한다.
⑤ 산출된 보너스액 중 일정액을 적립한 후 종업원분과 회사분으로 배분한다.</t>
    <phoneticPr fontId="1" type="noConversion"/>
  </si>
  <si>
    <t>118. 경제적 주문량(EOQ)에 관한 설명으로 옳지 않은 것은?
① 연간 재고유지비용과 연간 주문비용의 합이 최소화되는 주문량을 결정하는 것이다.
② 연간 재고유지비용과 연간 주문비용이 같아지는 지점에서 결정된다.
③ 연간 주문비용이 감소하면 경제적 주문량이 감소한다.
④ 연간 재고유지비용이 감소하면 경제적 주문량이 감소한다.
⑤ 연간 수요량이 증가하면 경제적 주문량이 증가한다.</t>
    <phoneticPr fontId="1" type="noConversion"/>
  </si>
  <si>
    <t>102. 앤소프(H. I. Ansoff)의 제품- 시장 확장전략 중 기존 제품으로 기존 시장의 점유율을 확대해 가는 전략은?
① 원가우위 전략 
② 시장침투 전략 
③ 시장개발 전략
④ 제품개발 전략 
⑤ 다각화 전략</t>
    <phoneticPr fontId="1" type="noConversion"/>
  </si>
  <si>
    <t>103. 포터(M. Porter)의 산업구조분석 모형에서, 소비자 관점의 사용용도가 유사한 다른 제품을 고려하는 경쟁분석의 요소는?
① 산업내 기존 경쟁업체간 경쟁 
② 잠재적 경쟁자의 진입 가능성
③ 대체재의 위협 
④ 공급자의 교섭력
⑤ 구매자의 교섭력</t>
    <phoneticPr fontId="1" type="noConversion"/>
  </si>
  <si>
    <t>108. 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
① 자원의존 이론 
② 제도화 이론 
③ 학습조직 이론
④ 조직군 생태학 이론 
⑤ 거래비용 이론</t>
    <phoneticPr fontId="1" type="noConversion"/>
  </si>
  <si>
    <t>111. 기존 브랜드명을 새로운 제품범주의 신제품에 사용하는 것은?
① 공동 브랜딩(co - branding) 
② 복수 브랜딩(multi - branding)
③ 신규 브랜드(new brand) 
④ 라인 확장(line extension)
⑤ 브랜드 확장(brand extension)</t>
    <phoneticPr fontId="1" type="noConversion"/>
  </si>
  <si>
    <t>112. 제품의 기본가격을 조정하여 세분시장별로 가격을 달리하는 가격결정이 아닌 것은?
① 고객집단 가격결정 
② 묶음제품 가격결정 
③ 제품형태 가격결정
④ 입지 가격결정 
⑤ 시간 가격결정</t>
    <phoneticPr fontId="1" type="noConversion"/>
  </si>
  <si>
    <t>114. 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
① ㄱ, ㄴ 
② ㄱ, ㄷ 
③ ㄱ, ㄹ 
④ ㄴ, ㄷ 
⑤ ㄷ, ㄹ</t>
    <phoneticPr fontId="1" type="noConversion"/>
  </si>
  <si>
    <t>115. 재무상태표의 자산 항목에 해당하지 않는 것은?
① 미수금 
② 단기대여금 
③ 선급금 
④ 이익준비금 
⑤ 선급비용</t>
    <phoneticPr fontId="1" type="noConversion"/>
  </si>
  <si>
    <t>116. 투자안의 경제성 평가 방법에 관한 설명으로 옳은 것은?
① 회계적이익률법의 회계적이익률은 연평균 영업이익을 연평균 매출액으로 나누어 산출한다.
② 회수기간법은 회수기간 이후의 현금흐름을 고려한다.
③ 순현재가치법은 재투자수익률을 내부수익률로 가정한다.
④ 내부수익률법에서 개별투자안의 경우 내부수익률이 0보다 크면 경제성이 있다.
⑤ 수익성지수법에서 개별투자안의 경우 수익성 지수가 1보다 크면 경제성이 있다.</t>
    <phoneticPr fontId="1" type="noConversion"/>
  </si>
  <si>
    <t>117. A주식에 대한 분산은 0.06이고, B주식에 대한 분산은 0.08이다. A주식의 수익률과 B주식의 수익률간의 상관계수가 0인 경우, 총 투자자금 중 A주식과 B주식에 절반씩 투자한 포트폴리오의 분산은?
① 0.025 
② 0.035 
③ 0.045 
④ 0.055 
⑤ 0.065</t>
    <phoneticPr fontId="1" type="noConversion"/>
  </si>
  <si>
    <t>119. 생산 프로세스에서 낭비를 제거하여 부가가치를 극대화하기 위한 것은?
① 린(lean) 생산 
② 자재소요계획(MRP)
③ 장인생산(craft production) 
④ 대량고객화(mass customization)
⑤ 오프쇼오링(off - shoring)</t>
    <phoneticPr fontId="1" type="noConversion"/>
  </si>
  <si>
    <t>121. 서비스 품질평가에 사용되는 SERVQUAL 모형의 서비스 차원이 아닌 것은?
① 유형성(tangibles) 
② 신뢰성(reliability) 
③ 반응성(responsiveness)
④ 공감성(empathy) 
⑤ 소멸성(perishability)</t>
    <phoneticPr fontId="1" type="noConversion"/>
  </si>
  <si>
    <t>123. 회계거래 분개에 관한 설명으로 옳은 것은?
① 매입채무의 증가는 차변에 기록한다. 
② 장기대여금의 증가는 대변에 기록한다.
③ 자본금의 감소는 차변에 기록한다. 
④ 임대료 수익의 발생은 차변에 기록한다.
⑤ 급여의 지급은 대변에 기록한다.</t>
    <phoneticPr fontId="1" type="noConversion"/>
  </si>
  <si>
    <t>124. 컴퓨터, 저장장치, 애플리케이션, 서비스 등과 같은 컴퓨팅 자원의 공유된 풀(pool)을 인터넷으로 접근할 수 있게 해주는 것은?
① 클라이언트/서버 컴퓨팅(client/server computing)
② 엔터프라이즈 컴퓨팅(enterprise computing)
③ 온프레미스 컴퓨팅(on - premise computing)
④ 그린 컴퓨팅(green computing)
⑤ 클라우드 컴퓨팅(cloud computing)</t>
    <phoneticPr fontId="1" type="noConversion"/>
  </si>
  <si>
    <t>125. 특정기업의 이메일로 위장한 메일을 불특정 다수에게 발송하여 권한 없이 데이터를 획득하는 방식은?
① 파밍(pharming)
② 스니핑(sniffing)
③ 피싱(phishing)
④ 서비스 거부 공격(denial - of - service attack)
⑤ 웜(worm)</t>
    <phoneticPr fontId="1" type="noConversion"/>
  </si>
  <si>
    <t>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t>
    <phoneticPr fontId="1" type="noConversion"/>
  </si>
  <si>
    <t>채점</t>
    <phoneticPr fontId="1" type="noConversion"/>
  </si>
  <si>
    <t>풀이</t>
    <phoneticPr fontId="1" type="noConversion"/>
  </si>
  <si>
    <t>Y</t>
  </si>
  <si>
    <t>101. 포터(M. Porter)의 가치사슬모델에서 주요 활동에 해당하지 않는 것은?
① 운영・제조
② 입고・출고
③ 고객서비스
④ 영업・마케팅
⑤ 인적자원관리</t>
    <phoneticPr fontId="1" type="noConversion"/>
  </si>
  <si>
    <t>비고</t>
    <phoneticPr fontId="1" type="noConversion"/>
  </si>
  <si>
    <t>106. 구성원들 간 의사소통이 강력한 특정 리더에게 집중되는 유형은?
① 원형
② Y자형
③ 수레바퀴형
④ 사슬형
⑤ 전체연결형</t>
    <phoneticPr fontId="1" type="noConversion"/>
  </si>
  <si>
    <t>117. (주)한국의 연도별 제품 판매량은 다음과 같다. 과거 3년간의 데이터를 바탕으로 단순이동평균법을 적용하였을 때 2020년도의 수요예측량은?
연도       판매량(개)
2014       2,260
2015       2,090
2016       2,110
2017       2,150
2018       2,310
2019       2,410
① 2,270
② 2,280
③ 2,290
④ 2,300
⑤ 2,310</t>
    <phoneticPr fontId="1" type="noConversion"/>
  </si>
  <si>
    <t>118. 선물거래에 관한 설명으로 옳지 않은 것은?
① 조직화된 공식시장에서 거래가 이루어진다.
② 다수의 불특정 참가자가 자유롭게 시장에 참여한다.
③ 거래대상, 거래단위 등의 거래조건이 표준화되어 있다.
④ 계약의 이행을 보증하려는 제도적 장치로 일일정산, 증거금 등이 있다.
⑤ 반대매매를 통한 중도청산이 어려워 만기일에 실물의 인수・인도가 이루어진다.</t>
    <phoneticPr fontId="1" type="noConversion"/>
  </si>
  <si>
    <t>112. 마약퇴치 운동과 같이 불건전한 수요를 파괴시키는 데 활용되는 마케팅은?
① 동시화 마케팅(Synchro Marketing)
② 재마케팅(Remarketing)
③ 디마케팅(Demarketing)
④ 대항 마케팅(Counter Marketing)
⑤ 터보 마케팅(Turbo Marketing)</t>
    <phoneticPr fontId="1" type="noConversion"/>
  </si>
  <si>
    <t>119. 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
① 50대, 5회
② 50대, 10회
③ 100대, 5회
④ 100대, 7회
⑤ 250대, 2회</t>
    <phoneticPr fontId="1" type="noConversion"/>
  </si>
  <si>
    <t>108. 성격의 Big5 모형에 해당하지 않는 것은?
① 정서적 안정성
② 성실성
③ 친화성
④ 모험선호성
⑤ 개방성</t>
    <phoneticPr fontId="1" type="noConversion"/>
  </si>
  <si>
    <t>120. 다음의 수요예측기법 중 시계열(tiem series) 예측기법에 해당하는 것을 모두 고른 것은?
ㄱ. 이동평균법
ㄴ. 지수평활기법
ㄷ. 델파이 기법
① ㄱ
② ㄴ
③ ㄱ, ㄴ
④ ㄴ, ㄷ
⑤ ㄱ, ㄴ, ㄷ</t>
    <phoneticPr fontId="1" type="noConversion"/>
  </si>
  <si>
    <t>113. 새로운 마케팅 기회를 확보하기 위해 동일한 유통경로 단계에 있는 둘 이상의 기업이 제휴하는 시스템은?
① 혁신 마케팅시스템 
② 수평적 마케팅시스템
③ 계약형 수직적 마케팅시스템 
④ 관리형 수직적 마케팅시스템
⑤ 기업형 수직적 마케팅시스템</t>
    <phoneticPr fontId="1" type="noConversion"/>
  </si>
  <si>
    <t>1-2017-117</t>
    <phoneticPr fontId="1" type="noConversion"/>
  </si>
  <si>
    <t>추출
대상</t>
    <phoneticPr fontId="1" type="noConversion"/>
  </si>
  <si>
    <t>1-2024-100</t>
  </si>
  <si>
    <t>1-2024-101</t>
  </si>
  <si>
    <t>1-2024-102</t>
  </si>
  <si>
    <t>1-2024-103</t>
  </si>
  <si>
    <t>1-2024-104</t>
  </si>
  <si>
    <t>1-2024-105</t>
  </si>
  <si>
    <t>1-2024-106</t>
  </si>
  <si>
    <t>1-2024-107</t>
  </si>
  <si>
    <t>1-2024-108</t>
  </si>
  <si>
    <t>1-2024-109</t>
  </si>
  <si>
    <t>1-2024-110</t>
  </si>
  <si>
    <t>1-2024-111</t>
  </si>
  <si>
    <t>1-2024-112</t>
  </si>
  <si>
    <t>1-2024-113</t>
  </si>
  <si>
    <t>1-2024-114</t>
  </si>
  <si>
    <t>1-2024-115</t>
  </si>
  <si>
    <t>1-2024-116</t>
  </si>
  <si>
    <t>1-2024-117</t>
  </si>
  <si>
    <t>1-2024-118</t>
  </si>
  <si>
    <t>1-2024-119</t>
  </si>
  <si>
    <t>1-2024-120</t>
  </si>
  <si>
    <t>1-2024-081</t>
    <phoneticPr fontId="1" type="noConversion"/>
  </si>
  <si>
    <t>1-2024-082</t>
  </si>
  <si>
    <t>1-2024-083</t>
  </si>
  <si>
    <t>1-2024-084</t>
  </si>
  <si>
    <t>1-2024-085</t>
  </si>
  <si>
    <t>1-2024-086</t>
  </si>
  <si>
    <t>1-2024-087</t>
  </si>
  <si>
    <t>1-2024-088</t>
  </si>
  <si>
    <t>1-2024-089</t>
  </si>
  <si>
    <t>1-2024-090</t>
  </si>
  <si>
    <t>1-2024-091</t>
  </si>
  <si>
    <t>1-2024-092</t>
  </si>
  <si>
    <t>1-2024-093</t>
  </si>
  <si>
    <t>1-2024-094</t>
  </si>
  <si>
    <t>1-2024-095</t>
  </si>
  <si>
    <t>1-2024-096</t>
  </si>
  <si>
    <t>1-2024-097</t>
  </si>
  <si>
    <t>1-2024-098</t>
  </si>
  <si>
    <t>1-2024-099</t>
  </si>
  <si>
    <t>106. 투자안의 경제성 분석방법에 관한 설명으로 옳은 것은?
① 투자형 현금흐름의 투자안에서 내부수익률은 투자수익률을 의미한다.
② 화폐의 시간가치를 고려하는 분석방법은 순현재가치법이 유일하다.
③ 순현재가치법에서는 가치가산의 원칙이 성립하지 않는다.
④ 내부수익률법에서는 재투자수익률을 자본비용으로 가정한다.
⑤ 수익성지수법은 순현재가치법과 항상 동일한 투자선택의 의사결정을 한다.</t>
    <phoneticPr fontId="1" type="noConversion"/>
  </si>
  <si>
    <t>116. 재무비율에 관한 설명으로 옳지 않은 것은?
① 자산이용의 효율성을 분석하는 것은 활동성비율이다.
② 이자보상비율은 채권자에게 지급해야 할 고정비용인 이자비용의 안전도를 나타낸다.
③ 유동비율은 유동자산을 유동부채로 나눈 것이다.
④ 자기자본순이익률(ROE)은 주주 및 채권자의 관점에서 본 수익성비율이다.
⑤ 재무비율분석 시 기업 간 회계방법의 차이가 있음을 고려해야 한다.</t>
    <phoneticPr fontId="1" type="noConversion"/>
  </si>
  <si>
    <t>118. 유형자산의 취득원가에 포함되는 것은?
① 파손된 유리와 소모품의 대체
② 마모된 자산의 원상복구
③ 건물 취득 후 가입한 보험에 대한 보험료
④ 유형자산 취득 시 발생한 운반비
⑤ 건물의 도색</t>
    <phoneticPr fontId="1" type="noConversion"/>
  </si>
  <si>
    <t>81. 테일러(F. W. Taylor)의 과학적 관리법에 제시된 원칙으로 옳은 것을 모두 고른 것은?
ㄱ. 작업방식의 과학적 연구 
ㄴ. 과학적 선발 및 훈련
ㄷ. 관리자와 작업자들 간의 협력 
ㄹ. 관리활동의 분업
① ㄱ, ㄴ 
② ㄷ, ㄹ 
③ ㄱ, ㄴ, ㄷ
④ ㄴ, ㄷ, ㄹ 
⑤ ㄱ, ㄴ, ㄷ, ㄹ</t>
    <phoneticPr fontId="1" type="noConversion"/>
  </si>
  <si>
    <t>82. 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
① ㄱ 
② ㄴ 
③ ㄱ, ㄴ 
④ ㄱ, ㄷ 
⑤ ㄱ, ㄴ, ㄷ</t>
    <phoneticPr fontId="1" type="noConversion"/>
  </si>
  <si>
    <t>83. 기업 외부의 개인이나 그룹과 접촉하여 외부환경에 관한 중요한 정보를 얻는 활동은?
① 광고 
② 예측활동
③ 공중관계(PR) 
④ 활동영역 변경
⑤ 경계연결(boundary spanning)</t>
    <phoneticPr fontId="1" type="noConversion"/>
  </si>
  <si>
    <t>84. 조직의 목표를 달성하기 위하여 조직구성원들이 담당해야 할 역할 구조를 설정하는 관리과정의 단계는?
① 계획 
② 조직화 
③ 지휘 
④ 조정 
⑤ 통제</t>
    <phoneticPr fontId="1" type="noConversion"/>
  </si>
  <si>
    <t>85. 캐롤(B. A. Carroll)이 주장한 기업의 사회적 책임 중 책임성격이 의무성 보다 자발성에 기초하는 것을 모두 고른 것은?
ㄱ. 경제적 책임 
ㄴ. 법적 책임 
ㄷ. 윤리적 책임 
ㄹ. 자선적 책임
① ㄱ, ㄴ 
② ㄴ, ㄷ 
③ ㄷ, ㄹ 
④ ㄱ, ㄴ, ㄹ 
⑤ ㄴ, ㄷ, ㄹ</t>
    <phoneticPr fontId="1" type="noConversion"/>
  </si>
  <si>
    <t>86. 포터(M. Porter)의 산업구조분석 모형에 관한 설명으로 옳지 않은 것은?
① 산업 내 경쟁이 심할수록 산업의 수익률은 낮아진다.
② 새로운 경쟁자에 대한 진입장벽이 낮을수록 해당 산업의 경쟁이 심하다.
③ 산업 내 대체재가 많을수록 기업의 수익이 많이 창출된다.
④ 구매자의 교섭력은 소비자들이 기업의 제품을 선택하거나 다른 제품을 구매할 수 있는 힘을 의미한다.
⑤ 공급자의 교섭력을 결정하는 요인으로는 공급자의 집중도, 공급물량, 공급자 판매품의 중요도 등이 있다.</t>
    <phoneticPr fontId="1" type="noConversion"/>
  </si>
  <si>
    <t>87. 효과적인 의사소통을 방해하는 요인 중 발신자와 관련된 요인이 아닌 것은?
① 의사소통 기술의 부족 
② 준거체계의 차이 
③ 의사소통 목적의 결여
④ 신뢰성의 부족 
⑤ 정보의 과부하</t>
    <phoneticPr fontId="1" type="noConversion"/>
  </si>
  <si>
    <t>88. 변혁적 리더십의 구성요소 중 다음 내용에 해당하는 것은?
○ 높은 기대치를 전달하고, 노력에 집중할 수 있도록 상징을 사용
○ 미래에 대한 매력적인 비전 제시, 업무의 의미감 부여, 낙관주의와 열정을 표출
① 예외에 의한 관리 
② 영감적 동기부여 
③ 지적 자극
④ 이상적 영향력 
⑤ 개인화된 배려</t>
    <phoneticPr fontId="1" type="noConversion"/>
  </si>
  <si>
    <t>89. 다음 특성에 부합하는 직무평가 방법으로 옳은 것은?
○ 비계량적 평가
○ 직무 전체를 포괄적으로 평가
○ 직무와 직무를 상호 비교하여 평가
① 서열법 
② 등급법 
③ 점수법 
④ 분류법 
⑤ 요소비교법</t>
    <phoneticPr fontId="1" type="noConversion"/>
  </si>
  <si>
    <t>90. 기업이 종업원에게 지급하는 임금의 계산 및 지불 방법에 해당하는 것은?
① 임금수준 
② 임금체계 
③ 임금형태 
④ 임금구조 
⑤ 임금결정</t>
    <phoneticPr fontId="1" type="noConversion"/>
  </si>
  <si>
    <t>91. 고과자가 평가방법을 잘 이해하지 못하거나 피고과자들 간의 차이를 인식하지 못하는 무능력에서 발생할 수 있는 인사고과의 오류는?
① 중심화 경향 
② 논리적 오류 
③ 현혹효과 
④ 상동적 태도 
⑤ 근접오차</t>
    <phoneticPr fontId="1" type="noConversion"/>
  </si>
  <si>
    <t>92. 산업별 노동조합 또는 교섭권을 위임받은 상급단체와 개별 기업의 사용자 간에 이루어지는 단체교섭 유형은?
① 대각선 교섭 
② 통일적 교섭 
③ 기업별 교섭 
④ 공동교섭 
⑤ 집단교섭</t>
    <phoneticPr fontId="1" type="noConversion"/>
  </si>
  <si>
    <t>93. 외부 모집과 비교한 내부 모집의 장점을 모두 고른 것은?
ㄱ. 승진기회 확대로 종업원 동기 부여
ㄴ. 지원자에 대한 평가의 정확성 확보
ㄷ. 인력수요에 대한 양적 충족 가능
① ㄱ 
② ㄴ 
③ ㄱ, ㄴ 
④ ㄴ, ㄷ 
⑤ ㄱ, ㄴ, ㄷ</t>
    <phoneticPr fontId="1" type="noConversion"/>
  </si>
  <si>
    <t>94. 다음과 같은 장점을 지닌 조직구조는?
○ 관리 비용을 절감할 수 있음
○ 작은 기업들도 전 세계의 자원과 전문적인 인력을 활용할 수 있음
○ 창업 초기에 공장이나 설비 등의 막대한 투자없이도 사업이 가능
① 사업별 조직구조 
② 프로세스 조직구조 
③ 매트릭스 조직구조
④ 지역별 조직구조 
⑤ 네트워크 조직구조</t>
    <phoneticPr fontId="1" type="noConversion"/>
  </si>
  <si>
    <t>95. 페로우(C. Perrow)의 기술분류 유형 중 과업다양성과 분석가능성이 모두 낮은 유형은?
① 일상적 기술 
② 비일상적 기술 
③ 장인기술
④ 공학기술 
⑤ 중개기술</t>
    <phoneticPr fontId="1" type="noConversion"/>
  </si>
  <si>
    <t>96. 마일즈(R. Miles)와 스노우(C. Snow)의 전략 유형 중 유연성이 높고 분권화된 학습지향 조직구조로 설계하는 것이 적합한 전략은?
① 반응형 전략 
② 저원가 전략 
③ 분석형 전략 
④ 공격형 전략 
⑤ 방어형 전략</t>
    <phoneticPr fontId="1" type="noConversion"/>
  </si>
  <si>
    <t>97. 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
① ㄱ, ㄴ, ㄷ 
② ㄱ, ㄴ, ㅁ 
③ ㄱ, ㄴ, ㄹ, ㅁ
④ ㄱ, ㄷ, ㄹ, ㅁ 
⑤ ㄴ, ㄷ, ㄹ, ㅁ</t>
    <phoneticPr fontId="1" type="noConversion"/>
  </si>
  <si>
    <t>98. 킬만(T. Kilmann)의 갈등관리 유형 중 목적달성을 위해 비협조적으로 자기 관심사만을 만족시키려는 유형은?
① 협력형 
② 수용형 
③ 회피형 
④ 타협형 
⑤ 경쟁형</t>
    <phoneticPr fontId="1" type="noConversion"/>
  </si>
  <si>
    <t>99. 효과적인 시장세분화가 되기 위한 조건으로 옳지 않은 것은?
① 세분화를 위해 사용되는 변수들이 측정가능해야 한다.
② 세분시장에 속하는 고객들에게 효과적이고 효율적으로 접근할 수 있어야 한다.
③ 세분시장 내 고객들과 기업의 적합성은 가능한 낮아야 한다.
④ 같은 세분시장에 속한 고객들끼리는 최대한 비슷해야 하고 서로 다른 세분시장에 속한 고객들 간에는 이질성이 있어야 한다.
⑤ 세분시장의 규모는 마케팅활동으로 이익이 날 수 있을 정도로 충분히 커야 한다.</t>
    <phoneticPr fontId="1" type="noConversion"/>
  </si>
  <si>
    <t>100. 다음에서 설명하는 제품수명주기의 단계는?
○ 고객의 신제품수용이 늘어나 생산량이 급속히 증가하면서 단위당 제품원가, 유통비용, 촉진비용이 하락한다.
○ 지속적인 판매량 증대로 이익이 빠르게 늘어난다.
① 도입기 
② 성장기 
③ 성숙기 
④ 정체기 
⑤ 쇠퇴기</t>
    <phoneticPr fontId="1" type="noConversion"/>
  </si>
  <si>
    <t>101. 4P 중 가격에 관한 설명으로 옳지 않은 것은?
① 가격은 다른 마케팅믹스 요소들과 달리 상대적으로 쉽게 변경할 수 있다.
② 구매자가 가격이 비싼지 싼지를 판단하는 기준으로 삼는 가격을 준거가격이라 한다.
③ 구매자가 어떤 상품에 대해 지불할 용의가 있는 최저가격을 유보가격이라 한다.
④ 가격변화를 느끼게 만드는 최소의 가격변화 폭을 JND(just noticeable difference)라 한다.
⑤ 구매자들이 가격이 높은 상품일수록 품질도 높다고 믿는 것을 가격-품질 연상이라 한다.</t>
    <phoneticPr fontId="1" type="noConversion"/>
  </si>
  <si>
    <t>102. 판매촉진의 수단 중 소비자들의 구입가격을 인하시키는 효과를 갖는 가격수단의 유형을 모두 고른 것은?
ㄱ. 할인쿠폰 
ㄴ. 샘플 
ㄷ. 보상판매 
ㄹ. 보너스팩
① ㄱ, ㄴ 
② ㄷ, ㄹ 
③ ㄱ, ㄴ, ㄷ
④ ㄱ, ㄷ, ㄹ 
⑤ ㄱ, ㄴ, ㄷ, ㄹ</t>
    <phoneticPr fontId="1" type="noConversion"/>
  </si>
  <si>
    <t>103. 브랜드에 관한 설명으로 옳지 않은 것은?
① 브랜드는 제품이나 서비스와 관련된 이름, 상징, 혹은 기호로서 그것에 대해 구매자가 심리적인 의미를 부여하는 것이다.
② 브랜드 자산은 소비자가 브랜드에 부여하는 가치, 즉 브랜드가 창출하는 부가가치를 말한다.
③ 켈러(J. Keller)에 따르면, 브랜드 자산의 원천은 브랜드의 인지도와 브랜드의 이미지이다.
④ 브랜드 이미지는 긍정적이고 독특하며 강력해야 한다.
⑤ 브랜드 개발은 창의적인 광고를 통해 관련 이미지를 만들어내는 것이다.</t>
    <phoneticPr fontId="1" type="noConversion"/>
  </si>
  <si>
    <r>
      <t>104. 금년 초에 5,000원의 배당(=d</t>
    </r>
    <r>
      <rPr>
        <vertAlign val="subscript"/>
        <sz val="10"/>
        <color theme="1"/>
        <rFont val="함초롬바탕"/>
        <family val="1"/>
        <charset val="129"/>
      </rPr>
      <t>0</t>
    </r>
    <r>
      <rPr>
        <sz val="10"/>
        <color theme="1"/>
        <rFont val="함초롬바탕"/>
        <family val="1"/>
        <charset val="129"/>
      </rPr>
      <t>)을 지급한 A기업의 배당은 매년 영원히 5%로 일정하게 성장할 것으로 예상된다. 요구수익률이 10%일 경우 이 주식의 현재가치는?
① 50,000원 
② 52,500원 
③ 100,000원 
④ 105,000원 
⑤ 110,000원</t>
    </r>
    <phoneticPr fontId="1" type="noConversion"/>
  </si>
  <si>
    <t>105. 자본시장선(CML)과 증권시장선(SML)에 관한 설명으로 옳지 않은 것은?
① 증권시장선 보다 아래에 위치하는 주식은 주가가 과대평가 된 주식이다.
② 자본시장선은 개별위험자산의 기대수익률과 체계적 위험(베타) 간의 선형관계를 설명한다.
③ 자본시장선 상에는 비체계적 위험을 가진 포트폴리오가 놓이지 않는다.
④ 동일한 체계적 위험(베타)을 가지고 있는 자산이면 증권시장선 상에서 동일한 위치에 놓인다.
⑤ 균형상태에서 모든 위험자산의 체계적 위험(베타) 대비 초과수익률(기대수익률 [E(ri)] - 무위험수익률 [rf])이 동일하다.</t>
    <phoneticPr fontId="1" type="noConversion"/>
  </si>
  <si>
    <t>107. 총자산순이익률(ROA)이 20%, 매출액순이익률이 8%일 때 총자산회전율은?
① 2 
② 2.5 
③ 3 
④ 3.5 
⑤ 4</t>
    <phoneticPr fontId="1" type="noConversion"/>
  </si>
  <si>
    <t>108. 다음 채권의 듀레이션은? (단, 소수점 셋째 자리에서 반올림한다.)
○ 액면가액 1,000원
○ 액면이자율 연 10%, 매년 말 이자지급
○ 만기 2년
○ 만기수익률 연 12%
① 1.75년 
② 1.83년 
③ 1.87년 
④ 1.91년 
⑤ 2.00년</t>
    <phoneticPr fontId="1" type="noConversion"/>
  </si>
  <si>
    <t>109. 가치분석/가치공학분석에서 사용하는 브레인스토밍(brainstorming)의 주제로 옳지 않은 것은?
① 불필요한 제품의 특성은 없는가?
② 추가되어야 할 공정은 없는가?
③ 무게를 줄일 수는 없는가?
④ 두 개 이상의 부품을 하나로 결합할 수 없는가?
⑤ 제거되어야 할 비표준화된 부품은 없는가?</t>
    <phoneticPr fontId="1" type="noConversion"/>
  </si>
  <si>
    <t>110. 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
① 606만개 
② 632만개 
③ 658만개 
④ 744만개 
⑤ 766만개</t>
    <phoneticPr fontId="1" type="noConversion"/>
  </si>
  <si>
    <t>111. 공급사슬관리의 효율성을 측정하는 지표로 옳은 것은?
① 재고회전율 
② 원자재투입량 
③ 최종고객주문량
④ 수요통제 
⑤ 채찍효과</t>
    <phoneticPr fontId="1" type="noConversion"/>
  </si>
  <si>
    <t>112. 준비비용이 일정하다고 가정하는 경제적 주문량(EOQ)과는 달리 준비비용을 최대한 줄이고자 하는 시스템은?
① 유연생산시스템(FMS) 
② 자재소요관리시스템(MRP)
③ 컴퓨터통합생산시스템(CIM) 
④ ABC 재고관리시스템
⑤ 적시생산시스템(JIT)</t>
    <phoneticPr fontId="1" type="noConversion"/>
  </si>
  <si>
    <t>113. 기업에서 생산목표상의 경쟁우선순위에 해당하지 않는 것은?
① 기술 
② 품질 
③ 원가 
④ 시간 
⑤ 유연성</t>
    <phoneticPr fontId="1" type="noConversion"/>
  </si>
  <si>
    <t>114. 품질문제와 관련하여 발생하는 외부 실패비용에 해당하지 않는 것은?
① 고객불만 비용 
② 보증 비용 
③ 반품 비용
④ 스크랩 비용 
⑤ 제조물책임 비용</t>
    <phoneticPr fontId="1" type="noConversion"/>
  </si>
  <si>
    <t>115. 회계거래 분개 시 차변에 기록해야 하는 것은?
① 선수금의 증가 
② 미수수익의 증가 
③ 매출의 발생
④ 미지급비용의 증가 
⑤ 매입채무의 증가</t>
    <phoneticPr fontId="1" type="noConversion"/>
  </si>
  <si>
    <t>117. 유형자산의 감가상각에 관한 설명으로 옳은 것은?
① 감가상각누계액은 내용연수 동안 비용처리 할 감가상각비의 총액이다.
② 정액법과 정률법에서는 감가대상금액을 기초로 감가상각비를 산정한다.
③ 정률법은 내용연수 후반부로 갈수록 감가상각비를 많이 인식한다.
④ 회계적 관점에서 감가상각은 자산의 평가과정이라기 보다 원가배분과정이라고 할 수 있다.
⑤ 모든 유형자산은 시간이 경과함에 따라 가치가 감소하므로 가치의 감소를 인식하기 위해 감가상각한다.</t>
    <phoneticPr fontId="1" type="noConversion"/>
  </si>
  <si>
    <t>119. 다음에서 설명하는 것은?
○ 데이터 소스에서 가까운 네트워크 말단의 서버들에서 일부 데이터 처리를 수행한다.
○ 클라우드 컴퓨팅 시스템을 최적화하는 방법이다.
① 엣지 컴퓨팅 
② 그리드 컴퓨팅 
③ 클라이언트/서버 컴퓨팅
④ 온디멘드 컴퓨팅 
⑤ 엔터프라이즈 컴퓨팅</t>
    <phoneticPr fontId="1" type="noConversion"/>
  </si>
  <si>
    <t>120. 비정형 텍스트 데이터의 가치와 의미를 찾아내는 빅데이터 분석기법은?
① 에쓰노그라피(ethnography) 분석 
② 포커스그룹(focus group) 인터뷰
③ 텍스트마이닝 
④ 군집 분석
⑤ 소셜네트워크 분석</t>
    <phoneticPr fontId="1" type="noConversion"/>
  </si>
  <si>
    <t>107. 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
① ㄱ, ㄴ 
② ㄱ, ㄷ 
③ ㄴ, ㄷ 
④ ㄴ, ㄹ 
⑤ ㄷ, ㄹ</t>
    <phoneticPr fontId="1" type="noConversion"/>
  </si>
  <si>
    <t>109. 서번트 리더의 특성으로 옳지 않은 것은?
① 부하의 성장을 위해 헌신한다.
② 부하의 감정에 공감하고 이해하려고 노력한다.
③ 권력이나 지시보다는 설득으로 부하를 대한다.
④ 조직의 구성원들에게 공동체 정신을 심어준다.
⑤ 비전 달성을 위해 위험감수 등 비범한 행동을 보인다.</t>
    <phoneticPr fontId="1" type="noConversion"/>
  </si>
  <si>
    <t>118. A기업은 1년간 400개의 부품을 사용한다. 부품가격은 개당 1,000원, 주문비용은 회당 10,000원, 단위당 연간 재고유지비용은 부품가격의 20%라면 이 부품의 경제적 주문량(EOQ)은?
① 100개
② 150개
③ 200개
④ 250개
⑤ 300개</t>
    <phoneticPr fontId="1" type="noConversion"/>
  </si>
  <si>
    <t>123. 재무상태표와 관련되는 것을 모두 고른 것은?
ㄱ. 수익・비용대응의 원칙
ㄴ. 일정시점의 재무상태
ㄷ. 유동성배열법
ㄹ. 일정기간의 경영성과
ㅁ. 자산, 부채 및 자본
① ㄱ, ㄴ
② ㄱ, ㄹ
③ ㄴ, ㄷ, ㄹ
④ ㄴ, ㄷ, ㅁ
⑤ ㄷ, ㄹ, ㅁ</t>
    <phoneticPr fontId="1" type="noConversion"/>
  </si>
  <si>
    <t>101. 페로우(C. Perrow)가 제시한 기술 분류 기준으로 옳은 것을 모두 고른 것은?
ㄱ. 기술복잡성
ㄴ. 과업다양성
ㄷ. 상호의존성
ㄹ. 과업정체성
ㅁ. 문제분석 가능성
① ㄱ, ㄴ
② ㄴ, ㄹ
③ ㄴ, ㅁ
④ ㄷ, ㅁ
⑤ ㄱ, ㄷ, ㄹ</t>
    <phoneticPr fontId="1" type="noConversion"/>
  </si>
  <si>
    <t>123. 유형자산에 해당하는 항목을 모두 고른 것은?
ㄱ. 특허권
ㄴ. 건물
ㄷ. 비품
ㄹ. 라이선스
① ㄱ, ㄴ
② ㄴ, ㄷ
③ ㄱ, ㄴ, ㄷ
④ ㄴ, ㄷ, ㄹ
⑤ ㄱ, ㄴ, ㄷ, ㄹ</t>
    <phoneticPr fontId="1" type="noConversion"/>
  </si>
  <si>
    <t>114. 브랜드(Brand) 요소를 모두 고른 것은?
ㄱ. 징글(Jingle)
ㄴ. 케릭터(Character)
ㄷ. 슬로건(Slogan)
ㄹ. 심볼(Symbol)
① ㄱ, ㄴ
② ㄷ, ㄹ
③ ㄱ, ㄴ, ㄷ
④ ㄴ, ㄷ, ㄹ
⑤ ㄱ, ㄴ, ㄷ, ㄹ</t>
    <phoneticPr fontId="1" type="noConversion"/>
  </si>
  <si>
    <t>110. 조직으로부터 나오는 권력을 모두 고른 것은?
ㄱ. 보상적 권력
ㄴ. 전문적 권력
ㄷ. 합법적 권력
ㄹ. 준거적 권력
ㅁ. 강제적 권력
① ㄱ, ㄴ, ㄷ
② ㄱ, ㄴ, ㄹ
③ ㄱ, ㄷ, ㅁ
④ ㄴ, ㄹ, ㅁ
⑤ ㄷ, ㄹ, ㅁ</t>
    <phoneticPr fontId="1" type="noConversion"/>
  </si>
  <si>
    <t>122. 다음의 주어진 자료를 이용하여 산출한 기말자본액은?
&lt;자료&gt;
기초자산 : 380,000원, 기초부채 : 180,000원
당기 중 유상증자 : 80,000원, 당기 중 현금배당 : 40,000원
당기순이익 : 100,000원
① 260,000원 
② 300,000원 
③ 340,000원 
④ 380,000원 
⑤ 420,000원</t>
    <phoneticPr fontId="1" type="noConversion"/>
  </si>
  <si>
    <t>120. (주)한국의 4개월간 제품 실제 수요량과 예측치가 다음과 같다고 할 때, 평균절대오차(MAD)는?
월(t) 실제 수요량(  ) 예측치(  )
1월   200개             225개
2월   240개             220개
3월   300개             285개
4월   270개             290개
① 2.5 
② 10 
③ 20 
④ 412.5 
⑤ 1650</t>
    <phoneticPr fontId="1" type="noConversion"/>
  </si>
  <si>
    <t>106. 조직설계의 상황변수에 해당하는 것을 모두 고른 것은?
ㄱ. 복잡성
ㄴ. 전략
ㄷ. 공식화
ㄹ. 기술
ㅁ. 규모
① ㄱ, ㄴ, ㄷ 
② ㄱ, ㄴ, ㄹ 
③ ㄱ, ㄷ, ㅁ 
④ ㄴ, ㄹ, ㅁ 
⑤ ㄷ, ㄹ, ㅁ</t>
    <phoneticPr fontId="1" type="noConversion"/>
  </si>
  <si>
    <t>113. 포괄손익계산서상의 '판매비와 관리비'에 해당하지 않는 것은?
① 급여
② 임차료
③ 법인세비용
④ 감가상각비
⑤ 광고선전비</t>
  </si>
  <si>
    <t>124. A기업에서 화장품으로 성공한 '그린러브' 상표를 세제와 치약에도 사용하려고
하는 전략은?
① 메가상표(mega brand)
② 개별상표(individual brand)
③ 상표연장(brand extension)
④ 복수상표(multi brand)
⑤ 상표자산(brand equity)</t>
  </si>
  <si>
    <t>111. 직무분석에 관한 설명으로 옳지 않은 것은?
① 직무분석은 직무와 관련된 정보를 수집・정리하는 활동이다.
② 직무분석을 통해 얻어진 정보는 전반적인 인적자원관리 활동의 기초자료로 활용된다.
③ 직무분석을 통해 직무기술서와 직무명세서가 작성된다.
④ 직무기술서는 직무를 수행하는데 필요한 인적요건을 중심으로 작성된다.
⑤ 직무평가는 직무분석을 기초로 이루어진다.</t>
    <phoneticPr fontId="1" type="noConversion"/>
  </si>
  <si>
    <t/>
  </si>
  <si>
    <t>문제수</t>
    <phoneticPr fontId="1" type="noConversion"/>
  </si>
  <si>
    <t>정렬기준</t>
    <phoneticPr fontId="1" type="noConversion"/>
  </si>
  <si>
    <t>기출년도(To)</t>
    <phoneticPr fontId="1" type="noConversion"/>
  </si>
  <si>
    <t>기출년도(Fr)</t>
    <phoneticPr fontId="1" type="noConversion"/>
  </si>
  <si>
    <t>A(기본)</t>
  </si>
  <si>
    <t>기출
년도</t>
    <phoneticPr fontId="1" type="noConversion"/>
  </si>
  <si>
    <t>전체</t>
    <phoneticPr fontId="1" type="noConversion"/>
  </si>
  <si>
    <t>점수</t>
    <phoneticPr fontId="1" type="noConversion"/>
  </si>
  <si>
    <t>오답(회차)</t>
    <phoneticPr fontId="1" type="noConversion"/>
  </si>
  <si>
    <t>오답</t>
    <phoneticPr fontId="1" type="noConversion"/>
  </si>
  <si>
    <t>118. 유동비율 = (A) / 유동부채 × 100, 자기자본순이익률(ROE) = (1 + 부채비율) × (B)일 때, 각각 옳게 짝지어진 것은?
① A: 유동자산, B: 총자본순이익률
② A: 유동자산, B: 매출액순이익률
③ A: 유동자산, B: 총자본회전율
④ A: 유형자산, B: 총자본회전율
⑤ A: 유형자산, B: 매출액영업이익률</t>
    <phoneticPr fontId="1" type="noConversion"/>
  </si>
  <si>
    <t>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t>
    <phoneticPr fontId="1" type="noConversion"/>
  </si>
  <si>
    <t>112. 다음 설명에 해당하는 의사결정기법은?
○ 자유롭게 아이디어를 제시할 수 있다.
○ 타인이 제시한 아이디어에 대해 비판은 금지된다.
○ 아이디어의 질보다 양을 강조한다.
① 브레인스토밍(Brainstorming)
② 명목집단법(Nominal Group Technique)
③ 델파이법(Delphi Technique)
④ 지명반론자법(Devil's Advocacy)
⑤ 프리모텀법(Premortem)</t>
    <phoneticPr fontId="1" type="noConversion"/>
  </si>
  <si>
    <t>125. 기업이 미래 의사결정 및 예측을 위하여 보유하고 있는 고객, 거래, 상품 등의 데이터와 각종 외부 데이터를 분석하여 숨겨진 패턴이나 규칙을 발견하는 것은?
① 데이터 관리(Data Management)
② 데이터 무결성(Data Integrity)
③ 데이터 마이닝(Data Mining)
④ 데이터 정제(Data Cleaning)
⑤ 데이터 마트(Data Mart)</t>
    <phoneticPr fontId="1" type="noConversion"/>
  </si>
  <si>
    <t>1-2019-102</t>
    <phoneticPr fontId="1" type="noConversion"/>
  </si>
  <si>
    <t>1-2019-103</t>
    <phoneticPr fontId="1" type="noConversion"/>
  </si>
  <si>
    <t>1-2019-104</t>
    <phoneticPr fontId="1" type="noConversion"/>
  </si>
  <si>
    <t>1-2019-105</t>
    <phoneticPr fontId="1" type="noConversion"/>
  </si>
  <si>
    <t>1-2019-106</t>
    <phoneticPr fontId="1" type="noConversion"/>
  </si>
  <si>
    <t>1-2019-107</t>
    <phoneticPr fontId="1" type="noConversion"/>
  </si>
  <si>
    <t>1-2019-108</t>
    <phoneticPr fontId="1" type="noConversion"/>
  </si>
  <si>
    <t>1-2019-109</t>
    <phoneticPr fontId="1" type="noConversion"/>
  </si>
  <si>
    <t>1-2019-110</t>
    <phoneticPr fontId="1" type="noConversion"/>
  </si>
  <si>
    <t>1-2019-111</t>
    <phoneticPr fontId="1" type="noConversion"/>
  </si>
  <si>
    <t>1-2019-112</t>
    <phoneticPr fontId="1" type="noConversion"/>
  </si>
  <si>
    <t>1-2019-113</t>
    <phoneticPr fontId="1" type="noConversion"/>
  </si>
  <si>
    <t>1-2019-114</t>
    <phoneticPr fontId="1" type="noConversion"/>
  </si>
  <si>
    <t>1-2019-115</t>
    <phoneticPr fontId="1" type="noConversion"/>
  </si>
  <si>
    <t>1-2019-116</t>
    <phoneticPr fontId="1" type="noConversion"/>
  </si>
  <si>
    <t>1-2019-117</t>
    <phoneticPr fontId="1" type="noConversion"/>
  </si>
  <si>
    <t>1-2019-118</t>
    <phoneticPr fontId="1" type="noConversion"/>
  </si>
  <si>
    <t>1-2019-119</t>
    <phoneticPr fontId="1" type="noConversion"/>
  </si>
  <si>
    <t>1-2019-120</t>
    <phoneticPr fontId="1" type="noConversion"/>
  </si>
  <si>
    <t>1-2019-121</t>
    <phoneticPr fontId="1" type="noConversion"/>
  </si>
  <si>
    <t>1-2019-122</t>
    <phoneticPr fontId="1" type="noConversion"/>
  </si>
  <si>
    <t>1-2019-123</t>
    <phoneticPr fontId="1" type="noConversion"/>
  </si>
  <si>
    <t>1-2019-124</t>
    <phoneticPr fontId="1" type="noConversion"/>
  </si>
  <si>
    <t>1-2019-125</t>
    <phoneticPr fontId="1" type="noConversion"/>
  </si>
  <si>
    <t>121. 시산표는 재무상태표 구성요소와 포괄손익계산서 구성요소를 한 곳에 집계한 표이다. 다음 시산표 등식에서 ( )에 들어갈 항목으로 옳은 것은?
○ 자산 + 비용 = 부채 + ( ) + 수익
① 매출액
② 자본
③ 법인세
④ 미지급금
⑤ 감가상각비</t>
    <phoneticPr fontId="1" type="noConversion"/>
  </si>
  <si>
    <t>1-2018-102</t>
    <phoneticPr fontId="1" type="noConversion"/>
  </si>
  <si>
    <t>1-2018-103</t>
    <phoneticPr fontId="1" type="noConversion"/>
  </si>
  <si>
    <t>1-2018-104</t>
    <phoneticPr fontId="1" type="noConversion"/>
  </si>
  <si>
    <t>1-2018-105</t>
    <phoneticPr fontId="1" type="noConversion"/>
  </si>
  <si>
    <t>1-2018-106</t>
    <phoneticPr fontId="1" type="noConversion"/>
  </si>
  <si>
    <t>1-2018-107</t>
    <phoneticPr fontId="1" type="noConversion"/>
  </si>
  <si>
    <t>1-2018-108</t>
    <phoneticPr fontId="1" type="noConversion"/>
  </si>
  <si>
    <t>1-2018-109</t>
    <phoneticPr fontId="1" type="noConversion"/>
  </si>
  <si>
    <t>1-2018-110</t>
    <phoneticPr fontId="1" type="noConversion"/>
  </si>
  <si>
    <t>1-2018-111</t>
    <phoneticPr fontId="1" type="noConversion"/>
  </si>
  <si>
    <t>1-2018-112</t>
    <phoneticPr fontId="1" type="noConversion"/>
  </si>
  <si>
    <t>1-2018-113</t>
    <phoneticPr fontId="1" type="noConversion"/>
  </si>
  <si>
    <t>1-2018-114</t>
    <phoneticPr fontId="1" type="noConversion"/>
  </si>
  <si>
    <t>1-2018-115</t>
    <phoneticPr fontId="1" type="noConversion"/>
  </si>
  <si>
    <t>1-2018-116</t>
    <phoneticPr fontId="1" type="noConversion"/>
  </si>
  <si>
    <t>1-2018-117</t>
    <phoneticPr fontId="1" type="noConversion"/>
  </si>
  <si>
    <t>1-2018-118</t>
    <phoneticPr fontId="1" type="noConversion"/>
  </si>
  <si>
    <t>1-2018-119</t>
    <phoneticPr fontId="1" type="noConversion"/>
  </si>
  <si>
    <t>1-2018-120</t>
    <phoneticPr fontId="1" type="noConversion"/>
  </si>
  <si>
    <t>1-2018-121</t>
    <phoneticPr fontId="1" type="noConversion"/>
  </si>
  <si>
    <t>1-2018-122</t>
    <phoneticPr fontId="1" type="noConversion"/>
  </si>
  <si>
    <t>1-2018-123</t>
    <phoneticPr fontId="1" type="noConversion"/>
  </si>
  <si>
    <t>1-2018-124</t>
    <phoneticPr fontId="1" type="noConversion"/>
  </si>
  <si>
    <t>1-2018-125</t>
    <phoneticPr fontId="1" type="noConversion"/>
  </si>
  <si>
    <t>124. 네트워크 붕괴를 목적으로 다수의 잘못된 통신이나 서비스 요청을 특정 네트워크 또는 웹 서버에 보내는 방식을 의미하는 것은?
① 스푸핑(Spoofing)
② 스니핑(Sniffing)
③ 서비스 거부 공격(Denial - of - Service Attack)
④ 신원도용(Identity Theft)
⑤ 피싱(Phishing)</t>
    <phoneticPr fontId="1" type="noConversion"/>
  </si>
  <si>
    <t>121. 다음자료를 이용하여 당기순이익을 구하면? (단, 회계기간은 1월 1일부터 12월 31일까지이다.)
○ 영업이익     :  300,000원
○ 이자비용     :    10,000원
○ 영업외수익  :    50,000원
○ 법인세비용  :    15,000원
① 275,000원
② 290,000원
③ 325,000원
④ 335,000원
⑤ 340,000원</t>
    <phoneticPr fontId="1" type="noConversion"/>
  </si>
  <si>
    <t>122. 다음과 같은 조건에서 손익분기점에 도달하기 위한 팬매수량(단위)은?
○ 단위당 판매가격   :        20,000원
○ 단위당 변동기      :        14,000원
○ 총고정비              : 48,000,000원
① 5,000
② 6,000
③ 7,000
④ 8,000
⑤ 9,000</t>
    <phoneticPr fontId="1" type="noConversion"/>
  </si>
  <si>
    <t>21. 최근 3개월 자료로 가중이동평균법을 적용할 때, 5월의 예측생산량은? (단, 가중치는 0.5, 0.3, 0.2를 적용한다.)
○ 구분                  1월    2월    3월    4월
○ 제품생산량(개)   90만  70만  90만  110만
① 87만개
② 90만개
③ 93만개
④ 96만개
⑤ 99만개</t>
    <phoneticPr fontId="1" type="noConversion"/>
  </si>
  <si>
    <t>125. 다음에서 설명하는 것은?
○ 지리적으로 분산된 네트워크 환경에서 수 많은 컴퓨터와 저장장치, 데이터베이스 시스템 등과 같은 자원들을 고속 네트워크로 연결하여 그 자원을 공유할 수 있도록 하는 방식
① 전문가 시스템(Expert System)
② 그린 컴퓨팅(Green Computing)
③ 사물인터넷(Internet of Things)
④ 그리드 컴퓨팅(Grid Computing)
⑤ 인트라넷(Intranet)</t>
    <phoneticPr fontId="1" type="noConversion"/>
  </si>
  <si>
    <t>103. 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
① 학습조직(Learning Organization)
② 다운사이징(Downsizing)
③ 리스트럭처링(Restructuring)
④ 리엔지니어링(Reengineering)
⑤ 6시그마(Six Sigma)</t>
    <phoneticPr fontId="1" type="noConversion"/>
  </si>
  <si>
    <t>107. 다음 설명에 해당하는 인사평가기법은?
○ 평가자가 피평가자의 일상 작업생활에 대한 관찰 등을 통해 특별히 효과적이거나 비효과적인 행동, 업적 등을 기록하고 이를 평가시점에 정리하여 평가하는 기법
① 서열법
② 평정척도법
③ 체크리스트법
④ 중요사건기술법
⑤ 강제선택서술법</t>
    <phoneticPr fontId="1" type="noConversion"/>
  </si>
  <si>
    <t>108. 다음 설명에 해당하는 것은?
○ 전환배치 시 해당 종업원의 '능력(적성)-직무-시간' 이라는 세 가지 측면을 모두 고려하여 이들 간의 적합성을 극대화시켜야 된다는 원칙
① 연공주의
② 균형주의
③ 상향이동주의
④ 인재육성주의
⑤ 적재적소적시주의</t>
    <phoneticPr fontId="1" type="noConversion"/>
  </si>
  <si>
    <t>112. 다음 설명에 해당하는 지각 오류는?
○ 어떤 대상(개인)으로부터 얻은 일부 정보가 다른 부분의 여러 정보들을 해석할 때 영향을 미치는 것
① 자존적 편견
② 후광효과
③ 투사
④ 통제의 환상
⑤ 대조효과</t>
    <phoneticPr fontId="1" type="noConversion"/>
  </si>
  <si>
    <t>103. 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
① 기대이론
② 공정성이론
③ 욕구단계이론
④ 목표설정이론
⑤ 인지적평가이론</t>
    <phoneticPr fontId="1" type="noConversion"/>
  </si>
  <si>
    <t>2015</t>
  </si>
  <si>
    <t>2024</t>
  </si>
  <si>
    <t>1-2024-082</t>
    <phoneticPr fontId="1" type="noConversion"/>
  </si>
  <si>
    <t>1-2024-083</t>
    <phoneticPr fontId="1" type="noConversion"/>
  </si>
  <si>
    <t>1-2024-084</t>
    <phoneticPr fontId="1" type="noConversion"/>
  </si>
  <si>
    <t>1-2024-085</t>
    <phoneticPr fontId="1" type="noConversion"/>
  </si>
  <si>
    <t>1-2024-086</t>
    <phoneticPr fontId="1" type="noConversion"/>
  </si>
  <si>
    <t>1-2024-087</t>
    <phoneticPr fontId="1" type="noConversion"/>
  </si>
  <si>
    <t>1-2024-088</t>
    <phoneticPr fontId="1" type="noConversion"/>
  </si>
  <si>
    <t>1-2024-089</t>
    <phoneticPr fontId="1" type="noConversion"/>
  </si>
  <si>
    <t>1-2024-090</t>
    <phoneticPr fontId="1" type="noConversion"/>
  </si>
  <si>
    <t>1-2024-091</t>
    <phoneticPr fontId="1" type="noConversion"/>
  </si>
  <si>
    <t>1-2024-092</t>
    <phoneticPr fontId="1" type="noConversion"/>
  </si>
  <si>
    <t>1-2024-093</t>
    <phoneticPr fontId="1" type="noConversion"/>
  </si>
  <si>
    <t>1-2024-094</t>
    <phoneticPr fontId="1" type="noConversion"/>
  </si>
  <si>
    <t>1-2024-095</t>
    <phoneticPr fontId="1" type="noConversion"/>
  </si>
  <si>
    <t>1-2024-096</t>
    <phoneticPr fontId="1" type="noConversion"/>
  </si>
  <si>
    <t>1-2024-097</t>
    <phoneticPr fontId="1" type="noConversion"/>
  </si>
  <si>
    <t>1-2024-098</t>
    <phoneticPr fontId="1" type="noConversion"/>
  </si>
  <si>
    <t>1-2024-099</t>
    <phoneticPr fontId="1" type="noConversion"/>
  </si>
  <si>
    <t>1-2024-100</t>
    <phoneticPr fontId="1" type="noConversion"/>
  </si>
  <si>
    <t>1-2024-101</t>
    <phoneticPr fontId="1" type="noConversion"/>
  </si>
  <si>
    <t>1-2024-102</t>
    <phoneticPr fontId="1" type="noConversion"/>
  </si>
  <si>
    <t>1-2024-103</t>
    <phoneticPr fontId="1" type="noConversion"/>
  </si>
  <si>
    <t>1-2024-104</t>
    <phoneticPr fontId="1" type="noConversion"/>
  </si>
  <si>
    <t>1-2024-105</t>
    <phoneticPr fontId="1" type="noConversion"/>
  </si>
  <si>
    <t>1-2024-106</t>
    <phoneticPr fontId="1" type="noConversion"/>
  </si>
  <si>
    <t>1-2024-107</t>
    <phoneticPr fontId="1" type="noConversion"/>
  </si>
  <si>
    <t>1-2024-108</t>
    <phoneticPr fontId="1" type="noConversion"/>
  </si>
  <si>
    <t>1-2024-109</t>
    <phoneticPr fontId="1" type="noConversion"/>
  </si>
  <si>
    <t>1-2024-110</t>
    <phoneticPr fontId="1" type="noConversion"/>
  </si>
  <si>
    <t>1-2024-111</t>
    <phoneticPr fontId="1" type="noConversion"/>
  </si>
  <si>
    <t>1-2024-112</t>
    <phoneticPr fontId="1" type="noConversion"/>
  </si>
  <si>
    <t>1-2024-113</t>
    <phoneticPr fontId="1" type="noConversion"/>
  </si>
  <si>
    <t>1-2024-114</t>
    <phoneticPr fontId="1" type="noConversion"/>
  </si>
  <si>
    <t>1-2024-115</t>
    <phoneticPr fontId="1" type="noConversion"/>
  </si>
  <si>
    <t>1-2024-116</t>
    <phoneticPr fontId="1" type="noConversion"/>
  </si>
  <si>
    <t>1-2024-117</t>
    <phoneticPr fontId="1" type="noConversion"/>
  </si>
  <si>
    <t>1-2024-118</t>
    <phoneticPr fontId="1" type="noConversion"/>
  </si>
  <si>
    <t>1-2024-119</t>
    <phoneticPr fontId="1" type="noConversion"/>
  </si>
  <si>
    <t>1-2024-120</t>
    <phoneticPr fontId="1" type="noConversion"/>
  </si>
  <si>
    <t>1-2023-102</t>
    <phoneticPr fontId="1" type="noConversion"/>
  </si>
  <si>
    <t>1-2023-103</t>
    <phoneticPr fontId="1" type="noConversion"/>
  </si>
  <si>
    <t>1-2023-104</t>
    <phoneticPr fontId="1" type="noConversion"/>
  </si>
  <si>
    <t>1-2023-105</t>
    <phoneticPr fontId="1" type="noConversion"/>
  </si>
  <si>
    <t>1-2023-106</t>
    <phoneticPr fontId="1" type="noConversion"/>
  </si>
  <si>
    <t>1-2023-107</t>
    <phoneticPr fontId="1" type="noConversion"/>
  </si>
  <si>
    <t>1-2023-108</t>
    <phoneticPr fontId="1" type="noConversion"/>
  </si>
  <si>
    <t>1-2023-109</t>
    <phoneticPr fontId="1" type="noConversion"/>
  </si>
  <si>
    <t>1-2023-110</t>
    <phoneticPr fontId="1" type="noConversion"/>
  </si>
  <si>
    <t>1-2023-111</t>
    <phoneticPr fontId="1" type="noConversion"/>
  </si>
  <si>
    <t>1-2023-112</t>
    <phoneticPr fontId="1" type="noConversion"/>
  </si>
  <si>
    <t>1-2023-113</t>
    <phoneticPr fontId="1" type="noConversion"/>
  </si>
  <si>
    <t>1-2023-114</t>
    <phoneticPr fontId="1" type="noConversion"/>
  </si>
  <si>
    <t>1-2023-115</t>
    <phoneticPr fontId="1" type="noConversion"/>
  </si>
  <si>
    <t>1-2023-116</t>
    <phoneticPr fontId="1" type="noConversion"/>
  </si>
  <si>
    <t>1-2023-117</t>
    <phoneticPr fontId="1" type="noConversion"/>
  </si>
  <si>
    <t>1-2023-118</t>
    <phoneticPr fontId="1" type="noConversion"/>
  </si>
  <si>
    <t>1-2023-119</t>
    <phoneticPr fontId="1" type="noConversion"/>
  </si>
  <si>
    <t>1-2023-120</t>
    <phoneticPr fontId="1" type="noConversion"/>
  </si>
  <si>
    <t>1-2023-121</t>
    <phoneticPr fontId="1" type="noConversion"/>
  </si>
  <si>
    <t>1-2023-122</t>
    <phoneticPr fontId="1" type="noConversion"/>
  </si>
  <si>
    <t>1-2023-123</t>
    <phoneticPr fontId="1" type="noConversion"/>
  </si>
  <si>
    <t>1-2023-124</t>
    <phoneticPr fontId="1" type="noConversion"/>
  </si>
  <si>
    <t>1-2023-125</t>
    <phoneticPr fontId="1" type="noConversion"/>
  </si>
  <si>
    <t>1-2022-102</t>
    <phoneticPr fontId="1" type="noConversion"/>
  </si>
  <si>
    <t>1-2022-103</t>
    <phoneticPr fontId="1" type="noConversion"/>
  </si>
  <si>
    <t>1-2022-104</t>
    <phoneticPr fontId="1" type="noConversion"/>
  </si>
  <si>
    <t>1-2022-105</t>
    <phoneticPr fontId="1" type="noConversion"/>
  </si>
  <si>
    <t>1-2022-106</t>
    <phoneticPr fontId="1" type="noConversion"/>
  </si>
  <si>
    <t>1-2022-107</t>
    <phoneticPr fontId="1" type="noConversion"/>
  </si>
  <si>
    <t>1-2022-108</t>
    <phoneticPr fontId="1" type="noConversion"/>
  </si>
  <si>
    <t>1-2022-109</t>
    <phoneticPr fontId="1" type="noConversion"/>
  </si>
  <si>
    <t>1-2022-110</t>
    <phoneticPr fontId="1" type="noConversion"/>
  </si>
  <si>
    <t>1-2022-111</t>
    <phoneticPr fontId="1" type="noConversion"/>
  </si>
  <si>
    <t>1-2022-112</t>
    <phoneticPr fontId="1" type="noConversion"/>
  </si>
  <si>
    <t>1-2022-113</t>
    <phoneticPr fontId="1" type="noConversion"/>
  </si>
  <si>
    <t>1-2022-114</t>
    <phoneticPr fontId="1" type="noConversion"/>
  </si>
  <si>
    <t>1-2022-115</t>
    <phoneticPr fontId="1" type="noConversion"/>
  </si>
  <si>
    <t>1-2022-116</t>
    <phoneticPr fontId="1" type="noConversion"/>
  </si>
  <si>
    <t>1-2022-117</t>
    <phoneticPr fontId="1" type="noConversion"/>
  </si>
  <si>
    <t>1-2022-118</t>
    <phoneticPr fontId="1" type="noConversion"/>
  </si>
  <si>
    <t>1-2022-119</t>
    <phoneticPr fontId="1" type="noConversion"/>
  </si>
  <si>
    <t>1-2022-120</t>
    <phoneticPr fontId="1" type="noConversion"/>
  </si>
  <si>
    <t>1-2022-121</t>
    <phoneticPr fontId="1" type="noConversion"/>
  </si>
  <si>
    <t>1-2022-122</t>
    <phoneticPr fontId="1" type="noConversion"/>
  </si>
  <si>
    <t>1-2022-123</t>
    <phoneticPr fontId="1" type="noConversion"/>
  </si>
  <si>
    <t>1-2022-124</t>
    <phoneticPr fontId="1" type="noConversion"/>
  </si>
  <si>
    <t>1-2022-125</t>
    <phoneticPr fontId="1" type="noConversion"/>
  </si>
  <si>
    <t>1-2021-102</t>
    <phoneticPr fontId="1" type="noConversion"/>
  </si>
  <si>
    <t>1-2021-103</t>
    <phoneticPr fontId="1" type="noConversion"/>
  </si>
  <si>
    <t>1-2021-104</t>
    <phoneticPr fontId="1" type="noConversion"/>
  </si>
  <si>
    <t>1-2021-105</t>
    <phoneticPr fontId="1" type="noConversion"/>
  </si>
  <si>
    <t>1-2021-106</t>
    <phoneticPr fontId="1" type="noConversion"/>
  </si>
  <si>
    <t>1-2021-107</t>
    <phoneticPr fontId="1" type="noConversion"/>
  </si>
  <si>
    <t>1-2021-108</t>
    <phoneticPr fontId="1" type="noConversion"/>
  </si>
  <si>
    <t>1-2021-109</t>
    <phoneticPr fontId="1" type="noConversion"/>
  </si>
  <si>
    <t>1-2021-110</t>
    <phoneticPr fontId="1" type="noConversion"/>
  </si>
  <si>
    <t>1-2021-111</t>
    <phoneticPr fontId="1" type="noConversion"/>
  </si>
  <si>
    <t>1-2021-112</t>
    <phoneticPr fontId="1" type="noConversion"/>
  </si>
  <si>
    <t>1-2021-113</t>
    <phoneticPr fontId="1" type="noConversion"/>
  </si>
  <si>
    <t>1-2021-114</t>
    <phoneticPr fontId="1" type="noConversion"/>
  </si>
  <si>
    <t>1-2021-115</t>
    <phoneticPr fontId="1" type="noConversion"/>
  </si>
  <si>
    <t>1-2021-116</t>
    <phoneticPr fontId="1" type="noConversion"/>
  </si>
  <si>
    <t>1-2021-117</t>
    <phoneticPr fontId="1" type="noConversion"/>
  </si>
  <si>
    <t>1-2021-118</t>
    <phoneticPr fontId="1" type="noConversion"/>
  </si>
  <si>
    <t>1-2021-119</t>
    <phoneticPr fontId="1" type="noConversion"/>
  </si>
  <si>
    <t>1-2021-120</t>
    <phoneticPr fontId="1" type="noConversion"/>
  </si>
  <si>
    <t>1-2021-121</t>
    <phoneticPr fontId="1" type="noConversion"/>
  </si>
  <si>
    <t>1-2021-122</t>
    <phoneticPr fontId="1" type="noConversion"/>
  </si>
  <si>
    <t>1-2021-123</t>
    <phoneticPr fontId="1" type="noConversion"/>
  </si>
  <si>
    <t>1-2021-124</t>
    <phoneticPr fontId="1" type="noConversion"/>
  </si>
  <si>
    <t>1-2021-125</t>
    <phoneticPr fontId="1" type="noConversion"/>
  </si>
  <si>
    <t>1-2020-102</t>
    <phoneticPr fontId="1" type="noConversion"/>
  </si>
  <si>
    <t>1-2020-103</t>
    <phoneticPr fontId="1" type="noConversion"/>
  </si>
  <si>
    <t>1-2020-104</t>
    <phoneticPr fontId="1" type="noConversion"/>
  </si>
  <si>
    <t>1-2020-105</t>
    <phoneticPr fontId="1" type="noConversion"/>
  </si>
  <si>
    <t>1-2020-106</t>
    <phoneticPr fontId="1" type="noConversion"/>
  </si>
  <si>
    <t>1-2020-107</t>
    <phoneticPr fontId="1" type="noConversion"/>
  </si>
  <si>
    <t>1-2020-108</t>
    <phoneticPr fontId="1" type="noConversion"/>
  </si>
  <si>
    <t>1-2020-109</t>
    <phoneticPr fontId="1" type="noConversion"/>
  </si>
  <si>
    <t>1-2020-110</t>
    <phoneticPr fontId="1" type="noConversion"/>
  </si>
  <si>
    <t>1-2020-111</t>
    <phoneticPr fontId="1" type="noConversion"/>
  </si>
  <si>
    <t>1-2020-112</t>
    <phoneticPr fontId="1" type="noConversion"/>
  </si>
  <si>
    <t>1-2020-113</t>
    <phoneticPr fontId="1" type="noConversion"/>
  </si>
  <si>
    <t>1-2020-114</t>
    <phoneticPr fontId="1" type="noConversion"/>
  </si>
  <si>
    <t>1-2020-115</t>
    <phoneticPr fontId="1" type="noConversion"/>
  </si>
  <si>
    <t>1-2020-116</t>
    <phoneticPr fontId="1" type="noConversion"/>
  </si>
  <si>
    <t>1-2020-117</t>
    <phoneticPr fontId="1" type="noConversion"/>
  </si>
  <si>
    <t>1-2020-118</t>
    <phoneticPr fontId="1" type="noConversion"/>
  </si>
  <si>
    <t>1-2020-119</t>
    <phoneticPr fontId="1" type="noConversion"/>
  </si>
  <si>
    <t>1-2020-120</t>
    <phoneticPr fontId="1" type="noConversion"/>
  </si>
  <si>
    <t>1-2020-121</t>
    <phoneticPr fontId="1" type="noConversion"/>
  </si>
  <si>
    <t>1-2020-122</t>
    <phoneticPr fontId="1" type="noConversion"/>
  </si>
  <si>
    <t>1-2020-123</t>
    <phoneticPr fontId="1" type="noConversion"/>
  </si>
  <si>
    <t>1-2020-124</t>
    <phoneticPr fontId="1" type="noConversion"/>
  </si>
  <si>
    <t>1-2020-125</t>
    <phoneticPr fontId="1" type="noConversion"/>
  </si>
  <si>
    <t>1-2017-102</t>
    <phoneticPr fontId="1" type="noConversion"/>
  </si>
  <si>
    <t>1-2017-103</t>
    <phoneticPr fontId="1" type="noConversion"/>
  </si>
  <si>
    <t>1-2017-104</t>
    <phoneticPr fontId="1" type="noConversion"/>
  </si>
  <si>
    <t>1-2017-105</t>
    <phoneticPr fontId="1" type="noConversion"/>
  </si>
  <si>
    <t>1-2017-106</t>
    <phoneticPr fontId="1" type="noConversion"/>
  </si>
  <si>
    <t>1-2017-107</t>
    <phoneticPr fontId="1" type="noConversion"/>
  </si>
  <si>
    <t>1-2017-108</t>
    <phoneticPr fontId="1" type="noConversion"/>
  </si>
  <si>
    <t>1-2017-109</t>
    <phoneticPr fontId="1" type="noConversion"/>
  </si>
  <si>
    <t>1-2017-110</t>
    <phoneticPr fontId="1" type="noConversion"/>
  </si>
  <si>
    <t>1-2017-111</t>
    <phoneticPr fontId="1" type="noConversion"/>
  </si>
  <si>
    <t>1-2017-112</t>
    <phoneticPr fontId="1" type="noConversion"/>
  </si>
  <si>
    <t>1-2017-113</t>
    <phoneticPr fontId="1" type="noConversion"/>
  </si>
  <si>
    <t>1-2017-114</t>
    <phoneticPr fontId="1" type="noConversion"/>
  </si>
  <si>
    <t>1-2017-115</t>
    <phoneticPr fontId="1" type="noConversion"/>
  </si>
  <si>
    <t>1-2017-116</t>
    <phoneticPr fontId="1" type="noConversion"/>
  </si>
  <si>
    <t>1-2017-118</t>
    <phoneticPr fontId="1" type="noConversion"/>
  </si>
  <si>
    <t>1-2017-119</t>
    <phoneticPr fontId="1" type="noConversion"/>
  </si>
  <si>
    <t>1-2017-120</t>
    <phoneticPr fontId="1" type="noConversion"/>
  </si>
  <si>
    <t>1-2017-121</t>
    <phoneticPr fontId="1" type="noConversion"/>
  </si>
  <si>
    <t>1-2017-122</t>
    <phoneticPr fontId="1" type="noConversion"/>
  </si>
  <si>
    <t>1-2017-123</t>
    <phoneticPr fontId="1" type="noConversion"/>
  </si>
  <si>
    <t>1-2017-124</t>
    <phoneticPr fontId="1" type="noConversion"/>
  </si>
  <si>
    <t>1-2017-125</t>
    <phoneticPr fontId="1" type="noConversion"/>
  </si>
  <si>
    <t>1-2016-102</t>
    <phoneticPr fontId="1" type="noConversion"/>
  </si>
  <si>
    <t>1-2016-103</t>
    <phoneticPr fontId="1" type="noConversion"/>
  </si>
  <si>
    <t>1-2016-104</t>
    <phoneticPr fontId="1" type="noConversion"/>
  </si>
  <si>
    <t>1-2016-105</t>
    <phoneticPr fontId="1" type="noConversion"/>
  </si>
  <si>
    <t>1-2016-106</t>
    <phoneticPr fontId="1" type="noConversion"/>
  </si>
  <si>
    <t>1-2016-107</t>
    <phoneticPr fontId="1" type="noConversion"/>
  </si>
  <si>
    <t>1-2016-108</t>
    <phoneticPr fontId="1" type="noConversion"/>
  </si>
  <si>
    <t>1-2016-109</t>
    <phoneticPr fontId="1" type="noConversion"/>
  </si>
  <si>
    <t>1-2016-110</t>
    <phoneticPr fontId="1" type="noConversion"/>
  </si>
  <si>
    <t>1-2016-111</t>
    <phoneticPr fontId="1" type="noConversion"/>
  </si>
  <si>
    <t>1-2016-112</t>
    <phoneticPr fontId="1" type="noConversion"/>
  </si>
  <si>
    <t>1-2016-113</t>
    <phoneticPr fontId="1" type="noConversion"/>
  </si>
  <si>
    <t>1-2016-114</t>
    <phoneticPr fontId="1" type="noConversion"/>
  </si>
  <si>
    <t>1-2016-115</t>
    <phoneticPr fontId="1" type="noConversion"/>
  </si>
  <si>
    <t>1-2016-116</t>
    <phoneticPr fontId="1" type="noConversion"/>
  </si>
  <si>
    <t>1-2016-117</t>
    <phoneticPr fontId="1" type="noConversion"/>
  </si>
  <si>
    <t>1-2016-118</t>
    <phoneticPr fontId="1" type="noConversion"/>
  </si>
  <si>
    <t>1-2016-119</t>
    <phoneticPr fontId="1" type="noConversion"/>
  </si>
  <si>
    <t>1-2016-120</t>
    <phoneticPr fontId="1" type="noConversion"/>
  </si>
  <si>
    <t>1-2016-121</t>
    <phoneticPr fontId="1" type="noConversion"/>
  </si>
  <si>
    <t>1-2016-122</t>
    <phoneticPr fontId="1" type="noConversion"/>
  </si>
  <si>
    <t>1-2016-123</t>
    <phoneticPr fontId="1" type="noConversion"/>
  </si>
  <si>
    <t>1-2016-124</t>
    <phoneticPr fontId="1" type="noConversion"/>
  </si>
  <si>
    <t>1-2016-125</t>
    <phoneticPr fontId="1" type="noConversion"/>
  </si>
  <si>
    <t>1-2015-102</t>
    <phoneticPr fontId="1" type="noConversion"/>
  </si>
  <si>
    <t>1-2015-103</t>
    <phoneticPr fontId="1" type="noConversion"/>
  </si>
  <si>
    <t>1-2015-104</t>
    <phoneticPr fontId="1" type="noConversion"/>
  </si>
  <si>
    <t>1-2015-105</t>
    <phoneticPr fontId="1" type="noConversion"/>
  </si>
  <si>
    <t>1-2015-106</t>
    <phoneticPr fontId="1" type="noConversion"/>
  </si>
  <si>
    <t>1-2015-107</t>
    <phoneticPr fontId="1" type="noConversion"/>
  </si>
  <si>
    <t>1-2015-108</t>
    <phoneticPr fontId="1" type="noConversion"/>
  </si>
  <si>
    <t>1-2015-109</t>
    <phoneticPr fontId="1" type="noConversion"/>
  </si>
  <si>
    <t>1-2015-110</t>
    <phoneticPr fontId="1" type="noConversion"/>
  </si>
  <si>
    <t>1-2015-111</t>
    <phoneticPr fontId="1" type="noConversion"/>
  </si>
  <si>
    <t>1-2015-112</t>
    <phoneticPr fontId="1" type="noConversion"/>
  </si>
  <si>
    <t>1-2015-113</t>
    <phoneticPr fontId="1" type="noConversion"/>
  </si>
  <si>
    <t>1-2015-114</t>
    <phoneticPr fontId="1" type="noConversion"/>
  </si>
  <si>
    <t>1-2015-115</t>
    <phoneticPr fontId="1" type="noConversion"/>
  </si>
  <si>
    <t>1-2015-116</t>
    <phoneticPr fontId="1" type="noConversion"/>
  </si>
  <si>
    <t>1-2015-117</t>
    <phoneticPr fontId="1" type="noConversion"/>
  </si>
  <si>
    <t>1-2015-118</t>
    <phoneticPr fontId="1" type="noConversion"/>
  </si>
  <si>
    <t>1-2015-119</t>
    <phoneticPr fontId="1" type="noConversion"/>
  </si>
  <si>
    <t>1-2015-120</t>
    <phoneticPr fontId="1" type="noConversion"/>
  </si>
  <si>
    <t>1-2015-121</t>
    <phoneticPr fontId="1" type="noConversion"/>
  </si>
  <si>
    <t>1-2015-122</t>
    <phoneticPr fontId="1" type="noConversion"/>
  </si>
  <si>
    <t>1-2015-123</t>
    <phoneticPr fontId="1" type="noConversion"/>
  </si>
  <si>
    <t>1-2015-124</t>
    <phoneticPr fontId="1" type="noConversion"/>
  </si>
  <si>
    <t>1-2015-125</t>
    <phoneticPr fontId="1" type="noConversion"/>
  </si>
  <si>
    <t>104. 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
① 제도화이론
② 자원의존이론
③ 조직군생태학이론
④ 거래비용이론
⑤ 학습조직이론</t>
    <phoneticPr fontId="1" type="noConversion"/>
  </si>
  <si>
    <t>105. 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
① 직무순환
② 직무전문화
③ 직무특성화
④ 수평적 직무확대
⑤ 직무충실화</t>
    <phoneticPr fontId="1" type="noConversion"/>
  </si>
  <si>
    <t>125. 빅데이터(big data)의 기본적 특성(3V)으로 옳은 것을 모두 고른 것은?
ㄱ. 거대한 양(Volume)
ㄴ. 모호성(Vagueness)
ㄷ. 다양한 형태(Variety)
ㄹ. 생성 속도(Velocity)
① ㄱ, ㄴ
② ㄴ, ㄷ
③ ㄱ, ㄴ, ㄹ
④ ㄱ, ㄷ, ㄹ
⑤ ㄴ, ㄷ, ㄹ</t>
    <phoneticPr fontId="1" type="noConversion"/>
  </si>
  <si>
    <t>125. 다음에서 설명하는 것은?
○ 기업의 자재, 회계, 구매, 생산, 판매, 인사 등 모든 업무의 흐름을 효율적으로 지원하기 위한 통합정보 시스템
① CRM
② SCM
③ DSS
④ KMS
⑤ ERP</t>
    <phoneticPr fontId="1" type="noConversion"/>
  </si>
  <si>
    <t>101. 막스 베버(Max Weber)가 제시한 관료제이론의 주요 내용이 아닌 것은?
① 규정에 따른 직무배정과 직무수행
② 능력과 과업에 따른 선발과 승진
③ 상황적합적 관리
④ 계층에 의한 관리
⑤ 규칙과 문서에 의한 관리</t>
    <phoneticPr fontId="1" type="noConversion"/>
  </si>
  <si>
    <t>106. 델파이기법에 관한 설명으로 옳지 않은 것은?
① 전문가들을 두 그룹으로 나누어 진행한다.
② 많은 전문가들의 의견을 취합하여 재조정 과정을 거친다.
③ 의사결정 및 의견개진 과정에서 타인의 압력이 배제된다.
④ 전문가들을 공식적으로 소집하여 한 장소에 모이게 할 필요가 없다.
⑤ 미래의 불확실성에 대한 의사결정 및 장기예측에 좋은 방법이다.</t>
    <phoneticPr fontId="1" type="noConversion"/>
  </si>
  <si>
    <t>110. 다음 주장에 해당하는 이론은?
ㄱ. 조직의 생존을 위해 이해관계자들로부터 정당성을 얻는 것이 중요하다.
ㄴ. 동일 산업내의 조직형태 및 경영관행 등이 유사성을 보이는 것은 조직들이 서로 모방하기 때문이다.
① 대리인이론
② 제도화이론
③ 자원의존이론
④ 조직군생태학이론
⑤ 협력적네트워크이론</t>
    <phoneticPr fontId="1" type="noConversion"/>
  </si>
  <si>
    <t>분류/키워드</t>
    <phoneticPr fontId="1" type="noConversion"/>
  </si>
  <si>
    <t>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t>
    <phoneticPr fontId="1" type="noConversion"/>
  </si>
  <si>
    <t>2023</t>
  </si>
  <si>
    <t>115. 경영정보시스템 용어에 관한 설명으로 옳지 않은 것은?
① 비즈니스 프로세스 리엔지니어링(Business Process Reengineering)은 새로운 방식으로 최대한의 이득을 얻기 위해 기존의 비즈니스 프로세스를 변경하는 것이다.
② 비즈니스 인텔리전스(Business Intelligence)는 사용자가 정보에 기반하여 보다 나은 비즈니스 의사결정을 돕기 위한 응용프로그램, 기술 및 데이터 분석 등을 포함하는 시스템이다.
③ 의사결정지원시스템(Decision Support System)은 컴퓨터를 이용하여 의사결정자가 효과적인 의사결정을 할 수 있도록 지원하는 시스템이다.
④ 위키스(Wikis)는 사용자들이 웹페이지 내용을 쉽게 추가・편집할 수 있는 웹사이트의 일종이다.
⑤ 자율컴퓨팅(Autonomous Computing)은 지리적으로 분산된 네트워크 환경에서 수많은 컴퓨터와 데이터베이스 등을 고속 네트워크로 연결하여 공유할 수 있도록 한다.</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</si>
</sst>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17" x14ac:knownFonts="1">
    <font>
      <sz val="11"/>
      <color theme="1"/>
      <name val="맑은 고딕"/>
      <family val="2"/>
      <scheme val="minor"/>
    </font>
    <font>
      <sz val="8"/>
      <name val="맑은 고딕"/>
      <family val="3"/>
      <charset val="129"/>
      <scheme val="minor"/>
    </font>
    <font>
      <sz val="10"/>
      <color theme="1"/>
      <name val="함초롬바탕"/>
      <family val="1"/>
      <charset val="129"/>
    </font>
    <font>
      <sz val="10"/>
      <color theme="1"/>
      <name val="함초롬돋움"/>
      <family val="3"/>
      <charset val="129"/>
    </font>
    <font>
      <b/>
      <sz val="10"/>
      <color theme="0"/>
      <name val="함초롬돋움"/>
      <family val="3"/>
      <charset val="129"/>
    </font>
    <font>
      <sz val="10"/>
      <color theme="1"/>
      <name val="맑은 고딕"/>
      <family val="2"/>
      <scheme val="minor"/>
    </font>
    <font>
      <sz val="11"/>
      <color theme="1"/>
      <name val="맑은 고딕"/>
      <family val="2"/>
      <scheme val="minor"/>
    </font>
    <font>
      <sz val="10"/>
      <name val="함초롬돋움"/>
      <family val="3"/>
      <charset val="129"/>
    </font>
    <font>
      <sz val="10"/>
      <color theme="0" tint="-4.9989318521683403E-2"/>
      <name val="함초롬돋움"/>
      <family val="3"/>
      <charset val="129"/>
    </font>
    <font>
      <sz val="10"/>
      <color theme="0" tint="-4.9989318521683403E-2"/>
      <name val="맑은 고딕"/>
      <family val="2"/>
      <scheme val="minor"/>
    </font>
    <font>
      <sz val="10"/>
      <name val="맑은 고딕"/>
      <family val="2"/>
      <scheme val="minor"/>
    </font>
    <font>
      <sz val="9"/>
      <color theme="1"/>
      <name val="맑은 고딕"/>
      <family val="2"/>
      <charset val="129"/>
      <scheme val="minor"/>
    </font>
    <font>
      <sz val="9"/>
      <color rgb="FF000000"/>
      <name val="맑은 고딕"/>
      <family val="3"/>
      <charset val="129"/>
    </font>
    <font>
      <vertAlign val="subscript"/>
      <sz val="10"/>
      <color theme="1"/>
      <name val="함초롬바탕"/>
      <family val="1"/>
      <charset val="129"/>
    </font>
    <font>
      <sz val="10"/>
      <color theme="0"/>
      <name val="맑은 고딕"/>
      <family val="2"/>
      <scheme val="minor"/>
    </font>
    <font>
      <sz val="10"/>
      <color theme="0"/>
      <name val="함초롬돋움"/>
      <family val="3"/>
      <charset val="129"/>
    </font>
    <font>
      <sz val="10"/>
      <name val="맑은 고딕"/>
      <family val="3"/>
      <charset val="129"/>
      <scheme val="minor"/>
    </font>
  </fonts>
  <fills count="4">
    <fill>
      <patternFill patternType="none"/>
    </fill>
    <fill>
      <patternFill patternType="gray125"/>
    </fill>
    <fill>
      <patternFill patternType="solid">
        <fgColor rgb="FF0070C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1" fontId="6" fillId="0" borderId="0" applyFont="0" applyFill="0" applyBorder="0" applyAlignment="0" applyProtection="0">
      <alignment vertical="center"/>
    </xf>
    <xf numFmtId="0" fontId="11" fillId="0" borderId="0">
      <alignment vertical="center"/>
    </xf>
    <xf numFmtId="9" fontId="6" fillId="0" borderId="0" applyFont="0" applyFill="0" applyBorder="0" applyAlignment="0" applyProtection="0">
      <alignment vertical="center"/>
    </xf>
  </cellStyleXfs>
  <cellXfs count="37">
    <xf numFmtId="0" fontId="0" fillId="0" borderId="0" xfId="0"/>
    <xf numFmtId="0" fontId="2" fillId="0" borderId="0" xfId="0" applyFont="1" applyAlignment="1">
      <alignment horizontal="left" vertical="center"/>
    </xf>
    <xf numFmtId="0" fontId="3" fillId="0" borderId="0" xfId="0" applyFont="1" applyAlignment="1">
      <alignment horizontal="center" vertical="center"/>
    </xf>
    <xf numFmtId="49" fontId="3" fillId="0" borderId="0" xfId="0" applyNumberFormat="1" applyFont="1" applyAlignment="1">
      <alignment horizontal="center" vertical="center"/>
    </xf>
    <xf numFmtId="0" fontId="4" fillId="2" borderId="1" xfId="0" applyFont="1" applyFill="1" applyBorder="1" applyAlignment="1">
      <alignment horizontal="center" vertical="center"/>
    </xf>
    <xf numFmtId="49" fontId="3" fillId="0" borderId="0" xfId="0" applyNumberFormat="1" applyFont="1" applyAlignment="1">
      <alignment horizontal="center" vertical="center" wrapText="1"/>
    </xf>
    <xf numFmtId="0" fontId="7" fillId="0" borderId="0" xfId="0" applyFont="1" applyAlignment="1">
      <alignment horizontal="center" vertical="center"/>
    </xf>
    <xf numFmtId="0" fontId="8" fillId="0" borderId="0" xfId="0" applyFont="1" applyAlignment="1">
      <alignment horizontal="center" vertical="center"/>
    </xf>
    <xf numFmtId="9" fontId="7" fillId="0" borderId="0" xfId="0" applyNumberFormat="1" applyFont="1" applyAlignment="1">
      <alignment horizontal="center" vertical="center"/>
    </xf>
    <xf numFmtId="176" fontId="7" fillId="0" borderId="1" xfId="1" applyNumberFormat="1" applyFont="1" applyBorder="1" applyAlignment="1">
      <alignment horizontal="left" vertical="top"/>
    </xf>
    <xf numFmtId="0" fontId="7" fillId="0" borderId="0" xfId="0" applyFont="1" applyAlignment="1">
      <alignment horizontal="left" vertical="top"/>
    </xf>
    <xf numFmtId="176" fontId="7" fillId="0" borderId="1" xfId="1" applyNumberFormat="1" applyFont="1" applyBorder="1" applyAlignment="1">
      <alignment horizontal="left" vertical="top" wrapText="1"/>
    </xf>
    <xf numFmtId="0" fontId="4" fillId="2" borderId="1" xfId="0" applyFont="1" applyFill="1" applyBorder="1" applyAlignment="1">
      <alignment horizontal="center" vertical="top"/>
    </xf>
    <xf numFmtId="0" fontId="3" fillId="0" borderId="1" xfId="0" applyFont="1" applyBorder="1" applyAlignment="1">
      <alignment horizontal="center" vertical="top"/>
    </xf>
    <xf numFmtId="49" fontId="3" fillId="0" borderId="1" xfId="0" applyNumberFormat="1" applyFont="1" applyBorder="1" applyAlignment="1">
      <alignment horizontal="center" vertical="top"/>
    </xf>
    <xf numFmtId="0" fontId="2" fillId="0" borderId="1" xfId="0" applyFont="1" applyBorder="1" applyAlignment="1">
      <alignment horizontal="left" vertical="top" wrapText="1"/>
    </xf>
    <xf numFmtId="0" fontId="15" fillId="0" borderId="1" xfId="0" applyFont="1" applyBorder="1" applyAlignment="1">
      <alignment horizontal="center" vertical="top"/>
    </xf>
    <xf numFmtId="176" fontId="7" fillId="0" borderId="1" xfId="1" applyNumberFormat="1" applyFont="1" applyBorder="1" applyAlignment="1">
      <alignment horizontal="center" vertical="top"/>
    </xf>
    <xf numFmtId="0" fontId="3" fillId="0" borderId="0" xfId="0" applyFont="1" applyAlignment="1">
      <alignment horizontal="center" vertical="top"/>
    </xf>
    <xf numFmtId="0" fontId="3" fillId="3" borderId="1" xfId="0" applyFont="1" applyFill="1" applyBorder="1" applyAlignment="1">
      <alignment horizontal="center" vertical="top"/>
    </xf>
    <xf numFmtId="0" fontId="2" fillId="0" borderId="0" xfId="0" applyFont="1" applyAlignment="1">
      <alignment horizontal="left" vertical="top" wrapText="1"/>
    </xf>
    <xf numFmtId="0" fontId="10" fillId="0" borderId="0" xfId="0" applyFont="1" applyAlignment="1">
      <alignment horizontal="center" vertical="top" wrapText="1"/>
    </xf>
    <xf numFmtId="49" fontId="10" fillId="0" borderId="0" xfId="0" applyNumberFormat="1" applyFont="1" applyAlignment="1">
      <alignment horizontal="center" vertical="top" wrapText="1"/>
    </xf>
    <xf numFmtId="0" fontId="5" fillId="0" borderId="0" xfId="0" applyFont="1" applyAlignment="1">
      <alignment horizontal="center" vertical="top"/>
    </xf>
    <xf numFmtId="10" fontId="5" fillId="0" borderId="0" xfId="3" applyNumberFormat="1" applyFont="1" applyAlignment="1">
      <alignment vertical="top"/>
    </xf>
    <xf numFmtId="0" fontId="5" fillId="0" borderId="0" xfId="0" applyFont="1" applyAlignment="1">
      <alignment vertical="top"/>
    </xf>
    <xf numFmtId="0" fontId="16" fillId="0" borderId="0" xfId="0" applyFont="1" applyAlignment="1">
      <alignment horizontal="center" vertical="top" wrapText="1"/>
    </xf>
    <xf numFmtId="0" fontId="16" fillId="0" borderId="0" xfId="0" quotePrefix="1" applyFont="1" applyAlignment="1">
      <alignment horizontal="center" vertical="top" wrapText="1"/>
    </xf>
    <xf numFmtId="0" fontId="9" fillId="0" borderId="0" xfId="0" applyFont="1" applyAlignment="1">
      <alignment horizontal="center" vertical="top" wrapText="1"/>
    </xf>
    <xf numFmtId="0" fontId="4" fillId="2" borderId="1" xfId="0" applyFont="1" applyFill="1" applyBorder="1" applyAlignment="1">
      <alignment horizontal="center" vertical="top" wrapText="1"/>
    </xf>
    <xf numFmtId="0" fontId="3" fillId="0" borderId="1" xfId="0" applyFont="1" applyBorder="1" applyAlignment="1">
      <alignment horizontal="center" vertical="top" wrapText="1"/>
    </xf>
    <xf numFmtId="0" fontId="14" fillId="0" borderId="1" xfId="0" applyFont="1" applyBorder="1" applyAlignment="1">
      <alignment horizontal="center" vertical="top" wrapText="1"/>
    </xf>
    <xf numFmtId="0" fontId="10" fillId="0" borderId="1" xfId="0" applyFont="1" applyBorder="1" applyAlignment="1">
      <alignment horizontal="center" vertical="top" wrapText="1"/>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1" xfId="0" applyFont="1" applyFill="1" applyBorder="1" applyAlignment="1">
      <alignment horizontal="center" vertical="center" wrapText="1"/>
    </xf>
    <xf numFmtId="49" fontId="4" fillId="2" borderId="1" xfId="0" applyNumberFormat="1" applyFont="1" applyFill="1" applyBorder="1" applyAlignment="1">
      <alignment horizontal="center" vertical="center" wrapText="1"/>
    </xf>
  </cellXfs>
  <cellStyles count="4">
    <cellStyle name="백분율" xfId="3" builtinId="5"/>
    <cellStyle name="쉼표 [0]" xfId="1" builtinId="6"/>
    <cellStyle name="표준" xfId="0" builtinId="0"/>
    <cellStyle name="표준 2" xfId="2" xr:uid="{9E108635-1E18-439D-B0A9-568789A9EE4D}"/>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2</xdr:col>
          <xdr:colOff>876300</xdr:colOff>
          <xdr:row>5</xdr:row>
          <xdr:rowOff>161925</xdr:rowOff>
        </xdr:to>
        <xdr:sp macro="" textlink="">
          <xdr:nvSpPr>
            <xdr:cNvPr id="28673" name="Button 1" descr="문제생성&#10;" hidden="1">
              <a:extLst>
                <a:ext uri="{63B3BB69-23CF-44E3-9099-C40C66FF867C}">
                  <a14:compatExt spid="_x0000_s28673"/>
                </a:ext>
                <a:ext uri="{FF2B5EF4-FFF2-40B4-BE49-F238E27FC236}">
                  <a16:creationId xmlns:a16="http://schemas.microsoft.com/office/drawing/2014/main" id="{00000000-0008-0000-01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2</xdr:col>
          <xdr:colOff>876300</xdr:colOff>
          <xdr:row>5</xdr:row>
          <xdr:rowOff>161925</xdr:rowOff>
        </xdr:to>
        <xdr:sp macro="" textlink="">
          <xdr:nvSpPr>
            <xdr:cNvPr id="32769" name="Button 1" descr="문제생성&#10;" hidden="1">
              <a:extLst>
                <a:ext uri="{63B3BB69-23CF-44E3-9099-C40C66FF867C}">
                  <a14:compatExt spid="_x0000_s32769"/>
                </a:ext>
                <a:ext uri="{FF2B5EF4-FFF2-40B4-BE49-F238E27FC236}">
                  <a16:creationId xmlns:a16="http://schemas.microsoft.com/office/drawing/2014/main" id="{00000000-0008-0000-02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2</xdr:col>
          <xdr:colOff>876300</xdr:colOff>
          <xdr:row>5</xdr:row>
          <xdr:rowOff>161925</xdr:rowOff>
        </xdr:to>
        <xdr:sp macro="" textlink="">
          <xdr:nvSpPr>
            <xdr:cNvPr id="34817" name="Button 1" descr="문제생성&#10;" hidden="1">
              <a:extLst>
                <a:ext uri="{63B3BB69-23CF-44E3-9099-C40C66FF867C}">
                  <a14:compatExt spid="_x0000_s34817"/>
                </a:ext>
                <a:ext uri="{FF2B5EF4-FFF2-40B4-BE49-F238E27FC236}">
                  <a16:creationId xmlns:a16="http://schemas.microsoft.com/office/drawing/2014/main" id="{00000000-0008-0000-03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2</xdr:col>
          <xdr:colOff>876300</xdr:colOff>
          <xdr:row>5</xdr:row>
          <xdr:rowOff>161925</xdr:rowOff>
        </xdr:to>
        <xdr:sp macro="" textlink="">
          <xdr:nvSpPr>
            <xdr:cNvPr id="35841" name="Button 1" descr="문제생성&#10;"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2</xdr:col>
          <xdr:colOff>876300</xdr:colOff>
          <xdr:row>5</xdr:row>
          <xdr:rowOff>161925</xdr:rowOff>
        </xdr:to>
        <xdr:sp macro="" textlink="">
          <xdr:nvSpPr>
            <xdr:cNvPr id="36865" name="Button 1" descr="문제생성&#10;" hidden="1">
              <a:extLst>
                <a:ext uri="{63B3BB69-23CF-44E3-9099-C40C66FF867C}">
                  <a14:compatExt spid="_x0000_s36865"/>
                </a:ext>
                <a:ext uri="{FF2B5EF4-FFF2-40B4-BE49-F238E27FC236}">
                  <a16:creationId xmlns:a16="http://schemas.microsoft.com/office/drawing/2014/main" id="{00000000-0008-0000-05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5</xdr:row>
          <xdr:rowOff>28575</xdr:rowOff>
        </xdr:from>
        <xdr:to>
          <xdr:col>2</xdr:col>
          <xdr:colOff>876300</xdr:colOff>
          <xdr:row>5</xdr:row>
          <xdr:rowOff>161925</xdr:rowOff>
        </xdr:to>
        <xdr:sp macro="" textlink="">
          <xdr:nvSpPr>
            <xdr:cNvPr id="37889" name="Button 1" descr="문제생성&#10;" hidden="1">
              <a:extLst>
                <a:ext uri="{63B3BB69-23CF-44E3-9099-C40C66FF867C}">
                  <a14:compatExt spid="_x0000_s37889"/>
                </a:ext>
                <a:ext uri="{FF2B5EF4-FFF2-40B4-BE49-F238E27FC236}">
                  <a16:creationId xmlns:a16="http://schemas.microsoft.com/office/drawing/2014/main" id="{00000000-0008-0000-06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900" b="0" i="0" u="none" strike="noStrike" baseline="0">
                  <a:solidFill>
                    <a:srgbClr val="000000"/>
                  </a:solidFill>
                  <a:latin typeface="맑은 고딕"/>
                  <a:ea typeface="맑은 고딕"/>
                </a:rPr>
                <a:t>문제 추출</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CBCD0-E672-4241-9136-D1091C4F9C20}">
  <sheetPr codeName="Sheet6">
    <pageSetUpPr autoPageBreaks="0"/>
  </sheetPr>
  <dimension ref="B1:O393"/>
  <sheetViews>
    <sheetView showGridLines="0" showZeros="0" workbookViewId="0">
      <pane xSplit="1" ySplit="3" topLeftCell="B4" activePane="bottomRight" state="frozen"/>
      <selection activeCell="N35" sqref="N35"/>
      <selection pane="topRight" activeCell="N35" sqref="N35"/>
      <selection pane="bottomLeft" activeCell="N35" sqref="N35"/>
      <selection pane="bottomRight" activeCell="I127" sqref="I127"/>
    </sheetView>
  </sheetViews>
  <sheetFormatPr defaultColWidth="8.625" defaultRowHeight="15" customHeight="1" x14ac:dyDescent="0.3"/>
  <cols>
    <col min="1" max="1" width="1.625" style="2" customWidth="1"/>
    <col min="2" max="2" width="3.625" style="2" customWidth="1"/>
    <col min="3" max="3" width="4.625" style="6" customWidth="1"/>
    <col min="4" max="4" width="9.625" style="3" customWidth="1"/>
    <col min="5" max="5" width="4.625" style="3" customWidth="1"/>
    <col min="6" max="6" width="95.625" style="1" customWidth="1"/>
    <col min="7" max="7" width="4.625" style="7" customWidth="1"/>
    <col min="8" max="8" width="4.625" style="6" customWidth="1"/>
    <col min="9" max="9" width="45.625" style="6" customWidth="1"/>
    <col min="10" max="14" width="2.625" style="6" customWidth="1"/>
    <col min="15" max="15" width="40.625" style="10" customWidth="1"/>
    <col min="16" max="16384" width="8.625" style="2"/>
  </cols>
  <sheetData>
    <row r="1" spans="2:15" ht="15" customHeight="1" x14ac:dyDescent="0.3">
      <c r="E1" s="5"/>
      <c r="J1" s="8"/>
      <c r="K1" s="8"/>
      <c r="L1" s="8"/>
      <c r="M1" s="8"/>
      <c r="N1" s="8"/>
    </row>
    <row r="2" spans="2:15" ht="15" customHeight="1" x14ac:dyDescent="0.3">
      <c r="B2" s="33" t="s">
        <v>0</v>
      </c>
      <c r="C2" s="35" t="s">
        <v>772</v>
      </c>
      <c r="D2" s="34" t="s">
        <v>1</v>
      </c>
      <c r="E2" s="36" t="s">
        <v>671</v>
      </c>
      <c r="F2" s="33" t="s">
        <v>2</v>
      </c>
      <c r="G2" s="33" t="s">
        <v>3</v>
      </c>
      <c r="H2" s="35" t="s">
        <v>4</v>
      </c>
      <c r="I2" s="35" t="s">
        <v>1055</v>
      </c>
      <c r="J2" s="33" t="s">
        <v>775</v>
      </c>
      <c r="K2" s="33"/>
      <c r="L2" s="33"/>
      <c r="M2" s="33"/>
      <c r="N2" s="33"/>
      <c r="O2" s="33" t="s">
        <v>661</v>
      </c>
    </row>
    <row r="3" spans="2:15" ht="15" customHeight="1" x14ac:dyDescent="0.3">
      <c r="B3" s="33"/>
      <c r="C3" s="35"/>
      <c r="D3" s="34"/>
      <c r="E3" s="34"/>
      <c r="F3" s="33"/>
      <c r="G3" s="33"/>
      <c r="H3" s="35"/>
      <c r="I3" s="35"/>
      <c r="J3" s="4">
        <v>1</v>
      </c>
      <c r="K3" s="4">
        <v>2</v>
      </c>
      <c r="L3" s="4">
        <v>3</v>
      </c>
      <c r="M3" s="4">
        <v>4</v>
      </c>
      <c r="N3" s="4">
        <v>5</v>
      </c>
      <c r="O3" s="33"/>
    </row>
    <row r="4" spans="2:15" ht="142.5" x14ac:dyDescent="0.3">
      <c r="B4" s="13">
        <v>1</v>
      </c>
      <c r="C4" s="17" t="str">
        <f t="shared" ref="C4:C67" si="0">MID(D4,3,4)</f>
        <v>2024</v>
      </c>
      <c r="D4" s="14" t="s">
        <v>693</v>
      </c>
      <c r="E4" s="14" t="s">
        <v>659</v>
      </c>
      <c r="F4" s="15" t="s">
        <v>715</v>
      </c>
      <c r="G4" s="16">
        <v>5</v>
      </c>
      <c r="H4" s="17">
        <f t="shared" ref="H4:H67" si="1">SUM(J4:N4)</f>
        <v>0</v>
      </c>
      <c r="I4" s="9"/>
      <c r="J4" s="17">
        <f>IFERROR(IF(VLOOKUP(D:D,'테스트(1회)'!C:G,5, 0)="X",1,0),0)</f>
        <v>0</v>
      </c>
      <c r="K4" s="17">
        <f>IFERROR(IF(VLOOKUP(D:D,'테스트(2회)'!C:G,5, 0)="X",1,0),0)</f>
        <v>0</v>
      </c>
      <c r="L4" s="17">
        <f>IFERROR(IF(VLOOKUP(D:D,'테스트(3회)'!C:G,5, 0)="X",1,0),0)</f>
        <v>0</v>
      </c>
      <c r="M4" s="17">
        <f>IFERROR(IF(VLOOKUP(D:D,'테스트(4회)'!C:G,5, 0)="X",1,0),0)</f>
        <v>0</v>
      </c>
      <c r="N4" s="17">
        <f>IFERROR(IF(VLOOKUP(D:D,'테스트(5회)'!C:G,5, 0)="X",1,0),0)</f>
        <v>0</v>
      </c>
      <c r="O4" s="11"/>
    </row>
    <row r="5" spans="2:15" ht="128.25" x14ac:dyDescent="0.3">
      <c r="B5" s="13">
        <v>2</v>
      </c>
      <c r="C5" s="17" t="str">
        <f t="shared" si="0"/>
        <v>2024</v>
      </c>
      <c r="D5" s="14" t="s">
        <v>694</v>
      </c>
      <c r="E5" s="14" t="s">
        <v>659</v>
      </c>
      <c r="F5" s="15" t="s">
        <v>716</v>
      </c>
      <c r="G5" s="16">
        <v>3</v>
      </c>
      <c r="H5" s="17">
        <f t="shared" si="1"/>
        <v>0</v>
      </c>
      <c r="I5" s="9"/>
      <c r="J5" s="17">
        <f>IFERROR(IF(VLOOKUP(D:D,'테스트(1회)'!C:G,5, 0)="X",1,0),0)</f>
        <v>0</v>
      </c>
      <c r="K5" s="17">
        <f>IFERROR(IF(VLOOKUP(D:D,'테스트(2회)'!C:G,5, 0)="X",1,0),0)</f>
        <v>0</v>
      </c>
      <c r="L5" s="17">
        <f>IFERROR(IF(VLOOKUP(D:D,'테스트(3회)'!C:G,5, 0)="X",1,0),0)</f>
        <v>0</v>
      </c>
      <c r="M5" s="17">
        <f>IFERROR(IF(VLOOKUP(D:D,'테스트(4회)'!C:G,5, 0)="X",1,0),0)</f>
        <v>0</v>
      </c>
      <c r="N5" s="17">
        <f>IFERROR(IF(VLOOKUP(D:D,'테스트(5회)'!C:G,5, 0)="X",1,0),0)</f>
        <v>0</v>
      </c>
      <c r="O5" s="11"/>
    </row>
    <row r="6" spans="2:15" ht="85.5" x14ac:dyDescent="0.3">
      <c r="B6" s="13">
        <v>3</v>
      </c>
      <c r="C6" s="17" t="str">
        <f t="shared" si="0"/>
        <v>2024</v>
      </c>
      <c r="D6" s="14" t="s">
        <v>695</v>
      </c>
      <c r="E6" s="14" t="s">
        <v>659</v>
      </c>
      <c r="F6" s="15" t="s">
        <v>717</v>
      </c>
      <c r="G6" s="16">
        <v>5</v>
      </c>
      <c r="H6" s="17">
        <f t="shared" si="1"/>
        <v>0</v>
      </c>
      <c r="I6" s="9"/>
      <c r="J6" s="17">
        <f>IFERROR(IF(VLOOKUP(D:D,'테스트(1회)'!C:G,5, 0)="X",1,0),0)</f>
        <v>0</v>
      </c>
      <c r="K6" s="17">
        <f>IFERROR(IF(VLOOKUP(D:D,'테스트(2회)'!C:G,5, 0)="X",1,0),0)</f>
        <v>0</v>
      </c>
      <c r="L6" s="17">
        <f>IFERROR(IF(VLOOKUP(D:D,'테스트(3회)'!C:G,5, 0)="X",1,0),0)</f>
        <v>0</v>
      </c>
      <c r="M6" s="17">
        <f>IFERROR(IF(VLOOKUP(D:D,'테스트(4회)'!C:G,5, 0)="X",1,0),0)</f>
        <v>0</v>
      </c>
      <c r="N6" s="17">
        <f>IFERROR(IF(VLOOKUP(D:D,'테스트(5회)'!C:G,5, 0)="X",1,0),0)</f>
        <v>0</v>
      </c>
      <c r="O6" s="11"/>
    </row>
    <row r="7" spans="2:15" ht="85.5" x14ac:dyDescent="0.3">
      <c r="B7" s="13">
        <v>4</v>
      </c>
      <c r="C7" s="17" t="str">
        <f t="shared" si="0"/>
        <v>2024</v>
      </c>
      <c r="D7" s="14" t="s">
        <v>696</v>
      </c>
      <c r="E7" s="14" t="s">
        <v>659</v>
      </c>
      <c r="F7" s="15" t="s">
        <v>718</v>
      </c>
      <c r="G7" s="16">
        <v>2</v>
      </c>
      <c r="H7" s="17">
        <f t="shared" si="1"/>
        <v>0</v>
      </c>
      <c r="I7" s="9"/>
      <c r="J7" s="17">
        <f>IFERROR(IF(VLOOKUP(D:D,'테스트(1회)'!C:G,5, 0)="X",1,0),0)</f>
        <v>0</v>
      </c>
      <c r="K7" s="17">
        <f>IFERROR(IF(VLOOKUP(D:D,'테스트(2회)'!C:G,5, 0)="X",1,0),0)</f>
        <v>0</v>
      </c>
      <c r="L7" s="17">
        <f>IFERROR(IF(VLOOKUP(D:D,'테스트(3회)'!C:G,5, 0)="X",1,0),0)</f>
        <v>0</v>
      </c>
      <c r="M7" s="17">
        <f>IFERROR(IF(VLOOKUP(D:D,'테스트(4회)'!C:G,5, 0)="X",1,0),0)</f>
        <v>0</v>
      </c>
      <c r="N7" s="17">
        <f>IFERROR(IF(VLOOKUP(D:D,'테스트(5회)'!C:G,5, 0)="X",1,0),0)</f>
        <v>0</v>
      </c>
      <c r="O7" s="11"/>
    </row>
    <row r="8" spans="2:15" ht="142.5" x14ac:dyDescent="0.3">
      <c r="B8" s="13">
        <v>5</v>
      </c>
      <c r="C8" s="17" t="str">
        <f t="shared" si="0"/>
        <v>2024</v>
      </c>
      <c r="D8" s="14" t="s">
        <v>697</v>
      </c>
      <c r="E8" s="14" t="s">
        <v>659</v>
      </c>
      <c r="F8" s="15" t="s">
        <v>719</v>
      </c>
      <c r="G8" s="16">
        <v>3</v>
      </c>
      <c r="H8" s="17">
        <f t="shared" si="1"/>
        <v>0</v>
      </c>
      <c r="I8" s="9"/>
      <c r="J8" s="17">
        <f>IFERROR(IF(VLOOKUP(D:D,'테스트(1회)'!C:G,5, 0)="X",1,0),0)</f>
        <v>0</v>
      </c>
      <c r="K8" s="17">
        <f>IFERROR(IF(VLOOKUP(D:D,'테스트(2회)'!C:G,5, 0)="X",1,0),0)</f>
        <v>0</v>
      </c>
      <c r="L8" s="17">
        <f>IFERROR(IF(VLOOKUP(D:D,'테스트(3회)'!C:G,5, 0)="X",1,0),0)</f>
        <v>0</v>
      </c>
      <c r="M8" s="17">
        <f>IFERROR(IF(VLOOKUP(D:D,'테스트(4회)'!C:G,5, 0)="X",1,0),0)</f>
        <v>0</v>
      </c>
      <c r="N8" s="17">
        <f>IFERROR(IF(VLOOKUP(D:D,'테스트(5회)'!C:G,5, 0)="X",1,0),0)</f>
        <v>0</v>
      </c>
      <c r="O8" s="11"/>
    </row>
    <row r="9" spans="2:15" ht="85.5" x14ac:dyDescent="0.3">
      <c r="B9" s="13">
        <v>6</v>
      </c>
      <c r="C9" s="17" t="str">
        <f t="shared" si="0"/>
        <v>2024</v>
      </c>
      <c r="D9" s="14" t="s">
        <v>698</v>
      </c>
      <c r="E9" s="14" t="s">
        <v>659</v>
      </c>
      <c r="F9" s="15" t="s">
        <v>720</v>
      </c>
      <c r="G9" s="16">
        <v>3</v>
      </c>
      <c r="H9" s="17">
        <f t="shared" si="1"/>
        <v>0</v>
      </c>
      <c r="I9" s="9"/>
      <c r="J9" s="17">
        <f>IFERROR(IF(VLOOKUP(D:D,'테스트(1회)'!C:G,5, 0)="X",1,0),0)</f>
        <v>0</v>
      </c>
      <c r="K9" s="17">
        <f>IFERROR(IF(VLOOKUP(D:D,'테스트(2회)'!C:G,5, 0)="X",1,0),0)</f>
        <v>0</v>
      </c>
      <c r="L9" s="17">
        <f>IFERROR(IF(VLOOKUP(D:D,'테스트(3회)'!C:G,5, 0)="X",1,0),0)</f>
        <v>0</v>
      </c>
      <c r="M9" s="17">
        <f>IFERROR(IF(VLOOKUP(D:D,'테스트(4회)'!C:G,5, 0)="X",1,0),0)</f>
        <v>0</v>
      </c>
      <c r="N9" s="17">
        <f>IFERROR(IF(VLOOKUP(D:D,'테스트(5회)'!C:G,5, 0)="X",1,0),0)</f>
        <v>0</v>
      </c>
      <c r="O9" s="11"/>
    </row>
    <row r="10" spans="2:15" ht="85.5" x14ac:dyDescent="0.3">
      <c r="B10" s="13">
        <v>7</v>
      </c>
      <c r="C10" s="17" t="str">
        <f t="shared" si="0"/>
        <v>2024</v>
      </c>
      <c r="D10" s="14" t="s">
        <v>699</v>
      </c>
      <c r="E10" s="14" t="s">
        <v>659</v>
      </c>
      <c r="F10" s="15" t="s">
        <v>721</v>
      </c>
      <c r="G10" s="16">
        <v>5</v>
      </c>
      <c r="H10" s="17">
        <f t="shared" si="1"/>
        <v>0</v>
      </c>
      <c r="I10" s="9"/>
      <c r="J10" s="17">
        <f>IFERROR(IF(VLOOKUP(D:D,'테스트(1회)'!C:G,5, 0)="X",1,0),0)</f>
        <v>0</v>
      </c>
      <c r="K10" s="17">
        <f>IFERROR(IF(VLOOKUP(D:D,'테스트(2회)'!C:G,5, 0)="X",1,0),0)</f>
        <v>0</v>
      </c>
      <c r="L10" s="17">
        <f>IFERROR(IF(VLOOKUP(D:D,'테스트(3회)'!C:G,5, 0)="X",1,0),0)</f>
        <v>0</v>
      </c>
      <c r="M10" s="17">
        <f>IFERROR(IF(VLOOKUP(D:D,'테스트(4회)'!C:G,5, 0)="X",1,0),0)</f>
        <v>0</v>
      </c>
      <c r="N10" s="17">
        <f>IFERROR(IF(VLOOKUP(D:D,'테스트(5회)'!C:G,5, 0)="X",1,0),0)</f>
        <v>0</v>
      </c>
      <c r="O10" s="11"/>
    </row>
    <row r="11" spans="2:15" ht="114" x14ac:dyDescent="0.3">
      <c r="B11" s="13">
        <v>8</v>
      </c>
      <c r="C11" s="17" t="str">
        <f t="shared" si="0"/>
        <v>2024</v>
      </c>
      <c r="D11" s="14" t="s">
        <v>700</v>
      </c>
      <c r="E11" s="14" t="s">
        <v>659</v>
      </c>
      <c r="F11" s="15" t="s">
        <v>722</v>
      </c>
      <c r="G11" s="16">
        <v>2</v>
      </c>
      <c r="H11" s="17">
        <f t="shared" si="1"/>
        <v>0</v>
      </c>
      <c r="I11" s="9"/>
      <c r="J11" s="17">
        <f>IFERROR(IF(VLOOKUP(D:D,'테스트(1회)'!C:G,5, 0)="X",1,0),0)</f>
        <v>0</v>
      </c>
      <c r="K11" s="17">
        <f>IFERROR(IF(VLOOKUP(D:D,'테스트(2회)'!C:G,5, 0)="X",1,0),0)</f>
        <v>0</v>
      </c>
      <c r="L11" s="17">
        <f>IFERROR(IF(VLOOKUP(D:D,'테스트(3회)'!C:G,5, 0)="X",1,0),0)</f>
        <v>0</v>
      </c>
      <c r="M11" s="17">
        <f>IFERROR(IF(VLOOKUP(D:D,'테스트(4회)'!C:G,5, 0)="X",1,0),0)</f>
        <v>0</v>
      </c>
      <c r="N11" s="17">
        <f>IFERROR(IF(VLOOKUP(D:D,'테스트(5회)'!C:G,5, 0)="X",1,0),0)</f>
        <v>0</v>
      </c>
      <c r="O11" s="11"/>
    </row>
    <row r="12" spans="2:15" ht="128.25" x14ac:dyDescent="0.3">
      <c r="B12" s="13">
        <v>9</v>
      </c>
      <c r="C12" s="17" t="str">
        <f t="shared" si="0"/>
        <v>2024</v>
      </c>
      <c r="D12" s="14" t="s">
        <v>701</v>
      </c>
      <c r="E12" s="14" t="s">
        <v>659</v>
      </c>
      <c r="F12" s="15" t="s">
        <v>723</v>
      </c>
      <c r="G12" s="16">
        <v>1</v>
      </c>
      <c r="H12" s="17">
        <f t="shared" si="1"/>
        <v>0</v>
      </c>
      <c r="I12" s="9"/>
      <c r="J12" s="17">
        <f>IFERROR(IF(VLOOKUP(D:D,'테스트(1회)'!C:G,5, 0)="X",1,0),0)</f>
        <v>0</v>
      </c>
      <c r="K12" s="17">
        <f>IFERROR(IF(VLOOKUP(D:D,'테스트(2회)'!C:G,5, 0)="X",1,0),0)</f>
        <v>0</v>
      </c>
      <c r="L12" s="17">
        <f>IFERROR(IF(VLOOKUP(D:D,'테스트(3회)'!C:G,5, 0)="X",1,0),0)</f>
        <v>0</v>
      </c>
      <c r="M12" s="17">
        <f>IFERROR(IF(VLOOKUP(D:D,'테스트(4회)'!C:G,5, 0)="X",1,0),0)</f>
        <v>0</v>
      </c>
      <c r="N12" s="17">
        <f>IFERROR(IF(VLOOKUP(D:D,'테스트(5회)'!C:G,5, 0)="X",1,0),0)</f>
        <v>0</v>
      </c>
      <c r="O12" s="11"/>
    </row>
    <row r="13" spans="2:15" ht="85.5" x14ac:dyDescent="0.3">
      <c r="B13" s="13">
        <v>10</v>
      </c>
      <c r="C13" s="17" t="str">
        <f t="shared" si="0"/>
        <v>2024</v>
      </c>
      <c r="D13" s="14" t="s">
        <v>702</v>
      </c>
      <c r="E13" s="14" t="s">
        <v>659</v>
      </c>
      <c r="F13" s="15" t="s">
        <v>724</v>
      </c>
      <c r="G13" s="16">
        <v>3</v>
      </c>
      <c r="H13" s="17">
        <f t="shared" si="1"/>
        <v>0</v>
      </c>
      <c r="I13" s="9"/>
      <c r="J13" s="17">
        <f>IFERROR(IF(VLOOKUP(D:D,'테스트(1회)'!C:G,5, 0)="X",1,0),0)</f>
        <v>0</v>
      </c>
      <c r="K13" s="17">
        <f>IFERROR(IF(VLOOKUP(D:D,'테스트(2회)'!C:G,5, 0)="X",1,0),0)</f>
        <v>0</v>
      </c>
      <c r="L13" s="17">
        <f>IFERROR(IF(VLOOKUP(D:D,'테스트(3회)'!C:G,5, 0)="X",1,0),0)</f>
        <v>0</v>
      </c>
      <c r="M13" s="17">
        <f>IFERROR(IF(VLOOKUP(D:D,'테스트(4회)'!C:G,5, 0)="X",1,0),0)</f>
        <v>0</v>
      </c>
      <c r="N13" s="17">
        <f>IFERROR(IF(VLOOKUP(D:D,'테스트(5회)'!C:G,5, 0)="X",1,0),0)</f>
        <v>0</v>
      </c>
      <c r="O13" s="11"/>
    </row>
    <row r="14" spans="2:15" ht="99.75" x14ac:dyDescent="0.3">
      <c r="B14" s="13">
        <v>11</v>
      </c>
      <c r="C14" s="17" t="str">
        <f t="shared" si="0"/>
        <v>2024</v>
      </c>
      <c r="D14" s="14" t="s">
        <v>703</v>
      </c>
      <c r="E14" s="14" t="s">
        <v>659</v>
      </c>
      <c r="F14" s="15" t="s">
        <v>725</v>
      </c>
      <c r="G14" s="16">
        <v>1</v>
      </c>
      <c r="H14" s="17">
        <f t="shared" si="1"/>
        <v>0</v>
      </c>
      <c r="I14" s="9"/>
      <c r="J14" s="17">
        <f>IFERROR(IF(VLOOKUP(D:D,'테스트(1회)'!C:G,5, 0)="X",1,0),0)</f>
        <v>0</v>
      </c>
      <c r="K14" s="17">
        <f>IFERROR(IF(VLOOKUP(D:D,'테스트(2회)'!C:G,5, 0)="X",1,0),0)</f>
        <v>0</v>
      </c>
      <c r="L14" s="17">
        <f>IFERROR(IF(VLOOKUP(D:D,'테스트(3회)'!C:G,5, 0)="X",1,0),0)</f>
        <v>0</v>
      </c>
      <c r="M14" s="17">
        <f>IFERROR(IF(VLOOKUP(D:D,'테스트(4회)'!C:G,5, 0)="X",1,0),0)</f>
        <v>0</v>
      </c>
      <c r="N14" s="17">
        <f>IFERROR(IF(VLOOKUP(D:D,'테스트(5회)'!C:G,5, 0)="X",1,0),0)</f>
        <v>0</v>
      </c>
      <c r="O14" s="11"/>
    </row>
    <row r="15" spans="2:15" ht="85.5" x14ac:dyDescent="0.3">
      <c r="B15" s="13">
        <v>12</v>
      </c>
      <c r="C15" s="17" t="str">
        <f t="shared" si="0"/>
        <v>2024</v>
      </c>
      <c r="D15" s="14" t="s">
        <v>704</v>
      </c>
      <c r="E15" s="14" t="s">
        <v>659</v>
      </c>
      <c r="F15" s="15" t="s">
        <v>726</v>
      </c>
      <c r="G15" s="16">
        <v>1</v>
      </c>
      <c r="H15" s="17">
        <f t="shared" si="1"/>
        <v>0</v>
      </c>
      <c r="I15" s="9"/>
      <c r="J15" s="17">
        <f>IFERROR(IF(VLOOKUP(D:D,'테스트(1회)'!C:G,5, 0)="X",1,0),0)</f>
        <v>0</v>
      </c>
      <c r="K15" s="17">
        <f>IFERROR(IF(VLOOKUP(D:D,'테스트(2회)'!C:G,5, 0)="X",1,0),0)</f>
        <v>0</v>
      </c>
      <c r="L15" s="17">
        <f>IFERROR(IF(VLOOKUP(D:D,'테스트(3회)'!C:G,5, 0)="X",1,0),0)</f>
        <v>0</v>
      </c>
      <c r="M15" s="17">
        <f>IFERROR(IF(VLOOKUP(D:D,'테스트(4회)'!C:G,5, 0)="X",1,0),0)</f>
        <v>0</v>
      </c>
      <c r="N15" s="17">
        <f>IFERROR(IF(VLOOKUP(D:D,'테스트(5회)'!C:G,5, 0)="X",1,0),0)</f>
        <v>0</v>
      </c>
      <c r="O15" s="11"/>
    </row>
    <row r="16" spans="2:15" ht="128.25" x14ac:dyDescent="0.3">
      <c r="B16" s="13">
        <v>13</v>
      </c>
      <c r="C16" s="17" t="str">
        <f t="shared" si="0"/>
        <v>2024</v>
      </c>
      <c r="D16" s="14" t="s">
        <v>705</v>
      </c>
      <c r="E16" s="14" t="s">
        <v>659</v>
      </c>
      <c r="F16" s="15" t="s">
        <v>727</v>
      </c>
      <c r="G16" s="16">
        <v>3</v>
      </c>
      <c r="H16" s="17">
        <f t="shared" si="1"/>
        <v>0</v>
      </c>
      <c r="I16" s="9"/>
      <c r="J16" s="17">
        <f>IFERROR(IF(VLOOKUP(D:D,'테스트(1회)'!C:G,5, 0)="X",1,0),0)</f>
        <v>0</v>
      </c>
      <c r="K16" s="17">
        <f>IFERROR(IF(VLOOKUP(D:D,'테스트(2회)'!C:G,5, 0)="X",1,0),0)</f>
        <v>0</v>
      </c>
      <c r="L16" s="17">
        <f>IFERROR(IF(VLOOKUP(D:D,'테스트(3회)'!C:G,5, 0)="X",1,0),0)</f>
        <v>0</v>
      </c>
      <c r="M16" s="17">
        <f>IFERROR(IF(VLOOKUP(D:D,'테스트(4회)'!C:G,5, 0)="X",1,0),0)</f>
        <v>0</v>
      </c>
      <c r="N16" s="17">
        <f>IFERROR(IF(VLOOKUP(D:D,'테스트(5회)'!C:G,5, 0)="X",1,0),0)</f>
        <v>0</v>
      </c>
      <c r="O16" s="11"/>
    </row>
    <row r="17" spans="2:15" ht="128.25" x14ac:dyDescent="0.3">
      <c r="B17" s="13">
        <v>14</v>
      </c>
      <c r="C17" s="17" t="str">
        <f t="shared" si="0"/>
        <v>2024</v>
      </c>
      <c r="D17" s="14" t="s">
        <v>706</v>
      </c>
      <c r="E17" s="14" t="s">
        <v>659</v>
      </c>
      <c r="F17" s="15" t="s">
        <v>728</v>
      </c>
      <c r="G17" s="16">
        <v>5</v>
      </c>
      <c r="H17" s="17">
        <f t="shared" si="1"/>
        <v>0</v>
      </c>
      <c r="I17" s="9"/>
      <c r="J17" s="17">
        <f>IFERROR(IF(VLOOKUP(D:D,'테스트(1회)'!C:G,5, 0)="X",1,0),0)</f>
        <v>0</v>
      </c>
      <c r="K17" s="17">
        <f>IFERROR(IF(VLOOKUP(D:D,'테스트(2회)'!C:G,5, 0)="X",1,0),0)</f>
        <v>0</v>
      </c>
      <c r="L17" s="17">
        <f>IFERROR(IF(VLOOKUP(D:D,'테스트(3회)'!C:G,5, 0)="X",1,0),0)</f>
        <v>0</v>
      </c>
      <c r="M17" s="17">
        <f>IFERROR(IF(VLOOKUP(D:D,'테스트(4회)'!C:G,5, 0)="X",1,0),0)</f>
        <v>0</v>
      </c>
      <c r="N17" s="17">
        <f>IFERROR(IF(VLOOKUP(D:D,'테스트(5회)'!C:G,5, 0)="X",1,0),0)</f>
        <v>0</v>
      </c>
      <c r="O17" s="11"/>
    </row>
    <row r="18" spans="2:15" ht="85.5" x14ac:dyDescent="0.3">
      <c r="B18" s="13">
        <v>15</v>
      </c>
      <c r="C18" s="17" t="str">
        <f t="shared" si="0"/>
        <v>2024</v>
      </c>
      <c r="D18" s="14" t="s">
        <v>707</v>
      </c>
      <c r="E18" s="14" t="s">
        <v>659</v>
      </c>
      <c r="F18" s="15" t="s">
        <v>729</v>
      </c>
      <c r="G18" s="16">
        <v>3</v>
      </c>
      <c r="H18" s="17">
        <f t="shared" si="1"/>
        <v>0</v>
      </c>
      <c r="I18" s="9"/>
      <c r="J18" s="17">
        <f>IFERROR(IF(VLOOKUP(D:D,'테스트(1회)'!C:G,5, 0)="X",1,0),0)</f>
        <v>0</v>
      </c>
      <c r="K18" s="17">
        <f>IFERROR(IF(VLOOKUP(D:D,'테스트(2회)'!C:G,5, 0)="X",1,0),0)</f>
        <v>0</v>
      </c>
      <c r="L18" s="17">
        <f>IFERROR(IF(VLOOKUP(D:D,'테스트(3회)'!C:G,5, 0)="X",1,0),0)</f>
        <v>0</v>
      </c>
      <c r="M18" s="17">
        <f>IFERROR(IF(VLOOKUP(D:D,'테스트(4회)'!C:G,5, 0)="X",1,0),0)</f>
        <v>0</v>
      </c>
      <c r="N18" s="17">
        <f>IFERROR(IF(VLOOKUP(D:D,'테스트(5회)'!C:G,5, 0)="X",1,0),0)</f>
        <v>0</v>
      </c>
      <c r="O18" s="11"/>
    </row>
    <row r="19" spans="2:15" ht="99.75" x14ac:dyDescent="0.3">
      <c r="B19" s="13">
        <v>16</v>
      </c>
      <c r="C19" s="17" t="str">
        <f t="shared" si="0"/>
        <v>2024</v>
      </c>
      <c r="D19" s="14" t="s">
        <v>708</v>
      </c>
      <c r="E19" s="14" t="s">
        <v>659</v>
      </c>
      <c r="F19" s="15" t="s">
        <v>730</v>
      </c>
      <c r="G19" s="16">
        <v>4</v>
      </c>
      <c r="H19" s="17">
        <f t="shared" si="1"/>
        <v>0</v>
      </c>
      <c r="I19" s="9"/>
      <c r="J19" s="17">
        <f>IFERROR(IF(VLOOKUP(D:D,'테스트(1회)'!C:G,5, 0)="X",1,0),0)</f>
        <v>0</v>
      </c>
      <c r="K19" s="17">
        <f>IFERROR(IF(VLOOKUP(D:D,'테스트(2회)'!C:G,5, 0)="X",1,0),0)</f>
        <v>0</v>
      </c>
      <c r="L19" s="17">
        <f>IFERROR(IF(VLOOKUP(D:D,'테스트(3회)'!C:G,5, 0)="X",1,0),0)</f>
        <v>0</v>
      </c>
      <c r="M19" s="17">
        <f>IFERROR(IF(VLOOKUP(D:D,'테스트(4회)'!C:G,5, 0)="X",1,0),0)</f>
        <v>0</v>
      </c>
      <c r="N19" s="17">
        <f>IFERROR(IF(VLOOKUP(D:D,'테스트(5회)'!C:G,5, 0)="X",1,0),0)</f>
        <v>0</v>
      </c>
      <c r="O19" s="11"/>
    </row>
    <row r="20" spans="2:15" ht="171" x14ac:dyDescent="0.3">
      <c r="B20" s="13">
        <v>17</v>
      </c>
      <c r="C20" s="17" t="str">
        <f t="shared" si="0"/>
        <v>2024</v>
      </c>
      <c r="D20" s="14" t="s">
        <v>709</v>
      </c>
      <c r="E20" s="14" t="s">
        <v>659</v>
      </c>
      <c r="F20" s="15" t="s">
        <v>731</v>
      </c>
      <c r="G20" s="16">
        <v>4</v>
      </c>
      <c r="H20" s="17">
        <f t="shared" si="1"/>
        <v>0</v>
      </c>
      <c r="I20" s="9"/>
      <c r="J20" s="17">
        <f>IFERROR(IF(VLOOKUP(D:D,'테스트(1회)'!C:G,5, 0)="X",1,0),0)</f>
        <v>0</v>
      </c>
      <c r="K20" s="17">
        <f>IFERROR(IF(VLOOKUP(D:D,'테스트(2회)'!C:G,5, 0)="X",1,0),0)</f>
        <v>0</v>
      </c>
      <c r="L20" s="17">
        <f>IFERROR(IF(VLOOKUP(D:D,'테스트(3회)'!C:G,5, 0)="X",1,0),0)</f>
        <v>0</v>
      </c>
      <c r="M20" s="17">
        <f>IFERROR(IF(VLOOKUP(D:D,'테스트(4회)'!C:G,5, 0)="X",1,0),0)</f>
        <v>0</v>
      </c>
      <c r="N20" s="17">
        <f>IFERROR(IF(VLOOKUP(D:D,'테스트(5회)'!C:G,5, 0)="X",1,0),0)</f>
        <v>0</v>
      </c>
      <c r="O20" s="11"/>
    </row>
    <row r="21" spans="2:15" ht="85.5" x14ac:dyDescent="0.3">
      <c r="B21" s="13">
        <v>18</v>
      </c>
      <c r="C21" s="17" t="str">
        <f t="shared" si="0"/>
        <v>2024</v>
      </c>
      <c r="D21" s="14" t="s">
        <v>710</v>
      </c>
      <c r="E21" s="14" t="s">
        <v>659</v>
      </c>
      <c r="F21" s="15" t="s">
        <v>732</v>
      </c>
      <c r="G21" s="16">
        <v>5</v>
      </c>
      <c r="H21" s="17">
        <f t="shared" si="1"/>
        <v>1</v>
      </c>
      <c r="I21" s="9"/>
      <c r="J21" s="17">
        <f>IFERROR(IF(VLOOKUP(D:D,'테스트(1회)'!C:G,5, 0)="X",1,0),0)</f>
        <v>1</v>
      </c>
      <c r="K21" s="17">
        <f>IFERROR(IF(VLOOKUP(D:D,'테스트(2회)'!C:G,5, 0)="X",1,0),0)</f>
        <v>0</v>
      </c>
      <c r="L21" s="17">
        <f>IFERROR(IF(VLOOKUP(D:D,'테스트(3회)'!C:G,5, 0)="X",1,0),0)</f>
        <v>0</v>
      </c>
      <c r="M21" s="17">
        <f>IFERROR(IF(VLOOKUP(D:D,'테스트(4회)'!C:G,5, 0)="X",1,0),0)</f>
        <v>0</v>
      </c>
      <c r="N21" s="17">
        <f>IFERROR(IF(VLOOKUP(D:D,'테스트(5회)'!C:G,5, 0)="X",1,0),0)</f>
        <v>0</v>
      </c>
      <c r="O21" s="11"/>
    </row>
    <row r="22" spans="2:15" ht="85.5" x14ac:dyDescent="0.3">
      <c r="B22" s="13">
        <v>19</v>
      </c>
      <c r="C22" s="17" t="str">
        <f t="shared" si="0"/>
        <v>2024</v>
      </c>
      <c r="D22" s="14" t="s">
        <v>711</v>
      </c>
      <c r="E22" s="14" t="s">
        <v>659</v>
      </c>
      <c r="F22" s="15" t="s">
        <v>733</v>
      </c>
      <c r="G22" s="16">
        <v>3</v>
      </c>
      <c r="H22" s="17">
        <f t="shared" si="1"/>
        <v>0</v>
      </c>
      <c r="I22" s="9"/>
      <c r="J22" s="17">
        <f>IFERROR(IF(VLOOKUP(D:D,'테스트(1회)'!C:G,5, 0)="X",1,0),0)</f>
        <v>0</v>
      </c>
      <c r="K22" s="17">
        <f>IFERROR(IF(VLOOKUP(D:D,'테스트(2회)'!C:G,5, 0)="X",1,0),0)</f>
        <v>0</v>
      </c>
      <c r="L22" s="17">
        <f>IFERROR(IF(VLOOKUP(D:D,'테스트(3회)'!C:G,5, 0)="X",1,0),0)</f>
        <v>0</v>
      </c>
      <c r="M22" s="17">
        <f>IFERROR(IF(VLOOKUP(D:D,'테스트(4회)'!C:G,5, 0)="X",1,0),0)</f>
        <v>0</v>
      </c>
      <c r="N22" s="17">
        <f>IFERROR(IF(VLOOKUP(D:D,'테스트(5회)'!C:G,5, 0)="X",1,0),0)</f>
        <v>0</v>
      </c>
      <c r="O22" s="11"/>
    </row>
    <row r="23" spans="2:15" ht="114" x14ac:dyDescent="0.3">
      <c r="B23" s="13">
        <v>20</v>
      </c>
      <c r="C23" s="17" t="str">
        <f t="shared" si="0"/>
        <v>2024</v>
      </c>
      <c r="D23" s="14" t="s">
        <v>672</v>
      </c>
      <c r="E23" s="14" t="s">
        <v>659</v>
      </c>
      <c r="F23" s="15" t="s">
        <v>734</v>
      </c>
      <c r="G23" s="16">
        <v>2</v>
      </c>
      <c r="H23" s="17">
        <f t="shared" si="1"/>
        <v>0</v>
      </c>
      <c r="I23" s="9"/>
      <c r="J23" s="17">
        <f>IFERROR(IF(VLOOKUP(D:D,'테스트(1회)'!C:G,5, 0)="X",1,0),0)</f>
        <v>0</v>
      </c>
      <c r="K23" s="17">
        <f>IFERROR(IF(VLOOKUP(D:D,'테스트(2회)'!C:G,5, 0)="X",1,0),0)</f>
        <v>0</v>
      </c>
      <c r="L23" s="17">
        <f>IFERROR(IF(VLOOKUP(D:D,'테스트(3회)'!C:G,5, 0)="X",1,0),0)</f>
        <v>0</v>
      </c>
      <c r="M23" s="17">
        <f>IFERROR(IF(VLOOKUP(D:D,'테스트(4회)'!C:G,5, 0)="X",1,0),0)</f>
        <v>0</v>
      </c>
      <c r="N23" s="17">
        <f>IFERROR(IF(VLOOKUP(D:D,'테스트(5회)'!C:G,5, 0)="X",1,0),0)</f>
        <v>0</v>
      </c>
      <c r="O23" s="11"/>
    </row>
    <row r="24" spans="2:15" ht="85.5" x14ac:dyDescent="0.3">
      <c r="B24" s="13">
        <v>21</v>
      </c>
      <c r="C24" s="17" t="str">
        <f t="shared" si="0"/>
        <v>2024</v>
      </c>
      <c r="D24" s="14" t="s">
        <v>673</v>
      </c>
      <c r="E24" s="14" t="s">
        <v>659</v>
      </c>
      <c r="F24" s="15" t="s">
        <v>735</v>
      </c>
      <c r="G24" s="16">
        <v>3</v>
      </c>
      <c r="H24" s="17">
        <f t="shared" si="1"/>
        <v>0</v>
      </c>
      <c r="I24" s="9"/>
      <c r="J24" s="17">
        <f>IFERROR(IF(VLOOKUP(D:D,'테스트(1회)'!C:G,5, 0)="X",1,0),0)</f>
        <v>0</v>
      </c>
      <c r="K24" s="17">
        <f>IFERROR(IF(VLOOKUP(D:D,'테스트(2회)'!C:G,5, 0)="X",1,0),0)</f>
        <v>0</v>
      </c>
      <c r="L24" s="17">
        <f>IFERROR(IF(VLOOKUP(D:D,'테스트(3회)'!C:G,5, 0)="X",1,0),0)</f>
        <v>0</v>
      </c>
      <c r="M24" s="17">
        <f>IFERROR(IF(VLOOKUP(D:D,'테스트(4회)'!C:G,5, 0)="X",1,0),0)</f>
        <v>0</v>
      </c>
      <c r="N24" s="17">
        <f>IFERROR(IF(VLOOKUP(D:D,'테스트(5회)'!C:G,5, 0)="X",1,0),0)</f>
        <v>0</v>
      </c>
      <c r="O24" s="11"/>
    </row>
    <row r="25" spans="2:15" ht="142.5" x14ac:dyDescent="0.3">
      <c r="B25" s="13">
        <v>22</v>
      </c>
      <c r="C25" s="17" t="str">
        <f t="shared" si="0"/>
        <v>2024</v>
      </c>
      <c r="D25" s="14" t="s">
        <v>674</v>
      </c>
      <c r="E25" s="14" t="s">
        <v>659</v>
      </c>
      <c r="F25" s="15" t="s">
        <v>736</v>
      </c>
      <c r="G25" s="16">
        <v>4</v>
      </c>
      <c r="H25" s="17">
        <f t="shared" si="1"/>
        <v>1</v>
      </c>
      <c r="I25" s="9"/>
      <c r="J25" s="17">
        <f>IFERROR(IF(VLOOKUP(D:D,'테스트(1회)'!C:G,5, 0)="X",1,0),0)</f>
        <v>1</v>
      </c>
      <c r="K25" s="17">
        <f>IFERROR(IF(VLOOKUP(D:D,'테스트(2회)'!C:G,5, 0)="X",1,0),0)</f>
        <v>0</v>
      </c>
      <c r="L25" s="17">
        <f>IFERROR(IF(VLOOKUP(D:D,'테스트(3회)'!C:G,5, 0)="X",1,0),0)</f>
        <v>0</v>
      </c>
      <c r="M25" s="17">
        <f>IFERROR(IF(VLOOKUP(D:D,'테스트(4회)'!C:G,5, 0)="X",1,0),0)</f>
        <v>0</v>
      </c>
      <c r="N25" s="17">
        <f>IFERROR(IF(VLOOKUP(D:D,'테스트(5회)'!C:G,5, 0)="X",1,0),0)</f>
        <v>0</v>
      </c>
      <c r="O25" s="11"/>
    </row>
    <row r="26" spans="2:15" ht="85.5" x14ac:dyDescent="0.3">
      <c r="B26" s="13">
        <v>23</v>
      </c>
      <c r="C26" s="17" t="str">
        <f t="shared" si="0"/>
        <v>2024</v>
      </c>
      <c r="D26" s="14" t="s">
        <v>675</v>
      </c>
      <c r="E26" s="14" t="s">
        <v>659</v>
      </c>
      <c r="F26" s="15" t="s">
        <v>737</v>
      </c>
      <c r="G26" s="16">
        <v>5</v>
      </c>
      <c r="H26" s="17">
        <f t="shared" si="1"/>
        <v>0</v>
      </c>
      <c r="I26" s="9"/>
      <c r="J26" s="17">
        <f>IFERROR(IF(VLOOKUP(D:D,'테스트(1회)'!C:G,5, 0)="X",1,0),0)</f>
        <v>0</v>
      </c>
      <c r="K26" s="17">
        <f>IFERROR(IF(VLOOKUP(D:D,'테스트(2회)'!C:G,5, 0)="X",1,0),0)</f>
        <v>0</v>
      </c>
      <c r="L26" s="17">
        <f>IFERROR(IF(VLOOKUP(D:D,'테스트(3회)'!C:G,5, 0)="X",1,0),0)</f>
        <v>0</v>
      </c>
      <c r="M26" s="17">
        <f>IFERROR(IF(VLOOKUP(D:D,'테스트(4회)'!C:G,5, 0)="X",1,0),0)</f>
        <v>0</v>
      </c>
      <c r="N26" s="17">
        <f>IFERROR(IF(VLOOKUP(D:D,'테스트(5회)'!C:G,5, 0)="X",1,0),0)</f>
        <v>0</v>
      </c>
      <c r="O26" s="11"/>
    </row>
    <row r="27" spans="2:15" ht="99.75" x14ac:dyDescent="0.3">
      <c r="B27" s="13">
        <v>24</v>
      </c>
      <c r="C27" s="17" t="str">
        <f t="shared" si="0"/>
        <v>2024</v>
      </c>
      <c r="D27" s="14" t="s">
        <v>676</v>
      </c>
      <c r="E27" s="14" t="s">
        <v>659</v>
      </c>
      <c r="F27" s="15" t="s">
        <v>738</v>
      </c>
      <c r="G27" s="16">
        <v>4</v>
      </c>
      <c r="H27" s="17">
        <f t="shared" si="1"/>
        <v>1</v>
      </c>
      <c r="I27" s="9"/>
      <c r="J27" s="17">
        <f>IFERROR(IF(VLOOKUP(D:D,'테스트(1회)'!C:G,5, 0)="X",1,0),0)</f>
        <v>1</v>
      </c>
      <c r="K27" s="17">
        <f>IFERROR(IF(VLOOKUP(D:D,'테스트(2회)'!C:G,5, 0)="X",1,0),0)</f>
        <v>0</v>
      </c>
      <c r="L27" s="17">
        <f>IFERROR(IF(VLOOKUP(D:D,'테스트(3회)'!C:G,5, 0)="X",1,0),0)</f>
        <v>0</v>
      </c>
      <c r="M27" s="17">
        <f>IFERROR(IF(VLOOKUP(D:D,'테스트(4회)'!C:G,5, 0)="X",1,0),0)</f>
        <v>0</v>
      </c>
      <c r="N27" s="17">
        <f>IFERROR(IF(VLOOKUP(D:D,'테스트(5회)'!C:G,5, 0)="X",1,0),0)</f>
        <v>0</v>
      </c>
      <c r="O27" s="11"/>
    </row>
    <row r="28" spans="2:15" ht="85.5" x14ac:dyDescent="0.3">
      <c r="B28" s="13">
        <v>25</v>
      </c>
      <c r="C28" s="17" t="str">
        <f t="shared" si="0"/>
        <v>2024</v>
      </c>
      <c r="D28" s="14" t="s">
        <v>677</v>
      </c>
      <c r="E28" s="14" t="s">
        <v>659</v>
      </c>
      <c r="F28" s="15" t="s">
        <v>739</v>
      </c>
      <c r="G28" s="16">
        <v>2</v>
      </c>
      <c r="H28" s="17">
        <f t="shared" si="1"/>
        <v>1</v>
      </c>
      <c r="I28" s="9"/>
      <c r="J28" s="17">
        <f>IFERROR(IF(VLOOKUP(D:D,'테스트(1회)'!C:G,5, 0)="X",1,0),0)</f>
        <v>1</v>
      </c>
      <c r="K28" s="17">
        <f>IFERROR(IF(VLOOKUP(D:D,'테스트(2회)'!C:G,5, 0)="X",1,0),0)</f>
        <v>0</v>
      </c>
      <c r="L28" s="17">
        <f>IFERROR(IF(VLOOKUP(D:D,'테스트(3회)'!C:G,5, 0)="X",1,0),0)</f>
        <v>0</v>
      </c>
      <c r="M28" s="17">
        <f>IFERROR(IF(VLOOKUP(D:D,'테스트(4회)'!C:G,5, 0)="X",1,0),0)</f>
        <v>0</v>
      </c>
      <c r="N28" s="17">
        <f>IFERROR(IF(VLOOKUP(D:D,'테스트(5회)'!C:G,5, 0)="X",1,0),0)</f>
        <v>0</v>
      </c>
      <c r="O28" s="11"/>
    </row>
    <row r="29" spans="2:15" ht="85.5" x14ac:dyDescent="0.3">
      <c r="B29" s="13">
        <v>26</v>
      </c>
      <c r="C29" s="17" t="str">
        <f t="shared" si="0"/>
        <v>2024</v>
      </c>
      <c r="D29" s="14" t="s">
        <v>678</v>
      </c>
      <c r="E29" s="14" t="s">
        <v>659</v>
      </c>
      <c r="F29" s="15" t="s">
        <v>712</v>
      </c>
      <c r="G29" s="16">
        <v>1</v>
      </c>
      <c r="H29" s="17">
        <f t="shared" si="1"/>
        <v>1</v>
      </c>
      <c r="I29" s="9"/>
      <c r="J29" s="17">
        <f>IFERROR(IF(VLOOKUP(D:D,'테스트(1회)'!C:G,5, 0)="X",1,0),0)</f>
        <v>1</v>
      </c>
      <c r="K29" s="17">
        <f>IFERROR(IF(VLOOKUP(D:D,'테스트(2회)'!C:G,5, 0)="X",1,0),0)</f>
        <v>0</v>
      </c>
      <c r="L29" s="17">
        <f>IFERROR(IF(VLOOKUP(D:D,'테스트(3회)'!C:G,5, 0)="X",1,0),0)</f>
        <v>0</v>
      </c>
      <c r="M29" s="17">
        <f>IFERROR(IF(VLOOKUP(D:D,'테스트(4회)'!C:G,5, 0)="X",1,0),0)</f>
        <v>0</v>
      </c>
      <c r="N29" s="17">
        <f>IFERROR(IF(VLOOKUP(D:D,'테스트(5회)'!C:G,5, 0)="X",1,0),0)</f>
        <v>0</v>
      </c>
      <c r="O29" s="11"/>
    </row>
    <row r="30" spans="2:15" ht="85.5" x14ac:dyDescent="0.3">
      <c r="B30" s="13">
        <v>27</v>
      </c>
      <c r="C30" s="17" t="str">
        <f t="shared" si="0"/>
        <v>2024</v>
      </c>
      <c r="D30" s="14" t="s">
        <v>679</v>
      </c>
      <c r="E30" s="14" t="s">
        <v>659</v>
      </c>
      <c r="F30" s="15" t="s">
        <v>740</v>
      </c>
      <c r="G30" s="16">
        <v>2</v>
      </c>
      <c r="H30" s="17">
        <f t="shared" si="1"/>
        <v>1</v>
      </c>
      <c r="I30" s="9"/>
      <c r="J30" s="17">
        <f>IFERROR(IF(VLOOKUP(D:D,'테스트(1회)'!C:G,5, 0)="X",1,0),0)</f>
        <v>1</v>
      </c>
      <c r="K30" s="17">
        <f>IFERROR(IF(VLOOKUP(D:D,'테스트(2회)'!C:G,5, 0)="X",1,0),0)</f>
        <v>0</v>
      </c>
      <c r="L30" s="17">
        <f>IFERROR(IF(VLOOKUP(D:D,'테스트(3회)'!C:G,5, 0)="X",1,0),0)</f>
        <v>0</v>
      </c>
      <c r="M30" s="17">
        <f>IFERROR(IF(VLOOKUP(D:D,'테스트(4회)'!C:G,5, 0)="X",1,0),0)</f>
        <v>0</v>
      </c>
      <c r="N30" s="17">
        <f>IFERROR(IF(VLOOKUP(D:D,'테스트(5회)'!C:G,5, 0)="X",1,0),0)</f>
        <v>0</v>
      </c>
      <c r="O30" s="11"/>
    </row>
    <row r="31" spans="2:15" ht="142.5" x14ac:dyDescent="0.3">
      <c r="B31" s="13">
        <v>28</v>
      </c>
      <c r="C31" s="17" t="str">
        <f t="shared" si="0"/>
        <v>2024</v>
      </c>
      <c r="D31" s="14" t="s">
        <v>680</v>
      </c>
      <c r="E31" s="14" t="s">
        <v>659</v>
      </c>
      <c r="F31" s="15" t="s">
        <v>741</v>
      </c>
      <c r="G31" s="16">
        <v>4</v>
      </c>
      <c r="H31" s="17">
        <f t="shared" si="1"/>
        <v>1</v>
      </c>
      <c r="I31" s="9"/>
      <c r="J31" s="17">
        <f>IFERROR(IF(VLOOKUP(D:D,'테스트(1회)'!C:G,5, 0)="X",1,0),0)</f>
        <v>1</v>
      </c>
      <c r="K31" s="17">
        <f>IFERROR(IF(VLOOKUP(D:D,'테스트(2회)'!C:G,5, 0)="X",1,0),0)</f>
        <v>0</v>
      </c>
      <c r="L31" s="17">
        <f>IFERROR(IF(VLOOKUP(D:D,'테스트(3회)'!C:G,5, 0)="X",1,0),0)</f>
        <v>0</v>
      </c>
      <c r="M31" s="17">
        <f>IFERROR(IF(VLOOKUP(D:D,'테스트(4회)'!C:G,5, 0)="X",1,0),0)</f>
        <v>0</v>
      </c>
      <c r="N31" s="17">
        <f>IFERROR(IF(VLOOKUP(D:D,'테스트(5회)'!C:G,5, 0)="X",1,0),0)</f>
        <v>0</v>
      </c>
      <c r="O31" s="11"/>
    </row>
    <row r="32" spans="2:15" ht="85.5" x14ac:dyDescent="0.3">
      <c r="B32" s="13">
        <v>29</v>
      </c>
      <c r="C32" s="17" t="str">
        <f t="shared" si="0"/>
        <v>2024</v>
      </c>
      <c r="D32" s="14" t="s">
        <v>681</v>
      </c>
      <c r="E32" s="14" t="s">
        <v>659</v>
      </c>
      <c r="F32" s="15" t="s">
        <v>742</v>
      </c>
      <c r="G32" s="16">
        <v>2</v>
      </c>
      <c r="H32" s="17">
        <f t="shared" si="1"/>
        <v>0</v>
      </c>
      <c r="I32" s="9"/>
      <c r="J32" s="17">
        <f>IFERROR(IF(VLOOKUP(D:D,'테스트(1회)'!C:G,5, 0)="X",1,0),0)</f>
        <v>0</v>
      </c>
      <c r="K32" s="17">
        <f>IFERROR(IF(VLOOKUP(D:D,'테스트(2회)'!C:G,5, 0)="X",1,0),0)</f>
        <v>0</v>
      </c>
      <c r="L32" s="17">
        <f>IFERROR(IF(VLOOKUP(D:D,'테스트(3회)'!C:G,5, 0)="X",1,0),0)</f>
        <v>0</v>
      </c>
      <c r="M32" s="17">
        <f>IFERROR(IF(VLOOKUP(D:D,'테스트(4회)'!C:G,5, 0)="X",1,0),0)</f>
        <v>0</v>
      </c>
      <c r="N32" s="17">
        <f>IFERROR(IF(VLOOKUP(D:D,'테스트(5회)'!C:G,5, 0)="X",1,0),0)</f>
        <v>0</v>
      </c>
      <c r="O32" s="11"/>
    </row>
    <row r="33" spans="2:15" ht="128.25" x14ac:dyDescent="0.3">
      <c r="B33" s="13">
        <v>30</v>
      </c>
      <c r="C33" s="17" t="str">
        <f t="shared" si="0"/>
        <v>2024</v>
      </c>
      <c r="D33" s="14" t="s">
        <v>682</v>
      </c>
      <c r="E33" s="14" t="s">
        <v>659</v>
      </c>
      <c r="F33" s="15" t="s">
        <v>743</v>
      </c>
      <c r="G33" s="16">
        <v>2</v>
      </c>
      <c r="H33" s="17">
        <f t="shared" si="1"/>
        <v>1</v>
      </c>
      <c r="I33" s="9"/>
      <c r="J33" s="17">
        <f>IFERROR(IF(VLOOKUP(D:D,'테스트(1회)'!C:G,5, 0)="X",1,0),0)</f>
        <v>1</v>
      </c>
      <c r="K33" s="17">
        <f>IFERROR(IF(VLOOKUP(D:D,'테스트(2회)'!C:G,5, 0)="X",1,0),0)</f>
        <v>0</v>
      </c>
      <c r="L33" s="17">
        <f>IFERROR(IF(VLOOKUP(D:D,'테스트(3회)'!C:G,5, 0)="X",1,0),0)</f>
        <v>0</v>
      </c>
      <c r="M33" s="17">
        <f>IFERROR(IF(VLOOKUP(D:D,'테스트(4회)'!C:G,5, 0)="X",1,0),0)</f>
        <v>0</v>
      </c>
      <c r="N33" s="17">
        <f>IFERROR(IF(VLOOKUP(D:D,'테스트(5회)'!C:G,5, 0)="X",1,0),0)</f>
        <v>0</v>
      </c>
      <c r="O33" s="11"/>
    </row>
    <row r="34" spans="2:15" ht="85.5" x14ac:dyDescent="0.3">
      <c r="B34" s="13">
        <v>31</v>
      </c>
      <c r="C34" s="17" t="str">
        <f t="shared" si="0"/>
        <v>2024</v>
      </c>
      <c r="D34" s="14" t="s">
        <v>683</v>
      </c>
      <c r="E34" s="14" t="s">
        <v>659</v>
      </c>
      <c r="F34" s="15" t="s">
        <v>744</v>
      </c>
      <c r="G34" s="16">
        <v>1</v>
      </c>
      <c r="H34" s="17">
        <f t="shared" si="1"/>
        <v>0</v>
      </c>
      <c r="I34" s="9"/>
      <c r="J34" s="17">
        <f>IFERROR(IF(VLOOKUP(D:D,'테스트(1회)'!C:G,5, 0)="X",1,0),0)</f>
        <v>0</v>
      </c>
      <c r="K34" s="17">
        <f>IFERROR(IF(VLOOKUP(D:D,'테스트(2회)'!C:G,5, 0)="X",1,0),0)</f>
        <v>0</v>
      </c>
      <c r="L34" s="17">
        <f>IFERROR(IF(VLOOKUP(D:D,'테스트(3회)'!C:G,5, 0)="X",1,0),0)</f>
        <v>0</v>
      </c>
      <c r="M34" s="17">
        <f>IFERROR(IF(VLOOKUP(D:D,'테스트(4회)'!C:G,5, 0)="X",1,0),0)</f>
        <v>0</v>
      </c>
      <c r="N34" s="17">
        <f>IFERROR(IF(VLOOKUP(D:D,'테스트(5회)'!C:G,5, 0)="X",1,0),0)</f>
        <v>0</v>
      </c>
      <c r="O34" s="11"/>
    </row>
    <row r="35" spans="2:15" ht="85.5" x14ac:dyDescent="0.3">
      <c r="B35" s="13">
        <v>32</v>
      </c>
      <c r="C35" s="17" t="str">
        <f t="shared" si="0"/>
        <v>2024</v>
      </c>
      <c r="D35" s="14" t="s">
        <v>684</v>
      </c>
      <c r="E35" s="14" t="s">
        <v>659</v>
      </c>
      <c r="F35" s="15" t="s">
        <v>745</v>
      </c>
      <c r="G35" s="16">
        <v>5</v>
      </c>
      <c r="H35" s="17">
        <f t="shared" si="1"/>
        <v>0</v>
      </c>
      <c r="I35" s="9"/>
      <c r="J35" s="17">
        <f>IFERROR(IF(VLOOKUP(D:D,'테스트(1회)'!C:G,5, 0)="X",1,0),0)</f>
        <v>0</v>
      </c>
      <c r="K35" s="17">
        <f>IFERROR(IF(VLOOKUP(D:D,'테스트(2회)'!C:G,5, 0)="X",1,0),0)</f>
        <v>0</v>
      </c>
      <c r="L35" s="17">
        <f>IFERROR(IF(VLOOKUP(D:D,'테스트(3회)'!C:G,5, 0)="X",1,0),0)</f>
        <v>0</v>
      </c>
      <c r="M35" s="17">
        <f>IFERROR(IF(VLOOKUP(D:D,'테스트(4회)'!C:G,5, 0)="X",1,0),0)</f>
        <v>0</v>
      </c>
      <c r="N35" s="17">
        <f>IFERROR(IF(VLOOKUP(D:D,'테스트(5회)'!C:G,5, 0)="X",1,0),0)</f>
        <v>0</v>
      </c>
      <c r="O35" s="11"/>
    </row>
    <row r="36" spans="2:15" ht="85.5" x14ac:dyDescent="0.3">
      <c r="B36" s="13">
        <v>33</v>
      </c>
      <c r="C36" s="17" t="str">
        <f t="shared" si="0"/>
        <v>2024</v>
      </c>
      <c r="D36" s="14" t="s">
        <v>685</v>
      </c>
      <c r="E36" s="14" t="s">
        <v>659</v>
      </c>
      <c r="F36" s="15" t="s">
        <v>746</v>
      </c>
      <c r="G36" s="16">
        <v>1</v>
      </c>
      <c r="H36" s="17">
        <f t="shared" si="1"/>
        <v>1</v>
      </c>
      <c r="I36" s="9"/>
      <c r="J36" s="17">
        <f>IFERROR(IF(VLOOKUP(D:D,'테스트(1회)'!C:G,5, 0)="X",1,0),0)</f>
        <v>1</v>
      </c>
      <c r="K36" s="17">
        <f>IFERROR(IF(VLOOKUP(D:D,'테스트(2회)'!C:G,5, 0)="X",1,0),0)</f>
        <v>0</v>
      </c>
      <c r="L36" s="17">
        <f>IFERROR(IF(VLOOKUP(D:D,'테스트(3회)'!C:G,5, 0)="X",1,0),0)</f>
        <v>0</v>
      </c>
      <c r="M36" s="17">
        <f>IFERROR(IF(VLOOKUP(D:D,'테스트(4회)'!C:G,5, 0)="X",1,0),0)</f>
        <v>0</v>
      </c>
      <c r="N36" s="17">
        <f>IFERROR(IF(VLOOKUP(D:D,'테스트(5회)'!C:G,5, 0)="X",1,0),0)</f>
        <v>0</v>
      </c>
      <c r="O36" s="11"/>
    </row>
    <row r="37" spans="2:15" ht="85.5" x14ac:dyDescent="0.3">
      <c r="B37" s="13">
        <v>34</v>
      </c>
      <c r="C37" s="17" t="str">
        <f t="shared" si="0"/>
        <v>2024</v>
      </c>
      <c r="D37" s="14" t="s">
        <v>686</v>
      </c>
      <c r="E37" s="14" t="s">
        <v>659</v>
      </c>
      <c r="F37" s="15" t="s">
        <v>747</v>
      </c>
      <c r="G37" s="16">
        <v>4</v>
      </c>
      <c r="H37" s="17">
        <f t="shared" si="1"/>
        <v>0</v>
      </c>
      <c r="I37" s="9"/>
      <c r="J37" s="17">
        <f>IFERROR(IF(VLOOKUP(D:D,'테스트(1회)'!C:G,5, 0)="X",1,0),0)</f>
        <v>0</v>
      </c>
      <c r="K37" s="17">
        <f>IFERROR(IF(VLOOKUP(D:D,'테스트(2회)'!C:G,5, 0)="X",1,0),0)</f>
        <v>0</v>
      </c>
      <c r="L37" s="17">
        <f>IFERROR(IF(VLOOKUP(D:D,'테스트(3회)'!C:G,5, 0)="X",1,0),0)</f>
        <v>0</v>
      </c>
      <c r="M37" s="17">
        <f>IFERROR(IF(VLOOKUP(D:D,'테스트(4회)'!C:G,5, 0)="X",1,0),0)</f>
        <v>0</v>
      </c>
      <c r="N37" s="17">
        <f>IFERROR(IF(VLOOKUP(D:D,'테스트(5회)'!C:G,5, 0)="X",1,0),0)</f>
        <v>0</v>
      </c>
      <c r="O37" s="11"/>
    </row>
    <row r="38" spans="2:15" ht="85.5" x14ac:dyDescent="0.3">
      <c r="B38" s="13">
        <v>35</v>
      </c>
      <c r="C38" s="17" t="str">
        <f t="shared" si="0"/>
        <v>2024</v>
      </c>
      <c r="D38" s="14" t="s">
        <v>687</v>
      </c>
      <c r="E38" s="14" t="s">
        <v>659</v>
      </c>
      <c r="F38" s="15" t="s">
        <v>748</v>
      </c>
      <c r="G38" s="16">
        <v>2</v>
      </c>
      <c r="H38" s="17">
        <f t="shared" si="1"/>
        <v>1</v>
      </c>
      <c r="I38" s="9"/>
      <c r="J38" s="17">
        <f>IFERROR(IF(VLOOKUP(D:D,'테스트(1회)'!C:G,5, 0)="X",1,0),0)</f>
        <v>1</v>
      </c>
      <c r="K38" s="17">
        <f>IFERROR(IF(VLOOKUP(D:D,'테스트(2회)'!C:G,5, 0)="X",1,0),0)</f>
        <v>0</v>
      </c>
      <c r="L38" s="17">
        <f>IFERROR(IF(VLOOKUP(D:D,'테스트(3회)'!C:G,5, 0)="X",1,0),0)</f>
        <v>0</v>
      </c>
      <c r="M38" s="17">
        <f>IFERROR(IF(VLOOKUP(D:D,'테스트(4회)'!C:G,5, 0)="X",1,0),0)</f>
        <v>0</v>
      </c>
      <c r="N38" s="17">
        <f>IFERROR(IF(VLOOKUP(D:D,'테스트(5회)'!C:G,5, 0)="X",1,0),0)</f>
        <v>0</v>
      </c>
      <c r="O38" s="11"/>
    </row>
    <row r="39" spans="2:15" ht="85.5" x14ac:dyDescent="0.3">
      <c r="B39" s="13">
        <v>36</v>
      </c>
      <c r="C39" s="17" t="str">
        <f t="shared" si="0"/>
        <v>2024</v>
      </c>
      <c r="D39" s="14" t="s">
        <v>688</v>
      </c>
      <c r="E39" s="14" t="s">
        <v>659</v>
      </c>
      <c r="F39" s="15" t="s">
        <v>713</v>
      </c>
      <c r="G39" s="16">
        <v>4</v>
      </c>
      <c r="H39" s="17">
        <f t="shared" si="1"/>
        <v>1</v>
      </c>
      <c r="I39" s="9"/>
      <c r="J39" s="17">
        <f>IFERROR(IF(VLOOKUP(D:D,'테스트(1회)'!C:G,5, 0)="X",1,0),0)</f>
        <v>1</v>
      </c>
      <c r="K39" s="17">
        <f>IFERROR(IF(VLOOKUP(D:D,'테스트(2회)'!C:G,5, 0)="X",1,0),0)</f>
        <v>0</v>
      </c>
      <c r="L39" s="17">
        <f>IFERROR(IF(VLOOKUP(D:D,'테스트(3회)'!C:G,5, 0)="X",1,0),0)</f>
        <v>0</v>
      </c>
      <c r="M39" s="17">
        <f>IFERROR(IF(VLOOKUP(D:D,'테스트(4회)'!C:G,5, 0)="X",1,0),0)</f>
        <v>0</v>
      </c>
      <c r="N39" s="17">
        <f>IFERROR(IF(VLOOKUP(D:D,'테스트(5회)'!C:G,5, 0)="X",1,0),0)</f>
        <v>0</v>
      </c>
      <c r="O39" s="11"/>
    </row>
    <row r="40" spans="2:15" ht="85.5" x14ac:dyDescent="0.3">
      <c r="B40" s="13">
        <v>37</v>
      </c>
      <c r="C40" s="17" t="str">
        <f t="shared" si="0"/>
        <v>2024</v>
      </c>
      <c r="D40" s="14" t="s">
        <v>689</v>
      </c>
      <c r="E40" s="14" t="s">
        <v>659</v>
      </c>
      <c r="F40" s="15" t="s">
        <v>749</v>
      </c>
      <c r="G40" s="16">
        <v>4</v>
      </c>
      <c r="H40" s="17">
        <f t="shared" si="1"/>
        <v>0</v>
      </c>
      <c r="I40" s="9"/>
      <c r="J40" s="17">
        <f>IFERROR(IF(VLOOKUP(D:D,'테스트(1회)'!C:G,5, 0)="X",1,0),0)</f>
        <v>0</v>
      </c>
      <c r="K40" s="17">
        <f>IFERROR(IF(VLOOKUP(D:D,'테스트(2회)'!C:G,5, 0)="X",1,0),0)</f>
        <v>0</v>
      </c>
      <c r="L40" s="17">
        <f>IFERROR(IF(VLOOKUP(D:D,'테스트(3회)'!C:G,5, 0)="X",1,0),0)</f>
        <v>0</v>
      </c>
      <c r="M40" s="17">
        <f>IFERROR(IF(VLOOKUP(D:D,'테스트(4회)'!C:G,5, 0)="X",1,0),0)</f>
        <v>0</v>
      </c>
      <c r="N40" s="17">
        <f>IFERROR(IF(VLOOKUP(D:D,'테스트(5회)'!C:G,5, 0)="X",1,0),0)</f>
        <v>0</v>
      </c>
      <c r="O40" s="11"/>
    </row>
    <row r="41" spans="2:15" ht="85.5" x14ac:dyDescent="0.3">
      <c r="B41" s="13">
        <v>38</v>
      </c>
      <c r="C41" s="17" t="str">
        <f t="shared" si="0"/>
        <v>2024</v>
      </c>
      <c r="D41" s="14" t="s">
        <v>690</v>
      </c>
      <c r="E41" s="14" t="s">
        <v>659</v>
      </c>
      <c r="F41" s="15" t="s">
        <v>714</v>
      </c>
      <c r="G41" s="16">
        <v>4</v>
      </c>
      <c r="H41" s="17">
        <f t="shared" si="1"/>
        <v>0</v>
      </c>
      <c r="I41" s="9"/>
      <c r="J41" s="17">
        <f>IFERROR(IF(VLOOKUP(D:D,'테스트(1회)'!C:G,5, 0)="X",1,0),0)</f>
        <v>0</v>
      </c>
      <c r="K41" s="17">
        <f>IFERROR(IF(VLOOKUP(D:D,'테스트(2회)'!C:G,5, 0)="X",1,0),0)</f>
        <v>0</v>
      </c>
      <c r="L41" s="17">
        <f>IFERROR(IF(VLOOKUP(D:D,'테스트(3회)'!C:G,5, 0)="X",1,0),0)</f>
        <v>0</v>
      </c>
      <c r="M41" s="17">
        <f>IFERROR(IF(VLOOKUP(D:D,'테스트(4회)'!C:G,5, 0)="X",1,0),0)</f>
        <v>0</v>
      </c>
      <c r="N41" s="17">
        <f>IFERROR(IF(VLOOKUP(D:D,'테스트(5회)'!C:G,5, 0)="X",1,0),0)</f>
        <v>0</v>
      </c>
      <c r="O41" s="11"/>
    </row>
    <row r="42" spans="2:15" ht="114" x14ac:dyDescent="0.3">
      <c r="B42" s="13">
        <v>39</v>
      </c>
      <c r="C42" s="17" t="str">
        <f t="shared" si="0"/>
        <v>2024</v>
      </c>
      <c r="D42" s="14" t="s">
        <v>691</v>
      </c>
      <c r="E42" s="14" t="s">
        <v>659</v>
      </c>
      <c r="F42" s="15" t="s">
        <v>750</v>
      </c>
      <c r="G42" s="16">
        <v>1</v>
      </c>
      <c r="H42" s="17">
        <f t="shared" si="1"/>
        <v>1</v>
      </c>
      <c r="I42" s="9"/>
      <c r="J42" s="17">
        <f>IFERROR(IF(VLOOKUP(D:D,'테스트(1회)'!C:G,5, 0)="X",1,0),0)</f>
        <v>1</v>
      </c>
      <c r="K42" s="17">
        <f>IFERROR(IF(VLOOKUP(D:D,'테스트(2회)'!C:G,5, 0)="X",1,0),0)</f>
        <v>0</v>
      </c>
      <c r="L42" s="17">
        <f>IFERROR(IF(VLOOKUP(D:D,'테스트(3회)'!C:G,5, 0)="X",1,0),0)</f>
        <v>0</v>
      </c>
      <c r="M42" s="17">
        <f>IFERROR(IF(VLOOKUP(D:D,'테스트(4회)'!C:G,5, 0)="X",1,0),0)</f>
        <v>0</v>
      </c>
      <c r="N42" s="17">
        <f>IFERROR(IF(VLOOKUP(D:D,'테스트(5회)'!C:G,5, 0)="X",1,0),0)</f>
        <v>0</v>
      </c>
      <c r="O42" s="11"/>
    </row>
    <row r="43" spans="2:15" ht="85.5" x14ac:dyDescent="0.3">
      <c r="B43" s="13">
        <v>40</v>
      </c>
      <c r="C43" s="17" t="str">
        <f t="shared" si="0"/>
        <v>2024</v>
      </c>
      <c r="D43" s="14" t="s">
        <v>692</v>
      </c>
      <c r="E43" s="14" t="s">
        <v>659</v>
      </c>
      <c r="F43" s="15" t="s">
        <v>751</v>
      </c>
      <c r="G43" s="16">
        <v>3</v>
      </c>
      <c r="H43" s="17">
        <f t="shared" si="1"/>
        <v>0</v>
      </c>
      <c r="I43" s="9"/>
      <c r="J43" s="17">
        <f>IFERROR(IF(VLOOKUP(D:D,'테스트(1회)'!C:G,5, 0)="X",1,0),0)</f>
        <v>0</v>
      </c>
      <c r="K43" s="17">
        <f>IFERROR(IF(VLOOKUP(D:D,'테스트(2회)'!C:G,5, 0)="X",1,0),0)</f>
        <v>0</v>
      </c>
      <c r="L43" s="17">
        <f>IFERROR(IF(VLOOKUP(D:D,'테스트(3회)'!C:G,5, 0)="X",1,0),0)</f>
        <v>0</v>
      </c>
      <c r="M43" s="17">
        <f>IFERROR(IF(VLOOKUP(D:D,'테스트(4회)'!C:G,5, 0)="X",1,0),0)</f>
        <v>0</v>
      </c>
      <c r="N43" s="17">
        <f>IFERROR(IF(VLOOKUP(D:D,'테스트(5회)'!C:G,5, 0)="X",1,0),0)</f>
        <v>0</v>
      </c>
      <c r="O43" s="11"/>
    </row>
    <row r="44" spans="2:15" ht="142.5" x14ac:dyDescent="0.3">
      <c r="B44" s="13">
        <v>41</v>
      </c>
      <c r="C44" s="17" t="str">
        <f t="shared" si="0"/>
        <v>2023</v>
      </c>
      <c r="D44" s="14" t="s">
        <v>5</v>
      </c>
      <c r="E44" s="14" t="s">
        <v>659</v>
      </c>
      <c r="F44" s="15" t="s">
        <v>6</v>
      </c>
      <c r="G44" s="16">
        <v>5</v>
      </c>
      <c r="H44" s="17">
        <f t="shared" si="1"/>
        <v>0</v>
      </c>
      <c r="I44" s="9"/>
      <c r="J44" s="17">
        <f>IFERROR(IF(VLOOKUP(D:D,'테스트(1회)'!C:G,5, 0)="X",1,0),0)</f>
        <v>0</v>
      </c>
      <c r="K44" s="17">
        <f>IFERROR(IF(VLOOKUP(D:D,'테스트(2회)'!C:G,5, 0)="X",1,0),0)</f>
        <v>0</v>
      </c>
      <c r="L44" s="17">
        <f>IFERROR(IF(VLOOKUP(D:D,'테스트(3회)'!C:G,5, 0)="X",1,0),0)</f>
        <v>0</v>
      </c>
      <c r="M44" s="17">
        <f>IFERROR(IF(VLOOKUP(D:D,'테스트(4회)'!C:G,5, 0)="X",1,0),0)</f>
        <v>0</v>
      </c>
      <c r="N44" s="17">
        <f>IFERROR(IF(VLOOKUP(D:D,'테스트(5회)'!C:G,5, 0)="X",1,0),0)</f>
        <v>0</v>
      </c>
      <c r="O44" s="9"/>
    </row>
    <row r="45" spans="2:15" ht="171" x14ac:dyDescent="0.3">
      <c r="B45" s="13">
        <v>42</v>
      </c>
      <c r="C45" s="17" t="str">
        <f t="shared" si="0"/>
        <v>2023</v>
      </c>
      <c r="D45" s="14" t="s">
        <v>7</v>
      </c>
      <c r="E45" s="14" t="s">
        <v>659</v>
      </c>
      <c r="F45" s="15" t="s">
        <v>656</v>
      </c>
      <c r="G45" s="16">
        <v>4</v>
      </c>
      <c r="H45" s="17">
        <f t="shared" si="1"/>
        <v>0</v>
      </c>
      <c r="I45" s="9"/>
      <c r="J45" s="17">
        <f>IFERROR(IF(VLOOKUP(D:D,'테스트(1회)'!C:G,5, 0)="X",1,0),0)</f>
        <v>0</v>
      </c>
      <c r="K45" s="17">
        <f>IFERROR(IF(VLOOKUP(D:D,'테스트(2회)'!C:G,5, 0)="X",1,0),0)</f>
        <v>0</v>
      </c>
      <c r="L45" s="17">
        <f>IFERROR(IF(VLOOKUP(D:D,'테스트(3회)'!C:G,5, 0)="X",1,0),0)</f>
        <v>0</v>
      </c>
      <c r="M45" s="17">
        <f>IFERROR(IF(VLOOKUP(D:D,'테스트(4회)'!C:G,5, 0)="X",1,0),0)</f>
        <v>0</v>
      </c>
      <c r="N45" s="17">
        <f>IFERROR(IF(VLOOKUP(D:D,'테스트(5회)'!C:G,5, 0)="X",1,0),0)</f>
        <v>0</v>
      </c>
      <c r="O45" s="9"/>
    </row>
    <row r="46" spans="2:15" ht="85.5" x14ac:dyDescent="0.3">
      <c r="B46" s="13">
        <v>43</v>
      </c>
      <c r="C46" s="17" t="str">
        <f t="shared" si="0"/>
        <v>2023</v>
      </c>
      <c r="D46" s="14" t="s">
        <v>8</v>
      </c>
      <c r="E46" s="14" t="s">
        <v>659</v>
      </c>
      <c r="F46" s="15" t="s">
        <v>9</v>
      </c>
      <c r="G46" s="16">
        <v>4</v>
      </c>
      <c r="H46" s="17">
        <f t="shared" si="1"/>
        <v>1</v>
      </c>
      <c r="I46" s="9"/>
      <c r="J46" s="17">
        <f>IFERROR(IF(VLOOKUP(D:D,'테스트(1회)'!C:G,5, 0)="X",1,0),0)</f>
        <v>1</v>
      </c>
      <c r="K46" s="17">
        <f>IFERROR(IF(VLOOKUP(D:D,'테스트(2회)'!C:G,5, 0)="X",1,0),0)</f>
        <v>0</v>
      </c>
      <c r="L46" s="17">
        <f>IFERROR(IF(VLOOKUP(D:D,'테스트(3회)'!C:G,5, 0)="X",1,0),0)</f>
        <v>0</v>
      </c>
      <c r="M46" s="17">
        <f>IFERROR(IF(VLOOKUP(D:D,'테스트(4회)'!C:G,5, 0)="X",1,0),0)</f>
        <v>0</v>
      </c>
      <c r="N46" s="17">
        <f>IFERROR(IF(VLOOKUP(D:D,'테스트(5회)'!C:G,5, 0)="X",1,0),0)</f>
        <v>0</v>
      </c>
      <c r="O46" s="9"/>
    </row>
    <row r="47" spans="2:15" ht="85.5" x14ac:dyDescent="0.3">
      <c r="B47" s="13">
        <v>44</v>
      </c>
      <c r="C47" s="17" t="str">
        <f t="shared" si="0"/>
        <v>2023</v>
      </c>
      <c r="D47" s="14" t="s">
        <v>10</v>
      </c>
      <c r="E47" s="14" t="s">
        <v>659</v>
      </c>
      <c r="F47" s="15" t="s">
        <v>11</v>
      </c>
      <c r="G47" s="16">
        <v>1</v>
      </c>
      <c r="H47" s="17">
        <f t="shared" si="1"/>
        <v>0</v>
      </c>
      <c r="I47" s="9"/>
      <c r="J47" s="17">
        <f>IFERROR(IF(VLOOKUP(D:D,'테스트(1회)'!C:G,5, 0)="X",1,0),0)</f>
        <v>0</v>
      </c>
      <c r="K47" s="17">
        <f>IFERROR(IF(VLOOKUP(D:D,'테스트(2회)'!C:G,5, 0)="X",1,0),0)</f>
        <v>0</v>
      </c>
      <c r="L47" s="17">
        <f>IFERROR(IF(VLOOKUP(D:D,'테스트(3회)'!C:G,5, 0)="X",1,0),0)</f>
        <v>0</v>
      </c>
      <c r="M47" s="17">
        <f>IFERROR(IF(VLOOKUP(D:D,'테스트(4회)'!C:G,5, 0)="X",1,0),0)</f>
        <v>0</v>
      </c>
      <c r="N47" s="17">
        <f>IFERROR(IF(VLOOKUP(D:D,'테스트(5회)'!C:G,5, 0)="X",1,0),0)</f>
        <v>0</v>
      </c>
      <c r="O47" s="9"/>
    </row>
    <row r="48" spans="2:15" ht="142.5" x14ac:dyDescent="0.3">
      <c r="B48" s="13">
        <v>45</v>
      </c>
      <c r="C48" s="17" t="str">
        <f t="shared" si="0"/>
        <v>2023</v>
      </c>
      <c r="D48" s="14" t="s">
        <v>12</v>
      </c>
      <c r="E48" s="14" t="s">
        <v>659</v>
      </c>
      <c r="F48" s="15" t="s">
        <v>13</v>
      </c>
      <c r="G48" s="16">
        <v>3</v>
      </c>
      <c r="H48" s="17">
        <f t="shared" si="1"/>
        <v>1</v>
      </c>
      <c r="I48" s="9"/>
      <c r="J48" s="17">
        <f>IFERROR(IF(VLOOKUP(D:D,'테스트(1회)'!C:G,5, 0)="X",1,0),0)</f>
        <v>1</v>
      </c>
      <c r="K48" s="17">
        <f>IFERROR(IF(VLOOKUP(D:D,'테스트(2회)'!C:G,5, 0)="X",1,0),0)</f>
        <v>0</v>
      </c>
      <c r="L48" s="17">
        <f>IFERROR(IF(VLOOKUP(D:D,'테스트(3회)'!C:G,5, 0)="X",1,0),0)</f>
        <v>0</v>
      </c>
      <c r="M48" s="17">
        <f>IFERROR(IF(VLOOKUP(D:D,'테스트(4회)'!C:G,5, 0)="X",1,0),0)</f>
        <v>0</v>
      </c>
      <c r="N48" s="17">
        <f>IFERROR(IF(VLOOKUP(D:D,'테스트(5회)'!C:G,5, 0)="X",1,0),0)</f>
        <v>0</v>
      </c>
      <c r="O48" s="9"/>
    </row>
    <row r="49" spans="2:15" ht="156.75" x14ac:dyDescent="0.3">
      <c r="B49" s="13">
        <v>46</v>
      </c>
      <c r="C49" s="17" t="str">
        <f t="shared" si="0"/>
        <v>2023</v>
      </c>
      <c r="D49" s="14" t="s">
        <v>14</v>
      </c>
      <c r="E49" s="14" t="s">
        <v>659</v>
      </c>
      <c r="F49" s="15" t="s">
        <v>15</v>
      </c>
      <c r="G49" s="16">
        <v>2</v>
      </c>
      <c r="H49" s="17">
        <f t="shared" si="1"/>
        <v>0</v>
      </c>
      <c r="I49" s="9"/>
      <c r="J49" s="17">
        <f>IFERROR(IF(VLOOKUP(D:D,'테스트(1회)'!C:G,5, 0)="X",1,0),0)</f>
        <v>0</v>
      </c>
      <c r="K49" s="17">
        <f>IFERROR(IF(VLOOKUP(D:D,'테스트(2회)'!C:G,5, 0)="X",1,0),0)</f>
        <v>0</v>
      </c>
      <c r="L49" s="17">
        <f>IFERROR(IF(VLOOKUP(D:D,'테스트(3회)'!C:G,5, 0)="X",1,0),0)</f>
        <v>0</v>
      </c>
      <c r="M49" s="17">
        <f>IFERROR(IF(VLOOKUP(D:D,'테스트(4회)'!C:G,5, 0)="X",1,0),0)</f>
        <v>0</v>
      </c>
      <c r="N49" s="17">
        <f>IFERROR(IF(VLOOKUP(D:D,'테스트(5회)'!C:G,5, 0)="X",1,0),0)</f>
        <v>0</v>
      </c>
      <c r="O49" s="9"/>
    </row>
    <row r="50" spans="2:15" ht="85.5" x14ac:dyDescent="0.3">
      <c r="B50" s="13">
        <v>47</v>
      </c>
      <c r="C50" s="17" t="str">
        <f t="shared" si="0"/>
        <v>2023</v>
      </c>
      <c r="D50" s="14" t="s">
        <v>16</v>
      </c>
      <c r="E50" s="14" t="s">
        <v>659</v>
      </c>
      <c r="F50" s="15" t="s">
        <v>17</v>
      </c>
      <c r="G50" s="16">
        <v>5</v>
      </c>
      <c r="H50" s="17">
        <f t="shared" si="1"/>
        <v>0</v>
      </c>
      <c r="I50" s="9"/>
      <c r="J50" s="17">
        <f>IFERROR(IF(VLOOKUP(D:D,'테스트(1회)'!C:G,5, 0)="X",1,0),0)</f>
        <v>0</v>
      </c>
      <c r="K50" s="17">
        <f>IFERROR(IF(VLOOKUP(D:D,'테스트(2회)'!C:G,5, 0)="X",1,0),0)</f>
        <v>0</v>
      </c>
      <c r="L50" s="17">
        <f>IFERROR(IF(VLOOKUP(D:D,'테스트(3회)'!C:G,5, 0)="X",1,0),0)</f>
        <v>0</v>
      </c>
      <c r="M50" s="17">
        <f>IFERROR(IF(VLOOKUP(D:D,'테스트(4회)'!C:G,5, 0)="X",1,0),0)</f>
        <v>0</v>
      </c>
      <c r="N50" s="17">
        <f>IFERROR(IF(VLOOKUP(D:D,'테스트(5회)'!C:G,5, 0)="X",1,0),0)</f>
        <v>0</v>
      </c>
      <c r="O50" s="9"/>
    </row>
    <row r="51" spans="2:15" ht="85.5" x14ac:dyDescent="0.3">
      <c r="B51" s="13">
        <v>48</v>
      </c>
      <c r="C51" s="17" t="str">
        <f t="shared" si="0"/>
        <v>2023</v>
      </c>
      <c r="D51" s="14" t="s">
        <v>18</v>
      </c>
      <c r="E51" s="14" t="s">
        <v>659</v>
      </c>
      <c r="F51" s="15" t="s">
        <v>667</v>
      </c>
      <c r="G51" s="16">
        <v>4</v>
      </c>
      <c r="H51" s="17">
        <f t="shared" si="1"/>
        <v>0</v>
      </c>
      <c r="I51" s="9"/>
      <c r="J51" s="17">
        <f>IFERROR(IF(VLOOKUP(D:D,'테스트(1회)'!C:G,5, 0)="X",1,0),0)</f>
        <v>0</v>
      </c>
      <c r="K51" s="17">
        <f>IFERROR(IF(VLOOKUP(D:D,'테스트(2회)'!C:G,5, 0)="X",1,0),0)</f>
        <v>0</v>
      </c>
      <c r="L51" s="17">
        <f>IFERROR(IF(VLOOKUP(D:D,'테스트(3회)'!C:G,5, 0)="X",1,0),0)</f>
        <v>0</v>
      </c>
      <c r="M51" s="17">
        <f>IFERROR(IF(VLOOKUP(D:D,'테스트(4회)'!C:G,5, 0)="X",1,0),0)</f>
        <v>0</v>
      </c>
      <c r="N51" s="17">
        <f>IFERROR(IF(VLOOKUP(D:D,'테스트(5회)'!C:G,5, 0)="X",1,0),0)</f>
        <v>0</v>
      </c>
      <c r="O51" s="9"/>
    </row>
    <row r="52" spans="2:15" ht="85.5" x14ac:dyDescent="0.3">
      <c r="B52" s="13">
        <v>49</v>
      </c>
      <c r="C52" s="17" t="str">
        <f t="shared" si="0"/>
        <v>2023</v>
      </c>
      <c r="D52" s="14" t="s">
        <v>19</v>
      </c>
      <c r="E52" s="14" t="s">
        <v>659</v>
      </c>
      <c r="F52" s="15" t="s">
        <v>20</v>
      </c>
      <c r="G52" s="16">
        <v>3</v>
      </c>
      <c r="H52" s="17">
        <f t="shared" si="1"/>
        <v>0</v>
      </c>
      <c r="I52" s="9"/>
      <c r="J52" s="17">
        <f>IFERROR(IF(VLOOKUP(D:D,'테스트(1회)'!C:G,5, 0)="X",1,0),0)</f>
        <v>0</v>
      </c>
      <c r="K52" s="17">
        <f>IFERROR(IF(VLOOKUP(D:D,'테스트(2회)'!C:G,5, 0)="X",1,0),0)</f>
        <v>0</v>
      </c>
      <c r="L52" s="17">
        <f>IFERROR(IF(VLOOKUP(D:D,'테스트(3회)'!C:G,5, 0)="X",1,0),0)</f>
        <v>0</v>
      </c>
      <c r="M52" s="17">
        <f>IFERROR(IF(VLOOKUP(D:D,'테스트(4회)'!C:G,5, 0)="X",1,0),0)</f>
        <v>0</v>
      </c>
      <c r="N52" s="17">
        <f>IFERROR(IF(VLOOKUP(D:D,'테스트(5회)'!C:G,5, 0)="X",1,0),0)</f>
        <v>0</v>
      </c>
      <c r="O52" s="9"/>
    </row>
    <row r="53" spans="2:15" ht="156.75" x14ac:dyDescent="0.3">
      <c r="B53" s="13">
        <v>50</v>
      </c>
      <c r="C53" s="17" t="str">
        <f t="shared" si="0"/>
        <v>2023</v>
      </c>
      <c r="D53" s="14" t="s">
        <v>21</v>
      </c>
      <c r="E53" s="14" t="s">
        <v>659</v>
      </c>
      <c r="F53" s="15" t="s">
        <v>1056</v>
      </c>
      <c r="G53" s="16">
        <v>1</v>
      </c>
      <c r="H53" s="17">
        <f t="shared" si="1"/>
        <v>0</v>
      </c>
      <c r="I53" s="9"/>
      <c r="J53" s="17">
        <f>IFERROR(IF(VLOOKUP(D:D,'테스트(1회)'!C:G,5, 0)="X",1,0),0)</f>
        <v>0</v>
      </c>
      <c r="K53" s="17">
        <f>IFERROR(IF(VLOOKUP(D:D,'테스트(2회)'!C:G,5, 0)="X",1,0),0)</f>
        <v>0</v>
      </c>
      <c r="L53" s="17">
        <f>IFERROR(IF(VLOOKUP(D:D,'테스트(3회)'!C:G,5, 0)="X",1,0),0)</f>
        <v>0</v>
      </c>
      <c r="M53" s="17">
        <f>IFERROR(IF(VLOOKUP(D:D,'테스트(4회)'!C:G,5, 0)="X",1,0),0)</f>
        <v>0</v>
      </c>
      <c r="N53" s="17">
        <f>IFERROR(IF(VLOOKUP(D:D,'테스트(5회)'!C:G,5, 0)="X",1,0),0)</f>
        <v>0</v>
      </c>
      <c r="O53" s="9"/>
    </row>
    <row r="54" spans="2:15" ht="85.5" x14ac:dyDescent="0.3">
      <c r="B54" s="13">
        <v>51</v>
      </c>
      <c r="C54" s="17" t="str">
        <f t="shared" si="0"/>
        <v>2023</v>
      </c>
      <c r="D54" s="14" t="s">
        <v>22</v>
      </c>
      <c r="E54" s="14" t="s">
        <v>659</v>
      </c>
      <c r="F54" s="15" t="s">
        <v>23</v>
      </c>
      <c r="G54" s="16">
        <v>1</v>
      </c>
      <c r="H54" s="17">
        <f t="shared" si="1"/>
        <v>0</v>
      </c>
      <c r="I54" s="9"/>
      <c r="J54" s="17">
        <f>IFERROR(IF(VLOOKUP(D:D,'테스트(1회)'!C:G,5, 0)="X",1,0),0)</f>
        <v>0</v>
      </c>
      <c r="K54" s="17">
        <f>IFERROR(IF(VLOOKUP(D:D,'테스트(2회)'!C:G,5, 0)="X",1,0),0)</f>
        <v>0</v>
      </c>
      <c r="L54" s="17">
        <f>IFERROR(IF(VLOOKUP(D:D,'테스트(3회)'!C:G,5, 0)="X",1,0),0)</f>
        <v>0</v>
      </c>
      <c r="M54" s="17">
        <f>IFERROR(IF(VLOOKUP(D:D,'테스트(4회)'!C:G,5, 0)="X",1,0),0)</f>
        <v>0</v>
      </c>
      <c r="N54" s="17">
        <f>IFERROR(IF(VLOOKUP(D:D,'테스트(5회)'!C:G,5, 0)="X",1,0),0)</f>
        <v>0</v>
      </c>
      <c r="O54" s="9"/>
    </row>
    <row r="55" spans="2:15" ht="85.5" x14ac:dyDescent="0.3">
      <c r="B55" s="13">
        <v>52</v>
      </c>
      <c r="C55" s="17" t="str">
        <f t="shared" si="0"/>
        <v>2023</v>
      </c>
      <c r="D55" s="14" t="s">
        <v>24</v>
      </c>
      <c r="E55" s="14" t="s">
        <v>659</v>
      </c>
      <c r="F55" s="15" t="s">
        <v>25</v>
      </c>
      <c r="G55" s="16">
        <v>5</v>
      </c>
      <c r="H55" s="17">
        <f t="shared" si="1"/>
        <v>0</v>
      </c>
      <c r="I55" s="9"/>
      <c r="J55" s="17">
        <f>IFERROR(IF(VLOOKUP(D:D,'테스트(1회)'!C:G,5, 0)="X",1,0),0)</f>
        <v>0</v>
      </c>
      <c r="K55" s="17">
        <f>IFERROR(IF(VLOOKUP(D:D,'테스트(2회)'!C:G,5, 0)="X",1,0),0)</f>
        <v>0</v>
      </c>
      <c r="L55" s="17">
        <f>IFERROR(IF(VLOOKUP(D:D,'테스트(3회)'!C:G,5, 0)="X",1,0),0)</f>
        <v>0</v>
      </c>
      <c r="M55" s="17">
        <f>IFERROR(IF(VLOOKUP(D:D,'테스트(4회)'!C:G,5, 0)="X",1,0),0)</f>
        <v>0</v>
      </c>
      <c r="N55" s="17">
        <f>IFERROR(IF(VLOOKUP(D:D,'테스트(5회)'!C:G,5, 0)="X",1,0),0)</f>
        <v>0</v>
      </c>
      <c r="O55" s="9"/>
    </row>
    <row r="56" spans="2:15" ht="85.5" x14ac:dyDescent="0.3">
      <c r="B56" s="13">
        <v>53</v>
      </c>
      <c r="C56" s="17" t="str">
        <f t="shared" si="0"/>
        <v>2023</v>
      </c>
      <c r="D56" s="14" t="s">
        <v>26</v>
      </c>
      <c r="E56" s="14" t="s">
        <v>659</v>
      </c>
      <c r="F56" s="15" t="s">
        <v>27</v>
      </c>
      <c r="G56" s="16">
        <v>3</v>
      </c>
      <c r="H56" s="17">
        <f t="shared" si="1"/>
        <v>0</v>
      </c>
      <c r="I56" s="9"/>
      <c r="J56" s="17">
        <f>IFERROR(IF(VLOOKUP(D:D,'테스트(1회)'!C:G,5, 0)="X",1,0),0)</f>
        <v>0</v>
      </c>
      <c r="K56" s="17">
        <f>IFERROR(IF(VLOOKUP(D:D,'테스트(2회)'!C:G,5, 0)="X",1,0),0)</f>
        <v>0</v>
      </c>
      <c r="L56" s="17">
        <f>IFERROR(IF(VLOOKUP(D:D,'테스트(3회)'!C:G,5, 0)="X",1,0),0)</f>
        <v>0</v>
      </c>
      <c r="M56" s="17">
        <f>IFERROR(IF(VLOOKUP(D:D,'테스트(4회)'!C:G,5, 0)="X",1,0),0)</f>
        <v>0</v>
      </c>
      <c r="N56" s="17">
        <f>IFERROR(IF(VLOOKUP(D:D,'테스트(5회)'!C:G,5, 0)="X",1,0),0)</f>
        <v>0</v>
      </c>
      <c r="O56" s="9"/>
    </row>
    <row r="57" spans="2:15" ht="128.25" x14ac:dyDescent="0.3">
      <c r="B57" s="13">
        <v>54</v>
      </c>
      <c r="C57" s="17" t="str">
        <f t="shared" si="0"/>
        <v>2023</v>
      </c>
      <c r="D57" s="14" t="s">
        <v>28</v>
      </c>
      <c r="E57" s="14" t="s">
        <v>659</v>
      </c>
      <c r="F57" s="15" t="s">
        <v>29</v>
      </c>
      <c r="G57" s="16">
        <v>2</v>
      </c>
      <c r="H57" s="17">
        <f t="shared" si="1"/>
        <v>1</v>
      </c>
      <c r="I57" s="9"/>
      <c r="J57" s="17">
        <f>IFERROR(IF(VLOOKUP(D:D,'테스트(1회)'!C:G,5, 0)="X",1,0),0)</f>
        <v>1</v>
      </c>
      <c r="K57" s="17">
        <f>IFERROR(IF(VLOOKUP(D:D,'테스트(2회)'!C:G,5, 0)="X",1,0),0)</f>
        <v>0</v>
      </c>
      <c r="L57" s="17">
        <f>IFERROR(IF(VLOOKUP(D:D,'테스트(3회)'!C:G,5, 0)="X",1,0),0)</f>
        <v>0</v>
      </c>
      <c r="M57" s="17">
        <f>IFERROR(IF(VLOOKUP(D:D,'테스트(4회)'!C:G,5, 0)="X",1,0),0)</f>
        <v>0</v>
      </c>
      <c r="N57" s="17">
        <f>IFERROR(IF(VLOOKUP(D:D,'테스트(5회)'!C:G,5, 0)="X",1,0),0)</f>
        <v>0</v>
      </c>
      <c r="O57" s="9"/>
    </row>
    <row r="58" spans="2:15" ht="114" x14ac:dyDescent="0.3">
      <c r="B58" s="13">
        <v>55</v>
      </c>
      <c r="C58" s="17" t="str">
        <f t="shared" si="0"/>
        <v>2023</v>
      </c>
      <c r="D58" s="14" t="s">
        <v>30</v>
      </c>
      <c r="E58" s="14" t="s">
        <v>659</v>
      </c>
      <c r="F58" s="15" t="s">
        <v>778</v>
      </c>
      <c r="G58" s="16">
        <v>4</v>
      </c>
      <c r="H58" s="17">
        <f t="shared" si="1"/>
        <v>1</v>
      </c>
      <c r="I58" s="9"/>
      <c r="J58" s="17">
        <f>IFERROR(IF(VLOOKUP(D:D,'테스트(1회)'!C:G,5, 0)="X",1,0),0)</f>
        <v>1</v>
      </c>
      <c r="K58" s="17">
        <f>IFERROR(IF(VLOOKUP(D:D,'테스트(2회)'!C:G,5, 0)="X",1,0),0)</f>
        <v>0</v>
      </c>
      <c r="L58" s="17">
        <f>IFERROR(IF(VLOOKUP(D:D,'테스트(3회)'!C:G,5, 0)="X",1,0),0)</f>
        <v>0</v>
      </c>
      <c r="M58" s="17">
        <f>IFERROR(IF(VLOOKUP(D:D,'테스트(4회)'!C:G,5, 0)="X",1,0),0)</f>
        <v>0</v>
      </c>
      <c r="N58" s="17">
        <f>IFERROR(IF(VLOOKUP(D:D,'테스트(5회)'!C:G,5, 0)="X",1,0),0)</f>
        <v>0</v>
      </c>
      <c r="O58" s="9"/>
    </row>
    <row r="59" spans="2:15" ht="142.5" x14ac:dyDescent="0.3">
      <c r="B59" s="13">
        <v>56</v>
      </c>
      <c r="C59" s="17" t="str">
        <f t="shared" si="0"/>
        <v>2023</v>
      </c>
      <c r="D59" s="14" t="s">
        <v>31</v>
      </c>
      <c r="E59" s="14" t="s">
        <v>659</v>
      </c>
      <c r="F59" s="15" t="s">
        <v>32</v>
      </c>
      <c r="G59" s="16">
        <v>2</v>
      </c>
      <c r="H59" s="17">
        <f t="shared" si="1"/>
        <v>1</v>
      </c>
      <c r="I59" s="9"/>
      <c r="J59" s="17">
        <f>IFERROR(IF(VLOOKUP(D:D,'테스트(1회)'!C:G,5, 0)="X",1,0),0)</f>
        <v>1</v>
      </c>
      <c r="K59" s="17">
        <f>IFERROR(IF(VLOOKUP(D:D,'테스트(2회)'!C:G,5, 0)="X",1,0),0)</f>
        <v>0</v>
      </c>
      <c r="L59" s="17">
        <f>IFERROR(IF(VLOOKUP(D:D,'테스트(3회)'!C:G,5, 0)="X",1,0),0)</f>
        <v>0</v>
      </c>
      <c r="M59" s="17">
        <f>IFERROR(IF(VLOOKUP(D:D,'테스트(4회)'!C:G,5, 0)="X",1,0),0)</f>
        <v>0</v>
      </c>
      <c r="N59" s="17">
        <f>IFERROR(IF(VLOOKUP(D:D,'테스트(5회)'!C:G,5, 0)="X",1,0),0)</f>
        <v>0</v>
      </c>
      <c r="O59" s="9"/>
    </row>
    <row r="60" spans="2:15" ht="85.5" x14ac:dyDescent="0.3">
      <c r="B60" s="13">
        <v>57</v>
      </c>
      <c r="C60" s="17" t="str">
        <f t="shared" si="0"/>
        <v>2023</v>
      </c>
      <c r="D60" s="14" t="s">
        <v>33</v>
      </c>
      <c r="E60" s="14" t="s">
        <v>659</v>
      </c>
      <c r="F60" s="15" t="s">
        <v>34</v>
      </c>
      <c r="G60" s="16">
        <v>4</v>
      </c>
      <c r="H60" s="17">
        <f t="shared" si="1"/>
        <v>0</v>
      </c>
      <c r="I60" s="9"/>
      <c r="J60" s="17">
        <f>IFERROR(IF(VLOOKUP(D:D,'테스트(1회)'!C:G,5, 0)="X",1,0),0)</f>
        <v>0</v>
      </c>
      <c r="K60" s="17">
        <f>IFERROR(IF(VLOOKUP(D:D,'테스트(2회)'!C:G,5, 0)="X",1,0),0)</f>
        <v>0</v>
      </c>
      <c r="L60" s="17">
        <f>IFERROR(IF(VLOOKUP(D:D,'테스트(3회)'!C:G,5, 0)="X",1,0),0)</f>
        <v>0</v>
      </c>
      <c r="M60" s="17">
        <f>IFERROR(IF(VLOOKUP(D:D,'테스트(4회)'!C:G,5, 0)="X",1,0),0)</f>
        <v>0</v>
      </c>
      <c r="N60" s="17">
        <f>IFERROR(IF(VLOOKUP(D:D,'테스트(5회)'!C:G,5, 0)="X",1,0),0)</f>
        <v>0</v>
      </c>
      <c r="O60" s="9"/>
    </row>
    <row r="61" spans="2:15" ht="99.75" x14ac:dyDescent="0.3">
      <c r="B61" s="13">
        <v>58</v>
      </c>
      <c r="C61" s="17" t="str">
        <f t="shared" si="0"/>
        <v>2023</v>
      </c>
      <c r="D61" s="14" t="s">
        <v>35</v>
      </c>
      <c r="E61" s="14" t="s">
        <v>659</v>
      </c>
      <c r="F61" s="15" t="s">
        <v>36</v>
      </c>
      <c r="G61" s="16">
        <v>1</v>
      </c>
      <c r="H61" s="17">
        <f t="shared" si="1"/>
        <v>0</v>
      </c>
      <c r="I61" s="9"/>
      <c r="J61" s="17">
        <f>IFERROR(IF(VLOOKUP(D:D,'테스트(1회)'!C:G,5, 0)="X",1,0),0)</f>
        <v>0</v>
      </c>
      <c r="K61" s="17">
        <f>IFERROR(IF(VLOOKUP(D:D,'테스트(2회)'!C:G,5, 0)="X",1,0),0)</f>
        <v>0</v>
      </c>
      <c r="L61" s="17">
        <f>IFERROR(IF(VLOOKUP(D:D,'테스트(3회)'!C:G,5, 0)="X",1,0),0)</f>
        <v>0</v>
      </c>
      <c r="M61" s="17">
        <f>IFERROR(IF(VLOOKUP(D:D,'테스트(4회)'!C:G,5, 0)="X",1,0),0)</f>
        <v>0</v>
      </c>
      <c r="N61" s="17">
        <f>IFERROR(IF(VLOOKUP(D:D,'테스트(5회)'!C:G,5, 0)="X",1,0),0)</f>
        <v>0</v>
      </c>
      <c r="O61" s="9"/>
    </row>
    <row r="62" spans="2:15" ht="142.5" x14ac:dyDescent="0.3">
      <c r="B62" s="13">
        <v>59</v>
      </c>
      <c r="C62" s="17" t="str">
        <f t="shared" si="0"/>
        <v>2023</v>
      </c>
      <c r="D62" s="14" t="s">
        <v>37</v>
      </c>
      <c r="E62" s="14" t="s">
        <v>659</v>
      </c>
      <c r="F62" s="15" t="s">
        <v>38</v>
      </c>
      <c r="G62" s="16">
        <v>3</v>
      </c>
      <c r="H62" s="17">
        <f t="shared" si="1"/>
        <v>1</v>
      </c>
      <c r="I62" s="9"/>
      <c r="J62" s="17">
        <f>IFERROR(IF(VLOOKUP(D:D,'테스트(1회)'!C:G,5, 0)="X",1,0),0)</f>
        <v>1</v>
      </c>
      <c r="K62" s="17">
        <f>IFERROR(IF(VLOOKUP(D:D,'테스트(2회)'!C:G,5, 0)="X",1,0),0)</f>
        <v>0</v>
      </c>
      <c r="L62" s="17">
        <f>IFERROR(IF(VLOOKUP(D:D,'테스트(3회)'!C:G,5, 0)="X",1,0),0)</f>
        <v>0</v>
      </c>
      <c r="M62" s="17">
        <f>IFERROR(IF(VLOOKUP(D:D,'테스트(4회)'!C:G,5, 0)="X",1,0),0)</f>
        <v>0</v>
      </c>
      <c r="N62" s="17">
        <f>IFERROR(IF(VLOOKUP(D:D,'테스트(5회)'!C:G,5, 0)="X",1,0),0)</f>
        <v>0</v>
      </c>
      <c r="O62" s="9"/>
    </row>
    <row r="63" spans="2:15" ht="128.25" x14ac:dyDescent="0.3">
      <c r="B63" s="13">
        <v>60</v>
      </c>
      <c r="C63" s="17" t="str">
        <f t="shared" si="0"/>
        <v>2023</v>
      </c>
      <c r="D63" s="14" t="s">
        <v>39</v>
      </c>
      <c r="E63" s="14" t="s">
        <v>659</v>
      </c>
      <c r="F63" s="15" t="s">
        <v>668</v>
      </c>
      <c r="G63" s="16">
        <v>3</v>
      </c>
      <c r="H63" s="17">
        <f t="shared" si="1"/>
        <v>1</v>
      </c>
      <c r="I63" s="9"/>
      <c r="J63" s="17">
        <f>IFERROR(IF(VLOOKUP(D:D,'테스트(1회)'!C:G,5, 0)="X",1,0),0)</f>
        <v>1</v>
      </c>
      <c r="K63" s="17">
        <f>IFERROR(IF(VLOOKUP(D:D,'테스트(2회)'!C:G,5, 0)="X",1,0),0)</f>
        <v>0</v>
      </c>
      <c r="L63" s="17">
        <f>IFERROR(IF(VLOOKUP(D:D,'테스트(3회)'!C:G,5, 0)="X",1,0),0)</f>
        <v>0</v>
      </c>
      <c r="M63" s="17">
        <f>IFERROR(IF(VLOOKUP(D:D,'테스트(4회)'!C:G,5, 0)="X",1,0),0)</f>
        <v>0</v>
      </c>
      <c r="N63" s="17">
        <f>IFERROR(IF(VLOOKUP(D:D,'테스트(5회)'!C:G,5, 0)="X",1,0),0)</f>
        <v>0</v>
      </c>
      <c r="O63" s="9"/>
    </row>
    <row r="64" spans="2:15" ht="85.5" x14ac:dyDescent="0.3">
      <c r="B64" s="13">
        <v>61</v>
      </c>
      <c r="C64" s="17" t="str">
        <f t="shared" si="0"/>
        <v>2023</v>
      </c>
      <c r="D64" s="14" t="s">
        <v>40</v>
      </c>
      <c r="E64" s="14" t="s">
        <v>659</v>
      </c>
      <c r="F64" s="15" t="s">
        <v>41</v>
      </c>
      <c r="G64" s="16">
        <v>2</v>
      </c>
      <c r="H64" s="17">
        <f t="shared" si="1"/>
        <v>0</v>
      </c>
      <c r="I64" s="9"/>
      <c r="J64" s="17">
        <f>IFERROR(IF(VLOOKUP(D:D,'테스트(1회)'!C:G,5, 0)="X",1,0),0)</f>
        <v>0</v>
      </c>
      <c r="K64" s="17">
        <f>IFERROR(IF(VLOOKUP(D:D,'테스트(2회)'!C:G,5, 0)="X",1,0),0)</f>
        <v>0</v>
      </c>
      <c r="L64" s="17">
        <f>IFERROR(IF(VLOOKUP(D:D,'테스트(3회)'!C:G,5, 0)="X",1,0),0)</f>
        <v>0</v>
      </c>
      <c r="M64" s="17">
        <f>IFERROR(IF(VLOOKUP(D:D,'테스트(4회)'!C:G,5, 0)="X",1,0),0)</f>
        <v>0</v>
      </c>
      <c r="N64" s="17">
        <f>IFERROR(IF(VLOOKUP(D:D,'테스트(5회)'!C:G,5, 0)="X",1,0),0)</f>
        <v>0</v>
      </c>
      <c r="O64" s="9"/>
    </row>
    <row r="65" spans="2:15" ht="142.5" x14ac:dyDescent="0.3">
      <c r="B65" s="13">
        <v>62</v>
      </c>
      <c r="C65" s="17" t="str">
        <f t="shared" si="0"/>
        <v>2023</v>
      </c>
      <c r="D65" s="14" t="s">
        <v>42</v>
      </c>
      <c r="E65" s="14" t="s">
        <v>659</v>
      </c>
      <c r="F65" s="15" t="s">
        <v>43</v>
      </c>
      <c r="G65" s="16">
        <v>3</v>
      </c>
      <c r="H65" s="17">
        <f t="shared" si="1"/>
        <v>1</v>
      </c>
      <c r="I65" s="9"/>
      <c r="J65" s="17">
        <f>IFERROR(IF(VLOOKUP(D:D,'테스트(1회)'!C:G,5, 0)="X",1,0),0)</f>
        <v>1</v>
      </c>
      <c r="K65" s="17">
        <f>IFERROR(IF(VLOOKUP(D:D,'테스트(2회)'!C:G,5, 0)="X",1,0),0)</f>
        <v>0</v>
      </c>
      <c r="L65" s="17">
        <f>IFERROR(IF(VLOOKUP(D:D,'테스트(3회)'!C:G,5, 0)="X",1,0),0)</f>
        <v>0</v>
      </c>
      <c r="M65" s="17">
        <f>IFERROR(IF(VLOOKUP(D:D,'테스트(4회)'!C:G,5, 0)="X",1,0),0)</f>
        <v>0</v>
      </c>
      <c r="N65" s="17">
        <f>IFERROR(IF(VLOOKUP(D:D,'테스트(5회)'!C:G,5, 0)="X",1,0),0)</f>
        <v>0</v>
      </c>
      <c r="O65" s="9"/>
    </row>
    <row r="66" spans="2:15" ht="85.5" x14ac:dyDescent="0.3">
      <c r="B66" s="13">
        <v>63</v>
      </c>
      <c r="C66" s="17" t="str">
        <f t="shared" si="0"/>
        <v>2023</v>
      </c>
      <c r="D66" s="14" t="s">
        <v>44</v>
      </c>
      <c r="E66" s="14" t="s">
        <v>659</v>
      </c>
      <c r="F66" s="15" t="s">
        <v>45</v>
      </c>
      <c r="G66" s="16">
        <v>1</v>
      </c>
      <c r="H66" s="17">
        <f t="shared" si="1"/>
        <v>1</v>
      </c>
      <c r="I66" s="9"/>
      <c r="J66" s="17">
        <f>IFERROR(IF(VLOOKUP(D:D,'테스트(1회)'!C:G,5, 0)="X",1,0),0)</f>
        <v>1</v>
      </c>
      <c r="K66" s="17">
        <f>IFERROR(IF(VLOOKUP(D:D,'테스트(2회)'!C:G,5, 0)="X",1,0),0)</f>
        <v>0</v>
      </c>
      <c r="L66" s="17">
        <f>IFERROR(IF(VLOOKUP(D:D,'테스트(3회)'!C:G,5, 0)="X",1,0),0)</f>
        <v>0</v>
      </c>
      <c r="M66" s="17">
        <f>IFERROR(IF(VLOOKUP(D:D,'테스트(4회)'!C:G,5, 0)="X",1,0),0)</f>
        <v>0</v>
      </c>
      <c r="N66" s="17">
        <f>IFERROR(IF(VLOOKUP(D:D,'테스트(5회)'!C:G,5, 0)="X",1,0),0)</f>
        <v>0</v>
      </c>
      <c r="O66" s="9"/>
    </row>
    <row r="67" spans="2:15" ht="85.5" x14ac:dyDescent="0.3">
      <c r="B67" s="13">
        <v>64</v>
      </c>
      <c r="C67" s="17" t="str">
        <f t="shared" si="0"/>
        <v>2023</v>
      </c>
      <c r="D67" s="14" t="s">
        <v>46</v>
      </c>
      <c r="E67" s="14" t="s">
        <v>659</v>
      </c>
      <c r="F67" s="15" t="s">
        <v>47</v>
      </c>
      <c r="G67" s="16">
        <v>2</v>
      </c>
      <c r="H67" s="17">
        <f t="shared" si="1"/>
        <v>0</v>
      </c>
      <c r="I67" s="9"/>
      <c r="J67" s="17">
        <f>IFERROR(IF(VLOOKUP(D:D,'테스트(1회)'!C:G,5, 0)="X",1,0),0)</f>
        <v>0</v>
      </c>
      <c r="K67" s="17">
        <f>IFERROR(IF(VLOOKUP(D:D,'테스트(2회)'!C:G,5, 0)="X",1,0),0)</f>
        <v>0</v>
      </c>
      <c r="L67" s="17">
        <f>IFERROR(IF(VLOOKUP(D:D,'테스트(3회)'!C:G,5, 0)="X",1,0),0)</f>
        <v>0</v>
      </c>
      <c r="M67" s="17">
        <f>IFERROR(IF(VLOOKUP(D:D,'테스트(4회)'!C:G,5, 0)="X",1,0),0)</f>
        <v>0</v>
      </c>
      <c r="N67" s="17">
        <f>IFERROR(IF(VLOOKUP(D:D,'테스트(5회)'!C:G,5, 0)="X",1,0),0)</f>
        <v>0</v>
      </c>
      <c r="O67" s="9"/>
    </row>
    <row r="68" spans="2:15" ht="114" x14ac:dyDescent="0.3">
      <c r="B68" s="13">
        <v>65</v>
      </c>
      <c r="C68" s="17" t="str">
        <f t="shared" ref="C68:C131" si="2">MID(D68,3,4)</f>
        <v>2023</v>
      </c>
      <c r="D68" s="14" t="s">
        <v>48</v>
      </c>
      <c r="E68" s="14" t="s">
        <v>659</v>
      </c>
      <c r="F68" s="15" t="s">
        <v>49</v>
      </c>
      <c r="G68" s="16">
        <v>3</v>
      </c>
      <c r="H68" s="17">
        <f t="shared" ref="H68:H131" si="3">SUM(J68:N68)</f>
        <v>0</v>
      </c>
      <c r="I68" s="9"/>
      <c r="J68" s="17">
        <f>IFERROR(IF(VLOOKUP(D:D,'테스트(1회)'!C:G,5, 0)="X",1,0),0)</f>
        <v>0</v>
      </c>
      <c r="K68" s="17">
        <f>IFERROR(IF(VLOOKUP(D:D,'테스트(2회)'!C:G,5, 0)="X",1,0),0)</f>
        <v>0</v>
      </c>
      <c r="L68" s="17">
        <f>IFERROR(IF(VLOOKUP(D:D,'테스트(3회)'!C:G,5, 0)="X",1,0),0)</f>
        <v>0</v>
      </c>
      <c r="M68" s="17">
        <f>IFERROR(IF(VLOOKUP(D:D,'테스트(4회)'!C:G,5, 0)="X",1,0),0)</f>
        <v>0</v>
      </c>
      <c r="N68" s="17">
        <f>IFERROR(IF(VLOOKUP(D:D,'테스트(5회)'!C:G,5, 0)="X",1,0),0)</f>
        <v>0</v>
      </c>
      <c r="O68" s="9"/>
    </row>
    <row r="69" spans="2:15" ht="85.5" x14ac:dyDescent="0.3">
      <c r="B69" s="13">
        <v>66</v>
      </c>
      <c r="C69" s="17" t="str">
        <f t="shared" si="2"/>
        <v>2022</v>
      </c>
      <c r="D69" s="14" t="s">
        <v>611</v>
      </c>
      <c r="E69" s="14" t="s">
        <v>659</v>
      </c>
      <c r="F69" s="15" t="s">
        <v>636</v>
      </c>
      <c r="G69" s="16">
        <v>1</v>
      </c>
      <c r="H69" s="17">
        <f t="shared" si="3"/>
        <v>0</v>
      </c>
      <c r="I69" s="9"/>
      <c r="J69" s="17">
        <f>IFERROR(IF(VLOOKUP(D:D,'테스트(1회)'!C:G,5, 0)="X",1,0),0)</f>
        <v>0</v>
      </c>
      <c r="K69" s="17">
        <f>IFERROR(IF(VLOOKUP(D:D,'테스트(2회)'!C:G,5, 0)="X",1,0),0)</f>
        <v>0</v>
      </c>
      <c r="L69" s="17">
        <f>IFERROR(IF(VLOOKUP(D:D,'테스트(3회)'!C:G,5, 0)="X",1,0),0)</f>
        <v>0</v>
      </c>
      <c r="M69" s="17">
        <f>IFERROR(IF(VLOOKUP(D:D,'테스트(4회)'!C:G,5, 0)="X",1,0),0)</f>
        <v>0</v>
      </c>
      <c r="N69" s="17">
        <f>IFERROR(IF(VLOOKUP(D:D,'테스트(5회)'!C:G,5, 0)="X",1,0),0)</f>
        <v>0</v>
      </c>
      <c r="O69" s="9"/>
    </row>
    <row r="70" spans="2:15" ht="85.5" x14ac:dyDescent="0.3">
      <c r="B70" s="13">
        <v>67</v>
      </c>
      <c r="C70" s="17" t="str">
        <f t="shared" si="2"/>
        <v>2022</v>
      </c>
      <c r="D70" s="14" t="s">
        <v>612</v>
      </c>
      <c r="E70" s="14" t="s">
        <v>659</v>
      </c>
      <c r="F70" s="15" t="s">
        <v>642</v>
      </c>
      <c r="G70" s="16">
        <v>2</v>
      </c>
      <c r="H70" s="17">
        <f t="shared" si="3"/>
        <v>0</v>
      </c>
      <c r="I70" s="9"/>
      <c r="J70" s="17">
        <f>IFERROR(IF(VLOOKUP(D:D,'테스트(1회)'!C:G,5, 0)="X",1,0),0)</f>
        <v>0</v>
      </c>
      <c r="K70" s="17">
        <f>IFERROR(IF(VLOOKUP(D:D,'테스트(2회)'!C:G,5, 0)="X",1,0),0)</f>
        <v>0</v>
      </c>
      <c r="L70" s="17">
        <f>IFERROR(IF(VLOOKUP(D:D,'테스트(3회)'!C:G,5, 0)="X",1,0),0)</f>
        <v>0</v>
      </c>
      <c r="M70" s="17">
        <f>IFERROR(IF(VLOOKUP(D:D,'테스트(4회)'!C:G,5, 0)="X",1,0),0)</f>
        <v>0</v>
      </c>
      <c r="N70" s="17">
        <f>IFERROR(IF(VLOOKUP(D:D,'테스트(5회)'!C:G,5, 0)="X",1,0),0)</f>
        <v>0</v>
      </c>
      <c r="O70" s="9"/>
    </row>
    <row r="71" spans="2:15" ht="85.5" x14ac:dyDescent="0.3">
      <c r="B71" s="13">
        <v>68</v>
      </c>
      <c r="C71" s="17" t="str">
        <f t="shared" si="2"/>
        <v>2022</v>
      </c>
      <c r="D71" s="14" t="s">
        <v>613</v>
      </c>
      <c r="E71" s="14" t="s">
        <v>659</v>
      </c>
      <c r="F71" s="15" t="s">
        <v>643</v>
      </c>
      <c r="G71" s="16">
        <v>3</v>
      </c>
      <c r="H71" s="17">
        <f t="shared" si="3"/>
        <v>0</v>
      </c>
      <c r="I71" s="9"/>
      <c r="J71" s="17">
        <f>IFERROR(IF(VLOOKUP(D:D,'테스트(1회)'!C:G,5, 0)="X",1,0),0)</f>
        <v>0</v>
      </c>
      <c r="K71" s="17">
        <f>IFERROR(IF(VLOOKUP(D:D,'테스트(2회)'!C:G,5, 0)="X",1,0),0)</f>
        <v>0</v>
      </c>
      <c r="L71" s="17">
        <f>IFERROR(IF(VLOOKUP(D:D,'테스트(3회)'!C:G,5, 0)="X",1,0),0)</f>
        <v>0</v>
      </c>
      <c r="M71" s="17">
        <f>IFERROR(IF(VLOOKUP(D:D,'테스트(4회)'!C:G,5, 0)="X",1,0),0)</f>
        <v>0</v>
      </c>
      <c r="N71" s="17">
        <f>IFERROR(IF(VLOOKUP(D:D,'테스트(5회)'!C:G,5, 0)="X",1,0),0)</f>
        <v>0</v>
      </c>
      <c r="O71" s="9"/>
    </row>
    <row r="72" spans="2:15" ht="85.5" x14ac:dyDescent="0.3">
      <c r="B72" s="13">
        <v>69</v>
      </c>
      <c r="C72" s="17" t="str">
        <f t="shared" si="2"/>
        <v>2022</v>
      </c>
      <c r="D72" s="14" t="s">
        <v>614</v>
      </c>
      <c r="E72" s="14" t="s">
        <v>659</v>
      </c>
      <c r="F72" s="15" t="s">
        <v>637</v>
      </c>
      <c r="G72" s="16">
        <v>5</v>
      </c>
      <c r="H72" s="17">
        <f t="shared" si="3"/>
        <v>0</v>
      </c>
      <c r="I72" s="9"/>
      <c r="J72" s="17">
        <f>IFERROR(IF(VLOOKUP(D:D,'테스트(1회)'!C:G,5, 0)="X",1,0),0)</f>
        <v>0</v>
      </c>
      <c r="K72" s="17">
        <f>IFERROR(IF(VLOOKUP(D:D,'테스트(2회)'!C:G,5, 0)="X",1,0),0)</f>
        <v>0</v>
      </c>
      <c r="L72" s="17">
        <f>IFERROR(IF(VLOOKUP(D:D,'테스트(3회)'!C:G,5, 0)="X",1,0),0)</f>
        <v>0</v>
      </c>
      <c r="M72" s="17">
        <f>IFERROR(IF(VLOOKUP(D:D,'테스트(4회)'!C:G,5, 0)="X",1,0),0)</f>
        <v>0</v>
      </c>
      <c r="N72" s="17">
        <f>IFERROR(IF(VLOOKUP(D:D,'테스트(5회)'!C:G,5, 0)="X",1,0),0)</f>
        <v>0</v>
      </c>
      <c r="O72" s="9"/>
    </row>
    <row r="73" spans="2:15" ht="85.5" x14ac:dyDescent="0.3">
      <c r="B73" s="13">
        <v>70</v>
      </c>
      <c r="C73" s="17" t="str">
        <f t="shared" si="2"/>
        <v>2022</v>
      </c>
      <c r="D73" s="14" t="s">
        <v>615</v>
      </c>
      <c r="E73" s="14" t="s">
        <v>659</v>
      </c>
      <c r="F73" s="15" t="s">
        <v>638</v>
      </c>
      <c r="G73" s="16">
        <v>5</v>
      </c>
      <c r="H73" s="17">
        <f t="shared" si="3"/>
        <v>0</v>
      </c>
      <c r="I73" s="9"/>
      <c r="J73" s="17">
        <f>IFERROR(IF(VLOOKUP(D:D,'테스트(1회)'!C:G,5, 0)="X",1,0),0)</f>
        <v>0</v>
      </c>
      <c r="K73" s="17">
        <f>IFERROR(IF(VLOOKUP(D:D,'테스트(2회)'!C:G,5, 0)="X",1,0),0)</f>
        <v>0</v>
      </c>
      <c r="L73" s="17">
        <f>IFERROR(IF(VLOOKUP(D:D,'테스트(3회)'!C:G,5, 0)="X",1,0),0)</f>
        <v>0</v>
      </c>
      <c r="M73" s="17">
        <f>IFERROR(IF(VLOOKUP(D:D,'테스트(4회)'!C:G,5, 0)="X",1,0),0)</f>
        <v>0</v>
      </c>
      <c r="N73" s="17">
        <f>IFERROR(IF(VLOOKUP(D:D,'테스트(5회)'!C:G,5, 0)="X",1,0),0)</f>
        <v>0</v>
      </c>
      <c r="O73" s="9"/>
    </row>
    <row r="74" spans="2:15" ht="156.75" x14ac:dyDescent="0.3">
      <c r="B74" s="13">
        <v>71</v>
      </c>
      <c r="C74" s="17" t="str">
        <f t="shared" si="2"/>
        <v>2022</v>
      </c>
      <c r="D74" s="14" t="s">
        <v>616</v>
      </c>
      <c r="E74" s="14" t="s">
        <v>659</v>
      </c>
      <c r="F74" s="15" t="s">
        <v>762</v>
      </c>
      <c r="G74" s="16">
        <v>4</v>
      </c>
      <c r="H74" s="17">
        <f t="shared" si="3"/>
        <v>1</v>
      </c>
      <c r="I74" s="9"/>
      <c r="J74" s="17">
        <f>IFERROR(IF(VLOOKUP(D:D,'테스트(1회)'!C:G,5, 0)="X",1,0),0)</f>
        <v>1</v>
      </c>
      <c r="K74" s="17">
        <f>IFERROR(IF(VLOOKUP(D:D,'테스트(2회)'!C:G,5, 0)="X",1,0),0)</f>
        <v>0</v>
      </c>
      <c r="L74" s="17">
        <f>IFERROR(IF(VLOOKUP(D:D,'테스트(3회)'!C:G,5, 0)="X",1,0),0)</f>
        <v>0</v>
      </c>
      <c r="M74" s="17">
        <f>IFERROR(IF(VLOOKUP(D:D,'테스트(4회)'!C:G,5, 0)="X",1,0),0)</f>
        <v>0</v>
      </c>
      <c r="N74" s="17">
        <f>IFERROR(IF(VLOOKUP(D:D,'테스트(5회)'!C:G,5, 0)="X",1,0),0)</f>
        <v>0</v>
      </c>
      <c r="O74" s="9"/>
    </row>
    <row r="75" spans="2:15" ht="142.5" x14ac:dyDescent="0.3">
      <c r="B75" s="13">
        <v>72</v>
      </c>
      <c r="C75" s="17" t="str">
        <f t="shared" si="2"/>
        <v>2022</v>
      </c>
      <c r="D75" s="14" t="s">
        <v>617</v>
      </c>
      <c r="E75" s="14" t="s">
        <v>659</v>
      </c>
      <c r="F75" s="15" t="s">
        <v>752</v>
      </c>
      <c r="G75" s="16">
        <v>4</v>
      </c>
      <c r="H75" s="17">
        <f t="shared" si="3"/>
        <v>0</v>
      </c>
      <c r="I75" s="9"/>
      <c r="J75" s="17">
        <f>IFERROR(IF(VLOOKUP(D:D,'테스트(1회)'!C:G,5, 0)="X",1,0),0)</f>
        <v>0</v>
      </c>
      <c r="K75" s="17">
        <f>IFERROR(IF(VLOOKUP(D:D,'테스트(2회)'!C:G,5, 0)="X",1,0),0)</f>
        <v>0</v>
      </c>
      <c r="L75" s="17">
        <f>IFERROR(IF(VLOOKUP(D:D,'테스트(3회)'!C:G,5, 0)="X",1,0),0)</f>
        <v>0</v>
      </c>
      <c r="M75" s="17">
        <f>IFERROR(IF(VLOOKUP(D:D,'테스트(4회)'!C:G,5, 0)="X",1,0),0)</f>
        <v>0</v>
      </c>
      <c r="N75" s="17">
        <f>IFERROR(IF(VLOOKUP(D:D,'테스트(5회)'!C:G,5, 0)="X",1,0),0)</f>
        <v>0</v>
      </c>
      <c r="O75" s="9"/>
    </row>
    <row r="76" spans="2:15" ht="128.25" x14ac:dyDescent="0.3">
      <c r="B76" s="13">
        <v>73</v>
      </c>
      <c r="C76" s="17" t="str">
        <f t="shared" si="2"/>
        <v>2022</v>
      </c>
      <c r="D76" s="14" t="s">
        <v>618</v>
      </c>
      <c r="E76" s="14" t="s">
        <v>659</v>
      </c>
      <c r="F76" s="15" t="s">
        <v>644</v>
      </c>
      <c r="G76" s="16">
        <v>4</v>
      </c>
      <c r="H76" s="17">
        <f t="shared" si="3"/>
        <v>0</v>
      </c>
      <c r="I76" s="9"/>
      <c r="J76" s="17">
        <f>IFERROR(IF(VLOOKUP(D:D,'테스트(1회)'!C:G,5, 0)="X",1,0),0)</f>
        <v>0</v>
      </c>
      <c r="K76" s="17">
        <f>IFERROR(IF(VLOOKUP(D:D,'테스트(2회)'!C:G,5, 0)="X",1,0),0)</f>
        <v>0</v>
      </c>
      <c r="L76" s="17">
        <f>IFERROR(IF(VLOOKUP(D:D,'테스트(3회)'!C:G,5, 0)="X",1,0),0)</f>
        <v>0</v>
      </c>
      <c r="M76" s="17">
        <f>IFERROR(IF(VLOOKUP(D:D,'테스트(4회)'!C:G,5, 0)="X",1,0),0)</f>
        <v>0</v>
      </c>
      <c r="N76" s="17">
        <f>IFERROR(IF(VLOOKUP(D:D,'테스트(5회)'!C:G,5, 0)="X",1,0),0)</f>
        <v>0</v>
      </c>
      <c r="O76" s="9"/>
    </row>
    <row r="77" spans="2:15" ht="85.5" x14ac:dyDescent="0.3">
      <c r="B77" s="13">
        <v>74</v>
      </c>
      <c r="C77" s="17" t="str">
        <f t="shared" si="2"/>
        <v>2022</v>
      </c>
      <c r="D77" s="14" t="s">
        <v>619</v>
      </c>
      <c r="E77" s="14" t="s">
        <v>659</v>
      </c>
      <c r="F77" s="15" t="s">
        <v>639</v>
      </c>
      <c r="G77" s="16">
        <v>4</v>
      </c>
      <c r="H77" s="17">
        <f t="shared" si="3"/>
        <v>0</v>
      </c>
      <c r="I77" s="9"/>
      <c r="J77" s="17">
        <f>IFERROR(IF(VLOOKUP(D:D,'테스트(1회)'!C:G,5, 0)="X",1,0),0)</f>
        <v>0</v>
      </c>
      <c r="K77" s="17">
        <f>IFERROR(IF(VLOOKUP(D:D,'테스트(2회)'!C:G,5, 0)="X",1,0),0)</f>
        <v>0</v>
      </c>
      <c r="L77" s="17">
        <f>IFERROR(IF(VLOOKUP(D:D,'테스트(3회)'!C:G,5, 0)="X",1,0),0)</f>
        <v>0</v>
      </c>
      <c r="M77" s="17">
        <f>IFERROR(IF(VLOOKUP(D:D,'테스트(4회)'!C:G,5, 0)="X",1,0),0)</f>
        <v>0</v>
      </c>
      <c r="N77" s="17">
        <f>IFERROR(IF(VLOOKUP(D:D,'테스트(5회)'!C:G,5, 0)="X",1,0),0)</f>
        <v>0</v>
      </c>
      <c r="O77" s="9"/>
    </row>
    <row r="78" spans="2:15" ht="85.5" x14ac:dyDescent="0.3">
      <c r="B78" s="13">
        <v>75</v>
      </c>
      <c r="C78" s="17" t="str">
        <f t="shared" si="2"/>
        <v>2022</v>
      </c>
      <c r="D78" s="14" t="s">
        <v>620</v>
      </c>
      <c r="E78" s="14" t="s">
        <v>659</v>
      </c>
      <c r="F78" s="15" t="s">
        <v>640</v>
      </c>
      <c r="G78" s="16">
        <v>1</v>
      </c>
      <c r="H78" s="17">
        <f t="shared" si="3"/>
        <v>1</v>
      </c>
      <c r="I78" s="9"/>
      <c r="J78" s="17">
        <f>IFERROR(IF(VLOOKUP(D:D,'테스트(1회)'!C:G,5, 0)="X",1,0),0)</f>
        <v>1</v>
      </c>
      <c r="K78" s="17">
        <f>IFERROR(IF(VLOOKUP(D:D,'테스트(2회)'!C:G,5, 0)="X",1,0),0)</f>
        <v>0</v>
      </c>
      <c r="L78" s="17">
        <f>IFERROR(IF(VLOOKUP(D:D,'테스트(3회)'!C:G,5, 0)="X",1,0),0)</f>
        <v>0</v>
      </c>
      <c r="M78" s="17">
        <f>IFERROR(IF(VLOOKUP(D:D,'테스트(4회)'!C:G,5, 0)="X",1,0),0)</f>
        <v>0</v>
      </c>
      <c r="N78" s="17">
        <f>IFERROR(IF(VLOOKUP(D:D,'테스트(5회)'!C:G,5, 0)="X",1,0),0)</f>
        <v>0</v>
      </c>
      <c r="O78" s="9"/>
    </row>
    <row r="79" spans="2:15" ht="85.5" x14ac:dyDescent="0.3">
      <c r="B79" s="13">
        <v>76</v>
      </c>
      <c r="C79" s="17" t="str">
        <f t="shared" si="2"/>
        <v>2022</v>
      </c>
      <c r="D79" s="14" t="s">
        <v>621</v>
      </c>
      <c r="E79" s="14" t="s">
        <v>659</v>
      </c>
      <c r="F79" s="15" t="s">
        <v>645</v>
      </c>
      <c r="G79" s="16">
        <v>5</v>
      </c>
      <c r="H79" s="17">
        <f t="shared" si="3"/>
        <v>0</v>
      </c>
      <c r="I79" s="9"/>
      <c r="J79" s="17">
        <f>IFERROR(IF(VLOOKUP(D:D,'테스트(1회)'!C:G,5, 0)="X",1,0),0)</f>
        <v>0</v>
      </c>
      <c r="K79" s="17">
        <f>IFERROR(IF(VLOOKUP(D:D,'테스트(2회)'!C:G,5, 0)="X",1,0),0)</f>
        <v>0</v>
      </c>
      <c r="L79" s="17">
        <f>IFERROR(IF(VLOOKUP(D:D,'테스트(3회)'!C:G,5, 0)="X",1,0),0)</f>
        <v>0</v>
      </c>
      <c r="M79" s="17">
        <f>IFERROR(IF(VLOOKUP(D:D,'테스트(4회)'!C:G,5, 0)="X",1,0),0)</f>
        <v>0</v>
      </c>
      <c r="N79" s="17">
        <f>IFERROR(IF(VLOOKUP(D:D,'테스트(5회)'!C:G,5, 0)="X",1,0),0)</f>
        <v>0</v>
      </c>
      <c r="O79" s="9"/>
    </row>
    <row r="80" spans="2:15" ht="85.5" x14ac:dyDescent="0.3">
      <c r="B80" s="13">
        <v>77</v>
      </c>
      <c r="C80" s="17" t="str">
        <f t="shared" si="2"/>
        <v>2022</v>
      </c>
      <c r="D80" s="14" t="s">
        <v>622</v>
      </c>
      <c r="E80" s="14" t="s">
        <v>659</v>
      </c>
      <c r="F80" s="15" t="s">
        <v>646</v>
      </c>
      <c r="G80" s="16">
        <v>2</v>
      </c>
      <c r="H80" s="17">
        <f t="shared" si="3"/>
        <v>1</v>
      </c>
      <c r="I80" s="9"/>
      <c r="J80" s="17">
        <f>IFERROR(IF(VLOOKUP(D:D,'테스트(1회)'!C:G,5, 0)="X",1,0),0)</f>
        <v>1</v>
      </c>
      <c r="K80" s="17">
        <f>IFERROR(IF(VLOOKUP(D:D,'테스트(2회)'!C:G,5, 0)="X",1,0),0)</f>
        <v>0</v>
      </c>
      <c r="L80" s="17">
        <f>IFERROR(IF(VLOOKUP(D:D,'테스트(3회)'!C:G,5, 0)="X",1,0),0)</f>
        <v>0</v>
      </c>
      <c r="M80" s="17">
        <f>IFERROR(IF(VLOOKUP(D:D,'테스트(4회)'!C:G,5, 0)="X",1,0),0)</f>
        <v>0</v>
      </c>
      <c r="N80" s="17">
        <f>IFERROR(IF(VLOOKUP(D:D,'테스트(5회)'!C:G,5, 0)="X",1,0),0)</f>
        <v>0</v>
      </c>
      <c r="O80" s="9"/>
    </row>
    <row r="81" spans="2:15" ht="85.5" x14ac:dyDescent="0.3">
      <c r="B81" s="13">
        <v>78</v>
      </c>
      <c r="C81" s="17" t="str">
        <f t="shared" si="2"/>
        <v>2022</v>
      </c>
      <c r="D81" s="14" t="s">
        <v>623</v>
      </c>
      <c r="E81" s="14" t="s">
        <v>659</v>
      </c>
      <c r="F81" s="15" t="s">
        <v>669</v>
      </c>
      <c r="G81" s="16">
        <v>2</v>
      </c>
      <c r="H81" s="17">
        <f t="shared" si="3"/>
        <v>0</v>
      </c>
      <c r="I81" s="9"/>
      <c r="J81" s="17">
        <f>IFERROR(IF(VLOOKUP(D:D,'테스트(1회)'!C:G,5, 0)="X",1,0),0)</f>
        <v>0</v>
      </c>
      <c r="K81" s="17">
        <f>IFERROR(IF(VLOOKUP(D:D,'테스트(2회)'!C:G,5, 0)="X",1,0),0)</f>
        <v>0</v>
      </c>
      <c r="L81" s="17">
        <f>IFERROR(IF(VLOOKUP(D:D,'테스트(3회)'!C:G,5, 0)="X",1,0),0)</f>
        <v>0</v>
      </c>
      <c r="M81" s="17">
        <f>IFERROR(IF(VLOOKUP(D:D,'테스트(4회)'!C:G,5, 0)="X",1,0),0)</f>
        <v>0</v>
      </c>
      <c r="N81" s="17">
        <f>IFERROR(IF(VLOOKUP(D:D,'테스트(5회)'!C:G,5, 0)="X",1,0),0)</f>
        <v>0</v>
      </c>
      <c r="O81" s="9"/>
    </row>
    <row r="82" spans="2:15" ht="142.5" x14ac:dyDescent="0.3">
      <c r="B82" s="13">
        <v>79</v>
      </c>
      <c r="C82" s="17" t="str">
        <f t="shared" si="2"/>
        <v>2022</v>
      </c>
      <c r="D82" s="14" t="s">
        <v>624</v>
      </c>
      <c r="E82" s="14" t="s">
        <v>659</v>
      </c>
      <c r="F82" s="15" t="s">
        <v>647</v>
      </c>
      <c r="G82" s="16">
        <v>2</v>
      </c>
      <c r="H82" s="17">
        <f t="shared" si="3"/>
        <v>0</v>
      </c>
      <c r="I82" s="9"/>
      <c r="J82" s="17">
        <f>IFERROR(IF(VLOOKUP(D:D,'테스트(1회)'!C:G,5, 0)="X",1,0),0)</f>
        <v>0</v>
      </c>
      <c r="K82" s="17">
        <f>IFERROR(IF(VLOOKUP(D:D,'테스트(2회)'!C:G,5, 0)="X",1,0),0)</f>
        <v>0</v>
      </c>
      <c r="L82" s="17">
        <f>IFERROR(IF(VLOOKUP(D:D,'테스트(3회)'!C:G,5, 0)="X",1,0),0)</f>
        <v>0</v>
      </c>
      <c r="M82" s="17">
        <f>IFERROR(IF(VLOOKUP(D:D,'테스트(4회)'!C:G,5, 0)="X",1,0),0)</f>
        <v>0</v>
      </c>
      <c r="N82" s="17">
        <f>IFERROR(IF(VLOOKUP(D:D,'테스트(5회)'!C:G,5, 0)="X",1,0),0)</f>
        <v>0</v>
      </c>
      <c r="O82" s="9"/>
    </row>
    <row r="83" spans="2:15" ht="85.5" x14ac:dyDescent="0.3">
      <c r="B83" s="13">
        <v>80</v>
      </c>
      <c r="C83" s="17" t="str">
        <f t="shared" si="2"/>
        <v>2022</v>
      </c>
      <c r="D83" s="14" t="s">
        <v>625</v>
      </c>
      <c r="E83" s="14" t="s">
        <v>659</v>
      </c>
      <c r="F83" s="15" t="s">
        <v>648</v>
      </c>
      <c r="G83" s="16">
        <v>4</v>
      </c>
      <c r="H83" s="17">
        <f t="shared" si="3"/>
        <v>0</v>
      </c>
      <c r="I83" s="9"/>
      <c r="J83" s="17">
        <f>IFERROR(IF(VLOOKUP(D:D,'테스트(1회)'!C:G,5, 0)="X",1,0),0)</f>
        <v>0</v>
      </c>
      <c r="K83" s="17">
        <f>IFERROR(IF(VLOOKUP(D:D,'테스트(2회)'!C:G,5, 0)="X",1,0),0)</f>
        <v>0</v>
      </c>
      <c r="L83" s="17">
        <f>IFERROR(IF(VLOOKUP(D:D,'테스트(3회)'!C:G,5, 0)="X",1,0),0)</f>
        <v>0</v>
      </c>
      <c r="M83" s="17">
        <f>IFERROR(IF(VLOOKUP(D:D,'테스트(4회)'!C:G,5, 0)="X",1,0),0)</f>
        <v>0</v>
      </c>
      <c r="N83" s="17">
        <f>IFERROR(IF(VLOOKUP(D:D,'테스트(5회)'!C:G,5, 0)="X",1,0),0)</f>
        <v>0</v>
      </c>
      <c r="O83" s="9"/>
    </row>
    <row r="84" spans="2:15" ht="85.5" x14ac:dyDescent="0.3">
      <c r="B84" s="13">
        <v>81</v>
      </c>
      <c r="C84" s="17" t="str">
        <f t="shared" si="2"/>
        <v>2022</v>
      </c>
      <c r="D84" s="14" t="s">
        <v>626</v>
      </c>
      <c r="E84" s="14" t="s">
        <v>659</v>
      </c>
      <c r="F84" s="15" t="s">
        <v>649</v>
      </c>
      <c r="G84" s="16">
        <v>5</v>
      </c>
      <c r="H84" s="17">
        <f t="shared" si="3"/>
        <v>1</v>
      </c>
      <c r="I84" s="9"/>
      <c r="J84" s="17">
        <f>IFERROR(IF(VLOOKUP(D:D,'테스트(1회)'!C:G,5, 0)="X",1,0),0)</f>
        <v>1</v>
      </c>
      <c r="K84" s="17">
        <f>IFERROR(IF(VLOOKUP(D:D,'테스트(2회)'!C:G,5, 0)="X",1,0),0)</f>
        <v>0</v>
      </c>
      <c r="L84" s="17">
        <f>IFERROR(IF(VLOOKUP(D:D,'테스트(3회)'!C:G,5, 0)="X",1,0),0)</f>
        <v>0</v>
      </c>
      <c r="M84" s="17">
        <f>IFERROR(IF(VLOOKUP(D:D,'테스트(4회)'!C:G,5, 0)="X",1,0),0)</f>
        <v>0</v>
      </c>
      <c r="N84" s="17">
        <f>IFERROR(IF(VLOOKUP(D:D,'테스트(5회)'!C:G,5, 0)="X",1,0),0)</f>
        <v>0</v>
      </c>
      <c r="O84" s="9"/>
    </row>
    <row r="85" spans="2:15" ht="99.75" x14ac:dyDescent="0.3">
      <c r="B85" s="13">
        <v>82</v>
      </c>
      <c r="C85" s="17" t="str">
        <f t="shared" si="2"/>
        <v>2022</v>
      </c>
      <c r="D85" s="14" t="s">
        <v>627</v>
      </c>
      <c r="E85" s="14" t="s">
        <v>659</v>
      </c>
      <c r="F85" s="15" t="s">
        <v>650</v>
      </c>
      <c r="G85" s="16">
        <v>2</v>
      </c>
      <c r="H85" s="17">
        <f t="shared" si="3"/>
        <v>1</v>
      </c>
      <c r="I85" s="9"/>
      <c r="J85" s="17">
        <f>IFERROR(IF(VLOOKUP(D:D,'테스트(1회)'!C:G,5, 0)="X",1,0),0)</f>
        <v>1</v>
      </c>
      <c r="K85" s="17">
        <f>IFERROR(IF(VLOOKUP(D:D,'테스트(2회)'!C:G,5, 0)="X",1,0),0)</f>
        <v>0</v>
      </c>
      <c r="L85" s="17">
        <f>IFERROR(IF(VLOOKUP(D:D,'테스트(3회)'!C:G,5, 0)="X",1,0),0)</f>
        <v>0</v>
      </c>
      <c r="M85" s="17">
        <f>IFERROR(IF(VLOOKUP(D:D,'테스트(4회)'!C:G,5, 0)="X",1,0),0)</f>
        <v>0</v>
      </c>
      <c r="N85" s="17">
        <f>IFERROR(IF(VLOOKUP(D:D,'테스트(5회)'!C:G,5, 0)="X",1,0),0)</f>
        <v>0</v>
      </c>
      <c r="O85" s="9"/>
    </row>
    <row r="86" spans="2:15" ht="85.5" x14ac:dyDescent="0.3">
      <c r="B86" s="13">
        <v>83</v>
      </c>
      <c r="C86" s="17" t="str">
        <f t="shared" si="2"/>
        <v>2022</v>
      </c>
      <c r="D86" s="14" t="s">
        <v>628</v>
      </c>
      <c r="E86" s="14" t="s">
        <v>659</v>
      </c>
      <c r="F86" s="15" t="s">
        <v>641</v>
      </c>
      <c r="G86" s="16">
        <v>4</v>
      </c>
      <c r="H86" s="17">
        <f t="shared" si="3"/>
        <v>0</v>
      </c>
      <c r="I86" s="9"/>
      <c r="J86" s="17">
        <f>IFERROR(IF(VLOOKUP(D:D,'테스트(1회)'!C:G,5, 0)="X",1,0),0)</f>
        <v>0</v>
      </c>
      <c r="K86" s="17">
        <f>IFERROR(IF(VLOOKUP(D:D,'테스트(2회)'!C:G,5, 0)="X",1,0),0)</f>
        <v>0</v>
      </c>
      <c r="L86" s="17">
        <f>IFERROR(IF(VLOOKUP(D:D,'테스트(3회)'!C:G,5, 0)="X",1,0),0)</f>
        <v>0</v>
      </c>
      <c r="M86" s="17">
        <f>IFERROR(IF(VLOOKUP(D:D,'테스트(4회)'!C:G,5, 0)="X",1,0),0)</f>
        <v>0</v>
      </c>
      <c r="N86" s="17">
        <f>IFERROR(IF(VLOOKUP(D:D,'테스트(5회)'!C:G,5, 0)="X",1,0),0)</f>
        <v>0</v>
      </c>
      <c r="O86" s="9"/>
    </row>
    <row r="87" spans="2:15" ht="85.5" x14ac:dyDescent="0.3">
      <c r="B87" s="13">
        <v>84</v>
      </c>
      <c r="C87" s="17" t="str">
        <f t="shared" si="2"/>
        <v>2022</v>
      </c>
      <c r="D87" s="14" t="s">
        <v>629</v>
      </c>
      <c r="E87" s="14" t="s">
        <v>659</v>
      </c>
      <c r="F87" s="15" t="s">
        <v>651</v>
      </c>
      <c r="G87" s="16">
        <v>1</v>
      </c>
      <c r="H87" s="17">
        <f t="shared" si="3"/>
        <v>0</v>
      </c>
      <c r="I87" s="9"/>
      <c r="J87" s="17">
        <f>IFERROR(IF(VLOOKUP(D:D,'테스트(1회)'!C:G,5, 0)="X",1,0),0)</f>
        <v>0</v>
      </c>
      <c r="K87" s="17">
        <f>IFERROR(IF(VLOOKUP(D:D,'테스트(2회)'!C:G,5, 0)="X",1,0),0)</f>
        <v>0</v>
      </c>
      <c r="L87" s="17">
        <f>IFERROR(IF(VLOOKUP(D:D,'테스트(3회)'!C:G,5, 0)="X",1,0),0)</f>
        <v>0</v>
      </c>
      <c r="M87" s="17">
        <f>IFERROR(IF(VLOOKUP(D:D,'테스트(4회)'!C:G,5, 0)="X",1,0),0)</f>
        <v>0</v>
      </c>
      <c r="N87" s="17">
        <f>IFERROR(IF(VLOOKUP(D:D,'테스트(5회)'!C:G,5, 0)="X",1,0),0)</f>
        <v>0</v>
      </c>
      <c r="O87" s="9"/>
    </row>
    <row r="88" spans="2:15" ht="156.75" x14ac:dyDescent="0.3">
      <c r="B88" s="13">
        <v>85</v>
      </c>
      <c r="C88" s="17" t="str">
        <f t="shared" si="2"/>
        <v>2022</v>
      </c>
      <c r="D88" s="14" t="s">
        <v>630</v>
      </c>
      <c r="E88" s="14" t="s">
        <v>659</v>
      </c>
      <c r="F88" s="15" t="s">
        <v>761</v>
      </c>
      <c r="G88" s="16">
        <v>3</v>
      </c>
      <c r="H88" s="17">
        <f t="shared" si="3"/>
        <v>1</v>
      </c>
      <c r="I88" s="9"/>
      <c r="J88" s="17">
        <f>IFERROR(IF(VLOOKUP(D:D,'테스트(1회)'!C:G,5, 0)="X",1,0),0)</f>
        <v>1</v>
      </c>
      <c r="K88" s="17">
        <f>IFERROR(IF(VLOOKUP(D:D,'테스트(2회)'!C:G,5, 0)="X",1,0),0)</f>
        <v>0</v>
      </c>
      <c r="L88" s="17">
        <f>IFERROR(IF(VLOOKUP(D:D,'테스트(3회)'!C:G,5, 0)="X",1,0),0)</f>
        <v>0</v>
      </c>
      <c r="M88" s="17">
        <f>IFERROR(IF(VLOOKUP(D:D,'테스트(4회)'!C:G,5, 0)="X",1,0),0)</f>
        <v>0</v>
      </c>
      <c r="N88" s="17">
        <f>IFERROR(IF(VLOOKUP(D:D,'테스트(5회)'!C:G,5, 0)="X",1,0),0)</f>
        <v>0</v>
      </c>
      <c r="O88" s="9"/>
    </row>
    <row r="89" spans="2:15" ht="85.5" x14ac:dyDescent="0.3">
      <c r="B89" s="13">
        <v>86</v>
      </c>
      <c r="C89" s="17" t="str">
        <f t="shared" si="2"/>
        <v>2022</v>
      </c>
      <c r="D89" s="14" t="s">
        <v>631</v>
      </c>
      <c r="E89" s="14" t="s">
        <v>659</v>
      </c>
      <c r="F89" s="15" t="s">
        <v>652</v>
      </c>
      <c r="G89" s="16">
        <v>5</v>
      </c>
      <c r="H89" s="17">
        <f t="shared" si="3"/>
        <v>1</v>
      </c>
      <c r="I89" s="9"/>
      <c r="J89" s="17">
        <f>IFERROR(IF(VLOOKUP(D:D,'테스트(1회)'!C:G,5, 0)="X",1,0),0)</f>
        <v>1</v>
      </c>
      <c r="K89" s="17">
        <f>IFERROR(IF(VLOOKUP(D:D,'테스트(2회)'!C:G,5, 0)="X",1,0),0)</f>
        <v>0</v>
      </c>
      <c r="L89" s="17">
        <f>IFERROR(IF(VLOOKUP(D:D,'테스트(3회)'!C:G,5, 0)="X",1,0),0)</f>
        <v>0</v>
      </c>
      <c r="M89" s="17">
        <f>IFERROR(IF(VLOOKUP(D:D,'테스트(4회)'!C:G,5, 0)="X",1,0),0)</f>
        <v>0</v>
      </c>
      <c r="N89" s="17">
        <f>IFERROR(IF(VLOOKUP(D:D,'테스트(5회)'!C:G,5, 0)="X",1,0),0)</f>
        <v>0</v>
      </c>
      <c r="O89" s="9"/>
    </row>
    <row r="90" spans="2:15" ht="142.5" x14ac:dyDescent="0.3">
      <c r="B90" s="13">
        <v>87</v>
      </c>
      <c r="C90" s="17" t="str">
        <f t="shared" si="2"/>
        <v>2022</v>
      </c>
      <c r="D90" s="14" t="s">
        <v>632</v>
      </c>
      <c r="E90" s="14" t="s">
        <v>659</v>
      </c>
      <c r="F90" s="15" t="s">
        <v>760</v>
      </c>
      <c r="G90" s="16">
        <v>3</v>
      </c>
      <c r="H90" s="17">
        <f t="shared" si="3"/>
        <v>1</v>
      </c>
      <c r="I90" s="9"/>
      <c r="J90" s="17">
        <f>IFERROR(IF(VLOOKUP(D:D,'테스트(1회)'!C:G,5, 0)="X",1,0),0)</f>
        <v>1</v>
      </c>
      <c r="K90" s="17">
        <f>IFERROR(IF(VLOOKUP(D:D,'테스트(2회)'!C:G,5, 0)="X",1,0),0)</f>
        <v>0</v>
      </c>
      <c r="L90" s="17">
        <f>IFERROR(IF(VLOOKUP(D:D,'테스트(3회)'!C:G,5, 0)="X",1,0),0)</f>
        <v>0</v>
      </c>
      <c r="M90" s="17">
        <f>IFERROR(IF(VLOOKUP(D:D,'테스트(4회)'!C:G,5, 0)="X",1,0),0)</f>
        <v>0</v>
      </c>
      <c r="N90" s="17">
        <f>IFERROR(IF(VLOOKUP(D:D,'테스트(5회)'!C:G,5, 0)="X",1,0),0)</f>
        <v>0</v>
      </c>
      <c r="O90" s="9"/>
    </row>
    <row r="91" spans="2:15" ht="85.5" x14ac:dyDescent="0.3">
      <c r="B91" s="13">
        <v>88</v>
      </c>
      <c r="C91" s="17" t="str">
        <f t="shared" si="2"/>
        <v>2022</v>
      </c>
      <c r="D91" s="14" t="s">
        <v>633</v>
      </c>
      <c r="E91" s="14" t="s">
        <v>659</v>
      </c>
      <c r="F91" s="15" t="s">
        <v>653</v>
      </c>
      <c r="G91" s="16">
        <v>3</v>
      </c>
      <c r="H91" s="17">
        <f t="shared" si="3"/>
        <v>0</v>
      </c>
      <c r="I91" s="9"/>
      <c r="J91" s="17">
        <f>IFERROR(IF(VLOOKUP(D:D,'테스트(1회)'!C:G,5, 0)="X",1,0),0)</f>
        <v>0</v>
      </c>
      <c r="K91" s="17">
        <f>IFERROR(IF(VLOOKUP(D:D,'테스트(2회)'!C:G,5, 0)="X",1,0),0)</f>
        <v>0</v>
      </c>
      <c r="L91" s="17">
        <f>IFERROR(IF(VLOOKUP(D:D,'테스트(3회)'!C:G,5, 0)="X",1,0),0)</f>
        <v>0</v>
      </c>
      <c r="M91" s="17">
        <f>IFERROR(IF(VLOOKUP(D:D,'테스트(4회)'!C:G,5, 0)="X",1,0),0)</f>
        <v>0</v>
      </c>
      <c r="N91" s="17">
        <f>IFERROR(IF(VLOOKUP(D:D,'테스트(5회)'!C:G,5, 0)="X",1,0),0)</f>
        <v>0</v>
      </c>
      <c r="O91" s="9"/>
    </row>
    <row r="92" spans="2:15" ht="85.5" x14ac:dyDescent="0.3">
      <c r="B92" s="13">
        <v>89</v>
      </c>
      <c r="C92" s="17" t="str">
        <f t="shared" si="2"/>
        <v>2022</v>
      </c>
      <c r="D92" s="14" t="s">
        <v>634</v>
      </c>
      <c r="E92" s="14" t="s">
        <v>659</v>
      </c>
      <c r="F92" s="15" t="s">
        <v>654</v>
      </c>
      <c r="G92" s="16">
        <v>5</v>
      </c>
      <c r="H92" s="17">
        <f t="shared" si="3"/>
        <v>0</v>
      </c>
      <c r="I92" s="9"/>
      <c r="J92" s="17">
        <f>IFERROR(IF(VLOOKUP(D:D,'테스트(1회)'!C:G,5, 0)="X",1,0),0)</f>
        <v>0</v>
      </c>
      <c r="K92" s="17">
        <f>IFERROR(IF(VLOOKUP(D:D,'테스트(2회)'!C:G,5, 0)="X",1,0),0)</f>
        <v>0</v>
      </c>
      <c r="L92" s="17">
        <f>IFERROR(IF(VLOOKUP(D:D,'테스트(3회)'!C:G,5, 0)="X",1,0),0)</f>
        <v>0</v>
      </c>
      <c r="M92" s="17">
        <f>IFERROR(IF(VLOOKUP(D:D,'테스트(4회)'!C:G,5, 0)="X",1,0),0)</f>
        <v>0</v>
      </c>
      <c r="N92" s="17">
        <f>IFERROR(IF(VLOOKUP(D:D,'테스트(5회)'!C:G,5, 0)="X",1,0),0)</f>
        <v>0</v>
      </c>
      <c r="O92" s="9"/>
    </row>
    <row r="93" spans="2:15" ht="85.5" x14ac:dyDescent="0.3">
      <c r="B93" s="13">
        <v>90</v>
      </c>
      <c r="C93" s="17" t="str">
        <f t="shared" si="2"/>
        <v>2022</v>
      </c>
      <c r="D93" s="14" t="s">
        <v>635</v>
      </c>
      <c r="E93" s="14" t="s">
        <v>659</v>
      </c>
      <c r="F93" s="15" t="s">
        <v>655</v>
      </c>
      <c r="G93" s="16">
        <v>3</v>
      </c>
      <c r="H93" s="17">
        <f t="shared" si="3"/>
        <v>0</v>
      </c>
      <c r="I93" s="9"/>
      <c r="J93" s="17">
        <f>IFERROR(IF(VLOOKUP(D:D,'테스트(1회)'!C:G,5, 0)="X",1,0),0)</f>
        <v>0</v>
      </c>
      <c r="K93" s="17">
        <f>IFERROR(IF(VLOOKUP(D:D,'테스트(2회)'!C:G,5, 0)="X",1,0),0)</f>
        <v>0</v>
      </c>
      <c r="L93" s="17">
        <f>IFERROR(IF(VLOOKUP(D:D,'테스트(3회)'!C:G,5, 0)="X",1,0),0)</f>
        <v>0</v>
      </c>
      <c r="M93" s="17">
        <f>IFERROR(IF(VLOOKUP(D:D,'테스트(4회)'!C:G,5, 0)="X",1,0),0)</f>
        <v>0</v>
      </c>
      <c r="N93" s="17">
        <f>IFERROR(IF(VLOOKUP(D:D,'테스트(5회)'!C:G,5, 0)="X",1,0),0)</f>
        <v>0</v>
      </c>
      <c r="O93" s="9"/>
    </row>
    <row r="94" spans="2:15" ht="85.5" x14ac:dyDescent="0.3">
      <c r="B94" s="13">
        <v>91</v>
      </c>
      <c r="C94" s="17" t="str">
        <f t="shared" si="2"/>
        <v>2021</v>
      </c>
      <c r="D94" s="14" t="s">
        <v>50</v>
      </c>
      <c r="E94" s="14" t="s">
        <v>659</v>
      </c>
      <c r="F94" s="15" t="s">
        <v>51</v>
      </c>
      <c r="G94" s="16">
        <v>4</v>
      </c>
      <c r="H94" s="17">
        <f t="shared" si="3"/>
        <v>0</v>
      </c>
      <c r="I94" s="9"/>
      <c r="J94" s="17">
        <f>IFERROR(IF(VLOOKUP(D:D,'테스트(1회)'!C:G,5, 0)="X",1,0),0)</f>
        <v>0</v>
      </c>
      <c r="K94" s="17">
        <f>IFERROR(IF(VLOOKUP(D:D,'테스트(2회)'!C:G,5, 0)="X",1,0),0)</f>
        <v>0</v>
      </c>
      <c r="L94" s="17">
        <f>IFERROR(IF(VLOOKUP(D:D,'테스트(3회)'!C:G,5, 0)="X",1,0),0)</f>
        <v>0</v>
      </c>
      <c r="M94" s="17">
        <f>IFERROR(IF(VLOOKUP(D:D,'테스트(4회)'!C:G,5, 0)="X",1,0),0)</f>
        <v>0</v>
      </c>
      <c r="N94" s="17">
        <f>IFERROR(IF(VLOOKUP(D:D,'테스트(5회)'!C:G,5, 0)="X",1,0),0)</f>
        <v>0</v>
      </c>
      <c r="O94" s="9"/>
    </row>
    <row r="95" spans="2:15" ht="128.25" x14ac:dyDescent="0.3">
      <c r="B95" s="13">
        <v>92</v>
      </c>
      <c r="C95" s="17" t="str">
        <f t="shared" si="2"/>
        <v>2021</v>
      </c>
      <c r="D95" s="14" t="s">
        <v>52</v>
      </c>
      <c r="E95" s="14" t="s">
        <v>659</v>
      </c>
      <c r="F95" s="15" t="s">
        <v>53</v>
      </c>
      <c r="G95" s="16">
        <v>4</v>
      </c>
      <c r="H95" s="17">
        <f t="shared" si="3"/>
        <v>0</v>
      </c>
      <c r="I95" s="9"/>
      <c r="J95" s="17">
        <f>IFERROR(IF(VLOOKUP(D:D,'테스트(1회)'!C:G,5, 0)="X",1,0),0)</f>
        <v>0</v>
      </c>
      <c r="K95" s="17">
        <f>IFERROR(IF(VLOOKUP(D:D,'테스트(2회)'!C:G,5, 0)="X",1,0),0)</f>
        <v>0</v>
      </c>
      <c r="L95" s="17">
        <f>IFERROR(IF(VLOOKUP(D:D,'테스트(3회)'!C:G,5, 0)="X",1,0),0)</f>
        <v>0</v>
      </c>
      <c r="M95" s="17">
        <f>IFERROR(IF(VLOOKUP(D:D,'테스트(4회)'!C:G,5, 0)="X",1,0),0)</f>
        <v>0</v>
      </c>
      <c r="N95" s="17">
        <f>IFERROR(IF(VLOOKUP(D:D,'테스트(5회)'!C:G,5, 0)="X",1,0),0)</f>
        <v>0</v>
      </c>
      <c r="O95" s="9"/>
    </row>
    <row r="96" spans="2:15" ht="85.5" x14ac:dyDescent="0.3">
      <c r="B96" s="13">
        <v>93</v>
      </c>
      <c r="C96" s="17" t="str">
        <f t="shared" si="2"/>
        <v>2021</v>
      </c>
      <c r="D96" s="14" t="s">
        <v>54</v>
      </c>
      <c r="E96" s="14" t="s">
        <v>659</v>
      </c>
      <c r="F96" s="15" t="s">
        <v>55</v>
      </c>
      <c r="G96" s="16">
        <v>1</v>
      </c>
      <c r="H96" s="17">
        <f t="shared" si="3"/>
        <v>0</v>
      </c>
      <c r="I96" s="9"/>
      <c r="J96" s="17">
        <f>IFERROR(IF(VLOOKUP(D:D,'테스트(1회)'!C:G,5, 0)="X",1,0),0)</f>
        <v>0</v>
      </c>
      <c r="K96" s="17">
        <f>IFERROR(IF(VLOOKUP(D:D,'테스트(2회)'!C:G,5, 0)="X",1,0),0)</f>
        <v>0</v>
      </c>
      <c r="L96" s="17">
        <f>IFERROR(IF(VLOOKUP(D:D,'테스트(3회)'!C:G,5, 0)="X",1,0),0)</f>
        <v>0</v>
      </c>
      <c r="M96" s="17">
        <f>IFERROR(IF(VLOOKUP(D:D,'테스트(4회)'!C:G,5, 0)="X",1,0),0)</f>
        <v>0</v>
      </c>
      <c r="N96" s="17">
        <f>IFERROR(IF(VLOOKUP(D:D,'테스트(5회)'!C:G,5, 0)="X",1,0),0)</f>
        <v>0</v>
      </c>
      <c r="O96" s="9"/>
    </row>
    <row r="97" spans="2:15" ht="85.5" x14ac:dyDescent="0.3">
      <c r="B97" s="13">
        <v>94</v>
      </c>
      <c r="C97" s="17" t="str">
        <f t="shared" si="2"/>
        <v>2021</v>
      </c>
      <c r="D97" s="14" t="s">
        <v>56</v>
      </c>
      <c r="E97" s="14" t="s">
        <v>659</v>
      </c>
      <c r="F97" s="15" t="s">
        <v>57</v>
      </c>
      <c r="G97" s="16">
        <v>1</v>
      </c>
      <c r="H97" s="17">
        <f t="shared" si="3"/>
        <v>0</v>
      </c>
      <c r="I97" s="9"/>
      <c r="J97" s="17">
        <f>IFERROR(IF(VLOOKUP(D:D,'테스트(1회)'!C:G,5, 0)="X",1,0),0)</f>
        <v>0</v>
      </c>
      <c r="K97" s="17">
        <f>IFERROR(IF(VLOOKUP(D:D,'테스트(2회)'!C:G,5, 0)="X",1,0),0)</f>
        <v>0</v>
      </c>
      <c r="L97" s="17">
        <f>IFERROR(IF(VLOOKUP(D:D,'테스트(3회)'!C:G,5, 0)="X",1,0),0)</f>
        <v>0</v>
      </c>
      <c r="M97" s="17">
        <f>IFERROR(IF(VLOOKUP(D:D,'테스트(4회)'!C:G,5, 0)="X",1,0),0)</f>
        <v>0</v>
      </c>
      <c r="N97" s="17">
        <f>IFERROR(IF(VLOOKUP(D:D,'테스트(5회)'!C:G,5, 0)="X",1,0),0)</f>
        <v>0</v>
      </c>
      <c r="O97" s="9"/>
    </row>
    <row r="98" spans="2:15" ht="85.5" x14ac:dyDescent="0.3">
      <c r="B98" s="13">
        <v>95</v>
      </c>
      <c r="C98" s="17" t="str">
        <f t="shared" si="2"/>
        <v>2021</v>
      </c>
      <c r="D98" s="14" t="s">
        <v>58</v>
      </c>
      <c r="E98" s="14" t="s">
        <v>659</v>
      </c>
      <c r="F98" s="15" t="s">
        <v>59</v>
      </c>
      <c r="G98" s="16">
        <v>3</v>
      </c>
      <c r="H98" s="17">
        <f t="shared" si="3"/>
        <v>0</v>
      </c>
      <c r="I98" s="9"/>
      <c r="J98" s="17">
        <f>IFERROR(IF(VLOOKUP(D:D,'테스트(1회)'!C:G,5, 0)="X",1,0),0)</f>
        <v>0</v>
      </c>
      <c r="K98" s="17">
        <f>IFERROR(IF(VLOOKUP(D:D,'테스트(2회)'!C:G,5, 0)="X",1,0),0)</f>
        <v>0</v>
      </c>
      <c r="L98" s="17">
        <f>IFERROR(IF(VLOOKUP(D:D,'테스트(3회)'!C:G,5, 0)="X",1,0),0)</f>
        <v>0</v>
      </c>
      <c r="M98" s="17">
        <f>IFERROR(IF(VLOOKUP(D:D,'테스트(4회)'!C:G,5, 0)="X",1,0),0)</f>
        <v>0</v>
      </c>
      <c r="N98" s="17">
        <f>IFERROR(IF(VLOOKUP(D:D,'테스트(5회)'!C:G,5, 0)="X",1,0),0)</f>
        <v>0</v>
      </c>
      <c r="O98" s="9"/>
    </row>
    <row r="99" spans="2:15" ht="85.5" x14ac:dyDescent="0.3">
      <c r="B99" s="13">
        <v>96</v>
      </c>
      <c r="C99" s="17" t="str">
        <f t="shared" si="2"/>
        <v>2021</v>
      </c>
      <c r="D99" s="14" t="s">
        <v>60</v>
      </c>
      <c r="E99" s="14" t="s">
        <v>659</v>
      </c>
      <c r="F99" s="15" t="s">
        <v>61</v>
      </c>
      <c r="G99" s="16">
        <v>5</v>
      </c>
      <c r="H99" s="17">
        <f t="shared" si="3"/>
        <v>0</v>
      </c>
      <c r="I99" s="9"/>
      <c r="J99" s="17">
        <f>IFERROR(IF(VLOOKUP(D:D,'테스트(1회)'!C:G,5, 0)="X",1,0),0)</f>
        <v>0</v>
      </c>
      <c r="K99" s="17">
        <f>IFERROR(IF(VLOOKUP(D:D,'테스트(2회)'!C:G,5, 0)="X",1,0),0)</f>
        <v>0</v>
      </c>
      <c r="L99" s="17">
        <f>IFERROR(IF(VLOOKUP(D:D,'테스트(3회)'!C:G,5, 0)="X",1,0),0)</f>
        <v>0</v>
      </c>
      <c r="M99" s="17">
        <f>IFERROR(IF(VLOOKUP(D:D,'테스트(4회)'!C:G,5, 0)="X",1,0),0)</f>
        <v>0</v>
      </c>
      <c r="N99" s="17">
        <f>IFERROR(IF(VLOOKUP(D:D,'테스트(5회)'!C:G,5, 0)="X",1,0),0)</f>
        <v>0</v>
      </c>
      <c r="O99" s="9"/>
    </row>
    <row r="100" spans="2:15" ht="85.5" x14ac:dyDescent="0.3">
      <c r="B100" s="13">
        <v>97</v>
      </c>
      <c r="C100" s="17" t="str">
        <f t="shared" si="2"/>
        <v>2021</v>
      </c>
      <c r="D100" s="14" t="s">
        <v>62</v>
      </c>
      <c r="E100" s="14" t="s">
        <v>659</v>
      </c>
      <c r="F100" s="15" t="s">
        <v>63</v>
      </c>
      <c r="G100" s="16">
        <v>3</v>
      </c>
      <c r="H100" s="17">
        <f t="shared" si="3"/>
        <v>0</v>
      </c>
      <c r="I100" s="9"/>
      <c r="J100" s="17">
        <f>IFERROR(IF(VLOOKUP(D:D,'테스트(1회)'!C:G,5, 0)="X",1,0),0)</f>
        <v>0</v>
      </c>
      <c r="K100" s="17">
        <f>IFERROR(IF(VLOOKUP(D:D,'테스트(2회)'!C:G,5, 0)="X",1,0),0)</f>
        <v>0</v>
      </c>
      <c r="L100" s="17">
        <f>IFERROR(IF(VLOOKUP(D:D,'테스트(3회)'!C:G,5, 0)="X",1,0),0)</f>
        <v>0</v>
      </c>
      <c r="M100" s="17">
        <f>IFERROR(IF(VLOOKUP(D:D,'테스트(4회)'!C:G,5, 0)="X",1,0),0)</f>
        <v>0</v>
      </c>
      <c r="N100" s="17">
        <f>IFERROR(IF(VLOOKUP(D:D,'테스트(5회)'!C:G,5, 0)="X",1,0),0)</f>
        <v>0</v>
      </c>
      <c r="O100" s="9"/>
    </row>
    <row r="101" spans="2:15" ht="99.75" x14ac:dyDescent="0.3">
      <c r="B101" s="13">
        <v>98</v>
      </c>
      <c r="C101" s="17" t="str">
        <f t="shared" si="2"/>
        <v>2021</v>
      </c>
      <c r="D101" s="14" t="s">
        <v>64</v>
      </c>
      <c r="E101" s="14" t="s">
        <v>659</v>
      </c>
      <c r="F101" s="15" t="s">
        <v>65</v>
      </c>
      <c r="G101" s="16">
        <v>5</v>
      </c>
      <c r="H101" s="17">
        <f t="shared" si="3"/>
        <v>0</v>
      </c>
      <c r="I101" s="9"/>
      <c r="J101" s="17">
        <f>IFERROR(IF(VLOOKUP(D:D,'테스트(1회)'!C:G,5, 0)="X",1,0),0)</f>
        <v>0</v>
      </c>
      <c r="K101" s="17">
        <f>IFERROR(IF(VLOOKUP(D:D,'테스트(2회)'!C:G,5, 0)="X",1,0),0)</f>
        <v>0</v>
      </c>
      <c r="L101" s="17">
        <f>IFERROR(IF(VLOOKUP(D:D,'테스트(3회)'!C:G,5, 0)="X",1,0),0)</f>
        <v>0</v>
      </c>
      <c r="M101" s="17">
        <f>IFERROR(IF(VLOOKUP(D:D,'테스트(4회)'!C:G,5, 0)="X",1,0),0)</f>
        <v>0</v>
      </c>
      <c r="N101" s="17">
        <f>IFERROR(IF(VLOOKUP(D:D,'테스트(5회)'!C:G,5, 0)="X",1,0),0)</f>
        <v>0</v>
      </c>
      <c r="O101" s="9"/>
    </row>
    <row r="102" spans="2:15" ht="85.5" x14ac:dyDescent="0.3">
      <c r="B102" s="13">
        <v>99</v>
      </c>
      <c r="C102" s="17" t="str">
        <f t="shared" si="2"/>
        <v>2021</v>
      </c>
      <c r="D102" s="14" t="s">
        <v>66</v>
      </c>
      <c r="E102" s="14" t="s">
        <v>659</v>
      </c>
      <c r="F102" s="15" t="s">
        <v>67</v>
      </c>
      <c r="G102" s="16">
        <v>3</v>
      </c>
      <c r="H102" s="17">
        <f t="shared" si="3"/>
        <v>0</v>
      </c>
      <c r="I102" s="9"/>
      <c r="J102" s="17">
        <f>IFERROR(IF(VLOOKUP(D:D,'테스트(1회)'!C:G,5, 0)="X",1,0),0)</f>
        <v>0</v>
      </c>
      <c r="K102" s="17">
        <f>IFERROR(IF(VLOOKUP(D:D,'테스트(2회)'!C:G,5, 0)="X",1,0),0)</f>
        <v>0</v>
      </c>
      <c r="L102" s="17">
        <f>IFERROR(IF(VLOOKUP(D:D,'테스트(3회)'!C:G,5, 0)="X",1,0),0)</f>
        <v>0</v>
      </c>
      <c r="M102" s="17">
        <f>IFERROR(IF(VLOOKUP(D:D,'테스트(4회)'!C:G,5, 0)="X",1,0),0)</f>
        <v>0</v>
      </c>
      <c r="N102" s="17">
        <f>IFERROR(IF(VLOOKUP(D:D,'테스트(5회)'!C:G,5, 0)="X",1,0),0)</f>
        <v>0</v>
      </c>
      <c r="O102" s="9"/>
    </row>
    <row r="103" spans="2:15" ht="156.75" x14ac:dyDescent="0.3">
      <c r="B103" s="13">
        <v>100</v>
      </c>
      <c r="C103" s="17" t="str">
        <f t="shared" si="2"/>
        <v>2021</v>
      </c>
      <c r="D103" s="14" t="s">
        <v>68</v>
      </c>
      <c r="E103" s="14" t="s">
        <v>659</v>
      </c>
      <c r="F103" s="15" t="s">
        <v>759</v>
      </c>
      <c r="G103" s="16">
        <v>3</v>
      </c>
      <c r="H103" s="17">
        <f t="shared" si="3"/>
        <v>0</v>
      </c>
      <c r="I103" s="9"/>
      <c r="J103" s="17">
        <f>IFERROR(IF(VLOOKUP(D:D,'테스트(1회)'!C:G,5, 0)="X",1,0),0)</f>
        <v>0</v>
      </c>
      <c r="K103" s="17">
        <f>IFERROR(IF(VLOOKUP(D:D,'테스트(2회)'!C:G,5, 0)="X",1,0),0)</f>
        <v>0</v>
      </c>
      <c r="L103" s="17">
        <f>IFERROR(IF(VLOOKUP(D:D,'테스트(3회)'!C:G,5, 0)="X",1,0),0)</f>
        <v>0</v>
      </c>
      <c r="M103" s="17">
        <f>IFERROR(IF(VLOOKUP(D:D,'테스트(4회)'!C:G,5, 0)="X",1,0),0)</f>
        <v>0</v>
      </c>
      <c r="N103" s="17">
        <f>IFERROR(IF(VLOOKUP(D:D,'테스트(5회)'!C:G,5, 0)="X",1,0),0)</f>
        <v>0</v>
      </c>
      <c r="O103" s="9"/>
    </row>
    <row r="104" spans="2:15" ht="85.5" x14ac:dyDescent="0.3">
      <c r="B104" s="13">
        <v>101</v>
      </c>
      <c r="C104" s="17" t="str">
        <f t="shared" si="2"/>
        <v>2021</v>
      </c>
      <c r="D104" s="14" t="s">
        <v>69</v>
      </c>
      <c r="E104" s="14" t="s">
        <v>659</v>
      </c>
      <c r="F104" s="15" t="s">
        <v>70</v>
      </c>
      <c r="G104" s="16">
        <v>1</v>
      </c>
      <c r="H104" s="17">
        <f t="shared" si="3"/>
        <v>0</v>
      </c>
      <c r="I104" s="9"/>
      <c r="J104" s="17">
        <f>IFERROR(IF(VLOOKUP(D:D,'테스트(1회)'!C:G,5, 0)="X",1,0),0)</f>
        <v>0</v>
      </c>
      <c r="K104" s="17">
        <f>IFERROR(IF(VLOOKUP(D:D,'테스트(2회)'!C:G,5, 0)="X",1,0),0)</f>
        <v>0</v>
      </c>
      <c r="L104" s="17">
        <f>IFERROR(IF(VLOOKUP(D:D,'테스트(3회)'!C:G,5, 0)="X",1,0),0)</f>
        <v>0</v>
      </c>
      <c r="M104" s="17">
        <f>IFERROR(IF(VLOOKUP(D:D,'테스트(4회)'!C:G,5, 0)="X",1,0),0)</f>
        <v>0</v>
      </c>
      <c r="N104" s="17">
        <f>IFERROR(IF(VLOOKUP(D:D,'테스트(5회)'!C:G,5, 0)="X",1,0),0)</f>
        <v>0</v>
      </c>
      <c r="O104" s="9"/>
    </row>
    <row r="105" spans="2:15" ht="128.25" x14ac:dyDescent="0.3">
      <c r="B105" s="13">
        <v>102</v>
      </c>
      <c r="C105" s="17" t="str">
        <f t="shared" si="2"/>
        <v>2021</v>
      </c>
      <c r="D105" s="14" t="s">
        <v>71</v>
      </c>
      <c r="E105" s="14" t="s">
        <v>659</v>
      </c>
      <c r="F105" s="15" t="s">
        <v>779</v>
      </c>
      <c r="G105" s="16">
        <v>1</v>
      </c>
      <c r="H105" s="17">
        <f t="shared" si="3"/>
        <v>0</v>
      </c>
      <c r="I105" s="9"/>
      <c r="J105" s="17">
        <f>IFERROR(IF(VLOOKUP(D:D,'테스트(1회)'!C:G,5, 0)="X",1,0),0)</f>
        <v>0</v>
      </c>
      <c r="K105" s="17">
        <f>IFERROR(IF(VLOOKUP(D:D,'테스트(2회)'!C:G,5, 0)="X",1,0),0)</f>
        <v>0</v>
      </c>
      <c r="L105" s="17">
        <f>IFERROR(IF(VLOOKUP(D:D,'테스트(3회)'!C:G,5, 0)="X",1,0),0)</f>
        <v>0</v>
      </c>
      <c r="M105" s="17">
        <f>IFERROR(IF(VLOOKUP(D:D,'테스트(4회)'!C:G,5, 0)="X",1,0),0)</f>
        <v>0</v>
      </c>
      <c r="N105" s="17">
        <f>IFERROR(IF(VLOOKUP(D:D,'테스트(5회)'!C:G,5, 0)="X",1,0),0)</f>
        <v>0</v>
      </c>
      <c r="O105" s="9"/>
    </row>
    <row r="106" spans="2:15" ht="85.5" x14ac:dyDescent="0.3">
      <c r="B106" s="13">
        <v>103</v>
      </c>
      <c r="C106" s="17" t="str">
        <f t="shared" si="2"/>
        <v>2021</v>
      </c>
      <c r="D106" s="14" t="s">
        <v>72</v>
      </c>
      <c r="E106" s="14" t="s">
        <v>659</v>
      </c>
      <c r="F106" s="15" t="s">
        <v>73</v>
      </c>
      <c r="G106" s="16">
        <v>2</v>
      </c>
      <c r="H106" s="17">
        <f t="shared" si="3"/>
        <v>0</v>
      </c>
      <c r="I106" s="9"/>
      <c r="J106" s="17">
        <f>IFERROR(IF(VLOOKUP(D:D,'테스트(1회)'!C:G,5, 0)="X",1,0),0)</f>
        <v>0</v>
      </c>
      <c r="K106" s="17">
        <f>IFERROR(IF(VLOOKUP(D:D,'테스트(2회)'!C:G,5, 0)="X",1,0),0)</f>
        <v>0</v>
      </c>
      <c r="L106" s="17">
        <f>IFERROR(IF(VLOOKUP(D:D,'테스트(3회)'!C:G,5, 0)="X",1,0),0)</f>
        <v>0</v>
      </c>
      <c r="M106" s="17">
        <f>IFERROR(IF(VLOOKUP(D:D,'테스트(4회)'!C:G,5, 0)="X",1,0),0)</f>
        <v>0</v>
      </c>
      <c r="N106" s="17">
        <f>IFERROR(IF(VLOOKUP(D:D,'테스트(5회)'!C:G,5, 0)="X",1,0),0)</f>
        <v>0</v>
      </c>
      <c r="O106" s="9"/>
    </row>
    <row r="107" spans="2:15" ht="142.5" x14ac:dyDescent="0.3">
      <c r="B107" s="13">
        <v>104</v>
      </c>
      <c r="C107" s="17" t="str">
        <f t="shared" si="2"/>
        <v>2021</v>
      </c>
      <c r="D107" s="14" t="s">
        <v>74</v>
      </c>
      <c r="E107" s="14" t="s">
        <v>659</v>
      </c>
      <c r="F107" s="15" t="s">
        <v>758</v>
      </c>
      <c r="G107" s="16">
        <v>5</v>
      </c>
      <c r="H107" s="17">
        <f t="shared" si="3"/>
        <v>0</v>
      </c>
      <c r="I107" s="9"/>
      <c r="J107" s="17">
        <f>IFERROR(IF(VLOOKUP(D:D,'테스트(1회)'!C:G,5, 0)="X",1,0),0)</f>
        <v>0</v>
      </c>
      <c r="K107" s="17">
        <f>IFERROR(IF(VLOOKUP(D:D,'테스트(2회)'!C:G,5, 0)="X",1,0),0)</f>
        <v>0</v>
      </c>
      <c r="L107" s="17">
        <f>IFERROR(IF(VLOOKUP(D:D,'테스트(3회)'!C:G,5, 0)="X",1,0),0)</f>
        <v>0</v>
      </c>
      <c r="M107" s="17">
        <f>IFERROR(IF(VLOOKUP(D:D,'테스트(4회)'!C:G,5, 0)="X",1,0),0)</f>
        <v>0</v>
      </c>
      <c r="N107" s="17">
        <f>IFERROR(IF(VLOOKUP(D:D,'테스트(5회)'!C:G,5, 0)="X",1,0),0)</f>
        <v>0</v>
      </c>
      <c r="O107" s="9"/>
    </row>
    <row r="108" spans="2:15" ht="85.5" x14ac:dyDescent="0.3">
      <c r="B108" s="13">
        <v>105</v>
      </c>
      <c r="C108" s="17" t="str">
        <f t="shared" si="2"/>
        <v>2021</v>
      </c>
      <c r="D108" s="14" t="s">
        <v>75</v>
      </c>
      <c r="E108" s="14" t="s">
        <v>659</v>
      </c>
      <c r="F108" s="15" t="s">
        <v>76</v>
      </c>
      <c r="G108" s="16">
        <v>3</v>
      </c>
      <c r="H108" s="17">
        <f t="shared" si="3"/>
        <v>1</v>
      </c>
      <c r="I108" s="9"/>
      <c r="J108" s="17">
        <f>IFERROR(IF(VLOOKUP(D:D,'테스트(1회)'!C:G,5, 0)="X",1,0),0)</f>
        <v>1</v>
      </c>
      <c r="K108" s="17">
        <f>IFERROR(IF(VLOOKUP(D:D,'테스트(2회)'!C:G,5, 0)="X",1,0),0)</f>
        <v>0</v>
      </c>
      <c r="L108" s="17">
        <f>IFERROR(IF(VLOOKUP(D:D,'테스트(3회)'!C:G,5, 0)="X",1,0),0)</f>
        <v>0</v>
      </c>
      <c r="M108" s="17">
        <f>IFERROR(IF(VLOOKUP(D:D,'테스트(4회)'!C:G,5, 0)="X",1,0),0)</f>
        <v>0</v>
      </c>
      <c r="N108" s="17">
        <f>IFERROR(IF(VLOOKUP(D:D,'테스트(5회)'!C:G,5, 0)="X",1,0),0)</f>
        <v>0</v>
      </c>
      <c r="O108" s="9"/>
    </row>
    <row r="109" spans="2:15" ht="156.75" x14ac:dyDescent="0.3">
      <c r="B109" s="13">
        <v>106</v>
      </c>
      <c r="C109" s="17" t="str">
        <f t="shared" si="2"/>
        <v>2021</v>
      </c>
      <c r="D109" s="14" t="s">
        <v>77</v>
      </c>
      <c r="E109" s="14" t="s">
        <v>659</v>
      </c>
      <c r="F109" s="15" t="s">
        <v>78</v>
      </c>
      <c r="G109" s="16">
        <v>2</v>
      </c>
      <c r="H109" s="17">
        <f t="shared" si="3"/>
        <v>1</v>
      </c>
      <c r="I109" s="9"/>
      <c r="J109" s="17">
        <f>IFERROR(IF(VLOOKUP(D:D,'테스트(1회)'!C:G,5, 0)="X",1,0),0)</f>
        <v>1</v>
      </c>
      <c r="K109" s="17">
        <f>IFERROR(IF(VLOOKUP(D:D,'테스트(2회)'!C:G,5, 0)="X",1,0),0)</f>
        <v>0</v>
      </c>
      <c r="L109" s="17">
        <f>IFERROR(IF(VLOOKUP(D:D,'테스트(3회)'!C:G,5, 0)="X",1,0),0)</f>
        <v>0</v>
      </c>
      <c r="M109" s="17">
        <f>IFERROR(IF(VLOOKUP(D:D,'테스트(4회)'!C:G,5, 0)="X",1,0),0)</f>
        <v>0</v>
      </c>
      <c r="N109" s="17">
        <f>IFERROR(IF(VLOOKUP(D:D,'테스트(5회)'!C:G,5, 0)="X",1,0),0)</f>
        <v>0</v>
      </c>
      <c r="O109" s="9"/>
    </row>
    <row r="110" spans="2:15" ht="85.5" x14ac:dyDescent="0.3">
      <c r="B110" s="13">
        <v>107</v>
      </c>
      <c r="C110" s="17" t="str">
        <f t="shared" si="2"/>
        <v>2021</v>
      </c>
      <c r="D110" s="14" t="s">
        <v>79</v>
      </c>
      <c r="E110" s="14" t="s">
        <v>659</v>
      </c>
      <c r="F110" s="15" t="s">
        <v>80</v>
      </c>
      <c r="G110" s="16">
        <v>1</v>
      </c>
      <c r="H110" s="17">
        <f t="shared" si="3"/>
        <v>1</v>
      </c>
      <c r="I110" s="9"/>
      <c r="J110" s="17">
        <f>IFERROR(IF(VLOOKUP(D:D,'테스트(1회)'!C:G,5, 0)="X",1,0),0)</f>
        <v>1</v>
      </c>
      <c r="K110" s="17">
        <f>IFERROR(IF(VLOOKUP(D:D,'테스트(2회)'!C:G,5, 0)="X",1,0),0)</f>
        <v>0</v>
      </c>
      <c r="L110" s="17">
        <f>IFERROR(IF(VLOOKUP(D:D,'테스트(3회)'!C:G,5, 0)="X",1,0),0)</f>
        <v>0</v>
      </c>
      <c r="M110" s="17">
        <f>IFERROR(IF(VLOOKUP(D:D,'테스트(4회)'!C:G,5, 0)="X",1,0),0)</f>
        <v>0</v>
      </c>
      <c r="N110" s="17">
        <f>IFERROR(IF(VLOOKUP(D:D,'테스트(5회)'!C:G,5, 0)="X",1,0),0)</f>
        <v>0</v>
      </c>
      <c r="O110" s="9"/>
    </row>
    <row r="111" spans="2:15" ht="99.75" x14ac:dyDescent="0.3">
      <c r="B111" s="13">
        <v>108</v>
      </c>
      <c r="C111" s="17" t="str">
        <f t="shared" si="2"/>
        <v>2021</v>
      </c>
      <c r="D111" s="14" t="s">
        <v>81</v>
      </c>
      <c r="E111" s="14" t="s">
        <v>659</v>
      </c>
      <c r="F111" s="15" t="s">
        <v>82</v>
      </c>
      <c r="G111" s="16">
        <v>3</v>
      </c>
      <c r="H111" s="17">
        <f t="shared" si="3"/>
        <v>1</v>
      </c>
      <c r="I111" s="9"/>
      <c r="J111" s="17">
        <f>IFERROR(IF(VLOOKUP(D:D,'테스트(1회)'!C:G,5, 0)="X",1,0),0)</f>
        <v>1</v>
      </c>
      <c r="K111" s="17">
        <f>IFERROR(IF(VLOOKUP(D:D,'테스트(2회)'!C:G,5, 0)="X",1,0),0)</f>
        <v>0</v>
      </c>
      <c r="L111" s="17">
        <f>IFERROR(IF(VLOOKUP(D:D,'테스트(3회)'!C:G,5, 0)="X",1,0),0)</f>
        <v>0</v>
      </c>
      <c r="M111" s="17">
        <f>IFERROR(IF(VLOOKUP(D:D,'테스트(4회)'!C:G,5, 0)="X",1,0),0)</f>
        <v>0</v>
      </c>
      <c r="N111" s="17">
        <f>IFERROR(IF(VLOOKUP(D:D,'테스트(5회)'!C:G,5, 0)="X",1,0),0)</f>
        <v>0</v>
      </c>
      <c r="O111" s="9"/>
    </row>
    <row r="112" spans="2:15" ht="99.75" x14ac:dyDescent="0.3">
      <c r="B112" s="13">
        <v>109</v>
      </c>
      <c r="C112" s="17" t="str">
        <f t="shared" si="2"/>
        <v>2021</v>
      </c>
      <c r="D112" s="14" t="s">
        <v>83</v>
      </c>
      <c r="E112" s="14" t="s">
        <v>659</v>
      </c>
      <c r="F112" s="15" t="s">
        <v>84</v>
      </c>
      <c r="G112" s="16">
        <v>2</v>
      </c>
      <c r="H112" s="17">
        <f t="shared" si="3"/>
        <v>1</v>
      </c>
      <c r="I112" s="9"/>
      <c r="J112" s="17">
        <f>IFERROR(IF(VLOOKUP(D:D,'테스트(1회)'!C:G,5, 0)="X",1,0),0)</f>
        <v>1</v>
      </c>
      <c r="K112" s="17">
        <f>IFERROR(IF(VLOOKUP(D:D,'테스트(2회)'!C:G,5, 0)="X",1,0),0)</f>
        <v>0</v>
      </c>
      <c r="L112" s="17">
        <f>IFERROR(IF(VLOOKUP(D:D,'테스트(3회)'!C:G,5, 0)="X",1,0),0)</f>
        <v>0</v>
      </c>
      <c r="M112" s="17">
        <f>IFERROR(IF(VLOOKUP(D:D,'테스트(4회)'!C:G,5, 0)="X",1,0),0)</f>
        <v>0</v>
      </c>
      <c r="N112" s="17">
        <f>IFERROR(IF(VLOOKUP(D:D,'테스트(5회)'!C:G,5, 0)="X",1,0),0)</f>
        <v>0</v>
      </c>
      <c r="O112" s="9"/>
    </row>
    <row r="113" spans="2:15" ht="85.5" x14ac:dyDescent="0.3">
      <c r="B113" s="13">
        <v>110</v>
      </c>
      <c r="C113" s="17" t="str">
        <f t="shared" si="2"/>
        <v>2021</v>
      </c>
      <c r="D113" s="14" t="s">
        <v>85</v>
      </c>
      <c r="E113" s="14" t="s">
        <v>659</v>
      </c>
      <c r="F113" s="15" t="s">
        <v>86</v>
      </c>
      <c r="G113" s="16">
        <v>4</v>
      </c>
      <c r="H113" s="17">
        <f t="shared" si="3"/>
        <v>1</v>
      </c>
      <c r="I113" s="9"/>
      <c r="J113" s="17">
        <f>IFERROR(IF(VLOOKUP(D:D,'테스트(1회)'!C:G,5, 0)="X",1,0),0)</f>
        <v>1</v>
      </c>
      <c r="K113" s="17">
        <f>IFERROR(IF(VLOOKUP(D:D,'테스트(2회)'!C:G,5, 0)="X",1,0),0)</f>
        <v>0</v>
      </c>
      <c r="L113" s="17">
        <f>IFERROR(IF(VLOOKUP(D:D,'테스트(3회)'!C:G,5, 0)="X",1,0),0)</f>
        <v>0</v>
      </c>
      <c r="M113" s="17">
        <f>IFERROR(IF(VLOOKUP(D:D,'테스트(4회)'!C:G,5, 0)="X",1,0),0)</f>
        <v>0</v>
      </c>
      <c r="N113" s="17">
        <f>IFERROR(IF(VLOOKUP(D:D,'테스트(5회)'!C:G,5, 0)="X",1,0),0)</f>
        <v>0</v>
      </c>
      <c r="O113" s="9"/>
    </row>
    <row r="114" spans="2:15" ht="99.75" x14ac:dyDescent="0.3">
      <c r="B114" s="13">
        <v>111</v>
      </c>
      <c r="C114" s="17" t="str">
        <f t="shared" si="2"/>
        <v>2021</v>
      </c>
      <c r="D114" s="14" t="s">
        <v>87</v>
      </c>
      <c r="E114" s="14" t="s">
        <v>659</v>
      </c>
      <c r="F114" s="15" t="s">
        <v>88</v>
      </c>
      <c r="G114" s="16">
        <v>4</v>
      </c>
      <c r="H114" s="17">
        <f t="shared" si="3"/>
        <v>0</v>
      </c>
      <c r="I114" s="9"/>
      <c r="J114" s="17">
        <f>IFERROR(IF(VLOOKUP(D:D,'테스트(1회)'!C:G,5, 0)="X",1,0),0)</f>
        <v>0</v>
      </c>
      <c r="K114" s="17">
        <f>IFERROR(IF(VLOOKUP(D:D,'테스트(2회)'!C:G,5, 0)="X",1,0),0)</f>
        <v>0</v>
      </c>
      <c r="L114" s="17">
        <f>IFERROR(IF(VLOOKUP(D:D,'테스트(3회)'!C:G,5, 0)="X",1,0),0)</f>
        <v>0</v>
      </c>
      <c r="M114" s="17">
        <f>IFERROR(IF(VLOOKUP(D:D,'테스트(4회)'!C:G,5, 0)="X",1,0),0)</f>
        <v>0</v>
      </c>
      <c r="N114" s="17">
        <f>IFERROR(IF(VLOOKUP(D:D,'테스트(5회)'!C:G,5, 0)="X",1,0),0)</f>
        <v>0</v>
      </c>
      <c r="O114" s="9"/>
    </row>
    <row r="115" spans="2:15" ht="85.5" x14ac:dyDescent="0.3">
      <c r="B115" s="13">
        <v>112</v>
      </c>
      <c r="C115" s="17" t="str">
        <f t="shared" si="2"/>
        <v>2021</v>
      </c>
      <c r="D115" s="14" t="s">
        <v>89</v>
      </c>
      <c r="E115" s="14" t="s">
        <v>659</v>
      </c>
      <c r="F115" s="15" t="s">
        <v>90</v>
      </c>
      <c r="G115" s="16">
        <v>2</v>
      </c>
      <c r="H115" s="17">
        <f t="shared" si="3"/>
        <v>0</v>
      </c>
      <c r="I115" s="9"/>
      <c r="J115" s="17">
        <f>IFERROR(IF(VLOOKUP(D:D,'테스트(1회)'!C:G,5, 0)="X",1,0),0)</f>
        <v>0</v>
      </c>
      <c r="K115" s="17">
        <f>IFERROR(IF(VLOOKUP(D:D,'테스트(2회)'!C:G,5, 0)="X",1,0),0)</f>
        <v>0</v>
      </c>
      <c r="L115" s="17">
        <f>IFERROR(IF(VLOOKUP(D:D,'테스트(3회)'!C:G,5, 0)="X",1,0),0)</f>
        <v>0</v>
      </c>
      <c r="M115" s="17">
        <f>IFERROR(IF(VLOOKUP(D:D,'테스트(4회)'!C:G,5, 0)="X",1,0),0)</f>
        <v>0</v>
      </c>
      <c r="N115" s="17">
        <f>IFERROR(IF(VLOOKUP(D:D,'테스트(5회)'!C:G,5, 0)="X",1,0),0)</f>
        <v>0</v>
      </c>
      <c r="O115" s="9"/>
    </row>
    <row r="116" spans="2:15" ht="142.5" x14ac:dyDescent="0.3">
      <c r="B116" s="13">
        <v>113</v>
      </c>
      <c r="C116" s="17" t="str">
        <f t="shared" si="2"/>
        <v>2021</v>
      </c>
      <c r="D116" s="14" t="s">
        <v>91</v>
      </c>
      <c r="E116" s="14" t="s">
        <v>659</v>
      </c>
      <c r="F116" s="15" t="s">
        <v>757</v>
      </c>
      <c r="G116" s="16">
        <v>2</v>
      </c>
      <c r="H116" s="17">
        <f t="shared" si="3"/>
        <v>1</v>
      </c>
      <c r="I116" s="9"/>
      <c r="J116" s="17">
        <f>IFERROR(IF(VLOOKUP(D:D,'테스트(1회)'!C:G,5, 0)="X",1,0),0)</f>
        <v>1</v>
      </c>
      <c r="K116" s="17">
        <f>IFERROR(IF(VLOOKUP(D:D,'테스트(2회)'!C:G,5, 0)="X",1,0),0)</f>
        <v>0</v>
      </c>
      <c r="L116" s="17">
        <f>IFERROR(IF(VLOOKUP(D:D,'테스트(3회)'!C:G,5, 0)="X",1,0),0)</f>
        <v>0</v>
      </c>
      <c r="M116" s="17">
        <f>IFERROR(IF(VLOOKUP(D:D,'테스트(4회)'!C:G,5, 0)="X",1,0),0)</f>
        <v>0</v>
      </c>
      <c r="N116" s="17">
        <f>IFERROR(IF(VLOOKUP(D:D,'테스트(5회)'!C:G,5, 0)="X",1,0),0)</f>
        <v>0</v>
      </c>
      <c r="O116" s="9"/>
    </row>
    <row r="117" spans="2:15" ht="85.5" x14ac:dyDescent="0.3">
      <c r="B117" s="13">
        <v>114</v>
      </c>
      <c r="C117" s="17" t="str">
        <f t="shared" si="2"/>
        <v>2021</v>
      </c>
      <c r="D117" s="14" t="s">
        <v>92</v>
      </c>
      <c r="E117" s="14" t="s">
        <v>659</v>
      </c>
      <c r="F117" s="15" t="s">
        <v>93</v>
      </c>
      <c r="G117" s="16">
        <v>2</v>
      </c>
      <c r="H117" s="17">
        <f t="shared" si="3"/>
        <v>0</v>
      </c>
      <c r="I117" s="9"/>
      <c r="J117" s="17">
        <f>IFERROR(IF(VLOOKUP(D:D,'테스트(1회)'!C:G,5, 0)="X",1,0),0)</f>
        <v>0</v>
      </c>
      <c r="K117" s="17">
        <f>IFERROR(IF(VLOOKUP(D:D,'테스트(2회)'!C:G,5, 0)="X",1,0),0)</f>
        <v>0</v>
      </c>
      <c r="L117" s="17">
        <f>IFERROR(IF(VLOOKUP(D:D,'테스트(3회)'!C:G,5, 0)="X",1,0),0)</f>
        <v>0</v>
      </c>
      <c r="M117" s="17">
        <f>IFERROR(IF(VLOOKUP(D:D,'테스트(4회)'!C:G,5, 0)="X",1,0),0)</f>
        <v>0</v>
      </c>
      <c r="N117" s="17">
        <f>IFERROR(IF(VLOOKUP(D:D,'테스트(5회)'!C:G,5, 0)="X",1,0),0)</f>
        <v>0</v>
      </c>
      <c r="O117" s="9"/>
    </row>
    <row r="118" spans="2:15" ht="85.5" x14ac:dyDescent="0.3">
      <c r="B118" s="13">
        <v>115</v>
      </c>
      <c r="C118" s="17" t="str">
        <f t="shared" si="2"/>
        <v>2021</v>
      </c>
      <c r="D118" s="14" t="s">
        <v>94</v>
      </c>
      <c r="E118" s="14" t="s">
        <v>659</v>
      </c>
      <c r="F118" s="15" t="s">
        <v>95</v>
      </c>
      <c r="G118" s="16">
        <v>5</v>
      </c>
      <c r="H118" s="17">
        <f t="shared" si="3"/>
        <v>0</v>
      </c>
      <c r="I118" s="9"/>
      <c r="J118" s="17">
        <f>IFERROR(IF(VLOOKUP(D:D,'테스트(1회)'!C:G,5, 0)="X",1,0),0)</f>
        <v>0</v>
      </c>
      <c r="K118" s="17">
        <f>IFERROR(IF(VLOOKUP(D:D,'테스트(2회)'!C:G,5, 0)="X",1,0),0)</f>
        <v>0</v>
      </c>
      <c r="L118" s="17">
        <f>IFERROR(IF(VLOOKUP(D:D,'테스트(3회)'!C:G,5, 0)="X",1,0),0)</f>
        <v>0</v>
      </c>
      <c r="M118" s="17">
        <f>IFERROR(IF(VLOOKUP(D:D,'테스트(4회)'!C:G,5, 0)="X",1,0),0)</f>
        <v>0</v>
      </c>
      <c r="N118" s="17">
        <f>IFERROR(IF(VLOOKUP(D:D,'테스트(5회)'!C:G,5, 0)="X",1,0),0)</f>
        <v>0</v>
      </c>
      <c r="O118" s="9"/>
    </row>
    <row r="119" spans="2:15" ht="156.75" x14ac:dyDescent="0.3">
      <c r="B119" s="13">
        <v>116</v>
      </c>
      <c r="C119" s="17" t="str">
        <f t="shared" si="2"/>
        <v>2020</v>
      </c>
      <c r="D119" s="14" t="s">
        <v>96</v>
      </c>
      <c r="E119" s="14" t="s">
        <v>659</v>
      </c>
      <c r="F119" s="15" t="s">
        <v>756</v>
      </c>
      <c r="G119" s="16">
        <v>3</v>
      </c>
      <c r="H119" s="17">
        <f t="shared" si="3"/>
        <v>0</v>
      </c>
      <c r="I119" s="9"/>
      <c r="J119" s="17">
        <f>IFERROR(IF(VLOOKUP(D:D,'테스트(1회)'!C:G,5, 0)="X",1,0),0)</f>
        <v>0</v>
      </c>
      <c r="K119" s="17">
        <f>IFERROR(IF(VLOOKUP(D:D,'테스트(2회)'!C:G,5, 0)="X",1,0),0)</f>
        <v>0</v>
      </c>
      <c r="L119" s="17">
        <f>IFERROR(IF(VLOOKUP(D:D,'테스트(3회)'!C:G,5, 0)="X",1,0),0)</f>
        <v>0</v>
      </c>
      <c r="M119" s="17">
        <f>IFERROR(IF(VLOOKUP(D:D,'테스트(4회)'!C:G,5, 0)="X",1,0),0)</f>
        <v>0</v>
      </c>
      <c r="N119" s="17">
        <f>IFERROR(IF(VLOOKUP(D:D,'테스트(5회)'!C:G,5, 0)="X",1,0),0)</f>
        <v>0</v>
      </c>
      <c r="O119" s="9"/>
    </row>
    <row r="120" spans="2:15" ht="85.5" x14ac:dyDescent="0.3">
      <c r="B120" s="13">
        <v>117</v>
      </c>
      <c r="C120" s="17" t="str">
        <f t="shared" si="2"/>
        <v>2020</v>
      </c>
      <c r="D120" s="14" t="s">
        <v>97</v>
      </c>
      <c r="E120" s="14" t="s">
        <v>659</v>
      </c>
      <c r="F120" s="15" t="s">
        <v>98</v>
      </c>
      <c r="G120" s="16">
        <v>4</v>
      </c>
      <c r="H120" s="17">
        <f t="shared" si="3"/>
        <v>0</v>
      </c>
      <c r="I120" s="9"/>
      <c r="J120" s="17">
        <f>IFERROR(IF(VLOOKUP(D:D,'테스트(1회)'!C:G,5, 0)="X",1,0),0)</f>
        <v>0</v>
      </c>
      <c r="K120" s="17">
        <f>IFERROR(IF(VLOOKUP(D:D,'테스트(2회)'!C:G,5, 0)="X",1,0),0)</f>
        <v>0</v>
      </c>
      <c r="L120" s="17">
        <f>IFERROR(IF(VLOOKUP(D:D,'테스트(3회)'!C:G,5, 0)="X",1,0),0)</f>
        <v>0</v>
      </c>
      <c r="M120" s="17">
        <f>IFERROR(IF(VLOOKUP(D:D,'테스트(4회)'!C:G,5, 0)="X",1,0),0)</f>
        <v>0</v>
      </c>
      <c r="N120" s="17">
        <f>IFERROR(IF(VLOOKUP(D:D,'테스트(5회)'!C:G,5, 0)="X",1,0),0)</f>
        <v>0</v>
      </c>
      <c r="O120" s="9"/>
    </row>
    <row r="121" spans="2:15" ht="85.5" x14ac:dyDescent="0.3">
      <c r="B121" s="13">
        <v>118</v>
      </c>
      <c r="C121" s="17" t="str">
        <f t="shared" si="2"/>
        <v>2020</v>
      </c>
      <c r="D121" s="14" t="s">
        <v>99</v>
      </c>
      <c r="E121" s="14" t="s">
        <v>659</v>
      </c>
      <c r="F121" s="15" t="s">
        <v>100</v>
      </c>
      <c r="G121" s="16">
        <v>1</v>
      </c>
      <c r="H121" s="17">
        <f t="shared" si="3"/>
        <v>0</v>
      </c>
      <c r="I121" s="9"/>
      <c r="J121" s="17">
        <f>IFERROR(IF(VLOOKUP(D:D,'테스트(1회)'!C:G,5, 0)="X",1,0),0)</f>
        <v>0</v>
      </c>
      <c r="K121" s="17">
        <f>IFERROR(IF(VLOOKUP(D:D,'테스트(2회)'!C:G,5, 0)="X",1,0),0)</f>
        <v>0</v>
      </c>
      <c r="L121" s="17">
        <f>IFERROR(IF(VLOOKUP(D:D,'테스트(3회)'!C:G,5, 0)="X",1,0),0)</f>
        <v>0</v>
      </c>
      <c r="M121" s="17">
        <f>IFERROR(IF(VLOOKUP(D:D,'테스트(4회)'!C:G,5, 0)="X",1,0),0)</f>
        <v>0</v>
      </c>
      <c r="N121" s="17">
        <f>IFERROR(IF(VLOOKUP(D:D,'테스트(5회)'!C:G,5, 0)="X",1,0),0)</f>
        <v>0</v>
      </c>
      <c r="O121" s="9"/>
    </row>
    <row r="122" spans="2:15" ht="85.5" x14ac:dyDescent="0.3">
      <c r="B122" s="13">
        <v>119</v>
      </c>
      <c r="C122" s="17" t="str">
        <f t="shared" si="2"/>
        <v>2020</v>
      </c>
      <c r="D122" s="14" t="s">
        <v>101</v>
      </c>
      <c r="E122" s="14" t="s">
        <v>659</v>
      </c>
      <c r="F122" s="15" t="s">
        <v>102</v>
      </c>
      <c r="G122" s="16">
        <v>3</v>
      </c>
      <c r="H122" s="17">
        <f t="shared" si="3"/>
        <v>0</v>
      </c>
      <c r="I122" s="9"/>
      <c r="J122" s="17">
        <f>IFERROR(IF(VLOOKUP(D:D,'테스트(1회)'!C:G,5, 0)="X",1,0),0)</f>
        <v>0</v>
      </c>
      <c r="K122" s="17">
        <f>IFERROR(IF(VLOOKUP(D:D,'테스트(2회)'!C:G,5, 0)="X",1,0),0)</f>
        <v>0</v>
      </c>
      <c r="L122" s="17">
        <f>IFERROR(IF(VLOOKUP(D:D,'테스트(3회)'!C:G,5, 0)="X",1,0),0)</f>
        <v>0</v>
      </c>
      <c r="M122" s="17">
        <f>IFERROR(IF(VLOOKUP(D:D,'테스트(4회)'!C:G,5, 0)="X",1,0),0)</f>
        <v>0</v>
      </c>
      <c r="N122" s="17">
        <f>IFERROR(IF(VLOOKUP(D:D,'테스트(5회)'!C:G,5, 0)="X",1,0),0)</f>
        <v>0</v>
      </c>
      <c r="O122" s="9"/>
    </row>
    <row r="123" spans="2:15" ht="85.5" x14ac:dyDescent="0.3">
      <c r="B123" s="13">
        <v>120</v>
      </c>
      <c r="C123" s="17" t="str">
        <f t="shared" si="2"/>
        <v>2020</v>
      </c>
      <c r="D123" s="14" t="s">
        <v>103</v>
      </c>
      <c r="E123" s="14" t="s">
        <v>659</v>
      </c>
      <c r="F123" s="15" t="s">
        <v>104</v>
      </c>
      <c r="G123" s="16">
        <v>1</v>
      </c>
      <c r="H123" s="17">
        <f t="shared" si="3"/>
        <v>1</v>
      </c>
      <c r="I123" s="9"/>
      <c r="J123" s="17">
        <f>IFERROR(IF(VLOOKUP(D:D,'테스트(1회)'!C:G,5, 0)="X",1,0),0)</f>
        <v>1</v>
      </c>
      <c r="K123" s="17">
        <f>IFERROR(IF(VLOOKUP(D:D,'테스트(2회)'!C:G,5, 0)="X",1,0),0)</f>
        <v>0</v>
      </c>
      <c r="L123" s="17">
        <f>IFERROR(IF(VLOOKUP(D:D,'테스트(3회)'!C:G,5, 0)="X",1,0),0)</f>
        <v>0</v>
      </c>
      <c r="M123" s="17">
        <f>IFERROR(IF(VLOOKUP(D:D,'테스트(4회)'!C:G,5, 0)="X",1,0),0)</f>
        <v>0</v>
      </c>
      <c r="N123" s="17">
        <f>IFERROR(IF(VLOOKUP(D:D,'테스트(5회)'!C:G,5, 0)="X",1,0),0)</f>
        <v>0</v>
      </c>
      <c r="O123" s="9"/>
    </row>
    <row r="124" spans="2:15" ht="85.5" x14ac:dyDescent="0.3">
      <c r="B124" s="13">
        <v>121</v>
      </c>
      <c r="C124" s="17" t="str">
        <f t="shared" si="2"/>
        <v>2020</v>
      </c>
      <c r="D124" s="14" t="s">
        <v>105</v>
      </c>
      <c r="E124" s="14" t="s">
        <v>659</v>
      </c>
      <c r="F124" s="15" t="s">
        <v>662</v>
      </c>
      <c r="G124" s="16">
        <v>3</v>
      </c>
      <c r="H124" s="17">
        <f t="shared" si="3"/>
        <v>0</v>
      </c>
      <c r="I124" s="9"/>
      <c r="J124" s="17">
        <f>IFERROR(IF(VLOOKUP(D:D,'테스트(1회)'!C:G,5, 0)="X",1,0),0)</f>
        <v>0</v>
      </c>
      <c r="K124" s="17">
        <f>IFERROR(IF(VLOOKUP(D:D,'테스트(2회)'!C:G,5, 0)="X",1,0),0)</f>
        <v>0</v>
      </c>
      <c r="L124" s="17">
        <f>IFERROR(IF(VLOOKUP(D:D,'테스트(3회)'!C:G,5, 0)="X",1,0),0)</f>
        <v>0</v>
      </c>
      <c r="M124" s="17">
        <f>IFERROR(IF(VLOOKUP(D:D,'테스트(4회)'!C:G,5, 0)="X",1,0),0)</f>
        <v>0</v>
      </c>
      <c r="N124" s="17">
        <f>IFERROR(IF(VLOOKUP(D:D,'테스트(5회)'!C:G,5, 0)="X",1,0),0)</f>
        <v>0</v>
      </c>
      <c r="O124" s="9"/>
    </row>
    <row r="125" spans="2:15" ht="85.5" x14ac:dyDescent="0.3">
      <c r="B125" s="13">
        <v>122</v>
      </c>
      <c r="C125" s="17" t="str">
        <f t="shared" si="2"/>
        <v>2020</v>
      </c>
      <c r="D125" s="14" t="s">
        <v>106</v>
      </c>
      <c r="E125" s="14" t="s">
        <v>659</v>
      </c>
      <c r="F125" s="15" t="s">
        <v>107</v>
      </c>
      <c r="G125" s="16">
        <v>2</v>
      </c>
      <c r="H125" s="17">
        <f t="shared" si="3"/>
        <v>0</v>
      </c>
      <c r="I125" s="9"/>
      <c r="J125" s="17">
        <f>IFERROR(IF(VLOOKUP(D:D,'테스트(1회)'!C:G,5, 0)="X",1,0),0)</f>
        <v>0</v>
      </c>
      <c r="K125" s="17">
        <f>IFERROR(IF(VLOOKUP(D:D,'테스트(2회)'!C:G,5, 0)="X",1,0),0)</f>
        <v>0</v>
      </c>
      <c r="L125" s="17">
        <f>IFERROR(IF(VLOOKUP(D:D,'테스트(3회)'!C:G,5, 0)="X",1,0),0)</f>
        <v>0</v>
      </c>
      <c r="M125" s="17">
        <f>IFERROR(IF(VLOOKUP(D:D,'테스트(4회)'!C:G,5, 0)="X",1,0),0)</f>
        <v>0</v>
      </c>
      <c r="N125" s="17">
        <f>IFERROR(IF(VLOOKUP(D:D,'테스트(5회)'!C:G,5, 0)="X",1,0),0)</f>
        <v>0</v>
      </c>
      <c r="O125" s="9"/>
    </row>
    <row r="126" spans="2:15" ht="85.5" x14ac:dyDescent="0.3">
      <c r="B126" s="13">
        <v>123</v>
      </c>
      <c r="C126" s="17" t="str">
        <f t="shared" si="2"/>
        <v>2020</v>
      </c>
      <c r="D126" s="14" t="s">
        <v>108</v>
      </c>
      <c r="E126" s="14" t="s">
        <v>659</v>
      </c>
      <c r="F126" s="15" t="s">
        <v>109</v>
      </c>
      <c r="G126" s="16">
        <v>3</v>
      </c>
      <c r="H126" s="17">
        <f t="shared" si="3"/>
        <v>0</v>
      </c>
      <c r="I126" s="9"/>
      <c r="J126" s="17">
        <f>IFERROR(IF(VLOOKUP(D:D,'테스트(1회)'!C:G,5, 0)="X",1,0),0)</f>
        <v>0</v>
      </c>
      <c r="K126" s="17">
        <f>IFERROR(IF(VLOOKUP(D:D,'테스트(2회)'!C:G,5, 0)="X",1,0),0)</f>
        <v>0</v>
      </c>
      <c r="L126" s="17">
        <f>IFERROR(IF(VLOOKUP(D:D,'테스트(3회)'!C:G,5, 0)="X",1,0),0)</f>
        <v>0</v>
      </c>
      <c r="M126" s="17">
        <f>IFERROR(IF(VLOOKUP(D:D,'테스트(4회)'!C:G,5, 0)="X",1,0),0)</f>
        <v>0</v>
      </c>
      <c r="N126" s="17">
        <f>IFERROR(IF(VLOOKUP(D:D,'테스트(5회)'!C:G,5, 0)="X",1,0),0)</f>
        <v>0</v>
      </c>
      <c r="O126" s="9"/>
    </row>
    <row r="127" spans="2:15" ht="85.5" x14ac:dyDescent="0.3">
      <c r="B127" s="13">
        <v>124</v>
      </c>
      <c r="C127" s="17" t="str">
        <f t="shared" si="2"/>
        <v>2020</v>
      </c>
      <c r="D127" s="14" t="s">
        <v>110</v>
      </c>
      <c r="E127" s="14" t="s">
        <v>659</v>
      </c>
      <c r="F127" s="15" t="s">
        <v>111</v>
      </c>
      <c r="G127" s="16">
        <v>1</v>
      </c>
      <c r="H127" s="17">
        <f t="shared" si="3"/>
        <v>0</v>
      </c>
      <c r="I127" s="9"/>
      <c r="J127" s="17">
        <f>IFERROR(IF(VLOOKUP(D:D,'테스트(1회)'!C:G,5, 0)="X",1,0),0)</f>
        <v>0</v>
      </c>
      <c r="K127" s="17">
        <f>IFERROR(IF(VLOOKUP(D:D,'테스트(2회)'!C:G,5, 0)="X",1,0),0)</f>
        <v>0</v>
      </c>
      <c r="L127" s="17">
        <f>IFERROR(IF(VLOOKUP(D:D,'테스트(3회)'!C:G,5, 0)="X",1,0),0)</f>
        <v>0</v>
      </c>
      <c r="M127" s="17">
        <f>IFERROR(IF(VLOOKUP(D:D,'테스트(4회)'!C:G,5, 0)="X",1,0),0)</f>
        <v>0</v>
      </c>
      <c r="N127" s="17">
        <f>IFERROR(IF(VLOOKUP(D:D,'테스트(5회)'!C:G,5, 0)="X",1,0),0)</f>
        <v>0</v>
      </c>
      <c r="O127" s="9"/>
    </row>
    <row r="128" spans="2:15" ht="85.5" x14ac:dyDescent="0.3">
      <c r="B128" s="13">
        <v>125</v>
      </c>
      <c r="C128" s="17" t="str">
        <f t="shared" si="2"/>
        <v>2020</v>
      </c>
      <c r="D128" s="14" t="s">
        <v>112</v>
      </c>
      <c r="E128" s="14" t="s">
        <v>659</v>
      </c>
      <c r="F128" s="15" t="s">
        <v>113</v>
      </c>
      <c r="G128" s="16">
        <v>5</v>
      </c>
      <c r="H128" s="17">
        <f t="shared" si="3"/>
        <v>0</v>
      </c>
      <c r="I128" s="9"/>
      <c r="J128" s="17">
        <f>IFERROR(IF(VLOOKUP(D:D,'테스트(1회)'!C:G,5, 0)="X",1,0),0)</f>
        <v>0</v>
      </c>
      <c r="K128" s="17">
        <f>IFERROR(IF(VLOOKUP(D:D,'테스트(2회)'!C:G,5, 0)="X",1,0),0)</f>
        <v>0</v>
      </c>
      <c r="L128" s="17">
        <f>IFERROR(IF(VLOOKUP(D:D,'테스트(3회)'!C:G,5, 0)="X",1,0),0)</f>
        <v>0</v>
      </c>
      <c r="M128" s="17">
        <f>IFERROR(IF(VLOOKUP(D:D,'테스트(4회)'!C:G,5, 0)="X",1,0),0)</f>
        <v>0</v>
      </c>
      <c r="N128" s="17">
        <f>IFERROR(IF(VLOOKUP(D:D,'테스트(5회)'!C:G,5, 0)="X",1,0),0)</f>
        <v>0</v>
      </c>
      <c r="O128" s="9"/>
    </row>
    <row r="129" spans="2:15" ht="85.5" x14ac:dyDescent="0.3">
      <c r="B129" s="13">
        <v>126</v>
      </c>
      <c r="C129" s="17" t="str">
        <f t="shared" si="2"/>
        <v>2020</v>
      </c>
      <c r="D129" s="14" t="s">
        <v>114</v>
      </c>
      <c r="E129" s="14" t="s">
        <v>659</v>
      </c>
      <c r="F129" s="15" t="s">
        <v>115</v>
      </c>
      <c r="G129" s="16">
        <v>1</v>
      </c>
      <c r="H129" s="17">
        <f t="shared" si="3"/>
        <v>0</v>
      </c>
      <c r="I129" s="9"/>
      <c r="J129" s="17">
        <f>IFERROR(IF(VLOOKUP(D:D,'테스트(1회)'!C:G,5, 0)="X",1,0),0)</f>
        <v>0</v>
      </c>
      <c r="K129" s="17">
        <f>IFERROR(IF(VLOOKUP(D:D,'테스트(2회)'!C:G,5, 0)="X",1,0),0)</f>
        <v>0</v>
      </c>
      <c r="L129" s="17">
        <f>IFERROR(IF(VLOOKUP(D:D,'테스트(3회)'!C:G,5, 0)="X",1,0),0)</f>
        <v>0</v>
      </c>
      <c r="M129" s="17">
        <f>IFERROR(IF(VLOOKUP(D:D,'테스트(4회)'!C:G,5, 0)="X",1,0),0)</f>
        <v>0</v>
      </c>
      <c r="N129" s="17">
        <f>IFERROR(IF(VLOOKUP(D:D,'테스트(5회)'!C:G,5, 0)="X",1,0),0)</f>
        <v>0</v>
      </c>
      <c r="O129" s="9"/>
    </row>
    <row r="130" spans="2:15" ht="85.5" x14ac:dyDescent="0.3">
      <c r="B130" s="13">
        <v>127</v>
      </c>
      <c r="C130" s="17" t="str">
        <f t="shared" si="2"/>
        <v>2020</v>
      </c>
      <c r="D130" s="14" t="s">
        <v>116</v>
      </c>
      <c r="E130" s="14" t="s">
        <v>659</v>
      </c>
      <c r="F130" s="15" t="s">
        <v>665</v>
      </c>
      <c r="G130" s="16">
        <v>4</v>
      </c>
      <c r="H130" s="17">
        <f t="shared" si="3"/>
        <v>1</v>
      </c>
      <c r="I130" s="9"/>
      <c r="J130" s="17">
        <f>IFERROR(IF(VLOOKUP(D:D,'테스트(1회)'!C:G,5, 0)="X",1,0),0)</f>
        <v>1</v>
      </c>
      <c r="K130" s="17">
        <f>IFERROR(IF(VLOOKUP(D:D,'테스트(2회)'!C:G,5, 0)="X",1,0),0)</f>
        <v>0</v>
      </c>
      <c r="L130" s="17">
        <f>IFERROR(IF(VLOOKUP(D:D,'테스트(3회)'!C:G,5, 0)="X",1,0),0)</f>
        <v>0</v>
      </c>
      <c r="M130" s="17">
        <f>IFERROR(IF(VLOOKUP(D:D,'테스트(4회)'!C:G,5, 0)="X",1,0),0)</f>
        <v>0</v>
      </c>
      <c r="N130" s="17">
        <f>IFERROR(IF(VLOOKUP(D:D,'테스트(5회)'!C:G,5, 0)="X",1,0),0)</f>
        <v>0</v>
      </c>
      <c r="O130" s="9"/>
    </row>
    <row r="131" spans="2:15" ht="85.5" x14ac:dyDescent="0.3">
      <c r="B131" s="13">
        <v>128</v>
      </c>
      <c r="C131" s="17" t="str">
        <f t="shared" si="2"/>
        <v>2020</v>
      </c>
      <c r="D131" s="14" t="s">
        <v>117</v>
      </c>
      <c r="E131" s="14" t="s">
        <v>659</v>
      </c>
      <c r="F131" s="15" t="s">
        <v>118</v>
      </c>
      <c r="G131" s="16">
        <v>2</v>
      </c>
      <c r="H131" s="17">
        <f t="shared" si="3"/>
        <v>1</v>
      </c>
      <c r="I131" s="9"/>
      <c r="J131" s="17">
        <f>IFERROR(IF(VLOOKUP(D:D,'테스트(1회)'!C:G,5, 0)="X",1,0),0)</f>
        <v>1</v>
      </c>
      <c r="K131" s="17">
        <f>IFERROR(IF(VLOOKUP(D:D,'테스트(2회)'!C:G,5, 0)="X",1,0),0)</f>
        <v>0</v>
      </c>
      <c r="L131" s="17">
        <f>IFERROR(IF(VLOOKUP(D:D,'테스트(3회)'!C:G,5, 0)="X",1,0),0)</f>
        <v>0</v>
      </c>
      <c r="M131" s="17">
        <f>IFERROR(IF(VLOOKUP(D:D,'테스트(4회)'!C:G,5, 0)="X",1,0),0)</f>
        <v>0</v>
      </c>
      <c r="N131" s="17">
        <f>IFERROR(IF(VLOOKUP(D:D,'테스트(5회)'!C:G,5, 0)="X",1,0),0)</f>
        <v>0</v>
      </c>
      <c r="O131" s="9"/>
    </row>
    <row r="132" spans="2:15" ht="85.5" x14ac:dyDescent="0.3">
      <c r="B132" s="13">
        <v>129</v>
      </c>
      <c r="C132" s="17" t="str">
        <f t="shared" ref="C132:C195" si="4">MID(D132,3,4)</f>
        <v>2020</v>
      </c>
      <c r="D132" s="14" t="s">
        <v>119</v>
      </c>
      <c r="E132" s="14" t="s">
        <v>659</v>
      </c>
      <c r="F132" s="15" t="s">
        <v>120</v>
      </c>
      <c r="G132" s="16">
        <v>2</v>
      </c>
      <c r="H132" s="17">
        <f t="shared" ref="H132:H195" si="5">SUM(J132:N132)</f>
        <v>0</v>
      </c>
      <c r="I132" s="9"/>
      <c r="J132" s="17">
        <f>IFERROR(IF(VLOOKUP(D:D,'테스트(1회)'!C:G,5, 0)="X",1,0),0)</f>
        <v>0</v>
      </c>
      <c r="K132" s="17">
        <f>IFERROR(IF(VLOOKUP(D:D,'테스트(2회)'!C:G,5, 0)="X",1,0),0)</f>
        <v>0</v>
      </c>
      <c r="L132" s="17">
        <f>IFERROR(IF(VLOOKUP(D:D,'테스트(3회)'!C:G,5, 0)="X",1,0),0)</f>
        <v>0</v>
      </c>
      <c r="M132" s="17">
        <f>IFERROR(IF(VLOOKUP(D:D,'테스트(4회)'!C:G,5, 0)="X",1,0),0)</f>
        <v>0</v>
      </c>
      <c r="N132" s="17">
        <f>IFERROR(IF(VLOOKUP(D:D,'테스트(5회)'!C:G,5, 0)="X",1,0),0)</f>
        <v>0</v>
      </c>
      <c r="O132" s="9"/>
    </row>
    <row r="133" spans="2:15" ht="142.5" x14ac:dyDescent="0.3">
      <c r="B133" s="13">
        <v>130</v>
      </c>
      <c r="C133" s="17" t="str">
        <f t="shared" si="4"/>
        <v>2020</v>
      </c>
      <c r="D133" s="14" t="s">
        <v>121</v>
      </c>
      <c r="E133" s="14" t="s">
        <v>659</v>
      </c>
      <c r="F133" s="15" t="s">
        <v>1058</v>
      </c>
      <c r="G133" s="16">
        <v>5</v>
      </c>
      <c r="H133" s="17">
        <f t="shared" si="5"/>
        <v>0</v>
      </c>
      <c r="I133" s="9"/>
      <c r="J133" s="17">
        <f>IFERROR(IF(VLOOKUP(D:D,'테스트(1회)'!C:G,5, 0)="X",1,0),0)</f>
        <v>0</v>
      </c>
      <c r="K133" s="17">
        <f>IFERROR(IF(VLOOKUP(D:D,'테스트(2회)'!C:G,5, 0)="X",1,0),0)</f>
        <v>0</v>
      </c>
      <c r="L133" s="17">
        <f>IFERROR(IF(VLOOKUP(D:D,'테스트(3회)'!C:G,5, 0)="X",1,0),0)</f>
        <v>0</v>
      </c>
      <c r="M133" s="17">
        <f>IFERROR(IF(VLOOKUP(D:D,'테스트(4회)'!C:G,5, 0)="X",1,0),0)</f>
        <v>0</v>
      </c>
      <c r="N133" s="17">
        <f>IFERROR(IF(VLOOKUP(D:D,'테스트(5회)'!C:G,5, 0)="X",1,0),0)</f>
        <v>0</v>
      </c>
      <c r="O133" s="9"/>
    </row>
    <row r="134" spans="2:15" ht="99.75" x14ac:dyDescent="0.3">
      <c r="B134" s="13">
        <v>131</v>
      </c>
      <c r="C134" s="17" t="str">
        <f t="shared" si="4"/>
        <v>2020</v>
      </c>
      <c r="D134" s="14" t="s">
        <v>122</v>
      </c>
      <c r="E134" s="14" t="s">
        <v>659</v>
      </c>
      <c r="F134" s="15" t="s">
        <v>123</v>
      </c>
      <c r="G134" s="16">
        <v>2</v>
      </c>
      <c r="H134" s="17">
        <f t="shared" si="5"/>
        <v>1</v>
      </c>
      <c r="I134" s="9"/>
      <c r="J134" s="17">
        <f>IFERROR(IF(VLOOKUP(D:D,'테스트(1회)'!C:G,5, 0)="X",1,0),0)</f>
        <v>1</v>
      </c>
      <c r="K134" s="17">
        <f>IFERROR(IF(VLOOKUP(D:D,'테스트(2회)'!C:G,5, 0)="X",1,0),0)</f>
        <v>0</v>
      </c>
      <c r="L134" s="17">
        <f>IFERROR(IF(VLOOKUP(D:D,'테스트(3회)'!C:G,5, 0)="X",1,0),0)</f>
        <v>0</v>
      </c>
      <c r="M134" s="17">
        <f>IFERROR(IF(VLOOKUP(D:D,'테스트(4회)'!C:G,5, 0)="X",1,0),0)</f>
        <v>0</v>
      </c>
      <c r="N134" s="17">
        <f>IFERROR(IF(VLOOKUP(D:D,'테스트(5회)'!C:G,5, 0)="X",1,0),0)</f>
        <v>0</v>
      </c>
      <c r="O134" s="9"/>
    </row>
    <row r="135" spans="2:15" ht="199.5" x14ac:dyDescent="0.3">
      <c r="B135" s="13">
        <v>132</v>
      </c>
      <c r="C135" s="17" t="str">
        <f t="shared" si="4"/>
        <v>2020</v>
      </c>
      <c r="D135" s="14" t="s">
        <v>124</v>
      </c>
      <c r="E135" s="14" t="s">
        <v>659</v>
      </c>
      <c r="F135" s="15" t="s">
        <v>663</v>
      </c>
      <c r="G135" s="16">
        <v>3</v>
      </c>
      <c r="H135" s="17">
        <f t="shared" si="5"/>
        <v>1</v>
      </c>
      <c r="I135" s="9"/>
      <c r="J135" s="17">
        <f>IFERROR(IF(VLOOKUP(D:D,'테스트(1회)'!C:G,5, 0)="X",1,0),0)</f>
        <v>1</v>
      </c>
      <c r="K135" s="17">
        <f>IFERROR(IF(VLOOKUP(D:D,'테스트(2회)'!C:G,5, 0)="X",1,0),0)</f>
        <v>0</v>
      </c>
      <c r="L135" s="17">
        <f>IFERROR(IF(VLOOKUP(D:D,'테스트(3회)'!C:G,5, 0)="X",1,0),0)</f>
        <v>0</v>
      </c>
      <c r="M135" s="17">
        <f>IFERROR(IF(VLOOKUP(D:D,'테스트(4회)'!C:G,5, 0)="X",1,0),0)</f>
        <v>0</v>
      </c>
      <c r="N135" s="17">
        <f>IFERROR(IF(VLOOKUP(D:D,'테스트(5회)'!C:G,5, 0)="X",1,0),0)</f>
        <v>0</v>
      </c>
      <c r="O135" s="9"/>
    </row>
    <row r="136" spans="2:15" ht="85.5" x14ac:dyDescent="0.3">
      <c r="B136" s="13">
        <v>133</v>
      </c>
      <c r="C136" s="17" t="str">
        <f t="shared" si="4"/>
        <v>2020</v>
      </c>
      <c r="D136" s="14" t="s">
        <v>125</v>
      </c>
      <c r="E136" s="14" t="s">
        <v>659</v>
      </c>
      <c r="F136" s="15" t="s">
        <v>664</v>
      </c>
      <c r="G136" s="16">
        <v>5</v>
      </c>
      <c r="H136" s="17">
        <f t="shared" si="5"/>
        <v>1</v>
      </c>
      <c r="I136" s="9"/>
      <c r="J136" s="17">
        <f>IFERROR(IF(VLOOKUP(D:D,'테스트(1회)'!C:G,5, 0)="X",1,0),0)</f>
        <v>1</v>
      </c>
      <c r="K136" s="17">
        <f>IFERROR(IF(VLOOKUP(D:D,'테스트(2회)'!C:G,5, 0)="X",1,0),0)</f>
        <v>0</v>
      </c>
      <c r="L136" s="17">
        <f>IFERROR(IF(VLOOKUP(D:D,'테스트(3회)'!C:G,5, 0)="X",1,0),0)</f>
        <v>0</v>
      </c>
      <c r="M136" s="17">
        <f>IFERROR(IF(VLOOKUP(D:D,'테스트(4회)'!C:G,5, 0)="X",1,0),0)</f>
        <v>0</v>
      </c>
      <c r="N136" s="17">
        <f>IFERROR(IF(VLOOKUP(D:D,'테스트(5회)'!C:G,5, 0)="X",1,0),0)</f>
        <v>0</v>
      </c>
      <c r="O136" s="9"/>
    </row>
    <row r="137" spans="2:15" ht="114" x14ac:dyDescent="0.3">
      <c r="B137" s="13">
        <v>134</v>
      </c>
      <c r="C137" s="17" t="str">
        <f t="shared" si="4"/>
        <v>2020</v>
      </c>
      <c r="D137" s="14" t="s">
        <v>126</v>
      </c>
      <c r="E137" s="14" t="s">
        <v>659</v>
      </c>
      <c r="F137" s="15" t="s">
        <v>127</v>
      </c>
      <c r="G137" s="16">
        <v>4</v>
      </c>
      <c r="H137" s="17">
        <f t="shared" si="5"/>
        <v>1</v>
      </c>
      <c r="I137" s="9"/>
      <c r="J137" s="17">
        <f>IFERROR(IF(VLOOKUP(D:D,'테스트(1회)'!C:G,5, 0)="X",1,0),0)</f>
        <v>1</v>
      </c>
      <c r="K137" s="17">
        <f>IFERROR(IF(VLOOKUP(D:D,'테스트(2회)'!C:G,5, 0)="X",1,0),0)</f>
        <v>0</v>
      </c>
      <c r="L137" s="17">
        <f>IFERROR(IF(VLOOKUP(D:D,'테스트(3회)'!C:G,5, 0)="X",1,0),0)</f>
        <v>0</v>
      </c>
      <c r="M137" s="17">
        <f>IFERROR(IF(VLOOKUP(D:D,'테스트(4회)'!C:G,5, 0)="X",1,0),0)</f>
        <v>0</v>
      </c>
      <c r="N137" s="17">
        <f>IFERROR(IF(VLOOKUP(D:D,'테스트(5회)'!C:G,5, 0)="X",1,0),0)</f>
        <v>0</v>
      </c>
      <c r="O137" s="9"/>
    </row>
    <row r="138" spans="2:15" ht="85.5" x14ac:dyDescent="0.3">
      <c r="B138" s="13">
        <v>135</v>
      </c>
      <c r="C138" s="17" t="str">
        <f t="shared" si="4"/>
        <v>2020</v>
      </c>
      <c r="D138" s="14" t="s">
        <v>128</v>
      </c>
      <c r="E138" s="14" t="s">
        <v>659</v>
      </c>
      <c r="F138" s="15" t="s">
        <v>129</v>
      </c>
      <c r="G138" s="16">
        <v>4</v>
      </c>
      <c r="H138" s="17">
        <f t="shared" si="5"/>
        <v>1</v>
      </c>
      <c r="I138" s="9"/>
      <c r="J138" s="17">
        <f>IFERROR(IF(VLOOKUP(D:D,'테스트(1회)'!C:G,5, 0)="X",1,0),0)</f>
        <v>1</v>
      </c>
      <c r="K138" s="17">
        <f>IFERROR(IF(VLOOKUP(D:D,'테스트(2회)'!C:G,5, 0)="X",1,0),0)</f>
        <v>0</v>
      </c>
      <c r="L138" s="17">
        <f>IFERROR(IF(VLOOKUP(D:D,'테스트(3회)'!C:G,5, 0)="X",1,0),0)</f>
        <v>0</v>
      </c>
      <c r="M138" s="17">
        <f>IFERROR(IF(VLOOKUP(D:D,'테스트(4회)'!C:G,5, 0)="X",1,0),0)</f>
        <v>0</v>
      </c>
      <c r="N138" s="17">
        <f>IFERROR(IF(VLOOKUP(D:D,'테스트(5회)'!C:G,5, 0)="X",1,0),0)</f>
        <v>0</v>
      </c>
      <c r="O138" s="9"/>
    </row>
    <row r="139" spans="2:15" ht="85.5" x14ac:dyDescent="0.3">
      <c r="B139" s="13">
        <v>136</v>
      </c>
      <c r="C139" s="17" t="str">
        <f t="shared" si="4"/>
        <v>2020</v>
      </c>
      <c r="D139" s="14" t="s">
        <v>130</v>
      </c>
      <c r="E139" s="14" t="s">
        <v>659</v>
      </c>
      <c r="F139" s="15" t="s">
        <v>131</v>
      </c>
      <c r="G139" s="16">
        <v>5</v>
      </c>
      <c r="H139" s="17">
        <f t="shared" si="5"/>
        <v>1</v>
      </c>
      <c r="I139" s="9"/>
      <c r="J139" s="17">
        <f>IFERROR(IF(VLOOKUP(D:D,'테스트(1회)'!C:G,5, 0)="X",1,0),0)</f>
        <v>1</v>
      </c>
      <c r="K139" s="17">
        <f>IFERROR(IF(VLOOKUP(D:D,'테스트(2회)'!C:G,5, 0)="X",1,0),0)</f>
        <v>0</v>
      </c>
      <c r="L139" s="17">
        <f>IFERROR(IF(VLOOKUP(D:D,'테스트(3회)'!C:G,5, 0)="X",1,0),0)</f>
        <v>0</v>
      </c>
      <c r="M139" s="17">
        <f>IFERROR(IF(VLOOKUP(D:D,'테스트(4회)'!C:G,5, 0)="X",1,0),0)</f>
        <v>0</v>
      </c>
      <c r="N139" s="17">
        <f>IFERROR(IF(VLOOKUP(D:D,'테스트(5회)'!C:G,5, 0)="X",1,0),0)</f>
        <v>0</v>
      </c>
      <c r="O139" s="9"/>
    </row>
    <row r="140" spans="2:15" ht="85.5" x14ac:dyDescent="0.3">
      <c r="B140" s="13">
        <v>137</v>
      </c>
      <c r="C140" s="17" t="str">
        <f t="shared" si="4"/>
        <v>2020</v>
      </c>
      <c r="D140" s="14" t="s">
        <v>132</v>
      </c>
      <c r="E140" s="14" t="s">
        <v>659</v>
      </c>
      <c r="F140" s="15" t="s">
        <v>133</v>
      </c>
      <c r="G140" s="16">
        <v>5</v>
      </c>
      <c r="H140" s="17">
        <f t="shared" si="5"/>
        <v>1</v>
      </c>
      <c r="I140" s="9"/>
      <c r="J140" s="17">
        <f>IFERROR(IF(VLOOKUP(D:D,'테스트(1회)'!C:G,5, 0)="X",1,0),0)</f>
        <v>1</v>
      </c>
      <c r="K140" s="17">
        <f>IFERROR(IF(VLOOKUP(D:D,'테스트(2회)'!C:G,5, 0)="X",1,0),0)</f>
        <v>0</v>
      </c>
      <c r="L140" s="17">
        <f>IFERROR(IF(VLOOKUP(D:D,'테스트(3회)'!C:G,5, 0)="X",1,0),0)</f>
        <v>0</v>
      </c>
      <c r="M140" s="17">
        <f>IFERROR(IF(VLOOKUP(D:D,'테스트(4회)'!C:G,5, 0)="X",1,0),0)</f>
        <v>0</v>
      </c>
      <c r="N140" s="17">
        <f>IFERROR(IF(VLOOKUP(D:D,'테스트(5회)'!C:G,5, 0)="X",1,0),0)</f>
        <v>0</v>
      </c>
      <c r="O140" s="9"/>
    </row>
    <row r="141" spans="2:15" ht="156.75" x14ac:dyDescent="0.3">
      <c r="B141" s="13">
        <v>138</v>
      </c>
      <c r="C141" s="17" t="str">
        <f t="shared" si="4"/>
        <v>2020</v>
      </c>
      <c r="D141" s="14" t="s">
        <v>134</v>
      </c>
      <c r="E141" s="14" t="s">
        <v>659</v>
      </c>
      <c r="F141" s="15" t="s">
        <v>755</v>
      </c>
      <c r="G141" s="16">
        <v>4</v>
      </c>
      <c r="H141" s="17">
        <f t="shared" si="5"/>
        <v>0</v>
      </c>
      <c r="I141" s="9"/>
      <c r="J141" s="17">
        <f>IFERROR(IF(VLOOKUP(D:D,'테스트(1회)'!C:G,5, 0)="X",1,0),0)</f>
        <v>0</v>
      </c>
      <c r="K141" s="17">
        <f>IFERROR(IF(VLOOKUP(D:D,'테스트(2회)'!C:G,5, 0)="X",1,0),0)</f>
        <v>0</v>
      </c>
      <c r="L141" s="17">
        <f>IFERROR(IF(VLOOKUP(D:D,'테스트(3회)'!C:G,5, 0)="X",1,0),0)</f>
        <v>0</v>
      </c>
      <c r="M141" s="17">
        <f>IFERROR(IF(VLOOKUP(D:D,'테스트(4회)'!C:G,5, 0)="X",1,0),0)</f>
        <v>0</v>
      </c>
      <c r="N141" s="17">
        <f>IFERROR(IF(VLOOKUP(D:D,'테스트(5회)'!C:G,5, 0)="X",1,0),0)</f>
        <v>0</v>
      </c>
      <c r="O141" s="9"/>
    </row>
    <row r="142" spans="2:15" ht="85.5" x14ac:dyDescent="0.3">
      <c r="B142" s="13">
        <v>139</v>
      </c>
      <c r="C142" s="17" t="str">
        <f t="shared" si="4"/>
        <v>2020</v>
      </c>
      <c r="D142" s="14" t="s">
        <v>135</v>
      </c>
      <c r="E142" s="14" t="s">
        <v>659</v>
      </c>
      <c r="F142" s="15" t="s">
        <v>136</v>
      </c>
      <c r="G142" s="16">
        <v>1</v>
      </c>
      <c r="H142" s="17">
        <f t="shared" si="5"/>
        <v>0</v>
      </c>
      <c r="I142" s="9"/>
      <c r="J142" s="17">
        <f>IFERROR(IF(VLOOKUP(D:D,'테스트(1회)'!C:G,5, 0)="X",1,0),0)</f>
        <v>0</v>
      </c>
      <c r="K142" s="17">
        <f>IFERROR(IF(VLOOKUP(D:D,'테스트(2회)'!C:G,5, 0)="X",1,0),0)</f>
        <v>0</v>
      </c>
      <c r="L142" s="17">
        <f>IFERROR(IF(VLOOKUP(D:D,'테스트(3회)'!C:G,5, 0)="X",1,0),0)</f>
        <v>0</v>
      </c>
      <c r="M142" s="17">
        <f>IFERROR(IF(VLOOKUP(D:D,'테스트(4회)'!C:G,5, 0)="X",1,0),0)</f>
        <v>0</v>
      </c>
      <c r="N142" s="17">
        <f>IFERROR(IF(VLOOKUP(D:D,'테스트(5회)'!C:G,5, 0)="X",1,0),0)</f>
        <v>0</v>
      </c>
      <c r="O142" s="9"/>
    </row>
    <row r="143" spans="2:15" ht="99.75" x14ac:dyDescent="0.3">
      <c r="B143" s="13">
        <v>140</v>
      </c>
      <c r="C143" s="17" t="str">
        <f t="shared" si="4"/>
        <v>2020</v>
      </c>
      <c r="D143" s="14" t="s">
        <v>137</v>
      </c>
      <c r="E143" s="14" t="s">
        <v>659</v>
      </c>
      <c r="F143" s="15" t="s">
        <v>780</v>
      </c>
      <c r="G143" s="16">
        <v>3</v>
      </c>
      <c r="H143" s="17">
        <f t="shared" si="5"/>
        <v>0</v>
      </c>
      <c r="I143" s="9"/>
      <c r="J143" s="17">
        <f>IFERROR(IF(VLOOKUP(D:D,'테스트(1회)'!C:G,5, 0)="X",1,0),0)</f>
        <v>0</v>
      </c>
      <c r="K143" s="17">
        <f>IFERROR(IF(VLOOKUP(D:D,'테스트(2회)'!C:G,5, 0)="X",1,0),0)</f>
        <v>0</v>
      </c>
      <c r="L143" s="17">
        <f>IFERROR(IF(VLOOKUP(D:D,'테스트(3회)'!C:G,5, 0)="X",1,0),0)</f>
        <v>0</v>
      </c>
      <c r="M143" s="17">
        <f>IFERROR(IF(VLOOKUP(D:D,'테스트(4회)'!C:G,5, 0)="X",1,0),0)</f>
        <v>0</v>
      </c>
      <c r="N143" s="17">
        <f>IFERROR(IF(VLOOKUP(D:D,'테스트(5회)'!C:G,5, 0)="X",1,0),0)</f>
        <v>0</v>
      </c>
      <c r="O143" s="9"/>
    </row>
    <row r="144" spans="2:15" ht="85.5" x14ac:dyDescent="0.3">
      <c r="B144" s="13">
        <v>141</v>
      </c>
      <c r="C144" s="17" t="str">
        <f t="shared" si="4"/>
        <v>2019</v>
      </c>
      <c r="D144" s="14" t="s">
        <v>138</v>
      </c>
      <c r="E144" s="14" t="s">
        <v>659</v>
      </c>
      <c r="F144" s="15" t="s">
        <v>139</v>
      </c>
      <c r="G144" s="16">
        <v>3</v>
      </c>
      <c r="H144" s="17">
        <f t="shared" si="5"/>
        <v>0</v>
      </c>
      <c r="I144" s="9"/>
      <c r="J144" s="17">
        <f>IFERROR(IF(VLOOKUP(D:D,'테스트(1회)'!C:G,5, 0)="X",1,0),0)</f>
        <v>0</v>
      </c>
      <c r="K144" s="17">
        <f>IFERROR(IF(VLOOKUP(D:D,'테스트(2회)'!C:G,5, 0)="X",1,0),0)</f>
        <v>0</v>
      </c>
      <c r="L144" s="17">
        <f>IFERROR(IF(VLOOKUP(D:D,'테스트(3회)'!C:G,5, 0)="X",1,0),0)</f>
        <v>0</v>
      </c>
      <c r="M144" s="17">
        <f>IFERROR(IF(VLOOKUP(D:D,'테스트(4회)'!C:G,5, 0)="X",1,0),0)</f>
        <v>0</v>
      </c>
      <c r="N144" s="17">
        <f>IFERROR(IF(VLOOKUP(D:D,'테스트(5회)'!C:G,5, 0)="X",1,0),0)</f>
        <v>0</v>
      </c>
      <c r="O144" s="9"/>
    </row>
    <row r="145" spans="2:15" ht="85.5" x14ac:dyDescent="0.3">
      <c r="B145" s="13">
        <v>142</v>
      </c>
      <c r="C145" s="17" t="str">
        <f t="shared" si="4"/>
        <v>2019</v>
      </c>
      <c r="D145" s="14" t="s">
        <v>140</v>
      </c>
      <c r="E145" s="14" t="s">
        <v>659</v>
      </c>
      <c r="F145" s="15" t="s">
        <v>141</v>
      </c>
      <c r="G145" s="16">
        <v>4</v>
      </c>
      <c r="H145" s="17">
        <f t="shared" si="5"/>
        <v>0</v>
      </c>
      <c r="I145" s="9"/>
      <c r="J145" s="17">
        <f>IFERROR(IF(VLOOKUP(D:D,'테스트(1회)'!C:G,5, 0)="X",1,0),0)</f>
        <v>0</v>
      </c>
      <c r="K145" s="17">
        <f>IFERROR(IF(VLOOKUP(D:D,'테스트(2회)'!C:G,5, 0)="X",1,0),0)</f>
        <v>0</v>
      </c>
      <c r="L145" s="17">
        <f>IFERROR(IF(VLOOKUP(D:D,'테스트(3회)'!C:G,5, 0)="X",1,0),0)</f>
        <v>0</v>
      </c>
      <c r="M145" s="17">
        <f>IFERROR(IF(VLOOKUP(D:D,'테스트(4회)'!C:G,5, 0)="X",1,0),0)</f>
        <v>0</v>
      </c>
      <c r="N145" s="17">
        <f>IFERROR(IF(VLOOKUP(D:D,'테스트(5회)'!C:G,5, 0)="X",1,0),0)</f>
        <v>0</v>
      </c>
      <c r="O145" s="9"/>
    </row>
    <row r="146" spans="2:15" ht="85.5" x14ac:dyDescent="0.3">
      <c r="B146" s="13">
        <v>143</v>
      </c>
      <c r="C146" s="17" t="str">
        <f t="shared" si="4"/>
        <v>2019</v>
      </c>
      <c r="D146" s="14" t="s">
        <v>142</v>
      </c>
      <c r="E146" s="14" t="s">
        <v>659</v>
      </c>
      <c r="F146" s="15" t="s">
        <v>143</v>
      </c>
      <c r="G146" s="16">
        <v>3</v>
      </c>
      <c r="H146" s="17">
        <f t="shared" si="5"/>
        <v>0</v>
      </c>
      <c r="I146" s="9"/>
      <c r="J146" s="17">
        <f>IFERROR(IF(VLOOKUP(D:D,'테스트(1회)'!C:G,5, 0)="X",1,0),0)</f>
        <v>0</v>
      </c>
      <c r="K146" s="17">
        <f>IFERROR(IF(VLOOKUP(D:D,'테스트(2회)'!C:G,5, 0)="X",1,0),0)</f>
        <v>0</v>
      </c>
      <c r="L146" s="17">
        <f>IFERROR(IF(VLOOKUP(D:D,'테스트(3회)'!C:G,5, 0)="X",1,0),0)</f>
        <v>0</v>
      </c>
      <c r="M146" s="17">
        <f>IFERROR(IF(VLOOKUP(D:D,'테스트(4회)'!C:G,5, 0)="X",1,0),0)</f>
        <v>0</v>
      </c>
      <c r="N146" s="17">
        <f>IFERROR(IF(VLOOKUP(D:D,'테스트(5회)'!C:G,5, 0)="X",1,0),0)</f>
        <v>0</v>
      </c>
      <c r="O146" s="9"/>
    </row>
    <row r="147" spans="2:15" ht="85.5" x14ac:dyDescent="0.3">
      <c r="B147" s="13">
        <v>144</v>
      </c>
      <c r="C147" s="17" t="str">
        <f t="shared" si="4"/>
        <v>2019</v>
      </c>
      <c r="D147" s="14" t="s">
        <v>144</v>
      </c>
      <c r="E147" s="14" t="s">
        <v>659</v>
      </c>
      <c r="F147" s="15" t="s">
        <v>145</v>
      </c>
      <c r="G147" s="16">
        <v>4</v>
      </c>
      <c r="H147" s="17">
        <f t="shared" si="5"/>
        <v>1</v>
      </c>
      <c r="I147" s="9"/>
      <c r="J147" s="17">
        <f>IFERROR(IF(VLOOKUP(D:D,'테스트(1회)'!C:G,5, 0)="X",1,0),0)</f>
        <v>1</v>
      </c>
      <c r="K147" s="17">
        <f>IFERROR(IF(VLOOKUP(D:D,'테스트(2회)'!C:G,5, 0)="X",1,0),0)</f>
        <v>0</v>
      </c>
      <c r="L147" s="17">
        <f>IFERROR(IF(VLOOKUP(D:D,'테스트(3회)'!C:G,5, 0)="X",1,0),0)</f>
        <v>0</v>
      </c>
      <c r="M147" s="17">
        <f>IFERROR(IF(VLOOKUP(D:D,'테스트(4회)'!C:G,5, 0)="X",1,0),0)</f>
        <v>0</v>
      </c>
      <c r="N147" s="17">
        <f>IFERROR(IF(VLOOKUP(D:D,'테스트(5회)'!C:G,5, 0)="X",1,0),0)</f>
        <v>0</v>
      </c>
      <c r="O147" s="9"/>
    </row>
    <row r="148" spans="2:15" ht="85.5" x14ac:dyDescent="0.3">
      <c r="B148" s="13">
        <v>145</v>
      </c>
      <c r="C148" s="17" t="str">
        <f t="shared" si="4"/>
        <v>2019</v>
      </c>
      <c r="D148" s="14" t="s">
        <v>146</v>
      </c>
      <c r="E148" s="14" t="s">
        <v>659</v>
      </c>
      <c r="F148" s="15" t="s">
        <v>147</v>
      </c>
      <c r="G148" s="16">
        <v>5</v>
      </c>
      <c r="H148" s="17">
        <f t="shared" si="5"/>
        <v>0</v>
      </c>
      <c r="I148" s="9"/>
      <c r="J148" s="17">
        <f>IFERROR(IF(VLOOKUP(D:D,'테스트(1회)'!C:G,5, 0)="X",1,0),0)</f>
        <v>0</v>
      </c>
      <c r="K148" s="17">
        <f>IFERROR(IF(VLOOKUP(D:D,'테스트(2회)'!C:G,5, 0)="X",1,0),0)</f>
        <v>0</v>
      </c>
      <c r="L148" s="17">
        <f>IFERROR(IF(VLOOKUP(D:D,'테스트(3회)'!C:G,5, 0)="X",1,0),0)</f>
        <v>0</v>
      </c>
      <c r="M148" s="17">
        <f>IFERROR(IF(VLOOKUP(D:D,'테스트(4회)'!C:G,5, 0)="X",1,0),0)</f>
        <v>0</v>
      </c>
      <c r="N148" s="17">
        <f>IFERROR(IF(VLOOKUP(D:D,'테스트(5회)'!C:G,5, 0)="X",1,0),0)</f>
        <v>0</v>
      </c>
      <c r="O148" s="9"/>
    </row>
    <row r="149" spans="2:15" ht="85.5" x14ac:dyDescent="0.3">
      <c r="B149" s="13">
        <v>146</v>
      </c>
      <c r="C149" s="17" t="str">
        <f t="shared" si="4"/>
        <v>2019</v>
      </c>
      <c r="D149" s="14" t="s">
        <v>148</v>
      </c>
      <c r="E149" s="14" t="s">
        <v>659</v>
      </c>
      <c r="F149" s="15" t="s">
        <v>149</v>
      </c>
      <c r="G149" s="16">
        <v>5</v>
      </c>
      <c r="H149" s="17">
        <f t="shared" si="5"/>
        <v>0</v>
      </c>
      <c r="I149" s="9"/>
      <c r="J149" s="17">
        <f>IFERROR(IF(VLOOKUP(D:D,'테스트(1회)'!C:G,5, 0)="X",1,0),0)</f>
        <v>0</v>
      </c>
      <c r="K149" s="17">
        <f>IFERROR(IF(VLOOKUP(D:D,'테스트(2회)'!C:G,5, 0)="X",1,0),0)</f>
        <v>0</v>
      </c>
      <c r="L149" s="17">
        <f>IFERROR(IF(VLOOKUP(D:D,'테스트(3회)'!C:G,5, 0)="X",1,0),0)</f>
        <v>0</v>
      </c>
      <c r="M149" s="17">
        <f>IFERROR(IF(VLOOKUP(D:D,'테스트(4회)'!C:G,5, 0)="X",1,0),0)</f>
        <v>0</v>
      </c>
      <c r="N149" s="17">
        <f>IFERROR(IF(VLOOKUP(D:D,'테스트(5회)'!C:G,5, 0)="X",1,0),0)</f>
        <v>0</v>
      </c>
      <c r="O149" s="9"/>
    </row>
    <row r="150" spans="2:15" ht="85.5" x14ac:dyDescent="0.3">
      <c r="B150" s="13">
        <v>147</v>
      </c>
      <c r="C150" s="17" t="str">
        <f t="shared" si="4"/>
        <v>2019</v>
      </c>
      <c r="D150" s="14" t="s">
        <v>150</v>
      </c>
      <c r="E150" s="14" t="s">
        <v>659</v>
      </c>
      <c r="F150" s="15" t="s">
        <v>151</v>
      </c>
      <c r="G150" s="16">
        <v>2</v>
      </c>
      <c r="H150" s="17">
        <f t="shared" si="5"/>
        <v>1</v>
      </c>
      <c r="I150" s="9"/>
      <c r="J150" s="17">
        <f>IFERROR(IF(VLOOKUP(D:D,'테스트(1회)'!C:G,5, 0)="X",1,0),0)</f>
        <v>1</v>
      </c>
      <c r="K150" s="17">
        <f>IFERROR(IF(VLOOKUP(D:D,'테스트(2회)'!C:G,5, 0)="X",1,0),0)</f>
        <v>0</v>
      </c>
      <c r="L150" s="17">
        <f>IFERROR(IF(VLOOKUP(D:D,'테스트(3회)'!C:G,5, 0)="X",1,0),0)</f>
        <v>0</v>
      </c>
      <c r="M150" s="17">
        <f>IFERROR(IF(VLOOKUP(D:D,'테스트(4회)'!C:G,5, 0)="X",1,0),0)</f>
        <v>0</v>
      </c>
      <c r="N150" s="17">
        <f>IFERROR(IF(VLOOKUP(D:D,'테스트(5회)'!C:G,5, 0)="X",1,0),0)</f>
        <v>0</v>
      </c>
      <c r="O150" s="9"/>
    </row>
    <row r="151" spans="2:15" ht="128.25" x14ac:dyDescent="0.3">
      <c r="B151" s="13">
        <v>148</v>
      </c>
      <c r="C151" s="17" t="str">
        <f t="shared" si="4"/>
        <v>2019</v>
      </c>
      <c r="D151" s="14" t="s">
        <v>152</v>
      </c>
      <c r="E151" s="14" t="s">
        <v>659</v>
      </c>
      <c r="F151" s="15" t="s">
        <v>153</v>
      </c>
      <c r="G151" s="16">
        <v>4</v>
      </c>
      <c r="H151" s="17">
        <f t="shared" si="5"/>
        <v>0</v>
      </c>
      <c r="I151" s="9"/>
      <c r="J151" s="17">
        <f>IFERROR(IF(VLOOKUP(D:D,'테스트(1회)'!C:G,5, 0)="X",1,0),0)</f>
        <v>0</v>
      </c>
      <c r="K151" s="17">
        <f>IFERROR(IF(VLOOKUP(D:D,'테스트(2회)'!C:G,5, 0)="X",1,0),0)</f>
        <v>0</v>
      </c>
      <c r="L151" s="17">
        <f>IFERROR(IF(VLOOKUP(D:D,'테스트(3회)'!C:G,5, 0)="X",1,0),0)</f>
        <v>0</v>
      </c>
      <c r="M151" s="17">
        <f>IFERROR(IF(VLOOKUP(D:D,'테스트(4회)'!C:G,5, 0)="X",1,0),0)</f>
        <v>0</v>
      </c>
      <c r="N151" s="17">
        <f>IFERROR(IF(VLOOKUP(D:D,'테스트(5회)'!C:G,5, 0)="X",1,0),0)</f>
        <v>0</v>
      </c>
      <c r="O151" s="9"/>
    </row>
    <row r="152" spans="2:15" ht="156.75" x14ac:dyDescent="0.3">
      <c r="B152" s="13">
        <v>149</v>
      </c>
      <c r="C152" s="17" t="str">
        <f t="shared" si="4"/>
        <v>2019</v>
      </c>
      <c r="D152" s="14" t="s">
        <v>154</v>
      </c>
      <c r="E152" s="14" t="s">
        <v>659</v>
      </c>
      <c r="F152" s="15" t="s">
        <v>155</v>
      </c>
      <c r="G152" s="16">
        <v>2</v>
      </c>
      <c r="H152" s="17">
        <f t="shared" si="5"/>
        <v>0</v>
      </c>
      <c r="I152" s="9"/>
      <c r="J152" s="17">
        <f>IFERROR(IF(VLOOKUP(D:D,'테스트(1회)'!C:G,5, 0)="X",1,0),0)</f>
        <v>0</v>
      </c>
      <c r="K152" s="17">
        <f>IFERROR(IF(VLOOKUP(D:D,'테스트(2회)'!C:G,5, 0)="X",1,0),0)</f>
        <v>0</v>
      </c>
      <c r="L152" s="17">
        <f>IFERROR(IF(VLOOKUP(D:D,'테스트(3회)'!C:G,5, 0)="X",1,0),0)</f>
        <v>0</v>
      </c>
      <c r="M152" s="17">
        <f>IFERROR(IF(VLOOKUP(D:D,'테스트(4회)'!C:G,5, 0)="X",1,0),0)</f>
        <v>0</v>
      </c>
      <c r="N152" s="17">
        <f>IFERROR(IF(VLOOKUP(D:D,'테스트(5회)'!C:G,5, 0)="X",1,0),0)</f>
        <v>0</v>
      </c>
      <c r="O152" s="9"/>
    </row>
    <row r="153" spans="2:15" ht="85.5" x14ac:dyDescent="0.3">
      <c r="B153" s="13">
        <v>150</v>
      </c>
      <c r="C153" s="17" t="str">
        <f t="shared" si="4"/>
        <v>2019</v>
      </c>
      <c r="D153" s="14" t="s">
        <v>156</v>
      </c>
      <c r="E153" s="14" t="s">
        <v>659</v>
      </c>
      <c r="F153" s="15" t="s">
        <v>157</v>
      </c>
      <c r="G153" s="16">
        <v>1</v>
      </c>
      <c r="H153" s="17">
        <f t="shared" si="5"/>
        <v>0</v>
      </c>
      <c r="I153" s="9"/>
      <c r="J153" s="17">
        <f>IFERROR(IF(VLOOKUP(D:D,'테스트(1회)'!C:G,5, 0)="X",1,0),0)</f>
        <v>0</v>
      </c>
      <c r="K153" s="17">
        <f>IFERROR(IF(VLOOKUP(D:D,'테스트(2회)'!C:G,5, 0)="X",1,0),0)</f>
        <v>0</v>
      </c>
      <c r="L153" s="17">
        <f>IFERROR(IF(VLOOKUP(D:D,'테스트(3회)'!C:G,5, 0)="X",1,0),0)</f>
        <v>0</v>
      </c>
      <c r="M153" s="17">
        <f>IFERROR(IF(VLOOKUP(D:D,'테스트(4회)'!C:G,5, 0)="X",1,0),0)</f>
        <v>0</v>
      </c>
      <c r="N153" s="17">
        <f>IFERROR(IF(VLOOKUP(D:D,'테스트(5회)'!C:G,5, 0)="X",1,0),0)</f>
        <v>0</v>
      </c>
      <c r="O153" s="9"/>
    </row>
    <row r="154" spans="2:15" ht="85.5" x14ac:dyDescent="0.3">
      <c r="B154" s="13">
        <v>151</v>
      </c>
      <c r="C154" s="17" t="str">
        <f t="shared" si="4"/>
        <v>2019</v>
      </c>
      <c r="D154" s="14" t="s">
        <v>158</v>
      </c>
      <c r="E154" s="14" t="s">
        <v>659</v>
      </c>
      <c r="F154" s="15" t="s">
        <v>159</v>
      </c>
      <c r="G154" s="16">
        <v>1</v>
      </c>
      <c r="H154" s="17">
        <f t="shared" si="5"/>
        <v>0</v>
      </c>
      <c r="I154" s="9"/>
      <c r="J154" s="17">
        <f>IFERROR(IF(VLOOKUP(D:D,'테스트(1회)'!C:G,5, 0)="X",1,0),0)</f>
        <v>0</v>
      </c>
      <c r="K154" s="17">
        <f>IFERROR(IF(VLOOKUP(D:D,'테스트(2회)'!C:G,5, 0)="X",1,0),0)</f>
        <v>0</v>
      </c>
      <c r="L154" s="17">
        <f>IFERROR(IF(VLOOKUP(D:D,'테스트(3회)'!C:G,5, 0)="X",1,0),0)</f>
        <v>0</v>
      </c>
      <c r="M154" s="17">
        <f>IFERROR(IF(VLOOKUP(D:D,'테스트(4회)'!C:G,5, 0)="X",1,0),0)</f>
        <v>0</v>
      </c>
      <c r="N154" s="17">
        <f>IFERROR(IF(VLOOKUP(D:D,'테스트(5회)'!C:G,5, 0)="X",1,0),0)</f>
        <v>0</v>
      </c>
      <c r="O154" s="9"/>
    </row>
    <row r="155" spans="2:15" ht="85.5" x14ac:dyDescent="0.3">
      <c r="B155" s="13">
        <v>152</v>
      </c>
      <c r="C155" s="17" t="str">
        <f t="shared" si="4"/>
        <v>2019</v>
      </c>
      <c r="D155" s="14" t="s">
        <v>160</v>
      </c>
      <c r="E155" s="14" t="s">
        <v>659</v>
      </c>
      <c r="F155" s="15" t="s">
        <v>161</v>
      </c>
      <c r="G155" s="16">
        <v>5</v>
      </c>
      <c r="H155" s="17">
        <f t="shared" si="5"/>
        <v>0</v>
      </c>
      <c r="I155" s="9"/>
      <c r="J155" s="17">
        <f>IFERROR(IF(VLOOKUP(D:D,'테스트(1회)'!C:G,5, 0)="X",1,0),0)</f>
        <v>0</v>
      </c>
      <c r="K155" s="17">
        <f>IFERROR(IF(VLOOKUP(D:D,'테스트(2회)'!C:G,5, 0)="X",1,0),0)</f>
        <v>0</v>
      </c>
      <c r="L155" s="17">
        <f>IFERROR(IF(VLOOKUP(D:D,'테스트(3회)'!C:G,5, 0)="X",1,0),0)</f>
        <v>0</v>
      </c>
      <c r="M155" s="17">
        <f>IFERROR(IF(VLOOKUP(D:D,'테스트(4회)'!C:G,5, 0)="X",1,0),0)</f>
        <v>0</v>
      </c>
      <c r="N155" s="17">
        <f>IFERROR(IF(VLOOKUP(D:D,'테스트(5회)'!C:G,5, 0)="X",1,0),0)</f>
        <v>0</v>
      </c>
      <c r="O155" s="9"/>
    </row>
    <row r="156" spans="2:15" ht="85.5" x14ac:dyDescent="0.3">
      <c r="B156" s="13">
        <v>153</v>
      </c>
      <c r="C156" s="17" t="str">
        <f t="shared" si="4"/>
        <v>2019</v>
      </c>
      <c r="D156" s="14" t="s">
        <v>162</v>
      </c>
      <c r="E156" s="14" t="s">
        <v>659</v>
      </c>
      <c r="F156" s="15" t="s">
        <v>163</v>
      </c>
      <c r="G156" s="16">
        <v>2</v>
      </c>
      <c r="H156" s="17">
        <f t="shared" si="5"/>
        <v>1</v>
      </c>
      <c r="I156" s="9"/>
      <c r="J156" s="17">
        <f>IFERROR(IF(VLOOKUP(D:D,'테스트(1회)'!C:G,5, 0)="X",1,0),0)</f>
        <v>1</v>
      </c>
      <c r="K156" s="17">
        <f>IFERROR(IF(VLOOKUP(D:D,'테스트(2회)'!C:G,5, 0)="X",1,0),0)</f>
        <v>0</v>
      </c>
      <c r="L156" s="17">
        <f>IFERROR(IF(VLOOKUP(D:D,'테스트(3회)'!C:G,5, 0)="X",1,0),0)</f>
        <v>0</v>
      </c>
      <c r="M156" s="17">
        <f>IFERROR(IF(VLOOKUP(D:D,'테스트(4회)'!C:G,5, 0)="X",1,0),0)</f>
        <v>0</v>
      </c>
      <c r="N156" s="17">
        <f>IFERROR(IF(VLOOKUP(D:D,'테스트(5회)'!C:G,5, 0)="X",1,0),0)</f>
        <v>0</v>
      </c>
      <c r="O156" s="9"/>
    </row>
    <row r="157" spans="2:15" ht="85.5" x14ac:dyDescent="0.3">
      <c r="B157" s="13">
        <v>154</v>
      </c>
      <c r="C157" s="17" t="str">
        <f t="shared" si="4"/>
        <v>2019</v>
      </c>
      <c r="D157" s="14" t="s">
        <v>164</v>
      </c>
      <c r="E157" s="14" t="s">
        <v>659</v>
      </c>
      <c r="F157" s="15" t="s">
        <v>165</v>
      </c>
      <c r="G157" s="16">
        <v>5</v>
      </c>
      <c r="H157" s="17">
        <f t="shared" si="5"/>
        <v>0</v>
      </c>
      <c r="I157" s="9"/>
      <c r="J157" s="17">
        <f>IFERROR(IF(VLOOKUP(D:D,'테스트(1회)'!C:G,5, 0)="X",1,0),0)</f>
        <v>0</v>
      </c>
      <c r="K157" s="17">
        <f>IFERROR(IF(VLOOKUP(D:D,'테스트(2회)'!C:G,5, 0)="X",1,0),0)</f>
        <v>0</v>
      </c>
      <c r="L157" s="17">
        <f>IFERROR(IF(VLOOKUP(D:D,'테스트(3회)'!C:G,5, 0)="X",1,0),0)</f>
        <v>0</v>
      </c>
      <c r="M157" s="17">
        <f>IFERROR(IF(VLOOKUP(D:D,'테스트(4회)'!C:G,5, 0)="X",1,0),0)</f>
        <v>0</v>
      </c>
      <c r="N157" s="17">
        <f>IFERROR(IF(VLOOKUP(D:D,'테스트(5회)'!C:G,5, 0)="X",1,0),0)</f>
        <v>0</v>
      </c>
      <c r="O157" s="9"/>
    </row>
    <row r="158" spans="2:15" ht="85.5" x14ac:dyDescent="0.3">
      <c r="B158" s="13">
        <v>155</v>
      </c>
      <c r="C158" s="17" t="str">
        <f t="shared" si="4"/>
        <v>2019</v>
      </c>
      <c r="D158" s="14" t="s">
        <v>166</v>
      </c>
      <c r="E158" s="14" t="s">
        <v>659</v>
      </c>
      <c r="F158" s="15" t="s">
        <v>167</v>
      </c>
      <c r="G158" s="16">
        <v>2</v>
      </c>
      <c r="H158" s="17">
        <f t="shared" si="5"/>
        <v>1</v>
      </c>
      <c r="I158" s="9"/>
      <c r="J158" s="17">
        <f>IFERROR(IF(VLOOKUP(D:D,'테스트(1회)'!C:G,5, 0)="X",1,0),0)</f>
        <v>1</v>
      </c>
      <c r="K158" s="17">
        <f>IFERROR(IF(VLOOKUP(D:D,'테스트(2회)'!C:G,5, 0)="X",1,0),0)</f>
        <v>0</v>
      </c>
      <c r="L158" s="17">
        <f>IFERROR(IF(VLOOKUP(D:D,'테스트(3회)'!C:G,5, 0)="X",1,0),0)</f>
        <v>0</v>
      </c>
      <c r="M158" s="17">
        <f>IFERROR(IF(VLOOKUP(D:D,'테스트(4회)'!C:G,5, 0)="X",1,0),0)</f>
        <v>0</v>
      </c>
      <c r="N158" s="17">
        <f>IFERROR(IF(VLOOKUP(D:D,'테스트(5회)'!C:G,5, 0)="X",1,0),0)</f>
        <v>0</v>
      </c>
      <c r="O158" s="9"/>
    </row>
    <row r="159" spans="2:15" ht="85.5" x14ac:dyDescent="0.3">
      <c r="B159" s="13">
        <v>156</v>
      </c>
      <c r="C159" s="17" t="str">
        <f t="shared" si="4"/>
        <v>2019</v>
      </c>
      <c r="D159" s="14" t="s">
        <v>168</v>
      </c>
      <c r="E159" s="14" t="s">
        <v>659</v>
      </c>
      <c r="F159" s="15" t="s">
        <v>169</v>
      </c>
      <c r="G159" s="16">
        <v>1</v>
      </c>
      <c r="H159" s="17">
        <f t="shared" si="5"/>
        <v>0</v>
      </c>
      <c r="I159" s="9"/>
      <c r="J159" s="17">
        <f>IFERROR(IF(VLOOKUP(D:D,'테스트(1회)'!C:G,5, 0)="X",1,0),0)</f>
        <v>0</v>
      </c>
      <c r="K159" s="17">
        <f>IFERROR(IF(VLOOKUP(D:D,'테스트(2회)'!C:G,5, 0)="X",1,0),0)</f>
        <v>0</v>
      </c>
      <c r="L159" s="17">
        <f>IFERROR(IF(VLOOKUP(D:D,'테스트(3회)'!C:G,5, 0)="X",1,0),0)</f>
        <v>0</v>
      </c>
      <c r="M159" s="17">
        <f>IFERROR(IF(VLOOKUP(D:D,'테스트(4회)'!C:G,5, 0)="X",1,0),0)</f>
        <v>0</v>
      </c>
      <c r="N159" s="17">
        <f>IFERROR(IF(VLOOKUP(D:D,'테스트(5회)'!C:G,5, 0)="X",1,0),0)</f>
        <v>0</v>
      </c>
      <c r="O159" s="9"/>
    </row>
    <row r="160" spans="2:15" ht="85.5" x14ac:dyDescent="0.3">
      <c r="B160" s="13">
        <v>157</v>
      </c>
      <c r="C160" s="17" t="str">
        <f t="shared" si="4"/>
        <v>2019</v>
      </c>
      <c r="D160" s="14" t="s">
        <v>170</v>
      </c>
      <c r="E160" s="14" t="s">
        <v>659</v>
      </c>
      <c r="F160" s="15" t="s">
        <v>171</v>
      </c>
      <c r="G160" s="16">
        <v>1</v>
      </c>
      <c r="H160" s="17">
        <f t="shared" si="5"/>
        <v>1</v>
      </c>
      <c r="I160" s="9"/>
      <c r="J160" s="17">
        <f>IFERROR(IF(VLOOKUP(D:D,'테스트(1회)'!C:G,5, 0)="X",1,0),0)</f>
        <v>1</v>
      </c>
      <c r="K160" s="17">
        <f>IFERROR(IF(VLOOKUP(D:D,'테스트(2회)'!C:G,5, 0)="X",1,0),0)</f>
        <v>0</v>
      </c>
      <c r="L160" s="17">
        <f>IFERROR(IF(VLOOKUP(D:D,'테스트(3회)'!C:G,5, 0)="X",1,0),0)</f>
        <v>0</v>
      </c>
      <c r="M160" s="17">
        <f>IFERROR(IF(VLOOKUP(D:D,'테스트(4회)'!C:G,5, 0)="X",1,0),0)</f>
        <v>0</v>
      </c>
      <c r="N160" s="17">
        <f>IFERROR(IF(VLOOKUP(D:D,'테스트(5회)'!C:G,5, 0)="X",1,0),0)</f>
        <v>0</v>
      </c>
      <c r="O160" s="9"/>
    </row>
    <row r="161" spans="2:15" ht="156.75" x14ac:dyDescent="0.3">
      <c r="B161" s="13">
        <v>158</v>
      </c>
      <c r="C161" s="17" t="str">
        <f t="shared" si="4"/>
        <v>2019</v>
      </c>
      <c r="D161" s="14" t="s">
        <v>172</v>
      </c>
      <c r="E161" s="14" t="s">
        <v>659</v>
      </c>
      <c r="F161" s="15" t="s">
        <v>173</v>
      </c>
      <c r="G161" s="16">
        <v>4</v>
      </c>
      <c r="H161" s="17">
        <f t="shared" si="5"/>
        <v>0</v>
      </c>
      <c r="I161" s="9"/>
      <c r="J161" s="17">
        <f>IFERROR(IF(VLOOKUP(D:D,'테스트(1회)'!C:G,5, 0)="X",1,0),0)</f>
        <v>0</v>
      </c>
      <c r="K161" s="17">
        <f>IFERROR(IF(VLOOKUP(D:D,'테스트(2회)'!C:G,5, 0)="X",1,0),0)</f>
        <v>0</v>
      </c>
      <c r="L161" s="17">
        <f>IFERROR(IF(VLOOKUP(D:D,'테스트(3회)'!C:G,5, 0)="X",1,0),0)</f>
        <v>0</v>
      </c>
      <c r="M161" s="17">
        <f>IFERROR(IF(VLOOKUP(D:D,'테스트(4회)'!C:G,5, 0)="X",1,0),0)</f>
        <v>0</v>
      </c>
      <c r="N161" s="17">
        <f>IFERROR(IF(VLOOKUP(D:D,'테스트(5회)'!C:G,5, 0)="X",1,0),0)</f>
        <v>0</v>
      </c>
      <c r="O161" s="9"/>
    </row>
    <row r="162" spans="2:15" ht="99.75" x14ac:dyDescent="0.3">
      <c r="B162" s="13">
        <v>159</v>
      </c>
      <c r="C162" s="17" t="str">
        <f t="shared" si="4"/>
        <v>2019</v>
      </c>
      <c r="D162" s="14" t="s">
        <v>174</v>
      </c>
      <c r="E162" s="14" t="s">
        <v>659</v>
      </c>
      <c r="F162" s="15" t="s">
        <v>175</v>
      </c>
      <c r="G162" s="16">
        <v>3</v>
      </c>
      <c r="H162" s="17">
        <f t="shared" si="5"/>
        <v>1</v>
      </c>
      <c r="I162" s="9"/>
      <c r="J162" s="17">
        <f>IFERROR(IF(VLOOKUP(D:D,'테스트(1회)'!C:G,5, 0)="X",1,0),0)</f>
        <v>1</v>
      </c>
      <c r="K162" s="17">
        <f>IFERROR(IF(VLOOKUP(D:D,'테스트(2회)'!C:G,5, 0)="X",1,0),0)</f>
        <v>0</v>
      </c>
      <c r="L162" s="17">
        <f>IFERROR(IF(VLOOKUP(D:D,'테스트(3회)'!C:G,5, 0)="X",1,0),0)</f>
        <v>0</v>
      </c>
      <c r="M162" s="17">
        <f>IFERROR(IF(VLOOKUP(D:D,'테스트(4회)'!C:G,5, 0)="X",1,0),0)</f>
        <v>0</v>
      </c>
      <c r="N162" s="17">
        <f>IFERROR(IF(VLOOKUP(D:D,'테스트(5회)'!C:G,5, 0)="X",1,0),0)</f>
        <v>0</v>
      </c>
      <c r="O162" s="9"/>
    </row>
    <row r="163" spans="2:15" ht="99.75" x14ac:dyDescent="0.3">
      <c r="B163" s="13">
        <v>160</v>
      </c>
      <c r="C163" s="17" t="str">
        <f t="shared" si="4"/>
        <v>2019</v>
      </c>
      <c r="D163" s="14" t="s">
        <v>176</v>
      </c>
      <c r="E163" s="14" t="s">
        <v>659</v>
      </c>
      <c r="F163" s="15" t="s">
        <v>177</v>
      </c>
      <c r="G163" s="16">
        <v>2</v>
      </c>
      <c r="H163" s="17">
        <f t="shared" si="5"/>
        <v>1</v>
      </c>
      <c r="I163" s="9"/>
      <c r="J163" s="17">
        <f>IFERROR(IF(VLOOKUP(D:D,'테스트(1회)'!C:G,5, 0)="X",1,0),0)</f>
        <v>1</v>
      </c>
      <c r="K163" s="17">
        <f>IFERROR(IF(VLOOKUP(D:D,'테스트(2회)'!C:G,5, 0)="X",1,0),0)</f>
        <v>0</v>
      </c>
      <c r="L163" s="17">
        <f>IFERROR(IF(VLOOKUP(D:D,'테스트(3회)'!C:G,5, 0)="X",1,0),0)</f>
        <v>0</v>
      </c>
      <c r="M163" s="17">
        <f>IFERROR(IF(VLOOKUP(D:D,'테스트(4회)'!C:G,5, 0)="X",1,0),0)</f>
        <v>0</v>
      </c>
      <c r="N163" s="17">
        <f>IFERROR(IF(VLOOKUP(D:D,'테스트(5회)'!C:G,5, 0)="X",1,0),0)</f>
        <v>0</v>
      </c>
      <c r="O163" s="9"/>
    </row>
    <row r="164" spans="2:15" ht="85.5" x14ac:dyDescent="0.3">
      <c r="B164" s="13">
        <v>161</v>
      </c>
      <c r="C164" s="17" t="str">
        <f t="shared" si="4"/>
        <v>2019</v>
      </c>
      <c r="D164" s="14" t="s">
        <v>178</v>
      </c>
      <c r="E164" s="14" t="s">
        <v>659</v>
      </c>
      <c r="F164" s="15" t="s">
        <v>179</v>
      </c>
      <c r="G164" s="16">
        <v>3</v>
      </c>
      <c r="H164" s="17">
        <f t="shared" si="5"/>
        <v>1</v>
      </c>
      <c r="I164" s="9"/>
      <c r="J164" s="17">
        <f>IFERROR(IF(VLOOKUP(D:D,'테스트(1회)'!C:G,5, 0)="X",1,0),0)</f>
        <v>1</v>
      </c>
      <c r="K164" s="17">
        <f>IFERROR(IF(VLOOKUP(D:D,'테스트(2회)'!C:G,5, 0)="X",1,0),0)</f>
        <v>0</v>
      </c>
      <c r="L164" s="17">
        <f>IFERROR(IF(VLOOKUP(D:D,'테스트(3회)'!C:G,5, 0)="X",1,0),0)</f>
        <v>0</v>
      </c>
      <c r="M164" s="17">
        <f>IFERROR(IF(VLOOKUP(D:D,'테스트(4회)'!C:G,5, 0)="X",1,0),0)</f>
        <v>0</v>
      </c>
      <c r="N164" s="17">
        <f>IFERROR(IF(VLOOKUP(D:D,'테스트(5회)'!C:G,5, 0)="X",1,0),0)</f>
        <v>0</v>
      </c>
      <c r="O164" s="9"/>
    </row>
    <row r="165" spans="2:15" ht="85.5" x14ac:dyDescent="0.3">
      <c r="B165" s="13">
        <v>162</v>
      </c>
      <c r="C165" s="17" t="str">
        <f t="shared" si="4"/>
        <v>2019</v>
      </c>
      <c r="D165" s="14" t="s">
        <v>180</v>
      </c>
      <c r="E165" s="14" t="s">
        <v>659</v>
      </c>
      <c r="F165" s="15" t="s">
        <v>181</v>
      </c>
      <c r="G165" s="16">
        <v>4</v>
      </c>
      <c r="H165" s="17">
        <f t="shared" si="5"/>
        <v>0</v>
      </c>
      <c r="I165" s="9"/>
      <c r="J165" s="17">
        <f>IFERROR(IF(VLOOKUP(D:D,'테스트(1회)'!C:G,5, 0)="X",1,0),0)</f>
        <v>0</v>
      </c>
      <c r="K165" s="17">
        <f>IFERROR(IF(VLOOKUP(D:D,'테스트(2회)'!C:G,5, 0)="X",1,0),0)</f>
        <v>0</v>
      </c>
      <c r="L165" s="17">
        <f>IFERROR(IF(VLOOKUP(D:D,'테스트(3회)'!C:G,5, 0)="X",1,0),0)</f>
        <v>0</v>
      </c>
      <c r="M165" s="17">
        <f>IFERROR(IF(VLOOKUP(D:D,'테스트(4회)'!C:G,5, 0)="X",1,0),0)</f>
        <v>0</v>
      </c>
      <c r="N165" s="17">
        <f>IFERROR(IF(VLOOKUP(D:D,'테스트(5회)'!C:G,5, 0)="X",1,0),0)</f>
        <v>0</v>
      </c>
      <c r="O165" s="9"/>
    </row>
    <row r="166" spans="2:15" ht="99.75" x14ac:dyDescent="0.3">
      <c r="B166" s="13">
        <v>163</v>
      </c>
      <c r="C166" s="17" t="str">
        <f t="shared" si="4"/>
        <v>2019</v>
      </c>
      <c r="D166" s="14" t="s">
        <v>182</v>
      </c>
      <c r="E166" s="14" t="s">
        <v>659</v>
      </c>
      <c r="F166" s="15" t="s">
        <v>183</v>
      </c>
      <c r="G166" s="16">
        <v>1</v>
      </c>
      <c r="H166" s="17">
        <f t="shared" si="5"/>
        <v>1</v>
      </c>
      <c r="I166" s="9"/>
      <c r="J166" s="17">
        <f>IFERROR(IF(VLOOKUP(D:D,'테스트(1회)'!C:G,5, 0)="X",1,0),0)</f>
        <v>1</v>
      </c>
      <c r="K166" s="17">
        <f>IFERROR(IF(VLOOKUP(D:D,'테스트(2회)'!C:G,5, 0)="X",1,0),0)</f>
        <v>0</v>
      </c>
      <c r="L166" s="17">
        <f>IFERROR(IF(VLOOKUP(D:D,'테스트(3회)'!C:G,5, 0)="X",1,0),0)</f>
        <v>0</v>
      </c>
      <c r="M166" s="17">
        <f>IFERROR(IF(VLOOKUP(D:D,'테스트(4회)'!C:G,5, 0)="X",1,0),0)</f>
        <v>0</v>
      </c>
      <c r="N166" s="17">
        <f>IFERROR(IF(VLOOKUP(D:D,'테스트(5회)'!C:G,5, 0)="X",1,0),0)</f>
        <v>0</v>
      </c>
      <c r="O166" s="9"/>
    </row>
    <row r="167" spans="2:15" ht="85.5" x14ac:dyDescent="0.3">
      <c r="B167" s="13">
        <v>164</v>
      </c>
      <c r="C167" s="17" t="str">
        <f t="shared" si="4"/>
        <v>2019</v>
      </c>
      <c r="D167" s="14" t="s">
        <v>184</v>
      </c>
      <c r="E167" s="14" t="s">
        <v>659</v>
      </c>
      <c r="F167" s="15" t="s">
        <v>185</v>
      </c>
      <c r="G167" s="16">
        <v>5</v>
      </c>
      <c r="H167" s="17">
        <f t="shared" si="5"/>
        <v>1</v>
      </c>
      <c r="I167" s="9"/>
      <c r="J167" s="17">
        <f>IFERROR(IF(VLOOKUP(D:D,'테스트(1회)'!C:G,5, 0)="X",1,0),0)</f>
        <v>1</v>
      </c>
      <c r="K167" s="17">
        <f>IFERROR(IF(VLOOKUP(D:D,'테스트(2회)'!C:G,5, 0)="X",1,0),0)</f>
        <v>0</v>
      </c>
      <c r="L167" s="17">
        <f>IFERROR(IF(VLOOKUP(D:D,'테스트(3회)'!C:G,5, 0)="X",1,0),0)</f>
        <v>0</v>
      </c>
      <c r="M167" s="17">
        <f>IFERROR(IF(VLOOKUP(D:D,'테스트(4회)'!C:G,5, 0)="X",1,0),0)</f>
        <v>0</v>
      </c>
      <c r="N167" s="17">
        <f>IFERROR(IF(VLOOKUP(D:D,'테스트(5회)'!C:G,5, 0)="X",1,0),0)</f>
        <v>0</v>
      </c>
      <c r="O167" s="9"/>
    </row>
    <row r="168" spans="2:15" ht="85.5" x14ac:dyDescent="0.3">
      <c r="B168" s="13">
        <v>165</v>
      </c>
      <c r="C168" s="17" t="str">
        <f t="shared" si="4"/>
        <v>2019</v>
      </c>
      <c r="D168" s="14" t="s">
        <v>186</v>
      </c>
      <c r="E168" s="14" t="s">
        <v>659</v>
      </c>
      <c r="F168" s="15" t="s">
        <v>187</v>
      </c>
      <c r="G168" s="16">
        <v>3</v>
      </c>
      <c r="H168" s="17">
        <f t="shared" si="5"/>
        <v>0</v>
      </c>
      <c r="I168" s="9"/>
      <c r="J168" s="17">
        <f>IFERROR(IF(VLOOKUP(D:D,'테스트(1회)'!C:G,5, 0)="X",1,0),0)</f>
        <v>0</v>
      </c>
      <c r="K168" s="17">
        <f>IFERROR(IF(VLOOKUP(D:D,'테스트(2회)'!C:G,5, 0)="X",1,0),0)</f>
        <v>0</v>
      </c>
      <c r="L168" s="17">
        <f>IFERROR(IF(VLOOKUP(D:D,'테스트(3회)'!C:G,5, 0)="X",1,0),0)</f>
        <v>0</v>
      </c>
      <c r="M168" s="17">
        <f>IFERROR(IF(VLOOKUP(D:D,'테스트(4회)'!C:G,5, 0)="X",1,0),0)</f>
        <v>0</v>
      </c>
      <c r="N168" s="17">
        <f>IFERROR(IF(VLOOKUP(D:D,'테스트(5회)'!C:G,5, 0)="X",1,0),0)</f>
        <v>0</v>
      </c>
      <c r="O168" s="9"/>
    </row>
    <row r="169" spans="2:15" ht="85.5" x14ac:dyDescent="0.3">
      <c r="B169" s="13">
        <v>166</v>
      </c>
      <c r="C169" s="17" t="str">
        <f t="shared" si="4"/>
        <v>2018</v>
      </c>
      <c r="D169" s="14" t="s">
        <v>188</v>
      </c>
      <c r="E169" s="14" t="s">
        <v>659</v>
      </c>
      <c r="F169" s="15" t="s">
        <v>189</v>
      </c>
      <c r="G169" s="16">
        <v>2</v>
      </c>
      <c r="H169" s="17">
        <f t="shared" si="5"/>
        <v>0</v>
      </c>
      <c r="I169" s="9"/>
      <c r="J169" s="17">
        <f>IFERROR(IF(VLOOKUP(D:D,'테스트(1회)'!C:G,5, 0)="X",1,0),0)</f>
        <v>0</v>
      </c>
      <c r="K169" s="17">
        <f>IFERROR(IF(VLOOKUP(D:D,'테스트(2회)'!C:G,5, 0)="X",1,0),0)</f>
        <v>0</v>
      </c>
      <c r="L169" s="17">
        <f>IFERROR(IF(VLOOKUP(D:D,'테스트(3회)'!C:G,5, 0)="X",1,0),0)</f>
        <v>0</v>
      </c>
      <c r="M169" s="17">
        <f>IFERROR(IF(VLOOKUP(D:D,'테스트(4회)'!C:G,5, 0)="X",1,0),0)</f>
        <v>0</v>
      </c>
      <c r="N169" s="17">
        <f>IFERROR(IF(VLOOKUP(D:D,'테스트(5회)'!C:G,5, 0)="X",1,0),0)</f>
        <v>0</v>
      </c>
      <c r="O169" s="9"/>
    </row>
    <row r="170" spans="2:15" ht="85.5" x14ac:dyDescent="0.3">
      <c r="B170" s="13">
        <v>167</v>
      </c>
      <c r="C170" s="17" t="str">
        <f t="shared" si="4"/>
        <v>2018</v>
      </c>
      <c r="D170" s="14" t="s">
        <v>190</v>
      </c>
      <c r="E170" s="14" t="s">
        <v>659</v>
      </c>
      <c r="F170" s="15" t="s">
        <v>191</v>
      </c>
      <c r="G170" s="16">
        <v>1</v>
      </c>
      <c r="H170" s="17">
        <f t="shared" si="5"/>
        <v>0</v>
      </c>
      <c r="I170" s="9"/>
      <c r="J170" s="17">
        <f>IFERROR(IF(VLOOKUP(D:D,'테스트(1회)'!C:G,5, 0)="X",1,0),0)</f>
        <v>0</v>
      </c>
      <c r="K170" s="17">
        <f>IFERROR(IF(VLOOKUP(D:D,'테스트(2회)'!C:G,5, 0)="X",1,0),0)</f>
        <v>0</v>
      </c>
      <c r="L170" s="17">
        <f>IFERROR(IF(VLOOKUP(D:D,'테스트(3회)'!C:G,5, 0)="X",1,0),0)</f>
        <v>0</v>
      </c>
      <c r="M170" s="17">
        <f>IFERROR(IF(VLOOKUP(D:D,'테스트(4회)'!C:G,5, 0)="X",1,0),0)</f>
        <v>0</v>
      </c>
      <c r="N170" s="17">
        <f>IFERROR(IF(VLOOKUP(D:D,'테스트(5회)'!C:G,5, 0)="X",1,0),0)</f>
        <v>0</v>
      </c>
      <c r="O170" s="9"/>
    </row>
    <row r="171" spans="2:15" ht="128.25" x14ac:dyDescent="0.3">
      <c r="B171" s="13">
        <v>168</v>
      </c>
      <c r="C171" s="17" t="str">
        <f t="shared" si="4"/>
        <v>2018</v>
      </c>
      <c r="D171" s="14" t="s">
        <v>192</v>
      </c>
      <c r="E171" s="14" t="s">
        <v>659</v>
      </c>
      <c r="F171" s="15" t="s">
        <v>839</v>
      </c>
      <c r="G171" s="16">
        <v>2</v>
      </c>
      <c r="H171" s="17">
        <f t="shared" si="5"/>
        <v>0</v>
      </c>
      <c r="I171" s="9"/>
      <c r="J171" s="17">
        <f>IFERROR(IF(VLOOKUP(D:D,'테스트(1회)'!C:G,5, 0)="X",1,0),0)</f>
        <v>0</v>
      </c>
      <c r="K171" s="17">
        <f>IFERROR(IF(VLOOKUP(D:D,'테스트(2회)'!C:G,5, 0)="X",1,0),0)</f>
        <v>0</v>
      </c>
      <c r="L171" s="17">
        <f>IFERROR(IF(VLOOKUP(D:D,'테스트(3회)'!C:G,5, 0)="X",1,0),0)</f>
        <v>0</v>
      </c>
      <c r="M171" s="17">
        <f>IFERROR(IF(VLOOKUP(D:D,'테스트(4회)'!C:G,5, 0)="X",1,0),0)</f>
        <v>0</v>
      </c>
      <c r="N171" s="17">
        <f>IFERROR(IF(VLOOKUP(D:D,'테스트(5회)'!C:G,5, 0)="X",1,0),0)</f>
        <v>0</v>
      </c>
      <c r="O171" s="9"/>
    </row>
    <row r="172" spans="2:15" ht="85.5" x14ac:dyDescent="0.3">
      <c r="B172" s="13">
        <v>169</v>
      </c>
      <c r="C172" s="17" t="str">
        <f t="shared" si="4"/>
        <v>2018</v>
      </c>
      <c r="D172" s="14" t="s">
        <v>193</v>
      </c>
      <c r="E172" s="14" t="s">
        <v>659</v>
      </c>
      <c r="F172" s="15" t="s">
        <v>194</v>
      </c>
      <c r="G172" s="16">
        <v>5</v>
      </c>
      <c r="H172" s="17">
        <f t="shared" si="5"/>
        <v>0</v>
      </c>
      <c r="I172" s="9"/>
      <c r="J172" s="17">
        <f>IFERROR(IF(VLOOKUP(D:D,'테스트(1회)'!C:G,5, 0)="X",1,0),0)</f>
        <v>0</v>
      </c>
      <c r="K172" s="17">
        <f>IFERROR(IF(VLOOKUP(D:D,'테스트(2회)'!C:G,5, 0)="X",1,0),0)</f>
        <v>0</v>
      </c>
      <c r="L172" s="17">
        <f>IFERROR(IF(VLOOKUP(D:D,'테스트(3회)'!C:G,5, 0)="X",1,0),0)</f>
        <v>0</v>
      </c>
      <c r="M172" s="17">
        <f>IFERROR(IF(VLOOKUP(D:D,'테스트(4회)'!C:G,5, 0)="X",1,0),0)</f>
        <v>0</v>
      </c>
      <c r="N172" s="17">
        <f>IFERROR(IF(VLOOKUP(D:D,'테스트(5회)'!C:G,5, 0)="X",1,0),0)</f>
        <v>0</v>
      </c>
      <c r="O172" s="9"/>
    </row>
    <row r="173" spans="2:15" ht="85.5" x14ac:dyDescent="0.3">
      <c r="B173" s="13">
        <v>170</v>
      </c>
      <c r="C173" s="17" t="str">
        <f t="shared" si="4"/>
        <v>2018</v>
      </c>
      <c r="D173" s="14" t="s">
        <v>195</v>
      </c>
      <c r="E173" s="14" t="s">
        <v>659</v>
      </c>
      <c r="F173" s="15" t="s">
        <v>196</v>
      </c>
      <c r="G173" s="16">
        <v>5</v>
      </c>
      <c r="H173" s="17">
        <f t="shared" si="5"/>
        <v>0</v>
      </c>
      <c r="I173" s="9"/>
      <c r="J173" s="17">
        <f>IFERROR(IF(VLOOKUP(D:D,'테스트(1회)'!C:G,5, 0)="X",1,0),0)</f>
        <v>0</v>
      </c>
      <c r="K173" s="17">
        <f>IFERROR(IF(VLOOKUP(D:D,'테스트(2회)'!C:G,5, 0)="X",1,0),0)</f>
        <v>0</v>
      </c>
      <c r="L173" s="17">
        <f>IFERROR(IF(VLOOKUP(D:D,'테스트(3회)'!C:G,5, 0)="X",1,0),0)</f>
        <v>0</v>
      </c>
      <c r="M173" s="17">
        <f>IFERROR(IF(VLOOKUP(D:D,'테스트(4회)'!C:G,5, 0)="X",1,0),0)</f>
        <v>0</v>
      </c>
      <c r="N173" s="17">
        <f>IFERROR(IF(VLOOKUP(D:D,'테스트(5회)'!C:G,5, 0)="X",1,0),0)</f>
        <v>0</v>
      </c>
      <c r="O173" s="9"/>
    </row>
    <row r="174" spans="2:15" ht="99.75" x14ac:dyDescent="0.3">
      <c r="B174" s="13">
        <v>171</v>
      </c>
      <c r="C174" s="17" t="str">
        <f t="shared" si="4"/>
        <v>2018</v>
      </c>
      <c r="D174" s="14" t="s">
        <v>197</v>
      </c>
      <c r="E174" s="14" t="s">
        <v>659</v>
      </c>
      <c r="F174" s="15" t="s">
        <v>198</v>
      </c>
      <c r="G174" s="16">
        <v>3</v>
      </c>
      <c r="H174" s="17">
        <f t="shared" si="5"/>
        <v>1</v>
      </c>
      <c r="I174" s="9"/>
      <c r="J174" s="17">
        <f>IFERROR(IF(VLOOKUP(D:D,'테스트(1회)'!C:G,5, 0)="X",1,0),0)</f>
        <v>1</v>
      </c>
      <c r="K174" s="17">
        <f>IFERROR(IF(VLOOKUP(D:D,'테스트(2회)'!C:G,5, 0)="X",1,0),0)</f>
        <v>0</v>
      </c>
      <c r="L174" s="17">
        <f>IFERROR(IF(VLOOKUP(D:D,'테스트(3회)'!C:G,5, 0)="X",1,0),0)</f>
        <v>0</v>
      </c>
      <c r="M174" s="17">
        <f>IFERROR(IF(VLOOKUP(D:D,'테스트(4회)'!C:G,5, 0)="X",1,0),0)</f>
        <v>0</v>
      </c>
      <c r="N174" s="17">
        <f>IFERROR(IF(VLOOKUP(D:D,'테스트(5회)'!C:G,5, 0)="X",1,0),0)</f>
        <v>0</v>
      </c>
      <c r="O174" s="9"/>
    </row>
    <row r="175" spans="2:15" ht="85.5" x14ac:dyDescent="0.3">
      <c r="B175" s="13">
        <v>172</v>
      </c>
      <c r="C175" s="17" t="str">
        <f t="shared" si="4"/>
        <v>2018</v>
      </c>
      <c r="D175" s="14" t="s">
        <v>199</v>
      </c>
      <c r="E175" s="14" t="s">
        <v>659</v>
      </c>
      <c r="F175" s="15" t="s">
        <v>200</v>
      </c>
      <c r="G175" s="16">
        <v>2</v>
      </c>
      <c r="H175" s="17">
        <f t="shared" si="5"/>
        <v>0</v>
      </c>
      <c r="I175" s="9"/>
      <c r="J175" s="17">
        <f>IFERROR(IF(VLOOKUP(D:D,'테스트(1회)'!C:G,5, 0)="X",1,0),0)</f>
        <v>0</v>
      </c>
      <c r="K175" s="17">
        <f>IFERROR(IF(VLOOKUP(D:D,'테스트(2회)'!C:G,5, 0)="X",1,0),0)</f>
        <v>0</v>
      </c>
      <c r="L175" s="17">
        <f>IFERROR(IF(VLOOKUP(D:D,'테스트(3회)'!C:G,5, 0)="X",1,0),0)</f>
        <v>0</v>
      </c>
      <c r="M175" s="17">
        <f>IFERROR(IF(VLOOKUP(D:D,'테스트(4회)'!C:G,5, 0)="X",1,0),0)</f>
        <v>0</v>
      </c>
      <c r="N175" s="17">
        <f>IFERROR(IF(VLOOKUP(D:D,'테스트(5회)'!C:G,5, 0)="X",1,0),0)</f>
        <v>0</v>
      </c>
      <c r="O175" s="9"/>
    </row>
    <row r="176" spans="2:15" ht="99.75" x14ac:dyDescent="0.3">
      <c r="B176" s="13">
        <v>173</v>
      </c>
      <c r="C176" s="17" t="str">
        <f t="shared" si="4"/>
        <v>2018</v>
      </c>
      <c r="D176" s="14" t="s">
        <v>201</v>
      </c>
      <c r="E176" s="14" t="s">
        <v>659</v>
      </c>
      <c r="F176" s="15" t="s">
        <v>202</v>
      </c>
      <c r="G176" s="16">
        <v>2</v>
      </c>
      <c r="H176" s="17">
        <f t="shared" si="5"/>
        <v>0</v>
      </c>
      <c r="I176" s="9"/>
      <c r="J176" s="17">
        <f>IFERROR(IF(VLOOKUP(D:D,'테스트(1회)'!C:G,5, 0)="X",1,0),0)</f>
        <v>0</v>
      </c>
      <c r="K176" s="17">
        <f>IFERROR(IF(VLOOKUP(D:D,'테스트(2회)'!C:G,5, 0)="X",1,0),0)</f>
        <v>0</v>
      </c>
      <c r="L176" s="17">
        <f>IFERROR(IF(VLOOKUP(D:D,'테스트(3회)'!C:G,5, 0)="X",1,0),0)</f>
        <v>0</v>
      </c>
      <c r="M176" s="17">
        <f>IFERROR(IF(VLOOKUP(D:D,'테스트(4회)'!C:G,5, 0)="X",1,0),0)</f>
        <v>0</v>
      </c>
      <c r="N176" s="17">
        <f>IFERROR(IF(VLOOKUP(D:D,'테스트(5회)'!C:G,5, 0)="X",1,0),0)</f>
        <v>0</v>
      </c>
      <c r="O176" s="9"/>
    </row>
    <row r="177" spans="2:15" ht="85.5" x14ac:dyDescent="0.3">
      <c r="B177" s="13">
        <v>174</v>
      </c>
      <c r="C177" s="17" t="str">
        <f t="shared" si="4"/>
        <v>2018</v>
      </c>
      <c r="D177" s="14" t="s">
        <v>203</v>
      </c>
      <c r="E177" s="14" t="s">
        <v>659</v>
      </c>
      <c r="F177" s="15" t="s">
        <v>753</v>
      </c>
      <c r="G177" s="16">
        <v>5</v>
      </c>
      <c r="H177" s="17">
        <f t="shared" si="5"/>
        <v>0</v>
      </c>
      <c r="I177" s="9"/>
      <c r="J177" s="17">
        <f>IFERROR(IF(VLOOKUP(D:D,'테스트(1회)'!C:G,5, 0)="X",1,0),0)</f>
        <v>0</v>
      </c>
      <c r="K177" s="17">
        <f>IFERROR(IF(VLOOKUP(D:D,'테스트(2회)'!C:G,5, 0)="X",1,0),0)</f>
        <v>0</v>
      </c>
      <c r="L177" s="17">
        <f>IFERROR(IF(VLOOKUP(D:D,'테스트(3회)'!C:G,5, 0)="X",1,0),0)</f>
        <v>0</v>
      </c>
      <c r="M177" s="17">
        <f>IFERROR(IF(VLOOKUP(D:D,'테스트(4회)'!C:G,5, 0)="X",1,0),0)</f>
        <v>0</v>
      </c>
      <c r="N177" s="17">
        <f>IFERROR(IF(VLOOKUP(D:D,'테스트(5회)'!C:G,5, 0)="X",1,0),0)</f>
        <v>0</v>
      </c>
      <c r="O177" s="9"/>
    </row>
    <row r="178" spans="2:15" ht="128.25" x14ac:dyDescent="0.3">
      <c r="B178" s="13">
        <v>175</v>
      </c>
      <c r="C178" s="17" t="str">
        <f t="shared" si="4"/>
        <v>2018</v>
      </c>
      <c r="D178" s="14" t="s">
        <v>204</v>
      </c>
      <c r="E178" s="14" t="s">
        <v>659</v>
      </c>
      <c r="F178" s="15" t="s">
        <v>205</v>
      </c>
      <c r="G178" s="16">
        <v>4</v>
      </c>
      <c r="H178" s="17">
        <f t="shared" si="5"/>
        <v>0</v>
      </c>
      <c r="I178" s="9"/>
      <c r="J178" s="17">
        <f>IFERROR(IF(VLOOKUP(D:D,'테스트(1회)'!C:G,5, 0)="X",1,0),0)</f>
        <v>0</v>
      </c>
      <c r="K178" s="17">
        <f>IFERROR(IF(VLOOKUP(D:D,'테스트(2회)'!C:G,5, 0)="X",1,0),0)</f>
        <v>0</v>
      </c>
      <c r="L178" s="17">
        <f>IFERROR(IF(VLOOKUP(D:D,'테스트(3회)'!C:G,5, 0)="X",1,0),0)</f>
        <v>0</v>
      </c>
      <c r="M178" s="17">
        <f>IFERROR(IF(VLOOKUP(D:D,'테스트(4회)'!C:G,5, 0)="X",1,0),0)</f>
        <v>0</v>
      </c>
      <c r="N178" s="17">
        <f>IFERROR(IF(VLOOKUP(D:D,'테스트(5회)'!C:G,5, 0)="X",1,0),0)</f>
        <v>0</v>
      </c>
      <c r="O178" s="9"/>
    </row>
    <row r="179" spans="2:15" ht="142.5" x14ac:dyDescent="0.3">
      <c r="B179" s="13">
        <v>176</v>
      </c>
      <c r="C179" s="17" t="str">
        <f t="shared" si="4"/>
        <v>2018</v>
      </c>
      <c r="D179" s="14" t="s">
        <v>206</v>
      </c>
      <c r="E179" s="14" t="s">
        <v>659</v>
      </c>
      <c r="F179" s="15" t="s">
        <v>207</v>
      </c>
      <c r="G179" s="16">
        <v>3</v>
      </c>
      <c r="H179" s="17">
        <f t="shared" si="5"/>
        <v>0</v>
      </c>
      <c r="I179" s="9"/>
      <c r="J179" s="17">
        <f>IFERROR(IF(VLOOKUP(D:D,'테스트(1회)'!C:G,5, 0)="X",1,0),0)</f>
        <v>0</v>
      </c>
      <c r="K179" s="17">
        <f>IFERROR(IF(VLOOKUP(D:D,'테스트(2회)'!C:G,5, 0)="X",1,0),0)</f>
        <v>0</v>
      </c>
      <c r="L179" s="17">
        <f>IFERROR(IF(VLOOKUP(D:D,'테스트(3회)'!C:G,5, 0)="X",1,0),0)</f>
        <v>0</v>
      </c>
      <c r="M179" s="17">
        <f>IFERROR(IF(VLOOKUP(D:D,'테스트(4회)'!C:G,5, 0)="X",1,0),0)</f>
        <v>0</v>
      </c>
      <c r="N179" s="17">
        <f>IFERROR(IF(VLOOKUP(D:D,'테스트(5회)'!C:G,5, 0)="X",1,0),0)</f>
        <v>0</v>
      </c>
      <c r="O179" s="9"/>
    </row>
    <row r="180" spans="2:15" ht="85.5" x14ac:dyDescent="0.3">
      <c r="B180" s="13">
        <v>177</v>
      </c>
      <c r="C180" s="17" t="str">
        <f t="shared" si="4"/>
        <v>2018</v>
      </c>
      <c r="D180" s="14" t="s">
        <v>208</v>
      </c>
      <c r="E180" s="14" t="s">
        <v>659</v>
      </c>
      <c r="F180" s="15" t="s">
        <v>209</v>
      </c>
      <c r="G180" s="16">
        <v>1</v>
      </c>
      <c r="H180" s="17">
        <f t="shared" si="5"/>
        <v>0</v>
      </c>
      <c r="I180" s="9"/>
      <c r="J180" s="17">
        <f>IFERROR(IF(VLOOKUP(D:D,'테스트(1회)'!C:G,5, 0)="X",1,0),0)</f>
        <v>0</v>
      </c>
      <c r="K180" s="17">
        <f>IFERROR(IF(VLOOKUP(D:D,'테스트(2회)'!C:G,5, 0)="X",1,0),0)</f>
        <v>0</v>
      </c>
      <c r="L180" s="17">
        <f>IFERROR(IF(VLOOKUP(D:D,'테스트(3회)'!C:G,5, 0)="X",1,0),0)</f>
        <v>0</v>
      </c>
      <c r="M180" s="17">
        <f>IFERROR(IF(VLOOKUP(D:D,'테스트(4회)'!C:G,5, 0)="X",1,0),0)</f>
        <v>0</v>
      </c>
      <c r="N180" s="17">
        <f>IFERROR(IF(VLOOKUP(D:D,'테스트(5회)'!C:G,5, 0)="X",1,0),0)</f>
        <v>0</v>
      </c>
      <c r="O180" s="9"/>
    </row>
    <row r="181" spans="2:15" ht="85.5" x14ac:dyDescent="0.3">
      <c r="B181" s="13">
        <v>178</v>
      </c>
      <c r="C181" s="17" t="str">
        <f t="shared" si="4"/>
        <v>2018</v>
      </c>
      <c r="D181" s="14" t="s">
        <v>210</v>
      </c>
      <c r="E181" s="14" t="s">
        <v>659</v>
      </c>
      <c r="F181" s="15" t="s">
        <v>211</v>
      </c>
      <c r="G181" s="16">
        <v>4</v>
      </c>
      <c r="H181" s="17">
        <f t="shared" si="5"/>
        <v>0</v>
      </c>
      <c r="I181" s="9"/>
      <c r="J181" s="17">
        <f>IFERROR(IF(VLOOKUP(D:D,'테스트(1회)'!C:G,5, 0)="X",1,0),0)</f>
        <v>0</v>
      </c>
      <c r="K181" s="17">
        <f>IFERROR(IF(VLOOKUP(D:D,'테스트(2회)'!C:G,5, 0)="X",1,0),0)</f>
        <v>0</v>
      </c>
      <c r="L181" s="17">
        <f>IFERROR(IF(VLOOKUP(D:D,'테스트(3회)'!C:G,5, 0)="X",1,0),0)</f>
        <v>0</v>
      </c>
      <c r="M181" s="17">
        <f>IFERROR(IF(VLOOKUP(D:D,'테스트(4회)'!C:G,5, 0)="X",1,0),0)</f>
        <v>0</v>
      </c>
      <c r="N181" s="17">
        <f>IFERROR(IF(VLOOKUP(D:D,'테스트(5회)'!C:G,5, 0)="X",1,0),0)</f>
        <v>0</v>
      </c>
      <c r="O181" s="9"/>
    </row>
    <row r="182" spans="2:15" ht="85.5" x14ac:dyDescent="0.3">
      <c r="B182" s="13">
        <v>179</v>
      </c>
      <c r="C182" s="17" t="str">
        <f t="shared" si="4"/>
        <v>2018</v>
      </c>
      <c r="D182" s="14" t="s">
        <v>212</v>
      </c>
      <c r="E182" s="14" t="s">
        <v>659</v>
      </c>
      <c r="F182" s="15" t="s">
        <v>213</v>
      </c>
      <c r="G182" s="16">
        <v>5</v>
      </c>
      <c r="H182" s="17">
        <f t="shared" si="5"/>
        <v>0</v>
      </c>
      <c r="I182" s="9"/>
      <c r="J182" s="17">
        <f>IFERROR(IF(VLOOKUP(D:D,'테스트(1회)'!C:G,5, 0)="X",1,0),0)</f>
        <v>0</v>
      </c>
      <c r="K182" s="17">
        <f>IFERROR(IF(VLOOKUP(D:D,'테스트(2회)'!C:G,5, 0)="X",1,0),0)</f>
        <v>0</v>
      </c>
      <c r="L182" s="17">
        <f>IFERROR(IF(VLOOKUP(D:D,'테스트(3회)'!C:G,5, 0)="X",1,0),0)</f>
        <v>0</v>
      </c>
      <c r="M182" s="17">
        <f>IFERROR(IF(VLOOKUP(D:D,'테스트(4회)'!C:G,5, 0)="X",1,0),0)</f>
        <v>0</v>
      </c>
      <c r="N182" s="17">
        <f>IFERROR(IF(VLOOKUP(D:D,'테스트(5회)'!C:G,5, 0)="X",1,0),0)</f>
        <v>0</v>
      </c>
      <c r="O182" s="9"/>
    </row>
    <row r="183" spans="2:15" ht="99.75" x14ac:dyDescent="0.3">
      <c r="B183" s="13">
        <v>180</v>
      </c>
      <c r="C183" s="17" t="str">
        <f t="shared" si="4"/>
        <v>2018</v>
      </c>
      <c r="D183" s="14" t="s">
        <v>214</v>
      </c>
      <c r="E183" s="14" t="s">
        <v>659</v>
      </c>
      <c r="F183" s="15" t="s">
        <v>215</v>
      </c>
      <c r="G183" s="16">
        <v>3</v>
      </c>
      <c r="H183" s="17">
        <f t="shared" si="5"/>
        <v>1</v>
      </c>
      <c r="I183" s="9"/>
      <c r="J183" s="17">
        <f>IFERROR(IF(VLOOKUP(D:D,'테스트(1회)'!C:G,5, 0)="X",1,0),0)</f>
        <v>1</v>
      </c>
      <c r="K183" s="17">
        <f>IFERROR(IF(VLOOKUP(D:D,'테스트(2회)'!C:G,5, 0)="X",1,0),0)</f>
        <v>0</v>
      </c>
      <c r="L183" s="17">
        <f>IFERROR(IF(VLOOKUP(D:D,'테스트(3회)'!C:G,5, 0)="X",1,0),0)</f>
        <v>0</v>
      </c>
      <c r="M183" s="17">
        <f>IFERROR(IF(VLOOKUP(D:D,'테스트(4회)'!C:G,5, 0)="X",1,0),0)</f>
        <v>0</v>
      </c>
      <c r="N183" s="17">
        <f>IFERROR(IF(VLOOKUP(D:D,'테스트(5회)'!C:G,5, 0)="X",1,0),0)</f>
        <v>0</v>
      </c>
      <c r="O183" s="9"/>
    </row>
    <row r="184" spans="2:15" ht="99.75" x14ac:dyDescent="0.3">
      <c r="B184" s="13">
        <v>181</v>
      </c>
      <c r="C184" s="17" t="str">
        <f t="shared" si="4"/>
        <v>2018</v>
      </c>
      <c r="D184" s="14" t="s">
        <v>216</v>
      </c>
      <c r="E184" s="14" t="s">
        <v>659</v>
      </c>
      <c r="F184" s="15" t="s">
        <v>217</v>
      </c>
      <c r="G184" s="16">
        <v>1</v>
      </c>
      <c r="H184" s="17">
        <f t="shared" si="5"/>
        <v>0</v>
      </c>
      <c r="I184" s="9"/>
      <c r="J184" s="17">
        <f>IFERROR(IF(VLOOKUP(D:D,'테스트(1회)'!C:G,5, 0)="X",1,0),0)</f>
        <v>0</v>
      </c>
      <c r="K184" s="17">
        <f>IFERROR(IF(VLOOKUP(D:D,'테스트(2회)'!C:G,5, 0)="X",1,0),0)</f>
        <v>0</v>
      </c>
      <c r="L184" s="17">
        <f>IFERROR(IF(VLOOKUP(D:D,'테스트(3회)'!C:G,5, 0)="X",1,0),0)</f>
        <v>0</v>
      </c>
      <c r="M184" s="17">
        <f>IFERROR(IF(VLOOKUP(D:D,'테스트(4회)'!C:G,5, 0)="X",1,0),0)</f>
        <v>0</v>
      </c>
      <c r="N184" s="17">
        <f>IFERROR(IF(VLOOKUP(D:D,'테스트(5회)'!C:G,5, 0)="X",1,0),0)</f>
        <v>0</v>
      </c>
      <c r="O184" s="9"/>
    </row>
    <row r="185" spans="2:15" ht="114" x14ac:dyDescent="0.3">
      <c r="B185" s="13">
        <v>182</v>
      </c>
      <c r="C185" s="17" t="str">
        <f t="shared" si="4"/>
        <v>2018</v>
      </c>
      <c r="D185" s="14" t="s">
        <v>218</v>
      </c>
      <c r="E185" s="14" t="s">
        <v>659</v>
      </c>
      <c r="F185" s="15" t="s">
        <v>219</v>
      </c>
      <c r="G185" s="16">
        <v>4</v>
      </c>
      <c r="H185" s="17">
        <f t="shared" si="5"/>
        <v>1</v>
      </c>
      <c r="I185" s="9"/>
      <c r="J185" s="17">
        <f>IFERROR(IF(VLOOKUP(D:D,'테스트(1회)'!C:G,5, 0)="X",1,0),0)</f>
        <v>1</v>
      </c>
      <c r="K185" s="17">
        <f>IFERROR(IF(VLOOKUP(D:D,'테스트(2회)'!C:G,5, 0)="X",1,0),0)</f>
        <v>0</v>
      </c>
      <c r="L185" s="17">
        <f>IFERROR(IF(VLOOKUP(D:D,'테스트(3회)'!C:G,5, 0)="X",1,0),0)</f>
        <v>0</v>
      </c>
      <c r="M185" s="17">
        <f>IFERROR(IF(VLOOKUP(D:D,'테스트(4회)'!C:G,5, 0)="X",1,0),0)</f>
        <v>0</v>
      </c>
      <c r="N185" s="17">
        <f>IFERROR(IF(VLOOKUP(D:D,'테스트(5회)'!C:G,5, 0)="X",1,0),0)</f>
        <v>0</v>
      </c>
      <c r="O185" s="9"/>
    </row>
    <row r="186" spans="2:15" ht="99.75" x14ac:dyDescent="0.3">
      <c r="B186" s="13">
        <v>183</v>
      </c>
      <c r="C186" s="17" t="str">
        <f t="shared" si="4"/>
        <v>2018</v>
      </c>
      <c r="D186" s="14" t="s">
        <v>220</v>
      </c>
      <c r="E186" s="14" t="s">
        <v>659</v>
      </c>
      <c r="F186" s="15" t="s">
        <v>221</v>
      </c>
      <c r="G186" s="16">
        <v>1</v>
      </c>
      <c r="H186" s="17">
        <f t="shared" si="5"/>
        <v>0</v>
      </c>
      <c r="I186" s="9"/>
      <c r="J186" s="17">
        <f>IFERROR(IF(VLOOKUP(D:D,'테스트(1회)'!C:G,5, 0)="X",1,0),0)</f>
        <v>0</v>
      </c>
      <c r="K186" s="17">
        <f>IFERROR(IF(VLOOKUP(D:D,'테스트(2회)'!C:G,5, 0)="X",1,0),0)</f>
        <v>0</v>
      </c>
      <c r="L186" s="17">
        <f>IFERROR(IF(VLOOKUP(D:D,'테스트(3회)'!C:G,5, 0)="X",1,0),0)</f>
        <v>0</v>
      </c>
      <c r="M186" s="17">
        <f>IFERROR(IF(VLOOKUP(D:D,'테스트(4회)'!C:G,5, 0)="X",1,0),0)</f>
        <v>0</v>
      </c>
      <c r="N186" s="17">
        <f>IFERROR(IF(VLOOKUP(D:D,'테스트(5회)'!C:G,5, 0)="X",1,0),0)</f>
        <v>0</v>
      </c>
      <c r="O186" s="9"/>
    </row>
    <row r="187" spans="2:15" ht="99.75" x14ac:dyDescent="0.3">
      <c r="B187" s="13">
        <v>184</v>
      </c>
      <c r="C187" s="17" t="str">
        <f t="shared" si="4"/>
        <v>2018</v>
      </c>
      <c r="D187" s="14" t="s">
        <v>222</v>
      </c>
      <c r="E187" s="14" t="s">
        <v>659</v>
      </c>
      <c r="F187" s="15" t="s">
        <v>666</v>
      </c>
      <c r="G187" s="16">
        <v>3</v>
      </c>
      <c r="H187" s="17">
        <f t="shared" si="5"/>
        <v>1</v>
      </c>
      <c r="I187" s="9"/>
      <c r="J187" s="17">
        <f>IFERROR(IF(VLOOKUP(D:D,'테스트(1회)'!C:G,5, 0)="X",1,0),0)</f>
        <v>1</v>
      </c>
      <c r="K187" s="17">
        <f>IFERROR(IF(VLOOKUP(D:D,'테스트(2회)'!C:G,5, 0)="X",1,0),0)</f>
        <v>0</v>
      </c>
      <c r="L187" s="17">
        <f>IFERROR(IF(VLOOKUP(D:D,'테스트(3회)'!C:G,5, 0)="X",1,0),0)</f>
        <v>0</v>
      </c>
      <c r="M187" s="17">
        <f>IFERROR(IF(VLOOKUP(D:D,'테스트(4회)'!C:G,5, 0)="X",1,0),0)</f>
        <v>0</v>
      </c>
      <c r="N187" s="17">
        <f>IFERROR(IF(VLOOKUP(D:D,'테스트(5회)'!C:G,5, 0)="X",1,0),0)</f>
        <v>0</v>
      </c>
      <c r="O187" s="9"/>
    </row>
    <row r="188" spans="2:15" ht="85.5" x14ac:dyDescent="0.3">
      <c r="B188" s="13">
        <v>185</v>
      </c>
      <c r="C188" s="17" t="str">
        <f t="shared" si="4"/>
        <v>2018</v>
      </c>
      <c r="D188" s="14" t="s">
        <v>223</v>
      </c>
      <c r="E188" s="14" t="s">
        <v>659</v>
      </c>
      <c r="F188" s="15" t="s">
        <v>224</v>
      </c>
      <c r="G188" s="16">
        <v>5</v>
      </c>
      <c r="H188" s="17">
        <f t="shared" si="5"/>
        <v>1</v>
      </c>
      <c r="I188" s="9"/>
      <c r="J188" s="17">
        <f>IFERROR(IF(VLOOKUP(D:D,'테스트(1회)'!C:G,5, 0)="X",1,0),0)</f>
        <v>1</v>
      </c>
      <c r="K188" s="17">
        <f>IFERROR(IF(VLOOKUP(D:D,'테스트(2회)'!C:G,5, 0)="X",1,0),0)</f>
        <v>0</v>
      </c>
      <c r="L188" s="17">
        <f>IFERROR(IF(VLOOKUP(D:D,'테스트(3회)'!C:G,5, 0)="X",1,0),0)</f>
        <v>0</v>
      </c>
      <c r="M188" s="17">
        <f>IFERROR(IF(VLOOKUP(D:D,'테스트(4회)'!C:G,5, 0)="X",1,0),0)</f>
        <v>0</v>
      </c>
      <c r="N188" s="17">
        <f>IFERROR(IF(VLOOKUP(D:D,'테스트(5회)'!C:G,5, 0)="X",1,0),0)</f>
        <v>0</v>
      </c>
      <c r="O188" s="9"/>
    </row>
    <row r="189" spans="2:15" ht="114" x14ac:dyDescent="0.3">
      <c r="B189" s="13">
        <v>186</v>
      </c>
      <c r="C189" s="17" t="str">
        <f t="shared" si="4"/>
        <v>2018</v>
      </c>
      <c r="D189" s="14" t="s">
        <v>225</v>
      </c>
      <c r="E189" s="14" t="s">
        <v>659</v>
      </c>
      <c r="F189" s="15" t="s">
        <v>805</v>
      </c>
      <c r="G189" s="16">
        <v>2</v>
      </c>
      <c r="H189" s="17">
        <f t="shared" si="5"/>
        <v>0</v>
      </c>
      <c r="I189" s="9"/>
      <c r="J189" s="17">
        <f>IFERROR(IF(VLOOKUP(D:D,'테스트(1회)'!C:G,5, 0)="X",1,0),0)</f>
        <v>0</v>
      </c>
      <c r="K189" s="17">
        <f>IFERROR(IF(VLOOKUP(D:D,'테스트(2회)'!C:G,5, 0)="X",1,0),0)</f>
        <v>0</v>
      </c>
      <c r="L189" s="17">
        <f>IFERROR(IF(VLOOKUP(D:D,'테스트(3회)'!C:G,5, 0)="X",1,0),0)</f>
        <v>0</v>
      </c>
      <c r="M189" s="17">
        <f>IFERROR(IF(VLOOKUP(D:D,'테스트(4회)'!C:G,5, 0)="X",1,0),0)</f>
        <v>0</v>
      </c>
      <c r="N189" s="17">
        <f>IFERROR(IF(VLOOKUP(D:D,'테스트(5회)'!C:G,5, 0)="X",1,0),0)</f>
        <v>0</v>
      </c>
      <c r="O189" s="9"/>
    </row>
    <row r="190" spans="2:15" ht="142.5" x14ac:dyDescent="0.3">
      <c r="B190" s="13">
        <v>187</v>
      </c>
      <c r="C190" s="17" t="str">
        <f t="shared" si="4"/>
        <v>2018</v>
      </c>
      <c r="D190" s="14" t="s">
        <v>226</v>
      </c>
      <c r="E190" s="14" t="s">
        <v>659</v>
      </c>
      <c r="F190" s="15" t="s">
        <v>227</v>
      </c>
      <c r="G190" s="16">
        <v>3</v>
      </c>
      <c r="H190" s="17">
        <f t="shared" si="5"/>
        <v>0</v>
      </c>
      <c r="I190" s="9"/>
      <c r="J190" s="17">
        <f>IFERROR(IF(VLOOKUP(D:D,'테스트(1회)'!C:G,5, 0)="X",1,0),0)</f>
        <v>0</v>
      </c>
      <c r="K190" s="17">
        <f>IFERROR(IF(VLOOKUP(D:D,'테스트(2회)'!C:G,5, 0)="X",1,0),0)</f>
        <v>0</v>
      </c>
      <c r="L190" s="17">
        <f>IFERROR(IF(VLOOKUP(D:D,'테스트(3회)'!C:G,5, 0)="X",1,0),0)</f>
        <v>0</v>
      </c>
      <c r="M190" s="17">
        <f>IFERROR(IF(VLOOKUP(D:D,'테스트(4회)'!C:G,5, 0)="X",1,0),0)</f>
        <v>0</v>
      </c>
      <c r="N190" s="17">
        <f>IFERROR(IF(VLOOKUP(D:D,'테스트(5회)'!C:G,5, 0)="X",1,0),0)</f>
        <v>0</v>
      </c>
      <c r="O190" s="9"/>
    </row>
    <row r="191" spans="2:15" ht="85.5" x14ac:dyDescent="0.3">
      <c r="B191" s="13">
        <v>188</v>
      </c>
      <c r="C191" s="17" t="str">
        <f t="shared" si="4"/>
        <v>2018</v>
      </c>
      <c r="D191" s="14" t="s">
        <v>228</v>
      </c>
      <c r="E191" s="14" t="s">
        <v>659</v>
      </c>
      <c r="F191" s="15" t="s">
        <v>229</v>
      </c>
      <c r="G191" s="16">
        <v>4</v>
      </c>
      <c r="H191" s="17">
        <f t="shared" si="5"/>
        <v>0</v>
      </c>
      <c r="I191" s="9"/>
      <c r="J191" s="17">
        <f>IFERROR(IF(VLOOKUP(D:D,'테스트(1회)'!C:G,5, 0)="X",1,0),0)</f>
        <v>0</v>
      </c>
      <c r="K191" s="17">
        <f>IFERROR(IF(VLOOKUP(D:D,'테스트(2회)'!C:G,5, 0)="X",1,0),0)</f>
        <v>0</v>
      </c>
      <c r="L191" s="17">
        <f>IFERROR(IF(VLOOKUP(D:D,'테스트(3회)'!C:G,5, 0)="X",1,0),0)</f>
        <v>0</v>
      </c>
      <c r="M191" s="17">
        <f>IFERROR(IF(VLOOKUP(D:D,'테스트(4회)'!C:G,5, 0)="X",1,0),0)</f>
        <v>0</v>
      </c>
      <c r="N191" s="17">
        <f>IFERROR(IF(VLOOKUP(D:D,'테스트(5회)'!C:G,5, 0)="X",1,0),0)</f>
        <v>0</v>
      </c>
      <c r="O191" s="9"/>
    </row>
    <row r="192" spans="2:15" ht="99.75" x14ac:dyDescent="0.3">
      <c r="B192" s="13">
        <v>189</v>
      </c>
      <c r="C192" s="17" t="str">
        <f t="shared" si="4"/>
        <v>2018</v>
      </c>
      <c r="D192" s="14" t="s">
        <v>230</v>
      </c>
      <c r="E192" s="14" t="s">
        <v>659</v>
      </c>
      <c r="F192" s="15" t="s">
        <v>830</v>
      </c>
      <c r="G192" s="16">
        <v>3</v>
      </c>
      <c r="H192" s="17">
        <f t="shared" si="5"/>
        <v>0</v>
      </c>
      <c r="I192" s="9"/>
      <c r="J192" s="17">
        <f>IFERROR(IF(VLOOKUP(D:D,'테스트(1회)'!C:G,5, 0)="X",1,0),0)</f>
        <v>0</v>
      </c>
      <c r="K192" s="17">
        <f>IFERROR(IF(VLOOKUP(D:D,'테스트(2회)'!C:G,5, 0)="X",1,0),0)</f>
        <v>0</v>
      </c>
      <c r="L192" s="17">
        <f>IFERROR(IF(VLOOKUP(D:D,'테스트(3회)'!C:G,5, 0)="X",1,0),0)</f>
        <v>0</v>
      </c>
      <c r="M192" s="17">
        <f>IFERROR(IF(VLOOKUP(D:D,'테스트(4회)'!C:G,5, 0)="X",1,0),0)</f>
        <v>0</v>
      </c>
      <c r="N192" s="17">
        <f>IFERROR(IF(VLOOKUP(D:D,'테스트(5회)'!C:G,5, 0)="X",1,0),0)</f>
        <v>0</v>
      </c>
      <c r="O192" s="9"/>
    </row>
    <row r="193" spans="2:15" ht="114" x14ac:dyDescent="0.3">
      <c r="B193" s="13">
        <v>190</v>
      </c>
      <c r="C193" s="17" t="str">
        <f t="shared" si="4"/>
        <v>2018</v>
      </c>
      <c r="D193" s="14" t="s">
        <v>231</v>
      </c>
      <c r="E193" s="14" t="s">
        <v>659</v>
      </c>
      <c r="F193" s="15" t="s">
        <v>834</v>
      </c>
      <c r="G193" s="16">
        <v>4</v>
      </c>
      <c r="H193" s="17">
        <f t="shared" si="5"/>
        <v>0</v>
      </c>
      <c r="I193" s="9"/>
      <c r="J193" s="17">
        <f>IFERROR(IF(VLOOKUP(D:D,'테스트(1회)'!C:G,5, 0)="X",1,0),0)</f>
        <v>0</v>
      </c>
      <c r="K193" s="17">
        <f>IFERROR(IF(VLOOKUP(D:D,'테스트(2회)'!C:G,5, 0)="X",1,0),0)</f>
        <v>0</v>
      </c>
      <c r="L193" s="17">
        <f>IFERROR(IF(VLOOKUP(D:D,'테스트(3회)'!C:G,5, 0)="X",1,0),0)</f>
        <v>0</v>
      </c>
      <c r="M193" s="17">
        <f>IFERROR(IF(VLOOKUP(D:D,'테스트(4회)'!C:G,5, 0)="X",1,0),0)</f>
        <v>0</v>
      </c>
      <c r="N193" s="17">
        <f>IFERROR(IF(VLOOKUP(D:D,'테스트(5회)'!C:G,5, 0)="X",1,0),0)</f>
        <v>0</v>
      </c>
      <c r="O193" s="9"/>
    </row>
    <row r="194" spans="2:15" ht="85.5" x14ac:dyDescent="0.3">
      <c r="B194" s="13">
        <v>191</v>
      </c>
      <c r="C194" s="17" t="str">
        <f t="shared" si="4"/>
        <v>2017</v>
      </c>
      <c r="D194" s="14" t="s">
        <v>232</v>
      </c>
      <c r="E194" s="14" t="s">
        <v>659</v>
      </c>
      <c r="F194" s="15" t="s">
        <v>233</v>
      </c>
      <c r="G194" s="16">
        <v>1</v>
      </c>
      <c r="H194" s="17">
        <f t="shared" si="5"/>
        <v>0</v>
      </c>
      <c r="I194" s="9"/>
      <c r="J194" s="17">
        <f>IFERROR(IF(VLOOKUP(D:D,'테스트(1회)'!C:G,5, 0)="X",1,0),0)</f>
        <v>0</v>
      </c>
      <c r="K194" s="17">
        <f>IFERROR(IF(VLOOKUP(D:D,'테스트(2회)'!C:G,5, 0)="X",1,0),0)</f>
        <v>0</v>
      </c>
      <c r="L194" s="17">
        <f>IFERROR(IF(VLOOKUP(D:D,'테스트(3회)'!C:G,5, 0)="X",1,0),0)</f>
        <v>0</v>
      </c>
      <c r="M194" s="17">
        <f>IFERROR(IF(VLOOKUP(D:D,'테스트(4회)'!C:G,5, 0)="X",1,0),0)</f>
        <v>0</v>
      </c>
      <c r="N194" s="17">
        <f>IFERROR(IF(VLOOKUP(D:D,'테스트(5회)'!C:G,5, 0)="X",1,0),0)</f>
        <v>0</v>
      </c>
      <c r="O194" s="9"/>
    </row>
    <row r="195" spans="2:15" ht="85.5" x14ac:dyDescent="0.3">
      <c r="B195" s="13">
        <v>192</v>
      </c>
      <c r="C195" s="17" t="str">
        <f t="shared" si="4"/>
        <v>2017</v>
      </c>
      <c r="D195" s="14" t="s">
        <v>234</v>
      </c>
      <c r="E195" s="14" t="s">
        <v>659</v>
      </c>
      <c r="F195" s="15" t="s">
        <v>235</v>
      </c>
      <c r="G195" s="16">
        <v>4</v>
      </c>
      <c r="H195" s="17">
        <f t="shared" si="5"/>
        <v>0</v>
      </c>
      <c r="I195" s="9"/>
      <c r="J195" s="17">
        <f>IFERROR(IF(VLOOKUP(D:D,'테스트(1회)'!C:G,5, 0)="X",1,0),0)</f>
        <v>0</v>
      </c>
      <c r="K195" s="17">
        <f>IFERROR(IF(VLOOKUP(D:D,'테스트(2회)'!C:G,5, 0)="X",1,0),0)</f>
        <v>0</v>
      </c>
      <c r="L195" s="17">
        <f>IFERROR(IF(VLOOKUP(D:D,'테스트(3회)'!C:G,5, 0)="X",1,0),0)</f>
        <v>0</v>
      </c>
      <c r="M195" s="17">
        <f>IFERROR(IF(VLOOKUP(D:D,'테스트(4회)'!C:G,5, 0)="X",1,0),0)</f>
        <v>0</v>
      </c>
      <c r="N195" s="17">
        <f>IFERROR(IF(VLOOKUP(D:D,'테스트(5회)'!C:G,5, 0)="X",1,0),0)</f>
        <v>0</v>
      </c>
      <c r="O195" s="9"/>
    </row>
    <row r="196" spans="2:15" ht="85.5" x14ac:dyDescent="0.3">
      <c r="B196" s="13">
        <v>193</v>
      </c>
      <c r="C196" s="17" t="str">
        <f t="shared" ref="C196:C259" si="6">MID(D196,3,4)</f>
        <v>2017</v>
      </c>
      <c r="D196" s="14" t="s">
        <v>236</v>
      </c>
      <c r="E196" s="14" t="s">
        <v>659</v>
      </c>
      <c r="F196" s="15" t="s">
        <v>237</v>
      </c>
      <c r="G196" s="16">
        <v>3</v>
      </c>
      <c r="H196" s="17">
        <f t="shared" ref="H196:H259" si="7">SUM(J196:N196)</f>
        <v>0</v>
      </c>
      <c r="I196" s="9"/>
      <c r="J196" s="17">
        <f>IFERROR(IF(VLOOKUP(D:D,'테스트(1회)'!C:G,5, 0)="X",1,0),0)</f>
        <v>0</v>
      </c>
      <c r="K196" s="17">
        <f>IFERROR(IF(VLOOKUP(D:D,'테스트(2회)'!C:G,5, 0)="X",1,0),0)</f>
        <v>0</v>
      </c>
      <c r="L196" s="17">
        <f>IFERROR(IF(VLOOKUP(D:D,'테스트(3회)'!C:G,5, 0)="X",1,0),0)</f>
        <v>0</v>
      </c>
      <c r="M196" s="17">
        <f>IFERROR(IF(VLOOKUP(D:D,'테스트(4회)'!C:G,5, 0)="X",1,0),0)</f>
        <v>0</v>
      </c>
      <c r="N196" s="17">
        <f>IFERROR(IF(VLOOKUP(D:D,'테스트(5회)'!C:G,5, 0)="X",1,0),0)</f>
        <v>0</v>
      </c>
      <c r="O196" s="9"/>
    </row>
    <row r="197" spans="2:15" ht="128.25" x14ac:dyDescent="0.3">
      <c r="B197" s="13">
        <v>194</v>
      </c>
      <c r="C197" s="17" t="str">
        <f t="shared" si="6"/>
        <v>2017</v>
      </c>
      <c r="D197" s="14" t="s">
        <v>238</v>
      </c>
      <c r="E197" s="14" t="s">
        <v>659</v>
      </c>
      <c r="F197" s="15" t="s">
        <v>1048</v>
      </c>
      <c r="G197" s="16">
        <v>2</v>
      </c>
      <c r="H197" s="17">
        <f t="shared" si="7"/>
        <v>0</v>
      </c>
      <c r="I197" s="9"/>
      <c r="J197" s="17">
        <f>IFERROR(IF(VLOOKUP(D:D,'테스트(1회)'!C:G,5, 0)="X",1,0),0)</f>
        <v>0</v>
      </c>
      <c r="K197" s="17">
        <f>IFERROR(IF(VLOOKUP(D:D,'테스트(2회)'!C:G,5, 0)="X",1,0),0)</f>
        <v>0</v>
      </c>
      <c r="L197" s="17">
        <f>IFERROR(IF(VLOOKUP(D:D,'테스트(3회)'!C:G,5, 0)="X",1,0),0)</f>
        <v>0</v>
      </c>
      <c r="M197" s="17">
        <f>IFERROR(IF(VLOOKUP(D:D,'테스트(4회)'!C:G,5, 0)="X",1,0),0)</f>
        <v>0</v>
      </c>
      <c r="N197" s="17">
        <f>IFERROR(IF(VLOOKUP(D:D,'테스트(5회)'!C:G,5, 0)="X",1,0),0)</f>
        <v>0</v>
      </c>
      <c r="O197" s="9"/>
    </row>
    <row r="198" spans="2:15" ht="128.25" x14ac:dyDescent="0.3">
      <c r="B198" s="13">
        <v>195</v>
      </c>
      <c r="C198" s="17" t="str">
        <f t="shared" si="6"/>
        <v>2017</v>
      </c>
      <c r="D198" s="14" t="s">
        <v>239</v>
      </c>
      <c r="E198" s="14" t="s">
        <v>659</v>
      </c>
      <c r="F198" s="15" t="s">
        <v>1049</v>
      </c>
      <c r="G198" s="16">
        <v>5</v>
      </c>
      <c r="H198" s="17">
        <f t="shared" si="7"/>
        <v>0</v>
      </c>
      <c r="I198" s="9"/>
      <c r="J198" s="17">
        <f>IFERROR(IF(VLOOKUP(D:D,'테스트(1회)'!C:G,5, 0)="X",1,0),0)</f>
        <v>0</v>
      </c>
      <c r="K198" s="17">
        <f>IFERROR(IF(VLOOKUP(D:D,'테스트(2회)'!C:G,5, 0)="X",1,0),0)</f>
        <v>0</v>
      </c>
      <c r="L198" s="17">
        <f>IFERROR(IF(VLOOKUP(D:D,'테스트(3회)'!C:G,5, 0)="X",1,0),0)</f>
        <v>0</v>
      </c>
      <c r="M198" s="17">
        <f>IFERROR(IF(VLOOKUP(D:D,'테스트(4회)'!C:G,5, 0)="X",1,0),0)</f>
        <v>0</v>
      </c>
      <c r="N198" s="17">
        <f>IFERROR(IF(VLOOKUP(D:D,'테스트(5회)'!C:G,5, 0)="X",1,0),0)</f>
        <v>0</v>
      </c>
      <c r="O198" s="9"/>
    </row>
    <row r="199" spans="2:15" ht="142.5" x14ac:dyDescent="0.3">
      <c r="B199" s="13">
        <v>196</v>
      </c>
      <c r="C199" s="17" t="str">
        <f t="shared" si="6"/>
        <v>2017</v>
      </c>
      <c r="D199" s="14" t="s">
        <v>240</v>
      </c>
      <c r="E199" s="14" t="s">
        <v>659</v>
      </c>
      <c r="F199" s="15" t="s">
        <v>241</v>
      </c>
      <c r="G199" s="16">
        <v>3</v>
      </c>
      <c r="H199" s="17">
        <f t="shared" si="7"/>
        <v>0</v>
      </c>
      <c r="I199" s="9"/>
      <c r="J199" s="17">
        <f>IFERROR(IF(VLOOKUP(D:D,'테스트(1회)'!C:G,5, 0)="X",1,0),0)</f>
        <v>0</v>
      </c>
      <c r="K199" s="17">
        <f>IFERROR(IF(VLOOKUP(D:D,'테스트(2회)'!C:G,5, 0)="X",1,0),0)</f>
        <v>0</v>
      </c>
      <c r="L199" s="17">
        <f>IFERROR(IF(VLOOKUP(D:D,'테스트(3회)'!C:G,5, 0)="X",1,0),0)</f>
        <v>0</v>
      </c>
      <c r="M199" s="17">
        <f>IFERROR(IF(VLOOKUP(D:D,'테스트(4회)'!C:G,5, 0)="X",1,0),0)</f>
        <v>0</v>
      </c>
      <c r="N199" s="17">
        <f>IFERROR(IF(VLOOKUP(D:D,'테스트(5회)'!C:G,5, 0)="X",1,0),0)</f>
        <v>0</v>
      </c>
      <c r="O199" s="9"/>
    </row>
    <row r="200" spans="2:15" ht="85.5" x14ac:dyDescent="0.3">
      <c r="B200" s="13">
        <v>197</v>
      </c>
      <c r="C200" s="17" t="str">
        <f t="shared" si="6"/>
        <v>2017</v>
      </c>
      <c r="D200" s="14" t="s">
        <v>242</v>
      </c>
      <c r="E200" s="14" t="s">
        <v>659</v>
      </c>
      <c r="F200" s="15" t="s">
        <v>243</v>
      </c>
      <c r="G200" s="16">
        <v>5</v>
      </c>
      <c r="H200" s="17">
        <f t="shared" si="7"/>
        <v>0</v>
      </c>
      <c r="I200" s="9"/>
      <c r="J200" s="17">
        <f>IFERROR(IF(VLOOKUP(D:D,'테스트(1회)'!C:G,5, 0)="X",1,0),0)</f>
        <v>0</v>
      </c>
      <c r="K200" s="17">
        <f>IFERROR(IF(VLOOKUP(D:D,'테스트(2회)'!C:G,5, 0)="X",1,0),0)</f>
        <v>0</v>
      </c>
      <c r="L200" s="17">
        <f>IFERROR(IF(VLOOKUP(D:D,'테스트(3회)'!C:G,5, 0)="X",1,0),0)</f>
        <v>0</v>
      </c>
      <c r="M200" s="17">
        <f>IFERROR(IF(VLOOKUP(D:D,'테스트(4회)'!C:G,5, 0)="X",1,0),0)</f>
        <v>0</v>
      </c>
      <c r="N200" s="17">
        <f>IFERROR(IF(VLOOKUP(D:D,'테스트(5회)'!C:G,5, 0)="X",1,0),0)</f>
        <v>0</v>
      </c>
      <c r="O200" s="9"/>
    </row>
    <row r="201" spans="2:15" ht="85.5" x14ac:dyDescent="0.3">
      <c r="B201" s="13">
        <v>198</v>
      </c>
      <c r="C201" s="17" t="str">
        <f t="shared" si="6"/>
        <v>2017</v>
      </c>
      <c r="D201" s="14" t="s">
        <v>244</v>
      </c>
      <c r="E201" s="14" t="s">
        <v>659</v>
      </c>
      <c r="F201" s="15" t="s">
        <v>245</v>
      </c>
      <c r="G201" s="16">
        <v>5</v>
      </c>
      <c r="H201" s="17">
        <f t="shared" si="7"/>
        <v>1</v>
      </c>
      <c r="I201" s="9"/>
      <c r="J201" s="17">
        <f>IFERROR(IF(VLOOKUP(D:D,'테스트(1회)'!C:G,5, 0)="X",1,0),0)</f>
        <v>1</v>
      </c>
      <c r="K201" s="17">
        <f>IFERROR(IF(VLOOKUP(D:D,'테스트(2회)'!C:G,5, 0)="X",1,0),0)</f>
        <v>0</v>
      </c>
      <c r="L201" s="17">
        <f>IFERROR(IF(VLOOKUP(D:D,'테스트(3회)'!C:G,5, 0)="X",1,0),0)</f>
        <v>0</v>
      </c>
      <c r="M201" s="17">
        <f>IFERROR(IF(VLOOKUP(D:D,'테스트(4회)'!C:G,5, 0)="X",1,0),0)</f>
        <v>0</v>
      </c>
      <c r="N201" s="17">
        <f>IFERROR(IF(VLOOKUP(D:D,'테스트(5회)'!C:G,5, 0)="X",1,0),0)</f>
        <v>0</v>
      </c>
      <c r="O201" s="9"/>
    </row>
    <row r="202" spans="2:15" ht="85.5" x14ac:dyDescent="0.3">
      <c r="B202" s="13">
        <v>199</v>
      </c>
      <c r="C202" s="17" t="str">
        <f t="shared" si="6"/>
        <v>2017</v>
      </c>
      <c r="D202" s="14" t="s">
        <v>246</v>
      </c>
      <c r="E202" s="14" t="s">
        <v>659</v>
      </c>
      <c r="F202" s="15" t="s">
        <v>247</v>
      </c>
      <c r="G202" s="16">
        <v>5</v>
      </c>
      <c r="H202" s="17">
        <f t="shared" si="7"/>
        <v>0</v>
      </c>
      <c r="I202" s="9"/>
      <c r="J202" s="17">
        <f>IFERROR(IF(VLOOKUP(D:D,'테스트(1회)'!C:G,5, 0)="X",1,0),0)</f>
        <v>0</v>
      </c>
      <c r="K202" s="17">
        <f>IFERROR(IF(VLOOKUP(D:D,'테스트(2회)'!C:G,5, 0)="X",1,0),0)</f>
        <v>0</v>
      </c>
      <c r="L202" s="17">
        <f>IFERROR(IF(VLOOKUP(D:D,'테스트(3회)'!C:G,5, 0)="X",1,0),0)</f>
        <v>0</v>
      </c>
      <c r="M202" s="17">
        <f>IFERROR(IF(VLOOKUP(D:D,'테스트(4회)'!C:G,5, 0)="X",1,0),0)</f>
        <v>0</v>
      </c>
      <c r="N202" s="17">
        <f>IFERROR(IF(VLOOKUP(D:D,'테스트(5회)'!C:G,5, 0)="X",1,0),0)</f>
        <v>0</v>
      </c>
      <c r="O202" s="9"/>
    </row>
    <row r="203" spans="2:15" ht="85.5" x14ac:dyDescent="0.3">
      <c r="B203" s="13">
        <v>200</v>
      </c>
      <c r="C203" s="17" t="str">
        <f t="shared" si="6"/>
        <v>2017</v>
      </c>
      <c r="D203" s="14" t="s">
        <v>248</v>
      </c>
      <c r="E203" s="14" t="s">
        <v>659</v>
      </c>
      <c r="F203" s="15" t="s">
        <v>249</v>
      </c>
      <c r="G203" s="16">
        <v>2</v>
      </c>
      <c r="H203" s="17">
        <f t="shared" si="7"/>
        <v>0</v>
      </c>
      <c r="I203" s="9"/>
      <c r="J203" s="17">
        <f>IFERROR(IF(VLOOKUP(D:D,'테스트(1회)'!C:G,5, 0)="X",1,0),0)</f>
        <v>0</v>
      </c>
      <c r="K203" s="17">
        <f>IFERROR(IF(VLOOKUP(D:D,'테스트(2회)'!C:G,5, 0)="X",1,0),0)</f>
        <v>0</v>
      </c>
      <c r="L203" s="17">
        <f>IFERROR(IF(VLOOKUP(D:D,'테스트(3회)'!C:G,5, 0)="X",1,0),0)</f>
        <v>0</v>
      </c>
      <c r="M203" s="17">
        <f>IFERROR(IF(VLOOKUP(D:D,'테스트(4회)'!C:G,5, 0)="X",1,0),0)</f>
        <v>0</v>
      </c>
      <c r="N203" s="17">
        <f>IFERROR(IF(VLOOKUP(D:D,'테스트(5회)'!C:G,5, 0)="X",1,0),0)</f>
        <v>0</v>
      </c>
      <c r="O203" s="9"/>
    </row>
    <row r="204" spans="2:15" ht="85.5" x14ac:dyDescent="0.3">
      <c r="B204" s="13">
        <v>201</v>
      </c>
      <c r="C204" s="17" t="str">
        <f t="shared" si="6"/>
        <v>2017</v>
      </c>
      <c r="D204" s="14" t="s">
        <v>250</v>
      </c>
      <c r="E204" s="14" t="s">
        <v>659</v>
      </c>
      <c r="F204" s="15" t="s">
        <v>251</v>
      </c>
      <c r="G204" s="16">
        <v>2</v>
      </c>
      <c r="H204" s="17">
        <f t="shared" si="7"/>
        <v>0</v>
      </c>
      <c r="I204" s="9"/>
      <c r="J204" s="17">
        <f>IFERROR(IF(VLOOKUP(D:D,'테스트(1회)'!C:G,5, 0)="X",1,0),0)</f>
        <v>0</v>
      </c>
      <c r="K204" s="17">
        <f>IFERROR(IF(VLOOKUP(D:D,'테스트(2회)'!C:G,5, 0)="X",1,0),0)</f>
        <v>0</v>
      </c>
      <c r="L204" s="17">
        <f>IFERROR(IF(VLOOKUP(D:D,'테스트(3회)'!C:G,5, 0)="X",1,0),0)</f>
        <v>0</v>
      </c>
      <c r="M204" s="17">
        <f>IFERROR(IF(VLOOKUP(D:D,'테스트(4회)'!C:G,5, 0)="X",1,0),0)</f>
        <v>0</v>
      </c>
      <c r="N204" s="17">
        <f>IFERROR(IF(VLOOKUP(D:D,'테스트(5회)'!C:G,5, 0)="X",1,0),0)</f>
        <v>0</v>
      </c>
      <c r="O204" s="9"/>
    </row>
    <row r="205" spans="2:15" ht="85.5" x14ac:dyDescent="0.3">
      <c r="B205" s="13">
        <v>202</v>
      </c>
      <c r="C205" s="17" t="str">
        <f t="shared" si="6"/>
        <v>2017</v>
      </c>
      <c r="D205" s="14" t="s">
        <v>252</v>
      </c>
      <c r="E205" s="14" t="s">
        <v>659</v>
      </c>
      <c r="F205" s="15" t="s">
        <v>253</v>
      </c>
      <c r="G205" s="16">
        <v>1</v>
      </c>
      <c r="H205" s="17">
        <f t="shared" si="7"/>
        <v>0</v>
      </c>
      <c r="I205" s="9"/>
      <c r="J205" s="17">
        <f>IFERROR(IF(VLOOKUP(D:D,'테스트(1회)'!C:G,5, 0)="X",1,0),0)</f>
        <v>0</v>
      </c>
      <c r="K205" s="17">
        <f>IFERROR(IF(VLOOKUP(D:D,'테스트(2회)'!C:G,5, 0)="X",1,0),0)</f>
        <v>0</v>
      </c>
      <c r="L205" s="17">
        <f>IFERROR(IF(VLOOKUP(D:D,'테스트(3회)'!C:G,5, 0)="X",1,0),0)</f>
        <v>0</v>
      </c>
      <c r="M205" s="17">
        <f>IFERROR(IF(VLOOKUP(D:D,'테스트(4회)'!C:G,5, 0)="X",1,0),0)</f>
        <v>0</v>
      </c>
      <c r="N205" s="17">
        <f>IFERROR(IF(VLOOKUP(D:D,'테스트(5회)'!C:G,5, 0)="X",1,0),0)</f>
        <v>0</v>
      </c>
      <c r="O205" s="9"/>
    </row>
    <row r="206" spans="2:15" ht="85.5" x14ac:dyDescent="0.3">
      <c r="B206" s="13">
        <v>203</v>
      </c>
      <c r="C206" s="17" t="str">
        <f t="shared" si="6"/>
        <v>2017</v>
      </c>
      <c r="D206" s="14" t="s">
        <v>254</v>
      </c>
      <c r="E206" s="14" t="s">
        <v>659</v>
      </c>
      <c r="F206" s="15" t="s">
        <v>255</v>
      </c>
      <c r="G206" s="16">
        <v>1</v>
      </c>
      <c r="H206" s="17">
        <f t="shared" si="7"/>
        <v>0</v>
      </c>
      <c r="I206" s="9"/>
      <c r="J206" s="17">
        <f>IFERROR(IF(VLOOKUP(D:D,'테스트(1회)'!C:G,5, 0)="X",1,0),0)</f>
        <v>0</v>
      </c>
      <c r="K206" s="17">
        <f>IFERROR(IF(VLOOKUP(D:D,'테스트(2회)'!C:G,5, 0)="X",1,0),0)</f>
        <v>0</v>
      </c>
      <c r="L206" s="17">
        <f>IFERROR(IF(VLOOKUP(D:D,'테스트(3회)'!C:G,5, 0)="X",1,0),0)</f>
        <v>0</v>
      </c>
      <c r="M206" s="17">
        <f>IFERROR(IF(VLOOKUP(D:D,'테스트(4회)'!C:G,5, 0)="X",1,0),0)</f>
        <v>0</v>
      </c>
      <c r="N206" s="17">
        <f>IFERROR(IF(VLOOKUP(D:D,'테스트(5회)'!C:G,5, 0)="X",1,0),0)</f>
        <v>0</v>
      </c>
      <c r="O206" s="9"/>
    </row>
    <row r="207" spans="2:15" ht="85.5" x14ac:dyDescent="0.3">
      <c r="B207" s="13">
        <v>204</v>
      </c>
      <c r="C207" s="17" t="str">
        <f t="shared" si="6"/>
        <v>2017</v>
      </c>
      <c r="D207" s="14" t="s">
        <v>256</v>
      </c>
      <c r="E207" s="14" t="s">
        <v>659</v>
      </c>
      <c r="F207" s="15" t="s">
        <v>257</v>
      </c>
      <c r="G207" s="16">
        <v>2</v>
      </c>
      <c r="H207" s="17">
        <f t="shared" si="7"/>
        <v>0</v>
      </c>
      <c r="I207" s="9"/>
      <c r="J207" s="17">
        <f>IFERROR(IF(VLOOKUP(D:D,'테스트(1회)'!C:G,5, 0)="X",1,0),0)</f>
        <v>0</v>
      </c>
      <c r="K207" s="17">
        <f>IFERROR(IF(VLOOKUP(D:D,'테스트(2회)'!C:G,5, 0)="X",1,0),0)</f>
        <v>0</v>
      </c>
      <c r="L207" s="17">
        <f>IFERROR(IF(VLOOKUP(D:D,'테스트(3회)'!C:G,5, 0)="X",1,0),0)</f>
        <v>0</v>
      </c>
      <c r="M207" s="17">
        <f>IFERROR(IF(VLOOKUP(D:D,'테스트(4회)'!C:G,5, 0)="X",1,0),0)</f>
        <v>0</v>
      </c>
      <c r="N207" s="17">
        <f>IFERROR(IF(VLOOKUP(D:D,'테스트(5회)'!C:G,5, 0)="X",1,0),0)</f>
        <v>0</v>
      </c>
      <c r="O207" s="9"/>
    </row>
    <row r="208" spans="2:15" ht="128.25" x14ac:dyDescent="0.3">
      <c r="B208" s="13">
        <v>205</v>
      </c>
      <c r="C208" s="17" t="str">
        <f t="shared" si="6"/>
        <v>2017</v>
      </c>
      <c r="D208" s="14" t="s">
        <v>258</v>
      </c>
      <c r="E208" s="14" t="s">
        <v>659</v>
      </c>
      <c r="F208" s="15" t="s">
        <v>259</v>
      </c>
      <c r="G208" s="16">
        <v>4</v>
      </c>
      <c r="H208" s="17">
        <f t="shared" si="7"/>
        <v>1</v>
      </c>
      <c r="I208" s="9"/>
      <c r="J208" s="17">
        <f>IFERROR(IF(VLOOKUP(D:D,'테스트(1회)'!C:G,5, 0)="X",1,0),0)</f>
        <v>1</v>
      </c>
      <c r="K208" s="17">
        <f>IFERROR(IF(VLOOKUP(D:D,'테스트(2회)'!C:G,5, 0)="X",1,0),0)</f>
        <v>0</v>
      </c>
      <c r="L208" s="17">
        <f>IFERROR(IF(VLOOKUP(D:D,'테스트(3회)'!C:G,5, 0)="X",1,0),0)</f>
        <v>0</v>
      </c>
      <c r="M208" s="17">
        <f>IFERROR(IF(VLOOKUP(D:D,'테스트(4회)'!C:G,5, 0)="X",1,0),0)</f>
        <v>0</v>
      </c>
      <c r="N208" s="17">
        <f>IFERROR(IF(VLOOKUP(D:D,'테스트(5회)'!C:G,5, 0)="X",1,0),0)</f>
        <v>0</v>
      </c>
      <c r="O208" s="9"/>
    </row>
    <row r="209" spans="2:15" ht="85.5" x14ac:dyDescent="0.3">
      <c r="B209" s="13">
        <v>206</v>
      </c>
      <c r="C209" s="17" t="str">
        <f t="shared" si="6"/>
        <v>2017</v>
      </c>
      <c r="D209" s="14" t="s">
        <v>260</v>
      </c>
      <c r="E209" s="14" t="s">
        <v>659</v>
      </c>
      <c r="F209" s="15" t="s">
        <v>261</v>
      </c>
      <c r="G209" s="16">
        <v>3</v>
      </c>
      <c r="H209" s="17">
        <f t="shared" si="7"/>
        <v>0</v>
      </c>
      <c r="I209" s="9"/>
      <c r="J209" s="17">
        <f>IFERROR(IF(VLOOKUP(D:D,'테스트(1회)'!C:G,5, 0)="X",1,0),0)</f>
        <v>0</v>
      </c>
      <c r="K209" s="17">
        <f>IFERROR(IF(VLOOKUP(D:D,'테스트(2회)'!C:G,5, 0)="X",1,0),0)</f>
        <v>0</v>
      </c>
      <c r="L209" s="17">
        <f>IFERROR(IF(VLOOKUP(D:D,'테스트(3회)'!C:G,5, 0)="X",1,0),0)</f>
        <v>0</v>
      </c>
      <c r="M209" s="17">
        <f>IFERROR(IF(VLOOKUP(D:D,'테스트(4회)'!C:G,5, 0)="X",1,0),0)</f>
        <v>0</v>
      </c>
      <c r="N209" s="17">
        <f>IFERROR(IF(VLOOKUP(D:D,'테스트(5회)'!C:G,5, 0)="X",1,0),0)</f>
        <v>0</v>
      </c>
      <c r="O209" s="9"/>
    </row>
    <row r="210" spans="2:15" ht="142.5" x14ac:dyDescent="0.3">
      <c r="B210" s="13">
        <v>207</v>
      </c>
      <c r="C210" s="17" t="str">
        <f t="shared" si="6"/>
        <v>2017</v>
      </c>
      <c r="D210" s="14" t="s">
        <v>670</v>
      </c>
      <c r="E210" s="14" t="s">
        <v>659</v>
      </c>
      <c r="F210" s="15" t="s">
        <v>262</v>
      </c>
      <c r="G210" s="16">
        <v>3</v>
      </c>
      <c r="H210" s="17">
        <f t="shared" si="7"/>
        <v>0</v>
      </c>
      <c r="I210" s="9"/>
      <c r="J210" s="17">
        <f>IFERROR(IF(VLOOKUP(D:D,'테스트(1회)'!C:G,5, 0)="X",1,0),0)</f>
        <v>0</v>
      </c>
      <c r="K210" s="17">
        <f>IFERROR(IF(VLOOKUP(D:D,'테스트(2회)'!C:G,5, 0)="X",1,0),0)</f>
        <v>0</v>
      </c>
      <c r="L210" s="17">
        <f>IFERROR(IF(VLOOKUP(D:D,'테스트(3회)'!C:G,5, 0)="X",1,0),0)</f>
        <v>0</v>
      </c>
      <c r="M210" s="17">
        <f>IFERROR(IF(VLOOKUP(D:D,'테스트(4회)'!C:G,5, 0)="X",1,0),0)</f>
        <v>0</v>
      </c>
      <c r="N210" s="17">
        <f>IFERROR(IF(VLOOKUP(D:D,'테스트(5회)'!C:G,5, 0)="X",1,0),0)</f>
        <v>0</v>
      </c>
      <c r="O210" s="9"/>
    </row>
    <row r="211" spans="2:15" ht="85.5" x14ac:dyDescent="0.3">
      <c r="B211" s="13">
        <v>208</v>
      </c>
      <c r="C211" s="17" t="str">
        <f t="shared" si="6"/>
        <v>2017</v>
      </c>
      <c r="D211" s="14" t="s">
        <v>263</v>
      </c>
      <c r="E211" s="14" t="s">
        <v>659</v>
      </c>
      <c r="F211" s="15" t="s">
        <v>777</v>
      </c>
      <c r="G211" s="16">
        <v>1</v>
      </c>
      <c r="H211" s="17">
        <f t="shared" si="7"/>
        <v>0</v>
      </c>
      <c r="I211" s="9"/>
      <c r="J211" s="17">
        <f>IFERROR(IF(VLOOKUP(D:D,'테스트(1회)'!C:G,5, 0)="X",1,0),0)</f>
        <v>0</v>
      </c>
      <c r="K211" s="17">
        <f>IFERROR(IF(VLOOKUP(D:D,'테스트(2회)'!C:G,5, 0)="X",1,0),0)</f>
        <v>0</v>
      </c>
      <c r="L211" s="17">
        <f>IFERROR(IF(VLOOKUP(D:D,'테스트(3회)'!C:G,5, 0)="X",1,0),0)</f>
        <v>0</v>
      </c>
      <c r="M211" s="17">
        <f>IFERROR(IF(VLOOKUP(D:D,'테스트(4회)'!C:G,5, 0)="X",1,0),0)</f>
        <v>0</v>
      </c>
      <c r="N211" s="17">
        <f>IFERROR(IF(VLOOKUP(D:D,'테스트(5회)'!C:G,5, 0)="X",1,0),0)</f>
        <v>0</v>
      </c>
      <c r="O211" s="9"/>
    </row>
    <row r="212" spans="2:15" ht="85.5" x14ac:dyDescent="0.3">
      <c r="B212" s="13">
        <v>209</v>
      </c>
      <c r="C212" s="17" t="str">
        <f t="shared" si="6"/>
        <v>2017</v>
      </c>
      <c r="D212" s="14" t="s">
        <v>264</v>
      </c>
      <c r="E212" s="14" t="s">
        <v>659</v>
      </c>
      <c r="F212" s="15" t="s">
        <v>265</v>
      </c>
      <c r="G212" s="16">
        <v>4</v>
      </c>
      <c r="H212" s="17">
        <f t="shared" si="7"/>
        <v>0</v>
      </c>
      <c r="I212" s="9"/>
      <c r="J212" s="17">
        <f>IFERROR(IF(VLOOKUP(D:D,'테스트(1회)'!C:G,5, 0)="X",1,0),0)</f>
        <v>0</v>
      </c>
      <c r="K212" s="17">
        <f>IFERROR(IF(VLOOKUP(D:D,'테스트(2회)'!C:G,5, 0)="X",1,0),0)</f>
        <v>0</v>
      </c>
      <c r="L212" s="17">
        <f>IFERROR(IF(VLOOKUP(D:D,'테스트(3회)'!C:G,5, 0)="X",1,0),0)</f>
        <v>0</v>
      </c>
      <c r="M212" s="17">
        <f>IFERROR(IF(VLOOKUP(D:D,'테스트(4회)'!C:G,5, 0)="X",1,0),0)</f>
        <v>0</v>
      </c>
      <c r="N212" s="17">
        <f>IFERROR(IF(VLOOKUP(D:D,'테스트(5회)'!C:G,5, 0)="X",1,0),0)</f>
        <v>0</v>
      </c>
      <c r="O212" s="9"/>
    </row>
    <row r="213" spans="2:15" ht="85.5" x14ac:dyDescent="0.3">
      <c r="B213" s="13">
        <v>210</v>
      </c>
      <c r="C213" s="17" t="str">
        <f t="shared" si="6"/>
        <v>2017</v>
      </c>
      <c r="D213" s="14" t="s">
        <v>266</v>
      </c>
      <c r="E213" s="14" t="s">
        <v>659</v>
      </c>
      <c r="F213" s="15" t="s">
        <v>267</v>
      </c>
      <c r="G213" s="16">
        <v>1</v>
      </c>
      <c r="H213" s="17">
        <f t="shared" si="7"/>
        <v>0</v>
      </c>
      <c r="I213" s="9"/>
      <c r="J213" s="17">
        <f>IFERROR(IF(VLOOKUP(D:D,'테스트(1회)'!C:G,5, 0)="X",1,0),0)</f>
        <v>0</v>
      </c>
      <c r="K213" s="17">
        <f>IFERROR(IF(VLOOKUP(D:D,'테스트(2회)'!C:G,5, 0)="X",1,0),0)</f>
        <v>0</v>
      </c>
      <c r="L213" s="17">
        <f>IFERROR(IF(VLOOKUP(D:D,'테스트(3회)'!C:G,5, 0)="X",1,0),0)</f>
        <v>0</v>
      </c>
      <c r="M213" s="17">
        <f>IFERROR(IF(VLOOKUP(D:D,'테스트(4회)'!C:G,5, 0)="X",1,0),0)</f>
        <v>0</v>
      </c>
      <c r="N213" s="17">
        <f>IFERROR(IF(VLOOKUP(D:D,'테스트(5회)'!C:G,5, 0)="X",1,0),0)</f>
        <v>0</v>
      </c>
      <c r="O213" s="9"/>
    </row>
    <row r="214" spans="2:15" ht="114" x14ac:dyDescent="0.3">
      <c r="B214" s="13">
        <v>211</v>
      </c>
      <c r="C214" s="17" t="str">
        <f t="shared" si="6"/>
        <v>2017</v>
      </c>
      <c r="D214" s="14" t="s">
        <v>268</v>
      </c>
      <c r="E214" s="14" t="s">
        <v>659</v>
      </c>
      <c r="F214" s="15" t="s">
        <v>833</v>
      </c>
      <c r="G214" s="16">
        <v>4</v>
      </c>
      <c r="H214" s="17">
        <f t="shared" si="7"/>
        <v>1</v>
      </c>
      <c r="I214" s="9"/>
      <c r="J214" s="17">
        <f>IFERROR(IF(VLOOKUP(D:D,'테스트(1회)'!C:G,5, 0)="X",1,0),0)</f>
        <v>1</v>
      </c>
      <c r="K214" s="17">
        <f>IFERROR(IF(VLOOKUP(D:D,'테스트(2회)'!C:G,5, 0)="X",1,0),0)</f>
        <v>0</v>
      </c>
      <c r="L214" s="17">
        <f>IFERROR(IF(VLOOKUP(D:D,'테스트(3회)'!C:G,5, 0)="X",1,0),0)</f>
        <v>0</v>
      </c>
      <c r="M214" s="17">
        <f>IFERROR(IF(VLOOKUP(D:D,'테스트(4회)'!C:G,5, 0)="X",1,0),0)</f>
        <v>0</v>
      </c>
      <c r="N214" s="17">
        <f>IFERROR(IF(VLOOKUP(D:D,'테스트(5회)'!C:G,5, 0)="X",1,0),0)</f>
        <v>0</v>
      </c>
      <c r="O214" s="9"/>
    </row>
    <row r="215" spans="2:15" ht="114" x14ac:dyDescent="0.3">
      <c r="B215" s="13">
        <v>212</v>
      </c>
      <c r="C215" s="17" t="str">
        <f t="shared" si="6"/>
        <v>2017</v>
      </c>
      <c r="D215" s="14" t="s">
        <v>269</v>
      </c>
      <c r="E215" s="14" t="s">
        <v>659</v>
      </c>
      <c r="F215" s="15" t="s">
        <v>270</v>
      </c>
      <c r="G215" s="16">
        <v>2</v>
      </c>
      <c r="H215" s="17">
        <f t="shared" si="7"/>
        <v>1</v>
      </c>
      <c r="I215" s="9"/>
      <c r="J215" s="17">
        <f>IFERROR(IF(VLOOKUP(D:D,'테스트(1회)'!C:G,5, 0)="X",1,0),0)</f>
        <v>1</v>
      </c>
      <c r="K215" s="17">
        <f>IFERROR(IF(VLOOKUP(D:D,'테스트(2회)'!C:G,5, 0)="X",1,0),0)</f>
        <v>0</v>
      </c>
      <c r="L215" s="17">
        <f>IFERROR(IF(VLOOKUP(D:D,'테스트(3회)'!C:G,5, 0)="X",1,0),0)</f>
        <v>0</v>
      </c>
      <c r="M215" s="17">
        <f>IFERROR(IF(VLOOKUP(D:D,'테스트(4회)'!C:G,5, 0)="X",1,0),0)</f>
        <v>0</v>
      </c>
      <c r="N215" s="17">
        <f>IFERROR(IF(VLOOKUP(D:D,'테스트(5회)'!C:G,5, 0)="X",1,0),0)</f>
        <v>0</v>
      </c>
      <c r="O215" s="9"/>
    </row>
    <row r="216" spans="2:15" ht="85.5" x14ac:dyDescent="0.3">
      <c r="B216" s="13">
        <v>213</v>
      </c>
      <c r="C216" s="17" t="str">
        <f t="shared" si="6"/>
        <v>2017</v>
      </c>
      <c r="D216" s="14" t="s">
        <v>271</v>
      </c>
      <c r="E216" s="14" t="s">
        <v>659</v>
      </c>
      <c r="F216" s="15" t="s">
        <v>272</v>
      </c>
      <c r="G216" s="16">
        <v>5</v>
      </c>
      <c r="H216" s="17">
        <f t="shared" si="7"/>
        <v>0</v>
      </c>
      <c r="I216" s="9"/>
      <c r="J216" s="17">
        <f>IFERROR(IF(VLOOKUP(D:D,'테스트(1회)'!C:G,5, 0)="X",1,0),0)</f>
        <v>0</v>
      </c>
      <c r="K216" s="17">
        <f>IFERROR(IF(VLOOKUP(D:D,'테스트(2회)'!C:G,5, 0)="X",1,0),0)</f>
        <v>0</v>
      </c>
      <c r="L216" s="17">
        <f>IFERROR(IF(VLOOKUP(D:D,'테스트(3회)'!C:G,5, 0)="X",1,0),0)</f>
        <v>0</v>
      </c>
      <c r="M216" s="17">
        <f>IFERROR(IF(VLOOKUP(D:D,'테스트(4회)'!C:G,5, 0)="X",1,0),0)</f>
        <v>0</v>
      </c>
      <c r="N216" s="17">
        <f>IFERROR(IF(VLOOKUP(D:D,'테스트(5회)'!C:G,5, 0)="X",1,0),0)</f>
        <v>0</v>
      </c>
      <c r="O216" s="9"/>
    </row>
    <row r="217" spans="2:15" ht="85.5" x14ac:dyDescent="0.3">
      <c r="B217" s="13">
        <v>214</v>
      </c>
      <c r="C217" s="17" t="str">
        <f t="shared" si="6"/>
        <v>2017</v>
      </c>
      <c r="D217" s="14" t="s">
        <v>273</v>
      </c>
      <c r="E217" s="14" t="s">
        <v>659</v>
      </c>
      <c r="F217" s="15" t="s">
        <v>274</v>
      </c>
      <c r="G217" s="16">
        <v>3</v>
      </c>
      <c r="H217" s="17">
        <f t="shared" si="7"/>
        <v>1</v>
      </c>
      <c r="I217" s="9"/>
      <c r="J217" s="17">
        <f>IFERROR(IF(VLOOKUP(D:D,'테스트(1회)'!C:G,5, 0)="X",1,0),0)</f>
        <v>1</v>
      </c>
      <c r="K217" s="17">
        <f>IFERROR(IF(VLOOKUP(D:D,'테스트(2회)'!C:G,5, 0)="X",1,0),0)</f>
        <v>0</v>
      </c>
      <c r="L217" s="17">
        <f>IFERROR(IF(VLOOKUP(D:D,'테스트(3회)'!C:G,5, 0)="X",1,0),0)</f>
        <v>0</v>
      </c>
      <c r="M217" s="17">
        <f>IFERROR(IF(VLOOKUP(D:D,'테스트(4회)'!C:G,5, 0)="X",1,0),0)</f>
        <v>0</v>
      </c>
      <c r="N217" s="17">
        <f>IFERROR(IF(VLOOKUP(D:D,'테스트(5회)'!C:G,5, 0)="X",1,0),0)</f>
        <v>0</v>
      </c>
      <c r="O217" s="9"/>
    </row>
    <row r="218" spans="2:15" ht="142.5" x14ac:dyDescent="0.3">
      <c r="B218" s="13">
        <v>215</v>
      </c>
      <c r="C218" s="17" t="str">
        <f t="shared" si="6"/>
        <v>2017</v>
      </c>
      <c r="D218" s="14" t="s">
        <v>275</v>
      </c>
      <c r="E218" s="14" t="s">
        <v>659</v>
      </c>
      <c r="F218" s="15" t="s">
        <v>1050</v>
      </c>
      <c r="G218" s="16">
        <v>4</v>
      </c>
      <c r="H218" s="17">
        <f t="shared" si="7"/>
        <v>0</v>
      </c>
      <c r="I218" s="9"/>
      <c r="J218" s="17">
        <f>IFERROR(IF(VLOOKUP(D:D,'테스트(1회)'!C:G,5, 0)="X",1,0),0)</f>
        <v>0</v>
      </c>
      <c r="K218" s="17">
        <f>IFERROR(IF(VLOOKUP(D:D,'테스트(2회)'!C:G,5, 0)="X",1,0),0)</f>
        <v>0</v>
      </c>
      <c r="L218" s="17">
        <f>IFERROR(IF(VLOOKUP(D:D,'테스트(3회)'!C:G,5, 0)="X",1,0),0)</f>
        <v>0</v>
      </c>
      <c r="M218" s="17">
        <f>IFERROR(IF(VLOOKUP(D:D,'테스트(4회)'!C:G,5, 0)="X",1,0),0)</f>
        <v>0</v>
      </c>
      <c r="N218" s="17">
        <f>IFERROR(IF(VLOOKUP(D:D,'테스트(5회)'!C:G,5, 0)="X",1,0),0)</f>
        <v>0</v>
      </c>
      <c r="O218" s="9"/>
    </row>
    <row r="219" spans="2:15" ht="85.5" x14ac:dyDescent="0.3">
      <c r="B219" s="13">
        <v>216</v>
      </c>
      <c r="C219" s="17" t="str">
        <f t="shared" si="6"/>
        <v>2016</v>
      </c>
      <c r="D219" s="14" t="s">
        <v>276</v>
      </c>
      <c r="E219" s="14" t="s">
        <v>659</v>
      </c>
      <c r="F219" s="15" t="s">
        <v>1052</v>
      </c>
      <c r="G219" s="16">
        <v>3</v>
      </c>
      <c r="H219" s="17">
        <f t="shared" si="7"/>
        <v>0</v>
      </c>
      <c r="I219" s="9"/>
      <c r="J219" s="17">
        <f>IFERROR(IF(VLOOKUP(D:D,'테스트(1회)'!C:G,5, 0)="X",1,0),0)</f>
        <v>0</v>
      </c>
      <c r="K219" s="17">
        <f>IFERROR(IF(VLOOKUP(D:D,'테스트(2회)'!C:G,5, 0)="X",1,0),0)</f>
        <v>0</v>
      </c>
      <c r="L219" s="17">
        <f>IFERROR(IF(VLOOKUP(D:D,'테스트(3회)'!C:G,5, 0)="X",1,0),0)</f>
        <v>0</v>
      </c>
      <c r="M219" s="17">
        <f>IFERROR(IF(VLOOKUP(D:D,'테스트(4회)'!C:G,5, 0)="X",1,0),0)</f>
        <v>0</v>
      </c>
      <c r="N219" s="17">
        <f>IFERROR(IF(VLOOKUP(D:D,'테스트(5회)'!C:G,5, 0)="X",1,0),0)</f>
        <v>0</v>
      </c>
      <c r="O219" s="9"/>
    </row>
    <row r="220" spans="2:15" ht="85.5" x14ac:dyDescent="0.3">
      <c r="B220" s="13">
        <v>217</v>
      </c>
      <c r="C220" s="17" t="str">
        <f t="shared" si="6"/>
        <v>2016</v>
      </c>
      <c r="D220" s="14" t="s">
        <v>277</v>
      </c>
      <c r="E220" s="14" t="s">
        <v>659</v>
      </c>
      <c r="F220" s="15" t="s">
        <v>278</v>
      </c>
      <c r="G220" s="16">
        <v>1</v>
      </c>
      <c r="H220" s="17">
        <f t="shared" si="7"/>
        <v>0</v>
      </c>
      <c r="I220" s="9"/>
      <c r="J220" s="17">
        <f>IFERROR(IF(VLOOKUP(D:D,'테스트(1회)'!C:G,5, 0)="X",1,0),0)</f>
        <v>0</v>
      </c>
      <c r="K220" s="17">
        <f>IFERROR(IF(VLOOKUP(D:D,'테스트(2회)'!C:G,5, 0)="X",1,0),0)</f>
        <v>0</v>
      </c>
      <c r="L220" s="17">
        <f>IFERROR(IF(VLOOKUP(D:D,'테스트(3회)'!C:G,5, 0)="X",1,0),0)</f>
        <v>0</v>
      </c>
      <c r="M220" s="17">
        <f>IFERROR(IF(VLOOKUP(D:D,'테스트(4회)'!C:G,5, 0)="X",1,0),0)</f>
        <v>0</v>
      </c>
      <c r="N220" s="17">
        <f>IFERROR(IF(VLOOKUP(D:D,'테스트(5회)'!C:G,5, 0)="X",1,0),0)</f>
        <v>0</v>
      </c>
      <c r="O220" s="9"/>
    </row>
    <row r="221" spans="2:15" ht="114" x14ac:dyDescent="0.3">
      <c r="B221" s="13">
        <v>218</v>
      </c>
      <c r="C221" s="17" t="str">
        <f t="shared" si="6"/>
        <v>2016</v>
      </c>
      <c r="D221" s="14" t="s">
        <v>279</v>
      </c>
      <c r="E221" s="14" t="s">
        <v>659</v>
      </c>
      <c r="F221" s="15" t="s">
        <v>835</v>
      </c>
      <c r="G221" s="16">
        <v>5</v>
      </c>
      <c r="H221" s="17">
        <f t="shared" si="7"/>
        <v>0</v>
      </c>
      <c r="I221" s="9"/>
      <c r="J221" s="17">
        <f>IFERROR(IF(VLOOKUP(D:D,'테스트(1회)'!C:G,5, 0)="X",1,0),0)</f>
        <v>0</v>
      </c>
      <c r="K221" s="17">
        <f>IFERROR(IF(VLOOKUP(D:D,'테스트(2회)'!C:G,5, 0)="X",1,0),0)</f>
        <v>0</v>
      </c>
      <c r="L221" s="17">
        <f>IFERROR(IF(VLOOKUP(D:D,'테스트(3회)'!C:G,5, 0)="X",1,0),0)</f>
        <v>0</v>
      </c>
      <c r="M221" s="17">
        <f>IFERROR(IF(VLOOKUP(D:D,'테스트(4회)'!C:G,5, 0)="X",1,0),0)</f>
        <v>0</v>
      </c>
      <c r="N221" s="17">
        <f>IFERROR(IF(VLOOKUP(D:D,'테스트(5회)'!C:G,5, 0)="X",1,0),0)</f>
        <v>0</v>
      </c>
      <c r="O221" s="9"/>
    </row>
    <row r="222" spans="2:15" ht="85.5" x14ac:dyDescent="0.3">
      <c r="B222" s="13">
        <v>219</v>
      </c>
      <c r="C222" s="17" t="str">
        <f t="shared" si="6"/>
        <v>2016</v>
      </c>
      <c r="D222" s="14" t="s">
        <v>280</v>
      </c>
      <c r="E222" s="14" t="s">
        <v>659</v>
      </c>
      <c r="F222" s="15" t="s">
        <v>281</v>
      </c>
      <c r="G222" s="16">
        <v>2</v>
      </c>
      <c r="H222" s="17">
        <f t="shared" si="7"/>
        <v>0</v>
      </c>
      <c r="I222" s="9"/>
      <c r="J222" s="17">
        <f>IFERROR(IF(VLOOKUP(D:D,'테스트(1회)'!C:G,5, 0)="X",1,0),0)</f>
        <v>0</v>
      </c>
      <c r="K222" s="17">
        <f>IFERROR(IF(VLOOKUP(D:D,'테스트(2회)'!C:G,5, 0)="X",1,0),0)</f>
        <v>0</v>
      </c>
      <c r="L222" s="17">
        <f>IFERROR(IF(VLOOKUP(D:D,'테스트(3회)'!C:G,5, 0)="X",1,0),0)</f>
        <v>0</v>
      </c>
      <c r="M222" s="17">
        <f>IFERROR(IF(VLOOKUP(D:D,'테스트(4회)'!C:G,5, 0)="X",1,0),0)</f>
        <v>0</v>
      </c>
      <c r="N222" s="17">
        <f>IFERROR(IF(VLOOKUP(D:D,'테스트(5회)'!C:G,5, 0)="X",1,0),0)</f>
        <v>0</v>
      </c>
      <c r="O222" s="9"/>
    </row>
    <row r="223" spans="2:15" ht="85.5" x14ac:dyDescent="0.3">
      <c r="B223" s="13">
        <v>220</v>
      </c>
      <c r="C223" s="17" t="str">
        <f t="shared" si="6"/>
        <v>2016</v>
      </c>
      <c r="D223" s="14" t="s">
        <v>282</v>
      </c>
      <c r="E223" s="14" t="s">
        <v>659</v>
      </c>
      <c r="F223" s="15" t="s">
        <v>283</v>
      </c>
      <c r="G223" s="16">
        <v>5</v>
      </c>
      <c r="H223" s="17">
        <f t="shared" si="7"/>
        <v>0</v>
      </c>
      <c r="I223" s="9"/>
      <c r="J223" s="17">
        <f>IFERROR(IF(VLOOKUP(D:D,'테스트(1회)'!C:G,5, 0)="X",1,0),0)</f>
        <v>0</v>
      </c>
      <c r="K223" s="17">
        <f>IFERROR(IF(VLOOKUP(D:D,'테스트(2회)'!C:G,5, 0)="X",1,0),0)</f>
        <v>0</v>
      </c>
      <c r="L223" s="17">
        <f>IFERROR(IF(VLOOKUP(D:D,'테스트(3회)'!C:G,5, 0)="X",1,0),0)</f>
        <v>0</v>
      </c>
      <c r="M223" s="17">
        <f>IFERROR(IF(VLOOKUP(D:D,'테스트(4회)'!C:G,5, 0)="X",1,0),0)</f>
        <v>0</v>
      </c>
      <c r="N223" s="17">
        <f>IFERROR(IF(VLOOKUP(D:D,'테스트(5회)'!C:G,5, 0)="X",1,0),0)</f>
        <v>0</v>
      </c>
      <c r="O223" s="9"/>
    </row>
    <row r="224" spans="2:15" ht="156.75" x14ac:dyDescent="0.3">
      <c r="B224" s="13">
        <v>221</v>
      </c>
      <c r="C224" s="17" t="str">
        <f t="shared" si="6"/>
        <v>2016</v>
      </c>
      <c r="D224" s="14" t="s">
        <v>284</v>
      </c>
      <c r="E224" s="14" t="s">
        <v>659</v>
      </c>
      <c r="F224" s="15" t="s">
        <v>285</v>
      </c>
      <c r="G224" s="16">
        <v>4</v>
      </c>
      <c r="H224" s="17">
        <f t="shared" si="7"/>
        <v>0</v>
      </c>
      <c r="I224" s="9"/>
      <c r="J224" s="17">
        <f>IFERROR(IF(VLOOKUP(D:D,'테스트(1회)'!C:G,5, 0)="X",1,0),0)</f>
        <v>0</v>
      </c>
      <c r="K224" s="17">
        <f>IFERROR(IF(VLOOKUP(D:D,'테스트(2회)'!C:G,5, 0)="X",1,0),0)</f>
        <v>0</v>
      </c>
      <c r="L224" s="17">
        <f>IFERROR(IF(VLOOKUP(D:D,'테스트(3회)'!C:G,5, 0)="X",1,0),0)</f>
        <v>0</v>
      </c>
      <c r="M224" s="17">
        <f>IFERROR(IF(VLOOKUP(D:D,'테스트(4회)'!C:G,5, 0)="X",1,0),0)</f>
        <v>0</v>
      </c>
      <c r="N224" s="17">
        <f>IFERROR(IF(VLOOKUP(D:D,'테스트(5회)'!C:G,5, 0)="X",1,0),0)</f>
        <v>0</v>
      </c>
      <c r="O224" s="9"/>
    </row>
    <row r="225" spans="2:15" ht="114" x14ac:dyDescent="0.3">
      <c r="B225" s="13">
        <v>222</v>
      </c>
      <c r="C225" s="17" t="str">
        <f t="shared" si="6"/>
        <v>2016</v>
      </c>
      <c r="D225" s="14" t="s">
        <v>286</v>
      </c>
      <c r="E225" s="14" t="s">
        <v>659</v>
      </c>
      <c r="F225" s="15" t="s">
        <v>836</v>
      </c>
      <c r="G225" s="16">
        <v>4</v>
      </c>
      <c r="H225" s="17">
        <f t="shared" si="7"/>
        <v>0</v>
      </c>
      <c r="I225" s="9"/>
      <c r="J225" s="17">
        <f>IFERROR(IF(VLOOKUP(D:D,'테스트(1회)'!C:G,5, 0)="X",1,0),0)</f>
        <v>0</v>
      </c>
      <c r="K225" s="17">
        <f>IFERROR(IF(VLOOKUP(D:D,'테스트(2회)'!C:G,5, 0)="X",1,0),0)</f>
        <v>0</v>
      </c>
      <c r="L225" s="17">
        <f>IFERROR(IF(VLOOKUP(D:D,'테스트(3회)'!C:G,5, 0)="X",1,0),0)</f>
        <v>0</v>
      </c>
      <c r="M225" s="17">
        <f>IFERROR(IF(VLOOKUP(D:D,'테스트(4회)'!C:G,5, 0)="X",1,0),0)</f>
        <v>0</v>
      </c>
      <c r="N225" s="17">
        <f>IFERROR(IF(VLOOKUP(D:D,'테스트(5회)'!C:G,5, 0)="X",1,0),0)</f>
        <v>0</v>
      </c>
      <c r="O225" s="9"/>
    </row>
    <row r="226" spans="2:15" ht="114" x14ac:dyDescent="0.3">
      <c r="B226" s="13">
        <v>223</v>
      </c>
      <c r="C226" s="17" t="str">
        <f t="shared" si="6"/>
        <v>2016</v>
      </c>
      <c r="D226" s="14" t="s">
        <v>287</v>
      </c>
      <c r="E226" s="14" t="s">
        <v>659</v>
      </c>
      <c r="F226" s="15" t="s">
        <v>837</v>
      </c>
      <c r="G226" s="16">
        <v>5</v>
      </c>
      <c r="H226" s="17">
        <f t="shared" si="7"/>
        <v>0</v>
      </c>
      <c r="I226" s="9"/>
      <c r="J226" s="17">
        <f>IFERROR(IF(VLOOKUP(D:D,'테스트(1회)'!C:G,5, 0)="X",1,0),0)</f>
        <v>0</v>
      </c>
      <c r="K226" s="17">
        <f>IFERROR(IF(VLOOKUP(D:D,'테스트(2회)'!C:G,5, 0)="X",1,0),0)</f>
        <v>0</v>
      </c>
      <c r="L226" s="17">
        <f>IFERROR(IF(VLOOKUP(D:D,'테스트(3회)'!C:G,5, 0)="X",1,0),0)</f>
        <v>0</v>
      </c>
      <c r="M226" s="17">
        <f>IFERROR(IF(VLOOKUP(D:D,'테스트(4회)'!C:G,5, 0)="X",1,0),0)</f>
        <v>0</v>
      </c>
      <c r="N226" s="17">
        <f>IFERROR(IF(VLOOKUP(D:D,'테스트(5회)'!C:G,5, 0)="X",1,0),0)</f>
        <v>0</v>
      </c>
      <c r="O226" s="9"/>
    </row>
    <row r="227" spans="2:15" ht="85.5" x14ac:dyDescent="0.3">
      <c r="B227" s="13">
        <v>224</v>
      </c>
      <c r="C227" s="17" t="str">
        <f t="shared" si="6"/>
        <v>2016</v>
      </c>
      <c r="D227" s="14" t="s">
        <v>288</v>
      </c>
      <c r="E227" s="14" t="s">
        <v>659</v>
      </c>
      <c r="F227" s="15" t="s">
        <v>289</v>
      </c>
      <c r="G227" s="16">
        <v>3</v>
      </c>
      <c r="H227" s="17">
        <f t="shared" si="7"/>
        <v>0</v>
      </c>
      <c r="I227" s="9"/>
      <c r="J227" s="17">
        <f>IFERROR(IF(VLOOKUP(D:D,'테스트(1회)'!C:G,5, 0)="X",1,0),0)</f>
        <v>0</v>
      </c>
      <c r="K227" s="17">
        <f>IFERROR(IF(VLOOKUP(D:D,'테스트(2회)'!C:G,5, 0)="X",1,0),0)</f>
        <v>0</v>
      </c>
      <c r="L227" s="17">
        <f>IFERROR(IF(VLOOKUP(D:D,'테스트(3회)'!C:G,5, 0)="X",1,0),0)</f>
        <v>0</v>
      </c>
      <c r="M227" s="17">
        <f>IFERROR(IF(VLOOKUP(D:D,'테스트(4회)'!C:G,5, 0)="X",1,0),0)</f>
        <v>0</v>
      </c>
      <c r="N227" s="17">
        <f>IFERROR(IF(VLOOKUP(D:D,'테스트(5회)'!C:G,5, 0)="X",1,0),0)</f>
        <v>0</v>
      </c>
      <c r="O227" s="9"/>
    </row>
    <row r="228" spans="2:15" ht="85.5" x14ac:dyDescent="0.3">
      <c r="B228" s="13">
        <v>225</v>
      </c>
      <c r="C228" s="17" t="str">
        <f t="shared" si="6"/>
        <v>2016</v>
      </c>
      <c r="D228" s="14" t="s">
        <v>290</v>
      </c>
      <c r="E228" s="14" t="s">
        <v>659</v>
      </c>
      <c r="F228" s="15" t="s">
        <v>291</v>
      </c>
      <c r="G228" s="16">
        <v>1</v>
      </c>
      <c r="H228" s="17">
        <f t="shared" si="7"/>
        <v>1</v>
      </c>
      <c r="I228" s="9"/>
      <c r="J228" s="17">
        <f>IFERROR(IF(VLOOKUP(D:D,'테스트(1회)'!C:G,5, 0)="X",1,0),0)</f>
        <v>1</v>
      </c>
      <c r="K228" s="17">
        <f>IFERROR(IF(VLOOKUP(D:D,'테스트(2회)'!C:G,5, 0)="X",1,0),0)</f>
        <v>0</v>
      </c>
      <c r="L228" s="17">
        <f>IFERROR(IF(VLOOKUP(D:D,'테스트(3회)'!C:G,5, 0)="X",1,0),0)</f>
        <v>0</v>
      </c>
      <c r="M228" s="17">
        <f>IFERROR(IF(VLOOKUP(D:D,'테스트(4회)'!C:G,5, 0)="X",1,0),0)</f>
        <v>0</v>
      </c>
      <c r="N228" s="17">
        <f>IFERROR(IF(VLOOKUP(D:D,'테스트(5회)'!C:G,5, 0)="X",1,0),0)</f>
        <v>0</v>
      </c>
      <c r="O228" s="9"/>
    </row>
    <row r="229" spans="2:15" ht="85.5" x14ac:dyDescent="0.3">
      <c r="B229" s="13">
        <v>226</v>
      </c>
      <c r="C229" s="17" t="str">
        <f t="shared" si="6"/>
        <v>2016</v>
      </c>
      <c r="D229" s="14" t="s">
        <v>292</v>
      </c>
      <c r="E229" s="14" t="s">
        <v>659</v>
      </c>
      <c r="F229" s="15" t="s">
        <v>293</v>
      </c>
      <c r="G229" s="16">
        <v>2</v>
      </c>
      <c r="H229" s="17">
        <f t="shared" si="7"/>
        <v>0</v>
      </c>
      <c r="I229" s="9"/>
      <c r="J229" s="17">
        <f>IFERROR(IF(VLOOKUP(D:D,'테스트(1회)'!C:G,5, 0)="X",1,0),0)</f>
        <v>0</v>
      </c>
      <c r="K229" s="17">
        <f>IFERROR(IF(VLOOKUP(D:D,'테스트(2회)'!C:G,5, 0)="X",1,0),0)</f>
        <v>0</v>
      </c>
      <c r="L229" s="17">
        <f>IFERROR(IF(VLOOKUP(D:D,'테스트(3회)'!C:G,5, 0)="X",1,0),0)</f>
        <v>0</v>
      </c>
      <c r="M229" s="17">
        <f>IFERROR(IF(VLOOKUP(D:D,'테스트(4회)'!C:G,5, 0)="X",1,0),0)</f>
        <v>0</v>
      </c>
      <c r="N229" s="17">
        <f>IFERROR(IF(VLOOKUP(D:D,'테스트(5회)'!C:G,5, 0)="X",1,0),0)</f>
        <v>0</v>
      </c>
      <c r="O229" s="9"/>
    </row>
    <row r="230" spans="2:15" ht="99.75" x14ac:dyDescent="0.3">
      <c r="B230" s="13">
        <v>227</v>
      </c>
      <c r="C230" s="17" t="str">
        <f t="shared" si="6"/>
        <v>2016</v>
      </c>
      <c r="D230" s="14" t="s">
        <v>294</v>
      </c>
      <c r="E230" s="14" t="s">
        <v>659</v>
      </c>
      <c r="F230" s="15" t="s">
        <v>838</v>
      </c>
      <c r="G230" s="16">
        <v>2</v>
      </c>
      <c r="H230" s="17">
        <f t="shared" si="7"/>
        <v>0</v>
      </c>
      <c r="I230" s="9"/>
      <c r="J230" s="17">
        <f>IFERROR(IF(VLOOKUP(D:D,'테스트(1회)'!C:G,5, 0)="X",1,0),0)</f>
        <v>0</v>
      </c>
      <c r="K230" s="17">
        <f>IFERROR(IF(VLOOKUP(D:D,'테스트(2회)'!C:G,5, 0)="X",1,0),0)</f>
        <v>0</v>
      </c>
      <c r="L230" s="17">
        <f>IFERROR(IF(VLOOKUP(D:D,'테스트(3회)'!C:G,5, 0)="X",1,0),0)</f>
        <v>0</v>
      </c>
      <c r="M230" s="17">
        <f>IFERROR(IF(VLOOKUP(D:D,'테스트(4회)'!C:G,5, 0)="X",1,0),0)</f>
        <v>0</v>
      </c>
      <c r="N230" s="17">
        <f>IFERROR(IF(VLOOKUP(D:D,'테스트(5회)'!C:G,5, 0)="X",1,0),0)</f>
        <v>0</v>
      </c>
      <c r="O230" s="9"/>
    </row>
    <row r="231" spans="2:15" ht="85.5" x14ac:dyDescent="0.3">
      <c r="B231" s="13">
        <v>228</v>
      </c>
      <c r="C231" s="17" t="str">
        <f t="shared" si="6"/>
        <v>2016</v>
      </c>
      <c r="D231" s="14" t="s">
        <v>295</v>
      </c>
      <c r="E231" s="14" t="s">
        <v>659</v>
      </c>
      <c r="F231" s="15" t="s">
        <v>296</v>
      </c>
      <c r="G231" s="16">
        <v>5</v>
      </c>
      <c r="H231" s="17">
        <f t="shared" si="7"/>
        <v>0</v>
      </c>
      <c r="I231" s="9"/>
      <c r="J231" s="17">
        <f>IFERROR(IF(VLOOKUP(D:D,'테스트(1회)'!C:G,5, 0)="X",1,0),0)</f>
        <v>0</v>
      </c>
      <c r="K231" s="17">
        <f>IFERROR(IF(VLOOKUP(D:D,'테스트(2회)'!C:G,5, 0)="X",1,0),0)</f>
        <v>0</v>
      </c>
      <c r="L231" s="17">
        <f>IFERROR(IF(VLOOKUP(D:D,'테스트(3회)'!C:G,5, 0)="X",1,0),0)</f>
        <v>0</v>
      </c>
      <c r="M231" s="17">
        <f>IFERROR(IF(VLOOKUP(D:D,'테스트(4회)'!C:G,5, 0)="X",1,0),0)</f>
        <v>0</v>
      </c>
      <c r="N231" s="17">
        <f>IFERROR(IF(VLOOKUP(D:D,'테스트(5회)'!C:G,5, 0)="X",1,0),0)</f>
        <v>0</v>
      </c>
      <c r="O231" s="9"/>
    </row>
    <row r="232" spans="2:15" ht="85.5" x14ac:dyDescent="0.3">
      <c r="B232" s="13">
        <v>229</v>
      </c>
      <c r="C232" s="17" t="str">
        <f t="shared" si="6"/>
        <v>2016</v>
      </c>
      <c r="D232" s="14" t="s">
        <v>297</v>
      </c>
      <c r="E232" s="14" t="s">
        <v>659</v>
      </c>
      <c r="F232" s="15" t="s">
        <v>298</v>
      </c>
      <c r="G232" s="16">
        <v>1</v>
      </c>
      <c r="H232" s="17">
        <f t="shared" si="7"/>
        <v>0</v>
      </c>
      <c r="I232" s="9"/>
      <c r="J232" s="17">
        <f>IFERROR(IF(VLOOKUP(D:D,'테스트(1회)'!C:G,5, 0)="X",1,0),0)</f>
        <v>0</v>
      </c>
      <c r="K232" s="17">
        <f>IFERROR(IF(VLOOKUP(D:D,'테스트(2회)'!C:G,5, 0)="X",1,0),0)</f>
        <v>0</v>
      </c>
      <c r="L232" s="17">
        <f>IFERROR(IF(VLOOKUP(D:D,'테스트(3회)'!C:G,5, 0)="X",1,0),0)</f>
        <v>0</v>
      </c>
      <c r="M232" s="17">
        <f>IFERROR(IF(VLOOKUP(D:D,'테스트(4회)'!C:G,5, 0)="X",1,0),0)</f>
        <v>0</v>
      </c>
      <c r="N232" s="17">
        <f>IFERROR(IF(VLOOKUP(D:D,'테스트(5회)'!C:G,5, 0)="X",1,0),0)</f>
        <v>0</v>
      </c>
      <c r="O232" s="9"/>
    </row>
    <row r="233" spans="2:15" ht="85.5" x14ac:dyDescent="0.3">
      <c r="B233" s="13">
        <v>230</v>
      </c>
      <c r="C233" s="17" t="str">
        <f t="shared" si="6"/>
        <v>2016</v>
      </c>
      <c r="D233" s="14" t="s">
        <v>299</v>
      </c>
      <c r="E233" s="14" t="s">
        <v>659</v>
      </c>
      <c r="F233" s="15" t="s">
        <v>300</v>
      </c>
      <c r="G233" s="16">
        <v>4</v>
      </c>
      <c r="H233" s="17">
        <f t="shared" si="7"/>
        <v>0</v>
      </c>
      <c r="I233" s="9"/>
      <c r="J233" s="17">
        <f>IFERROR(IF(VLOOKUP(D:D,'테스트(1회)'!C:G,5, 0)="X",1,0),0)</f>
        <v>0</v>
      </c>
      <c r="K233" s="17">
        <f>IFERROR(IF(VLOOKUP(D:D,'테스트(2회)'!C:G,5, 0)="X",1,0),0)</f>
        <v>0</v>
      </c>
      <c r="L233" s="17">
        <f>IFERROR(IF(VLOOKUP(D:D,'테스트(3회)'!C:G,5, 0)="X",1,0),0)</f>
        <v>0</v>
      </c>
      <c r="M233" s="17">
        <f>IFERROR(IF(VLOOKUP(D:D,'테스트(4회)'!C:G,5, 0)="X",1,0),0)</f>
        <v>0</v>
      </c>
      <c r="N233" s="17">
        <f>IFERROR(IF(VLOOKUP(D:D,'테스트(5회)'!C:G,5, 0)="X",1,0),0)</f>
        <v>0</v>
      </c>
      <c r="O233" s="9"/>
    </row>
    <row r="234" spans="2:15" ht="85.5" x14ac:dyDescent="0.3">
      <c r="B234" s="13">
        <v>231</v>
      </c>
      <c r="C234" s="17" t="str">
        <f t="shared" si="6"/>
        <v>2016</v>
      </c>
      <c r="D234" s="14" t="s">
        <v>301</v>
      </c>
      <c r="E234" s="14" t="s">
        <v>659</v>
      </c>
      <c r="F234" s="15" t="s">
        <v>302</v>
      </c>
      <c r="G234" s="16">
        <v>3</v>
      </c>
      <c r="H234" s="17">
        <f t="shared" si="7"/>
        <v>0</v>
      </c>
      <c r="I234" s="9"/>
      <c r="J234" s="17">
        <f>IFERROR(IF(VLOOKUP(D:D,'테스트(1회)'!C:G,5, 0)="X",1,0),0)</f>
        <v>0</v>
      </c>
      <c r="K234" s="17">
        <f>IFERROR(IF(VLOOKUP(D:D,'테스트(2회)'!C:G,5, 0)="X",1,0),0)</f>
        <v>0</v>
      </c>
      <c r="L234" s="17">
        <f>IFERROR(IF(VLOOKUP(D:D,'테스트(3회)'!C:G,5, 0)="X",1,0),0)</f>
        <v>0</v>
      </c>
      <c r="M234" s="17">
        <f>IFERROR(IF(VLOOKUP(D:D,'테스트(4회)'!C:G,5, 0)="X",1,0),0)</f>
        <v>0</v>
      </c>
      <c r="N234" s="17">
        <f>IFERROR(IF(VLOOKUP(D:D,'테스트(5회)'!C:G,5, 0)="X",1,0),0)</f>
        <v>0</v>
      </c>
      <c r="O234" s="9"/>
    </row>
    <row r="235" spans="2:15" ht="85.5" x14ac:dyDescent="0.3">
      <c r="B235" s="13">
        <v>232</v>
      </c>
      <c r="C235" s="17" t="str">
        <f t="shared" si="6"/>
        <v>2016</v>
      </c>
      <c r="D235" s="14" t="s">
        <v>303</v>
      </c>
      <c r="E235" s="14" t="s">
        <v>659</v>
      </c>
      <c r="F235" s="15" t="s">
        <v>304</v>
      </c>
      <c r="G235" s="16">
        <v>2</v>
      </c>
      <c r="H235" s="17">
        <f t="shared" si="7"/>
        <v>1</v>
      </c>
      <c r="I235" s="9"/>
      <c r="J235" s="17">
        <f>IFERROR(IF(VLOOKUP(D:D,'테스트(1회)'!C:G,5, 0)="X",1,0),0)</f>
        <v>1</v>
      </c>
      <c r="K235" s="17">
        <f>IFERROR(IF(VLOOKUP(D:D,'테스트(2회)'!C:G,5, 0)="X",1,0),0)</f>
        <v>0</v>
      </c>
      <c r="L235" s="17">
        <f>IFERROR(IF(VLOOKUP(D:D,'테스트(3회)'!C:G,5, 0)="X",1,0),0)</f>
        <v>0</v>
      </c>
      <c r="M235" s="17">
        <f>IFERROR(IF(VLOOKUP(D:D,'테스트(4회)'!C:G,5, 0)="X",1,0),0)</f>
        <v>0</v>
      </c>
      <c r="N235" s="17">
        <f>IFERROR(IF(VLOOKUP(D:D,'테스트(5회)'!C:G,5, 0)="X",1,0),0)</f>
        <v>0</v>
      </c>
      <c r="O235" s="9"/>
    </row>
    <row r="236" spans="2:15" ht="85.5" x14ac:dyDescent="0.3">
      <c r="B236" s="13">
        <v>233</v>
      </c>
      <c r="C236" s="17" t="str">
        <f t="shared" si="6"/>
        <v>2016</v>
      </c>
      <c r="D236" s="14" t="s">
        <v>305</v>
      </c>
      <c r="E236" s="14" t="s">
        <v>659</v>
      </c>
      <c r="F236" s="15" t="s">
        <v>306</v>
      </c>
      <c r="G236" s="16">
        <v>4</v>
      </c>
      <c r="H236" s="17">
        <f t="shared" si="7"/>
        <v>0</v>
      </c>
      <c r="I236" s="9"/>
      <c r="J236" s="17">
        <f>IFERROR(IF(VLOOKUP(D:D,'테스트(1회)'!C:G,5, 0)="X",1,0),0)</f>
        <v>0</v>
      </c>
      <c r="K236" s="17">
        <f>IFERROR(IF(VLOOKUP(D:D,'테스트(2회)'!C:G,5, 0)="X",1,0),0)</f>
        <v>0</v>
      </c>
      <c r="L236" s="17">
        <f>IFERROR(IF(VLOOKUP(D:D,'테스트(3회)'!C:G,5, 0)="X",1,0),0)</f>
        <v>0</v>
      </c>
      <c r="M236" s="17">
        <f>IFERROR(IF(VLOOKUP(D:D,'테스트(4회)'!C:G,5, 0)="X",1,0),0)</f>
        <v>0</v>
      </c>
      <c r="N236" s="17">
        <f>IFERROR(IF(VLOOKUP(D:D,'테스트(5회)'!C:G,5, 0)="X",1,0),0)</f>
        <v>0</v>
      </c>
      <c r="O236" s="9"/>
    </row>
    <row r="237" spans="2:15" ht="85.5" x14ac:dyDescent="0.3">
      <c r="B237" s="13">
        <v>234</v>
      </c>
      <c r="C237" s="17" t="str">
        <f t="shared" si="6"/>
        <v>2016</v>
      </c>
      <c r="D237" s="14" t="s">
        <v>307</v>
      </c>
      <c r="E237" s="14" t="s">
        <v>659</v>
      </c>
      <c r="F237" s="15" t="s">
        <v>308</v>
      </c>
      <c r="G237" s="16">
        <v>2</v>
      </c>
      <c r="H237" s="17">
        <f t="shared" si="7"/>
        <v>0</v>
      </c>
      <c r="I237" s="9"/>
      <c r="J237" s="17">
        <f>IFERROR(IF(VLOOKUP(D:D,'테스트(1회)'!C:G,5, 0)="X",1,0),0)</f>
        <v>0</v>
      </c>
      <c r="K237" s="17">
        <f>IFERROR(IF(VLOOKUP(D:D,'테스트(2회)'!C:G,5, 0)="X",1,0),0)</f>
        <v>0</v>
      </c>
      <c r="L237" s="17">
        <f>IFERROR(IF(VLOOKUP(D:D,'테스트(3회)'!C:G,5, 0)="X",1,0),0)</f>
        <v>0</v>
      </c>
      <c r="M237" s="17">
        <f>IFERROR(IF(VLOOKUP(D:D,'테스트(4회)'!C:G,5, 0)="X",1,0),0)</f>
        <v>0</v>
      </c>
      <c r="N237" s="17">
        <f>IFERROR(IF(VLOOKUP(D:D,'테스트(5회)'!C:G,5, 0)="X",1,0),0)</f>
        <v>0</v>
      </c>
      <c r="O237" s="9"/>
    </row>
    <row r="238" spans="2:15" ht="85.5" x14ac:dyDescent="0.3">
      <c r="B238" s="13">
        <v>235</v>
      </c>
      <c r="C238" s="17" t="str">
        <f t="shared" si="6"/>
        <v>2016</v>
      </c>
      <c r="D238" s="14" t="s">
        <v>309</v>
      </c>
      <c r="E238" s="14" t="s">
        <v>659</v>
      </c>
      <c r="F238" s="15" t="s">
        <v>310</v>
      </c>
      <c r="G238" s="16">
        <v>1</v>
      </c>
      <c r="H238" s="17">
        <f t="shared" si="7"/>
        <v>0</v>
      </c>
      <c r="I238" s="9"/>
      <c r="J238" s="17">
        <f>IFERROR(IF(VLOOKUP(D:D,'테스트(1회)'!C:G,5, 0)="X",1,0),0)</f>
        <v>0</v>
      </c>
      <c r="K238" s="17">
        <f>IFERROR(IF(VLOOKUP(D:D,'테스트(2회)'!C:G,5, 0)="X",1,0),0)</f>
        <v>0</v>
      </c>
      <c r="L238" s="17">
        <f>IFERROR(IF(VLOOKUP(D:D,'테스트(3회)'!C:G,5, 0)="X",1,0),0)</f>
        <v>0</v>
      </c>
      <c r="M238" s="17">
        <f>IFERROR(IF(VLOOKUP(D:D,'테스트(4회)'!C:G,5, 0)="X",1,0),0)</f>
        <v>0</v>
      </c>
      <c r="N238" s="17">
        <f>IFERROR(IF(VLOOKUP(D:D,'테스트(5회)'!C:G,5, 0)="X",1,0),0)</f>
        <v>0</v>
      </c>
      <c r="O238" s="9"/>
    </row>
    <row r="239" spans="2:15" ht="142.5" x14ac:dyDescent="0.3">
      <c r="B239" s="13">
        <v>236</v>
      </c>
      <c r="C239" s="17" t="str">
        <f t="shared" si="6"/>
        <v>2016</v>
      </c>
      <c r="D239" s="14" t="s">
        <v>311</v>
      </c>
      <c r="E239" s="14" t="s">
        <v>659</v>
      </c>
      <c r="F239" s="15" t="s">
        <v>831</v>
      </c>
      <c r="G239" s="16">
        <v>3</v>
      </c>
      <c r="H239" s="17">
        <f t="shared" si="7"/>
        <v>1</v>
      </c>
      <c r="I239" s="9"/>
      <c r="J239" s="17">
        <f>IFERROR(IF(VLOOKUP(D:D,'테스트(1회)'!C:G,5, 0)="X",1,0),0)</f>
        <v>1</v>
      </c>
      <c r="K239" s="17">
        <f>IFERROR(IF(VLOOKUP(D:D,'테스트(2회)'!C:G,5, 0)="X",1,0),0)</f>
        <v>0</v>
      </c>
      <c r="L239" s="17">
        <f>IFERROR(IF(VLOOKUP(D:D,'테스트(3회)'!C:G,5, 0)="X",1,0),0)</f>
        <v>0</v>
      </c>
      <c r="M239" s="17">
        <f>IFERROR(IF(VLOOKUP(D:D,'테스트(4회)'!C:G,5, 0)="X",1,0),0)</f>
        <v>0</v>
      </c>
      <c r="N239" s="17">
        <f>IFERROR(IF(VLOOKUP(D:D,'테스트(5회)'!C:G,5, 0)="X",1,0),0)</f>
        <v>0</v>
      </c>
      <c r="O239" s="9"/>
    </row>
    <row r="240" spans="2:15" ht="128.25" x14ac:dyDescent="0.3">
      <c r="B240" s="13">
        <v>237</v>
      </c>
      <c r="C240" s="17" t="str">
        <f t="shared" si="6"/>
        <v>2016</v>
      </c>
      <c r="D240" s="14" t="s">
        <v>312</v>
      </c>
      <c r="E240" s="14" t="s">
        <v>659</v>
      </c>
      <c r="F240" s="15" t="s">
        <v>832</v>
      </c>
      <c r="G240" s="16">
        <v>4</v>
      </c>
      <c r="H240" s="17">
        <f t="shared" si="7"/>
        <v>1</v>
      </c>
      <c r="I240" s="9"/>
      <c r="J240" s="17">
        <f>IFERROR(IF(VLOOKUP(D:D,'테스트(1회)'!C:G,5, 0)="X",1,0),0)</f>
        <v>1</v>
      </c>
      <c r="K240" s="17">
        <f>IFERROR(IF(VLOOKUP(D:D,'테스트(2회)'!C:G,5, 0)="X",1,0),0)</f>
        <v>0</v>
      </c>
      <c r="L240" s="17">
        <f>IFERROR(IF(VLOOKUP(D:D,'테스트(3회)'!C:G,5, 0)="X",1,0),0)</f>
        <v>0</v>
      </c>
      <c r="M240" s="17">
        <f>IFERROR(IF(VLOOKUP(D:D,'테스트(4회)'!C:G,5, 0)="X",1,0),0)</f>
        <v>0</v>
      </c>
      <c r="N240" s="17">
        <f>IFERROR(IF(VLOOKUP(D:D,'테스트(5회)'!C:G,5, 0)="X",1,0),0)</f>
        <v>0</v>
      </c>
      <c r="O240" s="9"/>
    </row>
    <row r="241" spans="2:15" ht="85.5" x14ac:dyDescent="0.3">
      <c r="B241" s="13">
        <v>238</v>
      </c>
      <c r="C241" s="17" t="str">
        <f t="shared" si="6"/>
        <v>2016</v>
      </c>
      <c r="D241" s="14" t="s">
        <v>313</v>
      </c>
      <c r="E241" s="14" t="s">
        <v>659</v>
      </c>
      <c r="F241" s="15" t="s">
        <v>314</v>
      </c>
      <c r="G241" s="16">
        <v>3</v>
      </c>
      <c r="H241" s="17">
        <f t="shared" si="7"/>
        <v>0</v>
      </c>
      <c r="I241" s="9"/>
      <c r="J241" s="17">
        <f>IFERROR(IF(VLOOKUP(D:D,'테스트(1회)'!C:G,5, 0)="X",1,0),0)</f>
        <v>0</v>
      </c>
      <c r="K241" s="17">
        <f>IFERROR(IF(VLOOKUP(D:D,'테스트(2회)'!C:G,5, 0)="X",1,0),0)</f>
        <v>0</v>
      </c>
      <c r="L241" s="17">
        <f>IFERROR(IF(VLOOKUP(D:D,'테스트(3회)'!C:G,5, 0)="X",1,0),0)</f>
        <v>0</v>
      </c>
      <c r="M241" s="17">
        <f>IFERROR(IF(VLOOKUP(D:D,'테스트(4회)'!C:G,5, 0)="X",1,0),0)</f>
        <v>0</v>
      </c>
      <c r="N241" s="17">
        <f>IFERROR(IF(VLOOKUP(D:D,'테스트(5회)'!C:G,5, 0)="X",1,0),0)</f>
        <v>0</v>
      </c>
      <c r="O241" s="9"/>
    </row>
    <row r="242" spans="2:15" ht="85.5" x14ac:dyDescent="0.3">
      <c r="B242" s="13">
        <v>239</v>
      </c>
      <c r="C242" s="17" t="str">
        <f t="shared" si="6"/>
        <v>2016</v>
      </c>
      <c r="D242" s="14" t="s">
        <v>315</v>
      </c>
      <c r="E242" s="14" t="s">
        <v>659</v>
      </c>
      <c r="F242" s="15" t="s">
        <v>316</v>
      </c>
      <c r="G242" s="16">
        <v>1</v>
      </c>
      <c r="H242" s="17">
        <f t="shared" si="7"/>
        <v>0</v>
      </c>
      <c r="I242" s="9"/>
      <c r="J242" s="17">
        <f>IFERROR(IF(VLOOKUP(D:D,'테스트(1회)'!C:G,5, 0)="X",1,0),0)</f>
        <v>0</v>
      </c>
      <c r="K242" s="17">
        <f>IFERROR(IF(VLOOKUP(D:D,'테스트(2회)'!C:G,5, 0)="X",1,0),0)</f>
        <v>0</v>
      </c>
      <c r="L242" s="17">
        <f>IFERROR(IF(VLOOKUP(D:D,'테스트(3회)'!C:G,5, 0)="X",1,0),0)</f>
        <v>0</v>
      </c>
      <c r="M242" s="17">
        <f>IFERROR(IF(VLOOKUP(D:D,'테스트(4회)'!C:G,5, 0)="X",1,0),0)</f>
        <v>0</v>
      </c>
      <c r="N242" s="17">
        <f>IFERROR(IF(VLOOKUP(D:D,'테스트(5회)'!C:G,5, 0)="X",1,0),0)</f>
        <v>0</v>
      </c>
      <c r="O242" s="9"/>
    </row>
    <row r="243" spans="2:15" ht="99.75" x14ac:dyDescent="0.3">
      <c r="B243" s="13">
        <v>240</v>
      </c>
      <c r="C243" s="17" t="str">
        <f t="shared" si="6"/>
        <v>2016</v>
      </c>
      <c r="D243" s="14" t="s">
        <v>317</v>
      </c>
      <c r="E243" s="14" t="s">
        <v>659</v>
      </c>
      <c r="F243" s="15" t="s">
        <v>1051</v>
      </c>
      <c r="G243" s="16">
        <v>5</v>
      </c>
      <c r="H243" s="17">
        <f t="shared" si="7"/>
        <v>0</v>
      </c>
      <c r="I243" s="9"/>
      <c r="J243" s="17">
        <f>IFERROR(IF(VLOOKUP(D:D,'테스트(1회)'!C:G,5, 0)="X",1,0),0)</f>
        <v>0</v>
      </c>
      <c r="K243" s="17">
        <f>IFERROR(IF(VLOOKUP(D:D,'테스트(2회)'!C:G,5, 0)="X",1,0),0)</f>
        <v>0</v>
      </c>
      <c r="L243" s="17">
        <f>IFERROR(IF(VLOOKUP(D:D,'테스트(3회)'!C:G,5, 0)="X",1,0),0)</f>
        <v>0</v>
      </c>
      <c r="M243" s="17">
        <f>IFERROR(IF(VLOOKUP(D:D,'테스트(4회)'!C:G,5, 0)="X",1,0),0)</f>
        <v>0</v>
      </c>
      <c r="N243" s="17">
        <f>IFERROR(IF(VLOOKUP(D:D,'테스트(5회)'!C:G,5, 0)="X",1,0),0)</f>
        <v>0</v>
      </c>
      <c r="O243" s="9"/>
    </row>
    <row r="244" spans="2:15" ht="85.5" x14ac:dyDescent="0.3">
      <c r="B244" s="13">
        <v>241</v>
      </c>
      <c r="C244" s="17" t="str">
        <f t="shared" si="6"/>
        <v>2015</v>
      </c>
      <c r="D244" s="14" t="s">
        <v>318</v>
      </c>
      <c r="E244" s="14" t="s">
        <v>659</v>
      </c>
      <c r="F244" s="15" t="s">
        <v>660</v>
      </c>
      <c r="G244" s="16">
        <v>5</v>
      </c>
      <c r="H244" s="17">
        <f t="shared" si="7"/>
        <v>1</v>
      </c>
      <c r="I244" s="9"/>
      <c r="J244" s="17">
        <f>IFERROR(IF(VLOOKUP(D:D,'테스트(1회)'!C:G,5, 0)="X",1,0),0)</f>
        <v>1</v>
      </c>
      <c r="K244" s="17">
        <f>IFERROR(IF(VLOOKUP(D:D,'테스트(2회)'!C:G,5, 0)="X",1,0),0)</f>
        <v>0</v>
      </c>
      <c r="L244" s="17">
        <f>IFERROR(IF(VLOOKUP(D:D,'테스트(3회)'!C:G,5, 0)="X",1,0),0)</f>
        <v>0</v>
      </c>
      <c r="M244" s="17">
        <f>IFERROR(IF(VLOOKUP(D:D,'테스트(4회)'!C:G,5, 0)="X",1,0),0)</f>
        <v>0</v>
      </c>
      <c r="N244" s="17">
        <f>IFERROR(IF(VLOOKUP(D:D,'테스트(5회)'!C:G,5, 0)="X",1,0),0)</f>
        <v>0</v>
      </c>
      <c r="O244" s="9"/>
    </row>
    <row r="245" spans="2:15" ht="85.5" x14ac:dyDescent="0.3">
      <c r="B245" s="13">
        <v>242</v>
      </c>
      <c r="C245" s="17" t="str">
        <f t="shared" si="6"/>
        <v>2015</v>
      </c>
      <c r="D245" s="14" t="s">
        <v>319</v>
      </c>
      <c r="E245" s="14" t="s">
        <v>659</v>
      </c>
      <c r="F245" s="15" t="s">
        <v>320</v>
      </c>
      <c r="G245" s="16">
        <v>3</v>
      </c>
      <c r="H245" s="17">
        <f t="shared" si="7"/>
        <v>0</v>
      </c>
      <c r="I245" s="9"/>
      <c r="J245" s="17">
        <f>IFERROR(IF(VLOOKUP(D:D,'테스트(1회)'!C:G,5, 0)="X",1,0),0)</f>
        <v>0</v>
      </c>
      <c r="K245" s="17">
        <f>IFERROR(IF(VLOOKUP(D:D,'테스트(2회)'!C:G,5, 0)="X",1,0),0)</f>
        <v>0</v>
      </c>
      <c r="L245" s="17">
        <f>IFERROR(IF(VLOOKUP(D:D,'테스트(3회)'!C:G,5, 0)="X",1,0),0)</f>
        <v>0</v>
      </c>
      <c r="M245" s="17">
        <f>IFERROR(IF(VLOOKUP(D:D,'테스트(4회)'!C:G,5, 0)="X",1,0),0)</f>
        <v>0</v>
      </c>
      <c r="N245" s="17">
        <f>IFERROR(IF(VLOOKUP(D:D,'테스트(5회)'!C:G,5, 0)="X",1,0),0)</f>
        <v>0</v>
      </c>
      <c r="O245" s="9"/>
    </row>
    <row r="246" spans="2:15" ht="85.5" x14ac:dyDescent="0.3">
      <c r="B246" s="13">
        <v>243</v>
      </c>
      <c r="C246" s="17" t="str">
        <f t="shared" si="6"/>
        <v>2015</v>
      </c>
      <c r="D246" s="14" t="s">
        <v>321</v>
      </c>
      <c r="E246" s="14" t="s">
        <v>659</v>
      </c>
      <c r="F246" s="15" t="s">
        <v>322</v>
      </c>
      <c r="G246" s="16">
        <v>5</v>
      </c>
      <c r="H246" s="17">
        <f t="shared" si="7"/>
        <v>0</v>
      </c>
      <c r="I246" s="9"/>
      <c r="J246" s="17">
        <f>IFERROR(IF(VLOOKUP(D:D,'테스트(1회)'!C:G,5, 0)="X",1,0),0)</f>
        <v>0</v>
      </c>
      <c r="K246" s="17">
        <f>IFERROR(IF(VLOOKUP(D:D,'테스트(2회)'!C:G,5, 0)="X",1,0),0)</f>
        <v>0</v>
      </c>
      <c r="L246" s="17">
        <f>IFERROR(IF(VLOOKUP(D:D,'테스트(3회)'!C:G,5, 0)="X",1,0),0)</f>
        <v>0</v>
      </c>
      <c r="M246" s="17">
        <f>IFERROR(IF(VLOOKUP(D:D,'테스트(4회)'!C:G,5, 0)="X",1,0),0)</f>
        <v>0</v>
      </c>
      <c r="N246" s="17">
        <f>IFERROR(IF(VLOOKUP(D:D,'테스트(5회)'!C:G,5, 0)="X",1,0),0)</f>
        <v>0</v>
      </c>
      <c r="O246" s="9"/>
    </row>
    <row r="247" spans="2:15" ht="85.5" x14ac:dyDescent="0.3">
      <c r="B247" s="13">
        <v>244</v>
      </c>
      <c r="C247" s="17" t="str">
        <f t="shared" si="6"/>
        <v>2015</v>
      </c>
      <c r="D247" s="14" t="s">
        <v>323</v>
      </c>
      <c r="E247" s="14" t="s">
        <v>659</v>
      </c>
      <c r="F247" s="15" t="s">
        <v>324</v>
      </c>
      <c r="G247" s="16">
        <v>4</v>
      </c>
      <c r="H247" s="17">
        <f t="shared" si="7"/>
        <v>0</v>
      </c>
      <c r="I247" s="9"/>
      <c r="J247" s="17">
        <f>IFERROR(IF(VLOOKUP(D:D,'테스트(1회)'!C:G,5, 0)="X",1,0),0)</f>
        <v>0</v>
      </c>
      <c r="K247" s="17">
        <f>IFERROR(IF(VLOOKUP(D:D,'테스트(2회)'!C:G,5, 0)="X",1,0),0)</f>
        <v>0</v>
      </c>
      <c r="L247" s="17">
        <f>IFERROR(IF(VLOOKUP(D:D,'테스트(3회)'!C:G,5, 0)="X",1,0),0)</f>
        <v>0</v>
      </c>
      <c r="M247" s="17">
        <f>IFERROR(IF(VLOOKUP(D:D,'테스트(4회)'!C:G,5, 0)="X",1,0),0)</f>
        <v>0</v>
      </c>
      <c r="N247" s="17">
        <f>IFERROR(IF(VLOOKUP(D:D,'테스트(5회)'!C:G,5, 0)="X",1,0),0)</f>
        <v>0</v>
      </c>
      <c r="O247" s="9"/>
    </row>
    <row r="248" spans="2:15" ht="85.5" x14ac:dyDescent="0.3">
      <c r="B248" s="13">
        <v>245</v>
      </c>
      <c r="C248" s="17" t="str">
        <f t="shared" si="6"/>
        <v>2015</v>
      </c>
      <c r="D248" s="14" t="s">
        <v>325</v>
      </c>
      <c r="E248" s="14" t="s">
        <v>659</v>
      </c>
      <c r="F248" s="15" t="s">
        <v>326</v>
      </c>
      <c r="G248" s="16">
        <v>1</v>
      </c>
      <c r="H248" s="17">
        <f t="shared" si="7"/>
        <v>0</v>
      </c>
      <c r="I248" s="9"/>
      <c r="J248" s="17">
        <f>IFERROR(IF(VLOOKUP(D:D,'테스트(1회)'!C:G,5, 0)="X",1,0),0)</f>
        <v>0</v>
      </c>
      <c r="K248" s="17">
        <f>IFERROR(IF(VLOOKUP(D:D,'테스트(2회)'!C:G,5, 0)="X",1,0),0)</f>
        <v>0</v>
      </c>
      <c r="L248" s="17">
        <f>IFERROR(IF(VLOOKUP(D:D,'테스트(3회)'!C:G,5, 0)="X",1,0),0)</f>
        <v>0</v>
      </c>
      <c r="M248" s="17">
        <f>IFERROR(IF(VLOOKUP(D:D,'테스트(4회)'!C:G,5, 0)="X",1,0),0)</f>
        <v>0</v>
      </c>
      <c r="N248" s="17">
        <f>IFERROR(IF(VLOOKUP(D:D,'테스트(5회)'!C:G,5, 0)="X",1,0),0)</f>
        <v>0</v>
      </c>
      <c r="O248" s="9"/>
    </row>
    <row r="249" spans="2:15" ht="85.5" x14ac:dyDescent="0.3">
      <c r="B249" s="13">
        <v>246</v>
      </c>
      <c r="C249" s="17" t="str">
        <f t="shared" si="6"/>
        <v>2015</v>
      </c>
      <c r="D249" s="14" t="s">
        <v>327</v>
      </c>
      <c r="E249" s="14" t="s">
        <v>659</v>
      </c>
      <c r="F249" s="15" t="s">
        <v>1053</v>
      </c>
      <c r="G249" s="16">
        <v>1</v>
      </c>
      <c r="H249" s="17">
        <f t="shared" si="7"/>
        <v>0</v>
      </c>
      <c r="I249" s="9"/>
      <c r="J249" s="17">
        <f>IFERROR(IF(VLOOKUP(D:D,'테스트(1회)'!C:G,5, 0)="X",1,0),0)</f>
        <v>0</v>
      </c>
      <c r="K249" s="17">
        <f>IFERROR(IF(VLOOKUP(D:D,'테스트(2회)'!C:G,5, 0)="X",1,0),0)</f>
        <v>0</v>
      </c>
      <c r="L249" s="17">
        <f>IFERROR(IF(VLOOKUP(D:D,'테스트(3회)'!C:G,5, 0)="X",1,0),0)</f>
        <v>0</v>
      </c>
      <c r="M249" s="17">
        <f>IFERROR(IF(VLOOKUP(D:D,'테스트(4회)'!C:G,5, 0)="X",1,0),0)</f>
        <v>0</v>
      </c>
      <c r="N249" s="17">
        <f>IFERROR(IF(VLOOKUP(D:D,'테스트(5회)'!C:G,5, 0)="X",1,0),0)</f>
        <v>0</v>
      </c>
      <c r="O249" s="9"/>
    </row>
    <row r="250" spans="2:15" ht="85.5" x14ac:dyDescent="0.3">
      <c r="B250" s="13">
        <v>247</v>
      </c>
      <c r="C250" s="17" t="str">
        <f t="shared" si="6"/>
        <v>2015</v>
      </c>
      <c r="D250" s="14" t="s">
        <v>328</v>
      </c>
      <c r="E250" s="14" t="s">
        <v>659</v>
      </c>
      <c r="F250" s="15" t="s">
        <v>329</v>
      </c>
      <c r="G250" s="16">
        <v>5</v>
      </c>
      <c r="H250" s="17">
        <f t="shared" si="7"/>
        <v>1</v>
      </c>
      <c r="I250" s="9"/>
      <c r="J250" s="17">
        <f>IFERROR(IF(VLOOKUP(D:D,'테스트(1회)'!C:G,5, 0)="X",1,0),0)</f>
        <v>1</v>
      </c>
      <c r="K250" s="17">
        <f>IFERROR(IF(VLOOKUP(D:D,'테스트(2회)'!C:G,5, 0)="X",1,0),0)</f>
        <v>0</v>
      </c>
      <c r="L250" s="17">
        <f>IFERROR(IF(VLOOKUP(D:D,'테스트(3회)'!C:G,5, 0)="X",1,0),0)</f>
        <v>0</v>
      </c>
      <c r="M250" s="17">
        <f>IFERROR(IF(VLOOKUP(D:D,'테스트(4회)'!C:G,5, 0)="X",1,0),0)</f>
        <v>0</v>
      </c>
      <c r="N250" s="17">
        <f>IFERROR(IF(VLOOKUP(D:D,'테스트(5회)'!C:G,5, 0)="X",1,0),0)</f>
        <v>0</v>
      </c>
      <c r="O250" s="9"/>
    </row>
    <row r="251" spans="2:15" ht="85.5" x14ac:dyDescent="0.3">
      <c r="B251" s="13">
        <v>248</v>
      </c>
      <c r="C251" s="17" t="str">
        <f t="shared" si="6"/>
        <v>2015</v>
      </c>
      <c r="D251" s="14" t="s">
        <v>330</v>
      </c>
      <c r="E251" s="14" t="s">
        <v>659</v>
      </c>
      <c r="F251" s="15" t="s">
        <v>331</v>
      </c>
      <c r="G251" s="16">
        <v>2</v>
      </c>
      <c r="H251" s="17">
        <f t="shared" si="7"/>
        <v>0</v>
      </c>
      <c r="I251" s="9"/>
      <c r="J251" s="17">
        <f>IFERROR(IF(VLOOKUP(D:D,'테스트(1회)'!C:G,5, 0)="X",1,0),0)</f>
        <v>0</v>
      </c>
      <c r="K251" s="17">
        <f>IFERROR(IF(VLOOKUP(D:D,'테스트(2회)'!C:G,5, 0)="X",1,0),0)</f>
        <v>0</v>
      </c>
      <c r="L251" s="17">
        <f>IFERROR(IF(VLOOKUP(D:D,'테스트(3회)'!C:G,5, 0)="X",1,0),0)</f>
        <v>0</v>
      </c>
      <c r="M251" s="17">
        <f>IFERROR(IF(VLOOKUP(D:D,'테스트(4회)'!C:G,5, 0)="X",1,0),0)</f>
        <v>0</v>
      </c>
      <c r="N251" s="17">
        <f>IFERROR(IF(VLOOKUP(D:D,'테스트(5회)'!C:G,5, 0)="X",1,0),0)</f>
        <v>0</v>
      </c>
      <c r="O251" s="9"/>
    </row>
    <row r="252" spans="2:15" ht="85.5" x14ac:dyDescent="0.3">
      <c r="B252" s="13">
        <v>249</v>
      </c>
      <c r="C252" s="17" t="str">
        <f t="shared" si="6"/>
        <v>2015</v>
      </c>
      <c r="D252" s="14" t="s">
        <v>332</v>
      </c>
      <c r="E252" s="14" t="s">
        <v>659</v>
      </c>
      <c r="F252" s="15" t="s">
        <v>333</v>
      </c>
      <c r="G252" s="16">
        <v>2</v>
      </c>
      <c r="H252" s="17">
        <f t="shared" si="7"/>
        <v>0</v>
      </c>
      <c r="I252" s="9"/>
      <c r="J252" s="17">
        <f>IFERROR(IF(VLOOKUP(D:D,'테스트(1회)'!C:G,5, 0)="X",1,0),0)</f>
        <v>0</v>
      </c>
      <c r="K252" s="17">
        <f>IFERROR(IF(VLOOKUP(D:D,'테스트(2회)'!C:G,5, 0)="X",1,0),0)</f>
        <v>0</v>
      </c>
      <c r="L252" s="17">
        <f>IFERROR(IF(VLOOKUP(D:D,'테스트(3회)'!C:G,5, 0)="X",1,0),0)</f>
        <v>0</v>
      </c>
      <c r="M252" s="17">
        <f>IFERROR(IF(VLOOKUP(D:D,'테스트(4회)'!C:G,5, 0)="X",1,0),0)</f>
        <v>0</v>
      </c>
      <c r="N252" s="17">
        <f>IFERROR(IF(VLOOKUP(D:D,'테스트(5회)'!C:G,5, 0)="X",1,0),0)</f>
        <v>0</v>
      </c>
      <c r="O252" s="9"/>
    </row>
    <row r="253" spans="2:15" ht="114" x14ac:dyDescent="0.3">
      <c r="B253" s="13">
        <v>250</v>
      </c>
      <c r="C253" s="17" t="str">
        <f t="shared" si="6"/>
        <v>2015</v>
      </c>
      <c r="D253" s="14" t="s">
        <v>334</v>
      </c>
      <c r="E253" s="14" t="s">
        <v>659</v>
      </c>
      <c r="F253" s="15" t="s">
        <v>1054</v>
      </c>
      <c r="G253" s="16">
        <v>2</v>
      </c>
      <c r="H253" s="17">
        <f t="shared" si="7"/>
        <v>0</v>
      </c>
      <c r="I253" s="9"/>
      <c r="J253" s="17">
        <f>IFERROR(IF(VLOOKUP(D:D,'테스트(1회)'!C:G,5, 0)="X",1,0),0)</f>
        <v>0</v>
      </c>
      <c r="K253" s="17">
        <f>IFERROR(IF(VLOOKUP(D:D,'테스트(2회)'!C:G,5, 0)="X",1,0),0)</f>
        <v>0</v>
      </c>
      <c r="L253" s="17">
        <f>IFERROR(IF(VLOOKUP(D:D,'테스트(3회)'!C:G,5, 0)="X",1,0),0)</f>
        <v>0</v>
      </c>
      <c r="M253" s="17">
        <f>IFERROR(IF(VLOOKUP(D:D,'테스트(4회)'!C:G,5, 0)="X",1,0),0)</f>
        <v>0</v>
      </c>
      <c r="N253" s="17">
        <f>IFERROR(IF(VLOOKUP(D:D,'테스트(5회)'!C:G,5, 0)="X",1,0),0)</f>
        <v>0</v>
      </c>
      <c r="O253" s="9"/>
    </row>
    <row r="254" spans="2:15" ht="85.5" x14ac:dyDescent="0.3">
      <c r="B254" s="13">
        <v>251</v>
      </c>
      <c r="C254" s="17" t="str">
        <f t="shared" si="6"/>
        <v>2015</v>
      </c>
      <c r="D254" s="14" t="s">
        <v>335</v>
      </c>
      <c r="E254" s="14" t="s">
        <v>659</v>
      </c>
      <c r="F254" s="15" t="s">
        <v>336</v>
      </c>
      <c r="G254" s="16">
        <v>3</v>
      </c>
      <c r="H254" s="17">
        <f t="shared" si="7"/>
        <v>0</v>
      </c>
      <c r="I254" s="9"/>
      <c r="J254" s="17">
        <f>IFERROR(IF(VLOOKUP(D:D,'테스트(1회)'!C:G,5, 0)="X",1,0),0)</f>
        <v>0</v>
      </c>
      <c r="K254" s="17">
        <f>IFERROR(IF(VLOOKUP(D:D,'테스트(2회)'!C:G,5, 0)="X",1,0),0)</f>
        <v>0</v>
      </c>
      <c r="L254" s="17">
        <f>IFERROR(IF(VLOOKUP(D:D,'테스트(3회)'!C:G,5, 0)="X",1,0),0)</f>
        <v>0</v>
      </c>
      <c r="M254" s="17">
        <f>IFERROR(IF(VLOOKUP(D:D,'테스트(4회)'!C:G,5, 0)="X",1,0),0)</f>
        <v>0</v>
      </c>
      <c r="N254" s="17">
        <f>IFERROR(IF(VLOOKUP(D:D,'테스트(5회)'!C:G,5, 0)="X",1,0),0)</f>
        <v>0</v>
      </c>
      <c r="O254" s="9"/>
    </row>
    <row r="255" spans="2:15" ht="85.5" x14ac:dyDescent="0.3">
      <c r="B255" s="13">
        <v>252</v>
      </c>
      <c r="C255" s="17" t="str">
        <f t="shared" si="6"/>
        <v>2015</v>
      </c>
      <c r="D255" s="14" t="s">
        <v>337</v>
      </c>
      <c r="E255" s="14" t="s">
        <v>659</v>
      </c>
      <c r="F255" s="15" t="s">
        <v>338</v>
      </c>
      <c r="G255" s="16">
        <v>2</v>
      </c>
      <c r="H255" s="17">
        <f t="shared" si="7"/>
        <v>1</v>
      </c>
      <c r="I255" s="9"/>
      <c r="J255" s="17">
        <f>IFERROR(IF(VLOOKUP(D:D,'테스트(1회)'!C:G,5, 0)="X",1,0),0)</f>
        <v>1</v>
      </c>
      <c r="K255" s="17">
        <f>IFERROR(IF(VLOOKUP(D:D,'테스트(2회)'!C:G,5, 0)="X",1,0),0)</f>
        <v>0</v>
      </c>
      <c r="L255" s="17">
        <f>IFERROR(IF(VLOOKUP(D:D,'테스트(3회)'!C:G,5, 0)="X",1,0),0)</f>
        <v>0</v>
      </c>
      <c r="M255" s="17">
        <f>IFERROR(IF(VLOOKUP(D:D,'테스트(4회)'!C:G,5, 0)="X",1,0),0)</f>
        <v>0</v>
      </c>
      <c r="N255" s="17">
        <f>IFERROR(IF(VLOOKUP(D:D,'테스트(5회)'!C:G,5, 0)="X",1,0),0)</f>
        <v>0</v>
      </c>
      <c r="O255" s="9"/>
    </row>
    <row r="256" spans="2:15" ht="85.5" x14ac:dyDescent="0.3">
      <c r="B256" s="13">
        <v>253</v>
      </c>
      <c r="C256" s="17" t="str">
        <f t="shared" si="6"/>
        <v>2015</v>
      </c>
      <c r="D256" s="14" t="s">
        <v>339</v>
      </c>
      <c r="E256" s="14" t="s">
        <v>659</v>
      </c>
      <c r="F256" s="15" t="s">
        <v>340</v>
      </c>
      <c r="G256" s="16">
        <v>2</v>
      </c>
      <c r="H256" s="17">
        <f t="shared" si="7"/>
        <v>0</v>
      </c>
      <c r="I256" s="9"/>
      <c r="J256" s="17">
        <f>IFERROR(IF(VLOOKUP(D:D,'테스트(1회)'!C:G,5, 0)="X",1,0),0)</f>
        <v>0</v>
      </c>
      <c r="K256" s="17">
        <f>IFERROR(IF(VLOOKUP(D:D,'테스트(2회)'!C:G,5, 0)="X",1,0),0)</f>
        <v>0</v>
      </c>
      <c r="L256" s="17">
        <f>IFERROR(IF(VLOOKUP(D:D,'테스트(3회)'!C:G,5, 0)="X",1,0),0)</f>
        <v>0</v>
      </c>
      <c r="M256" s="17">
        <f>IFERROR(IF(VLOOKUP(D:D,'테스트(4회)'!C:G,5, 0)="X",1,0),0)</f>
        <v>0</v>
      </c>
      <c r="N256" s="17">
        <f>IFERROR(IF(VLOOKUP(D:D,'테스트(5회)'!C:G,5, 0)="X",1,0),0)</f>
        <v>0</v>
      </c>
      <c r="O256" s="9"/>
    </row>
    <row r="257" spans="2:15" ht="99.75" x14ac:dyDescent="0.3">
      <c r="B257" s="13">
        <v>254</v>
      </c>
      <c r="C257" s="17" t="str">
        <f t="shared" si="6"/>
        <v>2015</v>
      </c>
      <c r="D257" s="14" t="s">
        <v>341</v>
      </c>
      <c r="E257" s="14" t="s">
        <v>659</v>
      </c>
      <c r="F257" s="15" t="s">
        <v>342</v>
      </c>
      <c r="G257" s="16">
        <v>5</v>
      </c>
      <c r="H257" s="17">
        <f t="shared" si="7"/>
        <v>1</v>
      </c>
      <c r="I257" s="9"/>
      <c r="J257" s="17">
        <f>IFERROR(IF(VLOOKUP(D:D,'테스트(1회)'!C:G,5, 0)="X",1,0),0)</f>
        <v>1</v>
      </c>
      <c r="K257" s="17">
        <f>IFERROR(IF(VLOOKUP(D:D,'테스트(2회)'!C:G,5, 0)="X",1,0),0)</f>
        <v>0</v>
      </c>
      <c r="L257" s="17">
        <f>IFERROR(IF(VLOOKUP(D:D,'테스트(3회)'!C:G,5, 0)="X",1,0),0)</f>
        <v>0</v>
      </c>
      <c r="M257" s="17">
        <f>IFERROR(IF(VLOOKUP(D:D,'테스트(4회)'!C:G,5, 0)="X",1,0),0)</f>
        <v>0</v>
      </c>
      <c r="N257" s="17">
        <f>IFERROR(IF(VLOOKUP(D:D,'테스트(5회)'!C:G,5, 0)="X",1,0),0)</f>
        <v>0</v>
      </c>
      <c r="O257" s="9"/>
    </row>
    <row r="258" spans="2:15" ht="85.5" x14ac:dyDescent="0.3">
      <c r="B258" s="13">
        <v>255</v>
      </c>
      <c r="C258" s="17" t="str">
        <f t="shared" si="6"/>
        <v>2015</v>
      </c>
      <c r="D258" s="14" t="s">
        <v>343</v>
      </c>
      <c r="E258" s="14" t="s">
        <v>659</v>
      </c>
      <c r="F258" s="15" t="s">
        <v>344</v>
      </c>
      <c r="G258" s="16">
        <v>4</v>
      </c>
      <c r="H258" s="17">
        <f t="shared" si="7"/>
        <v>0</v>
      </c>
      <c r="I258" s="9"/>
      <c r="J258" s="17">
        <f>IFERROR(IF(VLOOKUP(D:D,'테스트(1회)'!C:G,5, 0)="X",1,0),0)</f>
        <v>0</v>
      </c>
      <c r="K258" s="17">
        <f>IFERROR(IF(VLOOKUP(D:D,'테스트(2회)'!C:G,5, 0)="X",1,0),0)</f>
        <v>0</v>
      </c>
      <c r="L258" s="17">
        <f>IFERROR(IF(VLOOKUP(D:D,'테스트(3회)'!C:G,5, 0)="X",1,0),0)</f>
        <v>0</v>
      </c>
      <c r="M258" s="17">
        <f>IFERROR(IF(VLOOKUP(D:D,'테스트(4회)'!C:G,5, 0)="X",1,0),0)</f>
        <v>0</v>
      </c>
      <c r="N258" s="17">
        <f>IFERROR(IF(VLOOKUP(D:D,'테스트(5회)'!C:G,5, 0)="X",1,0),0)</f>
        <v>0</v>
      </c>
      <c r="O258" s="9"/>
    </row>
    <row r="259" spans="2:15" ht="85.5" x14ac:dyDescent="0.3">
      <c r="B259" s="13">
        <v>256</v>
      </c>
      <c r="C259" s="17" t="str">
        <f t="shared" si="6"/>
        <v>2015</v>
      </c>
      <c r="D259" s="14" t="s">
        <v>345</v>
      </c>
      <c r="E259" s="14" t="s">
        <v>659</v>
      </c>
      <c r="F259" s="15" t="s">
        <v>346</v>
      </c>
      <c r="G259" s="16">
        <v>5</v>
      </c>
      <c r="H259" s="17">
        <f t="shared" si="7"/>
        <v>1</v>
      </c>
      <c r="I259" s="9"/>
      <c r="J259" s="17">
        <f>IFERROR(IF(VLOOKUP(D:D,'테스트(1회)'!C:G,5, 0)="X",1,0),0)</f>
        <v>1</v>
      </c>
      <c r="K259" s="17">
        <f>IFERROR(IF(VLOOKUP(D:D,'테스트(2회)'!C:G,5, 0)="X",1,0),0)</f>
        <v>0</v>
      </c>
      <c r="L259" s="17">
        <f>IFERROR(IF(VLOOKUP(D:D,'테스트(3회)'!C:G,5, 0)="X",1,0),0)</f>
        <v>0</v>
      </c>
      <c r="M259" s="17">
        <f>IFERROR(IF(VLOOKUP(D:D,'테스트(4회)'!C:G,5, 0)="X",1,0),0)</f>
        <v>0</v>
      </c>
      <c r="N259" s="17">
        <f>IFERROR(IF(VLOOKUP(D:D,'테스트(5회)'!C:G,5, 0)="X",1,0),0)</f>
        <v>0</v>
      </c>
      <c r="O259" s="9"/>
    </row>
    <row r="260" spans="2:15" ht="85.5" x14ac:dyDescent="0.3">
      <c r="B260" s="13">
        <v>257</v>
      </c>
      <c r="C260" s="17" t="str">
        <f t="shared" ref="C260:C323" si="8">MID(D260,3,4)</f>
        <v>2015</v>
      </c>
      <c r="D260" s="14" t="s">
        <v>347</v>
      </c>
      <c r="E260" s="14" t="s">
        <v>659</v>
      </c>
      <c r="F260" s="15" t="s">
        <v>348</v>
      </c>
      <c r="G260" s="16">
        <v>4</v>
      </c>
      <c r="H260" s="17">
        <f t="shared" ref="H260:H323" si="9">SUM(J260:N260)</f>
        <v>1</v>
      </c>
      <c r="I260" s="9"/>
      <c r="J260" s="17">
        <f>IFERROR(IF(VLOOKUP(D:D,'테스트(1회)'!C:G,5, 0)="X",1,0),0)</f>
        <v>1</v>
      </c>
      <c r="K260" s="17">
        <f>IFERROR(IF(VLOOKUP(D:D,'테스트(2회)'!C:G,5, 0)="X",1,0),0)</f>
        <v>0</v>
      </c>
      <c r="L260" s="17">
        <f>IFERROR(IF(VLOOKUP(D:D,'테스트(3회)'!C:G,5, 0)="X",1,0),0)</f>
        <v>0</v>
      </c>
      <c r="M260" s="17">
        <f>IFERROR(IF(VLOOKUP(D:D,'테스트(4회)'!C:G,5, 0)="X",1,0),0)</f>
        <v>0</v>
      </c>
      <c r="N260" s="17">
        <f>IFERROR(IF(VLOOKUP(D:D,'테스트(5회)'!C:G,5, 0)="X",1,0),0)</f>
        <v>0</v>
      </c>
      <c r="O260" s="9"/>
    </row>
    <row r="261" spans="2:15" ht="99.75" x14ac:dyDescent="0.3">
      <c r="B261" s="13">
        <v>258</v>
      </c>
      <c r="C261" s="17" t="str">
        <f t="shared" si="8"/>
        <v>2015</v>
      </c>
      <c r="D261" s="14" t="s">
        <v>349</v>
      </c>
      <c r="E261" s="14" t="s">
        <v>659</v>
      </c>
      <c r="F261" s="15" t="s">
        <v>754</v>
      </c>
      <c r="G261" s="16">
        <v>3</v>
      </c>
      <c r="H261" s="17">
        <f t="shared" si="9"/>
        <v>1</v>
      </c>
      <c r="I261" s="9"/>
      <c r="J261" s="17">
        <f>IFERROR(IF(VLOOKUP(D:D,'테스트(1회)'!C:G,5, 0)="X",1,0),0)</f>
        <v>1</v>
      </c>
      <c r="K261" s="17">
        <f>IFERROR(IF(VLOOKUP(D:D,'테스트(2회)'!C:G,5, 0)="X",1,0),0)</f>
        <v>0</v>
      </c>
      <c r="L261" s="17">
        <f>IFERROR(IF(VLOOKUP(D:D,'테스트(3회)'!C:G,5, 0)="X",1,0),0)</f>
        <v>0</v>
      </c>
      <c r="M261" s="17">
        <f>IFERROR(IF(VLOOKUP(D:D,'테스트(4회)'!C:G,5, 0)="X",1,0),0)</f>
        <v>0</v>
      </c>
      <c r="N261" s="17">
        <f>IFERROR(IF(VLOOKUP(D:D,'테스트(5회)'!C:G,5, 0)="X",1,0),0)</f>
        <v>0</v>
      </c>
      <c r="O261" s="9"/>
    </row>
    <row r="262" spans="2:15" ht="85.5" x14ac:dyDescent="0.3">
      <c r="B262" s="13">
        <v>259</v>
      </c>
      <c r="C262" s="17" t="str">
        <f t="shared" si="8"/>
        <v>2015</v>
      </c>
      <c r="D262" s="14" t="s">
        <v>350</v>
      </c>
      <c r="E262" s="14" t="s">
        <v>659</v>
      </c>
      <c r="F262" s="15" t="s">
        <v>351</v>
      </c>
      <c r="G262" s="16">
        <v>1</v>
      </c>
      <c r="H262" s="17">
        <f t="shared" si="9"/>
        <v>0</v>
      </c>
      <c r="I262" s="9"/>
      <c r="J262" s="17">
        <f>IFERROR(IF(VLOOKUP(D:D,'테스트(1회)'!C:G,5, 0)="X",1,0),0)</f>
        <v>0</v>
      </c>
      <c r="K262" s="17">
        <f>IFERROR(IF(VLOOKUP(D:D,'테스트(2회)'!C:G,5, 0)="X",1,0),0)</f>
        <v>0</v>
      </c>
      <c r="L262" s="17">
        <f>IFERROR(IF(VLOOKUP(D:D,'테스트(3회)'!C:G,5, 0)="X",1,0),0)</f>
        <v>0</v>
      </c>
      <c r="M262" s="17">
        <f>IFERROR(IF(VLOOKUP(D:D,'테스트(4회)'!C:G,5, 0)="X",1,0),0)</f>
        <v>0</v>
      </c>
      <c r="N262" s="17">
        <f>IFERROR(IF(VLOOKUP(D:D,'테스트(5회)'!C:G,5, 0)="X",1,0),0)</f>
        <v>0</v>
      </c>
      <c r="O262" s="9"/>
    </row>
    <row r="263" spans="2:15" ht="85.5" x14ac:dyDescent="0.3">
      <c r="B263" s="13">
        <v>260</v>
      </c>
      <c r="C263" s="17" t="str">
        <f t="shared" si="8"/>
        <v>2015</v>
      </c>
      <c r="D263" s="14" t="s">
        <v>352</v>
      </c>
      <c r="E263" s="14" t="s">
        <v>659</v>
      </c>
      <c r="F263" s="15" t="s">
        <v>353</v>
      </c>
      <c r="G263" s="16">
        <v>1</v>
      </c>
      <c r="H263" s="17">
        <f t="shared" si="9"/>
        <v>0</v>
      </c>
      <c r="I263" s="9"/>
      <c r="J263" s="17">
        <f>IFERROR(IF(VLOOKUP(D:D,'테스트(1회)'!C:G,5, 0)="X",1,0),0)</f>
        <v>0</v>
      </c>
      <c r="K263" s="17">
        <f>IFERROR(IF(VLOOKUP(D:D,'테스트(2회)'!C:G,5, 0)="X",1,0),0)</f>
        <v>0</v>
      </c>
      <c r="L263" s="17">
        <f>IFERROR(IF(VLOOKUP(D:D,'테스트(3회)'!C:G,5, 0)="X",1,0),0)</f>
        <v>0</v>
      </c>
      <c r="M263" s="17">
        <f>IFERROR(IF(VLOOKUP(D:D,'테스트(4회)'!C:G,5, 0)="X",1,0),0)</f>
        <v>0</v>
      </c>
      <c r="N263" s="17">
        <f>IFERROR(IF(VLOOKUP(D:D,'테스트(5회)'!C:G,5, 0)="X",1,0),0)</f>
        <v>0</v>
      </c>
      <c r="O263" s="9"/>
    </row>
    <row r="264" spans="2:15" ht="85.5" x14ac:dyDescent="0.3">
      <c r="B264" s="13">
        <v>261</v>
      </c>
      <c r="C264" s="17" t="str">
        <f t="shared" si="8"/>
        <v>2015</v>
      </c>
      <c r="D264" s="14" t="s">
        <v>354</v>
      </c>
      <c r="E264" s="14" t="s">
        <v>659</v>
      </c>
      <c r="F264" s="15" t="s">
        <v>355</v>
      </c>
      <c r="G264" s="16">
        <v>2</v>
      </c>
      <c r="H264" s="17">
        <f t="shared" si="9"/>
        <v>0</v>
      </c>
      <c r="I264" s="9"/>
      <c r="J264" s="17">
        <f>IFERROR(IF(VLOOKUP(D:D,'테스트(1회)'!C:G,5, 0)="X",1,0),0)</f>
        <v>0</v>
      </c>
      <c r="K264" s="17">
        <f>IFERROR(IF(VLOOKUP(D:D,'테스트(2회)'!C:G,5, 0)="X",1,0),0)</f>
        <v>0</v>
      </c>
      <c r="L264" s="17">
        <f>IFERROR(IF(VLOOKUP(D:D,'테스트(3회)'!C:G,5, 0)="X",1,0),0)</f>
        <v>0</v>
      </c>
      <c r="M264" s="17">
        <f>IFERROR(IF(VLOOKUP(D:D,'테스트(4회)'!C:G,5, 0)="X",1,0),0)</f>
        <v>0</v>
      </c>
      <c r="N264" s="17">
        <f>IFERROR(IF(VLOOKUP(D:D,'테스트(5회)'!C:G,5, 0)="X",1,0),0)</f>
        <v>0</v>
      </c>
      <c r="O264" s="9"/>
    </row>
    <row r="265" spans="2:15" ht="85.5" x14ac:dyDescent="0.3">
      <c r="B265" s="13">
        <v>262</v>
      </c>
      <c r="C265" s="17" t="str">
        <f t="shared" si="8"/>
        <v>2015</v>
      </c>
      <c r="D265" s="14" t="s">
        <v>356</v>
      </c>
      <c r="E265" s="14" t="s">
        <v>659</v>
      </c>
      <c r="F265" s="15" t="s">
        <v>357</v>
      </c>
      <c r="G265" s="16">
        <v>4</v>
      </c>
      <c r="H265" s="17">
        <f t="shared" si="9"/>
        <v>1</v>
      </c>
      <c r="I265" s="9"/>
      <c r="J265" s="17">
        <f>IFERROR(IF(VLOOKUP(D:D,'테스트(1회)'!C:G,5, 0)="X",1,0),0)</f>
        <v>1</v>
      </c>
      <c r="K265" s="17">
        <f>IFERROR(IF(VLOOKUP(D:D,'테스트(2회)'!C:G,5, 0)="X",1,0),0)</f>
        <v>0</v>
      </c>
      <c r="L265" s="17">
        <f>IFERROR(IF(VLOOKUP(D:D,'테스트(3회)'!C:G,5, 0)="X",1,0),0)</f>
        <v>0</v>
      </c>
      <c r="M265" s="17">
        <f>IFERROR(IF(VLOOKUP(D:D,'테스트(4회)'!C:G,5, 0)="X",1,0),0)</f>
        <v>0</v>
      </c>
      <c r="N265" s="17">
        <f>IFERROR(IF(VLOOKUP(D:D,'테스트(5회)'!C:G,5, 0)="X",1,0),0)</f>
        <v>0</v>
      </c>
      <c r="O265" s="9"/>
    </row>
    <row r="266" spans="2:15" ht="85.5" x14ac:dyDescent="0.3">
      <c r="B266" s="13">
        <v>263</v>
      </c>
      <c r="C266" s="17" t="str">
        <f t="shared" si="8"/>
        <v>2015</v>
      </c>
      <c r="D266" s="14" t="s">
        <v>358</v>
      </c>
      <c r="E266" s="14" t="s">
        <v>659</v>
      </c>
      <c r="F266" s="15" t="s">
        <v>359</v>
      </c>
      <c r="G266" s="16">
        <v>1</v>
      </c>
      <c r="H266" s="17">
        <f t="shared" si="9"/>
        <v>1</v>
      </c>
      <c r="I266" s="9"/>
      <c r="J266" s="17">
        <f>IFERROR(IF(VLOOKUP(D:D,'테스트(1회)'!C:G,5, 0)="X",1,0),0)</f>
        <v>1</v>
      </c>
      <c r="K266" s="17">
        <f>IFERROR(IF(VLOOKUP(D:D,'테스트(2회)'!C:G,5, 0)="X",1,0),0)</f>
        <v>0</v>
      </c>
      <c r="L266" s="17">
        <f>IFERROR(IF(VLOOKUP(D:D,'테스트(3회)'!C:G,5, 0)="X",1,0),0)</f>
        <v>0</v>
      </c>
      <c r="M266" s="17">
        <f>IFERROR(IF(VLOOKUP(D:D,'테스트(4회)'!C:G,5, 0)="X",1,0),0)</f>
        <v>0</v>
      </c>
      <c r="N266" s="17">
        <f>IFERROR(IF(VLOOKUP(D:D,'테스트(5회)'!C:G,5, 0)="X",1,0),0)</f>
        <v>0</v>
      </c>
      <c r="O266" s="9"/>
    </row>
    <row r="267" spans="2:15" ht="99.75" x14ac:dyDescent="0.3">
      <c r="B267" s="13">
        <v>264</v>
      </c>
      <c r="C267" s="17" t="str">
        <f t="shared" si="8"/>
        <v>2015</v>
      </c>
      <c r="D267" s="14" t="s">
        <v>360</v>
      </c>
      <c r="E267" s="14" t="s">
        <v>659</v>
      </c>
      <c r="F267" s="15" t="s">
        <v>361</v>
      </c>
      <c r="G267" s="16">
        <v>3</v>
      </c>
      <c r="H267" s="17">
        <f t="shared" si="9"/>
        <v>0</v>
      </c>
      <c r="I267" s="9"/>
      <c r="J267" s="17">
        <f>IFERROR(IF(VLOOKUP(D:D,'테스트(1회)'!C:G,5, 0)="X",1,0),0)</f>
        <v>0</v>
      </c>
      <c r="K267" s="17">
        <f>IFERROR(IF(VLOOKUP(D:D,'테스트(2회)'!C:G,5, 0)="X",1,0),0)</f>
        <v>0</v>
      </c>
      <c r="L267" s="17">
        <f>IFERROR(IF(VLOOKUP(D:D,'테스트(3회)'!C:G,5, 0)="X",1,0),0)</f>
        <v>0</v>
      </c>
      <c r="M267" s="17">
        <f>IFERROR(IF(VLOOKUP(D:D,'테스트(4회)'!C:G,5, 0)="X",1,0),0)</f>
        <v>0</v>
      </c>
      <c r="N267" s="17">
        <f>IFERROR(IF(VLOOKUP(D:D,'테스트(5회)'!C:G,5, 0)="X",1,0),0)</f>
        <v>0</v>
      </c>
      <c r="O267" s="9"/>
    </row>
    <row r="268" spans="2:15" ht="99.75" x14ac:dyDescent="0.3">
      <c r="B268" s="13">
        <v>265</v>
      </c>
      <c r="C268" s="17" t="str">
        <f t="shared" si="8"/>
        <v>2015</v>
      </c>
      <c r="D268" s="14" t="s">
        <v>362</v>
      </c>
      <c r="E268" s="14" t="s">
        <v>659</v>
      </c>
      <c r="F268" s="15" t="s">
        <v>363</v>
      </c>
      <c r="G268" s="16">
        <v>2</v>
      </c>
      <c r="H268" s="17">
        <f t="shared" si="9"/>
        <v>0</v>
      </c>
      <c r="I268" s="9"/>
      <c r="J268" s="17">
        <f>IFERROR(IF(VLOOKUP(D:D,'테스트(1회)'!C:G,5, 0)="X",1,0),0)</f>
        <v>0</v>
      </c>
      <c r="K268" s="17">
        <f>IFERROR(IF(VLOOKUP(D:D,'테스트(2회)'!C:G,5, 0)="X",1,0),0)</f>
        <v>0</v>
      </c>
      <c r="L268" s="17">
        <f>IFERROR(IF(VLOOKUP(D:D,'테스트(3회)'!C:G,5, 0)="X",1,0),0)</f>
        <v>0</v>
      </c>
      <c r="M268" s="17">
        <f>IFERROR(IF(VLOOKUP(D:D,'테스트(4회)'!C:G,5, 0)="X",1,0),0)</f>
        <v>0</v>
      </c>
      <c r="N268" s="17">
        <f>IFERROR(IF(VLOOKUP(D:D,'테스트(5회)'!C:G,5, 0)="X",1,0),0)</f>
        <v>0</v>
      </c>
      <c r="O268" s="9"/>
    </row>
    <row r="269" spans="2:15" ht="85.5" x14ac:dyDescent="0.3">
      <c r="B269" s="13">
        <v>266</v>
      </c>
      <c r="C269" s="17" t="str">
        <f t="shared" si="8"/>
        <v>2014</v>
      </c>
      <c r="D269" s="14" t="s">
        <v>364</v>
      </c>
      <c r="E269" s="14" t="s">
        <v>659</v>
      </c>
      <c r="F269" s="15" t="s">
        <v>365</v>
      </c>
      <c r="G269" s="16">
        <v>5</v>
      </c>
      <c r="H269" s="17">
        <f t="shared" si="9"/>
        <v>0</v>
      </c>
      <c r="I269" s="9"/>
      <c r="J269" s="17">
        <f>IFERROR(IF(VLOOKUP(D:D,'테스트(1회)'!C:G,5, 0)="X",1,0),0)</f>
        <v>0</v>
      </c>
      <c r="K269" s="17">
        <f>IFERROR(IF(VLOOKUP(D:D,'테스트(2회)'!C:G,5, 0)="X",1,0),0)</f>
        <v>0</v>
      </c>
      <c r="L269" s="17">
        <f>IFERROR(IF(VLOOKUP(D:D,'테스트(3회)'!C:G,5, 0)="X",1,0),0)</f>
        <v>0</v>
      </c>
      <c r="M269" s="17">
        <f>IFERROR(IF(VLOOKUP(D:D,'테스트(4회)'!C:G,5, 0)="X",1,0),0)</f>
        <v>0</v>
      </c>
      <c r="N269" s="17">
        <f>IFERROR(IF(VLOOKUP(D:D,'테스트(5회)'!C:G,5, 0)="X",1,0),0)</f>
        <v>0</v>
      </c>
      <c r="O269" s="9"/>
    </row>
    <row r="270" spans="2:15" ht="85.5" x14ac:dyDescent="0.3">
      <c r="B270" s="13">
        <v>267</v>
      </c>
      <c r="C270" s="17" t="str">
        <f t="shared" si="8"/>
        <v>2014</v>
      </c>
      <c r="D270" s="14" t="s">
        <v>366</v>
      </c>
      <c r="E270" s="14" t="s">
        <v>659</v>
      </c>
      <c r="F270" s="15" t="s">
        <v>367</v>
      </c>
      <c r="G270" s="16">
        <v>4</v>
      </c>
      <c r="H270" s="17">
        <f t="shared" si="9"/>
        <v>0</v>
      </c>
      <c r="I270" s="9"/>
      <c r="J270" s="17">
        <f>IFERROR(IF(VLOOKUP(D:D,'테스트(1회)'!C:G,5, 0)="X",1,0),0)</f>
        <v>0</v>
      </c>
      <c r="K270" s="17">
        <f>IFERROR(IF(VLOOKUP(D:D,'테스트(2회)'!C:G,5, 0)="X",1,0),0)</f>
        <v>0</v>
      </c>
      <c r="L270" s="17">
        <f>IFERROR(IF(VLOOKUP(D:D,'테스트(3회)'!C:G,5, 0)="X",1,0),0)</f>
        <v>0</v>
      </c>
      <c r="M270" s="17">
        <f>IFERROR(IF(VLOOKUP(D:D,'테스트(4회)'!C:G,5, 0)="X",1,0),0)</f>
        <v>0</v>
      </c>
      <c r="N270" s="17">
        <f>IFERROR(IF(VLOOKUP(D:D,'테스트(5회)'!C:G,5, 0)="X",1,0),0)</f>
        <v>0</v>
      </c>
      <c r="O270" s="9"/>
    </row>
    <row r="271" spans="2:15" ht="85.5" x14ac:dyDescent="0.3">
      <c r="B271" s="13">
        <v>268</v>
      </c>
      <c r="C271" s="17" t="str">
        <f t="shared" si="8"/>
        <v>2014</v>
      </c>
      <c r="D271" s="14" t="s">
        <v>368</v>
      </c>
      <c r="E271" s="14" t="s">
        <v>659</v>
      </c>
      <c r="F271" s="15" t="s">
        <v>369</v>
      </c>
      <c r="G271" s="16">
        <v>4</v>
      </c>
      <c r="H271" s="17">
        <f t="shared" si="9"/>
        <v>0</v>
      </c>
      <c r="I271" s="9"/>
      <c r="J271" s="17">
        <f>IFERROR(IF(VLOOKUP(D:D,'테스트(1회)'!C:G,5, 0)="X",1,0),0)</f>
        <v>0</v>
      </c>
      <c r="K271" s="17">
        <f>IFERROR(IF(VLOOKUP(D:D,'테스트(2회)'!C:G,5, 0)="X",1,0),0)</f>
        <v>0</v>
      </c>
      <c r="L271" s="17">
        <f>IFERROR(IF(VLOOKUP(D:D,'테스트(3회)'!C:G,5, 0)="X",1,0),0)</f>
        <v>0</v>
      </c>
      <c r="M271" s="17">
        <f>IFERROR(IF(VLOOKUP(D:D,'테스트(4회)'!C:G,5, 0)="X",1,0),0)</f>
        <v>0</v>
      </c>
      <c r="N271" s="17">
        <f>IFERROR(IF(VLOOKUP(D:D,'테스트(5회)'!C:G,5, 0)="X",1,0),0)</f>
        <v>0</v>
      </c>
      <c r="O271" s="9"/>
    </row>
    <row r="272" spans="2:15" ht="85.5" x14ac:dyDescent="0.3">
      <c r="B272" s="13">
        <v>269</v>
      </c>
      <c r="C272" s="17" t="str">
        <f t="shared" si="8"/>
        <v>2014</v>
      </c>
      <c r="D272" s="14" t="s">
        <v>370</v>
      </c>
      <c r="E272" s="14" t="s">
        <v>659</v>
      </c>
      <c r="F272" s="15" t="s">
        <v>371</v>
      </c>
      <c r="G272" s="16">
        <v>5</v>
      </c>
      <c r="H272" s="17">
        <f t="shared" si="9"/>
        <v>0</v>
      </c>
      <c r="I272" s="9"/>
      <c r="J272" s="17">
        <f>IFERROR(IF(VLOOKUP(D:D,'테스트(1회)'!C:G,5, 0)="X",1,0),0)</f>
        <v>0</v>
      </c>
      <c r="K272" s="17">
        <f>IFERROR(IF(VLOOKUP(D:D,'테스트(2회)'!C:G,5, 0)="X",1,0),0)</f>
        <v>0</v>
      </c>
      <c r="L272" s="17">
        <f>IFERROR(IF(VLOOKUP(D:D,'테스트(3회)'!C:G,5, 0)="X",1,0),0)</f>
        <v>0</v>
      </c>
      <c r="M272" s="17">
        <f>IFERROR(IF(VLOOKUP(D:D,'테스트(4회)'!C:G,5, 0)="X",1,0),0)</f>
        <v>0</v>
      </c>
      <c r="N272" s="17">
        <f>IFERROR(IF(VLOOKUP(D:D,'테스트(5회)'!C:G,5, 0)="X",1,0),0)</f>
        <v>0</v>
      </c>
      <c r="O272" s="9"/>
    </row>
    <row r="273" spans="2:15" ht="85.5" x14ac:dyDescent="0.3">
      <c r="B273" s="13">
        <v>270</v>
      </c>
      <c r="C273" s="17" t="str">
        <f t="shared" si="8"/>
        <v>2014</v>
      </c>
      <c r="D273" s="14" t="s">
        <v>372</v>
      </c>
      <c r="E273" s="14" t="s">
        <v>659</v>
      </c>
      <c r="F273" s="15" t="s">
        <v>373</v>
      </c>
      <c r="G273" s="16">
        <v>3</v>
      </c>
      <c r="H273" s="17">
        <f t="shared" si="9"/>
        <v>0</v>
      </c>
      <c r="I273" s="9"/>
      <c r="J273" s="17">
        <f>IFERROR(IF(VLOOKUP(D:D,'테스트(1회)'!C:G,5, 0)="X",1,0),0)</f>
        <v>0</v>
      </c>
      <c r="K273" s="17">
        <f>IFERROR(IF(VLOOKUP(D:D,'테스트(2회)'!C:G,5, 0)="X",1,0),0)</f>
        <v>0</v>
      </c>
      <c r="L273" s="17">
        <f>IFERROR(IF(VLOOKUP(D:D,'테스트(3회)'!C:G,5, 0)="X",1,0),0)</f>
        <v>0</v>
      </c>
      <c r="M273" s="17">
        <f>IFERROR(IF(VLOOKUP(D:D,'테스트(4회)'!C:G,5, 0)="X",1,0),0)</f>
        <v>0</v>
      </c>
      <c r="N273" s="17">
        <f>IFERROR(IF(VLOOKUP(D:D,'테스트(5회)'!C:G,5, 0)="X",1,0),0)</f>
        <v>0</v>
      </c>
      <c r="O273" s="9"/>
    </row>
    <row r="274" spans="2:15" ht="156.75" x14ac:dyDescent="0.3">
      <c r="B274" s="13">
        <v>271</v>
      </c>
      <c r="C274" s="17" t="str">
        <f t="shared" si="8"/>
        <v>2014</v>
      </c>
      <c r="D274" s="14" t="s">
        <v>374</v>
      </c>
      <c r="E274" s="14" t="s">
        <v>659</v>
      </c>
      <c r="F274" s="15" t="s">
        <v>375</v>
      </c>
      <c r="G274" s="16">
        <v>1</v>
      </c>
      <c r="H274" s="17">
        <f t="shared" si="9"/>
        <v>0</v>
      </c>
      <c r="I274" s="9"/>
      <c r="J274" s="17">
        <f>IFERROR(IF(VLOOKUP(D:D,'테스트(1회)'!C:G,5, 0)="X",1,0),0)</f>
        <v>0</v>
      </c>
      <c r="K274" s="17">
        <f>IFERROR(IF(VLOOKUP(D:D,'테스트(2회)'!C:G,5, 0)="X",1,0),0)</f>
        <v>0</v>
      </c>
      <c r="L274" s="17">
        <f>IFERROR(IF(VLOOKUP(D:D,'테스트(3회)'!C:G,5, 0)="X",1,0),0)</f>
        <v>0</v>
      </c>
      <c r="M274" s="17">
        <f>IFERROR(IF(VLOOKUP(D:D,'테스트(4회)'!C:G,5, 0)="X",1,0),0)</f>
        <v>0</v>
      </c>
      <c r="N274" s="17">
        <f>IFERROR(IF(VLOOKUP(D:D,'테스트(5회)'!C:G,5, 0)="X",1,0),0)</f>
        <v>0</v>
      </c>
      <c r="O274" s="9"/>
    </row>
    <row r="275" spans="2:15" ht="85.5" x14ac:dyDescent="0.3">
      <c r="B275" s="13">
        <v>272</v>
      </c>
      <c r="C275" s="17" t="str">
        <f t="shared" si="8"/>
        <v>2014</v>
      </c>
      <c r="D275" s="14" t="s">
        <v>376</v>
      </c>
      <c r="E275" s="14" t="s">
        <v>659</v>
      </c>
      <c r="F275" s="15" t="s">
        <v>377</v>
      </c>
      <c r="G275" s="16">
        <v>5</v>
      </c>
      <c r="H275" s="17">
        <f t="shared" si="9"/>
        <v>0</v>
      </c>
      <c r="I275" s="9"/>
      <c r="J275" s="17">
        <f>IFERROR(IF(VLOOKUP(D:D,'테스트(1회)'!C:G,5, 0)="X",1,0),0)</f>
        <v>0</v>
      </c>
      <c r="K275" s="17">
        <f>IFERROR(IF(VLOOKUP(D:D,'테스트(2회)'!C:G,5, 0)="X",1,0),0)</f>
        <v>0</v>
      </c>
      <c r="L275" s="17">
        <f>IFERROR(IF(VLOOKUP(D:D,'테스트(3회)'!C:G,5, 0)="X",1,0),0)</f>
        <v>0</v>
      </c>
      <c r="M275" s="17">
        <f>IFERROR(IF(VLOOKUP(D:D,'테스트(4회)'!C:G,5, 0)="X",1,0),0)</f>
        <v>0</v>
      </c>
      <c r="N275" s="17">
        <f>IFERROR(IF(VLOOKUP(D:D,'테스트(5회)'!C:G,5, 0)="X",1,0),0)</f>
        <v>0</v>
      </c>
      <c r="O275" s="9"/>
    </row>
    <row r="276" spans="2:15" ht="85.5" x14ac:dyDescent="0.3">
      <c r="B276" s="13">
        <v>273</v>
      </c>
      <c r="C276" s="17" t="str">
        <f t="shared" si="8"/>
        <v>2014</v>
      </c>
      <c r="D276" s="14" t="s">
        <v>378</v>
      </c>
      <c r="E276" s="14" t="s">
        <v>659</v>
      </c>
      <c r="F276" s="15" t="s">
        <v>379</v>
      </c>
      <c r="G276" s="16">
        <v>1</v>
      </c>
      <c r="H276" s="17">
        <f t="shared" si="9"/>
        <v>0</v>
      </c>
      <c r="I276" s="9"/>
      <c r="J276" s="17">
        <f>IFERROR(IF(VLOOKUP(D:D,'테스트(1회)'!C:G,5, 0)="X",1,0),0)</f>
        <v>0</v>
      </c>
      <c r="K276" s="17">
        <f>IFERROR(IF(VLOOKUP(D:D,'테스트(2회)'!C:G,5, 0)="X",1,0),0)</f>
        <v>0</v>
      </c>
      <c r="L276" s="17">
        <f>IFERROR(IF(VLOOKUP(D:D,'테스트(3회)'!C:G,5, 0)="X",1,0),0)</f>
        <v>0</v>
      </c>
      <c r="M276" s="17">
        <f>IFERROR(IF(VLOOKUP(D:D,'테스트(4회)'!C:G,5, 0)="X",1,0),0)</f>
        <v>0</v>
      </c>
      <c r="N276" s="17">
        <f>IFERROR(IF(VLOOKUP(D:D,'테스트(5회)'!C:G,5, 0)="X",1,0),0)</f>
        <v>0</v>
      </c>
      <c r="O276" s="9"/>
    </row>
    <row r="277" spans="2:15" ht="85.5" x14ac:dyDescent="0.3">
      <c r="B277" s="13">
        <v>274</v>
      </c>
      <c r="C277" s="17" t="str">
        <f t="shared" si="8"/>
        <v>2014</v>
      </c>
      <c r="D277" s="14" t="s">
        <v>380</v>
      </c>
      <c r="E277" s="14" t="s">
        <v>659</v>
      </c>
      <c r="F277" s="15" t="s">
        <v>381</v>
      </c>
      <c r="G277" s="16">
        <v>2</v>
      </c>
      <c r="H277" s="17">
        <f t="shared" si="9"/>
        <v>0</v>
      </c>
      <c r="I277" s="9"/>
      <c r="J277" s="17">
        <f>IFERROR(IF(VLOOKUP(D:D,'테스트(1회)'!C:G,5, 0)="X",1,0),0)</f>
        <v>0</v>
      </c>
      <c r="K277" s="17">
        <f>IFERROR(IF(VLOOKUP(D:D,'테스트(2회)'!C:G,5, 0)="X",1,0),0)</f>
        <v>0</v>
      </c>
      <c r="L277" s="17">
        <f>IFERROR(IF(VLOOKUP(D:D,'테스트(3회)'!C:G,5, 0)="X",1,0),0)</f>
        <v>0</v>
      </c>
      <c r="M277" s="17">
        <f>IFERROR(IF(VLOOKUP(D:D,'테스트(4회)'!C:G,5, 0)="X",1,0),0)</f>
        <v>0</v>
      </c>
      <c r="N277" s="17">
        <f>IFERROR(IF(VLOOKUP(D:D,'테스트(5회)'!C:G,5, 0)="X",1,0),0)</f>
        <v>0</v>
      </c>
      <c r="O277" s="9"/>
    </row>
    <row r="278" spans="2:15" ht="85.5" x14ac:dyDescent="0.3">
      <c r="B278" s="13">
        <v>275</v>
      </c>
      <c r="C278" s="17" t="str">
        <f t="shared" si="8"/>
        <v>2014</v>
      </c>
      <c r="D278" s="14" t="s">
        <v>382</v>
      </c>
      <c r="E278" s="14" t="s">
        <v>659</v>
      </c>
      <c r="F278" s="15" t="s">
        <v>383</v>
      </c>
      <c r="G278" s="16">
        <v>3</v>
      </c>
      <c r="H278" s="17">
        <f t="shared" si="9"/>
        <v>0</v>
      </c>
      <c r="I278" s="9"/>
      <c r="J278" s="17">
        <f>IFERROR(IF(VLOOKUP(D:D,'테스트(1회)'!C:G,5, 0)="X",1,0),0)</f>
        <v>0</v>
      </c>
      <c r="K278" s="17">
        <f>IFERROR(IF(VLOOKUP(D:D,'테스트(2회)'!C:G,5, 0)="X",1,0),0)</f>
        <v>0</v>
      </c>
      <c r="L278" s="17">
        <f>IFERROR(IF(VLOOKUP(D:D,'테스트(3회)'!C:G,5, 0)="X",1,0),0)</f>
        <v>0</v>
      </c>
      <c r="M278" s="17">
        <f>IFERROR(IF(VLOOKUP(D:D,'테스트(4회)'!C:G,5, 0)="X",1,0),0)</f>
        <v>0</v>
      </c>
      <c r="N278" s="17">
        <f>IFERROR(IF(VLOOKUP(D:D,'테스트(5회)'!C:G,5, 0)="X",1,0),0)</f>
        <v>0</v>
      </c>
      <c r="O278" s="9"/>
    </row>
    <row r="279" spans="2:15" ht="85.5" x14ac:dyDescent="0.3">
      <c r="B279" s="13">
        <v>276</v>
      </c>
      <c r="C279" s="17" t="str">
        <f t="shared" si="8"/>
        <v>2014</v>
      </c>
      <c r="D279" s="14" t="s">
        <v>384</v>
      </c>
      <c r="E279" s="14" t="s">
        <v>659</v>
      </c>
      <c r="F279" s="15" t="s">
        <v>385</v>
      </c>
      <c r="G279" s="16">
        <v>3</v>
      </c>
      <c r="H279" s="17">
        <f t="shared" si="9"/>
        <v>0</v>
      </c>
      <c r="I279" s="9"/>
      <c r="J279" s="17">
        <f>IFERROR(IF(VLOOKUP(D:D,'테스트(1회)'!C:G,5, 0)="X",1,0),0)</f>
        <v>0</v>
      </c>
      <c r="K279" s="17">
        <f>IFERROR(IF(VLOOKUP(D:D,'테스트(2회)'!C:G,5, 0)="X",1,0),0)</f>
        <v>0</v>
      </c>
      <c r="L279" s="17">
        <f>IFERROR(IF(VLOOKUP(D:D,'테스트(3회)'!C:G,5, 0)="X",1,0),0)</f>
        <v>0</v>
      </c>
      <c r="M279" s="17">
        <f>IFERROR(IF(VLOOKUP(D:D,'테스트(4회)'!C:G,5, 0)="X",1,0),0)</f>
        <v>0</v>
      </c>
      <c r="N279" s="17">
        <f>IFERROR(IF(VLOOKUP(D:D,'테스트(5회)'!C:G,5, 0)="X",1,0),0)</f>
        <v>0</v>
      </c>
      <c r="O279" s="9"/>
    </row>
    <row r="280" spans="2:15" ht="99.75" x14ac:dyDescent="0.3">
      <c r="B280" s="13">
        <v>277</v>
      </c>
      <c r="C280" s="17" t="str">
        <f t="shared" si="8"/>
        <v>2014</v>
      </c>
      <c r="D280" s="14" t="s">
        <v>386</v>
      </c>
      <c r="E280" s="14" t="s">
        <v>659</v>
      </c>
      <c r="F280" s="15" t="s">
        <v>387</v>
      </c>
      <c r="G280" s="16">
        <v>2</v>
      </c>
      <c r="H280" s="17">
        <f t="shared" si="9"/>
        <v>0</v>
      </c>
      <c r="I280" s="9"/>
      <c r="J280" s="17">
        <f>IFERROR(IF(VLOOKUP(D:D,'테스트(1회)'!C:G,5, 0)="X",1,0),0)</f>
        <v>0</v>
      </c>
      <c r="K280" s="17">
        <f>IFERROR(IF(VLOOKUP(D:D,'테스트(2회)'!C:G,5, 0)="X",1,0),0)</f>
        <v>0</v>
      </c>
      <c r="L280" s="17">
        <f>IFERROR(IF(VLOOKUP(D:D,'테스트(3회)'!C:G,5, 0)="X",1,0),0)</f>
        <v>0</v>
      </c>
      <c r="M280" s="17">
        <f>IFERROR(IF(VLOOKUP(D:D,'테스트(4회)'!C:G,5, 0)="X",1,0),0)</f>
        <v>0</v>
      </c>
      <c r="N280" s="17">
        <f>IFERROR(IF(VLOOKUP(D:D,'테스트(5회)'!C:G,5, 0)="X",1,0),0)</f>
        <v>0</v>
      </c>
      <c r="O280" s="9"/>
    </row>
    <row r="281" spans="2:15" ht="142.5" x14ac:dyDescent="0.3">
      <c r="B281" s="13">
        <v>278</v>
      </c>
      <c r="C281" s="17" t="str">
        <f t="shared" si="8"/>
        <v>2014</v>
      </c>
      <c r="D281" s="14" t="s">
        <v>388</v>
      </c>
      <c r="E281" s="14" t="s">
        <v>659</v>
      </c>
      <c r="F281" s="15" t="s">
        <v>389</v>
      </c>
      <c r="G281" s="16">
        <v>1</v>
      </c>
      <c r="H281" s="17">
        <f t="shared" si="9"/>
        <v>0</v>
      </c>
      <c r="I281" s="9"/>
      <c r="J281" s="17">
        <f>IFERROR(IF(VLOOKUP(D:D,'테스트(1회)'!C:G,5, 0)="X",1,0),0)</f>
        <v>0</v>
      </c>
      <c r="K281" s="17">
        <f>IFERROR(IF(VLOOKUP(D:D,'테스트(2회)'!C:G,5, 0)="X",1,0),0)</f>
        <v>0</v>
      </c>
      <c r="L281" s="17">
        <f>IFERROR(IF(VLOOKUP(D:D,'테스트(3회)'!C:G,5, 0)="X",1,0),0)</f>
        <v>0</v>
      </c>
      <c r="M281" s="17">
        <f>IFERROR(IF(VLOOKUP(D:D,'테스트(4회)'!C:G,5, 0)="X",1,0),0)</f>
        <v>0</v>
      </c>
      <c r="N281" s="17">
        <f>IFERROR(IF(VLOOKUP(D:D,'테스트(5회)'!C:G,5, 0)="X",1,0),0)</f>
        <v>0</v>
      </c>
      <c r="O281" s="9"/>
    </row>
    <row r="282" spans="2:15" ht="85.5" x14ac:dyDescent="0.3">
      <c r="B282" s="13">
        <v>279</v>
      </c>
      <c r="C282" s="17" t="str">
        <f t="shared" si="8"/>
        <v>2014</v>
      </c>
      <c r="D282" s="14" t="s">
        <v>390</v>
      </c>
      <c r="E282" s="14" t="s">
        <v>659</v>
      </c>
      <c r="F282" s="15" t="s">
        <v>391</v>
      </c>
      <c r="G282" s="16">
        <v>3</v>
      </c>
      <c r="H282" s="17">
        <f t="shared" si="9"/>
        <v>0</v>
      </c>
      <c r="I282" s="9"/>
      <c r="J282" s="17">
        <f>IFERROR(IF(VLOOKUP(D:D,'테스트(1회)'!C:G,5, 0)="X",1,0),0)</f>
        <v>0</v>
      </c>
      <c r="K282" s="17">
        <f>IFERROR(IF(VLOOKUP(D:D,'테스트(2회)'!C:G,5, 0)="X",1,0),0)</f>
        <v>0</v>
      </c>
      <c r="L282" s="17">
        <f>IFERROR(IF(VLOOKUP(D:D,'테스트(3회)'!C:G,5, 0)="X",1,0),0)</f>
        <v>0</v>
      </c>
      <c r="M282" s="17">
        <f>IFERROR(IF(VLOOKUP(D:D,'테스트(4회)'!C:G,5, 0)="X",1,0),0)</f>
        <v>0</v>
      </c>
      <c r="N282" s="17">
        <f>IFERROR(IF(VLOOKUP(D:D,'테스트(5회)'!C:G,5, 0)="X",1,0),0)</f>
        <v>0</v>
      </c>
      <c r="O282" s="9"/>
    </row>
    <row r="283" spans="2:15" ht="142.5" x14ac:dyDescent="0.3">
      <c r="B283" s="13">
        <v>280</v>
      </c>
      <c r="C283" s="17" t="str">
        <f t="shared" si="8"/>
        <v>2014</v>
      </c>
      <c r="D283" s="14" t="s">
        <v>392</v>
      </c>
      <c r="E283" s="14" t="s">
        <v>659</v>
      </c>
      <c r="F283" s="15" t="s">
        <v>393</v>
      </c>
      <c r="G283" s="16">
        <v>4</v>
      </c>
      <c r="H283" s="17">
        <f t="shared" si="9"/>
        <v>0</v>
      </c>
      <c r="I283" s="9"/>
      <c r="J283" s="17">
        <f>IFERROR(IF(VLOOKUP(D:D,'테스트(1회)'!C:G,5, 0)="X",1,0),0)</f>
        <v>0</v>
      </c>
      <c r="K283" s="17">
        <f>IFERROR(IF(VLOOKUP(D:D,'테스트(2회)'!C:G,5, 0)="X",1,0),0)</f>
        <v>0</v>
      </c>
      <c r="L283" s="17">
        <f>IFERROR(IF(VLOOKUP(D:D,'테스트(3회)'!C:G,5, 0)="X",1,0),0)</f>
        <v>0</v>
      </c>
      <c r="M283" s="17">
        <f>IFERROR(IF(VLOOKUP(D:D,'테스트(4회)'!C:G,5, 0)="X",1,0),0)</f>
        <v>0</v>
      </c>
      <c r="N283" s="17">
        <f>IFERROR(IF(VLOOKUP(D:D,'테스트(5회)'!C:G,5, 0)="X",1,0),0)</f>
        <v>0</v>
      </c>
      <c r="O283" s="9"/>
    </row>
    <row r="284" spans="2:15" ht="85.5" x14ac:dyDescent="0.3">
      <c r="B284" s="13">
        <v>281</v>
      </c>
      <c r="C284" s="17" t="str">
        <f t="shared" si="8"/>
        <v>2014</v>
      </c>
      <c r="D284" s="14" t="s">
        <v>394</v>
      </c>
      <c r="E284" s="14" t="s">
        <v>659</v>
      </c>
      <c r="F284" s="15" t="s">
        <v>395</v>
      </c>
      <c r="G284" s="16">
        <v>4</v>
      </c>
      <c r="H284" s="17">
        <f t="shared" si="9"/>
        <v>0</v>
      </c>
      <c r="I284" s="9"/>
      <c r="J284" s="17">
        <f>IFERROR(IF(VLOOKUP(D:D,'테스트(1회)'!C:G,5, 0)="X",1,0),0)</f>
        <v>0</v>
      </c>
      <c r="K284" s="17">
        <f>IFERROR(IF(VLOOKUP(D:D,'테스트(2회)'!C:G,5, 0)="X",1,0),0)</f>
        <v>0</v>
      </c>
      <c r="L284" s="17">
        <f>IFERROR(IF(VLOOKUP(D:D,'테스트(3회)'!C:G,5, 0)="X",1,0),0)</f>
        <v>0</v>
      </c>
      <c r="M284" s="17">
        <f>IFERROR(IF(VLOOKUP(D:D,'테스트(4회)'!C:G,5, 0)="X",1,0),0)</f>
        <v>0</v>
      </c>
      <c r="N284" s="17">
        <f>IFERROR(IF(VLOOKUP(D:D,'테스트(5회)'!C:G,5, 0)="X",1,0),0)</f>
        <v>0</v>
      </c>
      <c r="O284" s="9"/>
    </row>
    <row r="285" spans="2:15" ht="85.5" x14ac:dyDescent="0.3">
      <c r="B285" s="13">
        <v>282</v>
      </c>
      <c r="C285" s="17" t="str">
        <f t="shared" si="8"/>
        <v>2014</v>
      </c>
      <c r="D285" s="14" t="s">
        <v>396</v>
      </c>
      <c r="E285" s="14" t="s">
        <v>659</v>
      </c>
      <c r="F285" s="15" t="s">
        <v>397</v>
      </c>
      <c r="G285" s="16">
        <v>4</v>
      </c>
      <c r="H285" s="17">
        <f t="shared" si="9"/>
        <v>0</v>
      </c>
      <c r="I285" s="9"/>
      <c r="J285" s="17">
        <f>IFERROR(IF(VLOOKUP(D:D,'테스트(1회)'!C:G,5, 0)="X",1,0),0)</f>
        <v>0</v>
      </c>
      <c r="K285" s="17">
        <f>IFERROR(IF(VLOOKUP(D:D,'테스트(2회)'!C:G,5, 0)="X",1,0),0)</f>
        <v>0</v>
      </c>
      <c r="L285" s="17">
        <f>IFERROR(IF(VLOOKUP(D:D,'테스트(3회)'!C:G,5, 0)="X",1,0),0)</f>
        <v>0</v>
      </c>
      <c r="M285" s="17">
        <f>IFERROR(IF(VLOOKUP(D:D,'테스트(4회)'!C:G,5, 0)="X",1,0),0)</f>
        <v>0</v>
      </c>
      <c r="N285" s="17">
        <f>IFERROR(IF(VLOOKUP(D:D,'테스트(5회)'!C:G,5, 0)="X",1,0),0)</f>
        <v>0</v>
      </c>
      <c r="O285" s="9"/>
    </row>
    <row r="286" spans="2:15" ht="85.5" x14ac:dyDescent="0.3">
      <c r="B286" s="13">
        <v>283</v>
      </c>
      <c r="C286" s="17" t="str">
        <f t="shared" si="8"/>
        <v>2014</v>
      </c>
      <c r="D286" s="14" t="s">
        <v>398</v>
      </c>
      <c r="E286" s="14" t="s">
        <v>659</v>
      </c>
      <c r="F286" s="15" t="s">
        <v>399</v>
      </c>
      <c r="G286" s="16">
        <v>5</v>
      </c>
      <c r="H286" s="17">
        <f t="shared" si="9"/>
        <v>0</v>
      </c>
      <c r="I286" s="9"/>
      <c r="J286" s="17">
        <f>IFERROR(IF(VLOOKUP(D:D,'테스트(1회)'!C:G,5, 0)="X",1,0),0)</f>
        <v>0</v>
      </c>
      <c r="K286" s="17">
        <f>IFERROR(IF(VLOOKUP(D:D,'테스트(2회)'!C:G,5, 0)="X",1,0),0)</f>
        <v>0</v>
      </c>
      <c r="L286" s="17">
        <f>IFERROR(IF(VLOOKUP(D:D,'테스트(3회)'!C:G,5, 0)="X",1,0),0)</f>
        <v>0</v>
      </c>
      <c r="M286" s="17">
        <f>IFERROR(IF(VLOOKUP(D:D,'테스트(4회)'!C:G,5, 0)="X",1,0),0)</f>
        <v>0</v>
      </c>
      <c r="N286" s="17">
        <f>IFERROR(IF(VLOOKUP(D:D,'테스트(5회)'!C:G,5, 0)="X",1,0),0)</f>
        <v>0</v>
      </c>
      <c r="O286" s="9"/>
    </row>
    <row r="287" spans="2:15" ht="85.5" x14ac:dyDescent="0.3">
      <c r="B287" s="13">
        <v>284</v>
      </c>
      <c r="C287" s="17" t="str">
        <f t="shared" si="8"/>
        <v>2014</v>
      </c>
      <c r="D287" s="14" t="s">
        <v>400</v>
      </c>
      <c r="E287" s="14" t="s">
        <v>659</v>
      </c>
      <c r="F287" s="15" t="s">
        <v>401</v>
      </c>
      <c r="G287" s="16">
        <v>2</v>
      </c>
      <c r="H287" s="17">
        <f t="shared" si="9"/>
        <v>0</v>
      </c>
      <c r="I287" s="9"/>
      <c r="J287" s="17">
        <f>IFERROR(IF(VLOOKUP(D:D,'테스트(1회)'!C:G,5, 0)="X",1,0),0)</f>
        <v>0</v>
      </c>
      <c r="K287" s="17">
        <f>IFERROR(IF(VLOOKUP(D:D,'테스트(2회)'!C:G,5, 0)="X",1,0),0)</f>
        <v>0</v>
      </c>
      <c r="L287" s="17">
        <f>IFERROR(IF(VLOOKUP(D:D,'테스트(3회)'!C:G,5, 0)="X",1,0),0)</f>
        <v>0</v>
      </c>
      <c r="M287" s="17">
        <f>IFERROR(IF(VLOOKUP(D:D,'테스트(4회)'!C:G,5, 0)="X",1,0),0)</f>
        <v>0</v>
      </c>
      <c r="N287" s="17">
        <f>IFERROR(IF(VLOOKUP(D:D,'테스트(5회)'!C:G,5, 0)="X",1,0),0)</f>
        <v>0</v>
      </c>
      <c r="O287" s="9"/>
    </row>
    <row r="288" spans="2:15" ht="85.5" x14ac:dyDescent="0.3">
      <c r="B288" s="13">
        <v>285</v>
      </c>
      <c r="C288" s="17" t="str">
        <f t="shared" si="8"/>
        <v>2014</v>
      </c>
      <c r="D288" s="14" t="s">
        <v>402</v>
      </c>
      <c r="E288" s="14" t="s">
        <v>659</v>
      </c>
      <c r="F288" s="15" t="s">
        <v>403</v>
      </c>
      <c r="G288" s="16">
        <v>1</v>
      </c>
      <c r="H288" s="17">
        <f t="shared" si="9"/>
        <v>0</v>
      </c>
      <c r="I288" s="9"/>
      <c r="J288" s="17">
        <f>IFERROR(IF(VLOOKUP(D:D,'테스트(1회)'!C:G,5, 0)="X",1,0),0)</f>
        <v>0</v>
      </c>
      <c r="K288" s="17">
        <f>IFERROR(IF(VLOOKUP(D:D,'테스트(2회)'!C:G,5, 0)="X",1,0),0)</f>
        <v>0</v>
      </c>
      <c r="L288" s="17">
        <f>IFERROR(IF(VLOOKUP(D:D,'테스트(3회)'!C:G,5, 0)="X",1,0),0)</f>
        <v>0</v>
      </c>
      <c r="M288" s="17">
        <f>IFERROR(IF(VLOOKUP(D:D,'테스트(4회)'!C:G,5, 0)="X",1,0),0)</f>
        <v>0</v>
      </c>
      <c r="N288" s="17">
        <f>IFERROR(IF(VLOOKUP(D:D,'테스트(5회)'!C:G,5, 0)="X",1,0),0)</f>
        <v>0</v>
      </c>
      <c r="O288" s="9"/>
    </row>
    <row r="289" spans="2:15" ht="85.5" x14ac:dyDescent="0.3">
      <c r="B289" s="13">
        <v>286</v>
      </c>
      <c r="C289" s="17" t="str">
        <f t="shared" si="8"/>
        <v>2014</v>
      </c>
      <c r="D289" s="14" t="s">
        <v>404</v>
      </c>
      <c r="E289" s="14" t="s">
        <v>659</v>
      </c>
      <c r="F289" s="15" t="s">
        <v>405</v>
      </c>
      <c r="G289" s="16">
        <v>3</v>
      </c>
      <c r="H289" s="17">
        <f t="shared" si="9"/>
        <v>0</v>
      </c>
      <c r="I289" s="9"/>
      <c r="J289" s="17">
        <f>IFERROR(IF(VLOOKUP(D:D,'테스트(1회)'!C:G,5, 0)="X",1,0),0)</f>
        <v>0</v>
      </c>
      <c r="K289" s="17">
        <f>IFERROR(IF(VLOOKUP(D:D,'테스트(2회)'!C:G,5, 0)="X",1,0),0)</f>
        <v>0</v>
      </c>
      <c r="L289" s="17">
        <f>IFERROR(IF(VLOOKUP(D:D,'테스트(3회)'!C:G,5, 0)="X",1,0),0)</f>
        <v>0</v>
      </c>
      <c r="M289" s="17">
        <f>IFERROR(IF(VLOOKUP(D:D,'테스트(4회)'!C:G,5, 0)="X",1,0),0)</f>
        <v>0</v>
      </c>
      <c r="N289" s="17">
        <f>IFERROR(IF(VLOOKUP(D:D,'테스트(5회)'!C:G,5, 0)="X",1,0),0)</f>
        <v>0</v>
      </c>
      <c r="O289" s="9"/>
    </row>
    <row r="290" spans="2:15" ht="85.5" x14ac:dyDescent="0.3">
      <c r="B290" s="13">
        <v>287</v>
      </c>
      <c r="C290" s="17" t="str">
        <f t="shared" si="8"/>
        <v>2014</v>
      </c>
      <c r="D290" s="14" t="s">
        <v>406</v>
      </c>
      <c r="E290" s="14" t="s">
        <v>659</v>
      </c>
      <c r="F290" s="15" t="s">
        <v>407</v>
      </c>
      <c r="G290" s="16">
        <v>2</v>
      </c>
      <c r="H290" s="17">
        <f t="shared" si="9"/>
        <v>0</v>
      </c>
      <c r="I290" s="9"/>
      <c r="J290" s="17">
        <f>IFERROR(IF(VLOOKUP(D:D,'테스트(1회)'!C:G,5, 0)="X",1,0),0)</f>
        <v>0</v>
      </c>
      <c r="K290" s="17">
        <f>IFERROR(IF(VLOOKUP(D:D,'테스트(2회)'!C:G,5, 0)="X",1,0),0)</f>
        <v>0</v>
      </c>
      <c r="L290" s="17">
        <f>IFERROR(IF(VLOOKUP(D:D,'테스트(3회)'!C:G,5, 0)="X",1,0),0)</f>
        <v>0</v>
      </c>
      <c r="M290" s="17">
        <f>IFERROR(IF(VLOOKUP(D:D,'테스트(4회)'!C:G,5, 0)="X",1,0),0)</f>
        <v>0</v>
      </c>
      <c r="N290" s="17">
        <f>IFERROR(IF(VLOOKUP(D:D,'테스트(5회)'!C:G,5, 0)="X",1,0),0)</f>
        <v>0</v>
      </c>
      <c r="O290" s="9"/>
    </row>
    <row r="291" spans="2:15" ht="85.5" x14ac:dyDescent="0.3">
      <c r="B291" s="13">
        <v>288</v>
      </c>
      <c r="C291" s="17" t="str">
        <f t="shared" si="8"/>
        <v>2014</v>
      </c>
      <c r="D291" s="14" t="s">
        <v>408</v>
      </c>
      <c r="E291" s="14" t="s">
        <v>659</v>
      </c>
      <c r="F291" s="15" t="s">
        <v>409</v>
      </c>
      <c r="G291" s="16">
        <v>2</v>
      </c>
      <c r="H291" s="17">
        <f t="shared" si="9"/>
        <v>0</v>
      </c>
      <c r="I291" s="9"/>
      <c r="J291" s="17">
        <f>IFERROR(IF(VLOOKUP(D:D,'테스트(1회)'!C:G,5, 0)="X",1,0),0)</f>
        <v>0</v>
      </c>
      <c r="K291" s="17">
        <f>IFERROR(IF(VLOOKUP(D:D,'테스트(2회)'!C:G,5, 0)="X",1,0),0)</f>
        <v>0</v>
      </c>
      <c r="L291" s="17">
        <f>IFERROR(IF(VLOOKUP(D:D,'테스트(3회)'!C:G,5, 0)="X",1,0),0)</f>
        <v>0</v>
      </c>
      <c r="M291" s="17">
        <f>IFERROR(IF(VLOOKUP(D:D,'테스트(4회)'!C:G,5, 0)="X",1,0),0)</f>
        <v>0</v>
      </c>
      <c r="N291" s="17">
        <f>IFERROR(IF(VLOOKUP(D:D,'테스트(5회)'!C:G,5, 0)="X",1,0),0)</f>
        <v>0</v>
      </c>
      <c r="O291" s="9"/>
    </row>
    <row r="292" spans="2:15" ht="99.75" x14ac:dyDescent="0.3">
      <c r="B292" s="13">
        <v>289</v>
      </c>
      <c r="C292" s="17" t="str">
        <f t="shared" si="8"/>
        <v>2014</v>
      </c>
      <c r="D292" s="14" t="s">
        <v>410</v>
      </c>
      <c r="E292" s="14" t="s">
        <v>659</v>
      </c>
      <c r="F292" s="15" t="s">
        <v>411</v>
      </c>
      <c r="G292" s="16">
        <v>2</v>
      </c>
      <c r="H292" s="17">
        <f t="shared" si="9"/>
        <v>0</v>
      </c>
      <c r="I292" s="9"/>
      <c r="J292" s="17">
        <f>IFERROR(IF(VLOOKUP(D:D,'테스트(1회)'!C:G,5, 0)="X",1,0),0)</f>
        <v>0</v>
      </c>
      <c r="K292" s="17">
        <f>IFERROR(IF(VLOOKUP(D:D,'테스트(2회)'!C:G,5, 0)="X",1,0),0)</f>
        <v>0</v>
      </c>
      <c r="L292" s="17">
        <f>IFERROR(IF(VLOOKUP(D:D,'테스트(3회)'!C:G,5, 0)="X",1,0),0)</f>
        <v>0</v>
      </c>
      <c r="M292" s="17">
        <f>IFERROR(IF(VLOOKUP(D:D,'테스트(4회)'!C:G,5, 0)="X",1,0),0)</f>
        <v>0</v>
      </c>
      <c r="N292" s="17">
        <f>IFERROR(IF(VLOOKUP(D:D,'테스트(5회)'!C:G,5, 0)="X",1,0),0)</f>
        <v>0</v>
      </c>
      <c r="O292" s="9"/>
    </row>
    <row r="293" spans="2:15" ht="85.5" x14ac:dyDescent="0.3">
      <c r="B293" s="13">
        <v>290</v>
      </c>
      <c r="C293" s="17" t="str">
        <f t="shared" si="8"/>
        <v>2014</v>
      </c>
      <c r="D293" s="14" t="s">
        <v>412</v>
      </c>
      <c r="E293" s="14" t="s">
        <v>659</v>
      </c>
      <c r="F293" s="15" t="s">
        <v>413</v>
      </c>
      <c r="G293" s="16">
        <v>5</v>
      </c>
      <c r="H293" s="17">
        <f t="shared" si="9"/>
        <v>0</v>
      </c>
      <c r="I293" s="9"/>
      <c r="J293" s="17">
        <f>IFERROR(IF(VLOOKUP(D:D,'테스트(1회)'!C:G,5, 0)="X",1,0),0)</f>
        <v>0</v>
      </c>
      <c r="K293" s="17">
        <f>IFERROR(IF(VLOOKUP(D:D,'테스트(2회)'!C:G,5, 0)="X",1,0),0)</f>
        <v>0</v>
      </c>
      <c r="L293" s="17">
        <f>IFERROR(IF(VLOOKUP(D:D,'테스트(3회)'!C:G,5, 0)="X",1,0),0)</f>
        <v>0</v>
      </c>
      <c r="M293" s="17">
        <f>IFERROR(IF(VLOOKUP(D:D,'테스트(4회)'!C:G,5, 0)="X",1,0),0)</f>
        <v>0</v>
      </c>
      <c r="N293" s="17">
        <f>IFERROR(IF(VLOOKUP(D:D,'테스트(5회)'!C:G,5, 0)="X",1,0),0)</f>
        <v>0</v>
      </c>
      <c r="O293" s="9"/>
    </row>
    <row r="294" spans="2:15" ht="85.5" x14ac:dyDescent="0.3">
      <c r="B294" s="13">
        <v>291</v>
      </c>
      <c r="C294" s="17" t="str">
        <f t="shared" si="8"/>
        <v>2013</v>
      </c>
      <c r="D294" s="14" t="s">
        <v>414</v>
      </c>
      <c r="E294" s="14" t="s">
        <v>659</v>
      </c>
      <c r="F294" s="15" t="s">
        <v>415</v>
      </c>
      <c r="G294" s="16">
        <v>1</v>
      </c>
      <c r="H294" s="17">
        <f t="shared" si="9"/>
        <v>0</v>
      </c>
      <c r="I294" s="9"/>
      <c r="J294" s="17">
        <f>IFERROR(IF(VLOOKUP(D:D,'테스트(1회)'!C:G,5, 0)="X",1,0),0)</f>
        <v>0</v>
      </c>
      <c r="K294" s="17">
        <f>IFERROR(IF(VLOOKUP(D:D,'테스트(2회)'!C:G,5, 0)="X",1,0),0)</f>
        <v>0</v>
      </c>
      <c r="L294" s="17">
        <f>IFERROR(IF(VLOOKUP(D:D,'테스트(3회)'!C:G,5, 0)="X",1,0),0)</f>
        <v>0</v>
      </c>
      <c r="M294" s="17">
        <f>IFERROR(IF(VLOOKUP(D:D,'테스트(4회)'!C:G,5, 0)="X",1,0),0)</f>
        <v>0</v>
      </c>
      <c r="N294" s="17">
        <f>IFERROR(IF(VLOOKUP(D:D,'테스트(5회)'!C:G,5, 0)="X",1,0),0)</f>
        <v>0</v>
      </c>
      <c r="O294" s="9"/>
    </row>
    <row r="295" spans="2:15" ht="85.5" x14ac:dyDescent="0.3">
      <c r="B295" s="13">
        <v>292</v>
      </c>
      <c r="C295" s="17" t="str">
        <f t="shared" si="8"/>
        <v>2013</v>
      </c>
      <c r="D295" s="14" t="s">
        <v>416</v>
      </c>
      <c r="E295" s="14" t="s">
        <v>659</v>
      </c>
      <c r="F295" s="15" t="s">
        <v>417</v>
      </c>
      <c r="G295" s="16">
        <v>1</v>
      </c>
      <c r="H295" s="17">
        <f t="shared" si="9"/>
        <v>0</v>
      </c>
      <c r="I295" s="9"/>
      <c r="J295" s="17">
        <f>IFERROR(IF(VLOOKUP(D:D,'테스트(1회)'!C:G,5, 0)="X",1,0),0)</f>
        <v>0</v>
      </c>
      <c r="K295" s="17">
        <f>IFERROR(IF(VLOOKUP(D:D,'테스트(2회)'!C:G,5, 0)="X",1,0),0)</f>
        <v>0</v>
      </c>
      <c r="L295" s="17">
        <f>IFERROR(IF(VLOOKUP(D:D,'테스트(3회)'!C:G,5, 0)="X",1,0),0)</f>
        <v>0</v>
      </c>
      <c r="M295" s="17">
        <f>IFERROR(IF(VLOOKUP(D:D,'테스트(4회)'!C:G,5, 0)="X",1,0),0)</f>
        <v>0</v>
      </c>
      <c r="N295" s="17">
        <f>IFERROR(IF(VLOOKUP(D:D,'테스트(5회)'!C:G,5, 0)="X",1,0),0)</f>
        <v>0</v>
      </c>
      <c r="O295" s="9"/>
    </row>
    <row r="296" spans="2:15" ht="85.5" x14ac:dyDescent="0.3">
      <c r="B296" s="13">
        <v>293</v>
      </c>
      <c r="C296" s="17" t="str">
        <f t="shared" si="8"/>
        <v>2013</v>
      </c>
      <c r="D296" s="14" t="s">
        <v>418</v>
      </c>
      <c r="E296" s="14" t="s">
        <v>659</v>
      </c>
      <c r="F296" s="15" t="s">
        <v>419</v>
      </c>
      <c r="G296" s="16">
        <v>2</v>
      </c>
      <c r="H296" s="17">
        <f t="shared" si="9"/>
        <v>0</v>
      </c>
      <c r="I296" s="9"/>
      <c r="J296" s="17">
        <f>IFERROR(IF(VLOOKUP(D:D,'테스트(1회)'!C:G,5, 0)="X",1,0),0)</f>
        <v>0</v>
      </c>
      <c r="K296" s="17">
        <f>IFERROR(IF(VLOOKUP(D:D,'테스트(2회)'!C:G,5, 0)="X",1,0),0)</f>
        <v>0</v>
      </c>
      <c r="L296" s="17">
        <f>IFERROR(IF(VLOOKUP(D:D,'테스트(3회)'!C:G,5, 0)="X",1,0),0)</f>
        <v>0</v>
      </c>
      <c r="M296" s="17">
        <f>IFERROR(IF(VLOOKUP(D:D,'테스트(4회)'!C:G,5, 0)="X",1,0),0)</f>
        <v>0</v>
      </c>
      <c r="N296" s="17">
        <f>IFERROR(IF(VLOOKUP(D:D,'테스트(5회)'!C:G,5, 0)="X",1,0),0)</f>
        <v>0</v>
      </c>
      <c r="O296" s="9"/>
    </row>
    <row r="297" spans="2:15" ht="85.5" x14ac:dyDescent="0.3">
      <c r="B297" s="13">
        <v>294</v>
      </c>
      <c r="C297" s="17" t="str">
        <f t="shared" si="8"/>
        <v>2013</v>
      </c>
      <c r="D297" s="14" t="s">
        <v>420</v>
      </c>
      <c r="E297" s="14" t="s">
        <v>659</v>
      </c>
      <c r="F297" s="15" t="s">
        <v>421</v>
      </c>
      <c r="G297" s="16">
        <v>4</v>
      </c>
      <c r="H297" s="17">
        <f t="shared" si="9"/>
        <v>0</v>
      </c>
      <c r="I297" s="9"/>
      <c r="J297" s="17">
        <f>IFERROR(IF(VLOOKUP(D:D,'테스트(1회)'!C:G,5, 0)="X",1,0),0)</f>
        <v>0</v>
      </c>
      <c r="K297" s="17">
        <f>IFERROR(IF(VLOOKUP(D:D,'테스트(2회)'!C:G,5, 0)="X",1,0),0)</f>
        <v>0</v>
      </c>
      <c r="L297" s="17">
        <f>IFERROR(IF(VLOOKUP(D:D,'테스트(3회)'!C:G,5, 0)="X",1,0),0)</f>
        <v>0</v>
      </c>
      <c r="M297" s="17">
        <f>IFERROR(IF(VLOOKUP(D:D,'테스트(4회)'!C:G,5, 0)="X",1,0),0)</f>
        <v>0</v>
      </c>
      <c r="N297" s="17">
        <f>IFERROR(IF(VLOOKUP(D:D,'테스트(5회)'!C:G,5, 0)="X",1,0),0)</f>
        <v>0</v>
      </c>
      <c r="O297" s="9"/>
    </row>
    <row r="298" spans="2:15" ht="85.5" x14ac:dyDescent="0.3">
      <c r="B298" s="13">
        <v>295</v>
      </c>
      <c r="C298" s="17" t="str">
        <f t="shared" si="8"/>
        <v>2013</v>
      </c>
      <c r="D298" s="14" t="s">
        <v>422</v>
      </c>
      <c r="E298" s="14" t="s">
        <v>659</v>
      </c>
      <c r="F298" s="15" t="s">
        <v>423</v>
      </c>
      <c r="G298" s="16">
        <v>3</v>
      </c>
      <c r="H298" s="17">
        <f t="shared" si="9"/>
        <v>0</v>
      </c>
      <c r="I298" s="9"/>
      <c r="J298" s="17">
        <f>IFERROR(IF(VLOOKUP(D:D,'테스트(1회)'!C:G,5, 0)="X",1,0),0)</f>
        <v>0</v>
      </c>
      <c r="K298" s="17">
        <f>IFERROR(IF(VLOOKUP(D:D,'테스트(2회)'!C:G,5, 0)="X",1,0),0)</f>
        <v>0</v>
      </c>
      <c r="L298" s="17">
        <f>IFERROR(IF(VLOOKUP(D:D,'테스트(3회)'!C:G,5, 0)="X",1,0),0)</f>
        <v>0</v>
      </c>
      <c r="M298" s="17">
        <f>IFERROR(IF(VLOOKUP(D:D,'테스트(4회)'!C:G,5, 0)="X",1,0),0)</f>
        <v>0</v>
      </c>
      <c r="N298" s="17">
        <f>IFERROR(IF(VLOOKUP(D:D,'테스트(5회)'!C:G,5, 0)="X",1,0),0)</f>
        <v>0</v>
      </c>
      <c r="O298" s="9"/>
    </row>
    <row r="299" spans="2:15" ht="99.75" x14ac:dyDescent="0.3">
      <c r="B299" s="13">
        <v>296</v>
      </c>
      <c r="C299" s="17" t="str">
        <f t="shared" si="8"/>
        <v>2013</v>
      </c>
      <c r="D299" s="14" t="s">
        <v>424</v>
      </c>
      <c r="E299" s="14" t="s">
        <v>659</v>
      </c>
      <c r="F299" s="15" t="s">
        <v>425</v>
      </c>
      <c r="G299" s="16">
        <v>1</v>
      </c>
      <c r="H299" s="17">
        <f t="shared" si="9"/>
        <v>0</v>
      </c>
      <c r="I299" s="9"/>
      <c r="J299" s="17">
        <f>IFERROR(IF(VLOOKUP(D:D,'테스트(1회)'!C:G,5, 0)="X",1,0),0)</f>
        <v>0</v>
      </c>
      <c r="K299" s="17">
        <f>IFERROR(IF(VLOOKUP(D:D,'테스트(2회)'!C:G,5, 0)="X",1,0),0)</f>
        <v>0</v>
      </c>
      <c r="L299" s="17">
        <f>IFERROR(IF(VLOOKUP(D:D,'테스트(3회)'!C:G,5, 0)="X",1,0),0)</f>
        <v>0</v>
      </c>
      <c r="M299" s="17">
        <f>IFERROR(IF(VLOOKUP(D:D,'테스트(4회)'!C:G,5, 0)="X",1,0),0)</f>
        <v>0</v>
      </c>
      <c r="N299" s="17">
        <f>IFERROR(IF(VLOOKUP(D:D,'테스트(5회)'!C:G,5, 0)="X",1,0),0)</f>
        <v>0</v>
      </c>
      <c r="O299" s="9"/>
    </row>
    <row r="300" spans="2:15" ht="99.75" x14ac:dyDescent="0.3">
      <c r="B300" s="13">
        <v>297</v>
      </c>
      <c r="C300" s="17" t="str">
        <f t="shared" si="8"/>
        <v>2013</v>
      </c>
      <c r="D300" s="14" t="s">
        <v>426</v>
      </c>
      <c r="E300" s="14" t="s">
        <v>659</v>
      </c>
      <c r="F300" s="15" t="s">
        <v>427</v>
      </c>
      <c r="G300" s="16">
        <v>2</v>
      </c>
      <c r="H300" s="17">
        <f t="shared" si="9"/>
        <v>0</v>
      </c>
      <c r="I300" s="9"/>
      <c r="J300" s="17">
        <f>IFERROR(IF(VLOOKUP(D:D,'테스트(1회)'!C:G,5, 0)="X",1,0),0)</f>
        <v>0</v>
      </c>
      <c r="K300" s="17">
        <f>IFERROR(IF(VLOOKUP(D:D,'테스트(2회)'!C:G,5, 0)="X",1,0),0)</f>
        <v>0</v>
      </c>
      <c r="L300" s="17">
        <f>IFERROR(IF(VLOOKUP(D:D,'테스트(3회)'!C:G,5, 0)="X",1,0),0)</f>
        <v>0</v>
      </c>
      <c r="M300" s="17">
        <f>IFERROR(IF(VLOOKUP(D:D,'테스트(4회)'!C:G,5, 0)="X",1,0),0)</f>
        <v>0</v>
      </c>
      <c r="N300" s="17">
        <f>IFERROR(IF(VLOOKUP(D:D,'테스트(5회)'!C:G,5, 0)="X",1,0),0)</f>
        <v>0</v>
      </c>
      <c r="O300" s="9"/>
    </row>
    <row r="301" spans="2:15" ht="85.5" x14ac:dyDescent="0.3">
      <c r="B301" s="13">
        <v>298</v>
      </c>
      <c r="C301" s="17" t="str">
        <f t="shared" si="8"/>
        <v>2013</v>
      </c>
      <c r="D301" s="14" t="s">
        <v>428</v>
      </c>
      <c r="E301" s="14" t="s">
        <v>659</v>
      </c>
      <c r="F301" s="15" t="s">
        <v>429</v>
      </c>
      <c r="G301" s="16">
        <v>4</v>
      </c>
      <c r="H301" s="17">
        <f t="shared" si="9"/>
        <v>0</v>
      </c>
      <c r="I301" s="9"/>
      <c r="J301" s="17">
        <f>IFERROR(IF(VLOOKUP(D:D,'테스트(1회)'!C:G,5, 0)="X",1,0),0)</f>
        <v>0</v>
      </c>
      <c r="K301" s="17">
        <f>IFERROR(IF(VLOOKUP(D:D,'테스트(2회)'!C:G,5, 0)="X",1,0),0)</f>
        <v>0</v>
      </c>
      <c r="L301" s="17">
        <f>IFERROR(IF(VLOOKUP(D:D,'테스트(3회)'!C:G,5, 0)="X",1,0),0)</f>
        <v>0</v>
      </c>
      <c r="M301" s="17">
        <f>IFERROR(IF(VLOOKUP(D:D,'테스트(4회)'!C:G,5, 0)="X",1,0),0)</f>
        <v>0</v>
      </c>
      <c r="N301" s="17">
        <f>IFERROR(IF(VLOOKUP(D:D,'테스트(5회)'!C:G,5, 0)="X",1,0),0)</f>
        <v>0</v>
      </c>
      <c r="O301" s="9"/>
    </row>
    <row r="302" spans="2:15" ht="85.5" x14ac:dyDescent="0.3">
      <c r="B302" s="13">
        <v>299</v>
      </c>
      <c r="C302" s="17" t="str">
        <f t="shared" si="8"/>
        <v>2013</v>
      </c>
      <c r="D302" s="14" t="s">
        <v>430</v>
      </c>
      <c r="E302" s="14" t="s">
        <v>659</v>
      </c>
      <c r="F302" s="15" t="s">
        <v>431</v>
      </c>
      <c r="G302" s="16">
        <v>3</v>
      </c>
      <c r="H302" s="17">
        <f t="shared" si="9"/>
        <v>0</v>
      </c>
      <c r="I302" s="9"/>
      <c r="J302" s="17">
        <f>IFERROR(IF(VLOOKUP(D:D,'테스트(1회)'!C:G,5, 0)="X",1,0),0)</f>
        <v>0</v>
      </c>
      <c r="K302" s="17">
        <f>IFERROR(IF(VLOOKUP(D:D,'테스트(2회)'!C:G,5, 0)="X",1,0),0)</f>
        <v>0</v>
      </c>
      <c r="L302" s="17">
        <f>IFERROR(IF(VLOOKUP(D:D,'테스트(3회)'!C:G,5, 0)="X",1,0),0)</f>
        <v>0</v>
      </c>
      <c r="M302" s="17">
        <f>IFERROR(IF(VLOOKUP(D:D,'테스트(4회)'!C:G,5, 0)="X",1,0),0)</f>
        <v>0</v>
      </c>
      <c r="N302" s="17">
        <f>IFERROR(IF(VLOOKUP(D:D,'테스트(5회)'!C:G,5, 0)="X",1,0),0)</f>
        <v>0</v>
      </c>
      <c r="O302" s="9"/>
    </row>
    <row r="303" spans="2:15" ht="85.5" x14ac:dyDescent="0.3">
      <c r="B303" s="13">
        <v>300</v>
      </c>
      <c r="C303" s="17" t="str">
        <f t="shared" si="8"/>
        <v>2013</v>
      </c>
      <c r="D303" s="14" t="s">
        <v>432</v>
      </c>
      <c r="E303" s="14" t="s">
        <v>659</v>
      </c>
      <c r="F303" s="15" t="s">
        <v>433</v>
      </c>
      <c r="G303" s="16">
        <v>5</v>
      </c>
      <c r="H303" s="17">
        <f t="shared" si="9"/>
        <v>0</v>
      </c>
      <c r="I303" s="9"/>
      <c r="J303" s="17">
        <f>IFERROR(IF(VLOOKUP(D:D,'테스트(1회)'!C:G,5, 0)="X",1,0),0)</f>
        <v>0</v>
      </c>
      <c r="K303" s="17">
        <f>IFERROR(IF(VLOOKUP(D:D,'테스트(2회)'!C:G,5, 0)="X",1,0),0)</f>
        <v>0</v>
      </c>
      <c r="L303" s="17">
        <f>IFERROR(IF(VLOOKUP(D:D,'테스트(3회)'!C:G,5, 0)="X",1,0),0)</f>
        <v>0</v>
      </c>
      <c r="M303" s="17">
        <f>IFERROR(IF(VLOOKUP(D:D,'테스트(4회)'!C:G,5, 0)="X",1,0),0)</f>
        <v>0</v>
      </c>
      <c r="N303" s="17">
        <f>IFERROR(IF(VLOOKUP(D:D,'테스트(5회)'!C:G,5, 0)="X",1,0),0)</f>
        <v>0</v>
      </c>
      <c r="O303" s="9"/>
    </row>
    <row r="304" spans="2:15" ht="85.5" x14ac:dyDescent="0.3">
      <c r="B304" s="13">
        <v>301</v>
      </c>
      <c r="C304" s="17" t="str">
        <f t="shared" si="8"/>
        <v>2013</v>
      </c>
      <c r="D304" s="14" t="s">
        <v>434</v>
      </c>
      <c r="E304" s="14" t="s">
        <v>659</v>
      </c>
      <c r="F304" s="15" t="s">
        <v>435</v>
      </c>
      <c r="G304" s="16">
        <v>1</v>
      </c>
      <c r="H304" s="17">
        <f t="shared" si="9"/>
        <v>0</v>
      </c>
      <c r="I304" s="9"/>
      <c r="J304" s="17">
        <f>IFERROR(IF(VLOOKUP(D:D,'테스트(1회)'!C:G,5, 0)="X",1,0),0)</f>
        <v>0</v>
      </c>
      <c r="K304" s="17">
        <f>IFERROR(IF(VLOOKUP(D:D,'테스트(2회)'!C:G,5, 0)="X",1,0),0)</f>
        <v>0</v>
      </c>
      <c r="L304" s="17">
        <f>IFERROR(IF(VLOOKUP(D:D,'테스트(3회)'!C:G,5, 0)="X",1,0),0)</f>
        <v>0</v>
      </c>
      <c r="M304" s="17">
        <f>IFERROR(IF(VLOOKUP(D:D,'테스트(4회)'!C:G,5, 0)="X",1,0),0)</f>
        <v>0</v>
      </c>
      <c r="N304" s="17">
        <f>IFERROR(IF(VLOOKUP(D:D,'테스트(5회)'!C:G,5, 0)="X",1,0),0)</f>
        <v>0</v>
      </c>
      <c r="O304" s="9"/>
    </row>
    <row r="305" spans="2:15" ht="85.5" x14ac:dyDescent="0.3">
      <c r="B305" s="13">
        <v>302</v>
      </c>
      <c r="C305" s="17" t="str">
        <f t="shared" si="8"/>
        <v>2013</v>
      </c>
      <c r="D305" s="14" t="s">
        <v>436</v>
      </c>
      <c r="E305" s="14" t="s">
        <v>659</v>
      </c>
      <c r="F305" s="15" t="s">
        <v>437</v>
      </c>
      <c r="G305" s="16">
        <v>2</v>
      </c>
      <c r="H305" s="17">
        <f t="shared" si="9"/>
        <v>0</v>
      </c>
      <c r="I305" s="9"/>
      <c r="J305" s="17">
        <f>IFERROR(IF(VLOOKUP(D:D,'테스트(1회)'!C:G,5, 0)="X",1,0),0)</f>
        <v>0</v>
      </c>
      <c r="K305" s="17">
        <f>IFERROR(IF(VLOOKUP(D:D,'테스트(2회)'!C:G,5, 0)="X",1,0),0)</f>
        <v>0</v>
      </c>
      <c r="L305" s="17">
        <f>IFERROR(IF(VLOOKUP(D:D,'테스트(3회)'!C:G,5, 0)="X",1,0),0)</f>
        <v>0</v>
      </c>
      <c r="M305" s="17">
        <f>IFERROR(IF(VLOOKUP(D:D,'테스트(4회)'!C:G,5, 0)="X",1,0),0)</f>
        <v>0</v>
      </c>
      <c r="N305" s="17">
        <f>IFERROR(IF(VLOOKUP(D:D,'테스트(5회)'!C:G,5, 0)="X",1,0),0)</f>
        <v>0</v>
      </c>
      <c r="O305" s="9"/>
    </row>
    <row r="306" spans="2:15" ht="85.5" x14ac:dyDescent="0.3">
      <c r="B306" s="13">
        <v>303</v>
      </c>
      <c r="C306" s="17" t="str">
        <f t="shared" si="8"/>
        <v>2013</v>
      </c>
      <c r="D306" s="14" t="s">
        <v>438</v>
      </c>
      <c r="E306" s="14" t="s">
        <v>659</v>
      </c>
      <c r="F306" s="15" t="s">
        <v>763</v>
      </c>
      <c r="G306" s="16">
        <v>3</v>
      </c>
      <c r="H306" s="17">
        <f t="shared" si="9"/>
        <v>0</v>
      </c>
      <c r="I306" s="9"/>
      <c r="J306" s="17">
        <f>IFERROR(IF(VLOOKUP(D:D,'테스트(1회)'!C:G,5, 0)="X",1,0),0)</f>
        <v>0</v>
      </c>
      <c r="K306" s="17">
        <f>IFERROR(IF(VLOOKUP(D:D,'테스트(2회)'!C:G,5, 0)="X",1,0),0)</f>
        <v>0</v>
      </c>
      <c r="L306" s="17">
        <f>IFERROR(IF(VLOOKUP(D:D,'테스트(3회)'!C:G,5, 0)="X",1,0),0)</f>
        <v>0</v>
      </c>
      <c r="M306" s="17">
        <f>IFERROR(IF(VLOOKUP(D:D,'테스트(4회)'!C:G,5, 0)="X",1,0),0)</f>
        <v>0</v>
      </c>
      <c r="N306" s="17">
        <f>IFERROR(IF(VLOOKUP(D:D,'테스트(5회)'!C:G,5, 0)="X",1,0),0)</f>
        <v>0</v>
      </c>
      <c r="O306" s="9"/>
    </row>
    <row r="307" spans="2:15" ht="85.5" x14ac:dyDescent="0.3">
      <c r="B307" s="13">
        <v>304</v>
      </c>
      <c r="C307" s="17" t="str">
        <f t="shared" si="8"/>
        <v>2013</v>
      </c>
      <c r="D307" s="14" t="s">
        <v>439</v>
      </c>
      <c r="E307" s="14" t="s">
        <v>659</v>
      </c>
      <c r="F307" s="15" t="s">
        <v>440</v>
      </c>
      <c r="G307" s="16">
        <v>5</v>
      </c>
      <c r="H307" s="17">
        <f t="shared" si="9"/>
        <v>0</v>
      </c>
      <c r="I307" s="9"/>
      <c r="J307" s="17">
        <f>IFERROR(IF(VLOOKUP(D:D,'테스트(1회)'!C:G,5, 0)="X",1,0),0)</f>
        <v>0</v>
      </c>
      <c r="K307" s="17">
        <f>IFERROR(IF(VLOOKUP(D:D,'테스트(2회)'!C:G,5, 0)="X",1,0),0)</f>
        <v>0</v>
      </c>
      <c r="L307" s="17">
        <f>IFERROR(IF(VLOOKUP(D:D,'테스트(3회)'!C:G,5, 0)="X",1,0),0)</f>
        <v>0</v>
      </c>
      <c r="M307" s="17">
        <f>IFERROR(IF(VLOOKUP(D:D,'테스트(4회)'!C:G,5, 0)="X",1,0),0)</f>
        <v>0</v>
      </c>
      <c r="N307" s="17">
        <f>IFERROR(IF(VLOOKUP(D:D,'테스트(5회)'!C:G,5, 0)="X",1,0),0)</f>
        <v>0</v>
      </c>
      <c r="O307" s="9"/>
    </row>
    <row r="308" spans="2:15" ht="171" x14ac:dyDescent="0.3">
      <c r="B308" s="13">
        <v>305</v>
      </c>
      <c r="C308" s="17" t="str">
        <f t="shared" si="8"/>
        <v>2013</v>
      </c>
      <c r="D308" s="14" t="s">
        <v>441</v>
      </c>
      <c r="E308" s="14" t="s">
        <v>659</v>
      </c>
      <c r="F308" s="15" t="s">
        <v>442</v>
      </c>
      <c r="G308" s="16">
        <v>4</v>
      </c>
      <c r="H308" s="17">
        <f t="shared" si="9"/>
        <v>0</v>
      </c>
      <c r="I308" s="9"/>
      <c r="J308" s="17">
        <f>IFERROR(IF(VLOOKUP(D:D,'테스트(1회)'!C:G,5, 0)="X",1,0),0)</f>
        <v>0</v>
      </c>
      <c r="K308" s="17">
        <f>IFERROR(IF(VLOOKUP(D:D,'테스트(2회)'!C:G,5, 0)="X",1,0),0)</f>
        <v>0</v>
      </c>
      <c r="L308" s="17">
        <f>IFERROR(IF(VLOOKUP(D:D,'테스트(3회)'!C:G,5, 0)="X",1,0),0)</f>
        <v>0</v>
      </c>
      <c r="M308" s="17">
        <f>IFERROR(IF(VLOOKUP(D:D,'테스트(4회)'!C:G,5, 0)="X",1,0),0)</f>
        <v>0</v>
      </c>
      <c r="N308" s="17">
        <f>IFERROR(IF(VLOOKUP(D:D,'테스트(5회)'!C:G,5, 0)="X",1,0),0)</f>
        <v>0</v>
      </c>
      <c r="O308" s="9"/>
    </row>
    <row r="309" spans="2:15" ht="99.75" x14ac:dyDescent="0.3">
      <c r="B309" s="13">
        <v>306</v>
      </c>
      <c r="C309" s="17" t="str">
        <f t="shared" si="8"/>
        <v>2013</v>
      </c>
      <c r="D309" s="14" t="s">
        <v>443</v>
      </c>
      <c r="E309" s="14" t="s">
        <v>659</v>
      </c>
      <c r="F309" s="15" t="s">
        <v>444</v>
      </c>
      <c r="G309" s="16">
        <v>3</v>
      </c>
      <c r="H309" s="17">
        <f t="shared" si="9"/>
        <v>0</v>
      </c>
      <c r="I309" s="9"/>
      <c r="J309" s="17">
        <f>IFERROR(IF(VLOOKUP(D:D,'테스트(1회)'!C:G,5, 0)="X",1,0),0)</f>
        <v>0</v>
      </c>
      <c r="K309" s="17">
        <f>IFERROR(IF(VLOOKUP(D:D,'테스트(2회)'!C:G,5, 0)="X",1,0),0)</f>
        <v>0</v>
      </c>
      <c r="L309" s="17">
        <f>IFERROR(IF(VLOOKUP(D:D,'테스트(3회)'!C:G,5, 0)="X",1,0),0)</f>
        <v>0</v>
      </c>
      <c r="M309" s="17">
        <f>IFERROR(IF(VLOOKUP(D:D,'테스트(4회)'!C:G,5, 0)="X",1,0),0)</f>
        <v>0</v>
      </c>
      <c r="N309" s="17">
        <f>IFERROR(IF(VLOOKUP(D:D,'테스트(5회)'!C:G,5, 0)="X",1,0),0)</f>
        <v>0</v>
      </c>
      <c r="O309" s="9"/>
    </row>
    <row r="310" spans="2:15" ht="142.5" x14ac:dyDescent="0.3">
      <c r="B310" s="13">
        <v>307</v>
      </c>
      <c r="C310" s="17" t="str">
        <f t="shared" si="8"/>
        <v>2013</v>
      </c>
      <c r="D310" s="14" t="s">
        <v>445</v>
      </c>
      <c r="E310" s="14" t="s">
        <v>659</v>
      </c>
      <c r="F310" s="15" t="s">
        <v>446</v>
      </c>
      <c r="G310" s="16">
        <v>1</v>
      </c>
      <c r="H310" s="17">
        <f t="shared" si="9"/>
        <v>0</v>
      </c>
      <c r="I310" s="9"/>
      <c r="J310" s="17">
        <f>IFERROR(IF(VLOOKUP(D:D,'테스트(1회)'!C:G,5, 0)="X",1,0),0)</f>
        <v>0</v>
      </c>
      <c r="K310" s="17">
        <f>IFERROR(IF(VLOOKUP(D:D,'테스트(2회)'!C:G,5, 0)="X",1,0),0)</f>
        <v>0</v>
      </c>
      <c r="L310" s="17">
        <f>IFERROR(IF(VLOOKUP(D:D,'테스트(3회)'!C:G,5, 0)="X",1,0),0)</f>
        <v>0</v>
      </c>
      <c r="M310" s="17">
        <f>IFERROR(IF(VLOOKUP(D:D,'테스트(4회)'!C:G,5, 0)="X",1,0),0)</f>
        <v>0</v>
      </c>
      <c r="N310" s="17">
        <f>IFERROR(IF(VLOOKUP(D:D,'테스트(5회)'!C:G,5, 0)="X",1,0),0)</f>
        <v>0</v>
      </c>
      <c r="O310" s="9"/>
    </row>
    <row r="311" spans="2:15" ht="99.75" x14ac:dyDescent="0.3">
      <c r="B311" s="13">
        <v>308</v>
      </c>
      <c r="C311" s="17" t="str">
        <f t="shared" si="8"/>
        <v>2013</v>
      </c>
      <c r="D311" s="14" t="s">
        <v>447</v>
      </c>
      <c r="E311" s="14" t="s">
        <v>659</v>
      </c>
      <c r="F311" s="15" t="s">
        <v>448</v>
      </c>
      <c r="G311" s="16">
        <v>5</v>
      </c>
      <c r="H311" s="17">
        <f t="shared" si="9"/>
        <v>0</v>
      </c>
      <c r="I311" s="9"/>
      <c r="J311" s="17">
        <f>IFERROR(IF(VLOOKUP(D:D,'테스트(1회)'!C:G,5, 0)="X",1,0),0)</f>
        <v>0</v>
      </c>
      <c r="K311" s="17">
        <f>IFERROR(IF(VLOOKUP(D:D,'테스트(2회)'!C:G,5, 0)="X",1,0),0)</f>
        <v>0</v>
      </c>
      <c r="L311" s="17">
        <f>IFERROR(IF(VLOOKUP(D:D,'테스트(3회)'!C:G,5, 0)="X",1,0),0)</f>
        <v>0</v>
      </c>
      <c r="M311" s="17">
        <f>IFERROR(IF(VLOOKUP(D:D,'테스트(4회)'!C:G,5, 0)="X",1,0),0)</f>
        <v>0</v>
      </c>
      <c r="N311" s="17">
        <f>IFERROR(IF(VLOOKUP(D:D,'테스트(5회)'!C:G,5, 0)="X",1,0),0)</f>
        <v>0</v>
      </c>
      <c r="O311" s="9"/>
    </row>
    <row r="312" spans="2:15" ht="85.5" x14ac:dyDescent="0.3">
      <c r="B312" s="13">
        <v>309</v>
      </c>
      <c r="C312" s="17" t="str">
        <f t="shared" si="8"/>
        <v>2013</v>
      </c>
      <c r="D312" s="14" t="s">
        <v>449</v>
      </c>
      <c r="E312" s="14" t="s">
        <v>659</v>
      </c>
      <c r="F312" s="15" t="s">
        <v>450</v>
      </c>
      <c r="G312" s="16">
        <v>4</v>
      </c>
      <c r="H312" s="17">
        <f t="shared" si="9"/>
        <v>0</v>
      </c>
      <c r="I312" s="9"/>
      <c r="J312" s="17">
        <f>IFERROR(IF(VLOOKUP(D:D,'테스트(1회)'!C:G,5, 0)="X",1,0),0)</f>
        <v>0</v>
      </c>
      <c r="K312" s="17">
        <f>IFERROR(IF(VLOOKUP(D:D,'테스트(2회)'!C:G,5, 0)="X",1,0),0)</f>
        <v>0</v>
      </c>
      <c r="L312" s="17">
        <f>IFERROR(IF(VLOOKUP(D:D,'테스트(3회)'!C:G,5, 0)="X",1,0),0)</f>
        <v>0</v>
      </c>
      <c r="M312" s="17">
        <f>IFERROR(IF(VLOOKUP(D:D,'테스트(4회)'!C:G,5, 0)="X",1,0),0)</f>
        <v>0</v>
      </c>
      <c r="N312" s="17">
        <f>IFERROR(IF(VLOOKUP(D:D,'테스트(5회)'!C:G,5, 0)="X",1,0),0)</f>
        <v>0</v>
      </c>
      <c r="O312" s="9"/>
    </row>
    <row r="313" spans="2:15" ht="114" x14ac:dyDescent="0.3">
      <c r="B313" s="13">
        <v>310</v>
      </c>
      <c r="C313" s="17" t="str">
        <f t="shared" si="8"/>
        <v>2013</v>
      </c>
      <c r="D313" s="14" t="s">
        <v>451</v>
      </c>
      <c r="E313" s="14" t="s">
        <v>659</v>
      </c>
      <c r="F313" s="15" t="s">
        <v>452</v>
      </c>
      <c r="G313" s="16">
        <v>5</v>
      </c>
      <c r="H313" s="17">
        <f t="shared" si="9"/>
        <v>0</v>
      </c>
      <c r="I313" s="9"/>
      <c r="J313" s="17">
        <f>IFERROR(IF(VLOOKUP(D:D,'테스트(1회)'!C:G,5, 0)="X",1,0),0)</f>
        <v>0</v>
      </c>
      <c r="K313" s="17">
        <f>IFERROR(IF(VLOOKUP(D:D,'테스트(2회)'!C:G,5, 0)="X",1,0),0)</f>
        <v>0</v>
      </c>
      <c r="L313" s="17">
        <f>IFERROR(IF(VLOOKUP(D:D,'테스트(3회)'!C:G,5, 0)="X",1,0),0)</f>
        <v>0</v>
      </c>
      <c r="M313" s="17">
        <f>IFERROR(IF(VLOOKUP(D:D,'테스트(4회)'!C:G,5, 0)="X",1,0),0)</f>
        <v>0</v>
      </c>
      <c r="N313" s="17">
        <f>IFERROR(IF(VLOOKUP(D:D,'테스트(5회)'!C:G,5, 0)="X",1,0),0)</f>
        <v>0</v>
      </c>
      <c r="O313" s="9"/>
    </row>
    <row r="314" spans="2:15" ht="85.5" x14ac:dyDescent="0.3">
      <c r="B314" s="13">
        <v>311</v>
      </c>
      <c r="C314" s="17" t="str">
        <f t="shared" si="8"/>
        <v>2013</v>
      </c>
      <c r="D314" s="14" t="s">
        <v>453</v>
      </c>
      <c r="E314" s="14" t="s">
        <v>659</v>
      </c>
      <c r="F314" s="15" t="s">
        <v>454</v>
      </c>
      <c r="G314" s="16">
        <v>3</v>
      </c>
      <c r="H314" s="17">
        <f t="shared" si="9"/>
        <v>0</v>
      </c>
      <c r="I314" s="9"/>
      <c r="J314" s="17">
        <f>IFERROR(IF(VLOOKUP(D:D,'테스트(1회)'!C:G,5, 0)="X",1,0),0)</f>
        <v>0</v>
      </c>
      <c r="K314" s="17">
        <f>IFERROR(IF(VLOOKUP(D:D,'테스트(2회)'!C:G,5, 0)="X",1,0),0)</f>
        <v>0</v>
      </c>
      <c r="L314" s="17">
        <f>IFERROR(IF(VLOOKUP(D:D,'테스트(3회)'!C:G,5, 0)="X",1,0),0)</f>
        <v>0</v>
      </c>
      <c r="M314" s="17">
        <f>IFERROR(IF(VLOOKUP(D:D,'테스트(4회)'!C:G,5, 0)="X",1,0),0)</f>
        <v>0</v>
      </c>
      <c r="N314" s="17">
        <f>IFERROR(IF(VLOOKUP(D:D,'테스트(5회)'!C:G,5, 0)="X",1,0),0)</f>
        <v>0</v>
      </c>
      <c r="O314" s="9"/>
    </row>
    <row r="315" spans="2:15" ht="85.5" x14ac:dyDescent="0.3">
      <c r="B315" s="13">
        <v>312</v>
      </c>
      <c r="C315" s="17" t="str">
        <f t="shared" si="8"/>
        <v>2013</v>
      </c>
      <c r="D315" s="14" t="s">
        <v>455</v>
      </c>
      <c r="E315" s="14" t="s">
        <v>659</v>
      </c>
      <c r="F315" s="15" t="s">
        <v>456</v>
      </c>
      <c r="G315" s="16">
        <v>4</v>
      </c>
      <c r="H315" s="17">
        <f t="shared" si="9"/>
        <v>0</v>
      </c>
      <c r="I315" s="9"/>
      <c r="J315" s="17">
        <f>IFERROR(IF(VLOOKUP(D:D,'테스트(1회)'!C:G,5, 0)="X",1,0),0)</f>
        <v>0</v>
      </c>
      <c r="K315" s="17">
        <f>IFERROR(IF(VLOOKUP(D:D,'테스트(2회)'!C:G,5, 0)="X",1,0),0)</f>
        <v>0</v>
      </c>
      <c r="L315" s="17">
        <f>IFERROR(IF(VLOOKUP(D:D,'테스트(3회)'!C:G,5, 0)="X",1,0),0)</f>
        <v>0</v>
      </c>
      <c r="M315" s="17">
        <f>IFERROR(IF(VLOOKUP(D:D,'테스트(4회)'!C:G,5, 0)="X",1,0),0)</f>
        <v>0</v>
      </c>
      <c r="N315" s="17">
        <f>IFERROR(IF(VLOOKUP(D:D,'테스트(5회)'!C:G,5, 0)="X",1,0),0)</f>
        <v>0</v>
      </c>
      <c r="O315" s="9"/>
    </row>
    <row r="316" spans="2:15" ht="85.5" x14ac:dyDescent="0.3">
      <c r="B316" s="13">
        <v>313</v>
      </c>
      <c r="C316" s="17" t="str">
        <f t="shared" si="8"/>
        <v>2013</v>
      </c>
      <c r="D316" s="14" t="s">
        <v>457</v>
      </c>
      <c r="E316" s="14" t="s">
        <v>659</v>
      </c>
      <c r="F316" s="15" t="s">
        <v>458</v>
      </c>
      <c r="G316" s="16">
        <v>2</v>
      </c>
      <c r="H316" s="17">
        <f t="shared" si="9"/>
        <v>0</v>
      </c>
      <c r="I316" s="9"/>
      <c r="J316" s="17">
        <f>IFERROR(IF(VLOOKUP(D:D,'테스트(1회)'!C:G,5, 0)="X",1,0),0)</f>
        <v>0</v>
      </c>
      <c r="K316" s="17">
        <f>IFERROR(IF(VLOOKUP(D:D,'테스트(2회)'!C:G,5, 0)="X",1,0),0)</f>
        <v>0</v>
      </c>
      <c r="L316" s="17">
        <f>IFERROR(IF(VLOOKUP(D:D,'테스트(3회)'!C:G,5, 0)="X",1,0),0)</f>
        <v>0</v>
      </c>
      <c r="M316" s="17">
        <f>IFERROR(IF(VLOOKUP(D:D,'테스트(4회)'!C:G,5, 0)="X",1,0),0)</f>
        <v>0</v>
      </c>
      <c r="N316" s="17">
        <f>IFERROR(IF(VLOOKUP(D:D,'테스트(5회)'!C:G,5, 0)="X",1,0),0)</f>
        <v>0</v>
      </c>
      <c r="O316" s="9"/>
    </row>
    <row r="317" spans="2:15" ht="99.75" x14ac:dyDescent="0.3">
      <c r="B317" s="13">
        <v>314</v>
      </c>
      <c r="C317" s="17" t="str">
        <f t="shared" si="8"/>
        <v>2013</v>
      </c>
      <c r="D317" s="14" t="s">
        <v>459</v>
      </c>
      <c r="E317" s="14" t="s">
        <v>659</v>
      </c>
      <c r="F317" s="15" t="s">
        <v>764</v>
      </c>
      <c r="G317" s="16">
        <v>3</v>
      </c>
      <c r="H317" s="17">
        <f t="shared" si="9"/>
        <v>0</v>
      </c>
      <c r="I317" s="9"/>
      <c r="J317" s="17">
        <f>IFERROR(IF(VLOOKUP(D:D,'테스트(1회)'!C:G,5, 0)="X",1,0),0)</f>
        <v>0</v>
      </c>
      <c r="K317" s="17">
        <f>IFERROR(IF(VLOOKUP(D:D,'테스트(2회)'!C:G,5, 0)="X",1,0),0)</f>
        <v>0</v>
      </c>
      <c r="L317" s="17">
        <f>IFERROR(IF(VLOOKUP(D:D,'테스트(3회)'!C:G,5, 0)="X",1,0),0)</f>
        <v>0</v>
      </c>
      <c r="M317" s="17">
        <f>IFERROR(IF(VLOOKUP(D:D,'테스트(4회)'!C:G,5, 0)="X",1,0),0)</f>
        <v>0</v>
      </c>
      <c r="N317" s="17">
        <f>IFERROR(IF(VLOOKUP(D:D,'테스트(5회)'!C:G,5, 0)="X",1,0),0)</f>
        <v>0</v>
      </c>
      <c r="O317" s="9"/>
    </row>
    <row r="318" spans="2:15" ht="85.5" x14ac:dyDescent="0.3">
      <c r="B318" s="13">
        <v>315</v>
      </c>
      <c r="C318" s="17" t="str">
        <f t="shared" si="8"/>
        <v>2013</v>
      </c>
      <c r="D318" s="14" t="s">
        <v>460</v>
      </c>
      <c r="E318" s="14" t="s">
        <v>659</v>
      </c>
      <c r="F318" s="15" t="s">
        <v>461</v>
      </c>
      <c r="G318" s="16">
        <v>1</v>
      </c>
      <c r="H318" s="17">
        <f t="shared" si="9"/>
        <v>0</v>
      </c>
      <c r="I318" s="9"/>
      <c r="J318" s="17">
        <f>IFERROR(IF(VLOOKUP(D:D,'테스트(1회)'!C:G,5, 0)="X",1,0),0)</f>
        <v>0</v>
      </c>
      <c r="K318" s="17">
        <f>IFERROR(IF(VLOOKUP(D:D,'테스트(2회)'!C:G,5, 0)="X",1,0),0)</f>
        <v>0</v>
      </c>
      <c r="L318" s="17">
        <f>IFERROR(IF(VLOOKUP(D:D,'테스트(3회)'!C:G,5, 0)="X",1,0),0)</f>
        <v>0</v>
      </c>
      <c r="M318" s="17">
        <f>IFERROR(IF(VLOOKUP(D:D,'테스트(4회)'!C:G,5, 0)="X",1,0),0)</f>
        <v>0</v>
      </c>
      <c r="N318" s="17">
        <f>IFERROR(IF(VLOOKUP(D:D,'테스트(5회)'!C:G,5, 0)="X",1,0),0)</f>
        <v>0</v>
      </c>
      <c r="O318" s="9"/>
    </row>
    <row r="319" spans="2:15" ht="85.5" x14ac:dyDescent="0.3">
      <c r="B319" s="13">
        <v>316</v>
      </c>
      <c r="C319" s="17" t="str">
        <f t="shared" si="8"/>
        <v>2012</v>
      </c>
      <c r="D319" s="14" t="s">
        <v>462</v>
      </c>
      <c r="E319" s="14" t="s">
        <v>659</v>
      </c>
      <c r="F319" s="15" t="s">
        <v>463</v>
      </c>
      <c r="G319" s="16">
        <v>5</v>
      </c>
      <c r="H319" s="17">
        <f t="shared" si="9"/>
        <v>0</v>
      </c>
      <c r="I319" s="9"/>
      <c r="J319" s="17">
        <f>IFERROR(IF(VLOOKUP(D:D,'테스트(1회)'!C:G,5, 0)="X",1,0),0)</f>
        <v>0</v>
      </c>
      <c r="K319" s="17">
        <f>IFERROR(IF(VLOOKUP(D:D,'테스트(2회)'!C:G,5, 0)="X",1,0),0)</f>
        <v>0</v>
      </c>
      <c r="L319" s="17">
        <f>IFERROR(IF(VLOOKUP(D:D,'테스트(3회)'!C:G,5, 0)="X",1,0),0)</f>
        <v>0</v>
      </c>
      <c r="M319" s="17">
        <f>IFERROR(IF(VLOOKUP(D:D,'테스트(4회)'!C:G,5, 0)="X",1,0),0)</f>
        <v>0</v>
      </c>
      <c r="N319" s="17">
        <f>IFERROR(IF(VLOOKUP(D:D,'테스트(5회)'!C:G,5, 0)="X",1,0),0)</f>
        <v>0</v>
      </c>
      <c r="O319" s="9"/>
    </row>
    <row r="320" spans="2:15" ht="85.5" x14ac:dyDescent="0.3">
      <c r="B320" s="13">
        <v>317</v>
      </c>
      <c r="C320" s="17" t="str">
        <f t="shared" si="8"/>
        <v>2012</v>
      </c>
      <c r="D320" s="14" t="s">
        <v>464</v>
      </c>
      <c r="E320" s="14" t="s">
        <v>659</v>
      </c>
      <c r="F320" s="15" t="s">
        <v>465</v>
      </c>
      <c r="G320" s="16">
        <v>2</v>
      </c>
      <c r="H320" s="17">
        <f t="shared" si="9"/>
        <v>0</v>
      </c>
      <c r="I320" s="9"/>
      <c r="J320" s="17">
        <f>IFERROR(IF(VLOOKUP(D:D,'테스트(1회)'!C:G,5, 0)="X",1,0),0)</f>
        <v>0</v>
      </c>
      <c r="K320" s="17">
        <f>IFERROR(IF(VLOOKUP(D:D,'테스트(2회)'!C:G,5, 0)="X",1,0),0)</f>
        <v>0</v>
      </c>
      <c r="L320" s="17">
        <f>IFERROR(IF(VLOOKUP(D:D,'테스트(3회)'!C:G,5, 0)="X",1,0),0)</f>
        <v>0</v>
      </c>
      <c r="M320" s="17">
        <f>IFERROR(IF(VLOOKUP(D:D,'테스트(4회)'!C:G,5, 0)="X",1,0),0)</f>
        <v>0</v>
      </c>
      <c r="N320" s="17">
        <f>IFERROR(IF(VLOOKUP(D:D,'테스트(5회)'!C:G,5, 0)="X",1,0),0)</f>
        <v>0</v>
      </c>
      <c r="O320" s="9"/>
    </row>
    <row r="321" spans="2:15" ht="85.5" x14ac:dyDescent="0.3">
      <c r="B321" s="13">
        <v>318</v>
      </c>
      <c r="C321" s="17" t="str">
        <f t="shared" si="8"/>
        <v>2012</v>
      </c>
      <c r="D321" s="14" t="s">
        <v>466</v>
      </c>
      <c r="E321" s="14" t="s">
        <v>659</v>
      </c>
      <c r="F321" s="15" t="s">
        <v>467</v>
      </c>
      <c r="G321" s="16">
        <v>5</v>
      </c>
      <c r="H321" s="17">
        <f t="shared" si="9"/>
        <v>0</v>
      </c>
      <c r="I321" s="9"/>
      <c r="J321" s="17">
        <f>IFERROR(IF(VLOOKUP(D:D,'테스트(1회)'!C:G,5, 0)="X",1,0),0)</f>
        <v>0</v>
      </c>
      <c r="K321" s="17">
        <f>IFERROR(IF(VLOOKUP(D:D,'테스트(2회)'!C:G,5, 0)="X",1,0),0)</f>
        <v>0</v>
      </c>
      <c r="L321" s="17">
        <f>IFERROR(IF(VLOOKUP(D:D,'테스트(3회)'!C:G,5, 0)="X",1,0),0)</f>
        <v>0</v>
      </c>
      <c r="M321" s="17">
        <f>IFERROR(IF(VLOOKUP(D:D,'테스트(4회)'!C:G,5, 0)="X",1,0),0)</f>
        <v>0</v>
      </c>
      <c r="N321" s="17">
        <f>IFERROR(IF(VLOOKUP(D:D,'테스트(5회)'!C:G,5, 0)="X",1,0),0)</f>
        <v>0</v>
      </c>
      <c r="O321" s="9"/>
    </row>
    <row r="322" spans="2:15" ht="85.5" x14ac:dyDescent="0.3">
      <c r="B322" s="13">
        <v>319</v>
      </c>
      <c r="C322" s="17" t="str">
        <f t="shared" si="8"/>
        <v>2012</v>
      </c>
      <c r="D322" s="14" t="s">
        <v>468</v>
      </c>
      <c r="E322" s="14" t="s">
        <v>659</v>
      </c>
      <c r="F322" s="15" t="s">
        <v>469</v>
      </c>
      <c r="G322" s="16">
        <v>5</v>
      </c>
      <c r="H322" s="17">
        <f t="shared" si="9"/>
        <v>0</v>
      </c>
      <c r="I322" s="9"/>
      <c r="J322" s="17">
        <f>IFERROR(IF(VLOOKUP(D:D,'테스트(1회)'!C:G,5, 0)="X",1,0),0)</f>
        <v>0</v>
      </c>
      <c r="K322" s="17">
        <f>IFERROR(IF(VLOOKUP(D:D,'테스트(2회)'!C:G,5, 0)="X",1,0),0)</f>
        <v>0</v>
      </c>
      <c r="L322" s="17">
        <f>IFERROR(IF(VLOOKUP(D:D,'테스트(3회)'!C:G,5, 0)="X",1,0),0)</f>
        <v>0</v>
      </c>
      <c r="M322" s="17">
        <f>IFERROR(IF(VLOOKUP(D:D,'테스트(4회)'!C:G,5, 0)="X",1,0),0)</f>
        <v>0</v>
      </c>
      <c r="N322" s="17">
        <f>IFERROR(IF(VLOOKUP(D:D,'테스트(5회)'!C:G,5, 0)="X",1,0),0)</f>
        <v>0</v>
      </c>
      <c r="O322" s="9"/>
    </row>
    <row r="323" spans="2:15" ht="85.5" x14ac:dyDescent="0.3">
      <c r="B323" s="13">
        <v>320</v>
      </c>
      <c r="C323" s="17" t="str">
        <f t="shared" si="8"/>
        <v>2012</v>
      </c>
      <c r="D323" s="14" t="s">
        <v>470</v>
      </c>
      <c r="E323" s="14" t="s">
        <v>659</v>
      </c>
      <c r="F323" s="15" t="s">
        <v>471</v>
      </c>
      <c r="G323" s="16">
        <v>1</v>
      </c>
      <c r="H323" s="17">
        <f t="shared" si="9"/>
        <v>0</v>
      </c>
      <c r="I323" s="9"/>
      <c r="J323" s="17">
        <f>IFERROR(IF(VLOOKUP(D:D,'테스트(1회)'!C:G,5, 0)="X",1,0),0)</f>
        <v>0</v>
      </c>
      <c r="K323" s="17">
        <f>IFERROR(IF(VLOOKUP(D:D,'테스트(2회)'!C:G,5, 0)="X",1,0),0)</f>
        <v>0</v>
      </c>
      <c r="L323" s="17">
        <f>IFERROR(IF(VLOOKUP(D:D,'테스트(3회)'!C:G,5, 0)="X",1,0),0)</f>
        <v>0</v>
      </c>
      <c r="M323" s="17">
        <f>IFERROR(IF(VLOOKUP(D:D,'테스트(4회)'!C:G,5, 0)="X",1,0),0)</f>
        <v>0</v>
      </c>
      <c r="N323" s="17">
        <f>IFERROR(IF(VLOOKUP(D:D,'테스트(5회)'!C:G,5, 0)="X",1,0),0)</f>
        <v>0</v>
      </c>
      <c r="O323" s="9"/>
    </row>
    <row r="324" spans="2:15" ht="85.5" x14ac:dyDescent="0.3">
      <c r="B324" s="13">
        <v>321</v>
      </c>
      <c r="C324" s="17" t="str">
        <f t="shared" ref="C324:C387" si="10">MID(D324,3,4)</f>
        <v>2012</v>
      </c>
      <c r="D324" s="14" t="s">
        <v>472</v>
      </c>
      <c r="E324" s="14" t="s">
        <v>659</v>
      </c>
      <c r="F324" s="15" t="s">
        <v>473</v>
      </c>
      <c r="G324" s="16">
        <v>3</v>
      </c>
      <c r="H324" s="17">
        <f t="shared" ref="H324:H387" si="11">SUM(J324:N324)</f>
        <v>0</v>
      </c>
      <c r="I324" s="9"/>
      <c r="J324" s="17">
        <f>IFERROR(IF(VLOOKUP(D:D,'테스트(1회)'!C:G,5, 0)="X",1,0),0)</f>
        <v>0</v>
      </c>
      <c r="K324" s="17">
        <f>IFERROR(IF(VLOOKUP(D:D,'테스트(2회)'!C:G,5, 0)="X",1,0),0)</f>
        <v>0</v>
      </c>
      <c r="L324" s="17">
        <f>IFERROR(IF(VLOOKUP(D:D,'테스트(3회)'!C:G,5, 0)="X",1,0),0)</f>
        <v>0</v>
      </c>
      <c r="M324" s="17">
        <f>IFERROR(IF(VLOOKUP(D:D,'테스트(4회)'!C:G,5, 0)="X",1,0),0)</f>
        <v>0</v>
      </c>
      <c r="N324" s="17">
        <f>IFERROR(IF(VLOOKUP(D:D,'테스트(5회)'!C:G,5, 0)="X",1,0),0)</f>
        <v>0</v>
      </c>
      <c r="O324" s="9"/>
    </row>
    <row r="325" spans="2:15" ht="85.5" x14ac:dyDescent="0.3">
      <c r="B325" s="13">
        <v>322</v>
      </c>
      <c r="C325" s="17" t="str">
        <f t="shared" si="10"/>
        <v>2012</v>
      </c>
      <c r="D325" s="14" t="s">
        <v>474</v>
      </c>
      <c r="E325" s="14" t="s">
        <v>659</v>
      </c>
      <c r="F325" s="15" t="s">
        <v>475</v>
      </c>
      <c r="G325" s="16">
        <v>4</v>
      </c>
      <c r="H325" s="17">
        <f t="shared" si="11"/>
        <v>0</v>
      </c>
      <c r="I325" s="9"/>
      <c r="J325" s="17">
        <f>IFERROR(IF(VLOOKUP(D:D,'테스트(1회)'!C:G,5, 0)="X",1,0),0)</f>
        <v>0</v>
      </c>
      <c r="K325" s="17">
        <f>IFERROR(IF(VLOOKUP(D:D,'테스트(2회)'!C:G,5, 0)="X",1,0),0)</f>
        <v>0</v>
      </c>
      <c r="L325" s="17">
        <f>IFERROR(IF(VLOOKUP(D:D,'테스트(3회)'!C:G,5, 0)="X",1,0),0)</f>
        <v>0</v>
      </c>
      <c r="M325" s="17">
        <f>IFERROR(IF(VLOOKUP(D:D,'테스트(4회)'!C:G,5, 0)="X",1,0),0)</f>
        <v>0</v>
      </c>
      <c r="N325" s="17">
        <f>IFERROR(IF(VLOOKUP(D:D,'테스트(5회)'!C:G,5, 0)="X",1,0),0)</f>
        <v>0</v>
      </c>
      <c r="O325" s="9"/>
    </row>
    <row r="326" spans="2:15" ht="85.5" x14ac:dyDescent="0.3">
      <c r="B326" s="13">
        <v>323</v>
      </c>
      <c r="C326" s="17" t="str">
        <f t="shared" si="10"/>
        <v>2012</v>
      </c>
      <c r="D326" s="14" t="s">
        <v>476</v>
      </c>
      <c r="E326" s="14" t="s">
        <v>659</v>
      </c>
      <c r="F326" s="15" t="s">
        <v>477</v>
      </c>
      <c r="G326" s="16">
        <v>2</v>
      </c>
      <c r="H326" s="17">
        <f t="shared" si="11"/>
        <v>0</v>
      </c>
      <c r="I326" s="9"/>
      <c r="J326" s="17">
        <f>IFERROR(IF(VLOOKUP(D:D,'테스트(1회)'!C:G,5, 0)="X",1,0),0)</f>
        <v>0</v>
      </c>
      <c r="K326" s="17">
        <f>IFERROR(IF(VLOOKUP(D:D,'테스트(2회)'!C:G,5, 0)="X",1,0),0)</f>
        <v>0</v>
      </c>
      <c r="L326" s="17">
        <f>IFERROR(IF(VLOOKUP(D:D,'테스트(3회)'!C:G,5, 0)="X",1,0),0)</f>
        <v>0</v>
      </c>
      <c r="M326" s="17">
        <f>IFERROR(IF(VLOOKUP(D:D,'테스트(4회)'!C:G,5, 0)="X",1,0),0)</f>
        <v>0</v>
      </c>
      <c r="N326" s="17">
        <f>IFERROR(IF(VLOOKUP(D:D,'테스트(5회)'!C:G,5, 0)="X",1,0),0)</f>
        <v>0</v>
      </c>
      <c r="O326" s="9"/>
    </row>
    <row r="327" spans="2:15" ht="85.5" x14ac:dyDescent="0.3">
      <c r="B327" s="13">
        <v>324</v>
      </c>
      <c r="C327" s="17" t="str">
        <f t="shared" si="10"/>
        <v>2012</v>
      </c>
      <c r="D327" s="14" t="s">
        <v>478</v>
      </c>
      <c r="E327" s="14" t="s">
        <v>659</v>
      </c>
      <c r="F327" s="15" t="s">
        <v>479</v>
      </c>
      <c r="G327" s="16">
        <v>5</v>
      </c>
      <c r="H327" s="17">
        <f t="shared" si="11"/>
        <v>0</v>
      </c>
      <c r="I327" s="9"/>
      <c r="J327" s="17">
        <f>IFERROR(IF(VLOOKUP(D:D,'테스트(1회)'!C:G,5, 0)="X",1,0),0)</f>
        <v>0</v>
      </c>
      <c r="K327" s="17">
        <f>IFERROR(IF(VLOOKUP(D:D,'테스트(2회)'!C:G,5, 0)="X",1,0),0)</f>
        <v>0</v>
      </c>
      <c r="L327" s="17">
        <f>IFERROR(IF(VLOOKUP(D:D,'테스트(3회)'!C:G,5, 0)="X",1,0),0)</f>
        <v>0</v>
      </c>
      <c r="M327" s="17">
        <f>IFERROR(IF(VLOOKUP(D:D,'테스트(4회)'!C:G,5, 0)="X",1,0),0)</f>
        <v>0</v>
      </c>
      <c r="N327" s="17">
        <f>IFERROR(IF(VLOOKUP(D:D,'테스트(5회)'!C:G,5, 0)="X",1,0),0)</f>
        <v>0</v>
      </c>
      <c r="O327" s="9"/>
    </row>
    <row r="328" spans="2:15" ht="85.5" x14ac:dyDescent="0.3">
      <c r="B328" s="13">
        <v>325</v>
      </c>
      <c r="C328" s="17" t="str">
        <f t="shared" si="10"/>
        <v>2012</v>
      </c>
      <c r="D328" s="14" t="s">
        <v>480</v>
      </c>
      <c r="E328" s="14" t="s">
        <v>659</v>
      </c>
      <c r="F328" s="15" t="s">
        <v>481</v>
      </c>
      <c r="G328" s="16">
        <v>1</v>
      </c>
      <c r="H328" s="17">
        <f t="shared" si="11"/>
        <v>0</v>
      </c>
      <c r="I328" s="9"/>
      <c r="J328" s="17">
        <f>IFERROR(IF(VLOOKUP(D:D,'테스트(1회)'!C:G,5, 0)="X",1,0),0)</f>
        <v>0</v>
      </c>
      <c r="K328" s="17">
        <f>IFERROR(IF(VLOOKUP(D:D,'테스트(2회)'!C:G,5, 0)="X",1,0),0)</f>
        <v>0</v>
      </c>
      <c r="L328" s="17">
        <f>IFERROR(IF(VLOOKUP(D:D,'테스트(3회)'!C:G,5, 0)="X",1,0),0)</f>
        <v>0</v>
      </c>
      <c r="M328" s="17">
        <f>IFERROR(IF(VLOOKUP(D:D,'테스트(4회)'!C:G,5, 0)="X",1,0),0)</f>
        <v>0</v>
      </c>
      <c r="N328" s="17">
        <f>IFERROR(IF(VLOOKUP(D:D,'테스트(5회)'!C:G,5, 0)="X",1,0),0)</f>
        <v>0</v>
      </c>
      <c r="O328" s="9"/>
    </row>
    <row r="329" spans="2:15" ht="85.5" x14ac:dyDescent="0.3">
      <c r="B329" s="13">
        <v>326</v>
      </c>
      <c r="C329" s="17" t="str">
        <f t="shared" si="10"/>
        <v>2012</v>
      </c>
      <c r="D329" s="14" t="s">
        <v>482</v>
      </c>
      <c r="E329" s="14" t="s">
        <v>659</v>
      </c>
      <c r="F329" s="15" t="s">
        <v>765</v>
      </c>
      <c r="G329" s="16">
        <v>4</v>
      </c>
      <c r="H329" s="17">
        <f t="shared" si="11"/>
        <v>0</v>
      </c>
      <c r="I329" s="9"/>
      <c r="J329" s="17">
        <f>IFERROR(IF(VLOOKUP(D:D,'테스트(1회)'!C:G,5, 0)="X",1,0),0)</f>
        <v>0</v>
      </c>
      <c r="K329" s="17">
        <f>IFERROR(IF(VLOOKUP(D:D,'테스트(2회)'!C:G,5, 0)="X",1,0),0)</f>
        <v>0</v>
      </c>
      <c r="L329" s="17">
        <f>IFERROR(IF(VLOOKUP(D:D,'테스트(3회)'!C:G,5, 0)="X",1,0),0)</f>
        <v>0</v>
      </c>
      <c r="M329" s="17">
        <f>IFERROR(IF(VLOOKUP(D:D,'테스트(4회)'!C:G,5, 0)="X",1,0),0)</f>
        <v>0</v>
      </c>
      <c r="N329" s="17">
        <f>IFERROR(IF(VLOOKUP(D:D,'테스트(5회)'!C:G,5, 0)="X",1,0),0)</f>
        <v>0</v>
      </c>
      <c r="O329" s="9"/>
    </row>
    <row r="330" spans="2:15" ht="99.75" x14ac:dyDescent="0.3">
      <c r="B330" s="13">
        <v>327</v>
      </c>
      <c r="C330" s="17" t="str">
        <f t="shared" si="10"/>
        <v>2012</v>
      </c>
      <c r="D330" s="14" t="s">
        <v>483</v>
      </c>
      <c r="E330" s="14" t="s">
        <v>659</v>
      </c>
      <c r="F330" s="15" t="s">
        <v>484</v>
      </c>
      <c r="G330" s="16">
        <v>1</v>
      </c>
      <c r="H330" s="17">
        <f t="shared" si="11"/>
        <v>0</v>
      </c>
      <c r="I330" s="9"/>
      <c r="J330" s="17">
        <f>IFERROR(IF(VLOOKUP(D:D,'테스트(1회)'!C:G,5, 0)="X",1,0),0)</f>
        <v>0</v>
      </c>
      <c r="K330" s="17">
        <f>IFERROR(IF(VLOOKUP(D:D,'테스트(2회)'!C:G,5, 0)="X",1,0),0)</f>
        <v>0</v>
      </c>
      <c r="L330" s="17">
        <f>IFERROR(IF(VLOOKUP(D:D,'테스트(3회)'!C:G,5, 0)="X",1,0),0)</f>
        <v>0</v>
      </c>
      <c r="M330" s="17">
        <f>IFERROR(IF(VLOOKUP(D:D,'테스트(4회)'!C:G,5, 0)="X",1,0),0)</f>
        <v>0</v>
      </c>
      <c r="N330" s="17">
        <f>IFERROR(IF(VLOOKUP(D:D,'테스트(5회)'!C:G,5, 0)="X",1,0),0)</f>
        <v>0</v>
      </c>
      <c r="O330" s="9"/>
    </row>
    <row r="331" spans="2:15" ht="85.5" x14ac:dyDescent="0.3">
      <c r="B331" s="13">
        <v>328</v>
      </c>
      <c r="C331" s="17" t="str">
        <f t="shared" si="10"/>
        <v>2012</v>
      </c>
      <c r="D331" s="14" t="s">
        <v>485</v>
      </c>
      <c r="E331" s="14" t="s">
        <v>659</v>
      </c>
      <c r="F331" s="15" t="s">
        <v>486</v>
      </c>
      <c r="G331" s="16">
        <v>3</v>
      </c>
      <c r="H331" s="17">
        <f t="shared" si="11"/>
        <v>0</v>
      </c>
      <c r="I331" s="9"/>
      <c r="J331" s="17">
        <f>IFERROR(IF(VLOOKUP(D:D,'테스트(1회)'!C:G,5, 0)="X",1,0),0)</f>
        <v>0</v>
      </c>
      <c r="K331" s="17">
        <f>IFERROR(IF(VLOOKUP(D:D,'테스트(2회)'!C:G,5, 0)="X",1,0),0)</f>
        <v>0</v>
      </c>
      <c r="L331" s="17">
        <f>IFERROR(IF(VLOOKUP(D:D,'테스트(3회)'!C:G,5, 0)="X",1,0),0)</f>
        <v>0</v>
      </c>
      <c r="M331" s="17">
        <f>IFERROR(IF(VLOOKUP(D:D,'테스트(4회)'!C:G,5, 0)="X",1,0),0)</f>
        <v>0</v>
      </c>
      <c r="N331" s="17">
        <f>IFERROR(IF(VLOOKUP(D:D,'테스트(5회)'!C:G,5, 0)="X",1,0),0)</f>
        <v>0</v>
      </c>
      <c r="O331" s="9"/>
    </row>
    <row r="332" spans="2:15" ht="85.5" x14ac:dyDescent="0.3">
      <c r="B332" s="13">
        <v>329</v>
      </c>
      <c r="C332" s="17" t="str">
        <f t="shared" si="10"/>
        <v>2012</v>
      </c>
      <c r="D332" s="14" t="s">
        <v>487</v>
      </c>
      <c r="E332" s="14" t="s">
        <v>659</v>
      </c>
      <c r="F332" s="15" t="s">
        <v>488</v>
      </c>
      <c r="G332" s="16">
        <v>5</v>
      </c>
      <c r="H332" s="17">
        <f t="shared" si="11"/>
        <v>0</v>
      </c>
      <c r="I332" s="9"/>
      <c r="J332" s="17">
        <f>IFERROR(IF(VLOOKUP(D:D,'테스트(1회)'!C:G,5, 0)="X",1,0),0)</f>
        <v>0</v>
      </c>
      <c r="K332" s="17">
        <f>IFERROR(IF(VLOOKUP(D:D,'테스트(2회)'!C:G,5, 0)="X",1,0),0)</f>
        <v>0</v>
      </c>
      <c r="L332" s="17">
        <f>IFERROR(IF(VLOOKUP(D:D,'테스트(3회)'!C:G,5, 0)="X",1,0),0)</f>
        <v>0</v>
      </c>
      <c r="M332" s="17">
        <f>IFERROR(IF(VLOOKUP(D:D,'테스트(4회)'!C:G,5, 0)="X",1,0),0)</f>
        <v>0</v>
      </c>
      <c r="N332" s="17">
        <f>IFERROR(IF(VLOOKUP(D:D,'테스트(5회)'!C:G,5, 0)="X",1,0),0)</f>
        <v>0</v>
      </c>
      <c r="O332" s="9"/>
    </row>
    <row r="333" spans="2:15" ht="85.5" x14ac:dyDescent="0.3">
      <c r="B333" s="13">
        <v>330</v>
      </c>
      <c r="C333" s="17" t="str">
        <f t="shared" si="10"/>
        <v>2012</v>
      </c>
      <c r="D333" s="14" t="s">
        <v>489</v>
      </c>
      <c r="E333" s="14" t="s">
        <v>659</v>
      </c>
      <c r="F333" s="15" t="s">
        <v>490</v>
      </c>
      <c r="G333" s="16">
        <v>1</v>
      </c>
      <c r="H333" s="17">
        <f t="shared" si="11"/>
        <v>0</v>
      </c>
      <c r="I333" s="9"/>
      <c r="J333" s="17">
        <f>IFERROR(IF(VLOOKUP(D:D,'테스트(1회)'!C:G,5, 0)="X",1,0),0)</f>
        <v>0</v>
      </c>
      <c r="K333" s="17">
        <f>IFERROR(IF(VLOOKUP(D:D,'테스트(2회)'!C:G,5, 0)="X",1,0),0)</f>
        <v>0</v>
      </c>
      <c r="L333" s="17">
        <f>IFERROR(IF(VLOOKUP(D:D,'테스트(3회)'!C:G,5, 0)="X",1,0),0)</f>
        <v>0</v>
      </c>
      <c r="M333" s="17">
        <f>IFERROR(IF(VLOOKUP(D:D,'테스트(4회)'!C:G,5, 0)="X",1,0),0)</f>
        <v>0</v>
      </c>
      <c r="N333" s="17">
        <f>IFERROR(IF(VLOOKUP(D:D,'테스트(5회)'!C:G,5, 0)="X",1,0),0)</f>
        <v>0</v>
      </c>
      <c r="O333" s="9"/>
    </row>
    <row r="334" spans="2:15" ht="99.75" x14ac:dyDescent="0.3">
      <c r="B334" s="13">
        <v>331</v>
      </c>
      <c r="C334" s="17" t="str">
        <f t="shared" si="10"/>
        <v>2012</v>
      </c>
      <c r="D334" s="14" t="s">
        <v>491</v>
      </c>
      <c r="E334" s="14" t="s">
        <v>659</v>
      </c>
      <c r="F334" s="15" t="s">
        <v>492</v>
      </c>
      <c r="G334" s="16">
        <v>4</v>
      </c>
      <c r="H334" s="17">
        <f t="shared" si="11"/>
        <v>0</v>
      </c>
      <c r="I334" s="9"/>
      <c r="J334" s="17">
        <f>IFERROR(IF(VLOOKUP(D:D,'테스트(1회)'!C:G,5, 0)="X",1,0),0)</f>
        <v>0</v>
      </c>
      <c r="K334" s="17">
        <f>IFERROR(IF(VLOOKUP(D:D,'테스트(2회)'!C:G,5, 0)="X",1,0),0)</f>
        <v>0</v>
      </c>
      <c r="L334" s="17">
        <f>IFERROR(IF(VLOOKUP(D:D,'테스트(3회)'!C:G,5, 0)="X",1,0),0)</f>
        <v>0</v>
      </c>
      <c r="M334" s="17">
        <f>IFERROR(IF(VLOOKUP(D:D,'테스트(4회)'!C:G,5, 0)="X",1,0),0)</f>
        <v>0</v>
      </c>
      <c r="N334" s="17">
        <f>IFERROR(IF(VLOOKUP(D:D,'테스트(5회)'!C:G,5, 0)="X",1,0),0)</f>
        <v>0</v>
      </c>
      <c r="O334" s="9"/>
    </row>
    <row r="335" spans="2:15" ht="85.5" x14ac:dyDescent="0.3">
      <c r="B335" s="13">
        <v>332</v>
      </c>
      <c r="C335" s="17" t="str">
        <f t="shared" si="10"/>
        <v>2012</v>
      </c>
      <c r="D335" s="14" t="s">
        <v>493</v>
      </c>
      <c r="E335" s="14" t="s">
        <v>659</v>
      </c>
      <c r="F335" s="15" t="s">
        <v>494</v>
      </c>
      <c r="G335" s="16">
        <v>4</v>
      </c>
      <c r="H335" s="17">
        <f t="shared" si="11"/>
        <v>0</v>
      </c>
      <c r="I335" s="9"/>
      <c r="J335" s="17">
        <f>IFERROR(IF(VLOOKUP(D:D,'테스트(1회)'!C:G,5, 0)="X",1,0),0)</f>
        <v>0</v>
      </c>
      <c r="K335" s="17">
        <f>IFERROR(IF(VLOOKUP(D:D,'테스트(2회)'!C:G,5, 0)="X",1,0),0)</f>
        <v>0</v>
      </c>
      <c r="L335" s="17">
        <f>IFERROR(IF(VLOOKUP(D:D,'테스트(3회)'!C:G,5, 0)="X",1,0),0)</f>
        <v>0</v>
      </c>
      <c r="M335" s="17">
        <f>IFERROR(IF(VLOOKUP(D:D,'테스트(4회)'!C:G,5, 0)="X",1,0),0)</f>
        <v>0</v>
      </c>
      <c r="N335" s="17">
        <f>IFERROR(IF(VLOOKUP(D:D,'테스트(5회)'!C:G,5, 0)="X",1,0),0)</f>
        <v>0</v>
      </c>
      <c r="O335" s="9"/>
    </row>
    <row r="336" spans="2:15" ht="85.5" x14ac:dyDescent="0.3">
      <c r="B336" s="13">
        <v>333</v>
      </c>
      <c r="C336" s="17" t="str">
        <f t="shared" si="10"/>
        <v>2012</v>
      </c>
      <c r="D336" s="14" t="s">
        <v>495</v>
      </c>
      <c r="E336" s="14" t="s">
        <v>659</v>
      </c>
      <c r="F336" s="15" t="s">
        <v>496</v>
      </c>
      <c r="G336" s="16">
        <v>2</v>
      </c>
      <c r="H336" s="17">
        <f t="shared" si="11"/>
        <v>0</v>
      </c>
      <c r="I336" s="9"/>
      <c r="J336" s="17">
        <f>IFERROR(IF(VLOOKUP(D:D,'테스트(1회)'!C:G,5, 0)="X",1,0),0)</f>
        <v>0</v>
      </c>
      <c r="K336" s="17">
        <f>IFERROR(IF(VLOOKUP(D:D,'테스트(2회)'!C:G,5, 0)="X",1,0),0)</f>
        <v>0</v>
      </c>
      <c r="L336" s="17">
        <f>IFERROR(IF(VLOOKUP(D:D,'테스트(3회)'!C:G,5, 0)="X",1,0),0)</f>
        <v>0</v>
      </c>
      <c r="M336" s="17">
        <f>IFERROR(IF(VLOOKUP(D:D,'테스트(4회)'!C:G,5, 0)="X",1,0),0)</f>
        <v>0</v>
      </c>
      <c r="N336" s="17">
        <f>IFERROR(IF(VLOOKUP(D:D,'테스트(5회)'!C:G,5, 0)="X",1,0),0)</f>
        <v>0</v>
      </c>
      <c r="O336" s="9"/>
    </row>
    <row r="337" spans="2:15" ht="85.5" x14ac:dyDescent="0.3">
      <c r="B337" s="13">
        <v>334</v>
      </c>
      <c r="C337" s="17" t="str">
        <f t="shared" si="10"/>
        <v>2012</v>
      </c>
      <c r="D337" s="14" t="s">
        <v>497</v>
      </c>
      <c r="E337" s="14" t="s">
        <v>659</v>
      </c>
      <c r="F337" s="15" t="s">
        <v>498</v>
      </c>
      <c r="G337" s="16">
        <v>3</v>
      </c>
      <c r="H337" s="17">
        <f t="shared" si="11"/>
        <v>0</v>
      </c>
      <c r="I337" s="9"/>
      <c r="J337" s="17">
        <f>IFERROR(IF(VLOOKUP(D:D,'테스트(1회)'!C:G,5, 0)="X",1,0),0)</f>
        <v>0</v>
      </c>
      <c r="K337" s="17">
        <f>IFERROR(IF(VLOOKUP(D:D,'테스트(2회)'!C:G,5, 0)="X",1,0),0)</f>
        <v>0</v>
      </c>
      <c r="L337" s="17">
        <f>IFERROR(IF(VLOOKUP(D:D,'테스트(3회)'!C:G,5, 0)="X",1,0),0)</f>
        <v>0</v>
      </c>
      <c r="M337" s="17">
        <f>IFERROR(IF(VLOOKUP(D:D,'테스트(4회)'!C:G,5, 0)="X",1,0),0)</f>
        <v>0</v>
      </c>
      <c r="N337" s="17">
        <f>IFERROR(IF(VLOOKUP(D:D,'테스트(5회)'!C:G,5, 0)="X",1,0),0)</f>
        <v>0</v>
      </c>
      <c r="O337" s="9"/>
    </row>
    <row r="338" spans="2:15" ht="85.5" x14ac:dyDescent="0.3">
      <c r="B338" s="13">
        <v>335</v>
      </c>
      <c r="C338" s="17" t="str">
        <f t="shared" si="10"/>
        <v>2012</v>
      </c>
      <c r="D338" s="14" t="s">
        <v>499</v>
      </c>
      <c r="E338" s="14" t="s">
        <v>659</v>
      </c>
      <c r="F338" s="15" t="s">
        <v>500</v>
      </c>
      <c r="G338" s="16">
        <v>3</v>
      </c>
      <c r="H338" s="17">
        <f t="shared" si="11"/>
        <v>0</v>
      </c>
      <c r="I338" s="9"/>
      <c r="J338" s="17">
        <f>IFERROR(IF(VLOOKUP(D:D,'테스트(1회)'!C:G,5, 0)="X",1,0),0)</f>
        <v>0</v>
      </c>
      <c r="K338" s="17">
        <f>IFERROR(IF(VLOOKUP(D:D,'테스트(2회)'!C:G,5, 0)="X",1,0),0)</f>
        <v>0</v>
      </c>
      <c r="L338" s="17">
        <f>IFERROR(IF(VLOOKUP(D:D,'테스트(3회)'!C:G,5, 0)="X",1,0),0)</f>
        <v>0</v>
      </c>
      <c r="M338" s="17">
        <f>IFERROR(IF(VLOOKUP(D:D,'테스트(4회)'!C:G,5, 0)="X",1,0),0)</f>
        <v>0</v>
      </c>
      <c r="N338" s="17">
        <f>IFERROR(IF(VLOOKUP(D:D,'테스트(5회)'!C:G,5, 0)="X",1,0),0)</f>
        <v>0</v>
      </c>
      <c r="O338" s="9"/>
    </row>
    <row r="339" spans="2:15" ht="85.5" x14ac:dyDescent="0.3">
      <c r="B339" s="13">
        <v>336</v>
      </c>
      <c r="C339" s="17" t="str">
        <f t="shared" si="10"/>
        <v>2012</v>
      </c>
      <c r="D339" s="14" t="s">
        <v>501</v>
      </c>
      <c r="E339" s="14" t="s">
        <v>659</v>
      </c>
      <c r="F339" s="15" t="s">
        <v>502</v>
      </c>
      <c r="G339" s="16">
        <v>2</v>
      </c>
      <c r="H339" s="17">
        <f t="shared" si="11"/>
        <v>0</v>
      </c>
      <c r="I339" s="9"/>
      <c r="J339" s="17">
        <f>IFERROR(IF(VLOOKUP(D:D,'테스트(1회)'!C:G,5, 0)="X",1,0),0)</f>
        <v>0</v>
      </c>
      <c r="K339" s="17">
        <f>IFERROR(IF(VLOOKUP(D:D,'테스트(2회)'!C:G,5, 0)="X",1,0),0)</f>
        <v>0</v>
      </c>
      <c r="L339" s="17">
        <f>IFERROR(IF(VLOOKUP(D:D,'테스트(3회)'!C:G,5, 0)="X",1,0),0)</f>
        <v>0</v>
      </c>
      <c r="M339" s="17">
        <f>IFERROR(IF(VLOOKUP(D:D,'테스트(4회)'!C:G,5, 0)="X",1,0),0)</f>
        <v>0</v>
      </c>
      <c r="N339" s="17">
        <f>IFERROR(IF(VLOOKUP(D:D,'테스트(5회)'!C:G,5, 0)="X",1,0),0)</f>
        <v>0</v>
      </c>
      <c r="O339" s="9"/>
    </row>
    <row r="340" spans="2:15" ht="85.5" x14ac:dyDescent="0.3">
      <c r="B340" s="13">
        <v>337</v>
      </c>
      <c r="C340" s="17" t="str">
        <f t="shared" si="10"/>
        <v>2012</v>
      </c>
      <c r="D340" s="14" t="s">
        <v>503</v>
      </c>
      <c r="E340" s="14" t="s">
        <v>659</v>
      </c>
      <c r="F340" s="15" t="s">
        <v>504</v>
      </c>
      <c r="G340" s="16">
        <v>1</v>
      </c>
      <c r="H340" s="17">
        <f t="shared" si="11"/>
        <v>0</v>
      </c>
      <c r="I340" s="9"/>
      <c r="J340" s="17">
        <f>IFERROR(IF(VLOOKUP(D:D,'테스트(1회)'!C:G,5, 0)="X",1,0),0)</f>
        <v>0</v>
      </c>
      <c r="K340" s="17">
        <f>IFERROR(IF(VLOOKUP(D:D,'테스트(2회)'!C:G,5, 0)="X",1,0),0)</f>
        <v>0</v>
      </c>
      <c r="L340" s="17">
        <f>IFERROR(IF(VLOOKUP(D:D,'테스트(3회)'!C:G,5, 0)="X",1,0),0)</f>
        <v>0</v>
      </c>
      <c r="M340" s="17">
        <f>IFERROR(IF(VLOOKUP(D:D,'테스트(4회)'!C:G,5, 0)="X",1,0),0)</f>
        <v>0</v>
      </c>
      <c r="N340" s="17">
        <f>IFERROR(IF(VLOOKUP(D:D,'테스트(5회)'!C:G,5, 0)="X",1,0),0)</f>
        <v>0</v>
      </c>
      <c r="O340" s="9"/>
    </row>
    <row r="341" spans="2:15" ht="99.75" x14ac:dyDescent="0.3">
      <c r="B341" s="13">
        <v>338</v>
      </c>
      <c r="C341" s="17" t="str">
        <f t="shared" si="10"/>
        <v>2012</v>
      </c>
      <c r="D341" s="14" t="s">
        <v>505</v>
      </c>
      <c r="E341" s="14" t="s">
        <v>659</v>
      </c>
      <c r="F341" s="15" t="s">
        <v>506</v>
      </c>
      <c r="G341" s="16">
        <v>4</v>
      </c>
      <c r="H341" s="17">
        <f t="shared" si="11"/>
        <v>0</v>
      </c>
      <c r="I341" s="9"/>
      <c r="J341" s="17">
        <f>IFERROR(IF(VLOOKUP(D:D,'테스트(1회)'!C:G,5, 0)="X",1,0),0)</f>
        <v>0</v>
      </c>
      <c r="K341" s="17">
        <f>IFERROR(IF(VLOOKUP(D:D,'테스트(2회)'!C:G,5, 0)="X",1,0),0)</f>
        <v>0</v>
      </c>
      <c r="L341" s="17">
        <f>IFERROR(IF(VLOOKUP(D:D,'테스트(3회)'!C:G,5, 0)="X",1,0),0)</f>
        <v>0</v>
      </c>
      <c r="M341" s="17">
        <f>IFERROR(IF(VLOOKUP(D:D,'테스트(4회)'!C:G,5, 0)="X",1,0),0)</f>
        <v>0</v>
      </c>
      <c r="N341" s="17">
        <f>IFERROR(IF(VLOOKUP(D:D,'테스트(5회)'!C:G,5, 0)="X",1,0),0)</f>
        <v>0</v>
      </c>
      <c r="O341" s="9"/>
    </row>
    <row r="342" spans="2:15" ht="85.5" x14ac:dyDescent="0.3">
      <c r="B342" s="13">
        <v>339</v>
      </c>
      <c r="C342" s="17" t="str">
        <f t="shared" si="10"/>
        <v>2012</v>
      </c>
      <c r="D342" s="14" t="s">
        <v>507</v>
      </c>
      <c r="E342" s="14" t="s">
        <v>659</v>
      </c>
      <c r="F342" s="15" t="s">
        <v>508</v>
      </c>
      <c r="G342" s="16">
        <v>2</v>
      </c>
      <c r="H342" s="17">
        <f t="shared" si="11"/>
        <v>0</v>
      </c>
      <c r="I342" s="9"/>
      <c r="J342" s="17">
        <f>IFERROR(IF(VLOOKUP(D:D,'테스트(1회)'!C:G,5, 0)="X",1,0),0)</f>
        <v>0</v>
      </c>
      <c r="K342" s="17">
        <f>IFERROR(IF(VLOOKUP(D:D,'테스트(2회)'!C:G,5, 0)="X",1,0),0)</f>
        <v>0</v>
      </c>
      <c r="L342" s="17">
        <f>IFERROR(IF(VLOOKUP(D:D,'테스트(3회)'!C:G,5, 0)="X",1,0),0)</f>
        <v>0</v>
      </c>
      <c r="M342" s="17">
        <f>IFERROR(IF(VLOOKUP(D:D,'테스트(4회)'!C:G,5, 0)="X",1,0),0)</f>
        <v>0</v>
      </c>
      <c r="N342" s="17">
        <f>IFERROR(IF(VLOOKUP(D:D,'테스트(5회)'!C:G,5, 0)="X",1,0),0)</f>
        <v>0</v>
      </c>
      <c r="O342" s="9"/>
    </row>
    <row r="343" spans="2:15" ht="185.25" x14ac:dyDescent="0.3">
      <c r="B343" s="13">
        <v>340</v>
      </c>
      <c r="C343" s="17" t="str">
        <f t="shared" si="10"/>
        <v>2012</v>
      </c>
      <c r="D343" s="14" t="s">
        <v>509</v>
      </c>
      <c r="E343" s="14" t="s">
        <v>659</v>
      </c>
      <c r="F343" s="15" t="s">
        <v>510</v>
      </c>
      <c r="G343" s="16">
        <v>3</v>
      </c>
      <c r="H343" s="17">
        <f t="shared" si="11"/>
        <v>0</v>
      </c>
      <c r="I343" s="9"/>
      <c r="J343" s="17">
        <f>IFERROR(IF(VLOOKUP(D:D,'테스트(1회)'!C:G,5, 0)="X",1,0),0)</f>
        <v>0</v>
      </c>
      <c r="K343" s="17">
        <f>IFERROR(IF(VLOOKUP(D:D,'테스트(2회)'!C:G,5, 0)="X",1,0),0)</f>
        <v>0</v>
      </c>
      <c r="L343" s="17">
        <f>IFERROR(IF(VLOOKUP(D:D,'테스트(3회)'!C:G,5, 0)="X",1,0),0)</f>
        <v>0</v>
      </c>
      <c r="M343" s="17">
        <f>IFERROR(IF(VLOOKUP(D:D,'테스트(4회)'!C:G,5, 0)="X",1,0),0)</f>
        <v>0</v>
      </c>
      <c r="N343" s="17">
        <f>IFERROR(IF(VLOOKUP(D:D,'테스트(5회)'!C:G,5, 0)="X",1,0),0)</f>
        <v>0</v>
      </c>
      <c r="O343" s="9"/>
    </row>
    <row r="344" spans="2:15" ht="85.5" x14ac:dyDescent="0.3">
      <c r="B344" s="13">
        <v>341</v>
      </c>
      <c r="C344" s="17" t="str">
        <f t="shared" si="10"/>
        <v>2011</v>
      </c>
      <c r="D344" s="14" t="s">
        <v>511</v>
      </c>
      <c r="E344" s="14" t="s">
        <v>659</v>
      </c>
      <c r="F344" s="15" t="s">
        <v>512</v>
      </c>
      <c r="G344" s="16">
        <v>2</v>
      </c>
      <c r="H344" s="17">
        <f t="shared" si="11"/>
        <v>0</v>
      </c>
      <c r="I344" s="9"/>
      <c r="J344" s="17">
        <f>IFERROR(IF(VLOOKUP(D:D,'테스트(1회)'!C:G,5, 0)="X",1,0),0)</f>
        <v>0</v>
      </c>
      <c r="K344" s="17">
        <f>IFERROR(IF(VLOOKUP(D:D,'테스트(2회)'!C:G,5, 0)="X",1,0),0)</f>
        <v>0</v>
      </c>
      <c r="L344" s="17">
        <f>IFERROR(IF(VLOOKUP(D:D,'테스트(3회)'!C:G,5, 0)="X",1,0),0)</f>
        <v>0</v>
      </c>
      <c r="M344" s="17">
        <f>IFERROR(IF(VLOOKUP(D:D,'테스트(4회)'!C:G,5, 0)="X",1,0),0)</f>
        <v>0</v>
      </c>
      <c r="N344" s="17">
        <f>IFERROR(IF(VLOOKUP(D:D,'테스트(5회)'!C:G,5, 0)="X",1,0),0)</f>
        <v>0</v>
      </c>
      <c r="O344" s="9"/>
    </row>
    <row r="345" spans="2:15" ht="85.5" x14ac:dyDescent="0.3">
      <c r="B345" s="13">
        <v>342</v>
      </c>
      <c r="C345" s="17" t="str">
        <f t="shared" si="10"/>
        <v>2011</v>
      </c>
      <c r="D345" s="14" t="s">
        <v>513</v>
      </c>
      <c r="E345" s="14" t="s">
        <v>659</v>
      </c>
      <c r="F345" s="15" t="s">
        <v>514</v>
      </c>
      <c r="G345" s="16">
        <v>1</v>
      </c>
      <c r="H345" s="17">
        <f t="shared" si="11"/>
        <v>0</v>
      </c>
      <c r="I345" s="9"/>
      <c r="J345" s="17">
        <f>IFERROR(IF(VLOOKUP(D:D,'테스트(1회)'!C:G,5, 0)="X",1,0),0)</f>
        <v>0</v>
      </c>
      <c r="K345" s="17">
        <f>IFERROR(IF(VLOOKUP(D:D,'테스트(2회)'!C:G,5, 0)="X",1,0),0)</f>
        <v>0</v>
      </c>
      <c r="L345" s="17">
        <f>IFERROR(IF(VLOOKUP(D:D,'테스트(3회)'!C:G,5, 0)="X",1,0),0)</f>
        <v>0</v>
      </c>
      <c r="M345" s="17">
        <f>IFERROR(IF(VLOOKUP(D:D,'테스트(4회)'!C:G,5, 0)="X",1,0),0)</f>
        <v>0</v>
      </c>
      <c r="N345" s="17">
        <f>IFERROR(IF(VLOOKUP(D:D,'테스트(5회)'!C:G,5, 0)="X",1,0),0)</f>
        <v>0</v>
      </c>
      <c r="O345" s="9"/>
    </row>
    <row r="346" spans="2:15" ht="85.5" x14ac:dyDescent="0.3">
      <c r="B346" s="13">
        <v>343</v>
      </c>
      <c r="C346" s="17" t="str">
        <f t="shared" si="10"/>
        <v>2011</v>
      </c>
      <c r="D346" s="14" t="s">
        <v>515</v>
      </c>
      <c r="E346" s="14" t="s">
        <v>659</v>
      </c>
      <c r="F346" s="15" t="s">
        <v>516</v>
      </c>
      <c r="G346" s="16">
        <v>1</v>
      </c>
      <c r="H346" s="17">
        <f t="shared" si="11"/>
        <v>0</v>
      </c>
      <c r="I346" s="9"/>
      <c r="J346" s="17">
        <f>IFERROR(IF(VLOOKUP(D:D,'테스트(1회)'!C:G,5, 0)="X",1,0),0)</f>
        <v>0</v>
      </c>
      <c r="K346" s="17">
        <f>IFERROR(IF(VLOOKUP(D:D,'테스트(2회)'!C:G,5, 0)="X",1,0),0)</f>
        <v>0</v>
      </c>
      <c r="L346" s="17">
        <f>IFERROR(IF(VLOOKUP(D:D,'테스트(3회)'!C:G,5, 0)="X",1,0),0)</f>
        <v>0</v>
      </c>
      <c r="M346" s="17">
        <f>IFERROR(IF(VLOOKUP(D:D,'테스트(4회)'!C:G,5, 0)="X",1,0),0)</f>
        <v>0</v>
      </c>
      <c r="N346" s="17">
        <f>IFERROR(IF(VLOOKUP(D:D,'테스트(5회)'!C:G,5, 0)="X",1,0),0)</f>
        <v>0</v>
      </c>
      <c r="O346" s="9"/>
    </row>
    <row r="347" spans="2:15" ht="85.5" x14ac:dyDescent="0.3">
      <c r="B347" s="13">
        <v>344</v>
      </c>
      <c r="C347" s="17" t="str">
        <f t="shared" si="10"/>
        <v>2011</v>
      </c>
      <c r="D347" s="14" t="s">
        <v>517</v>
      </c>
      <c r="E347" s="14" t="s">
        <v>659</v>
      </c>
      <c r="F347" s="15" t="s">
        <v>518</v>
      </c>
      <c r="G347" s="16">
        <v>4</v>
      </c>
      <c r="H347" s="17">
        <f t="shared" si="11"/>
        <v>0</v>
      </c>
      <c r="I347" s="9"/>
      <c r="J347" s="17">
        <f>IFERROR(IF(VLOOKUP(D:D,'테스트(1회)'!C:G,5, 0)="X",1,0),0)</f>
        <v>0</v>
      </c>
      <c r="K347" s="17">
        <f>IFERROR(IF(VLOOKUP(D:D,'테스트(2회)'!C:G,5, 0)="X",1,0),0)</f>
        <v>0</v>
      </c>
      <c r="L347" s="17">
        <f>IFERROR(IF(VLOOKUP(D:D,'테스트(3회)'!C:G,5, 0)="X",1,0),0)</f>
        <v>0</v>
      </c>
      <c r="M347" s="17">
        <f>IFERROR(IF(VLOOKUP(D:D,'테스트(4회)'!C:G,5, 0)="X",1,0),0)</f>
        <v>0</v>
      </c>
      <c r="N347" s="17">
        <f>IFERROR(IF(VLOOKUP(D:D,'테스트(5회)'!C:G,5, 0)="X",1,0),0)</f>
        <v>0</v>
      </c>
      <c r="O347" s="9"/>
    </row>
    <row r="348" spans="2:15" ht="85.5" x14ac:dyDescent="0.3">
      <c r="B348" s="13">
        <v>345</v>
      </c>
      <c r="C348" s="17" t="str">
        <f t="shared" si="10"/>
        <v>2011</v>
      </c>
      <c r="D348" s="14" t="s">
        <v>519</v>
      </c>
      <c r="E348" s="14" t="s">
        <v>659</v>
      </c>
      <c r="F348" s="15" t="s">
        <v>520</v>
      </c>
      <c r="G348" s="16">
        <v>5</v>
      </c>
      <c r="H348" s="17">
        <f t="shared" si="11"/>
        <v>0</v>
      </c>
      <c r="I348" s="9"/>
      <c r="J348" s="17">
        <f>IFERROR(IF(VLOOKUP(D:D,'테스트(1회)'!C:G,5, 0)="X",1,0),0)</f>
        <v>0</v>
      </c>
      <c r="K348" s="17">
        <f>IFERROR(IF(VLOOKUP(D:D,'테스트(2회)'!C:G,5, 0)="X",1,0),0)</f>
        <v>0</v>
      </c>
      <c r="L348" s="17">
        <f>IFERROR(IF(VLOOKUP(D:D,'테스트(3회)'!C:G,5, 0)="X",1,0),0)</f>
        <v>0</v>
      </c>
      <c r="M348" s="17">
        <f>IFERROR(IF(VLOOKUP(D:D,'테스트(4회)'!C:G,5, 0)="X",1,0),0)</f>
        <v>0</v>
      </c>
      <c r="N348" s="17">
        <f>IFERROR(IF(VLOOKUP(D:D,'테스트(5회)'!C:G,5, 0)="X",1,0),0)</f>
        <v>0</v>
      </c>
      <c r="O348" s="9"/>
    </row>
    <row r="349" spans="2:15" ht="85.5" x14ac:dyDescent="0.3">
      <c r="B349" s="13">
        <v>346</v>
      </c>
      <c r="C349" s="17" t="str">
        <f t="shared" si="10"/>
        <v>2011</v>
      </c>
      <c r="D349" s="14" t="s">
        <v>521</v>
      </c>
      <c r="E349" s="14" t="s">
        <v>659</v>
      </c>
      <c r="F349" s="15" t="s">
        <v>522</v>
      </c>
      <c r="G349" s="16">
        <v>3</v>
      </c>
      <c r="H349" s="17">
        <f t="shared" si="11"/>
        <v>0</v>
      </c>
      <c r="I349" s="9"/>
      <c r="J349" s="17">
        <f>IFERROR(IF(VLOOKUP(D:D,'테스트(1회)'!C:G,5, 0)="X",1,0),0)</f>
        <v>0</v>
      </c>
      <c r="K349" s="17">
        <f>IFERROR(IF(VLOOKUP(D:D,'테스트(2회)'!C:G,5, 0)="X",1,0),0)</f>
        <v>0</v>
      </c>
      <c r="L349" s="17">
        <f>IFERROR(IF(VLOOKUP(D:D,'테스트(3회)'!C:G,5, 0)="X",1,0),0)</f>
        <v>0</v>
      </c>
      <c r="M349" s="17">
        <f>IFERROR(IF(VLOOKUP(D:D,'테스트(4회)'!C:G,5, 0)="X",1,0),0)</f>
        <v>0</v>
      </c>
      <c r="N349" s="17">
        <f>IFERROR(IF(VLOOKUP(D:D,'테스트(5회)'!C:G,5, 0)="X",1,0),0)</f>
        <v>0</v>
      </c>
      <c r="O349" s="9"/>
    </row>
    <row r="350" spans="2:15" ht="85.5" x14ac:dyDescent="0.3">
      <c r="B350" s="13">
        <v>347</v>
      </c>
      <c r="C350" s="17" t="str">
        <f t="shared" si="10"/>
        <v>2011</v>
      </c>
      <c r="D350" s="14" t="s">
        <v>523</v>
      </c>
      <c r="E350" s="14" t="s">
        <v>659</v>
      </c>
      <c r="F350" s="15" t="s">
        <v>524</v>
      </c>
      <c r="G350" s="16">
        <v>3</v>
      </c>
      <c r="H350" s="17">
        <f t="shared" si="11"/>
        <v>0</v>
      </c>
      <c r="I350" s="9"/>
      <c r="J350" s="17">
        <f>IFERROR(IF(VLOOKUP(D:D,'테스트(1회)'!C:G,5, 0)="X",1,0),0)</f>
        <v>0</v>
      </c>
      <c r="K350" s="17">
        <f>IFERROR(IF(VLOOKUP(D:D,'테스트(2회)'!C:G,5, 0)="X",1,0),0)</f>
        <v>0</v>
      </c>
      <c r="L350" s="17">
        <f>IFERROR(IF(VLOOKUP(D:D,'테스트(3회)'!C:G,5, 0)="X",1,0),0)</f>
        <v>0</v>
      </c>
      <c r="M350" s="17">
        <f>IFERROR(IF(VLOOKUP(D:D,'테스트(4회)'!C:G,5, 0)="X",1,0),0)</f>
        <v>0</v>
      </c>
      <c r="N350" s="17">
        <f>IFERROR(IF(VLOOKUP(D:D,'테스트(5회)'!C:G,5, 0)="X",1,0),0)</f>
        <v>0</v>
      </c>
      <c r="O350" s="9"/>
    </row>
    <row r="351" spans="2:15" ht="85.5" x14ac:dyDescent="0.3">
      <c r="B351" s="13">
        <v>348</v>
      </c>
      <c r="C351" s="17" t="str">
        <f t="shared" si="10"/>
        <v>2011</v>
      </c>
      <c r="D351" s="14" t="s">
        <v>525</v>
      </c>
      <c r="E351" s="14" t="s">
        <v>659</v>
      </c>
      <c r="F351" s="15" t="s">
        <v>526</v>
      </c>
      <c r="G351" s="16">
        <v>5</v>
      </c>
      <c r="H351" s="17">
        <f t="shared" si="11"/>
        <v>0</v>
      </c>
      <c r="I351" s="9"/>
      <c r="J351" s="17">
        <f>IFERROR(IF(VLOOKUP(D:D,'테스트(1회)'!C:G,5, 0)="X",1,0),0)</f>
        <v>0</v>
      </c>
      <c r="K351" s="17">
        <f>IFERROR(IF(VLOOKUP(D:D,'테스트(2회)'!C:G,5, 0)="X",1,0),0)</f>
        <v>0</v>
      </c>
      <c r="L351" s="17">
        <f>IFERROR(IF(VLOOKUP(D:D,'테스트(3회)'!C:G,5, 0)="X",1,0),0)</f>
        <v>0</v>
      </c>
      <c r="M351" s="17">
        <f>IFERROR(IF(VLOOKUP(D:D,'테스트(4회)'!C:G,5, 0)="X",1,0),0)</f>
        <v>0</v>
      </c>
      <c r="N351" s="17">
        <f>IFERROR(IF(VLOOKUP(D:D,'테스트(5회)'!C:G,5, 0)="X",1,0),0)</f>
        <v>0</v>
      </c>
      <c r="O351" s="9"/>
    </row>
    <row r="352" spans="2:15" ht="85.5" x14ac:dyDescent="0.3">
      <c r="B352" s="13">
        <v>349</v>
      </c>
      <c r="C352" s="17" t="str">
        <f t="shared" si="10"/>
        <v>2011</v>
      </c>
      <c r="D352" s="14" t="s">
        <v>527</v>
      </c>
      <c r="E352" s="14" t="s">
        <v>659</v>
      </c>
      <c r="F352" s="15" t="s">
        <v>528</v>
      </c>
      <c r="G352" s="16">
        <v>3</v>
      </c>
      <c r="H352" s="17">
        <f t="shared" si="11"/>
        <v>0</v>
      </c>
      <c r="I352" s="9"/>
      <c r="J352" s="17">
        <f>IFERROR(IF(VLOOKUP(D:D,'테스트(1회)'!C:G,5, 0)="X",1,0),0)</f>
        <v>0</v>
      </c>
      <c r="K352" s="17">
        <f>IFERROR(IF(VLOOKUP(D:D,'테스트(2회)'!C:G,5, 0)="X",1,0),0)</f>
        <v>0</v>
      </c>
      <c r="L352" s="17">
        <f>IFERROR(IF(VLOOKUP(D:D,'테스트(3회)'!C:G,5, 0)="X",1,0),0)</f>
        <v>0</v>
      </c>
      <c r="M352" s="17">
        <f>IFERROR(IF(VLOOKUP(D:D,'테스트(4회)'!C:G,5, 0)="X",1,0),0)</f>
        <v>0</v>
      </c>
      <c r="N352" s="17">
        <f>IFERROR(IF(VLOOKUP(D:D,'테스트(5회)'!C:G,5, 0)="X",1,0),0)</f>
        <v>0</v>
      </c>
      <c r="O352" s="9"/>
    </row>
    <row r="353" spans="2:15" ht="99.75" x14ac:dyDescent="0.3">
      <c r="B353" s="13">
        <v>350</v>
      </c>
      <c r="C353" s="17" t="str">
        <f t="shared" si="10"/>
        <v>2011</v>
      </c>
      <c r="D353" s="14" t="s">
        <v>529</v>
      </c>
      <c r="E353" s="14" t="s">
        <v>659</v>
      </c>
      <c r="F353" s="15" t="s">
        <v>530</v>
      </c>
      <c r="G353" s="16">
        <v>4</v>
      </c>
      <c r="H353" s="17">
        <f t="shared" si="11"/>
        <v>0</v>
      </c>
      <c r="I353" s="9"/>
      <c r="J353" s="17">
        <f>IFERROR(IF(VLOOKUP(D:D,'테스트(1회)'!C:G,5, 0)="X",1,0),0)</f>
        <v>0</v>
      </c>
      <c r="K353" s="17">
        <f>IFERROR(IF(VLOOKUP(D:D,'테스트(2회)'!C:G,5, 0)="X",1,0),0)</f>
        <v>0</v>
      </c>
      <c r="L353" s="17">
        <f>IFERROR(IF(VLOOKUP(D:D,'테스트(3회)'!C:G,5, 0)="X",1,0),0)</f>
        <v>0</v>
      </c>
      <c r="M353" s="17">
        <f>IFERROR(IF(VLOOKUP(D:D,'테스트(4회)'!C:G,5, 0)="X",1,0),0)</f>
        <v>0</v>
      </c>
      <c r="N353" s="17">
        <f>IFERROR(IF(VLOOKUP(D:D,'테스트(5회)'!C:G,5, 0)="X",1,0),0)</f>
        <v>0</v>
      </c>
      <c r="O353" s="9"/>
    </row>
    <row r="354" spans="2:15" ht="85.5" x14ac:dyDescent="0.3">
      <c r="B354" s="13">
        <v>351</v>
      </c>
      <c r="C354" s="17" t="str">
        <f t="shared" si="10"/>
        <v>2011</v>
      </c>
      <c r="D354" s="14" t="s">
        <v>531</v>
      </c>
      <c r="E354" s="14" t="s">
        <v>659</v>
      </c>
      <c r="F354" s="15" t="s">
        <v>532</v>
      </c>
      <c r="G354" s="16">
        <v>1</v>
      </c>
      <c r="H354" s="17">
        <f t="shared" si="11"/>
        <v>0</v>
      </c>
      <c r="I354" s="9"/>
      <c r="J354" s="17">
        <f>IFERROR(IF(VLOOKUP(D:D,'테스트(1회)'!C:G,5, 0)="X",1,0),0)</f>
        <v>0</v>
      </c>
      <c r="K354" s="17">
        <f>IFERROR(IF(VLOOKUP(D:D,'테스트(2회)'!C:G,5, 0)="X",1,0),0)</f>
        <v>0</v>
      </c>
      <c r="L354" s="17">
        <f>IFERROR(IF(VLOOKUP(D:D,'테스트(3회)'!C:G,5, 0)="X",1,0),0)</f>
        <v>0</v>
      </c>
      <c r="M354" s="17">
        <f>IFERROR(IF(VLOOKUP(D:D,'테스트(4회)'!C:G,5, 0)="X",1,0),0)</f>
        <v>0</v>
      </c>
      <c r="N354" s="17">
        <f>IFERROR(IF(VLOOKUP(D:D,'테스트(5회)'!C:G,5, 0)="X",1,0),0)</f>
        <v>0</v>
      </c>
      <c r="O354" s="9"/>
    </row>
    <row r="355" spans="2:15" ht="85.5" x14ac:dyDescent="0.3">
      <c r="B355" s="13">
        <v>352</v>
      </c>
      <c r="C355" s="17" t="str">
        <f t="shared" si="10"/>
        <v>2011</v>
      </c>
      <c r="D355" s="14" t="s">
        <v>533</v>
      </c>
      <c r="E355" s="14" t="s">
        <v>659</v>
      </c>
      <c r="F355" s="15" t="s">
        <v>534</v>
      </c>
      <c r="G355" s="16">
        <v>1</v>
      </c>
      <c r="H355" s="17">
        <f t="shared" si="11"/>
        <v>0</v>
      </c>
      <c r="I355" s="9"/>
      <c r="J355" s="17">
        <f>IFERROR(IF(VLOOKUP(D:D,'테스트(1회)'!C:G,5, 0)="X",1,0),0)</f>
        <v>0</v>
      </c>
      <c r="K355" s="17">
        <f>IFERROR(IF(VLOOKUP(D:D,'테스트(2회)'!C:G,5, 0)="X",1,0),0)</f>
        <v>0</v>
      </c>
      <c r="L355" s="17">
        <f>IFERROR(IF(VLOOKUP(D:D,'테스트(3회)'!C:G,5, 0)="X",1,0),0)</f>
        <v>0</v>
      </c>
      <c r="M355" s="17">
        <f>IFERROR(IF(VLOOKUP(D:D,'테스트(4회)'!C:G,5, 0)="X",1,0),0)</f>
        <v>0</v>
      </c>
      <c r="N355" s="17">
        <f>IFERROR(IF(VLOOKUP(D:D,'테스트(5회)'!C:G,5, 0)="X",1,0),0)</f>
        <v>0</v>
      </c>
      <c r="O355" s="9"/>
    </row>
    <row r="356" spans="2:15" ht="85.5" x14ac:dyDescent="0.3">
      <c r="B356" s="13">
        <v>353</v>
      </c>
      <c r="C356" s="17" t="str">
        <f t="shared" si="10"/>
        <v>2011</v>
      </c>
      <c r="D356" s="14" t="s">
        <v>535</v>
      </c>
      <c r="E356" s="14" t="s">
        <v>659</v>
      </c>
      <c r="F356" s="15" t="s">
        <v>536</v>
      </c>
      <c r="G356" s="16">
        <v>2</v>
      </c>
      <c r="H356" s="17">
        <f t="shared" si="11"/>
        <v>0</v>
      </c>
      <c r="I356" s="9"/>
      <c r="J356" s="17">
        <f>IFERROR(IF(VLOOKUP(D:D,'테스트(1회)'!C:G,5, 0)="X",1,0),0)</f>
        <v>0</v>
      </c>
      <c r="K356" s="17">
        <f>IFERROR(IF(VLOOKUP(D:D,'테스트(2회)'!C:G,5, 0)="X",1,0),0)</f>
        <v>0</v>
      </c>
      <c r="L356" s="17">
        <f>IFERROR(IF(VLOOKUP(D:D,'테스트(3회)'!C:G,5, 0)="X",1,0),0)</f>
        <v>0</v>
      </c>
      <c r="M356" s="17">
        <f>IFERROR(IF(VLOOKUP(D:D,'테스트(4회)'!C:G,5, 0)="X",1,0),0)</f>
        <v>0</v>
      </c>
      <c r="N356" s="17">
        <f>IFERROR(IF(VLOOKUP(D:D,'테스트(5회)'!C:G,5, 0)="X",1,0),0)</f>
        <v>0</v>
      </c>
      <c r="O356" s="9"/>
    </row>
    <row r="357" spans="2:15" ht="85.5" x14ac:dyDescent="0.3">
      <c r="B357" s="13">
        <v>354</v>
      </c>
      <c r="C357" s="17" t="str">
        <f t="shared" si="10"/>
        <v>2011</v>
      </c>
      <c r="D357" s="14" t="s">
        <v>537</v>
      </c>
      <c r="E357" s="14" t="s">
        <v>659</v>
      </c>
      <c r="F357" s="15" t="s">
        <v>538</v>
      </c>
      <c r="G357" s="16">
        <v>2</v>
      </c>
      <c r="H357" s="17">
        <f t="shared" si="11"/>
        <v>0</v>
      </c>
      <c r="I357" s="9"/>
      <c r="J357" s="17">
        <f>IFERROR(IF(VLOOKUP(D:D,'테스트(1회)'!C:G,5, 0)="X",1,0),0)</f>
        <v>0</v>
      </c>
      <c r="K357" s="17">
        <f>IFERROR(IF(VLOOKUP(D:D,'테스트(2회)'!C:G,5, 0)="X",1,0),0)</f>
        <v>0</v>
      </c>
      <c r="L357" s="17">
        <f>IFERROR(IF(VLOOKUP(D:D,'테스트(3회)'!C:G,5, 0)="X",1,0),0)</f>
        <v>0</v>
      </c>
      <c r="M357" s="17">
        <f>IFERROR(IF(VLOOKUP(D:D,'테스트(4회)'!C:G,5, 0)="X",1,0),0)</f>
        <v>0</v>
      </c>
      <c r="N357" s="17">
        <f>IFERROR(IF(VLOOKUP(D:D,'테스트(5회)'!C:G,5, 0)="X",1,0),0)</f>
        <v>0</v>
      </c>
      <c r="O357" s="9"/>
    </row>
    <row r="358" spans="2:15" ht="85.5" x14ac:dyDescent="0.3">
      <c r="B358" s="13">
        <v>355</v>
      </c>
      <c r="C358" s="17" t="str">
        <f t="shared" si="10"/>
        <v>2011</v>
      </c>
      <c r="D358" s="14" t="s">
        <v>539</v>
      </c>
      <c r="E358" s="14" t="s">
        <v>659</v>
      </c>
      <c r="F358" s="15" t="s">
        <v>540</v>
      </c>
      <c r="G358" s="16">
        <v>3</v>
      </c>
      <c r="H358" s="17">
        <f t="shared" si="11"/>
        <v>0</v>
      </c>
      <c r="I358" s="9"/>
      <c r="J358" s="17">
        <f>IFERROR(IF(VLOOKUP(D:D,'테스트(1회)'!C:G,5, 0)="X",1,0),0)</f>
        <v>0</v>
      </c>
      <c r="K358" s="17">
        <f>IFERROR(IF(VLOOKUP(D:D,'테스트(2회)'!C:G,5, 0)="X",1,0),0)</f>
        <v>0</v>
      </c>
      <c r="L358" s="17">
        <f>IFERROR(IF(VLOOKUP(D:D,'테스트(3회)'!C:G,5, 0)="X",1,0),0)</f>
        <v>0</v>
      </c>
      <c r="M358" s="17">
        <f>IFERROR(IF(VLOOKUP(D:D,'테스트(4회)'!C:G,5, 0)="X",1,0),0)</f>
        <v>0</v>
      </c>
      <c r="N358" s="17">
        <f>IFERROR(IF(VLOOKUP(D:D,'테스트(5회)'!C:G,5, 0)="X",1,0),0)</f>
        <v>0</v>
      </c>
      <c r="O358" s="9"/>
    </row>
    <row r="359" spans="2:15" ht="99.75" x14ac:dyDescent="0.3">
      <c r="B359" s="13">
        <v>356</v>
      </c>
      <c r="C359" s="17" t="str">
        <f t="shared" si="10"/>
        <v>2011</v>
      </c>
      <c r="D359" s="14" t="s">
        <v>541</v>
      </c>
      <c r="E359" s="14" t="s">
        <v>659</v>
      </c>
      <c r="F359" s="15" t="s">
        <v>542</v>
      </c>
      <c r="G359" s="16">
        <v>1</v>
      </c>
      <c r="H359" s="17">
        <f t="shared" si="11"/>
        <v>0</v>
      </c>
      <c r="I359" s="9"/>
      <c r="J359" s="17">
        <f>IFERROR(IF(VLOOKUP(D:D,'테스트(1회)'!C:G,5, 0)="X",1,0),0)</f>
        <v>0</v>
      </c>
      <c r="K359" s="17">
        <f>IFERROR(IF(VLOOKUP(D:D,'테스트(2회)'!C:G,5, 0)="X",1,0),0)</f>
        <v>0</v>
      </c>
      <c r="L359" s="17">
        <f>IFERROR(IF(VLOOKUP(D:D,'테스트(3회)'!C:G,5, 0)="X",1,0),0)</f>
        <v>0</v>
      </c>
      <c r="M359" s="17">
        <f>IFERROR(IF(VLOOKUP(D:D,'테스트(4회)'!C:G,5, 0)="X",1,0),0)</f>
        <v>0</v>
      </c>
      <c r="N359" s="17">
        <f>IFERROR(IF(VLOOKUP(D:D,'테스트(5회)'!C:G,5, 0)="X",1,0),0)</f>
        <v>0</v>
      </c>
      <c r="O359" s="9"/>
    </row>
    <row r="360" spans="2:15" ht="85.5" x14ac:dyDescent="0.3">
      <c r="B360" s="13">
        <v>357</v>
      </c>
      <c r="C360" s="17" t="str">
        <f t="shared" si="10"/>
        <v>2011</v>
      </c>
      <c r="D360" s="14" t="s">
        <v>543</v>
      </c>
      <c r="E360" s="14" t="s">
        <v>659</v>
      </c>
      <c r="F360" s="15" t="s">
        <v>544</v>
      </c>
      <c r="G360" s="16">
        <v>5</v>
      </c>
      <c r="H360" s="17">
        <f t="shared" si="11"/>
        <v>0</v>
      </c>
      <c r="I360" s="9"/>
      <c r="J360" s="17">
        <f>IFERROR(IF(VLOOKUP(D:D,'테스트(1회)'!C:G,5, 0)="X",1,0),0)</f>
        <v>0</v>
      </c>
      <c r="K360" s="17">
        <f>IFERROR(IF(VLOOKUP(D:D,'테스트(2회)'!C:G,5, 0)="X",1,0),0)</f>
        <v>0</v>
      </c>
      <c r="L360" s="17">
        <f>IFERROR(IF(VLOOKUP(D:D,'테스트(3회)'!C:G,5, 0)="X",1,0),0)</f>
        <v>0</v>
      </c>
      <c r="M360" s="17">
        <f>IFERROR(IF(VLOOKUP(D:D,'테스트(4회)'!C:G,5, 0)="X",1,0),0)</f>
        <v>0</v>
      </c>
      <c r="N360" s="17">
        <f>IFERROR(IF(VLOOKUP(D:D,'테스트(5회)'!C:G,5, 0)="X",1,0),0)</f>
        <v>0</v>
      </c>
      <c r="O360" s="9"/>
    </row>
    <row r="361" spans="2:15" ht="85.5" x14ac:dyDescent="0.3">
      <c r="B361" s="13">
        <v>358</v>
      </c>
      <c r="C361" s="17" t="str">
        <f t="shared" si="10"/>
        <v>2011</v>
      </c>
      <c r="D361" s="14" t="s">
        <v>545</v>
      </c>
      <c r="E361" s="14" t="s">
        <v>659</v>
      </c>
      <c r="F361" s="15" t="s">
        <v>546</v>
      </c>
      <c r="G361" s="16">
        <v>2</v>
      </c>
      <c r="H361" s="17">
        <f t="shared" si="11"/>
        <v>0</v>
      </c>
      <c r="I361" s="9"/>
      <c r="J361" s="17">
        <f>IFERROR(IF(VLOOKUP(D:D,'테스트(1회)'!C:G,5, 0)="X",1,0),0)</f>
        <v>0</v>
      </c>
      <c r="K361" s="17">
        <f>IFERROR(IF(VLOOKUP(D:D,'테스트(2회)'!C:G,5, 0)="X",1,0),0)</f>
        <v>0</v>
      </c>
      <c r="L361" s="17">
        <f>IFERROR(IF(VLOOKUP(D:D,'테스트(3회)'!C:G,5, 0)="X",1,0),0)</f>
        <v>0</v>
      </c>
      <c r="M361" s="17">
        <f>IFERROR(IF(VLOOKUP(D:D,'테스트(4회)'!C:G,5, 0)="X",1,0),0)</f>
        <v>0</v>
      </c>
      <c r="N361" s="17">
        <f>IFERROR(IF(VLOOKUP(D:D,'테스트(5회)'!C:G,5, 0)="X",1,0),0)</f>
        <v>0</v>
      </c>
      <c r="O361" s="9"/>
    </row>
    <row r="362" spans="2:15" ht="85.5" x14ac:dyDescent="0.3">
      <c r="B362" s="13">
        <v>359</v>
      </c>
      <c r="C362" s="17" t="str">
        <f t="shared" si="10"/>
        <v>2011</v>
      </c>
      <c r="D362" s="14" t="s">
        <v>547</v>
      </c>
      <c r="E362" s="14" t="s">
        <v>659</v>
      </c>
      <c r="F362" s="15" t="s">
        <v>548</v>
      </c>
      <c r="G362" s="16">
        <v>5</v>
      </c>
      <c r="H362" s="17">
        <f t="shared" si="11"/>
        <v>0</v>
      </c>
      <c r="I362" s="9"/>
      <c r="J362" s="17">
        <f>IFERROR(IF(VLOOKUP(D:D,'테스트(1회)'!C:G,5, 0)="X",1,0),0)</f>
        <v>0</v>
      </c>
      <c r="K362" s="17">
        <f>IFERROR(IF(VLOOKUP(D:D,'테스트(2회)'!C:G,5, 0)="X",1,0),0)</f>
        <v>0</v>
      </c>
      <c r="L362" s="17">
        <f>IFERROR(IF(VLOOKUP(D:D,'테스트(3회)'!C:G,5, 0)="X",1,0),0)</f>
        <v>0</v>
      </c>
      <c r="M362" s="17">
        <f>IFERROR(IF(VLOOKUP(D:D,'테스트(4회)'!C:G,5, 0)="X",1,0),0)</f>
        <v>0</v>
      </c>
      <c r="N362" s="17">
        <f>IFERROR(IF(VLOOKUP(D:D,'테스트(5회)'!C:G,5, 0)="X",1,0),0)</f>
        <v>0</v>
      </c>
      <c r="O362" s="9"/>
    </row>
    <row r="363" spans="2:15" ht="85.5" x14ac:dyDescent="0.3">
      <c r="B363" s="13">
        <v>360</v>
      </c>
      <c r="C363" s="17" t="str">
        <f t="shared" si="10"/>
        <v>2011</v>
      </c>
      <c r="D363" s="14" t="s">
        <v>549</v>
      </c>
      <c r="E363" s="14" t="s">
        <v>659</v>
      </c>
      <c r="F363" s="15" t="s">
        <v>550</v>
      </c>
      <c r="G363" s="16">
        <v>2</v>
      </c>
      <c r="H363" s="17">
        <f t="shared" si="11"/>
        <v>0</v>
      </c>
      <c r="I363" s="9"/>
      <c r="J363" s="17">
        <f>IFERROR(IF(VLOOKUP(D:D,'테스트(1회)'!C:G,5, 0)="X",1,0),0)</f>
        <v>0</v>
      </c>
      <c r="K363" s="17">
        <f>IFERROR(IF(VLOOKUP(D:D,'테스트(2회)'!C:G,5, 0)="X",1,0),0)</f>
        <v>0</v>
      </c>
      <c r="L363" s="17">
        <f>IFERROR(IF(VLOOKUP(D:D,'테스트(3회)'!C:G,5, 0)="X",1,0),0)</f>
        <v>0</v>
      </c>
      <c r="M363" s="17">
        <f>IFERROR(IF(VLOOKUP(D:D,'테스트(4회)'!C:G,5, 0)="X",1,0),0)</f>
        <v>0</v>
      </c>
      <c r="N363" s="17">
        <f>IFERROR(IF(VLOOKUP(D:D,'테스트(5회)'!C:G,5, 0)="X",1,0),0)</f>
        <v>0</v>
      </c>
      <c r="O363" s="9"/>
    </row>
    <row r="364" spans="2:15" ht="85.5" x14ac:dyDescent="0.3">
      <c r="B364" s="13">
        <v>361</v>
      </c>
      <c r="C364" s="17" t="str">
        <f t="shared" si="10"/>
        <v>2011</v>
      </c>
      <c r="D364" s="14" t="s">
        <v>551</v>
      </c>
      <c r="E364" s="14" t="s">
        <v>659</v>
      </c>
      <c r="F364" s="15" t="s">
        <v>552</v>
      </c>
      <c r="G364" s="16">
        <v>3</v>
      </c>
      <c r="H364" s="17">
        <f t="shared" si="11"/>
        <v>0</v>
      </c>
      <c r="I364" s="9"/>
      <c r="J364" s="17">
        <f>IFERROR(IF(VLOOKUP(D:D,'테스트(1회)'!C:G,5, 0)="X",1,0),0)</f>
        <v>0</v>
      </c>
      <c r="K364" s="17">
        <f>IFERROR(IF(VLOOKUP(D:D,'테스트(2회)'!C:G,5, 0)="X",1,0),0)</f>
        <v>0</v>
      </c>
      <c r="L364" s="17">
        <f>IFERROR(IF(VLOOKUP(D:D,'테스트(3회)'!C:G,5, 0)="X",1,0),0)</f>
        <v>0</v>
      </c>
      <c r="M364" s="17">
        <f>IFERROR(IF(VLOOKUP(D:D,'테스트(4회)'!C:G,5, 0)="X",1,0),0)</f>
        <v>0</v>
      </c>
      <c r="N364" s="17">
        <f>IFERROR(IF(VLOOKUP(D:D,'테스트(5회)'!C:G,5, 0)="X",1,0),0)</f>
        <v>0</v>
      </c>
      <c r="O364" s="9"/>
    </row>
    <row r="365" spans="2:15" ht="114" x14ac:dyDescent="0.3">
      <c r="B365" s="13">
        <v>362</v>
      </c>
      <c r="C365" s="17" t="str">
        <f t="shared" si="10"/>
        <v>2011</v>
      </c>
      <c r="D365" s="14" t="s">
        <v>553</v>
      </c>
      <c r="E365" s="14" t="s">
        <v>659</v>
      </c>
      <c r="F365" s="15" t="s">
        <v>554</v>
      </c>
      <c r="G365" s="16">
        <v>2</v>
      </c>
      <c r="H365" s="17">
        <f t="shared" si="11"/>
        <v>0</v>
      </c>
      <c r="I365" s="9"/>
      <c r="J365" s="17">
        <f>IFERROR(IF(VLOOKUP(D:D,'테스트(1회)'!C:G,5, 0)="X",1,0),0)</f>
        <v>0</v>
      </c>
      <c r="K365" s="17">
        <f>IFERROR(IF(VLOOKUP(D:D,'테스트(2회)'!C:G,5, 0)="X",1,0),0)</f>
        <v>0</v>
      </c>
      <c r="L365" s="17">
        <f>IFERROR(IF(VLOOKUP(D:D,'테스트(3회)'!C:G,5, 0)="X",1,0),0)</f>
        <v>0</v>
      </c>
      <c r="M365" s="17">
        <f>IFERROR(IF(VLOOKUP(D:D,'테스트(4회)'!C:G,5, 0)="X",1,0),0)</f>
        <v>0</v>
      </c>
      <c r="N365" s="17">
        <f>IFERROR(IF(VLOOKUP(D:D,'테스트(5회)'!C:G,5, 0)="X",1,0),0)</f>
        <v>0</v>
      </c>
      <c r="O365" s="9"/>
    </row>
    <row r="366" spans="2:15" ht="85.5" x14ac:dyDescent="0.3">
      <c r="B366" s="13">
        <v>363</v>
      </c>
      <c r="C366" s="17" t="str">
        <f t="shared" si="10"/>
        <v>2011</v>
      </c>
      <c r="D366" s="14" t="s">
        <v>555</v>
      </c>
      <c r="E366" s="14" t="s">
        <v>659</v>
      </c>
      <c r="F366" s="15" t="s">
        <v>556</v>
      </c>
      <c r="G366" s="16">
        <v>5</v>
      </c>
      <c r="H366" s="17">
        <f t="shared" si="11"/>
        <v>0</v>
      </c>
      <c r="I366" s="9"/>
      <c r="J366" s="17">
        <f>IFERROR(IF(VLOOKUP(D:D,'테스트(1회)'!C:G,5, 0)="X",1,0),0)</f>
        <v>0</v>
      </c>
      <c r="K366" s="17">
        <f>IFERROR(IF(VLOOKUP(D:D,'테스트(2회)'!C:G,5, 0)="X",1,0),0)</f>
        <v>0</v>
      </c>
      <c r="L366" s="17">
        <f>IFERROR(IF(VLOOKUP(D:D,'테스트(3회)'!C:G,5, 0)="X",1,0),0)</f>
        <v>0</v>
      </c>
      <c r="M366" s="17">
        <f>IFERROR(IF(VLOOKUP(D:D,'테스트(4회)'!C:G,5, 0)="X",1,0),0)</f>
        <v>0</v>
      </c>
      <c r="N366" s="17">
        <f>IFERROR(IF(VLOOKUP(D:D,'테스트(5회)'!C:G,5, 0)="X",1,0),0)</f>
        <v>0</v>
      </c>
      <c r="O366" s="9"/>
    </row>
    <row r="367" spans="2:15" ht="85.5" x14ac:dyDescent="0.3">
      <c r="B367" s="13">
        <v>364</v>
      </c>
      <c r="C367" s="17" t="str">
        <f t="shared" si="10"/>
        <v>2011</v>
      </c>
      <c r="D367" s="14" t="s">
        <v>557</v>
      </c>
      <c r="E367" s="14" t="s">
        <v>659</v>
      </c>
      <c r="F367" s="15" t="s">
        <v>558</v>
      </c>
      <c r="G367" s="16">
        <v>4</v>
      </c>
      <c r="H367" s="17">
        <f t="shared" si="11"/>
        <v>0</v>
      </c>
      <c r="I367" s="9"/>
      <c r="J367" s="17">
        <f>IFERROR(IF(VLOOKUP(D:D,'테스트(1회)'!C:G,5, 0)="X",1,0),0)</f>
        <v>0</v>
      </c>
      <c r="K367" s="17">
        <f>IFERROR(IF(VLOOKUP(D:D,'테스트(2회)'!C:G,5, 0)="X",1,0),0)</f>
        <v>0</v>
      </c>
      <c r="L367" s="17">
        <f>IFERROR(IF(VLOOKUP(D:D,'테스트(3회)'!C:G,5, 0)="X",1,0),0)</f>
        <v>0</v>
      </c>
      <c r="M367" s="17">
        <f>IFERROR(IF(VLOOKUP(D:D,'테스트(4회)'!C:G,5, 0)="X",1,0),0)</f>
        <v>0</v>
      </c>
      <c r="N367" s="17">
        <f>IFERROR(IF(VLOOKUP(D:D,'테스트(5회)'!C:G,5, 0)="X",1,0),0)</f>
        <v>0</v>
      </c>
      <c r="O367" s="9"/>
    </row>
    <row r="368" spans="2:15" ht="85.5" x14ac:dyDescent="0.3">
      <c r="B368" s="13">
        <v>365</v>
      </c>
      <c r="C368" s="17" t="str">
        <f t="shared" si="10"/>
        <v>2011</v>
      </c>
      <c r="D368" s="14" t="s">
        <v>559</v>
      </c>
      <c r="E368" s="14" t="s">
        <v>659</v>
      </c>
      <c r="F368" s="15" t="s">
        <v>560</v>
      </c>
      <c r="G368" s="16">
        <v>4</v>
      </c>
      <c r="H368" s="17">
        <f t="shared" si="11"/>
        <v>0</v>
      </c>
      <c r="I368" s="9"/>
      <c r="J368" s="17">
        <f>IFERROR(IF(VLOOKUP(D:D,'테스트(1회)'!C:G,5, 0)="X",1,0),0)</f>
        <v>0</v>
      </c>
      <c r="K368" s="17">
        <f>IFERROR(IF(VLOOKUP(D:D,'테스트(2회)'!C:G,5, 0)="X",1,0),0)</f>
        <v>0</v>
      </c>
      <c r="L368" s="17">
        <f>IFERROR(IF(VLOOKUP(D:D,'테스트(3회)'!C:G,5, 0)="X",1,0),0)</f>
        <v>0</v>
      </c>
      <c r="M368" s="17">
        <f>IFERROR(IF(VLOOKUP(D:D,'테스트(4회)'!C:G,5, 0)="X",1,0),0)</f>
        <v>0</v>
      </c>
      <c r="N368" s="17">
        <f>IFERROR(IF(VLOOKUP(D:D,'테스트(5회)'!C:G,5, 0)="X",1,0),0)</f>
        <v>0</v>
      </c>
      <c r="O368" s="9"/>
    </row>
    <row r="369" spans="2:15" ht="85.5" x14ac:dyDescent="0.3">
      <c r="B369" s="13">
        <v>366</v>
      </c>
      <c r="C369" s="17" t="str">
        <f t="shared" si="10"/>
        <v>2010</v>
      </c>
      <c r="D369" s="14" t="s">
        <v>561</v>
      </c>
      <c r="E369" s="14" t="s">
        <v>659</v>
      </c>
      <c r="F369" s="15" t="s">
        <v>562</v>
      </c>
      <c r="G369" s="16">
        <v>5</v>
      </c>
      <c r="H369" s="17">
        <f t="shared" si="11"/>
        <v>0</v>
      </c>
      <c r="I369" s="9"/>
      <c r="J369" s="17">
        <f>IFERROR(IF(VLOOKUP(D:D,'테스트(1회)'!C:G,5, 0)="X",1,0),0)</f>
        <v>0</v>
      </c>
      <c r="K369" s="17">
        <f>IFERROR(IF(VLOOKUP(D:D,'테스트(2회)'!C:G,5, 0)="X",1,0),0)</f>
        <v>0</v>
      </c>
      <c r="L369" s="17">
        <f>IFERROR(IF(VLOOKUP(D:D,'테스트(3회)'!C:G,5, 0)="X",1,0),0)</f>
        <v>0</v>
      </c>
      <c r="M369" s="17">
        <f>IFERROR(IF(VLOOKUP(D:D,'테스트(4회)'!C:G,5, 0)="X",1,0),0)</f>
        <v>0</v>
      </c>
      <c r="N369" s="17">
        <f>IFERROR(IF(VLOOKUP(D:D,'테스트(5회)'!C:G,5, 0)="X",1,0),0)</f>
        <v>0</v>
      </c>
      <c r="O369" s="9"/>
    </row>
    <row r="370" spans="2:15" ht="85.5" x14ac:dyDescent="0.3">
      <c r="B370" s="13">
        <v>367</v>
      </c>
      <c r="C370" s="17" t="str">
        <f t="shared" si="10"/>
        <v>2010</v>
      </c>
      <c r="D370" s="14" t="s">
        <v>563</v>
      </c>
      <c r="E370" s="14" t="s">
        <v>659</v>
      </c>
      <c r="F370" s="15" t="s">
        <v>564</v>
      </c>
      <c r="G370" s="16">
        <v>2</v>
      </c>
      <c r="H370" s="17">
        <f t="shared" si="11"/>
        <v>0</v>
      </c>
      <c r="I370" s="9"/>
      <c r="J370" s="17">
        <f>IFERROR(IF(VLOOKUP(D:D,'테스트(1회)'!C:G,5, 0)="X",1,0),0)</f>
        <v>0</v>
      </c>
      <c r="K370" s="17">
        <f>IFERROR(IF(VLOOKUP(D:D,'테스트(2회)'!C:G,5, 0)="X",1,0),0)</f>
        <v>0</v>
      </c>
      <c r="L370" s="17">
        <f>IFERROR(IF(VLOOKUP(D:D,'테스트(3회)'!C:G,5, 0)="X",1,0),0)</f>
        <v>0</v>
      </c>
      <c r="M370" s="17">
        <f>IFERROR(IF(VLOOKUP(D:D,'테스트(4회)'!C:G,5, 0)="X",1,0),0)</f>
        <v>0</v>
      </c>
      <c r="N370" s="17">
        <f>IFERROR(IF(VLOOKUP(D:D,'테스트(5회)'!C:G,5, 0)="X",1,0),0)</f>
        <v>0</v>
      </c>
      <c r="O370" s="9"/>
    </row>
    <row r="371" spans="2:15" ht="85.5" x14ac:dyDescent="0.3">
      <c r="B371" s="13">
        <v>368</v>
      </c>
      <c r="C371" s="17" t="str">
        <f t="shared" si="10"/>
        <v>2010</v>
      </c>
      <c r="D371" s="14" t="s">
        <v>565</v>
      </c>
      <c r="E371" s="14" t="s">
        <v>659</v>
      </c>
      <c r="F371" s="15" t="s">
        <v>566</v>
      </c>
      <c r="G371" s="16">
        <v>4</v>
      </c>
      <c r="H371" s="17">
        <f t="shared" si="11"/>
        <v>0</v>
      </c>
      <c r="I371" s="9"/>
      <c r="J371" s="17">
        <f>IFERROR(IF(VLOOKUP(D:D,'테스트(1회)'!C:G,5, 0)="X",1,0),0)</f>
        <v>0</v>
      </c>
      <c r="K371" s="17">
        <f>IFERROR(IF(VLOOKUP(D:D,'테스트(2회)'!C:G,5, 0)="X",1,0),0)</f>
        <v>0</v>
      </c>
      <c r="L371" s="17">
        <f>IFERROR(IF(VLOOKUP(D:D,'테스트(3회)'!C:G,5, 0)="X",1,0),0)</f>
        <v>0</v>
      </c>
      <c r="M371" s="17">
        <f>IFERROR(IF(VLOOKUP(D:D,'테스트(4회)'!C:G,5, 0)="X",1,0),0)</f>
        <v>0</v>
      </c>
      <c r="N371" s="17">
        <f>IFERROR(IF(VLOOKUP(D:D,'테스트(5회)'!C:G,5, 0)="X",1,0),0)</f>
        <v>0</v>
      </c>
      <c r="O371" s="9"/>
    </row>
    <row r="372" spans="2:15" ht="85.5" x14ac:dyDescent="0.3">
      <c r="B372" s="13">
        <v>369</v>
      </c>
      <c r="C372" s="17" t="str">
        <f t="shared" si="10"/>
        <v>2010</v>
      </c>
      <c r="D372" s="14" t="s">
        <v>567</v>
      </c>
      <c r="E372" s="14" t="s">
        <v>659</v>
      </c>
      <c r="F372" s="15" t="s">
        <v>568</v>
      </c>
      <c r="G372" s="16">
        <v>5</v>
      </c>
      <c r="H372" s="17">
        <f t="shared" si="11"/>
        <v>0</v>
      </c>
      <c r="I372" s="9"/>
      <c r="J372" s="17">
        <f>IFERROR(IF(VLOOKUP(D:D,'테스트(1회)'!C:G,5, 0)="X",1,0),0)</f>
        <v>0</v>
      </c>
      <c r="K372" s="17">
        <f>IFERROR(IF(VLOOKUP(D:D,'테스트(2회)'!C:G,5, 0)="X",1,0),0)</f>
        <v>0</v>
      </c>
      <c r="L372" s="17">
        <f>IFERROR(IF(VLOOKUP(D:D,'테스트(3회)'!C:G,5, 0)="X",1,0),0)</f>
        <v>0</v>
      </c>
      <c r="M372" s="17">
        <f>IFERROR(IF(VLOOKUP(D:D,'테스트(4회)'!C:G,5, 0)="X",1,0),0)</f>
        <v>0</v>
      </c>
      <c r="N372" s="17">
        <f>IFERROR(IF(VLOOKUP(D:D,'테스트(5회)'!C:G,5, 0)="X",1,0),0)</f>
        <v>0</v>
      </c>
      <c r="O372" s="9"/>
    </row>
    <row r="373" spans="2:15" ht="99.75" x14ac:dyDescent="0.3">
      <c r="B373" s="13">
        <v>370</v>
      </c>
      <c r="C373" s="17" t="str">
        <f t="shared" si="10"/>
        <v>2010</v>
      </c>
      <c r="D373" s="14" t="s">
        <v>569</v>
      </c>
      <c r="E373" s="14" t="s">
        <v>659</v>
      </c>
      <c r="F373" s="15" t="s">
        <v>570</v>
      </c>
      <c r="G373" s="16">
        <v>5</v>
      </c>
      <c r="H373" s="17">
        <f t="shared" si="11"/>
        <v>0</v>
      </c>
      <c r="I373" s="9"/>
      <c r="J373" s="17">
        <f>IFERROR(IF(VLOOKUP(D:D,'테스트(1회)'!C:G,5, 0)="X",1,0),0)</f>
        <v>0</v>
      </c>
      <c r="K373" s="17">
        <f>IFERROR(IF(VLOOKUP(D:D,'테스트(2회)'!C:G,5, 0)="X",1,0),0)</f>
        <v>0</v>
      </c>
      <c r="L373" s="17">
        <f>IFERROR(IF(VLOOKUP(D:D,'테스트(3회)'!C:G,5, 0)="X",1,0),0)</f>
        <v>0</v>
      </c>
      <c r="M373" s="17">
        <f>IFERROR(IF(VLOOKUP(D:D,'테스트(4회)'!C:G,5, 0)="X",1,0),0)</f>
        <v>0</v>
      </c>
      <c r="N373" s="17">
        <f>IFERROR(IF(VLOOKUP(D:D,'테스트(5회)'!C:G,5, 0)="X",1,0),0)</f>
        <v>0</v>
      </c>
      <c r="O373" s="9"/>
    </row>
    <row r="374" spans="2:15" ht="85.5" x14ac:dyDescent="0.3">
      <c r="B374" s="13">
        <v>371</v>
      </c>
      <c r="C374" s="17" t="str">
        <f t="shared" si="10"/>
        <v>2010</v>
      </c>
      <c r="D374" s="14" t="s">
        <v>571</v>
      </c>
      <c r="E374" s="14" t="s">
        <v>659</v>
      </c>
      <c r="F374" s="15" t="s">
        <v>572</v>
      </c>
      <c r="G374" s="16">
        <v>4</v>
      </c>
      <c r="H374" s="17">
        <f t="shared" si="11"/>
        <v>0</v>
      </c>
      <c r="I374" s="9"/>
      <c r="J374" s="17">
        <f>IFERROR(IF(VLOOKUP(D:D,'테스트(1회)'!C:G,5, 0)="X",1,0),0)</f>
        <v>0</v>
      </c>
      <c r="K374" s="17">
        <f>IFERROR(IF(VLOOKUP(D:D,'테스트(2회)'!C:G,5, 0)="X",1,0),0)</f>
        <v>0</v>
      </c>
      <c r="L374" s="17">
        <f>IFERROR(IF(VLOOKUP(D:D,'테스트(3회)'!C:G,5, 0)="X",1,0),0)</f>
        <v>0</v>
      </c>
      <c r="M374" s="17">
        <f>IFERROR(IF(VLOOKUP(D:D,'테스트(4회)'!C:G,5, 0)="X",1,0),0)</f>
        <v>0</v>
      </c>
      <c r="N374" s="17">
        <f>IFERROR(IF(VLOOKUP(D:D,'테스트(5회)'!C:G,5, 0)="X",1,0),0)</f>
        <v>0</v>
      </c>
      <c r="O374" s="9"/>
    </row>
    <row r="375" spans="2:15" ht="99.75" x14ac:dyDescent="0.3">
      <c r="B375" s="13">
        <v>372</v>
      </c>
      <c r="C375" s="17" t="str">
        <f t="shared" si="10"/>
        <v>2010</v>
      </c>
      <c r="D375" s="14" t="s">
        <v>573</v>
      </c>
      <c r="E375" s="14" t="s">
        <v>659</v>
      </c>
      <c r="F375" s="15" t="s">
        <v>574</v>
      </c>
      <c r="G375" s="16">
        <v>3</v>
      </c>
      <c r="H375" s="17">
        <f t="shared" si="11"/>
        <v>0</v>
      </c>
      <c r="I375" s="9"/>
      <c r="J375" s="17">
        <f>IFERROR(IF(VLOOKUP(D:D,'테스트(1회)'!C:G,5, 0)="X",1,0),0)</f>
        <v>0</v>
      </c>
      <c r="K375" s="17">
        <f>IFERROR(IF(VLOOKUP(D:D,'테스트(2회)'!C:G,5, 0)="X",1,0),0)</f>
        <v>0</v>
      </c>
      <c r="L375" s="17">
        <f>IFERROR(IF(VLOOKUP(D:D,'테스트(3회)'!C:G,5, 0)="X",1,0),0)</f>
        <v>0</v>
      </c>
      <c r="M375" s="17">
        <f>IFERROR(IF(VLOOKUP(D:D,'테스트(4회)'!C:G,5, 0)="X",1,0),0)</f>
        <v>0</v>
      </c>
      <c r="N375" s="17">
        <f>IFERROR(IF(VLOOKUP(D:D,'테스트(5회)'!C:G,5, 0)="X",1,0),0)</f>
        <v>0</v>
      </c>
      <c r="O375" s="9"/>
    </row>
    <row r="376" spans="2:15" ht="85.5" x14ac:dyDescent="0.3">
      <c r="B376" s="13">
        <v>373</v>
      </c>
      <c r="C376" s="17" t="str">
        <f t="shared" si="10"/>
        <v>2010</v>
      </c>
      <c r="D376" s="14" t="s">
        <v>575</v>
      </c>
      <c r="E376" s="14" t="s">
        <v>659</v>
      </c>
      <c r="F376" s="15" t="s">
        <v>576</v>
      </c>
      <c r="G376" s="16">
        <v>3</v>
      </c>
      <c r="H376" s="17">
        <f t="shared" si="11"/>
        <v>0</v>
      </c>
      <c r="I376" s="9"/>
      <c r="J376" s="17">
        <f>IFERROR(IF(VLOOKUP(D:D,'테스트(1회)'!C:G,5, 0)="X",1,0),0)</f>
        <v>0</v>
      </c>
      <c r="K376" s="17">
        <f>IFERROR(IF(VLOOKUP(D:D,'테스트(2회)'!C:G,5, 0)="X",1,0),0)</f>
        <v>0</v>
      </c>
      <c r="L376" s="17">
        <f>IFERROR(IF(VLOOKUP(D:D,'테스트(3회)'!C:G,5, 0)="X",1,0),0)</f>
        <v>0</v>
      </c>
      <c r="M376" s="17">
        <f>IFERROR(IF(VLOOKUP(D:D,'테스트(4회)'!C:G,5, 0)="X",1,0),0)</f>
        <v>0</v>
      </c>
      <c r="N376" s="17">
        <f>IFERROR(IF(VLOOKUP(D:D,'테스트(5회)'!C:G,5, 0)="X",1,0),0)</f>
        <v>0</v>
      </c>
      <c r="O376" s="9"/>
    </row>
    <row r="377" spans="2:15" ht="85.5" x14ac:dyDescent="0.3">
      <c r="B377" s="13">
        <v>374</v>
      </c>
      <c r="C377" s="17" t="str">
        <f t="shared" si="10"/>
        <v>2010</v>
      </c>
      <c r="D377" s="14" t="s">
        <v>577</v>
      </c>
      <c r="E377" s="14" t="s">
        <v>659</v>
      </c>
      <c r="F377" s="15" t="s">
        <v>578</v>
      </c>
      <c r="G377" s="16">
        <v>4</v>
      </c>
      <c r="H377" s="17">
        <f t="shared" si="11"/>
        <v>0</v>
      </c>
      <c r="I377" s="9"/>
      <c r="J377" s="17">
        <f>IFERROR(IF(VLOOKUP(D:D,'테스트(1회)'!C:G,5, 0)="X",1,0),0)</f>
        <v>0</v>
      </c>
      <c r="K377" s="17">
        <f>IFERROR(IF(VLOOKUP(D:D,'테스트(2회)'!C:G,5, 0)="X",1,0),0)</f>
        <v>0</v>
      </c>
      <c r="L377" s="17">
        <f>IFERROR(IF(VLOOKUP(D:D,'테스트(3회)'!C:G,5, 0)="X",1,0),0)</f>
        <v>0</v>
      </c>
      <c r="M377" s="17">
        <f>IFERROR(IF(VLOOKUP(D:D,'테스트(4회)'!C:G,5, 0)="X",1,0),0)</f>
        <v>0</v>
      </c>
      <c r="N377" s="17">
        <f>IFERROR(IF(VLOOKUP(D:D,'테스트(5회)'!C:G,5, 0)="X",1,0),0)</f>
        <v>0</v>
      </c>
      <c r="O377" s="9"/>
    </row>
    <row r="378" spans="2:15" ht="142.5" x14ac:dyDescent="0.3">
      <c r="B378" s="13">
        <v>375</v>
      </c>
      <c r="C378" s="17" t="str">
        <f t="shared" si="10"/>
        <v>2010</v>
      </c>
      <c r="D378" s="14" t="s">
        <v>579</v>
      </c>
      <c r="E378" s="14" t="s">
        <v>659</v>
      </c>
      <c r="F378" s="15" t="s">
        <v>580</v>
      </c>
      <c r="G378" s="16">
        <v>4</v>
      </c>
      <c r="H378" s="17">
        <f t="shared" si="11"/>
        <v>0</v>
      </c>
      <c r="I378" s="9"/>
      <c r="J378" s="17">
        <f>IFERROR(IF(VLOOKUP(D:D,'테스트(1회)'!C:G,5, 0)="X",1,0),0)</f>
        <v>0</v>
      </c>
      <c r="K378" s="17">
        <f>IFERROR(IF(VLOOKUP(D:D,'테스트(2회)'!C:G,5, 0)="X",1,0),0)</f>
        <v>0</v>
      </c>
      <c r="L378" s="17">
        <f>IFERROR(IF(VLOOKUP(D:D,'테스트(3회)'!C:G,5, 0)="X",1,0),0)</f>
        <v>0</v>
      </c>
      <c r="M378" s="17">
        <f>IFERROR(IF(VLOOKUP(D:D,'테스트(4회)'!C:G,5, 0)="X",1,0),0)</f>
        <v>0</v>
      </c>
      <c r="N378" s="17">
        <f>IFERROR(IF(VLOOKUP(D:D,'테스트(5회)'!C:G,5, 0)="X",1,0),0)</f>
        <v>0</v>
      </c>
      <c r="O378" s="9"/>
    </row>
    <row r="379" spans="2:15" ht="99.75" x14ac:dyDescent="0.3">
      <c r="B379" s="13">
        <v>376</v>
      </c>
      <c r="C379" s="17" t="str">
        <f t="shared" si="10"/>
        <v>2010</v>
      </c>
      <c r="D379" s="14" t="s">
        <v>581</v>
      </c>
      <c r="E379" s="14" t="s">
        <v>659</v>
      </c>
      <c r="F379" s="15" t="s">
        <v>582</v>
      </c>
      <c r="G379" s="16">
        <v>2</v>
      </c>
      <c r="H379" s="17">
        <f t="shared" si="11"/>
        <v>0</v>
      </c>
      <c r="I379" s="9"/>
      <c r="J379" s="17">
        <f>IFERROR(IF(VLOOKUP(D:D,'테스트(1회)'!C:G,5, 0)="X",1,0),0)</f>
        <v>0</v>
      </c>
      <c r="K379" s="17">
        <f>IFERROR(IF(VLOOKUP(D:D,'테스트(2회)'!C:G,5, 0)="X",1,0),0)</f>
        <v>0</v>
      </c>
      <c r="L379" s="17">
        <f>IFERROR(IF(VLOOKUP(D:D,'테스트(3회)'!C:G,5, 0)="X",1,0),0)</f>
        <v>0</v>
      </c>
      <c r="M379" s="17">
        <f>IFERROR(IF(VLOOKUP(D:D,'테스트(4회)'!C:G,5, 0)="X",1,0),0)</f>
        <v>0</v>
      </c>
      <c r="N379" s="17">
        <f>IFERROR(IF(VLOOKUP(D:D,'테스트(5회)'!C:G,5, 0)="X",1,0),0)</f>
        <v>0</v>
      </c>
      <c r="O379" s="9"/>
    </row>
    <row r="380" spans="2:15" ht="85.5" x14ac:dyDescent="0.3">
      <c r="B380" s="13">
        <v>377</v>
      </c>
      <c r="C380" s="17" t="str">
        <f t="shared" si="10"/>
        <v>2010</v>
      </c>
      <c r="D380" s="14" t="s">
        <v>583</v>
      </c>
      <c r="E380" s="14" t="s">
        <v>659</v>
      </c>
      <c r="F380" s="15" t="s">
        <v>584</v>
      </c>
      <c r="G380" s="16">
        <v>2</v>
      </c>
      <c r="H380" s="17">
        <f t="shared" si="11"/>
        <v>0</v>
      </c>
      <c r="I380" s="9"/>
      <c r="J380" s="17">
        <f>IFERROR(IF(VLOOKUP(D:D,'테스트(1회)'!C:G,5, 0)="X",1,0),0)</f>
        <v>0</v>
      </c>
      <c r="K380" s="17">
        <f>IFERROR(IF(VLOOKUP(D:D,'테스트(2회)'!C:G,5, 0)="X",1,0),0)</f>
        <v>0</v>
      </c>
      <c r="L380" s="17">
        <f>IFERROR(IF(VLOOKUP(D:D,'테스트(3회)'!C:G,5, 0)="X",1,0),0)</f>
        <v>0</v>
      </c>
      <c r="M380" s="17">
        <f>IFERROR(IF(VLOOKUP(D:D,'테스트(4회)'!C:G,5, 0)="X",1,0),0)</f>
        <v>0</v>
      </c>
      <c r="N380" s="17">
        <f>IFERROR(IF(VLOOKUP(D:D,'테스트(5회)'!C:G,5, 0)="X",1,0),0)</f>
        <v>0</v>
      </c>
      <c r="O380" s="9"/>
    </row>
    <row r="381" spans="2:15" ht="85.5" x14ac:dyDescent="0.3">
      <c r="B381" s="13">
        <v>378</v>
      </c>
      <c r="C381" s="17" t="str">
        <f t="shared" si="10"/>
        <v>2010</v>
      </c>
      <c r="D381" s="14" t="s">
        <v>585</v>
      </c>
      <c r="E381" s="14" t="s">
        <v>659</v>
      </c>
      <c r="F381" s="15" t="s">
        <v>586</v>
      </c>
      <c r="G381" s="16">
        <v>1</v>
      </c>
      <c r="H381" s="17">
        <f t="shared" si="11"/>
        <v>0</v>
      </c>
      <c r="I381" s="9"/>
      <c r="J381" s="17">
        <f>IFERROR(IF(VLOOKUP(D:D,'테스트(1회)'!C:G,5, 0)="X",1,0),0)</f>
        <v>0</v>
      </c>
      <c r="K381" s="17">
        <f>IFERROR(IF(VLOOKUP(D:D,'테스트(2회)'!C:G,5, 0)="X",1,0),0)</f>
        <v>0</v>
      </c>
      <c r="L381" s="17">
        <f>IFERROR(IF(VLOOKUP(D:D,'테스트(3회)'!C:G,5, 0)="X",1,0),0)</f>
        <v>0</v>
      </c>
      <c r="M381" s="17">
        <f>IFERROR(IF(VLOOKUP(D:D,'테스트(4회)'!C:G,5, 0)="X",1,0),0)</f>
        <v>0</v>
      </c>
      <c r="N381" s="17">
        <f>IFERROR(IF(VLOOKUP(D:D,'테스트(5회)'!C:G,5, 0)="X",1,0),0)</f>
        <v>0</v>
      </c>
      <c r="O381" s="9"/>
    </row>
    <row r="382" spans="2:15" ht="85.5" x14ac:dyDescent="0.3">
      <c r="B382" s="13">
        <v>379</v>
      </c>
      <c r="C382" s="17" t="str">
        <f t="shared" si="10"/>
        <v>2010</v>
      </c>
      <c r="D382" s="14" t="s">
        <v>587</v>
      </c>
      <c r="E382" s="14" t="s">
        <v>659</v>
      </c>
      <c r="F382" s="15" t="s">
        <v>588</v>
      </c>
      <c r="G382" s="16">
        <v>3</v>
      </c>
      <c r="H382" s="17">
        <f t="shared" si="11"/>
        <v>0</v>
      </c>
      <c r="I382" s="9"/>
      <c r="J382" s="17">
        <f>IFERROR(IF(VLOOKUP(D:D,'테스트(1회)'!C:G,5, 0)="X",1,0),0)</f>
        <v>0</v>
      </c>
      <c r="K382" s="17">
        <f>IFERROR(IF(VLOOKUP(D:D,'테스트(2회)'!C:G,5, 0)="X",1,0),0)</f>
        <v>0</v>
      </c>
      <c r="L382" s="17">
        <f>IFERROR(IF(VLOOKUP(D:D,'테스트(3회)'!C:G,5, 0)="X",1,0),0)</f>
        <v>0</v>
      </c>
      <c r="M382" s="17">
        <f>IFERROR(IF(VLOOKUP(D:D,'테스트(4회)'!C:G,5, 0)="X",1,0),0)</f>
        <v>0</v>
      </c>
      <c r="N382" s="17">
        <f>IFERROR(IF(VLOOKUP(D:D,'테스트(5회)'!C:G,5, 0)="X",1,0),0)</f>
        <v>0</v>
      </c>
      <c r="O382" s="9"/>
    </row>
    <row r="383" spans="2:15" ht="85.5" x14ac:dyDescent="0.3">
      <c r="B383" s="13">
        <v>380</v>
      </c>
      <c r="C383" s="17" t="str">
        <f t="shared" si="10"/>
        <v>2010</v>
      </c>
      <c r="D383" s="14" t="s">
        <v>589</v>
      </c>
      <c r="E383" s="14" t="s">
        <v>659</v>
      </c>
      <c r="F383" s="15" t="s">
        <v>590</v>
      </c>
      <c r="G383" s="16">
        <v>5</v>
      </c>
      <c r="H383" s="17">
        <f t="shared" si="11"/>
        <v>0</v>
      </c>
      <c r="I383" s="9"/>
      <c r="J383" s="17">
        <f>IFERROR(IF(VLOOKUP(D:D,'테스트(1회)'!C:G,5, 0)="X",1,0),0)</f>
        <v>0</v>
      </c>
      <c r="K383" s="17">
        <f>IFERROR(IF(VLOOKUP(D:D,'테스트(2회)'!C:G,5, 0)="X",1,0),0)</f>
        <v>0</v>
      </c>
      <c r="L383" s="17">
        <f>IFERROR(IF(VLOOKUP(D:D,'테스트(3회)'!C:G,5, 0)="X",1,0),0)</f>
        <v>0</v>
      </c>
      <c r="M383" s="17">
        <f>IFERROR(IF(VLOOKUP(D:D,'테스트(4회)'!C:G,5, 0)="X",1,0),0)</f>
        <v>0</v>
      </c>
      <c r="N383" s="17">
        <f>IFERROR(IF(VLOOKUP(D:D,'테스트(5회)'!C:G,5, 0)="X",1,0),0)</f>
        <v>0</v>
      </c>
      <c r="O383" s="9"/>
    </row>
    <row r="384" spans="2:15" ht="99.75" x14ac:dyDescent="0.3">
      <c r="B384" s="13">
        <v>381</v>
      </c>
      <c r="C384" s="17" t="str">
        <f t="shared" si="10"/>
        <v>2010</v>
      </c>
      <c r="D384" s="14" t="s">
        <v>591</v>
      </c>
      <c r="E384" s="14" t="s">
        <v>659</v>
      </c>
      <c r="F384" s="15" t="s">
        <v>592</v>
      </c>
      <c r="G384" s="16">
        <v>3</v>
      </c>
      <c r="H384" s="17">
        <f t="shared" si="11"/>
        <v>0</v>
      </c>
      <c r="I384" s="9"/>
      <c r="J384" s="17">
        <f>IFERROR(IF(VLOOKUP(D:D,'테스트(1회)'!C:G,5, 0)="X",1,0),0)</f>
        <v>0</v>
      </c>
      <c r="K384" s="17">
        <f>IFERROR(IF(VLOOKUP(D:D,'테스트(2회)'!C:G,5, 0)="X",1,0),0)</f>
        <v>0</v>
      </c>
      <c r="L384" s="17">
        <f>IFERROR(IF(VLOOKUP(D:D,'테스트(3회)'!C:G,5, 0)="X",1,0),0)</f>
        <v>0</v>
      </c>
      <c r="M384" s="17">
        <f>IFERROR(IF(VLOOKUP(D:D,'테스트(4회)'!C:G,5, 0)="X",1,0),0)</f>
        <v>0</v>
      </c>
      <c r="N384" s="17">
        <f>IFERROR(IF(VLOOKUP(D:D,'테스트(5회)'!C:G,5, 0)="X",1,0),0)</f>
        <v>0</v>
      </c>
      <c r="O384" s="9"/>
    </row>
    <row r="385" spans="2:15" ht="85.5" x14ac:dyDescent="0.3">
      <c r="B385" s="13">
        <v>382</v>
      </c>
      <c r="C385" s="17" t="str">
        <f t="shared" si="10"/>
        <v>2010</v>
      </c>
      <c r="D385" s="14" t="s">
        <v>593</v>
      </c>
      <c r="E385" s="14" t="s">
        <v>659</v>
      </c>
      <c r="F385" s="15" t="s">
        <v>594</v>
      </c>
      <c r="G385" s="16">
        <v>5</v>
      </c>
      <c r="H385" s="17">
        <f t="shared" si="11"/>
        <v>0</v>
      </c>
      <c r="I385" s="9"/>
      <c r="J385" s="17">
        <f>IFERROR(IF(VLOOKUP(D:D,'테스트(1회)'!C:G,5, 0)="X",1,0),0)</f>
        <v>0</v>
      </c>
      <c r="K385" s="17">
        <f>IFERROR(IF(VLOOKUP(D:D,'테스트(2회)'!C:G,5, 0)="X",1,0),0)</f>
        <v>0</v>
      </c>
      <c r="L385" s="17">
        <f>IFERROR(IF(VLOOKUP(D:D,'테스트(3회)'!C:G,5, 0)="X",1,0),0)</f>
        <v>0</v>
      </c>
      <c r="M385" s="17">
        <f>IFERROR(IF(VLOOKUP(D:D,'테스트(4회)'!C:G,5, 0)="X",1,0),0)</f>
        <v>0</v>
      </c>
      <c r="N385" s="17">
        <f>IFERROR(IF(VLOOKUP(D:D,'테스트(5회)'!C:G,5, 0)="X",1,0),0)</f>
        <v>0</v>
      </c>
      <c r="O385" s="9"/>
    </row>
    <row r="386" spans="2:15" ht="85.5" x14ac:dyDescent="0.3">
      <c r="B386" s="13">
        <v>383</v>
      </c>
      <c r="C386" s="17" t="str">
        <f t="shared" si="10"/>
        <v>2010</v>
      </c>
      <c r="D386" s="14" t="s">
        <v>595</v>
      </c>
      <c r="E386" s="14" t="s">
        <v>659</v>
      </c>
      <c r="F386" s="15" t="s">
        <v>596</v>
      </c>
      <c r="G386" s="16">
        <v>1</v>
      </c>
      <c r="H386" s="17">
        <f t="shared" si="11"/>
        <v>0</v>
      </c>
      <c r="I386" s="9"/>
      <c r="J386" s="17">
        <f>IFERROR(IF(VLOOKUP(D:D,'테스트(1회)'!C:G,5, 0)="X",1,0),0)</f>
        <v>0</v>
      </c>
      <c r="K386" s="17">
        <f>IFERROR(IF(VLOOKUP(D:D,'테스트(2회)'!C:G,5, 0)="X",1,0),0)</f>
        <v>0</v>
      </c>
      <c r="L386" s="17">
        <f>IFERROR(IF(VLOOKUP(D:D,'테스트(3회)'!C:G,5, 0)="X",1,0),0)</f>
        <v>0</v>
      </c>
      <c r="M386" s="17">
        <f>IFERROR(IF(VLOOKUP(D:D,'테스트(4회)'!C:G,5, 0)="X",1,0),0)</f>
        <v>0</v>
      </c>
      <c r="N386" s="17">
        <f>IFERROR(IF(VLOOKUP(D:D,'테스트(5회)'!C:G,5, 0)="X",1,0),0)</f>
        <v>0</v>
      </c>
      <c r="O386" s="9"/>
    </row>
    <row r="387" spans="2:15" ht="85.5" x14ac:dyDescent="0.3">
      <c r="B387" s="13">
        <v>384</v>
      </c>
      <c r="C387" s="17" t="str">
        <f t="shared" si="10"/>
        <v>2010</v>
      </c>
      <c r="D387" s="14" t="s">
        <v>597</v>
      </c>
      <c r="E387" s="14" t="s">
        <v>659</v>
      </c>
      <c r="F387" s="15" t="s">
        <v>598</v>
      </c>
      <c r="G387" s="16">
        <v>1</v>
      </c>
      <c r="H387" s="17">
        <f t="shared" si="11"/>
        <v>0</v>
      </c>
      <c r="I387" s="9"/>
      <c r="J387" s="17">
        <f>IFERROR(IF(VLOOKUP(D:D,'테스트(1회)'!C:G,5, 0)="X",1,0),0)</f>
        <v>0</v>
      </c>
      <c r="K387" s="17">
        <f>IFERROR(IF(VLOOKUP(D:D,'테스트(2회)'!C:G,5, 0)="X",1,0),0)</f>
        <v>0</v>
      </c>
      <c r="L387" s="17">
        <f>IFERROR(IF(VLOOKUP(D:D,'테스트(3회)'!C:G,5, 0)="X",1,0),0)</f>
        <v>0</v>
      </c>
      <c r="M387" s="17">
        <f>IFERROR(IF(VLOOKUP(D:D,'테스트(4회)'!C:G,5, 0)="X",1,0),0)</f>
        <v>0</v>
      </c>
      <c r="N387" s="17">
        <f>IFERROR(IF(VLOOKUP(D:D,'테스트(5회)'!C:G,5, 0)="X",1,0),0)</f>
        <v>0</v>
      </c>
      <c r="O387" s="9"/>
    </row>
    <row r="388" spans="2:15" ht="85.5" x14ac:dyDescent="0.3">
      <c r="B388" s="13">
        <v>385</v>
      </c>
      <c r="C388" s="17" t="str">
        <f t="shared" ref="C388:C451" si="12">MID(D388,3,4)</f>
        <v>2010</v>
      </c>
      <c r="D388" s="14" t="s">
        <v>599</v>
      </c>
      <c r="E388" s="14" t="s">
        <v>659</v>
      </c>
      <c r="F388" s="15" t="s">
        <v>600</v>
      </c>
      <c r="G388" s="16">
        <v>2</v>
      </c>
      <c r="H388" s="17">
        <f t="shared" ref="H388:H393" si="13">SUM(J388:N388)</f>
        <v>0</v>
      </c>
      <c r="I388" s="9"/>
      <c r="J388" s="17">
        <f>IFERROR(IF(VLOOKUP(D:D,'테스트(1회)'!C:G,5, 0)="X",1,0),0)</f>
        <v>0</v>
      </c>
      <c r="K388" s="17">
        <f>IFERROR(IF(VLOOKUP(D:D,'테스트(2회)'!C:G,5, 0)="X",1,0),0)</f>
        <v>0</v>
      </c>
      <c r="L388" s="17">
        <f>IFERROR(IF(VLOOKUP(D:D,'테스트(3회)'!C:G,5, 0)="X",1,0),0)</f>
        <v>0</v>
      </c>
      <c r="M388" s="17">
        <f>IFERROR(IF(VLOOKUP(D:D,'테스트(4회)'!C:G,5, 0)="X",1,0),0)</f>
        <v>0</v>
      </c>
      <c r="N388" s="17">
        <f>IFERROR(IF(VLOOKUP(D:D,'테스트(5회)'!C:G,5, 0)="X",1,0),0)</f>
        <v>0</v>
      </c>
      <c r="O388" s="9"/>
    </row>
    <row r="389" spans="2:15" ht="85.5" x14ac:dyDescent="0.3">
      <c r="B389" s="13">
        <v>386</v>
      </c>
      <c r="C389" s="17" t="str">
        <f t="shared" si="12"/>
        <v>2010</v>
      </c>
      <c r="D389" s="14" t="s">
        <v>601</v>
      </c>
      <c r="E389" s="14" t="s">
        <v>659</v>
      </c>
      <c r="F389" s="15" t="s">
        <v>602</v>
      </c>
      <c r="G389" s="16">
        <v>4</v>
      </c>
      <c r="H389" s="17">
        <f t="shared" si="13"/>
        <v>0</v>
      </c>
      <c r="I389" s="9"/>
      <c r="J389" s="17">
        <f>IFERROR(IF(VLOOKUP(D:D,'테스트(1회)'!C:G,5, 0)="X",1,0),0)</f>
        <v>0</v>
      </c>
      <c r="K389" s="17">
        <f>IFERROR(IF(VLOOKUP(D:D,'테스트(2회)'!C:G,5, 0)="X",1,0),0)</f>
        <v>0</v>
      </c>
      <c r="L389" s="17">
        <f>IFERROR(IF(VLOOKUP(D:D,'테스트(3회)'!C:G,5, 0)="X",1,0),0)</f>
        <v>0</v>
      </c>
      <c r="M389" s="17">
        <f>IFERROR(IF(VLOOKUP(D:D,'테스트(4회)'!C:G,5, 0)="X",1,0),0)</f>
        <v>0</v>
      </c>
      <c r="N389" s="17">
        <f>IFERROR(IF(VLOOKUP(D:D,'테스트(5회)'!C:G,5, 0)="X",1,0),0)</f>
        <v>0</v>
      </c>
      <c r="O389" s="9"/>
    </row>
    <row r="390" spans="2:15" ht="85.5" x14ac:dyDescent="0.3">
      <c r="B390" s="13">
        <v>387</v>
      </c>
      <c r="C390" s="17" t="str">
        <f t="shared" si="12"/>
        <v>2010</v>
      </c>
      <c r="D390" s="14" t="s">
        <v>603</v>
      </c>
      <c r="E390" s="14" t="s">
        <v>659</v>
      </c>
      <c r="F390" s="15" t="s">
        <v>604</v>
      </c>
      <c r="G390" s="16">
        <v>1</v>
      </c>
      <c r="H390" s="17">
        <f t="shared" si="13"/>
        <v>0</v>
      </c>
      <c r="I390" s="9"/>
      <c r="J390" s="17">
        <f>IFERROR(IF(VLOOKUP(D:D,'테스트(1회)'!C:G,5, 0)="X",1,0),0)</f>
        <v>0</v>
      </c>
      <c r="K390" s="17">
        <f>IFERROR(IF(VLOOKUP(D:D,'테스트(2회)'!C:G,5, 0)="X",1,0),0)</f>
        <v>0</v>
      </c>
      <c r="L390" s="17">
        <f>IFERROR(IF(VLOOKUP(D:D,'테스트(3회)'!C:G,5, 0)="X",1,0),0)</f>
        <v>0</v>
      </c>
      <c r="M390" s="17">
        <f>IFERROR(IF(VLOOKUP(D:D,'테스트(4회)'!C:G,5, 0)="X",1,0),0)</f>
        <v>0</v>
      </c>
      <c r="N390" s="17">
        <f>IFERROR(IF(VLOOKUP(D:D,'테스트(5회)'!C:G,5, 0)="X",1,0),0)</f>
        <v>0</v>
      </c>
      <c r="O390" s="9"/>
    </row>
    <row r="391" spans="2:15" ht="85.5" x14ac:dyDescent="0.3">
      <c r="B391" s="13">
        <v>388</v>
      </c>
      <c r="C391" s="17" t="str">
        <f t="shared" si="12"/>
        <v>2010</v>
      </c>
      <c r="D391" s="14" t="s">
        <v>605</v>
      </c>
      <c r="E391" s="14" t="s">
        <v>659</v>
      </c>
      <c r="F391" s="15" t="s">
        <v>606</v>
      </c>
      <c r="G391" s="16">
        <v>3</v>
      </c>
      <c r="H391" s="17">
        <f t="shared" si="13"/>
        <v>0</v>
      </c>
      <c r="I391" s="9"/>
      <c r="J391" s="17">
        <f>IFERROR(IF(VLOOKUP(D:D,'테스트(1회)'!C:G,5, 0)="X",1,0),0)</f>
        <v>0</v>
      </c>
      <c r="K391" s="17">
        <f>IFERROR(IF(VLOOKUP(D:D,'테스트(2회)'!C:G,5, 0)="X",1,0),0)</f>
        <v>0</v>
      </c>
      <c r="L391" s="17">
        <f>IFERROR(IF(VLOOKUP(D:D,'테스트(3회)'!C:G,5, 0)="X",1,0),0)</f>
        <v>0</v>
      </c>
      <c r="M391" s="17">
        <f>IFERROR(IF(VLOOKUP(D:D,'테스트(4회)'!C:G,5, 0)="X",1,0),0)</f>
        <v>0</v>
      </c>
      <c r="N391" s="17">
        <f>IFERROR(IF(VLOOKUP(D:D,'테스트(5회)'!C:G,5, 0)="X",1,0),0)</f>
        <v>0</v>
      </c>
      <c r="O391" s="9"/>
    </row>
    <row r="392" spans="2:15" ht="85.5" x14ac:dyDescent="0.3">
      <c r="B392" s="13">
        <v>389</v>
      </c>
      <c r="C392" s="17" t="str">
        <f t="shared" si="12"/>
        <v>2010</v>
      </c>
      <c r="D392" s="14" t="s">
        <v>607</v>
      </c>
      <c r="E392" s="14" t="s">
        <v>659</v>
      </c>
      <c r="F392" s="15" t="s">
        <v>608</v>
      </c>
      <c r="G392" s="16">
        <v>2</v>
      </c>
      <c r="H392" s="17">
        <f t="shared" si="13"/>
        <v>0</v>
      </c>
      <c r="I392" s="9"/>
      <c r="J392" s="17">
        <f>IFERROR(IF(VLOOKUP(D:D,'테스트(1회)'!C:G,5, 0)="X",1,0),0)</f>
        <v>0</v>
      </c>
      <c r="K392" s="17">
        <f>IFERROR(IF(VLOOKUP(D:D,'테스트(2회)'!C:G,5, 0)="X",1,0),0)</f>
        <v>0</v>
      </c>
      <c r="L392" s="17">
        <f>IFERROR(IF(VLOOKUP(D:D,'테스트(3회)'!C:G,5, 0)="X",1,0),0)</f>
        <v>0</v>
      </c>
      <c r="M392" s="17">
        <f>IFERROR(IF(VLOOKUP(D:D,'테스트(4회)'!C:G,5, 0)="X",1,0),0)</f>
        <v>0</v>
      </c>
      <c r="N392" s="17">
        <f>IFERROR(IF(VLOOKUP(D:D,'테스트(5회)'!C:G,5, 0)="X",1,0),0)</f>
        <v>0</v>
      </c>
      <c r="O392" s="9"/>
    </row>
    <row r="393" spans="2:15" ht="99.75" x14ac:dyDescent="0.3">
      <c r="B393" s="13">
        <v>390</v>
      </c>
      <c r="C393" s="17" t="str">
        <f t="shared" si="12"/>
        <v>2010</v>
      </c>
      <c r="D393" s="14" t="s">
        <v>609</v>
      </c>
      <c r="E393" s="14" t="s">
        <v>659</v>
      </c>
      <c r="F393" s="15" t="s">
        <v>610</v>
      </c>
      <c r="G393" s="16">
        <v>5</v>
      </c>
      <c r="H393" s="17">
        <f t="shared" si="13"/>
        <v>0</v>
      </c>
      <c r="I393" s="9"/>
      <c r="J393" s="17">
        <f>IFERROR(IF(VLOOKUP(D:D,'테스트(1회)'!C:G,5, 0)="X",1,0),0)</f>
        <v>0</v>
      </c>
      <c r="K393" s="17">
        <f>IFERROR(IF(VLOOKUP(D:D,'테스트(2회)'!C:G,5, 0)="X",1,0),0)</f>
        <v>0</v>
      </c>
      <c r="L393" s="17">
        <f>IFERROR(IF(VLOOKUP(D:D,'테스트(3회)'!C:G,5, 0)="X",1,0),0)</f>
        <v>0</v>
      </c>
      <c r="M393" s="17">
        <f>IFERROR(IF(VLOOKUP(D:D,'테스트(4회)'!C:G,5, 0)="X",1,0),0)</f>
        <v>0</v>
      </c>
      <c r="N393" s="17">
        <f>IFERROR(IF(VLOOKUP(D:D,'테스트(5회)'!C:G,5, 0)="X",1,0),0)</f>
        <v>0</v>
      </c>
      <c r="O393" s="9"/>
    </row>
  </sheetData>
  <mergeCells count="10">
    <mergeCell ref="O2:O3"/>
    <mergeCell ref="B2:B3"/>
    <mergeCell ref="D2:D3"/>
    <mergeCell ref="F2:F3"/>
    <mergeCell ref="G2:G3"/>
    <mergeCell ref="H2:H3"/>
    <mergeCell ref="E2:E3"/>
    <mergeCell ref="J2:N2"/>
    <mergeCell ref="C2:C3"/>
    <mergeCell ref="I2:I3"/>
  </mergeCells>
  <phoneticPr fontId="1" type="noConversion"/>
  <dataValidations count="1">
    <dataValidation type="list" allowBlank="1" showInputMessage="1" showErrorMessage="1" sqref="E4:E1048576" xr:uid="{15010658-80CD-4034-8439-38B2A95F3ED5}">
      <formula1>"Y,N"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D15B9-B5F8-451A-B2C5-E40D8FD1D202}">
  <sheetPr codeName="Sheet17">
    <pageSetUpPr autoPageBreaks="0"/>
  </sheetPr>
  <dimension ref="B2:J397"/>
  <sheetViews>
    <sheetView showGridLines="0" zoomScaleNormal="100" zoomScaleSheetLayoutView="100" workbookViewId="0">
      <pane ySplit="7" topLeftCell="A8" activePane="bottomLeft" state="frozen"/>
      <selection activeCell="N35" sqref="N35"/>
      <selection pane="bottomLeft" activeCell="E10" sqref="E10"/>
    </sheetView>
  </sheetViews>
  <sheetFormatPr defaultColWidth="9" defaultRowHeight="14.25" x14ac:dyDescent="0.3"/>
  <cols>
    <col min="1" max="1" width="1.625" style="25" customWidth="1"/>
    <col min="2" max="2" width="3.625" style="18" customWidth="1"/>
    <col min="3" max="3" width="10.625" style="18" customWidth="1"/>
    <col min="4" max="4" width="5.625" style="18" customWidth="1"/>
    <col min="5" max="5" width="95.625" style="20" customWidth="1"/>
    <col min="6" max="7" width="5.625" style="28" customWidth="1"/>
    <col min="8" max="9" width="9" style="23"/>
    <col min="10" max="16384" width="9" style="25"/>
  </cols>
  <sheetData>
    <row r="2" spans="2:10" x14ac:dyDescent="0.3">
      <c r="C2" s="19" t="s">
        <v>767</v>
      </c>
      <c r="D2" s="13">
        <v>25</v>
      </c>
      <c r="F2" s="21" t="s">
        <v>773</v>
      </c>
      <c r="G2" s="22">
        <f>MAX(B8:B397)-COUNTBLANK(C8:C397)</f>
        <v>25</v>
      </c>
      <c r="J2" s="24"/>
    </row>
    <row r="3" spans="2:10" x14ac:dyDescent="0.3">
      <c r="C3" s="19" t="s">
        <v>768</v>
      </c>
      <c r="D3" s="13" t="s">
        <v>771</v>
      </c>
      <c r="F3" s="21" t="s">
        <v>776</v>
      </c>
      <c r="G3" s="26">
        <f>COUNTIF(G8:G447,"X")</f>
        <v>0</v>
      </c>
      <c r="J3" s="24"/>
    </row>
    <row r="4" spans="2:10" x14ac:dyDescent="0.3">
      <c r="C4" s="19" t="s">
        <v>770</v>
      </c>
      <c r="D4" s="13" t="s">
        <v>1057</v>
      </c>
      <c r="F4" s="26" t="s">
        <v>3</v>
      </c>
      <c r="G4" s="26">
        <f>G2-G3</f>
        <v>25</v>
      </c>
      <c r="J4" s="24"/>
    </row>
    <row r="5" spans="2:10" x14ac:dyDescent="0.3">
      <c r="C5" s="19" t="s">
        <v>769</v>
      </c>
      <c r="D5" s="13" t="s">
        <v>1057</v>
      </c>
      <c r="F5" s="26" t="s">
        <v>774</v>
      </c>
      <c r="G5" s="27">
        <f>100/G2*G4</f>
        <v>100</v>
      </c>
      <c r="J5" s="24"/>
    </row>
    <row r="6" spans="2:10" x14ac:dyDescent="0.3">
      <c r="J6" s="24"/>
    </row>
    <row r="7" spans="2:10" x14ac:dyDescent="0.3">
      <c r="B7" s="12" t="s">
        <v>0</v>
      </c>
      <c r="C7" s="12" t="s">
        <v>1</v>
      </c>
      <c r="D7" s="12" t="s">
        <v>658</v>
      </c>
      <c r="E7" s="29" t="s">
        <v>2</v>
      </c>
      <c r="F7" s="29" t="s">
        <v>3</v>
      </c>
      <c r="G7" s="29" t="s">
        <v>657</v>
      </c>
      <c r="J7" s="24"/>
    </row>
    <row r="8" spans="2:10" ht="142.5" x14ac:dyDescent="0.3">
      <c r="B8" s="13">
        <v>1</v>
      </c>
      <c r="C8" s="14" t="s">
        <v>5</v>
      </c>
      <c r="D8" s="30"/>
      <c r="E8" s="15" t="str">
        <f>IFERROR(VLOOKUP(C8,기출문제!D:G,3,0),"")</f>
        <v>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v>
      </c>
      <c r="F8" s="31">
        <f>IFERROR(VLOOKUP(C8,기출문제!D:G,4,0),"")</f>
        <v>5</v>
      </c>
      <c r="G8" s="32" t="str">
        <f>IF(D8="","",IF(D8=F8,"O", "X"))</f>
        <v/>
      </c>
    </row>
    <row r="9" spans="2:10" ht="171" x14ac:dyDescent="0.3">
      <c r="B9" s="13">
        <v>2</v>
      </c>
      <c r="C9" s="14" t="s">
        <v>881</v>
      </c>
      <c r="D9" s="30"/>
      <c r="E9" s="15" t="str">
        <f>IFERROR(VLOOKUP(C9,기출문제!D:G,3,0),"")</f>
        <v>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v>
      </c>
      <c r="F9" s="31">
        <f>IFERROR(VLOOKUP(C9,기출문제!D:G,4,0),"")</f>
        <v>4</v>
      </c>
      <c r="G9" s="32" t="str">
        <f t="shared" ref="G9:G72" si="0">IF(D9="","",IF(D9=F9,"O", "X"))</f>
        <v/>
      </c>
    </row>
    <row r="10" spans="2:10" ht="85.5" x14ac:dyDescent="0.3">
      <c r="B10" s="13">
        <v>3</v>
      </c>
      <c r="C10" s="14" t="s">
        <v>882</v>
      </c>
      <c r="D10" s="30"/>
      <c r="E10" s="15" t="str">
        <f>IFERROR(VLOOKUP(C10,기출문제!D:G,3,0),"")</f>
        <v>103. 경영환경을 일반환경과 과업환경으로 구분할 때, 기업에게 직접적인 영향을 주는 과업환경에 해당하는 것은?
① 정치적 환경
② 경제적 환경
③ 기술적 환경
④ 경쟁자
⑤ 사회문화적 환경</v>
      </c>
      <c r="F10" s="31">
        <f>IFERROR(VLOOKUP(C10,기출문제!D:G,4,0),"")</f>
        <v>4</v>
      </c>
      <c r="G10" s="32" t="str">
        <f t="shared" si="0"/>
        <v/>
      </c>
    </row>
    <row r="11" spans="2:10" ht="85.5" x14ac:dyDescent="0.3">
      <c r="B11" s="13">
        <v>4</v>
      </c>
      <c r="C11" s="14" t="s">
        <v>883</v>
      </c>
      <c r="D11" s="30"/>
      <c r="E11" s="15" t="str">
        <f>IFERROR(VLOOKUP(C11,기출문제!D:G,3,0),"")</f>
        <v>104. 민츠버그(H. Mintzberg)의 5가지 조직유형에 해당하지 않는 것은?
① 매트릭스 조직
② 기계적 관료제
③ 전문적 관료제
④ 애드호크라시
⑤ 사업부제 조직</v>
      </c>
      <c r="F11" s="31">
        <f>IFERROR(VLOOKUP(C11,기출문제!D:G,4,0),"")</f>
        <v>1</v>
      </c>
      <c r="G11" s="32" t="str">
        <f t="shared" si="0"/>
        <v/>
      </c>
    </row>
    <row r="12" spans="2:10" ht="142.5" x14ac:dyDescent="0.3">
      <c r="B12" s="13">
        <v>5</v>
      </c>
      <c r="C12" s="14" t="s">
        <v>884</v>
      </c>
      <c r="D12" s="30"/>
      <c r="E12" s="15" t="str">
        <f>IFERROR(VLOOKUP(C12,기출문제!D:G,3,0),"")</f>
        <v>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v>
      </c>
      <c r="F12" s="31">
        <f>IFERROR(VLOOKUP(C12,기출문제!D:G,4,0),"")</f>
        <v>3</v>
      </c>
      <c r="G12" s="32" t="str">
        <f t="shared" si="0"/>
        <v/>
      </c>
    </row>
    <row r="13" spans="2:10" ht="156.75" x14ac:dyDescent="0.3">
      <c r="B13" s="13">
        <v>6</v>
      </c>
      <c r="C13" s="14" t="s">
        <v>885</v>
      </c>
      <c r="D13" s="30"/>
      <c r="E13" s="15" t="str">
        <f>IFERROR(VLOOKUP(C13,기출문제!D:G,3,0),"")</f>
        <v>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v>
      </c>
      <c r="F13" s="31">
        <f>IFERROR(VLOOKUP(C13,기출문제!D:G,4,0),"")</f>
        <v>2</v>
      </c>
      <c r="G13" s="32" t="str">
        <f t="shared" si="0"/>
        <v/>
      </c>
    </row>
    <row r="14" spans="2:10" ht="85.5" x14ac:dyDescent="0.3">
      <c r="B14" s="13">
        <v>7</v>
      </c>
      <c r="C14" s="14" t="s">
        <v>886</v>
      </c>
      <c r="D14" s="30"/>
      <c r="E14" s="15" t="str">
        <f>IFERROR(VLOOKUP(C14,기출문제!D:G,3,0),"")</f>
        <v>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v>
      </c>
      <c r="F14" s="31">
        <f>IFERROR(VLOOKUP(C14,기출문제!D:G,4,0),"")</f>
        <v>5</v>
      </c>
      <c r="G14" s="32" t="str">
        <f t="shared" si="0"/>
        <v/>
      </c>
    </row>
    <row r="15" spans="2:10" ht="85.5" x14ac:dyDescent="0.3">
      <c r="B15" s="13">
        <v>8</v>
      </c>
      <c r="C15" s="14" t="s">
        <v>887</v>
      </c>
      <c r="D15" s="30"/>
      <c r="E15" s="15" t="str">
        <f>IFERROR(VLOOKUP(C15,기출문제!D:G,3,0),"")</f>
        <v>108. 성격의 Big5 모형에 해당하지 않는 것은?
① 정서적 안정성
② 성실성
③ 친화성
④ 모험선호성
⑤ 개방성</v>
      </c>
      <c r="F15" s="31">
        <f>IFERROR(VLOOKUP(C15,기출문제!D:G,4,0),"")</f>
        <v>4</v>
      </c>
      <c r="G15" s="32" t="str">
        <f t="shared" si="0"/>
        <v/>
      </c>
    </row>
    <row r="16" spans="2:10" ht="85.5" x14ac:dyDescent="0.3">
      <c r="B16" s="13">
        <v>9</v>
      </c>
      <c r="C16" s="14" t="s">
        <v>888</v>
      </c>
      <c r="D16" s="30"/>
      <c r="E16" s="15" t="str">
        <f>IFERROR(VLOOKUP(C16,기출문제!D:G,3,0),"")</f>
        <v>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v>
      </c>
      <c r="F16" s="31">
        <f>IFERROR(VLOOKUP(C16,기출문제!D:G,4,0),"")</f>
        <v>3</v>
      </c>
      <c r="G16" s="32" t="str">
        <f t="shared" si="0"/>
        <v/>
      </c>
    </row>
    <row r="17" spans="2:7" ht="156.75" x14ac:dyDescent="0.3">
      <c r="B17" s="13">
        <v>10</v>
      </c>
      <c r="C17" s="14" t="s">
        <v>889</v>
      </c>
      <c r="D17" s="30"/>
      <c r="E17" s="15" t="str">
        <f>IFERROR(VLOOKUP(C17,기출문제!D:G,3,0),"")</f>
        <v>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v>
      </c>
      <c r="F17" s="31">
        <f>IFERROR(VLOOKUP(C17,기출문제!D:G,4,0),"")</f>
        <v>1</v>
      </c>
      <c r="G17" s="32" t="str">
        <f t="shared" si="0"/>
        <v/>
      </c>
    </row>
    <row r="18" spans="2:7" ht="85.5" x14ac:dyDescent="0.3">
      <c r="B18" s="13">
        <v>11</v>
      </c>
      <c r="C18" s="14" t="s">
        <v>890</v>
      </c>
      <c r="D18" s="30"/>
      <c r="E18" s="15" t="str">
        <f>IFERROR(VLOOKUP(C18,기출문제!D:G,3,0),"")</f>
        <v>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v>
      </c>
      <c r="F18" s="31">
        <f>IFERROR(VLOOKUP(C18,기출문제!D:G,4,0),"")</f>
        <v>1</v>
      </c>
      <c r="G18" s="32" t="str">
        <f t="shared" si="0"/>
        <v/>
      </c>
    </row>
    <row r="19" spans="2:7" ht="85.5" x14ac:dyDescent="0.3">
      <c r="B19" s="13">
        <v>12</v>
      </c>
      <c r="C19" s="14" t="s">
        <v>891</v>
      </c>
      <c r="D19" s="30"/>
      <c r="E19" s="15" t="str">
        <f>IFERROR(VLOOKUP(C19,기출문제!D:G,3,0),"")</f>
        <v>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v>
      </c>
      <c r="F19" s="31">
        <f>IFERROR(VLOOKUP(C19,기출문제!D:G,4,0),"")</f>
        <v>5</v>
      </c>
      <c r="G19" s="32" t="str">
        <f t="shared" si="0"/>
        <v/>
      </c>
    </row>
    <row r="20" spans="2:7" ht="85.5" x14ac:dyDescent="0.3">
      <c r="B20" s="13">
        <v>13</v>
      </c>
      <c r="C20" s="14" t="s">
        <v>892</v>
      </c>
      <c r="D20" s="30"/>
      <c r="E20" s="15" t="str">
        <f>IFERROR(VLOOKUP(C20,기출문제!D:G,3,0),"")</f>
        <v>113. 로저스(E. Rogers)의 혁신에 대한 수용자 유형이 아닌 것은?
① 혁신자(innovators)
② 조기수용자(early adopters)
③ 후기수용자(late adopters)
④ 조기다수자(early majority)
⑤ 후기다수자(late majority)</v>
      </c>
      <c r="F20" s="31">
        <f>IFERROR(VLOOKUP(C20,기출문제!D:G,4,0),"")</f>
        <v>3</v>
      </c>
      <c r="G20" s="32" t="str">
        <f t="shared" si="0"/>
        <v/>
      </c>
    </row>
    <row r="21" spans="2:7" ht="128.25" x14ac:dyDescent="0.3">
      <c r="B21" s="13">
        <v>14</v>
      </c>
      <c r="C21" s="14" t="s">
        <v>893</v>
      </c>
      <c r="D21" s="30"/>
      <c r="E21" s="15" t="str">
        <f>IFERROR(VLOOKUP(C21,기출문제!D:G,3,0),"")</f>
        <v>114. (주)한국의 매출 및 매출채권 자료가 다음과 같을 때, 매출채권의 평균회수시간은? (단, 1년은 360일로 가정한다.)
매출액            ￦3,000,000
기초매출채권        150,000
기말매출채권        100,000
① 10일
② 15일
③ 18일
④ 20일
⑤ 24일</v>
      </c>
      <c r="F21" s="31">
        <f>IFERROR(VLOOKUP(C21,기출문제!D:G,4,0),"")</f>
        <v>2</v>
      </c>
      <c r="G21" s="32" t="str">
        <f t="shared" si="0"/>
        <v/>
      </c>
    </row>
    <row r="22" spans="2:7" ht="114" x14ac:dyDescent="0.3">
      <c r="B22" s="13">
        <v>15</v>
      </c>
      <c r="C22" s="14" t="s">
        <v>894</v>
      </c>
      <c r="D22" s="30"/>
      <c r="E22" s="15" t="str">
        <f>IFERROR(VLOOKUP(C22,기출문제!D:G,3,0),"")</f>
        <v>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v>
      </c>
      <c r="F22" s="31">
        <f>IFERROR(VLOOKUP(C22,기출문제!D:G,4,0),"")</f>
        <v>4</v>
      </c>
      <c r="G22" s="32" t="str">
        <f t="shared" si="0"/>
        <v/>
      </c>
    </row>
    <row r="23" spans="2:7" ht="142.5" x14ac:dyDescent="0.3">
      <c r="B23" s="13">
        <v>16</v>
      </c>
      <c r="C23" s="14" t="s">
        <v>895</v>
      </c>
      <c r="D23" s="30"/>
      <c r="E23" s="15" t="str">
        <f>IFERROR(VLOOKUP(C23,기출문제!D:G,3,0),"")</f>
        <v>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v>
      </c>
      <c r="F23" s="31">
        <f>IFERROR(VLOOKUP(C23,기출문제!D:G,4,0),"")</f>
        <v>2</v>
      </c>
      <c r="G23" s="32" t="str">
        <f t="shared" si="0"/>
        <v/>
      </c>
    </row>
    <row r="24" spans="2:7" ht="85.5" x14ac:dyDescent="0.3">
      <c r="B24" s="13">
        <v>17</v>
      </c>
      <c r="C24" s="14" t="s">
        <v>896</v>
      </c>
      <c r="D24" s="30"/>
      <c r="E24" s="15" t="str">
        <f>IFERROR(VLOOKUP(C24,기출문제!D:G,3,0),"")</f>
        <v>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v>
      </c>
      <c r="F24" s="31">
        <f>IFERROR(VLOOKUP(C24,기출문제!D:G,4,0),"")</f>
        <v>4</v>
      </c>
      <c r="G24" s="32" t="str">
        <f t="shared" si="0"/>
        <v/>
      </c>
    </row>
    <row r="25" spans="2:7" ht="99.75" x14ac:dyDescent="0.3">
      <c r="B25" s="13">
        <v>18</v>
      </c>
      <c r="C25" s="14" t="s">
        <v>897</v>
      </c>
      <c r="D25" s="30"/>
      <c r="E25" s="15" t="str">
        <f>IFERROR(VLOOKUP(C25,기출문제!D:G,3,0),"")</f>
        <v>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v>
      </c>
      <c r="F25" s="31">
        <f>IFERROR(VLOOKUP(C25,기출문제!D:G,4,0),"")</f>
        <v>1</v>
      </c>
      <c r="G25" s="32" t="str">
        <f t="shared" si="0"/>
        <v/>
      </c>
    </row>
    <row r="26" spans="2:7" ht="142.5" x14ac:dyDescent="0.3">
      <c r="B26" s="13">
        <v>19</v>
      </c>
      <c r="C26" s="14" t="s">
        <v>898</v>
      </c>
      <c r="D26" s="30"/>
      <c r="E26" s="15" t="str">
        <f>IFERROR(VLOOKUP(C26,기출문제!D:G,3,0),"")</f>
        <v>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v>
      </c>
      <c r="F26" s="31">
        <f>IFERROR(VLOOKUP(C26,기출문제!D:G,4,0),"")</f>
        <v>3</v>
      </c>
      <c r="G26" s="32" t="str">
        <f t="shared" si="0"/>
        <v/>
      </c>
    </row>
    <row r="27" spans="2:7" ht="128.25" x14ac:dyDescent="0.3">
      <c r="B27" s="13">
        <v>20</v>
      </c>
      <c r="C27" s="14" t="s">
        <v>899</v>
      </c>
      <c r="D27" s="30"/>
      <c r="E27" s="15" t="str">
        <f>IFERROR(VLOOKUP(C27,기출문제!D:G,3,0),"")</f>
        <v>120. 다음의 수요예측기법 중 시계열(tiem series) 예측기법에 해당하는 것을 모두 고른 것은?
ㄱ. 이동평균법
ㄴ. 지수평활기법
ㄷ. 델파이 기법
① ㄱ
② ㄴ
③ ㄱ, ㄴ
④ ㄴ, ㄷ
⑤ ㄱ, ㄴ, ㄷ</v>
      </c>
      <c r="F27" s="31">
        <f>IFERROR(VLOOKUP(C27,기출문제!D:G,4,0),"")</f>
        <v>3</v>
      </c>
      <c r="G27" s="32" t="str">
        <f t="shared" si="0"/>
        <v/>
      </c>
    </row>
    <row r="28" spans="2:7" ht="85.5" x14ac:dyDescent="0.3">
      <c r="B28" s="13">
        <v>21</v>
      </c>
      <c r="C28" s="14" t="s">
        <v>900</v>
      </c>
      <c r="D28" s="30"/>
      <c r="E28" s="15" t="str">
        <f>IFERROR(VLOOKUP(C28,기출문제!D:G,3,0),"")</f>
        <v>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v>
      </c>
      <c r="F28" s="31">
        <f>IFERROR(VLOOKUP(C28,기출문제!D:G,4,0),"")</f>
        <v>2</v>
      </c>
      <c r="G28" s="32" t="str">
        <f t="shared" si="0"/>
        <v/>
      </c>
    </row>
    <row r="29" spans="2:7" ht="142.5" x14ac:dyDescent="0.3">
      <c r="B29" s="13">
        <v>22</v>
      </c>
      <c r="C29" s="14" t="s">
        <v>901</v>
      </c>
      <c r="D29" s="30"/>
      <c r="E29" s="15" t="str">
        <f>IFERROR(VLOOKUP(C29,기출문제!D:G,3,0),"")</f>
        <v>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v>
      </c>
      <c r="F29" s="31">
        <f>IFERROR(VLOOKUP(C29,기출문제!D:G,4,0),"")</f>
        <v>3</v>
      </c>
      <c r="G29" s="32" t="str">
        <f t="shared" si="0"/>
        <v/>
      </c>
    </row>
    <row r="30" spans="2:7" ht="85.5" x14ac:dyDescent="0.3">
      <c r="B30" s="13">
        <v>23</v>
      </c>
      <c r="C30" s="14" t="s">
        <v>902</v>
      </c>
      <c r="D30" s="30"/>
      <c r="E30" s="15" t="str">
        <f>IFERROR(VLOOKUP(C30,기출문제!D:G,3,0),"")</f>
        <v>123. 현행 K - IFRS에 의한 재무제표에 해당하지 않는 것은?
① 재무상태변동표
② 포괄손익계산서
③ 자본변동표
④ 현금흐름표
⑤ 주석</v>
      </c>
      <c r="F30" s="31">
        <f>IFERROR(VLOOKUP(C30,기출문제!D:G,4,0),"")</f>
        <v>1</v>
      </c>
      <c r="G30" s="32" t="str">
        <f t="shared" si="0"/>
        <v/>
      </c>
    </row>
    <row r="31" spans="2:7" ht="85.5" x14ac:dyDescent="0.3">
      <c r="B31" s="13">
        <v>24</v>
      </c>
      <c r="C31" s="14" t="s">
        <v>903</v>
      </c>
      <c r="D31" s="30"/>
      <c r="E31" s="15" t="str">
        <f>IFERROR(VLOOKUP(C31,기출문제!D:G,3,0),"")</f>
        <v>124. 일반 사용자의 컴퓨터 시스템 접근을 차단한 후, 접근을 허용하는 조건으로 대가를 요구하는 악성코드는?
① 스니핑(sniffing)
② 랜섬웨어(ransomware)
③ 스팸웨어(spamware)
④ 피싱(phishing)
⑤ 파밍(pharming)</v>
      </c>
      <c r="F31" s="31">
        <f>IFERROR(VLOOKUP(C31,기출문제!D:G,4,0),"")</f>
        <v>2</v>
      </c>
      <c r="G31" s="32" t="str">
        <f t="shared" si="0"/>
        <v/>
      </c>
    </row>
    <row r="32" spans="2:7" ht="114" x14ac:dyDescent="0.3">
      <c r="B32" s="13">
        <v>25</v>
      </c>
      <c r="C32" s="14" t="s">
        <v>904</v>
      </c>
      <c r="D32" s="30"/>
      <c r="E32" s="15" t="str">
        <f>IFERROR(VLOOKUP(C32,기출문제!D:G,3,0),"")</f>
        <v>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v>
      </c>
      <c r="F32" s="31">
        <f>IFERROR(VLOOKUP(C32,기출문제!D:G,4,0),"")</f>
        <v>3</v>
      </c>
      <c r="G32" s="32" t="str">
        <f t="shared" si="0"/>
        <v/>
      </c>
    </row>
    <row r="33" spans="2:7" x14ac:dyDescent="0.3">
      <c r="B33" s="13">
        <v>26</v>
      </c>
      <c r="C33" s="14" t="s">
        <v>766</v>
      </c>
      <c r="D33" s="30"/>
      <c r="E33" s="15" t="str">
        <f>IFERROR(VLOOKUP(C33,기출문제!D:G,3,0),"")</f>
        <v/>
      </c>
      <c r="F33" s="31" t="str">
        <f>IFERROR(VLOOKUP(C33,기출문제!D:G,4,0),"")</f>
        <v/>
      </c>
      <c r="G33" s="32" t="str">
        <f t="shared" si="0"/>
        <v/>
      </c>
    </row>
    <row r="34" spans="2:7" x14ac:dyDescent="0.3">
      <c r="B34" s="13">
        <v>27</v>
      </c>
      <c r="C34" s="14" t="s">
        <v>766</v>
      </c>
      <c r="D34" s="30"/>
      <c r="E34" s="15" t="str">
        <f>IFERROR(VLOOKUP(C34,기출문제!D:G,3,0),"")</f>
        <v/>
      </c>
      <c r="F34" s="31" t="str">
        <f>IFERROR(VLOOKUP(C34,기출문제!D:G,4,0),"")</f>
        <v/>
      </c>
      <c r="G34" s="32" t="str">
        <f t="shared" si="0"/>
        <v/>
      </c>
    </row>
    <row r="35" spans="2:7" x14ac:dyDescent="0.3">
      <c r="B35" s="13">
        <v>28</v>
      </c>
      <c r="C35" s="14" t="s">
        <v>766</v>
      </c>
      <c r="D35" s="30"/>
      <c r="E35" s="15" t="str">
        <f>IFERROR(VLOOKUP(C35,기출문제!D:G,3,0),"")</f>
        <v/>
      </c>
      <c r="F35" s="31" t="str">
        <f>IFERROR(VLOOKUP(C35,기출문제!D:G,4,0),"")</f>
        <v/>
      </c>
      <c r="G35" s="32" t="str">
        <f t="shared" si="0"/>
        <v/>
      </c>
    </row>
    <row r="36" spans="2:7" x14ac:dyDescent="0.3">
      <c r="B36" s="13">
        <v>29</v>
      </c>
      <c r="C36" s="14" t="s">
        <v>766</v>
      </c>
      <c r="D36" s="30"/>
      <c r="E36" s="15" t="str">
        <f>IFERROR(VLOOKUP(C36,기출문제!D:G,3,0),"")</f>
        <v/>
      </c>
      <c r="F36" s="31" t="str">
        <f>IFERROR(VLOOKUP(C36,기출문제!D:G,4,0),"")</f>
        <v/>
      </c>
      <c r="G36" s="32" t="str">
        <f t="shared" si="0"/>
        <v/>
      </c>
    </row>
    <row r="37" spans="2:7" x14ac:dyDescent="0.3">
      <c r="B37" s="13">
        <v>30</v>
      </c>
      <c r="C37" s="14" t="s">
        <v>766</v>
      </c>
      <c r="D37" s="30"/>
      <c r="E37" s="15" t="str">
        <f>IFERROR(VLOOKUP(C37,기출문제!D:G,3,0),"")</f>
        <v/>
      </c>
      <c r="F37" s="31" t="str">
        <f>IFERROR(VLOOKUP(C37,기출문제!D:G,4,0),"")</f>
        <v/>
      </c>
      <c r="G37" s="32" t="str">
        <f t="shared" si="0"/>
        <v/>
      </c>
    </row>
    <row r="38" spans="2:7" x14ac:dyDescent="0.3">
      <c r="B38" s="13">
        <v>31</v>
      </c>
      <c r="C38" s="14" t="s">
        <v>766</v>
      </c>
      <c r="D38" s="30"/>
      <c r="E38" s="15" t="str">
        <f>IFERROR(VLOOKUP(C38,기출문제!D:G,3,0),"")</f>
        <v/>
      </c>
      <c r="F38" s="31" t="str">
        <f>IFERROR(VLOOKUP(C38,기출문제!D:G,4,0),"")</f>
        <v/>
      </c>
      <c r="G38" s="32" t="str">
        <f t="shared" si="0"/>
        <v/>
      </c>
    </row>
    <row r="39" spans="2:7" x14ac:dyDescent="0.3">
      <c r="B39" s="13">
        <v>32</v>
      </c>
      <c r="C39" s="14" t="s">
        <v>766</v>
      </c>
      <c r="D39" s="30"/>
      <c r="E39" s="15" t="str">
        <f>IFERROR(VLOOKUP(C39,기출문제!D:G,3,0),"")</f>
        <v/>
      </c>
      <c r="F39" s="31" t="str">
        <f>IFERROR(VLOOKUP(C39,기출문제!D:G,4,0),"")</f>
        <v/>
      </c>
      <c r="G39" s="32" t="str">
        <f t="shared" si="0"/>
        <v/>
      </c>
    </row>
    <row r="40" spans="2:7" x14ac:dyDescent="0.3">
      <c r="B40" s="13">
        <v>33</v>
      </c>
      <c r="C40" s="14" t="s">
        <v>766</v>
      </c>
      <c r="D40" s="30"/>
      <c r="E40" s="15" t="str">
        <f>IFERROR(VLOOKUP(C40,기출문제!D:G,3,0),"")</f>
        <v/>
      </c>
      <c r="F40" s="31" t="str">
        <f>IFERROR(VLOOKUP(C40,기출문제!D:G,4,0),"")</f>
        <v/>
      </c>
      <c r="G40" s="32" t="str">
        <f t="shared" si="0"/>
        <v/>
      </c>
    </row>
    <row r="41" spans="2:7" x14ac:dyDescent="0.3">
      <c r="B41" s="13">
        <v>34</v>
      </c>
      <c r="C41" s="14" t="s">
        <v>766</v>
      </c>
      <c r="D41" s="30"/>
      <c r="E41" s="15" t="str">
        <f>IFERROR(VLOOKUP(C41,기출문제!D:G,3,0),"")</f>
        <v/>
      </c>
      <c r="F41" s="31" t="str">
        <f>IFERROR(VLOOKUP(C41,기출문제!D:G,4,0),"")</f>
        <v/>
      </c>
      <c r="G41" s="32" t="str">
        <f t="shared" si="0"/>
        <v/>
      </c>
    </row>
    <row r="42" spans="2:7" x14ac:dyDescent="0.3">
      <c r="B42" s="13">
        <v>35</v>
      </c>
      <c r="C42" s="14" t="s">
        <v>766</v>
      </c>
      <c r="D42" s="30"/>
      <c r="E42" s="15" t="str">
        <f>IFERROR(VLOOKUP(C42,기출문제!D:G,3,0),"")</f>
        <v/>
      </c>
      <c r="F42" s="31" t="str">
        <f>IFERROR(VLOOKUP(C42,기출문제!D:G,4,0),"")</f>
        <v/>
      </c>
      <c r="G42" s="32" t="str">
        <f t="shared" si="0"/>
        <v/>
      </c>
    </row>
    <row r="43" spans="2:7" x14ac:dyDescent="0.3">
      <c r="B43" s="13">
        <v>36</v>
      </c>
      <c r="C43" s="14" t="s">
        <v>766</v>
      </c>
      <c r="D43" s="30"/>
      <c r="E43" s="15" t="str">
        <f>IFERROR(VLOOKUP(C43,기출문제!D:G,3,0),"")</f>
        <v/>
      </c>
      <c r="F43" s="31" t="str">
        <f>IFERROR(VLOOKUP(C43,기출문제!D:G,4,0),"")</f>
        <v/>
      </c>
      <c r="G43" s="32" t="str">
        <f t="shared" si="0"/>
        <v/>
      </c>
    </row>
    <row r="44" spans="2:7" x14ac:dyDescent="0.3">
      <c r="B44" s="13">
        <v>37</v>
      </c>
      <c r="C44" s="14" t="s">
        <v>766</v>
      </c>
      <c r="D44" s="30"/>
      <c r="E44" s="15" t="str">
        <f>IFERROR(VLOOKUP(C44,기출문제!D:G,3,0),"")</f>
        <v/>
      </c>
      <c r="F44" s="31" t="str">
        <f>IFERROR(VLOOKUP(C44,기출문제!D:G,4,0),"")</f>
        <v/>
      </c>
      <c r="G44" s="32" t="str">
        <f t="shared" si="0"/>
        <v/>
      </c>
    </row>
    <row r="45" spans="2:7" x14ac:dyDescent="0.3">
      <c r="B45" s="13">
        <v>38</v>
      </c>
      <c r="C45" s="14" t="s">
        <v>766</v>
      </c>
      <c r="D45" s="30"/>
      <c r="E45" s="15" t="str">
        <f>IFERROR(VLOOKUP(C45,기출문제!D:G,3,0),"")</f>
        <v/>
      </c>
      <c r="F45" s="31" t="str">
        <f>IFERROR(VLOOKUP(C45,기출문제!D:G,4,0),"")</f>
        <v/>
      </c>
      <c r="G45" s="32" t="str">
        <f t="shared" si="0"/>
        <v/>
      </c>
    </row>
    <row r="46" spans="2:7" x14ac:dyDescent="0.3">
      <c r="B46" s="13">
        <v>39</v>
      </c>
      <c r="C46" s="14" t="s">
        <v>766</v>
      </c>
      <c r="D46" s="30"/>
      <c r="E46" s="15" t="str">
        <f>IFERROR(VLOOKUP(C46,기출문제!D:G,3,0),"")</f>
        <v/>
      </c>
      <c r="F46" s="31" t="str">
        <f>IFERROR(VLOOKUP(C46,기출문제!D:G,4,0),"")</f>
        <v/>
      </c>
      <c r="G46" s="32" t="str">
        <f t="shared" si="0"/>
        <v/>
      </c>
    </row>
    <row r="47" spans="2:7" x14ac:dyDescent="0.3">
      <c r="B47" s="13">
        <v>40</v>
      </c>
      <c r="C47" s="14" t="s">
        <v>766</v>
      </c>
      <c r="D47" s="30"/>
      <c r="E47" s="15" t="str">
        <f>IFERROR(VLOOKUP(C47,기출문제!D:G,3,0),"")</f>
        <v/>
      </c>
      <c r="F47" s="31" t="str">
        <f>IFERROR(VLOOKUP(C47,기출문제!D:G,4,0),"")</f>
        <v/>
      </c>
      <c r="G47" s="32" t="str">
        <f t="shared" si="0"/>
        <v/>
      </c>
    </row>
    <row r="48" spans="2:7" x14ac:dyDescent="0.3">
      <c r="B48" s="13">
        <v>41</v>
      </c>
      <c r="C48" s="14" t="s">
        <v>766</v>
      </c>
      <c r="D48" s="30"/>
      <c r="E48" s="15" t="str">
        <f>IFERROR(VLOOKUP(C48,기출문제!D:G,3,0),"")</f>
        <v/>
      </c>
      <c r="F48" s="31" t="str">
        <f>IFERROR(VLOOKUP(C48,기출문제!D:G,4,0),"")</f>
        <v/>
      </c>
      <c r="G48" s="32" t="str">
        <f t="shared" si="0"/>
        <v/>
      </c>
    </row>
    <row r="49" spans="2:7" x14ac:dyDescent="0.3">
      <c r="B49" s="13">
        <v>42</v>
      </c>
      <c r="C49" s="14" t="s">
        <v>766</v>
      </c>
      <c r="D49" s="30"/>
      <c r="E49" s="15" t="str">
        <f>IFERROR(VLOOKUP(C49,기출문제!D:G,3,0),"")</f>
        <v/>
      </c>
      <c r="F49" s="31" t="str">
        <f>IFERROR(VLOOKUP(C49,기출문제!D:G,4,0),"")</f>
        <v/>
      </c>
      <c r="G49" s="32" t="str">
        <f t="shared" si="0"/>
        <v/>
      </c>
    </row>
    <row r="50" spans="2:7" x14ac:dyDescent="0.3">
      <c r="B50" s="13">
        <v>43</v>
      </c>
      <c r="C50" s="14" t="s">
        <v>766</v>
      </c>
      <c r="D50" s="30"/>
      <c r="E50" s="15" t="str">
        <f>IFERROR(VLOOKUP(C50,기출문제!D:G,3,0),"")</f>
        <v/>
      </c>
      <c r="F50" s="31" t="str">
        <f>IFERROR(VLOOKUP(C50,기출문제!D:G,4,0),"")</f>
        <v/>
      </c>
      <c r="G50" s="32" t="str">
        <f t="shared" si="0"/>
        <v/>
      </c>
    </row>
    <row r="51" spans="2:7" x14ac:dyDescent="0.3">
      <c r="B51" s="13">
        <v>44</v>
      </c>
      <c r="C51" s="14" t="s">
        <v>766</v>
      </c>
      <c r="D51" s="30"/>
      <c r="E51" s="15" t="str">
        <f>IFERROR(VLOOKUP(C51,기출문제!D:G,3,0),"")</f>
        <v/>
      </c>
      <c r="F51" s="31" t="str">
        <f>IFERROR(VLOOKUP(C51,기출문제!D:G,4,0),"")</f>
        <v/>
      </c>
      <c r="G51" s="32" t="str">
        <f t="shared" si="0"/>
        <v/>
      </c>
    </row>
    <row r="52" spans="2:7" x14ac:dyDescent="0.3">
      <c r="B52" s="13">
        <v>45</v>
      </c>
      <c r="C52" s="14" t="s">
        <v>766</v>
      </c>
      <c r="D52" s="30"/>
      <c r="E52" s="15" t="str">
        <f>IFERROR(VLOOKUP(C52,기출문제!D:G,3,0),"")</f>
        <v/>
      </c>
      <c r="F52" s="31" t="str">
        <f>IFERROR(VLOOKUP(C52,기출문제!D:G,4,0),"")</f>
        <v/>
      </c>
      <c r="G52" s="32" t="str">
        <f t="shared" si="0"/>
        <v/>
      </c>
    </row>
    <row r="53" spans="2:7" x14ac:dyDescent="0.3">
      <c r="B53" s="13">
        <v>46</v>
      </c>
      <c r="C53" s="14" t="s">
        <v>766</v>
      </c>
      <c r="D53" s="30"/>
      <c r="E53" s="15" t="str">
        <f>IFERROR(VLOOKUP(C53,기출문제!D:G,3,0),"")</f>
        <v/>
      </c>
      <c r="F53" s="31" t="str">
        <f>IFERROR(VLOOKUP(C53,기출문제!D:G,4,0),"")</f>
        <v/>
      </c>
      <c r="G53" s="32" t="str">
        <f t="shared" si="0"/>
        <v/>
      </c>
    </row>
    <row r="54" spans="2:7" x14ac:dyDescent="0.3">
      <c r="B54" s="13">
        <v>47</v>
      </c>
      <c r="C54" s="14" t="s">
        <v>766</v>
      </c>
      <c r="D54" s="30"/>
      <c r="E54" s="15" t="str">
        <f>IFERROR(VLOOKUP(C54,기출문제!D:G,3,0),"")</f>
        <v/>
      </c>
      <c r="F54" s="31" t="str">
        <f>IFERROR(VLOOKUP(C54,기출문제!D:G,4,0),"")</f>
        <v/>
      </c>
      <c r="G54" s="32" t="str">
        <f t="shared" si="0"/>
        <v/>
      </c>
    </row>
    <row r="55" spans="2:7" x14ac:dyDescent="0.3">
      <c r="B55" s="13">
        <v>48</v>
      </c>
      <c r="C55" s="14" t="s">
        <v>766</v>
      </c>
      <c r="D55" s="30"/>
      <c r="E55" s="15" t="str">
        <f>IFERROR(VLOOKUP(C55,기출문제!D:G,3,0),"")</f>
        <v/>
      </c>
      <c r="F55" s="31" t="str">
        <f>IFERROR(VLOOKUP(C55,기출문제!D:G,4,0),"")</f>
        <v/>
      </c>
      <c r="G55" s="32" t="str">
        <f t="shared" si="0"/>
        <v/>
      </c>
    </row>
    <row r="56" spans="2:7" x14ac:dyDescent="0.3">
      <c r="B56" s="13">
        <v>49</v>
      </c>
      <c r="C56" s="14" t="s">
        <v>766</v>
      </c>
      <c r="D56" s="30"/>
      <c r="E56" s="15" t="str">
        <f>IFERROR(VLOOKUP(C56,기출문제!D:G,3,0),"")</f>
        <v/>
      </c>
      <c r="F56" s="31" t="str">
        <f>IFERROR(VLOOKUP(C56,기출문제!D:G,4,0),"")</f>
        <v/>
      </c>
      <c r="G56" s="32" t="str">
        <f t="shared" si="0"/>
        <v/>
      </c>
    </row>
    <row r="57" spans="2:7" x14ac:dyDescent="0.3">
      <c r="B57" s="13">
        <v>50</v>
      </c>
      <c r="C57" s="14" t="s">
        <v>766</v>
      </c>
      <c r="D57" s="30"/>
      <c r="E57" s="15" t="str">
        <f>IFERROR(VLOOKUP(C57,기출문제!D:G,3,0),"")</f>
        <v/>
      </c>
      <c r="F57" s="31" t="str">
        <f>IFERROR(VLOOKUP(C57,기출문제!D:G,4,0),"")</f>
        <v/>
      </c>
      <c r="G57" s="32" t="str">
        <f t="shared" si="0"/>
        <v/>
      </c>
    </row>
    <row r="58" spans="2:7" x14ac:dyDescent="0.3">
      <c r="B58" s="13">
        <v>51</v>
      </c>
      <c r="C58" s="14" t="s">
        <v>766</v>
      </c>
      <c r="D58" s="13"/>
      <c r="E58" s="15" t="str">
        <f>IFERROR(VLOOKUP(C58,기출문제!D:G,3,0),"")</f>
        <v/>
      </c>
      <c r="F58" s="31" t="str">
        <f>IFERROR(VLOOKUP(C58,기출문제!D:G,4,0),"")</f>
        <v/>
      </c>
      <c r="G58" s="32" t="str">
        <f t="shared" si="0"/>
        <v/>
      </c>
    </row>
    <row r="59" spans="2:7" x14ac:dyDescent="0.3">
      <c r="B59" s="13">
        <v>52</v>
      </c>
      <c r="C59" s="14" t="s">
        <v>766</v>
      </c>
      <c r="D59" s="13"/>
      <c r="E59" s="15" t="str">
        <f>IFERROR(VLOOKUP(C59,기출문제!D:G,3,0),"")</f>
        <v/>
      </c>
      <c r="F59" s="31" t="str">
        <f>IFERROR(VLOOKUP(C59,기출문제!D:G,4,0),"")</f>
        <v/>
      </c>
      <c r="G59" s="32" t="str">
        <f t="shared" si="0"/>
        <v/>
      </c>
    </row>
    <row r="60" spans="2:7" x14ac:dyDescent="0.3">
      <c r="B60" s="13">
        <v>53</v>
      </c>
      <c r="C60" s="14" t="s">
        <v>766</v>
      </c>
      <c r="D60" s="13"/>
      <c r="E60" s="15" t="str">
        <f>IFERROR(VLOOKUP(C60,기출문제!D:G,3,0),"")</f>
        <v/>
      </c>
      <c r="F60" s="31" t="str">
        <f>IFERROR(VLOOKUP(C60,기출문제!D:G,4,0),"")</f>
        <v/>
      </c>
      <c r="G60" s="32" t="str">
        <f t="shared" si="0"/>
        <v/>
      </c>
    </row>
    <row r="61" spans="2:7" x14ac:dyDescent="0.3">
      <c r="B61" s="13">
        <v>54</v>
      </c>
      <c r="C61" s="14" t="s">
        <v>766</v>
      </c>
      <c r="D61" s="13"/>
      <c r="E61" s="15" t="str">
        <f>IFERROR(VLOOKUP(C61,기출문제!D:G,3,0),"")</f>
        <v/>
      </c>
      <c r="F61" s="31" t="str">
        <f>IFERROR(VLOOKUP(C61,기출문제!D:G,4,0),"")</f>
        <v/>
      </c>
      <c r="G61" s="32" t="str">
        <f t="shared" si="0"/>
        <v/>
      </c>
    </row>
    <row r="62" spans="2:7" x14ac:dyDescent="0.3">
      <c r="B62" s="13">
        <v>55</v>
      </c>
      <c r="C62" s="14" t="s">
        <v>766</v>
      </c>
      <c r="D62" s="13"/>
      <c r="E62" s="15" t="str">
        <f>IFERROR(VLOOKUP(C62,기출문제!D:G,3,0),"")</f>
        <v/>
      </c>
      <c r="F62" s="31" t="str">
        <f>IFERROR(VLOOKUP(C62,기출문제!D:G,4,0),"")</f>
        <v/>
      </c>
      <c r="G62" s="32" t="str">
        <f t="shared" si="0"/>
        <v/>
      </c>
    </row>
    <row r="63" spans="2:7" x14ac:dyDescent="0.3">
      <c r="B63" s="13">
        <v>56</v>
      </c>
      <c r="C63" s="14" t="s">
        <v>766</v>
      </c>
      <c r="D63" s="13"/>
      <c r="E63" s="15" t="str">
        <f>IFERROR(VLOOKUP(C63,기출문제!D:G,3,0),"")</f>
        <v/>
      </c>
      <c r="F63" s="31" t="str">
        <f>IFERROR(VLOOKUP(C63,기출문제!D:G,4,0),"")</f>
        <v/>
      </c>
      <c r="G63" s="32" t="str">
        <f t="shared" si="0"/>
        <v/>
      </c>
    </row>
    <row r="64" spans="2:7" x14ac:dyDescent="0.3">
      <c r="B64" s="13">
        <v>57</v>
      </c>
      <c r="C64" s="14" t="s">
        <v>766</v>
      </c>
      <c r="D64" s="13"/>
      <c r="E64" s="15" t="str">
        <f>IFERROR(VLOOKUP(C64,기출문제!D:G,3,0),"")</f>
        <v/>
      </c>
      <c r="F64" s="31" t="str">
        <f>IFERROR(VLOOKUP(C64,기출문제!D:G,4,0),"")</f>
        <v/>
      </c>
      <c r="G64" s="32" t="str">
        <f t="shared" si="0"/>
        <v/>
      </c>
    </row>
    <row r="65" spans="2:7" x14ac:dyDescent="0.3">
      <c r="B65" s="13">
        <v>58</v>
      </c>
      <c r="C65" s="14" t="s">
        <v>766</v>
      </c>
      <c r="D65" s="13"/>
      <c r="E65" s="15" t="str">
        <f>IFERROR(VLOOKUP(C65,기출문제!D:G,3,0),"")</f>
        <v/>
      </c>
      <c r="F65" s="31" t="str">
        <f>IFERROR(VLOOKUP(C65,기출문제!D:G,4,0),"")</f>
        <v/>
      </c>
      <c r="G65" s="32" t="str">
        <f t="shared" si="0"/>
        <v/>
      </c>
    </row>
    <row r="66" spans="2:7" x14ac:dyDescent="0.3">
      <c r="B66" s="13">
        <v>59</v>
      </c>
      <c r="C66" s="14" t="s">
        <v>766</v>
      </c>
      <c r="D66" s="13"/>
      <c r="E66" s="15" t="str">
        <f>IFERROR(VLOOKUP(C66,기출문제!D:G,3,0),"")</f>
        <v/>
      </c>
      <c r="F66" s="31" t="str">
        <f>IFERROR(VLOOKUP(C66,기출문제!D:G,4,0),"")</f>
        <v/>
      </c>
      <c r="G66" s="32" t="str">
        <f t="shared" si="0"/>
        <v/>
      </c>
    </row>
    <row r="67" spans="2:7" x14ac:dyDescent="0.3">
      <c r="B67" s="13">
        <v>60</v>
      </c>
      <c r="C67" s="14" t="s">
        <v>766</v>
      </c>
      <c r="D67" s="13"/>
      <c r="E67" s="15" t="str">
        <f>IFERROR(VLOOKUP(C67,기출문제!D:G,3,0),"")</f>
        <v/>
      </c>
      <c r="F67" s="31" t="str">
        <f>IFERROR(VLOOKUP(C67,기출문제!D:G,4,0),"")</f>
        <v/>
      </c>
      <c r="G67" s="32" t="str">
        <f t="shared" si="0"/>
        <v/>
      </c>
    </row>
    <row r="68" spans="2:7" x14ac:dyDescent="0.3">
      <c r="B68" s="13">
        <v>61</v>
      </c>
      <c r="C68" s="14" t="s">
        <v>766</v>
      </c>
      <c r="D68" s="13"/>
      <c r="E68" s="15" t="str">
        <f>IFERROR(VLOOKUP(C68,기출문제!D:G,3,0),"")</f>
        <v/>
      </c>
      <c r="F68" s="31" t="str">
        <f>IFERROR(VLOOKUP(C68,기출문제!D:G,4,0),"")</f>
        <v/>
      </c>
      <c r="G68" s="32" t="str">
        <f t="shared" si="0"/>
        <v/>
      </c>
    </row>
    <row r="69" spans="2:7" x14ac:dyDescent="0.3">
      <c r="B69" s="13">
        <v>62</v>
      </c>
      <c r="C69" s="14" t="s">
        <v>766</v>
      </c>
      <c r="D69" s="13"/>
      <c r="E69" s="15" t="str">
        <f>IFERROR(VLOOKUP(C69,기출문제!D:G,3,0),"")</f>
        <v/>
      </c>
      <c r="F69" s="31" t="str">
        <f>IFERROR(VLOOKUP(C69,기출문제!D:G,4,0),"")</f>
        <v/>
      </c>
      <c r="G69" s="32" t="str">
        <f t="shared" si="0"/>
        <v/>
      </c>
    </row>
    <row r="70" spans="2:7" x14ac:dyDescent="0.3">
      <c r="B70" s="13">
        <v>63</v>
      </c>
      <c r="C70" s="14" t="s">
        <v>766</v>
      </c>
      <c r="D70" s="13"/>
      <c r="E70" s="15" t="str">
        <f>IFERROR(VLOOKUP(C70,기출문제!D:G,3,0),"")</f>
        <v/>
      </c>
      <c r="F70" s="31" t="str">
        <f>IFERROR(VLOOKUP(C70,기출문제!D:G,4,0),"")</f>
        <v/>
      </c>
      <c r="G70" s="32" t="str">
        <f t="shared" si="0"/>
        <v/>
      </c>
    </row>
    <row r="71" spans="2:7" x14ac:dyDescent="0.3">
      <c r="B71" s="13">
        <v>64</v>
      </c>
      <c r="C71" s="14" t="s">
        <v>766</v>
      </c>
      <c r="D71" s="13"/>
      <c r="E71" s="15" t="str">
        <f>IFERROR(VLOOKUP(C71,기출문제!D:G,3,0),"")</f>
        <v/>
      </c>
      <c r="F71" s="31" t="str">
        <f>IFERROR(VLOOKUP(C71,기출문제!D:G,4,0),"")</f>
        <v/>
      </c>
      <c r="G71" s="32" t="str">
        <f t="shared" si="0"/>
        <v/>
      </c>
    </row>
    <row r="72" spans="2:7" x14ac:dyDescent="0.3">
      <c r="B72" s="13">
        <v>65</v>
      </c>
      <c r="C72" s="14" t="s">
        <v>766</v>
      </c>
      <c r="D72" s="13"/>
      <c r="E72" s="15" t="str">
        <f>IFERROR(VLOOKUP(C72,기출문제!D:G,3,0),"")</f>
        <v/>
      </c>
      <c r="F72" s="31" t="str">
        <f>IFERROR(VLOOKUP(C72,기출문제!D:G,4,0),"")</f>
        <v/>
      </c>
      <c r="G72" s="32" t="str">
        <f t="shared" si="0"/>
        <v/>
      </c>
    </row>
    <row r="73" spans="2:7" x14ac:dyDescent="0.3">
      <c r="B73" s="13">
        <v>66</v>
      </c>
      <c r="C73" s="14" t="s">
        <v>766</v>
      </c>
      <c r="D73" s="13"/>
      <c r="E73" s="15" t="str">
        <f>IFERROR(VLOOKUP(C73,기출문제!D:G,3,0),"")</f>
        <v/>
      </c>
      <c r="F73" s="31" t="str">
        <f>IFERROR(VLOOKUP(C73,기출문제!D:G,4,0),"")</f>
        <v/>
      </c>
      <c r="G73" s="32" t="str">
        <f t="shared" ref="G73:G136" si="1">IF(D73="","",IF(D73=F73,"O", "X"))</f>
        <v/>
      </c>
    </row>
    <row r="74" spans="2:7" x14ac:dyDescent="0.3">
      <c r="B74" s="13">
        <v>67</v>
      </c>
      <c r="C74" s="14" t="s">
        <v>766</v>
      </c>
      <c r="D74" s="13"/>
      <c r="E74" s="15" t="str">
        <f>IFERROR(VLOOKUP(C74,기출문제!D:G,3,0),"")</f>
        <v/>
      </c>
      <c r="F74" s="31" t="str">
        <f>IFERROR(VLOOKUP(C74,기출문제!D:G,4,0),"")</f>
        <v/>
      </c>
      <c r="G74" s="32" t="str">
        <f t="shared" si="1"/>
        <v/>
      </c>
    </row>
    <row r="75" spans="2:7" x14ac:dyDescent="0.3">
      <c r="B75" s="13">
        <v>68</v>
      </c>
      <c r="C75" s="14" t="s">
        <v>766</v>
      </c>
      <c r="D75" s="13"/>
      <c r="E75" s="15" t="str">
        <f>IFERROR(VLOOKUP(C75,기출문제!D:G,3,0),"")</f>
        <v/>
      </c>
      <c r="F75" s="31" t="str">
        <f>IFERROR(VLOOKUP(C75,기출문제!D:G,4,0),"")</f>
        <v/>
      </c>
      <c r="G75" s="32" t="str">
        <f t="shared" si="1"/>
        <v/>
      </c>
    </row>
    <row r="76" spans="2:7" x14ac:dyDescent="0.3">
      <c r="B76" s="13">
        <v>69</v>
      </c>
      <c r="C76" s="14" t="s">
        <v>766</v>
      </c>
      <c r="D76" s="13"/>
      <c r="E76" s="15" t="str">
        <f>IFERROR(VLOOKUP(C76,기출문제!D:G,3,0),"")</f>
        <v/>
      </c>
      <c r="F76" s="31" t="str">
        <f>IFERROR(VLOOKUP(C76,기출문제!D:G,4,0),"")</f>
        <v/>
      </c>
      <c r="G76" s="32" t="str">
        <f t="shared" si="1"/>
        <v/>
      </c>
    </row>
    <row r="77" spans="2:7" x14ac:dyDescent="0.3">
      <c r="B77" s="13">
        <v>70</v>
      </c>
      <c r="C77" s="14" t="s">
        <v>766</v>
      </c>
      <c r="D77" s="13"/>
      <c r="E77" s="15" t="str">
        <f>IFERROR(VLOOKUP(C77,기출문제!D:G,3,0),"")</f>
        <v/>
      </c>
      <c r="F77" s="31" t="str">
        <f>IFERROR(VLOOKUP(C77,기출문제!D:G,4,0),"")</f>
        <v/>
      </c>
      <c r="G77" s="32" t="str">
        <f t="shared" si="1"/>
        <v/>
      </c>
    </row>
    <row r="78" spans="2:7" x14ac:dyDescent="0.3">
      <c r="B78" s="13">
        <v>71</v>
      </c>
      <c r="C78" s="14" t="s">
        <v>766</v>
      </c>
      <c r="D78" s="13"/>
      <c r="E78" s="15" t="str">
        <f>IFERROR(VLOOKUP(C78,기출문제!D:G,3,0),"")</f>
        <v/>
      </c>
      <c r="F78" s="31" t="str">
        <f>IFERROR(VLOOKUP(C78,기출문제!D:G,4,0),"")</f>
        <v/>
      </c>
      <c r="G78" s="32" t="str">
        <f t="shared" si="1"/>
        <v/>
      </c>
    </row>
    <row r="79" spans="2:7" x14ac:dyDescent="0.3">
      <c r="B79" s="13">
        <v>72</v>
      </c>
      <c r="C79" s="14" t="s">
        <v>766</v>
      </c>
      <c r="D79" s="13"/>
      <c r="E79" s="15" t="str">
        <f>IFERROR(VLOOKUP(C79,기출문제!D:G,3,0),"")</f>
        <v/>
      </c>
      <c r="F79" s="31" t="str">
        <f>IFERROR(VLOOKUP(C79,기출문제!D:G,4,0),"")</f>
        <v/>
      </c>
      <c r="G79" s="32" t="str">
        <f t="shared" si="1"/>
        <v/>
      </c>
    </row>
    <row r="80" spans="2:7" x14ac:dyDescent="0.3">
      <c r="B80" s="13">
        <v>73</v>
      </c>
      <c r="C80" s="14" t="s">
        <v>766</v>
      </c>
      <c r="D80" s="13"/>
      <c r="E80" s="15" t="str">
        <f>IFERROR(VLOOKUP(C80,기출문제!D:G,3,0),"")</f>
        <v/>
      </c>
      <c r="F80" s="31" t="str">
        <f>IFERROR(VLOOKUP(C80,기출문제!D:G,4,0),"")</f>
        <v/>
      </c>
      <c r="G80" s="32" t="str">
        <f t="shared" si="1"/>
        <v/>
      </c>
    </row>
    <row r="81" spans="2:7" x14ac:dyDescent="0.3">
      <c r="B81" s="13">
        <v>74</v>
      </c>
      <c r="C81" s="14" t="s">
        <v>766</v>
      </c>
      <c r="D81" s="13"/>
      <c r="E81" s="15" t="str">
        <f>IFERROR(VLOOKUP(C81,기출문제!D:G,3,0),"")</f>
        <v/>
      </c>
      <c r="F81" s="31" t="str">
        <f>IFERROR(VLOOKUP(C81,기출문제!D:G,4,0),"")</f>
        <v/>
      </c>
      <c r="G81" s="32" t="str">
        <f t="shared" si="1"/>
        <v/>
      </c>
    </row>
    <row r="82" spans="2:7" x14ac:dyDescent="0.3">
      <c r="B82" s="13">
        <v>75</v>
      </c>
      <c r="C82" s="14" t="s">
        <v>766</v>
      </c>
      <c r="D82" s="13"/>
      <c r="E82" s="15" t="str">
        <f>IFERROR(VLOOKUP(C82,기출문제!D:G,3,0),"")</f>
        <v/>
      </c>
      <c r="F82" s="31" t="str">
        <f>IFERROR(VLOOKUP(C82,기출문제!D:G,4,0),"")</f>
        <v/>
      </c>
      <c r="G82" s="32" t="str">
        <f t="shared" si="1"/>
        <v/>
      </c>
    </row>
    <row r="83" spans="2:7" x14ac:dyDescent="0.3">
      <c r="B83" s="13">
        <v>76</v>
      </c>
      <c r="C83" s="14" t="s">
        <v>766</v>
      </c>
      <c r="D83" s="13"/>
      <c r="E83" s="15" t="str">
        <f>IFERROR(VLOOKUP(C83,기출문제!D:G,3,0),"")</f>
        <v/>
      </c>
      <c r="F83" s="31" t="str">
        <f>IFERROR(VLOOKUP(C83,기출문제!D:G,4,0),"")</f>
        <v/>
      </c>
      <c r="G83" s="32" t="str">
        <f t="shared" si="1"/>
        <v/>
      </c>
    </row>
    <row r="84" spans="2:7" x14ac:dyDescent="0.3">
      <c r="B84" s="13">
        <v>77</v>
      </c>
      <c r="C84" s="14" t="s">
        <v>766</v>
      </c>
      <c r="D84" s="13"/>
      <c r="E84" s="15" t="str">
        <f>IFERROR(VLOOKUP(C84,기출문제!D:G,3,0),"")</f>
        <v/>
      </c>
      <c r="F84" s="31" t="str">
        <f>IFERROR(VLOOKUP(C84,기출문제!D:G,4,0),"")</f>
        <v/>
      </c>
      <c r="G84" s="32" t="str">
        <f t="shared" si="1"/>
        <v/>
      </c>
    </row>
    <row r="85" spans="2:7" x14ac:dyDescent="0.3">
      <c r="B85" s="13">
        <v>78</v>
      </c>
      <c r="C85" s="14" t="s">
        <v>766</v>
      </c>
      <c r="D85" s="13"/>
      <c r="E85" s="15" t="str">
        <f>IFERROR(VLOOKUP(C85,기출문제!D:G,3,0),"")</f>
        <v/>
      </c>
      <c r="F85" s="31" t="str">
        <f>IFERROR(VLOOKUP(C85,기출문제!D:G,4,0),"")</f>
        <v/>
      </c>
      <c r="G85" s="32" t="str">
        <f t="shared" si="1"/>
        <v/>
      </c>
    </row>
    <row r="86" spans="2:7" x14ac:dyDescent="0.3">
      <c r="B86" s="13">
        <v>79</v>
      </c>
      <c r="C86" s="14" t="s">
        <v>766</v>
      </c>
      <c r="D86" s="13"/>
      <c r="E86" s="15" t="str">
        <f>IFERROR(VLOOKUP(C86,기출문제!D:G,3,0),"")</f>
        <v/>
      </c>
      <c r="F86" s="31" t="str">
        <f>IFERROR(VLOOKUP(C86,기출문제!D:G,4,0),"")</f>
        <v/>
      </c>
      <c r="G86" s="32" t="str">
        <f t="shared" si="1"/>
        <v/>
      </c>
    </row>
    <row r="87" spans="2:7" x14ac:dyDescent="0.3">
      <c r="B87" s="13">
        <v>80</v>
      </c>
      <c r="C87" s="14" t="s">
        <v>766</v>
      </c>
      <c r="D87" s="13"/>
      <c r="E87" s="15" t="str">
        <f>IFERROR(VLOOKUP(C87,기출문제!D:G,3,0),"")</f>
        <v/>
      </c>
      <c r="F87" s="31" t="str">
        <f>IFERROR(VLOOKUP(C87,기출문제!D:G,4,0),"")</f>
        <v/>
      </c>
      <c r="G87" s="32" t="str">
        <f t="shared" si="1"/>
        <v/>
      </c>
    </row>
    <row r="88" spans="2:7" x14ac:dyDescent="0.3">
      <c r="B88" s="13">
        <v>81</v>
      </c>
      <c r="C88" s="14" t="s">
        <v>766</v>
      </c>
      <c r="D88" s="13"/>
      <c r="E88" s="15" t="str">
        <f>IFERROR(VLOOKUP(C88,기출문제!D:G,3,0),"")</f>
        <v/>
      </c>
      <c r="F88" s="31" t="str">
        <f>IFERROR(VLOOKUP(C88,기출문제!D:G,4,0),"")</f>
        <v/>
      </c>
      <c r="G88" s="32" t="str">
        <f t="shared" si="1"/>
        <v/>
      </c>
    </row>
    <row r="89" spans="2:7" x14ac:dyDescent="0.3">
      <c r="B89" s="13">
        <v>82</v>
      </c>
      <c r="C89" s="14" t="s">
        <v>766</v>
      </c>
      <c r="D89" s="13"/>
      <c r="E89" s="15" t="str">
        <f>IFERROR(VLOOKUP(C89,기출문제!D:G,3,0),"")</f>
        <v/>
      </c>
      <c r="F89" s="31" t="str">
        <f>IFERROR(VLOOKUP(C89,기출문제!D:G,4,0),"")</f>
        <v/>
      </c>
      <c r="G89" s="32" t="str">
        <f t="shared" si="1"/>
        <v/>
      </c>
    </row>
    <row r="90" spans="2:7" x14ac:dyDescent="0.3">
      <c r="B90" s="13">
        <v>83</v>
      </c>
      <c r="C90" s="14" t="s">
        <v>766</v>
      </c>
      <c r="D90" s="13"/>
      <c r="E90" s="15" t="str">
        <f>IFERROR(VLOOKUP(C90,기출문제!D:G,3,0),"")</f>
        <v/>
      </c>
      <c r="F90" s="31" t="str">
        <f>IFERROR(VLOOKUP(C90,기출문제!D:G,4,0),"")</f>
        <v/>
      </c>
      <c r="G90" s="32" t="str">
        <f t="shared" si="1"/>
        <v/>
      </c>
    </row>
    <row r="91" spans="2:7" x14ac:dyDescent="0.3">
      <c r="B91" s="13">
        <v>84</v>
      </c>
      <c r="C91" s="14" t="s">
        <v>766</v>
      </c>
      <c r="D91" s="13"/>
      <c r="E91" s="15" t="str">
        <f>IFERROR(VLOOKUP(C91,기출문제!D:G,3,0),"")</f>
        <v/>
      </c>
      <c r="F91" s="31" t="str">
        <f>IFERROR(VLOOKUP(C91,기출문제!D:G,4,0),"")</f>
        <v/>
      </c>
      <c r="G91" s="32" t="str">
        <f t="shared" si="1"/>
        <v/>
      </c>
    </row>
    <row r="92" spans="2:7" x14ac:dyDescent="0.3">
      <c r="B92" s="13">
        <v>85</v>
      </c>
      <c r="C92" s="14" t="s">
        <v>766</v>
      </c>
      <c r="D92" s="13"/>
      <c r="E92" s="15" t="str">
        <f>IFERROR(VLOOKUP(C92,기출문제!D:G,3,0),"")</f>
        <v/>
      </c>
      <c r="F92" s="31" t="str">
        <f>IFERROR(VLOOKUP(C92,기출문제!D:G,4,0),"")</f>
        <v/>
      </c>
      <c r="G92" s="32" t="str">
        <f t="shared" si="1"/>
        <v/>
      </c>
    </row>
    <row r="93" spans="2:7" x14ac:dyDescent="0.3">
      <c r="B93" s="13">
        <v>86</v>
      </c>
      <c r="C93" s="14" t="s">
        <v>766</v>
      </c>
      <c r="D93" s="13"/>
      <c r="E93" s="15" t="str">
        <f>IFERROR(VLOOKUP(C93,기출문제!D:G,3,0),"")</f>
        <v/>
      </c>
      <c r="F93" s="31" t="str">
        <f>IFERROR(VLOOKUP(C93,기출문제!D:G,4,0),"")</f>
        <v/>
      </c>
      <c r="G93" s="32" t="str">
        <f t="shared" si="1"/>
        <v/>
      </c>
    </row>
    <row r="94" spans="2:7" x14ac:dyDescent="0.3">
      <c r="B94" s="13">
        <v>87</v>
      </c>
      <c r="C94" s="14" t="s">
        <v>766</v>
      </c>
      <c r="D94" s="13"/>
      <c r="E94" s="15" t="str">
        <f>IFERROR(VLOOKUP(C94,기출문제!D:G,3,0),"")</f>
        <v/>
      </c>
      <c r="F94" s="31" t="str">
        <f>IFERROR(VLOOKUP(C94,기출문제!D:G,4,0),"")</f>
        <v/>
      </c>
      <c r="G94" s="32" t="str">
        <f t="shared" si="1"/>
        <v/>
      </c>
    </row>
    <row r="95" spans="2:7" x14ac:dyDescent="0.3">
      <c r="B95" s="13">
        <v>88</v>
      </c>
      <c r="C95" s="14" t="s">
        <v>766</v>
      </c>
      <c r="D95" s="13"/>
      <c r="E95" s="15" t="str">
        <f>IFERROR(VLOOKUP(C95,기출문제!D:G,3,0),"")</f>
        <v/>
      </c>
      <c r="F95" s="31" t="str">
        <f>IFERROR(VLOOKUP(C95,기출문제!D:G,4,0),"")</f>
        <v/>
      </c>
      <c r="G95" s="32" t="str">
        <f t="shared" si="1"/>
        <v/>
      </c>
    </row>
    <row r="96" spans="2:7" x14ac:dyDescent="0.3">
      <c r="B96" s="13">
        <v>89</v>
      </c>
      <c r="C96" s="14" t="s">
        <v>766</v>
      </c>
      <c r="D96" s="13"/>
      <c r="E96" s="15" t="str">
        <f>IFERROR(VLOOKUP(C96,기출문제!D:G,3,0),"")</f>
        <v/>
      </c>
      <c r="F96" s="31" t="str">
        <f>IFERROR(VLOOKUP(C96,기출문제!D:G,4,0),"")</f>
        <v/>
      </c>
      <c r="G96" s="32" t="str">
        <f t="shared" si="1"/>
        <v/>
      </c>
    </row>
    <row r="97" spans="2:7" x14ac:dyDescent="0.3">
      <c r="B97" s="13">
        <v>90</v>
      </c>
      <c r="C97" s="14" t="s">
        <v>766</v>
      </c>
      <c r="D97" s="13"/>
      <c r="E97" s="15" t="str">
        <f>IFERROR(VLOOKUP(C97,기출문제!D:G,3,0),"")</f>
        <v/>
      </c>
      <c r="F97" s="31" t="str">
        <f>IFERROR(VLOOKUP(C97,기출문제!D:G,4,0),"")</f>
        <v/>
      </c>
      <c r="G97" s="32" t="str">
        <f t="shared" si="1"/>
        <v/>
      </c>
    </row>
    <row r="98" spans="2:7" x14ac:dyDescent="0.3">
      <c r="B98" s="13">
        <v>91</v>
      </c>
      <c r="C98" s="14" t="s">
        <v>766</v>
      </c>
      <c r="D98" s="13"/>
      <c r="E98" s="15" t="str">
        <f>IFERROR(VLOOKUP(C98,기출문제!D:G,3,0),"")</f>
        <v/>
      </c>
      <c r="F98" s="31" t="str">
        <f>IFERROR(VLOOKUP(C98,기출문제!D:G,4,0),"")</f>
        <v/>
      </c>
      <c r="G98" s="32" t="str">
        <f t="shared" si="1"/>
        <v/>
      </c>
    </row>
    <row r="99" spans="2:7" x14ac:dyDescent="0.3">
      <c r="B99" s="13">
        <v>92</v>
      </c>
      <c r="C99" s="14" t="s">
        <v>766</v>
      </c>
      <c r="D99" s="13"/>
      <c r="E99" s="15" t="str">
        <f>IFERROR(VLOOKUP(C99,기출문제!D:G,3,0),"")</f>
        <v/>
      </c>
      <c r="F99" s="31" t="str">
        <f>IFERROR(VLOOKUP(C99,기출문제!D:G,4,0),"")</f>
        <v/>
      </c>
      <c r="G99" s="32" t="str">
        <f t="shared" si="1"/>
        <v/>
      </c>
    </row>
    <row r="100" spans="2:7" x14ac:dyDescent="0.3">
      <c r="B100" s="13">
        <v>93</v>
      </c>
      <c r="C100" s="14" t="s">
        <v>766</v>
      </c>
      <c r="D100" s="13"/>
      <c r="E100" s="15" t="str">
        <f>IFERROR(VLOOKUP(C100,기출문제!D:G,3,0),"")</f>
        <v/>
      </c>
      <c r="F100" s="31" t="str">
        <f>IFERROR(VLOOKUP(C100,기출문제!D:G,4,0),"")</f>
        <v/>
      </c>
      <c r="G100" s="32" t="str">
        <f t="shared" si="1"/>
        <v/>
      </c>
    </row>
    <row r="101" spans="2:7" x14ac:dyDescent="0.3">
      <c r="B101" s="13">
        <v>94</v>
      </c>
      <c r="C101" s="14" t="s">
        <v>766</v>
      </c>
      <c r="D101" s="13"/>
      <c r="E101" s="15" t="str">
        <f>IFERROR(VLOOKUP(C101,기출문제!D:G,3,0),"")</f>
        <v/>
      </c>
      <c r="F101" s="31" t="str">
        <f>IFERROR(VLOOKUP(C101,기출문제!D:G,4,0),"")</f>
        <v/>
      </c>
      <c r="G101" s="32" t="str">
        <f t="shared" si="1"/>
        <v/>
      </c>
    </row>
    <row r="102" spans="2:7" x14ac:dyDescent="0.3">
      <c r="B102" s="13">
        <v>95</v>
      </c>
      <c r="C102" s="14" t="s">
        <v>766</v>
      </c>
      <c r="D102" s="13"/>
      <c r="E102" s="15" t="str">
        <f>IFERROR(VLOOKUP(C102,기출문제!D:G,3,0),"")</f>
        <v/>
      </c>
      <c r="F102" s="31" t="str">
        <f>IFERROR(VLOOKUP(C102,기출문제!D:G,4,0),"")</f>
        <v/>
      </c>
      <c r="G102" s="32" t="str">
        <f t="shared" si="1"/>
        <v/>
      </c>
    </row>
    <row r="103" spans="2:7" x14ac:dyDescent="0.3">
      <c r="B103" s="13">
        <v>96</v>
      </c>
      <c r="C103" s="14" t="s">
        <v>766</v>
      </c>
      <c r="D103" s="13"/>
      <c r="E103" s="15" t="str">
        <f>IFERROR(VLOOKUP(C103,기출문제!D:G,3,0),"")</f>
        <v/>
      </c>
      <c r="F103" s="31" t="str">
        <f>IFERROR(VLOOKUP(C103,기출문제!D:G,4,0),"")</f>
        <v/>
      </c>
      <c r="G103" s="32" t="str">
        <f t="shared" si="1"/>
        <v/>
      </c>
    </row>
    <row r="104" spans="2:7" x14ac:dyDescent="0.3">
      <c r="B104" s="13">
        <v>97</v>
      </c>
      <c r="C104" s="14" t="s">
        <v>766</v>
      </c>
      <c r="D104" s="13"/>
      <c r="E104" s="15" t="str">
        <f>IFERROR(VLOOKUP(C104,기출문제!D:G,3,0),"")</f>
        <v/>
      </c>
      <c r="F104" s="31" t="str">
        <f>IFERROR(VLOOKUP(C104,기출문제!D:G,4,0),"")</f>
        <v/>
      </c>
      <c r="G104" s="32" t="str">
        <f t="shared" si="1"/>
        <v/>
      </c>
    </row>
    <row r="105" spans="2:7" x14ac:dyDescent="0.3">
      <c r="B105" s="13">
        <v>98</v>
      </c>
      <c r="C105" s="14" t="s">
        <v>766</v>
      </c>
      <c r="D105" s="13"/>
      <c r="E105" s="15" t="str">
        <f>IFERROR(VLOOKUP(C105,기출문제!D:G,3,0),"")</f>
        <v/>
      </c>
      <c r="F105" s="31" t="str">
        <f>IFERROR(VLOOKUP(C105,기출문제!D:G,4,0),"")</f>
        <v/>
      </c>
      <c r="G105" s="32" t="str">
        <f t="shared" si="1"/>
        <v/>
      </c>
    </row>
    <row r="106" spans="2:7" x14ac:dyDescent="0.3">
      <c r="B106" s="13">
        <v>99</v>
      </c>
      <c r="C106" s="14" t="s">
        <v>766</v>
      </c>
      <c r="D106" s="13"/>
      <c r="E106" s="15" t="str">
        <f>IFERROR(VLOOKUP(C106,기출문제!D:G,3,0),"")</f>
        <v/>
      </c>
      <c r="F106" s="31" t="str">
        <f>IFERROR(VLOOKUP(C106,기출문제!D:G,4,0),"")</f>
        <v/>
      </c>
      <c r="G106" s="32" t="str">
        <f t="shared" si="1"/>
        <v/>
      </c>
    </row>
    <row r="107" spans="2:7" x14ac:dyDescent="0.3">
      <c r="B107" s="13">
        <v>100</v>
      </c>
      <c r="C107" s="14" t="s">
        <v>766</v>
      </c>
      <c r="D107" s="13"/>
      <c r="E107" s="15" t="str">
        <f>IFERROR(VLOOKUP(C107,기출문제!D:G,3,0),"")</f>
        <v/>
      </c>
      <c r="F107" s="31" t="str">
        <f>IFERROR(VLOOKUP(C107,기출문제!D:G,4,0),"")</f>
        <v/>
      </c>
      <c r="G107" s="32" t="str">
        <f t="shared" si="1"/>
        <v/>
      </c>
    </row>
    <row r="108" spans="2:7" x14ac:dyDescent="0.3">
      <c r="B108" s="13">
        <v>101</v>
      </c>
      <c r="C108" s="14" t="s">
        <v>766</v>
      </c>
      <c r="D108" s="13"/>
      <c r="E108" s="15" t="str">
        <f>IFERROR(VLOOKUP(C108,기출문제!D:G,3,0),"")</f>
        <v/>
      </c>
      <c r="F108" s="31" t="str">
        <f>IFERROR(VLOOKUP(C108,기출문제!D:G,4,0),"")</f>
        <v/>
      </c>
      <c r="G108" s="32" t="str">
        <f t="shared" si="1"/>
        <v/>
      </c>
    </row>
    <row r="109" spans="2:7" x14ac:dyDescent="0.3">
      <c r="B109" s="13">
        <v>102</v>
      </c>
      <c r="C109" s="14" t="s">
        <v>766</v>
      </c>
      <c r="D109" s="13"/>
      <c r="E109" s="15" t="str">
        <f>IFERROR(VLOOKUP(C109,기출문제!D:G,3,0),"")</f>
        <v/>
      </c>
      <c r="F109" s="31" t="str">
        <f>IFERROR(VLOOKUP(C109,기출문제!D:G,4,0),"")</f>
        <v/>
      </c>
      <c r="G109" s="32" t="str">
        <f t="shared" si="1"/>
        <v/>
      </c>
    </row>
    <row r="110" spans="2:7" x14ac:dyDescent="0.3">
      <c r="B110" s="13">
        <v>103</v>
      </c>
      <c r="C110" s="14" t="s">
        <v>766</v>
      </c>
      <c r="D110" s="13"/>
      <c r="E110" s="15" t="str">
        <f>IFERROR(VLOOKUP(C110,기출문제!D:G,3,0),"")</f>
        <v/>
      </c>
      <c r="F110" s="31" t="str">
        <f>IFERROR(VLOOKUP(C110,기출문제!D:G,4,0),"")</f>
        <v/>
      </c>
      <c r="G110" s="32" t="str">
        <f t="shared" si="1"/>
        <v/>
      </c>
    </row>
    <row r="111" spans="2:7" x14ac:dyDescent="0.3">
      <c r="B111" s="13">
        <v>104</v>
      </c>
      <c r="C111" s="14" t="s">
        <v>766</v>
      </c>
      <c r="D111" s="13"/>
      <c r="E111" s="15" t="str">
        <f>IFERROR(VLOOKUP(C111,기출문제!D:G,3,0),"")</f>
        <v/>
      </c>
      <c r="F111" s="31" t="str">
        <f>IFERROR(VLOOKUP(C111,기출문제!D:G,4,0),"")</f>
        <v/>
      </c>
      <c r="G111" s="32" t="str">
        <f t="shared" si="1"/>
        <v/>
      </c>
    </row>
    <row r="112" spans="2:7" x14ac:dyDescent="0.3">
      <c r="B112" s="13">
        <v>105</v>
      </c>
      <c r="C112" s="14" t="s">
        <v>766</v>
      </c>
      <c r="D112" s="13"/>
      <c r="E112" s="15" t="str">
        <f>IFERROR(VLOOKUP(C112,기출문제!D:G,3,0),"")</f>
        <v/>
      </c>
      <c r="F112" s="31" t="str">
        <f>IFERROR(VLOOKUP(C112,기출문제!D:G,4,0),"")</f>
        <v/>
      </c>
      <c r="G112" s="32" t="str">
        <f t="shared" si="1"/>
        <v/>
      </c>
    </row>
    <row r="113" spans="2:7" x14ac:dyDescent="0.3">
      <c r="B113" s="13">
        <v>106</v>
      </c>
      <c r="C113" s="14" t="s">
        <v>766</v>
      </c>
      <c r="D113" s="13"/>
      <c r="E113" s="15" t="str">
        <f>IFERROR(VLOOKUP(C113,기출문제!D:G,3,0),"")</f>
        <v/>
      </c>
      <c r="F113" s="31" t="str">
        <f>IFERROR(VLOOKUP(C113,기출문제!D:G,4,0),"")</f>
        <v/>
      </c>
      <c r="G113" s="32" t="str">
        <f t="shared" si="1"/>
        <v/>
      </c>
    </row>
    <row r="114" spans="2:7" x14ac:dyDescent="0.3">
      <c r="B114" s="13">
        <v>107</v>
      </c>
      <c r="C114" s="14" t="s">
        <v>766</v>
      </c>
      <c r="D114" s="13"/>
      <c r="E114" s="15" t="str">
        <f>IFERROR(VLOOKUP(C114,기출문제!D:G,3,0),"")</f>
        <v/>
      </c>
      <c r="F114" s="31" t="str">
        <f>IFERROR(VLOOKUP(C114,기출문제!D:G,4,0),"")</f>
        <v/>
      </c>
      <c r="G114" s="32" t="str">
        <f t="shared" si="1"/>
        <v/>
      </c>
    </row>
    <row r="115" spans="2:7" x14ac:dyDescent="0.3">
      <c r="B115" s="13">
        <v>108</v>
      </c>
      <c r="C115" s="14" t="s">
        <v>766</v>
      </c>
      <c r="D115" s="13"/>
      <c r="E115" s="15" t="str">
        <f>IFERROR(VLOOKUP(C115,기출문제!D:G,3,0),"")</f>
        <v/>
      </c>
      <c r="F115" s="31" t="str">
        <f>IFERROR(VLOOKUP(C115,기출문제!D:G,4,0),"")</f>
        <v/>
      </c>
      <c r="G115" s="32" t="str">
        <f t="shared" si="1"/>
        <v/>
      </c>
    </row>
    <row r="116" spans="2:7" x14ac:dyDescent="0.3">
      <c r="B116" s="13">
        <v>109</v>
      </c>
      <c r="C116" s="14" t="s">
        <v>766</v>
      </c>
      <c r="D116" s="13"/>
      <c r="E116" s="15" t="str">
        <f>IFERROR(VLOOKUP(C116,기출문제!D:G,3,0),"")</f>
        <v/>
      </c>
      <c r="F116" s="31" t="str">
        <f>IFERROR(VLOOKUP(C116,기출문제!D:G,4,0),"")</f>
        <v/>
      </c>
      <c r="G116" s="32" t="str">
        <f t="shared" si="1"/>
        <v/>
      </c>
    </row>
    <row r="117" spans="2:7" x14ac:dyDescent="0.3">
      <c r="B117" s="13">
        <v>110</v>
      </c>
      <c r="C117" s="14" t="s">
        <v>766</v>
      </c>
      <c r="D117" s="13"/>
      <c r="E117" s="15" t="str">
        <f>IFERROR(VLOOKUP(C117,기출문제!D:G,3,0),"")</f>
        <v/>
      </c>
      <c r="F117" s="31" t="str">
        <f>IFERROR(VLOOKUP(C117,기출문제!D:G,4,0),"")</f>
        <v/>
      </c>
      <c r="G117" s="32" t="str">
        <f t="shared" si="1"/>
        <v/>
      </c>
    </row>
    <row r="118" spans="2:7" x14ac:dyDescent="0.3">
      <c r="B118" s="13">
        <v>111</v>
      </c>
      <c r="C118" s="14" t="s">
        <v>766</v>
      </c>
      <c r="D118" s="13"/>
      <c r="E118" s="15" t="str">
        <f>IFERROR(VLOOKUP(C118,기출문제!D:G,3,0),"")</f>
        <v/>
      </c>
      <c r="F118" s="31" t="str">
        <f>IFERROR(VLOOKUP(C118,기출문제!D:G,4,0),"")</f>
        <v/>
      </c>
      <c r="G118" s="32" t="str">
        <f t="shared" si="1"/>
        <v/>
      </c>
    </row>
    <row r="119" spans="2:7" x14ac:dyDescent="0.3">
      <c r="B119" s="13">
        <v>112</v>
      </c>
      <c r="C119" s="14" t="s">
        <v>766</v>
      </c>
      <c r="D119" s="13"/>
      <c r="E119" s="15" t="str">
        <f>IFERROR(VLOOKUP(C119,기출문제!D:G,3,0),"")</f>
        <v/>
      </c>
      <c r="F119" s="31" t="str">
        <f>IFERROR(VLOOKUP(C119,기출문제!D:G,4,0),"")</f>
        <v/>
      </c>
      <c r="G119" s="32" t="str">
        <f t="shared" si="1"/>
        <v/>
      </c>
    </row>
    <row r="120" spans="2:7" x14ac:dyDescent="0.3">
      <c r="B120" s="13">
        <v>113</v>
      </c>
      <c r="C120" s="14" t="s">
        <v>766</v>
      </c>
      <c r="D120" s="13"/>
      <c r="E120" s="15" t="str">
        <f>IFERROR(VLOOKUP(C120,기출문제!D:G,3,0),"")</f>
        <v/>
      </c>
      <c r="F120" s="31" t="str">
        <f>IFERROR(VLOOKUP(C120,기출문제!D:G,4,0),"")</f>
        <v/>
      </c>
      <c r="G120" s="32" t="str">
        <f t="shared" si="1"/>
        <v/>
      </c>
    </row>
    <row r="121" spans="2:7" x14ac:dyDescent="0.3">
      <c r="B121" s="13">
        <v>114</v>
      </c>
      <c r="C121" s="14" t="s">
        <v>766</v>
      </c>
      <c r="D121" s="13"/>
      <c r="E121" s="15" t="str">
        <f>IFERROR(VLOOKUP(C121,기출문제!D:G,3,0),"")</f>
        <v/>
      </c>
      <c r="F121" s="31" t="str">
        <f>IFERROR(VLOOKUP(C121,기출문제!D:G,4,0),"")</f>
        <v/>
      </c>
      <c r="G121" s="32" t="str">
        <f t="shared" si="1"/>
        <v/>
      </c>
    </row>
    <row r="122" spans="2:7" x14ac:dyDescent="0.3">
      <c r="B122" s="13">
        <v>115</v>
      </c>
      <c r="C122" s="14" t="s">
        <v>766</v>
      </c>
      <c r="D122" s="13"/>
      <c r="E122" s="15" t="str">
        <f>IFERROR(VLOOKUP(C122,기출문제!D:G,3,0),"")</f>
        <v/>
      </c>
      <c r="F122" s="31" t="str">
        <f>IFERROR(VLOOKUP(C122,기출문제!D:G,4,0),"")</f>
        <v/>
      </c>
      <c r="G122" s="32" t="str">
        <f t="shared" si="1"/>
        <v/>
      </c>
    </row>
    <row r="123" spans="2:7" x14ac:dyDescent="0.3">
      <c r="B123" s="13">
        <v>116</v>
      </c>
      <c r="C123" s="14" t="s">
        <v>766</v>
      </c>
      <c r="D123" s="13"/>
      <c r="E123" s="15" t="str">
        <f>IFERROR(VLOOKUP(C123,기출문제!D:G,3,0),"")</f>
        <v/>
      </c>
      <c r="F123" s="31" t="str">
        <f>IFERROR(VLOOKUP(C123,기출문제!D:G,4,0),"")</f>
        <v/>
      </c>
      <c r="G123" s="32" t="str">
        <f t="shared" si="1"/>
        <v/>
      </c>
    </row>
    <row r="124" spans="2:7" x14ac:dyDescent="0.3">
      <c r="B124" s="13">
        <v>117</v>
      </c>
      <c r="C124" s="14" t="s">
        <v>766</v>
      </c>
      <c r="D124" s="13"/>
      <c r="E124" s="15" t="str">
        <f>IFERROR(VLOOKUP(C124,기출문제!D:G,3,0),"")</f>
        <v/>
      </c>
      <c r="F124" s="31" t="str">
        <f>IFERROR(VLOOKUP(C124,기출문제!D:G,4,0),"")</f>
        <v/>
      </c>
      <c r="G124" s="32" t="str">
        <f t="shared" si="1"/>
        <v/>
      </c>
    </row>
    <row r="125" spans="2:7" x14ac:dyDescent="0.3">
      <c r="B125" s="13">
        <v>118</v>
      </c>
      <c r="C125" s="14" t="s">
        <v>766</v>
      </c>
      <c r="D125" s="13"/>
      <c r="E125" s="15" t="str">
        <f>IFERROR(VLOOKUP(C125,기출문제!D:G,3,0),"")</f>
        <v/>
      </c>
      <c r="F125" s="31" t="str">
        <f>IFERROR(VLOOKUP(C125,기출문제!D:G,4,0),"")</f>
        <v/>
      </c>
      <c r="G125" s="32" t="str">
        <f t="shared" si="1"/>
        <v/>
      </c>
    </row>
    <row r="126" spans="2:7" x14ac:dyDescent="0.3">
      <c r="B126" s="13">
        <v>119</v>
      </c>
      <c r="C126" s="14" t="s">
        <v>766</v>
      </c>
      <c r="D126" s="13"/>
      <c r="E126" s="15" t="str">
        <f>IFERROR(VLOOKUP(C126,기출문제!D:G,3,0),"")</f>
        <v/>
      </c>
      <c r="F126" s="31" t="str">
        <f>IFERROR(VLOOKUP(C126,기출문제!D:G,4,0),"")</f>
        <v/>
      </c>
      <c r="G126" s="32" t="str">
        <f t="shared" si="1"/>
        <v/>
      </c>
    </row>
    <row r="127" spans="2:7" x14ac:dyDescent="0.3">
      <c r="B127" s="13">
        <v>120</v>
      </c>
      <c r="C127" s="14" t="s">
        <v>766</v>
      </c>
      <c r="D127" s="13"/>
      <c r="E127" s="15" t="str">
        <f>IFERROR(VLOOKUP(C127,기출문제!D:G,3,0),"")</f>
        <v/>
      </c>
      <c r="F127" s="31" t="str">
        <f>IFERROR(VLOOKUP(C127,기출문제!D:G,4,0),"")</f>
        <v/>
      </c>
      <c r="G127" s="32" t="str">
        <f t="shared" si="1"/>
        <v/>
      </c>
    </row>
    <row r="128" spans="2:7" x14ac:dyDescent="0.3">
      <c r="B128" s="13">
        <v>121</v>
      </c>
      <c r="C128" s="14" t="s">
        <v>766</v>
      </c>
      <c r="D128" s="13"/>
      <c r="E128" s="15" t="str">
        <f>IFERROR(VLOOKUP(C128,기출문제!D:G,3,0),"")</f>
        <v/>
      </c>
      <c r="F128" s="31" t="str">
        <f>IFERROR(VLOOKUP(C128,기출문제!D:G,4,0),"")</f>
        <v/>
      </c>
      <c r="G128" s="32" t="str">
        <f t="shared" si="1"/>
        <v/>
      </c>
    </row>
    <row r="129" spans="2:7" x14ac:dyDescent="0.3">
      <c r="B129" s="13">
        <v>122</v>
      </c>
      <c r="C129" s="14" t="s">
        <v>766</v>
      </c>
      <c r="D129" s="13"/>
      <c r="E129" s="15" t="str">
        <f>IFERROR(VLOOKUP(C129,기출문제!D:G,3,0),"")</f>
        <v/>
      </c>
      <c r="F129" s="31" t="str">
        <f>IFERROR(VLOOKUP(C129,기출문제!D:G,4,0),"")</f>
        <v/>
      </c>
      <c r="G129" s="32" t="str">
        <f t="shared" si="1"/>
        <v/>
      </c>
    </row>
    <row r="130" spans="2:7" x14ac:dyDescent="0.3">
      <c r="B130" s="13">
        <v>123</v>
      </c>
      <c r="C130" s="14" t="s">
        <v>766</v>
      </c>
      <c r="D130" s="13"/>
      <c r="E130" s="15" t="str">
        <f>IFERROR(VLOOKUP(C130,기출문제!D:G,3,0),"")</f>
        <v/>
      </c>
      <c r="F130" s="31" t="str">
        <f>IFERROR(VLOOKUP(C130,기출문제!D:G,4,0),"")</f>
        <v/>
      </c>
      <c r="G130" s="32" t="str">
        <f t="shared" si="1"/>
        <v/>
      </c>
    </row>
    <row r="131" spans="2:7" x14ac:dyDescent="0.3">
      <c r="B131" s="13">
        <v>124</v>
      </c>
      <c r="C131" s="14" t="s">
        <v>766</v>
      </c>
      <c r="D131" s="13"/>
      <c r="E131" s="15" t="str">
        <f>IFERROR(VLOOKUP(C131,기출문제!D:G,3,0),"")</f>
        <v/>
      </c>
      <c r="F131" s="31" t="str">
        <f>IFERROR(VLOOKUP(C131,기출문제!D:G,4,0),"")</f>
        <v/>
      </c>
      <c r="G131" s="32" t="str">
        <f t="shared" si="1"/>
        <v/>
      </c>
    </row>
    <row r="132" spans="2:7" x14ac:dyDescent="0.3">
      <c r="B132" s="13">
        <v>125</v>
      </c>
      <c r="C132" s="14" t="s">
        <v>766</v>
      </c>
      <c r="D132" s="13"/>
      <c r="E132" s="15" t="str">
        <f>IFERROR(VLOOKUP(C132,기출문제!D:G,3,0),"")</f>
        <v/>
      </c>
      <c r="F132" s="31" t="str">
        <f>IFERROR(VLOOKUP(C132,기출문제!D:G,4,0),"")</f>
        <v/>
      </c>
      <c r="G132" s="32" t="str">
        <f t="shared" si="1"/>
        <v/>
      </c>
    </row>
    <row r="133" spans="2:7" x14ac:dyDescent="0.3">
      <c r="B133" s="13">
        <v>126</v>
      </c>
      <c r="C133" s="14" t="s">
        <v>766</v>
      </c>
      <c r="D133" s="13"/>
      <c r="E133" s="15" t="str">
        <f>IFERROR(VLOOKUP(C133,기출문제!D:G,3,0),"")</f>
        <v/>
      </c>
      <c r="F133" s="31" t="str">
        <f>IFERROR(VLOOKUP(C133,기출문제!D:G,4,0),"")</f>
        <v/>
      </c>
      <c r="G133" s="32" t="str">
        <f t="shared" si="1"/>
        <v/>
      </c>
    </row>
    <row r="134" spans="2:7" x14ac:dyDescent="0.3">
      <c r="B134" s="13">
        <v>127</v>
      </c>
      <c r="C134" s="14" t="s">
        <v>766</v>
      </c>
      <c r="D134" s="13"/>
      <c r="E134" s="15" t="str">
        <f>IFERROR(VLOOKUP(C134,기출문제!D:G,3,0),"")</f>
        <v/>
      </c>
      <c r="F134" s="31" t="str">
        <f>IFERROR(VLOOKUP(C134,기출문제!D:G,4,0),"")</f>
        <v/>
      </c>
      <c r="G134" s="32" t="str">
        <f t="shared" si="1"/>
        <v/>
      </c>
    </row>
    <row r="135" spans="2:7" x14ac:dyDescent="0.3">
      <c r="B135" s="13">
        <v>128</v>
      </c>
      <c r="C135" s="14" t="s">
        <v>766</v>
      </c>
      <c r="D135" s="13"/>
      <c r="E135" s="15" t="str">
        <f>IFERROR(VLOOKUP(C135,기출문제!D:G,3,0),"")</f>
        <v/>
      </c>
      <c r="F135" s="31" t="str">
        <f>IFERROR(VLOOKUP(C135,기출문제!D:G,4,0),"")</f>
        <v/>
      </c>
      <c r="G135" s="32" t="str">
        <f t="shared" si="1"/>
        <v/>
      </c>
    </row>
    <row r="136" spans="2:7" x14ac:dyDescent="0.3">
      <c r="B136" s="13">
        <v>129</v>
      </c>
      <c r="C136" s="14" t="s">
        <v>766</v>
      </c>
      <c r="D136" s="13"/>
      <c r="E136" s="15" t="str">
        <f>IFERROR(VLOOKUP(C136,기출문제!D:G,3,0),"")</f>
        <v/>
      </c>
      <c r="F136" s="31" t="str">
        <f>IFERROR(VLOOKUP(C136,기출문제!D:G,4,0),"")</f>
        <v/>
      </c>
      <c r="G136" s="32" t="str">
        <f t="shared" si="1"/>
        <v/>
      </c>
    </row>
    <row r="137" spans="2:7" x14ac:dyDescent="0.3">
      <c r="B137" s="13">
        <v>130</v>
      </c>
      <c r="C137" s="14" t="s">
        <v>766</v>
      </c>
      <c r="D137" s="13"/>
      <c r="E137" s="15" t="str">
        <f>IFERROR(VLOOKUP(C137,기출문제!D:G,3,0),"")</f>
        <v/>
      </c>
      <c r="F137" s="31" t="str">
        <f>IFERROR(VLOOKUP(C137,기출문제!D:G,4,0),"")</f>
        <v/>
      </c>
      <c r="G137" s="32" t="str">
        <f t="shared" ref="G137:G200" si="2">IF(D137="","",IF(D137=F137,"O", "X"))</f>
        <v/>
      </c>
    </row>
    <row r="138" spans="2:7" x14ac:dyDescent="0.3">
      <c r="B138" s="13">
        <v>131</v>
      </c>
      <c r="C138" s="14" t="s">
        <v>766</v>
      </c>
      <c r="D138" s="13"/>
      <c r="E138" s="15" t="str">
        <f>IFERROR(VLOOKUP(C138,기출문제!D:G,3,0),"")</f>
        <v/>
      </c>
      <c r="F138" s="31" t="str">
        <f>IFERROR(VLOOKUP(C138,기출문제!D:G,4,0),"")</f>
        <v/>
      </c>
      <c r="G138" s="32" t="str">
        <f t="shared" si="2"/>
        <v/>
      </c>
    </row>
    <row r="139" spans="2:7" x14ac:dyDescent="0.3">
      <c r="B139" s="13">
        <v>132</v>
      </c>
      <c r="C139" s="14" t="s">
        <v>766</v>
      </c>
      <c r="D139" s="13"/>
      <c r="E139" s="15" t="str">
        <f>IFERROR(VLOOKUP(C139,기출문제!D:G,3,0),"")</f>
        <v/>
      </c>
      <c r="F139" s="31" t="str">
        <f>IFERROR(VLOOKUP(C139,기출문제!D:G,4,0),"")</f>
        <v/>
      </c>
      <c r="G139" s="32" t="str">
        <f t="shared" si="2"/>
        <v/>
      </c>
    </row>
    <row r="140" spans="2:7" x14ac:dyDescent="0.3">
      <c r="B140" s="13">
        <v>133</v>
      </c>
      <c r="C140" s="14" t="s">
        <v>766</v>
      </c>
      <c r="D140" s="13"/>
      <c r="E140" s="15" t="str">
        <f>IFERROR(VLOOKUP(C140,기출문제!D:G,3,0),"")</f>
        <v/>
      </c>
      <c r="F140" s="31" t="str">
        <f>IFERROR(VLOOKUP(C140,기출문제!D:G,4,0),"")</f>
        <v/>
      </c>
      <c r="G140" s="32" t="str">
        <f t="shared" si="2"/>
        <v/>
      </c>
    </row>
    <row r="141" spans="2:7" x14ac:dyDescent="0.3">
      <c r="B141" s="13">
        <v>134</v>
      </c>
      <c r="C141" s="14" t="s">
        <v>766</v>
      </c>
      <c r="D141" s="13"/>
      <c r="E141" s="15" t="str">
        <f>IFERROR(VLOOKUP(C141,기출문제!D:G,3,0),"")</f>
        <v/>
      </c>
      <c r="F141" s="31" t="str">
        <f>IFERROR(VLOOKUP(C141,기출문제!D:G,4,0),"")</f>
        <v/>
      </c>
      <c r="G141" s="32" t="str">
        <f t="shared" si="2"/>
        <v/>
      </c>
    </row>
    <row r="142" spans="2:7" x14ac:dyDescent="0.3">
      <c r="B142" s="13">
        <v>135</v>
      </c>
      <c r="C142" s="14" t="s">
        <v>766</v>
      </c>
      <c r="D142" s="13"/>
      <c r="E142" s="15" t="str">
        <f>IFERROR(VLOOKUP(C142,기출문제!D:G,3,0),"")</f>
        <v/>
      </c>
      <c r="F142" s="31" t="str">
        <f>IFERROR(VLOOKUP(C142,기출문제!D:G,4,0),"")</f>
        <v/>
      </c>
      <c r="G142" s="32" t="str">
        <f t="shared" si="2"/>
        <v/>
      </c>
    </row>
    <row r="143" spans="2:7" x14ac:dyDescent="0.3">
      <c r="B143" s="13">
        <v>136</v>
      </c>
      <c r="C143" s="14" t="s">
        <v>766</v>
      </c>
      <c r="D143" s="13"/>
      <c r="E143" s="15" t="str">
        <f>IFERROR(VLOOKUP(C143,기출문제!D:G,3,0),"")</f>
        <v/>
      </c>
      <c r="F143" s="31" t="str">
        <f>IFERROR(VLOOKUP(C143,기출문제!D:G,4,0),"")</f>
        <v/>
      </c>
      <c r="G143" s="32" t="str">
        <f t="shared" si="2"/>
        <v/>
      </c>
    </row>
    <row r="144" spans="2:7" x14ac:dyDescent="0.3">
      <c r="B144" s="13">
        <v>137</v>
      </c>
      <c r="C144" s="14" t="s">
        <v>766</v>
      </c>
      <c r="D144" s="13"/>
      <c r="E144" s="15" t="str">
        <f>IFERROR(VLOOKUP(C144,기출문제!D:G,3,0),"")</f>
        <v/>
      </c>
      <c r="F144" s="31" t="str">
        <f>IFERROR(VLOOKUP(C144,기출문제!D:G,4,0),"")</f>
        <v/>
      </c>
      <c r="G144" s="32" t="str">
        <f t="shared" si="2"/>
        <v/>
      </c>
    </row>
    <row r="145" spans="2:7" x14ac:dyDescent="0.3">
      <c r="B145" s="13">
        <v>138</v>
      </c>
      <c r="C145" s="14" t="s">
        <v>766</v>
      </c>
      <c r="D145" s="13"/>
      <c r="E145" s="15" t="str">
        <f>IFERROR(VLOOKUP(C145,기출문제!D:G,3,0),"")</f>
        <v/>
      </c>
      <c r="F145" s="31" t="str">
        <f>IFERROR(VLOOKUP(C145,기출문제!D:G,4,0),"")</f>
        <v/>
      </c>
      <c r="G145" s="32" t="str">
        <f t="shared" si="2"/>
        <v/>
      </c>
    </row>
    <row r="146" spans="2:7" x14ac:dyDescent="0.3">
      <c r="B146" s="13">
        <v>139</v>
      </c>
      <c r="C146" s="14" t="s">
        <v>766</v>
      </c>
      <c r="D146" s="13"/>
      <c r="E146" s="15" t="str">
        <f>IFERROR(VLOOKUP(C146,기출문제!D:G,3,0),"")</f>
        <v/>
      </c>
      <c r="F146" s="31" t="str">
        <f>IFERROR(VLOOKUP(C146,기출문제!D:G,4,0),"")</f>
        <v/>
      </c>
      <c r="G146" s="32" t="str">
        <f t="shared" si="2"/>
        <v/>
      </c>
    </row>
    <row r="147" spans="2:7" x14ac:dyDescent="0.3">
      <c r="B147" s="13">
        <v>140</v>
      </c>
      <c r="C147" s="14" t="s">
        <v>766</v>
      </c>
      <c r="D147" s="13"/>
      <c r="E147" s="15" t="str">
        <f>IFERROR(VLOOKUP(C147,기출문제!D:G,3,0),"")</f>
        <v/>
      </c>
      <c r="F147" s="31" t="str">
        <f>IFERROR(VLOOKUP(C147,기출문제!D:G,4,0),"")</f>
        <v/>
      </c>
      <c r="G147" s="32" t="str">
        <f t="shared" si="2"/>
        <v/>
      </c>
    </row>
    <row r="148" spans="2:7" x14ac:dyDescent="0.3">
      <c r="B148" s="13">
        <v>141</v>
      </c>
      <c r="C148" s="14" t="s">
        <v>766</v>
      </c>
      <c r="D148" s="13"/>
      <c r="E148" s="15" t="str">
        <f>IFERROR(VLOOKUP(C148,기출문제!D:G,3,0),"")</f>
        <v/>
      </c>
      <c r="F148" s="31" t="str">
        <f>IFERROR(VLOOKUP(C148,기출문제!D:G,4,0),"")</f>
        <v/>
      </c>
      <c r="G148" s="32" t="str">
        <f t="shared" si="2"/>
        <v/>
      </c>
    </row>
    <row r="149" spans="2:7" x14ac:dyDescent="0.3">
      <c r="B149" s="13">
        <v>142</v>
      </c>
      <c r="C149" s="14" t="s">
        <v>766</v>
      </c>
      <c r="D149" s="13"/>
      <c r="E149" s="15" t="str">
        <f>IFERROR(VLOOKUP(C149,기출문제!D:G,3,0),"")</f>
        <v/>
      </c>
      <c r="F149" s="31" t="str">
        <f>IFERROR(VLOOKUP(C149,기출문제!D:G,4,0),"")</f>
        <v/>
      </c>
      <c r="G149" s="32" t="str">
        <f t="shared" si="2"/>
        <v/>
      </c>
    </row>
    <row r="150" spans="2:7" x14ac:dyDescent="0.3">
      <c r="B150" s="13">
        <v>143</v>
      </c>
      <c r="C150" s="14" t="s">
        <v>766</v>
      </c>
      <c r="D150" s="13"/>
      <c r="E150" s="15" t="str">
        <f>IFERROR(VLOOKUP(C150,기출문제!D:G,3,0),"")</f>
        <v/>
      </c>
      <c r="F150" s="31" t="str">
        <f>IFERROR(VLOOKUP(C150,기출문제!D:G,4,0),"")</f>
        <v/>
      </c>
      <c r="G150" s="32" t="str">
        <f t="shared" si="2"/>
        <v/>
      </c>
    </row>
    <row r="151" spans="2:7" x14ac:dyDescent="0.3">
      <c r="B151" s="13">
        <v>144</v>
      </c>
      <c r="C151" s="14" t="s">
        <v>766</v>
      </c>
      <c r="D151" s="13"/>
      <c r="E151" s="15" t="str">
        <f>IFERROR(VLOOKUP(C151,기출문제!D:G,3,0),"")</f>
        <v/>
      </c>
      <c r="F151" s="31" t="str">
        <f>IFERROR(VLOOKUP(C151,기출문제!D:G,4,0),"")</f>
        <v/>
      </c>
      <c r="G151" s="32" t="str">
        <f t="shared" si="2"/>
        <v/>
      </c>
    </row>
    <row r="152" spans="2:7" x14ac:dyDescent="0.3">
      <c r="B152" s="13">
        <v>145</v>
      </c>
      <c r="C152" s="14" t="s">
        <v>766</v>
      </c>
      <c r="D152" s="13"/>
      <c r="E152" s="15" t="str">
        <f>IFERROR(VLOOKUP(C152,기출문제!D:G,3,0),"")</f>
        <v/>
      </c>
      <c r="F152" s="31" t="str">
        <f>IFERROR(VLOOKUP(C152,기출문제!D:G,4,0),"")</f>
        <v/>
      </c>
      <c r="G152" s="32" t="str">
        <f t="shared" si="2"/>
        <v/>
      </c>
    </row>
    <row r="153" spans="2:7" x14ac:dyDescent="0.3">
      <c r="B153" s="13">
        <v>146</v>
      </c>
      <c r="C153" s="14" t="s">
        <v>766</v>
      </c>
      <c r="D153" s="13"/>
      <c r="E153" s="15" t="str">
        <f>IFERROR(VLOOKUP(C153,기출문제!D:G,3,0),"")</f>
        <v/>
      </c>
      <c r="F153" s="31" t="str">
        <f>IFERROR(VLOOKUP(C153,기출문제!D:G,4,0),"")</f>
        <v/>
      </c>
      <c r="G153" s="32" t="str">
        <f t="shared" si="2"/>
        <v/>
      </c>
    </row>
    <row r="154" spans="2:7" x14ac:dyDescent="0.3">
      <c r="B154" s="13">
        <v>147</v>
      </c>
      <c r="C154" s="14" t="s">
        <v>766</v>
      </c>
      <c r="D154" s="13"/>
      <c r="E154" s="15" t="str">
        <f>IFERROR(VLOOKUP(C154,기출문제!D:G,3,0),"")</f>
        <v/>
      </c>
      <c r="F154" s="31" t="str">
        <f>IFERROR(VLOOKUP(C154,기출문제!D:G,4,0),"")</f>
        <v/>
      </c>
      <c r="G154" s="32" t="str">
        <f t="shared" si="2"/>
        <v/>
      </c>
    </row>
    <row r="155" spans="2:7" x14ac:dyDescent="0.3">
      <c r="B155" s="13">
        <v>148</v>
      </c>
      <c r="C155" s="14" t="s">
        <v>766</v>
      </c>
      <c r="D155" s="13"/>
      <c r="E155" s="15" t="str">
        <f>IFERROR(VLOOKUP(C155,기출문제!D:G,3,0),"")</f>
        <v/>
      </c>
      <c r="F155" s="31" t="str">
        <f>IFERROR(VLOOKUP(C155,기출문제!D:G,4,0),"")</f>
        <v/>
      </c>
      <c r="G155" s="32" t="str">
        <f t="shared" si="2"/>
        <v/>
      </c>
    </row>
    <row r="156" spans="2:7" x14ac:dyDescent="0.3">
      <c r="B156" s="13">
        <v>149</v>
      </c>
      <c r="C156" s="14" t="s">
        <v>766</v>
      </c>
      <c r="D156" s="13"/>
      <c r="E156" s="15" t="str">
        <f>IFERROR(VLOOKUP(C156,기출문제!D:G,3,0),"")</f>
        <v/>
      </c>
      <c r="F156" s="31" t="str">
        <f>IFERROR(VLOOKUP(C156,기출문제!D:G,4,0),"")</f>
        <v/>
      </c>
      <c r="G156" s="32" t="str">
        <f t="shared" si="2"/>
        <v/>
      </c>
    </row>
    <row r="157" spans="2:7" x14ac:dyDescent="0.3">
      <c r="B157" s="13">
        <v>150</v>
      </c>
      <c r="C157" s="14" t="s">
        <v>766</v>
      </c>
      <c r="D157" s="13"/>
      <c r="E157" s="15" t="str">
        <f>IFERROR(VLOOKUP(C157,기출문제!D:G,3,0),"")</f>
        <v/>
      </c>
      <c r="F157" s="31" t="str">
        <f>IFERROR(VLOOKUP(C157,기출문제!D:G,4,0),"")</f>
        <v/>
      </c>
      <c r="G157" s="32" t="str">
        <f t="shared" si="2"/>
        <v/>
      </c>
    </row>
    <row r="158" spans="2:7" x14ac:dyDescent="0.3">
      <c r="B158" s="13">
        <v>151</v>
      </c>
      <c r="C158" s="14" t="s">
        <v>766</v>
      </c>
      <c r="D158" s="13"/>
      <c r="E158" s="15" t="str">
        <f>IFERROR(VLOOKUP(C158,기출문제!D:G,3,0),"")</f>
        <v/>
      </c>
      <c r="F158" s="31" t="str">
        <f>IFERROR(VLOOKUP(C158,기출문제!D:G,4,0),"")</f>
        <v/>
      </c>
      <c r="G158" s="32" t="str">
        <f t="shared" si="2"/>
        <v/>
      </c>
    </row>
    <row r="159" spans="2:7" x14ac:dyDescent="0.3">
      <c r="B159" s="13">
        <v>152</v>
      </c>
      <c r="C159" s="14" t="s">
        <v>766</v>
      </c>
      <c r="D159" s="13"/>
      <c r="E159" s="15" t="str">
        <f>IFERROR(VLOOKUP(C159,기출문제!D:G,3,0),"")</f>
        <v/>
      </c>
      <c r="F159" s="31" t="str">
        <f>IFERROR(VLOOKUP(C159,기출문제!D:G,4,0),"")</f>
        <v/>
      </c>
      <c r="G159" s="32" t="str">
        <f t="shared" si="2"/>
        <v/>
      </c>
    </row>
    <row r="160" spans="2:7" x14ac:dyDescent="0.3">
      <c r="B160" s="13">
        <v>153</v>
      </c>
      <c r="C160" s="14" t="s">
        <v>766</v>
      </c>
      <c r="D160" s="13"/>
      <c r="E160" s="15" t="str">
        <f>IFERROR(VLOOKUP(C160,기출문제!D:G,3,0),"")</f>
        <v/>
      </c>
      <c r="F160" s="31" t="str">
        <f>IFERROR(VLOOKUP(C160,기출문제!D:G,4,0),"")</f>
        <v/>
      </c>
      <c r="G160" s="32" t="str">
        <f t="shared" si="2"/>
        <v/>
      </c>
    </row>
    <row r="161" spans="2:7" x14ac:dyDescent="0.3">
      <c r="B161" s="13">
        <v>154</v>
      </c>
      <c r="C161" s="14" t="s">
        <v>766</v>
      </c>
      <c r="D161" s="13"/>
      <c r="E161" s="15" t="str">
        <f>IFERROR(VLOOKUP(C161,기출문제!D:G,3,0),"")</f>
        <v/>
      </c>
      <c r="F161" s="31" t="str">
        <f>IFERROR(VLOOKUP(C161,기출문제!D:G,4,0),"")</f>
        <v/>
      </c>
      <c r="G161" s="32" t="str">
        <f t="shared" si="2"/>
        <v/>
      </c>
    </row>
    <row r="162" spans="2:7" x14ac:dyDescent="0.3">
      <c r="B162" s="13">
        <v>155</v>
      </c>
      <c r="C162" s="14" t="s">
        <v>766</v>
      </c>
      <c r="D162" s="13"/>
      <c r="E162" s="15" t="str">
        <f>IFERROR(VLOOKUP(C162,기출문제!D:G,3,0),"")</f>
        <v/>
      </c>
      <c r="F162" s="31" t="str">
        <f>IFERROR(VLOOKUP(C162,기출문제!D:G,4,0),"")</f>
        <v/>
      </c>
      <c r="G162" s="32" t="str">
        <f t="shared" si="2"/>
        <v/>
      </c>
    </row>
    <row r="163" spans="2:7" x14ac:dyDescent="0.3">
      <c r="B163" s="13">
        <v>156</v>
      </c>
      <c r="C163" s="14" t="s">
        <v>766</v>
      </c>
      <c r="D163" s="13"/>
      <c r="E163" s="15" t="str">
        <f>IFERROR(VLOOKUP(C163,기출문제!D:G,3,0),"")</f>
        <v/>
      </c>
      <c r="F163" s="31" t="str">
        <f>IFERROR(VLOOKUP(C163,기출문제!D:G,4,0),"")</f>
        <v/>
      </c>
      <c r="G163" s="32" t="str">
        <f t="shared" si="2"/>
        <v/>
      </c>
    </row>
    <row r="164" spans="2:7" x14ac:dyDescent="0.3">
      <c r="B164" s="13">
        <v>157</v>
      </c>
      <c r="C164" s="14" t="s">
        <v>766</v>
      </c>
      <c r="D164" s="13"/>
      <c r="E164" s="15" t="str">
        <f>IFERROR(VLOOKUP(C164,기출문제!D:G,3,0),"")</f>
        <v/>
      </c>
      <c r="F164" s="31" t="str">
        <f>IFERROR(VLOOKUP(C164,기출문제!D:G,4,0),"")</f>
        <v/>
      </c>
      <c r="G164" s="32" t="str">
        <f t="shared" si="2"/>
        <v/>
      </c>
    </row>
    <row r="165" spans="2:7" x14ac:dyDescent="0.3">
      <c r="B165" s="13">
        <v>158</v>
      </c>
      <c r="C165" s="14" t="s">
        <v>766</v>
      </c>
      <c r="D165" s="13"/>
      <c r="E165" s="15" t="str">
        <f>IFERROR(VLOOKUP(C165,기출문제!D:G,3,0),"")</f>
        <v/>
      </c>
      <c r="F165" s="31" t="str">
        <f>IFERROR(VLOOKUP(C165,기출문제!D:G,4,0),"")</f>
        <v/>
      </c>
      <c r="G165" s="32" t="str">
        <f t="shared" si="2"/>
        <v/>
      </c>
    </row>
    <row r="166" spans="2:7" x14ac:dyDescent="0.3">
      <c r="B166" s="13">
        <v>159</v>
      </c>
      <c r="C166" s="14" t="s">
        <v>766</v>
      </c>
      <c r="D166" s="13"/>
      <c r="E166" s="15" t="str">
        <f>IFERROR(VLOOKUP(C166,기출문제!D:G,3,0),"")</f>
        <v/>
      </c>
      <c r="F166" s="31" t="str">
        <f>IFERROR(VLOOKUP(C166,기출문제!D:G,4,0),"")</f>
        <v/>
      </c>
      <c r="G166" s="32" t="str">
        <f t="shared" si="2"/>
        <v/>
      </c>
    </row>
    <row r="167" spans="2:7" x14ac:dyDescent="0.3">
      <c r="B167" s="13">
        <v>160</v>
      </c>
      <c r="C167" s="14" t="s">
        <v>766</v>
      </c>
      <c r="D167" s="13"/>
      <c r="E167" s="15" t="str">
        <f>IFERROR(VLOOKUP(C167,기출문제!D:G,3,0),"")</f>
        <v/>
      </c>
      <c r="F167" s="31" t="str">
        <f>IFERROR(VLOOKUP(C167,기출문제!D:G,4,0),"")</f>
        <v/>
      </c>
      <c r="G167" s="32" t="str">
        <f t="shared" si="2"/>
        <v/>
      </c>
    </row>
    <row r="168" spans="2:7" x14ac:dyDescent="0.3">
      <c r="B168" s="13">
        <v>161</v>
      </c>
      <c r="C168" s="14" t="s">
        <v>766</v>
      </c>
      <c r="D168" s="13"/>
      <c r="E168" s="15" t="str">
        <f>IFERROR(VLOOKUP(C168,기출문제!D:G,3,0),"")</f>
        <v/>
      </c>
      <c r="F168" s="31" t="str">
        <f>IFERROR(VLOOKUP(C168,기출문제!D:G,4,0),"")</f>
        <v/>
      </c>
      <c r="G168" s="32" t="str">
        <f t="shared" si="2"/>
        <v/>
      </c>
    </row>
    <row r="169" spans="2:7" x14ac:dyDescent="0.3">
      <c r="B169" s="13">
        <v>162</v>
      </c>
      <c r="C169" s="14" t="s">
        <v>766</v>
      </c>
      <c r="D169" s="13"/>
      <c r="E169" s="15" t="str">
        <f>IFERROR(VLOOKUP(C169,기출문제!D:G,3,0),"")</f>
        <v/>
      </c>
      <c r="F169" s="31" t="str">
        <f>IFERROR(VLOOKUP(C169,기출문제!D:G,4,0),"")</f>
        <v/>
      </c>
      <c r="G169" s="32" t="str">
        <f t="shared" si="2"/>
        <v/>
      </c>
    </row>
    <row r="170" spans="2:7" x14ac:dyDescent="0.3">
      <c r="B170" s="13">
        <v>163</v>
      </c>
      <c r="C170" s="14" t="s">
        <v>766</v>
      </c>
      <c r="D170" s="13"/>
      <c r="E170" s="15" t="str">
        <f>IFERROR(VLOOKUP(C170,기출문제!D:G,3,0),"")</f>
        <v/>
      </c>
      <c r="F170" s="31" t="str">
        <f>IFERROR(VLOOKUP(C170,기출문제!D:G,4,0),"")</f>
        <v/>
      </c>
      <c r="G170" s="32" t="str">
        <f t="shared" si="2"/>
        <v/>
      </c>
    </row>
    <row r="171" spans="2:7" x14ac:dyDescent="0.3">
      <c r="B171" s="13">
        <v>164</v>
      </c>
      <c r="C171" s="14" t="s">
        <v>766</v>
      </c>
      <c r="D171" s="13"/>
      <c r="E171" s="15" t="str">
        <f>IFERROR(VLOOKUP(C171,기출문제!D:G,3,0),"")</f>
        <v/>
      </c>
      <c r="F171" s="31" t="str">
        <f>IFERROR(VLOOKUP(C171,기출문제!D:G,4,0),"")</f>
        <v/>
      </c>
      <c r="G171" s="32" t="str">
        <f t="shared" si="2"/>
        <v/>
      </c>
    </row>
    <row r="172" spans="2:7" x14ac:dyDescent="0.3">
      <c r="B172" s="13">
        <v>165</v>
      </c>
      <c r="C172" s="14" t="s">
        <v>766</v>
      </c>
      <c r="D172" s="13"/>
      <c r="E172" s="15" t="str">
        <f>IFERROR(VLOOKUP(C172,기출문제!D:G,3,0),"")</f>
        <v/>
      </c>
      <c r="F172" s="31" t="str">
        <f>IFERROR(VLOOKUP(C172,기출문제!D:G,4,0),"")</f>
        <v/>
      </c>
      <c r="G172" s="32" t="str">
        <f t="shared" si="2"/>
        <v/>
      </c>
    </row>
    <row r="173" spans="2:7" x14ac:dyDescent="0.3">
      <c r="B173" s="13">
        <v>166</v>
      </c>
      <c r="C173" s="14" t="s">
        <v>766</v>
      </c>
      <c r="D173" s="13"/>
      <c r="E173" s="15" t="str">
        <f>IFERROR(VLOOKUP(C173,기출문제!D:G,3,0),"")</f>
        <v/>
      </c>
      <c r="F173" s="31" t="str">
        <f>IFERROR(VLOOKUP(C173,기출문제!D:G,4,0),"")</f>
        <v/>
      </c>
      <c r="G173" s="32" t="str">
        <f t="shared" si="2"/>
        <v/>
      </c>
    </row>
    <row r="174" spans="2:7" x14ac:dyDescent="0.3">
      <c r="B174" s="13">
        <v>167</v>
      </c>
      <c r="C174" s="14" t="s">
        <v>766</v>
      </c>
      <c r="D174" s="13"/>
      <c r="E174" s="15" t="str">
        <f>IFERROR(VLOOKUP(C174,기출문제!D:G,3,0),"")</f>
        <v/>
      </c>
      <c r="F174" s="31" t="str">
        <f>IFERROR(VLOOKUP(C174,기출문제!D:G,4,0),"")</f>
        <v/>
      </c>
      <c r="G174" s="32" t="str">
        <f t="shared" si="2"/>
        <v/>
      </c>
    </row>
    <row r="175" spans="2:7" x14ac:dyDescent="0.3">
      <c r="B175" s="13">
        <v>168</v>
      </c>
      <c r="C175" s="14" t="s">
        <v>766</v>
      </c>
      <c r="D175" s="13"/>
      <c r="E175" s="15" t="str">
        <f>IFERROR(VLOOKUP(C175,기출문제!D:G,3,0),"")</f>
        <v/>
      </c>
      <c r="F175" s="31" t="str">
        <f>IFERROR(VLOOKUP(C175,기출문제!D:G,4,0),"")</f>
        <v/>
      </c>
      <c r="G175" s="32" t="str">
        <f t="shared" si="2"/>
        <v/>
      </c>
    </row>
    <row r="176" spans="2:7" x14ac:dyDescent="0.3">
      <c r="B176" s="13">
        <v>169</v>
      </c>
      <c r="C176" s="14" t="s">
        <v>766</v>
      </c>
      <c r="D176" s="13"/>
      <c r="E176" s="15" t="str">
        <f>IFERROR(VLOOKUP(C176,기출문제!D:G,3,0),"")</f>
        <v/>
      </c>
      <c r="F176" s="31" t="str">
        <f>IFERROR(VLOOKUP(C176,기출문제!D:G,4,0),"")</f>
        <v/>
      </c>
      <c r="G176" s="32" t="str">
        <f t="shared" si="2"/>
        <v/>
      </c>
    </row>
    <row r="177" spans="2:7" x14ac:dyDescent="0.3">
      <c r="B177" s="13">
        <v>170</v>
      </c>
      <c r="C177" s="14" t="s">
        <v>766</v>
      </c>
      <c r="D177" s="13"/>
      <c r="E177" s="15" t="str">
        <f>IFERROR(VLOOKUP(C177,기출문제!D:G,3,0),"")</f>
        <v/>
      </c>
      <c r="F177" s="31" t="str">
        <f>IFERROR(VLOOKUP(C177,기출문제!D:G,4,0),"")</f>
        <v/>
      </c>
      <c r="G177" s="32" t="str">
        <f t="shared" si="2"/>
        <v/>
      </c>
    </row>
    <row r="178" spans="2:7" x14ac:dyDescent="0.3">
      <c r="B178" s="13">
        <v>171</v>
      </c>
      <c r="C178" s="14" t="s">
        <v>766</v>
      </c>
      <c r="D178" s="13"/>
      <c r="E178" s="15" t="str">
        <f>IFERROR(VLOOKUP(C178,기출문제!D:G,3,0),"")</f>
        <v/>
      </c>
      <c r="F178" s="31" t="str">
        <f>IFERROR(VLOOKUP(C178,기출문제!D:G,4,0),"")</f>
        <v/>
      </c>
      <c r="G178" s="32" t="str">
        <f t="shared" si="2"/>
        <v/>
      </c>
    </row>
    <row r="179" spans="2:7" x14ac:dyDescent="0.3">
      <c r="B179" s="13">
        <v>172</v>
      </c>
      <c r="C179" s="14" t="s">
        <v>766</v>
      </c>
      <c r="D179" s="13"/>
      <c r="E179" s="15" t="str">
        <f>IFERROR(VLOOKUP(C179,기출문제!D:G,3,0),"")</f>
        <v/>
      </c>
      <c r="F179" s="31" t="str">
        <f>IFERROR(VLOOKUP(C179,기출문제!D:G,4,0),"")</f>
        <v/>
      </c>
      <c r="G179" s="32" t="str">
        <f t="shared" si="2"/>
        <v/>
      </c>
    </row>
    <row r="180" spans="2:7" x14ac:dyDescent="0.3">
      <c r="B180" s="13">
        <v>173</v>
      </c>
      <c r="C180" s="14" t="s">
        <v>766</v>
      </c>
      <c r="D180" s="13"/>
      <c r="E180" s="15" t="str">
        <f>IFERROR(VLOOKUP(C180,기출문제!D:G,3,0),"")</f>
        <v/>
      </c>
      <c r="F180" s="31" t="str">
        <f>IFERROR(VLOOKUP(C180,기출문제!D:G,4,0),"")</f>
        <v/>
      </c>
      <c r="G180" s="32" t="str">
        <f t="shared" si="2"/>
        <v/>
      </c>
    </row>
    <row r="181" spans="2:7" x14ac:dyDescent="0.3">
      <c r="B181" s="13">
        <v>174</v>
      </c>
      <c r="C181" s="14" t="s">
        <v>766</v>
      </c>
      <c r="D181" s="13"/>
      <c r="E181" s="15" t="str">
        <f>IFERROR(VLOOKUP(C181,기출문제!D:G,3,0),"")</f>
        <v/>
      </c>
      <c r="F181" s="31" t="str">
        <f>IFERROR(VLOOKUP(C181,기출문제!D:G,4,0),"")</f>
        <v/>
      </c>
      <c r="G181" s="32" t="str">
        <f t="shared" si="2"/>
        <v/>
      </c>
    </row>
    <row r="182" spans="2:7" x14ac:dyDescent="0.3">
      <c r="B182" s="13">
        <v>175</v>
      </c>
      <c r="C182" s="14" t="s">
        <v>766</v>
      </c>
      <c r="D182" s="13"/>
      <c r="E182" s="15" t="str">
        <f>IFERROR(VLOOKUP(C182,기출문제!D:G,3,0),"")</f>
        <v/>
      </c>
      <c r="F182" s="31" t="str">
        <f>IFERROR(VLOOKUP(C182,기출문제!D:G,4,0),"")</f>
        <v/>
      </c>
      <c r="G182" s="32" t="str">
        <f t="shared" si="2"/>
        <v/>
      </c>
    </row>
    <row r="183" spans="2:7" x14ac:dyDescent="0.3">
      <c r="B183" s="13">
        <v>176</v>
      </c>
      <c r="C183" s="14" t="s">
        <v>766</v>
      </c>
      <c r="D183" s="13"/>
      <c r="E183" s="15" t="str">
        <f>IFERROR(VLOOKUP(C183,기출문제!D:G,3,0),"")</f>
        <v/>
      </c>
      <c r="F183" s="31" t="str">
        <f>IFERROR(VLOOKUP(C183,기출문제!D:G,4,0),"")</f>
        <v/>
      </c>
      <c r="G183" s="32" t="str">
        <f t="shared" si="2"/>
        <v/>
      </c>
    </row>
    <row r="184" spans="2:7" x14ac:dyDescent="0.3">
      <c r="B184" s="13">
        <v>177</v>
      </c>
      <c r="C184" s="14" t="s">
        <v>766</v>
      </c>
      <c r="D184" s="13"/>
      <c r="E184" s="15" t="str">
        <f>IFERROR(VLOOKUP(C184,기출문제!D:G,3,0),"")</f>
        <v/>
      </c>
      <c r="F184" s="31" t="str">
        <f>IFERROR(VLOOKUP(C184,기출문제!D:G,4,0),"")</f>
        <v/>
      </c>
      <c r="G184" s="32" t="str">
        <f t="shared" si="2"/>
        <v/>
      </c>
    </row>
    <row r="185" spans="2:7" x14ac:dyDescent="0.3">
      <c r="B185" s="13">
        <v>178</v>
      </c>
      <c r="C185" s="14" t="s">
        <v>766</v>
      </c>
      <c r="D185" s="13"/>
      <c r="E185" s="15" t="str">
        <f>IFERROR(VLOOKUP(C185,기출문제!D:G,3,0),"")</f>
        <v/>
      </c>
      <c r="F185" s="31" t="str">
        <f>IFERROR(VLOOKUP(C185,기출문제!D:G,4,0),"")</f>
        <v/>
      </c>
      <c r="G185" s="32" t="str">
        <f t="shared" si="2"/>
        <v/>
      </c>
    </row>
    <row r="186" spans="2:7" x14ac:dyDescent="0.3">
      <c r="B186" s="13">
        <v>179</v>
      </c>
      <c r="C186" s="14" t="s">
        <v>766</v>
      </c>
      <c r="D186" s="13"/>
      <c r="E186" s="15" t="str">
        <f>IFERROR(VLOOKUP(C186,기출문제!D:G,3,0),"")</f>
        <v/>
      </c>
      <c r="F186" s="31" t="str">
        <f>IFERROR(VLOOKUP(C186,기출문제!D:G,4,0),"")</f>
        <v/>
      </c>
      <c r="G186" s="32" t="str">
        <f t="shared" si="2"/>
        <v/>
      </c>
    </row>
    <row r="187" spans="2:7" x14ac:dyDescent="0.3">
      <c r="B187" s="13">
        <v>180</v>
      </c>
      <c r="C187" s="14" t="s">
        <v>766</v>
      </c>
      <c r="D187" s="13"/>
      <c r="E187" s="15" t="str">
        <f>IFERROR(VLOOKUP(C187,기출문제!D:G,3,0),"")</f>
        <v/>
      </c>
      <c r="F187" s="31" t="str">
        <f>IFERROR(VLOOKUP(C187,기출문제!D:G,4,0),"")</f>
        <v/>
      </c>
      <c r="G187" s="32" t="str">
        <f t="shared" si="2"/>
        <v/>
      </c>
    </row>
    <row r="188" spans="2:7" x14ac:dyDescent="0.3">
      <c r="B188" s="13">
        <v>181</v>
      </c>
      <c r="C188" s="14" t="s">
        <v>766</v>
      </c>
      <c r="D188" s="13"/>
      <c r="E188" s="15" t="str">
        <f>IFERROR(VLOOKUP(C188,기출문제!D:G,3,0),"")</f>
        <v/>
      </c>
      <c r="F188" s="31" t="str">
        <f>IFERROR(VLOOKUP(C188,기출문제!D:G,4,0),"")</f>
        <v/>
      </c>
      <c r="G188" s="32" t="str">
        <f t="shared" si="2"/>
        <v/>
      </c>
    </row>
    <row r="189" spans="2:7" x14ac:dyDescent="0.3">
      <c r="B189" s="13">
        <v>182</v>
      </c>
      <c r="C189" s="14" t="s">
        <v>766</v>
      </c>
      <c r="D189" s="13"/>
      <c r="E189" s="15" t="str">
        <f>IFERROR(VLOOKUP(C189,기출문제!D:G,3,0),"")</f>
        <v/>
      </c>
      <c r="F189" s="31" t="str">
        <f>IFERROR(VLOOKUP(C189,기출문제!D:G,4,0),"")</f>
        <v/>
      </c>
      <c r="G189" s="32" t="str">
        <f t="shared" si="2"/>
        <v/>
      </c>
    </row>
    <row r="190" spans="2:7" x14ac:dyDescent="0.3">
      <c r="B190" s="13">
        <v>183</v>
      </c>
      <c r="C190" s="14" t="s">
        <v>766</v>
      </c>
      <c r="D190" s="13"/>
      <c r="E190" s="15" t="str">
        <f>IFERROR(VLOOKUP(C190,기출문제!D:G,3,0),"")</f>
        <v/>
      </c>
      <c r="F190" s="31" t="str">
        <f>IFERROR(VLOOKUP(C190,기출문제!D:G,4,0),"")</f>
        <v/>
      </c>
      <c r="G190" s="32" t="str">
        <f t="shared" si="2"/>
        <v/>
      </c>
    </row>
    <row r="191" spans="2:7" x14ac:dyDescent="0.3">
      <c r="B191" s="13">
        <v>184</v>
      </c>
      <c r="C191" s="14" t="s">
        <v>766</v>
      </c>
      <c r="D191" s="13"/>
      <c r="E191" s="15" t="str">
        <f>IFERROR(VLOOKUP(C191,기출문제!D:G,3,0),"")</f>
        <v/>
      </c>
      <c r="F191" s="31" t="str">
        <f>IFERROR(VLOOKUP(C191,기출문제!D:G,4,0),"")</f>
        <v/>
      </c>
      <c r="G191" s="32" t="str">
        <f t="shared" si="2"/>
        <v/>
      </c>
    </row>
    <row r="192" spans="2:7" x14ac:dyDescent="0.3">
      <c r="B192" s="13">
        <v>185</v>
      </c>
      <c r="C192" s="14" t="s">
        <v>766</v>
      </c>
      <c r="D192" s="13"/>
      <c r="E192" s="15" t="str">
        <f>IFERROR(VLOOKUP(C192,기출문제!D:G,3,0),"")</f>
        <v/>
      </c>
      <c r="F192" s="31" t="str">
        <f>IFERROR(VLOOKUP(C192,기출문제!D:G,4,0),"")</f>
        <v/>
      </c>
      <c r="G192" s="32" t="str">
        <f t="shared" si="2"/>
        <v/>
      </c>
    </row>
    <row r="193" spans="2:7" x14ac:dyDescent="0.3">
      <c r="B193" s="13">
        <v>186</v>
      </c>
      <c r="C193" s="14" t="s">
        <v>766</v>
      </c>
      <c r="D193" s="13"/>
      <c r="E193" s="15" t="str">
        <f>IFERROR(VLOOKUP(C193,기출문제!D:G,3,0),"")</f>
        <v/>
      </c>
      <c r="F193" s="31" t="str">
        <f>IFERROR(VLOOKUP(C193,기출문제!D:G,4,0),"")</f>
        <v/>
      </c>
      <c r="G193" s="32" t="str">
        <f t="shared" si="2"/>
        <v/>
      </c>
    </row>
    <row r="194" spans="2:7" x14ac:dyDescent="0.3">
      <c r="B194" s="13">
        <v>187</v>
      </c>
      <c r="C194" s="14" t="s">
        <v>766</v>
      </c>
      <c r="D194" s="13"/>
      <c r="E194" s="15" t="str">
        <f>IFERROR(VLOOKUP(C194,기출문제!D:G,3,0),"")</f>
        <v/>
      </c>
      <c r="F194" s="31" t="str">
        <f>IFERROR(VLOOKUP(C194,기출문제!D:G,4,0),"")</f>
        <v/>
      </c>
      <c r="G194" s="32" t="str">
        <f t="shared" si="2"/>
        <v/>
      </c>
    </row>
    <row r="195" spans="2:7" x14ac:dyDescent="0.3">
      <c r="B195" s="13">
        <v>188</v>
      </c>
      <c r="C195" s="14" t="s">
        <v>766</v>
      </c>
      <c r="D195" s="13"/>
      <c r="E195" s="15" t="str">
        <f>IFERROR(VLOOKUP(C195,기출문제!D:G,3,0),"")</f>
        <v/>
      </c>
      <c r="F195" s="31" t="str">
        <f>IFERROR(VLOOKUP(C195,기출문제!D:G,4,0),"")</f>
        <v/>
      </c>
      <c r="G195" s="32" t="str">
        <f t="shared" si="2"/>
        <v/>
      </c>
    </row>
    <row r="196" spans="2:7" x14ac:dyDescent="0.3">
      <c r="B196" s="13">
        <v>189</v>
      </c>
      <c r="C196" s="14" t="s">
        <v>766</v>
      </c>
      <c r="D196" s="13"/>
      <c r="E196" s="15" t="str">
        <f>IFERROR(VLOOKUP(C196,기출문제!D:G,3,0),"")</f>
        <v/>
      </c>
      <c r="F196" s="31" t="str">
        <f>IFERROR(VLOOKUP(C196,기출문제!D:G,4,0),"")</f>
        <v/>
      </c>
      <c r="G196" s="32" t="str">
        <f t="shared" si="2"/>
        <v/>
      </c>
    </row>
    <row r="197" spans="2:7" x14ac:dyDescent="0.3">
      <c r="B197" s="13">
        <v>190</v>
      </c>
      <c r="C197" s="14" t="s">
        <v>766</v>
      </c>
      <c r="D197" s="13"/>
      <c r="E197" s="15" t="str">
        <f>IFERROR(VLOOKUP(C197,기출문제!D:G,3,0),"")</f>
        <v/>
      </c>
      <c r="F197" s="31" t="str">
        <f>IFERROR(VLOOKUP(C197,기출문제!D:G,4,0),"")</f>
        <v/>
      </c>
      <c r="G197" s="32" t="str">
        <f t="shared" si="2"/>
        <v/>
      </c>
    </row>
    <row r="198" spans="2:7" x14ac:dyDescent="0.3">
      <c r="B198" s="13">
        <v>191</v>
      </c>
      <c r="C198" s="14" t="s">
        <v>766</v>
      </c>
      <c r="D198" s="13"/>
      <c r="E198" s="15" t="str">
        <f>IFERROR(VLOOKUP(C198,기출문제!D:G,3,0),"")</f>
        <v/>
      </c>
      <c r="F198" s="31" t="str">
        <f>IFERROR(VLOOKUP(C198,기출문제!D:G,4,0),"")</f>
        <v/>
      </c>
      <c r="G198" s="32" t="str">
        <f t="shared" si="2"/>
        <v/>
      </c>
    </row>
    <row r="199" spans="2:7" x14ac:dyDescent="0.3">
      <c r="B199" s="13">
        <v>192</v>
      </c>
      <c r="C199" s="14" t="s">
        <v>766</v>
      </c>
      <c r="D199" s="13"/>
      <c r="E199" s="15" t="str">
        <f>IFERROR(VLOOKUP(C199,기출문제!D:G,3,0),"")</f>
        <v/>
      </c>
      <c r="F199" s="31" t="str">
        <f>IFERROR(VLOOKUP(C199,기출문제!D:G,4,0),"")</f>
        <v/>
      </c>
      <c r="G199" s="32" t="str">
        <f t="shared" si="2"/>
        <v/>
      </c>
    </row>
    <row r="200" spans="2:7" x14ac:dyDescent="0.3">
      <c r="B200" s="13">
        <v>193</v>
      </c>
      <c r="C200" s="14" t="s">
        <v>766</v>
      </c>
      <c r="D200" s="13"/>
      <c r="E200" s="15" t="str">
        <f>IFERROR(VLOOKUP(C200,기출문제!D:G,3,0),"")</f>
        <v/>
      </c>
      <c r="F200" s="31" t="str">
        <f>IFERROR(VLOOKUP(C200,기출문제!D:G,4,0),"")</f>
        <v/>
      </c>
      <c r="G200" s="32" t="str">
        <f t="shared" si="2"/>
        <v/>
      </c>
    </row>
    <row r="201" spans="2:7" x14ac:dyDescent="0.3">
      <c r="B201" s="13">
        <v>194</v>
      </c>
      <c r="C201" s="14" t="s">
        <v>766</v>
      </c>
      <c r="D201" s="13"/>
      <c r="E201" s="15" t="str">
        <f>IFERROR(VLOOKUP(C201,기출문제!D:G,3,0),"")</f>
        <v/>
      </c>
      <c r="F201" s="31" t="str">
        <f>IFERROR(VLOOKUP(C201,기출문제!D:G,4,0),"")</f>
        <v/>
      </c>
      <c r="G201" s="32" t="str">
        <f t="shared" ref="G201:G264" si="3">IF(D201="","",IF(D201=F201,"O", "X"))</f>
        <v/>
      </c>
    </row>
    <row r="202" spans="2:7" x14ac:dyDescent="0.3">
      <c r="B202" s="13">
        <v>195</v>
      </c>
      <c r="C202" s="14" t="s">
        <v>766</v>
      </c>
      <c r="D202" s="13"/>
      <c r="E202" s="15" t="str">
        <f>IFERROR(VLOOKUP(C202,기출문제!D:G,3,0),"")</f>
        <v/>
      </c>
      <c r="F202" s="31" t="str">
        <f>IFERROR(VLOOKUP(C202,기출문제!D:G,4,0),"")</f>
        <v/>
      </c>
      <c r="G202" s="32" t="str">
        <f t="shared" si="3"/>
        <v/>
      </c>
    </row>
    <row r="203" spans="2:7" x14ac:dyDescent="0.3">
      <c r="B203" s="13">
        <v>196</v>
      </c>
      <c r="C203" s="14" t="s">
        <v>766</v>
      </c>
      <c r="D203" s="13"/>
      <c r="E203" s="15" t="str">
        <f>IFERROR(VLOOKUP(C203,기출문제!D:G,3,0),"")</f>
        <v/>
      </c>
      <c r="F203" s="31" t="str">
        <f>IFERROR(VLOOKUP(C203,기출문제!D:G,4,0),"")</f>
        <v/>
      </c>
      <c r="G203" s="32" t="str">
        <f t="shared" si="3"/>
        <v/>
      </c>
    </row>
    <row r="204" spans="2:7" x14ac:dyDescent="0.3">
      <c r="B204" s="13">
        <v>197</v>
      </c>
      <c r="C204" s="14" t="s">
        <v>766</v>
      </c>
      <c r="D204" s="13"/>
      <c r="E204" s="15" t="str">
        <f>IFERROR(VLOOKUP(C204,기출문제!D:G,3,0),"")</f>
        <v/>
      </c>
      <c r="F204" s="31" t="str">
        <f>IFERROR(VLOOKUP(C204,기출문제!D:G,4,0),"")</f>
        <v/>
      </c>
      <c r="G204" s="32" t="str">
        <f t="shared" si="3"/>
        <v/>
      </c>
    </row>
    <row r="205" spans="2:7" x14ac:dyDescent="0.3">
      <c r="B205" s="13">
        <v>198</v>
      </c>
      <c r="C205" s="14" t="s">
        <v>766</v>
      </c>
      <c r="D205" s="13"/>
      <c r="E205" s="15" t="str">
        <f>IFERROR(VLOOKUP(C205,기출문제!D:G,3,0),"")</f>
        <v/>
      </c>
      <c r="F205" s="31" t="str">
        <f>IFERROR(VLOOKUP(C205,기출문제!D:G,4,0),"")</f>
        <v/>
      </c>
      <c r="G205" s="32" t="str">
        <f t="shared" si="3"/>
        <v/>
      </c>
    </row>
    <row r="206" spans="2:7" x14ac:dyDescent="0.3">
      <c r="B206" s="13">
        <v>199</v>
      </c>
      <c r="C206" s="14" t="s">
        <v>766</v>
      </c>
      <c r="D206" s="13"/>
      <c r="E206" s="15" t="str">
        <f>IFERROR(VLOOKUP(C206,기출문제!D:G,3,0),"")</f>
        <v/>
      </c>
      <c r="F206" s="31" t="str">
        <f>IFERROR(VLOOKUP(C206,기출문제!D:G,4,0),"")</f>
        <v/>
      </c>
      <c r="G206" s="32" t="str">
        <f t="shared" si="3"/>
        <v/>
      </c>
    </row>
    <row r="207" spans="2:7" x14ac:dyDescent="0.3">
      <c r="B207" s="13">
        <v>200</v>
      </c>
      <c r="C207" s="14" t="s">
        <v>766</v>
      </c>
      <c r="D207" s="13"/>
      <c r="E207" s="15" t="str">
        <f>IFERROR(VLOOKUP(C207,기출문제!D:G,3,0),"")</f>
        <v/>
      </c>
      <c r="F207" s="31" t="str">
        <f>IFERROR(VLOOKUP(C207,기출문제!D:G,4,0),"")</f>
        <v/>
      </c>
      <c r="G207" s="32" t="str">
        <f t="shared" si="3"/>
        <v/>
      </c>
    </row>
    <row r="208" spans="2:7" x14ac:dyDescent="0.3">
      <c r="B208" s="13">
        <v>201</v>
      </c>
      <c r="C208" s="14" t="s">
        <v>766</v>
      </c>
      <c r="D208" s="13"/>
      <c r="E208" s="15" t="str">
        <f>IFERROR(VLOOKUP(C208,기출문제!D:G,3,0),"")</f>
        <v/>
      </c>
      <c r="F208" s="31" t="str">
        <f>IFERROR(VLOOKUP(C208,기출문제!D:G,4,0),"")</f>
        <v/>
      </c>
      <c r="G208" s="32" t="str">
        <f t="shared" si="3"/>
        <v/>
      </c>
    </row>
    <row r="209" spans="2:7" x14ac:dyDescent="0.3">
      <c r="B209" s="13">
        <v>202</v>
      </c>
      <c r="C209" s="14" t="s">
        <v>766</v>
      </c>
      <c r="D209" s="13"/>
      <c r="E209" s="15" t="str">
        <f>IFERROR(VLOOKUP(C209,기출문제!D:G,3,0),"")</f>
        <v/>
      </c>
      <c r="F209" s="31" t="str">
        <f>IFERROR(VLOOKUP(C209,기출문제!D:G,4,0),"")</f>
        <v/>
      </c>
      <c r="G209" s="32" t="str">
        <f t="shared" si="3"/>
        <v/>
      </c>
    </row>
    <row r="210" spans="2:7" x14ac:dyDescent="0.3">
      <c r="B210" s="13">
        <v>203</v>
      </c>
      <c r="C210" s="14" t="s">
        <v>766</v>
      </c>
      <c r="D210" s="13"/>
      <c r="E210" s="15" t="str">
        <f>IFERROR(VLOOKUP(C210,기출문제!D:G,3,0),"")</f>
        <v/>
      </c>
      <c r="F210" s="31" t="str">
        <f>IFERROR(VLOOKUP(C210,기출문제!D:G,4,0),"")</f>
        <v/>
      </c>
      <c r="G210" s="32" t="str">
        <f t="shared" si="3"/>
        <v/>
      </c>
    </row>
    <row r="211" spans="2:7" x14ac:dyDescent="0.3">
      <c r="B211" s="13">
        <v>204</v>
      </c>
      <c r="C211" s="14" t="s">
        <v>766</v>
      </c>
      <c r="D211" s="13"/>
      <c r="E211" s="15" t="str">
        <f>IFERROR(VLOOKUP(C211,기출문제!D:G,3,0),"")</f>
        <v/>
      </c>
      <c r="F211" s="31" t="str">
        <f>IFERROR(VLOOKUP(C211,기출문제!D:G,4,0),"")</f>
        <v/>
      </c>
      <c r="G211" s="32" t="str">
        <f t="shared" si="3"/>
        <v/>
      </c>
    </row>
    <row r="212" spans="2:7" x14ac:dyDescent="0.3">
      <c r="B212" s="13">
        <v>205</v>
      </c>
      <c r="C212" s="14" t="s">
        <v>766</v>
      </c>
      <c r="D212" s="13"/>
      <c r="E212" s="15" t="str">
        <f>IFERROR(VLOOKUP(C212,기출문제!D:G,3,0),"")</f>
        <v/>
      </c>
      <c r="F212" s="31" t="str">
        <f>IFERROR(VLOOKUP(C212,기출문제!D:G,4,0),"")</f>
        <v/>
      </c>
      <c r="G212" s="32" t="str">
        <f t="shared" si="3"/>
        <v/>
      </c>
    </row>
    <row r="213" spans="2:7" x14ac:dyDescent="0.3">
      <c r="B213" s="13">
        <v>206</v>
      </c>
      <c r="C213" s="14" t="s">
        <v>766</v>
      </c>
      <c r="D213" s="13"/>
      <c r="E213" s="15" t="str">
        <f>IFERROR(VLOOKUP(C213,기출문제!D:G,3,0),"")</f>
        <v/>
      </c>
      <c r="F213" s="31" t="str">
        <f>IFERROR(VLOOKUP(C213,기출문제!D:G,4,0),"")</f>
        <v/>
      </c>
      <c r="G213" s="32" t="str">
        <f t="shared" si="3"/>
        <v/>
      </c>
    </row>
    <row r="214" spans="2:7" x14ac:dyDescent="0.3">
      <c r="B214" s="13">
        <v>207</v>
      </c>
      <c r="C214" s="14" t="s">
        <v>766</v>
      </c>
      <c r="D214" s="13"/>
      <c r="E214" s="15" t="str">
        <f>IFERROR(VLOOKUP(C214,기출문제!D:G,3,0),"")</f>
        <v/>
      </c>
      <c r="F214" s="31" t="str">
        <f>IFERROR(VLOOKUP(C214,기출문제!D:G,4,0),"")</f>
        <v/>
      </c>
      <c r="G214" s="32" t="str">
        <f t="shared" si="3"/>
        <v/>
      </c>
    </row>
    <row r="215" spans="2:7" x14ac:dyDescent="0.3">
      <c r="B215" s="13">
        <v>208</v>
      </c>
      <c r="C215" s="14" t="s">
        <v>766</v>
      </c>
      <c r="D215" s="13"/>
      <c r="E215" s="15" t="str">
        <f>IFERROR(VLOOKUP(C215,기출문제!D:G,3,0),"")</f>
        <v/>
      </c>
      <c r="F215" s="31" t="str">
        <f>IFERROR(VLOOKUP(C215,기출문제!D:G,4,0),"")</f>
        <v/>
      </c>
      <c r="G215" s="32" t="str">
        <f t="shared" si="3"/>
        <v/>
      </c>
    </row>
    <row r="216" spans="2:7" x14ac:dyDescent="0.3">
      <c r="B216" s="13">
        <v>209</v>
      </c>
      <c r="C216" s="14" t="s">
        <v>766</v>
      </c>
      <c r="D216" s="13"/>
      <c r="E216" s="15" t="str">
        <f>IFERROR(VLOOKUP(C216,기출문제!D:G,3,0),"")</f>
        <v/>
      </c>
      <c r="F216" s="31" t="str">
        <f>IFERROR(VLOOKUP(C216,기출문제!D:G,4,0),"")</f>
        <v/>
      </c>
      <c r="G216" s="32" t="str">
        <f t="shared" si="3"/>
        <v/>
      </c>
    </row>
    <row r="217" spans="2:7" x14ac:dyDescent="0.3">
      <c r="B217" s="13">
        <v>210</v>
      </c>
      <c r="C217" s="14" t="s">
        <v>766</v>
      </c>
      <c r="D217" s="13"/>
      <c r="E217" s="15" t="str">
        <f>IFERROR(VLOOKUP(C217,기출문제!D:G,3,0),"")</f>
        <v/>
      </c>
      <c r="F217" s="31" t="str">
        <f>IFERROR(VLOOKUP(C217,기출문제!D:G,4,0),"")</f>
        <v/>
      </c>
      <c r="G217" s="32" t="str">
        <f t="shared" si="3"/>
        <v/>
      </c>
    </row>
    <row r="218" spans="2:7" x14ac:dyDescent="0.3">
      <c r="B218" s="13">
        <v>211</v>
      </c>
      <c r="C218" s="14" t="s">
        <v>766</v>
      </c>
      <c r="D218" s="13"/>
      <c r="E218" s="15" t="str">
        <f>IFERROR(VLOOKUP(C218,기출문제!D:G,3,0),"")</f>
        <v/>
      </c>
      <c r="F218" s="31" t="str">
        <f>IFERROR(VLOOKUP(C218,기출문제!D:G,4,0),"")</f>
        <v/>
      </c>
      <c r="G218" s="32" t="str">
        <f t="shared" si="3"/>
        <v/>
      </c>
    </row>
    <row r="219" spans="2:7" x14ac:dyDescent="0.3">
      <c r="B219" s="13">
        <v>212</v>
      </c>
      <c r="C219" s="14" t="s">
        <v>766</v>
      </c>
      <c r="D219" s="13"/>
      <c r="E219" s="15" t="str">
        <f>IFERROR(VLOOKUP(C219,기출문제!D:G,3,0),"")</f>
        <v/>
      </c>
      <c r="F219" s="31" t="str">
        <f>IFERROR(VLOOKUP(C219,기출문제!D:G,4,0),"")</f>
        <v/>
      </c>
      <c r="G219" s="32" t="str">
        <f t="shared" si="3"/>
        <v/>
      </c>
    </row>
    <row r="220" spans="2:7" x14ac:dyDescent="0.3">
      <c r="B220" s="13">
        <v>213</v>
      </c>
      <c r="C220" s="14" t="s">
        <v>766</v>
      </c>
      <c r="D220" s="13"/>
      <c r="E220" s="15" t="str">
        <f>IFERROR(VLOOKUP(C220,기출문제!D:G,3,0),"")</f>
        <v/>
      </c>
      <c r="F220" s="31" t="str">
        <f>IFERROR(VLOOKUP(C220,기출문제!D:G,4,0),"")</f>
        <v/>
      </c>
      <c r="G220" s="32" t="str">
        <f t="shared" si="3"/>
        <v/>
      </c>
    </row>
    <row r="221" spans="2:7" x14ac:dyDescent="0.3">
      <c r="B221" s="13">
        <v>214</v>
      </c>
      <c r="C221" s="14" t="s">
        <v>766</v>
      </c>
      <c r="D221" s="13"/>
      <c r="E221" s="15" t="str">
        <f>IFERROR(VLOOKUP(C221,기출문제!D:G,3,0),"")</f>
        <v/>
      </c>
      <c r="F221" s="31" t="str">
        <f>IFERROR(VLOOKUP(C221,기출문제!D:G,4,0),"")</f>
        <v/>
      </c>
      <c r="G221" s="32" t="str">
        <f t="shared" si="3"/>
        <v/>
      </c>
    </row>
    <row r="222" spans="2:7" x14ac:dyDescent="0.3">
      <c r="B222" s="13">
        <v>215</v>
      </c>
      <c r="C222" s="14" t="s">
        <v>766</v>
      </c>
      <c r="D222" s="13"/>
      <c r="E222" s="15" t="str">
        <f>IFERROR(VLOOKUP(C222,기출문제!D:G,3,0),"")</f>
        <v/>
      </c>
      <c r="F222" s="31" t="str">
        <f>IFERROR(VLOOKUP(C222,기출문제!D:G,4,0),"")</f>
        <v/>
      </c>
      <c r="G222" s="32" t="str">
        <f t="shared" si="3"/>
        <v/>
      </c>
    </row>
    <row r="223" spans="2:7" x14ac:dyDescent="0.3">
      <c r="B223" s="13">
        <v>216</v>
      </c>
      <c r="C223" s="14" t="s">
        <v>766</v>
      </c>
      <c r="D223" s="13"/>
      <c r="E223" s="15" t="str">
        <f>IFERROR(VLOOKUP(C223,기출문제!D:G,3,0),"")</f>
        <v/>
      </c>
      <c r="F223" s="31" t="str">
        <f>IFERROR(VLOOKUP(C223,기출문제!D:G,4,0),"")</f>
        <v/>
      </c>
      <c r="G223" s="32" t="str">
        <f t="shared" si="3"/>
        <v/>
      </c>
    </row>
    <row r="224" spans="2:7" x14ac:dyDescent="0.3">
      <c r="B224" s="13">
        <v>217</v>
      </c>
      <c r="C224" s="14" t="s">
        <v>766</v>
      </c>
      <c r="D224" s="13"/>
      <c r="E224" s="15" t="str">
        <f>IFERROR(VLOOKUP(C224,기출문제!D:G,3,0),"")</f>
        <v/>
      </c>
      <c r="F224" s="31" t="str">
        <f>IFERROR(VLOOKUP(C224,기출문제!D:G,4,0),"")</f>
        <v/>
      </c>
      <c r="G224" s="32" t="str">
        <f t="shared" si="3"/>
        <v/>
      </c>
    </row>
    <row r="225" spans="2:7" x14ac:dyDescent="0.3">
      <c r="B225" s="13">
        <v>218</v>
      </c>
      <c r="C225" s="14" t="s">
        <v>766</v>
      </c>
      <c r="D225" s="13"/>
      <c r="E225" s="15" t="str">
        <f>IFERROR(VLOOKUP(C225,기출문제!D:G,3,0),"")</f>
        <v/>
      </c>
      <c r="F225" s="31" t="str">
        <f>IFERROR(VLOOKUP(C225,기출문제!D:G,4,0),"")</f>
        <v/>
      </c>
      <c r="G225" s="32" t="str">
        <f t="shared" si="3"/>
        <v/>
      </c>
    </row>
    <row r="226" spans="2:7" x14ac:dyDescent="0.3">
      <c r="B226" s="13">
        <v>219</v>
      </c>
      <c r="C226" s="14" t="s">
        <v>766</v>
      </c>
      <c r="D226" s="13"/>
      <c r="E226" s="15" t="str">
        <f>IFERROR(VLOOKUP(C226,기출문제!D:G,3,0),"")</f>
        <v/>
      </c>
      <c r="F226" s="31" t="str">
        <f>IFERROR(VLOOKUP(C226,기출문제!D:G,4,0),"")</f>
        <v/>
      </c>
      <c r="G226" s="32" t="str">
        <f t="shared" si="3"/>
        <v/>
      </c>
    </row>
    <row r="227" spans="2:7" x14ac:dyDescent="0.3">
      <c r="B227" s="13">
        <v>220</v>
      </c>
      <c r="C227" s="14" t="s">
        <v>766</v>
      </c>
      <c r="D227" s="13"/>
      <c r="E227" s="15" t="str">
        <f>IFERROR(VLOOKUP(C227,기출문제!D:G,3,0),"")</f>
        <v/>
      </c>
      <c r="F227" s="31" t="str">
        <f>IFERROR(VLOOKUP(C227,기출문제!D:G,4,0),"")</f>
        <v/>
      </c>
      <c r="G227" s="32" t="str">
        <f t="shared" si="3"/>
        <v/>
      </c>
    </row>
    <row r="228" spans="2:7" x14ac:dyDescent="0.3">
      <c r="B228" s="13">
        <v>221</v>
      </c>
      <c r="C228" s="14" t="s">
        <v>766</v>
      </c>
      <c r="D228" s="13"/>
      <c r="E228" s="15" t="str">
        <f>IFERROR(VLOOKUP(C228,기출문제!D:G,3,0),"")</f>
        <v/>
      </c>
      <c r="F228" s="31" t="str">
        <f>IFERROR(VLOOKUP(C228,기출문제!D:G,4,0),"")</f>
        <v/>
      </c>
      <c r="G228" s="32" t="str">
        <f t="shared" si="3"/>
        <v/>
      </c>
    </row>
    <row r="229" spans="2:7" x14ac:dyDescent="0.3">
      <c r="B229" s="13">
        <v>222</v>
      </c>
      <c r="C229" s="14" t="s">
        <v>766</v>
      </c>
      <c r="D229" s="13"/>
      <c r="E229" s="15" t="str">
        <f>IFERROR(VLOOKUP(C229,기출문제!D:G,3,0),"")</f>
        <v/>
      </c>
      <c r="F229" s="31" t="str">
        <f>IFERROR(VLOOKUP(C229,기출문제!D:G,4,0),"")</f>
        <v/>
      </c>
      <c r="G229" s="32" t="str">
        <f t="shared" si="3"/>
        <v/>
      </c>
    </row>
    <row r="230" spans="2:7" x14ac:dyDescent="0.3">
      <c r="B230" s="13">
        <v>223</v>
      </c>
      <c r="C230" s="14" t="s">
        <v>766</v>
      </c>
      <c r="D230" s="13"/>
      <c r="E230" s="15" t="str">
        <f>IFERROR(VLOOKUP(C230,기출문제!D:G,3,0),"")</f>
        <v/>
      </c>
      <c r="F230" s="31" t="str">
        <f>IFERROR(VLOOKUP(C230,기출문제!D:G,4,0),"")</f>
        <v/>
      </c>
      <c r="G230" s="32" t="str">
        <f t="shared" si="3"/>
        <v/>
      </c>
    </row>
    <row r="231" spans="2:7" x14ac:dyDescent="0.3">
      <c r="B231" s="13">
        <v>224</v>
      </c>
      <c r="C231" s="14" t="s">
        <v>766</v>
      </c>
      <c r="D231" s="13"/>
      <c r="E231" s="15" t="str">
        <f>IFERROR(VLOOKUP(C231,기출문제!D:G,3,0),"")</f>
        <v/>
      </c>
      <c r="F231" s="31" t="str">
        <f>IFERROR(VLOOKUP(C231,기출문제!D:G,4,0),"")</f>
        <v/>
      </c>
      <c r="G231" s="32" t="str">
        <f t="shared" si="3"/>
        <v/>
      </c>
    </row>
    <row r="232" spans="2:7" x14ac:dyDescent="0.3">
      <c r="B232" s="13">
        <v>225</v>
      </c>
      <c r="C232" s="14" t="s">
        <v>766</v>
      </c>
      <c r="D232" s="13"/>
      <c r="E232" s="15" t="str">
        <f>IFERROR(VLOOKUP(C232,기출문제!D:G,3,0),"")</f>
        <v/>
      </c>
      <c r="F232" s="31" t="str">
        <f>IFERROR(VLOOKUP(C232,기출문제!D:G,4,0),"")</f>
        <v/>
      </c>
      <c r="G232" s="32" t="str">
        <f t="shared" si="3"/>
        <v/>
      </c>
    </row>
    <row r="233" spans="2:7" x14ac:dyDescent="0.3">
      <c r="B233" s="13">
        <v>226</v>
      </c>
      <c r="C233" s="14" t="s">
        <v>766</v>
      </c>
      <c r="D233" s="13"/>
      <c r="E233" s="15" t="str">
        <f>IFERROR(VLOOKUP(C233,기출문제!D:G,3,0),"")</f>
        <v/>
      </c>
      <c r="F233" s="31" t="str">
        <f>IFERROR(VLOOKUP(C233,기출문제!D:G,4,0),"")</f>
        <v/>
      </c>
      <c r="G233" s="32" t="str">
        <f t="shared" si="3"/>
        <v/>
      </c>
    </row>
    <row r="234" spans="2:7" x14ac:dyDescent="0.3">
      <c r="B234" s="13">
        <v>227</v>
      </c>
      <c r="C234" s="14" t="s">
        <v>766</v>
      </c>
      <c r="D234" s="13"/>
      <c r="E234" s="15" t="str">
        <f>IFERROR(VLOOKUP(C234,기출문제!D:G,3,0),"")</f>
        <v/>
      </c>
      <c r="F234" s="31" t="str">
        <f>IFERROR(VLOOKUP(C234,기출문제!D:G,4,0),"")</f>
        <v/>
      </c>
      <c r="G234" s="32" t="str">
        <f t="shared" si="3"/>
        <v/>
      </c>
    </row>
    <row r="235" spans="2:7" x14ac:dyDescent="0.3">
      <c r="B235" s="13">
        <v>228</v>
      </c>
      <c r="C235" s="14" t="s">
        <v>766</v>
      </c>
      <c r="D235" s="13"/>
      <c r="E235" s="15" t="str">
        <f>IFERROR(VLOOKUP(C235,기출문제!D:G,3,0),"")</f>
        <v/>
      </c>
      <c r="F235" s="31" t="str">
        <f>IFERROR(VLOOKUP(C235,기출문제!D:G,4,0),"")</f>
        <v/>
      </c>
      <c r="G235" s="32" t="str">
        <f t="shared" si="3"/>
        <v/>
      </c>
    </row>
    <row r="236" spans="2:7" x14ac:dyDescent="0.3">
      <c r="B236" s="13">
        <v>229</v>
      </c>
      <c r="C236" s="14" t="s">
        <v>766</v>
      </c>
      <c r="D236" s="13"/>
      <c r="E236" s="15" t="str">
        <f>IFERROR(VLOOKUP(C236,기출문제!D:G,3,0),"")</f>
        <v/>
      </c>
      <c r="F236" s="31" t="str">
        <f>IFERROR(VLOOKUP(C236,기출문제!D:G,4,0),"")</f>
        <v/>
      </c>
      <c r="G236" s="32" t="str">
        <f t="shared" si="3"/>
        <v/>
      </c>
    </row>
    <row r="237" spans="2:7" x14ac:dyDescent="0.3">
      <c r="B237" s="13">
        <v>230</v>
      </c>
      <c r="C237" s="14" t="s">
        <v>766</v>
      </c>
      <c r="D237" s="13"/>
      <c r="E237" s="15" t="str">
        <f>IFERROR(VLOOKUP(C237,기출문제!D:G,3,0),"")</f>
        <v/>
      </c>
      <c r="F237" s="31" t="str">
        <f>IFERROR(VLOOKUP(C237,기출문제!D:G,4,0),"")</f>
        <v/>
      </c>
      <c r="G237" s="32" t="str">
        <f t="shared" si="3"/>
        <v/>
      </c>
    </row>
    <row r="238" spans="2:7" x14ac:dyDescent="0.3">
      <c r="B238" s="13">
        <v>231</v>
      </c>
      <c r="C238" s="14" t="s">
        <v>766</v>
      </c>
      <c r="D238" s="13"/>
      <c r="E238" s="15" t="str">
        <f>IFERROR(VLOOKUP(C238,기출문제!D:G,3,0),"")</f>
        <v/>
      </c>
      <c r="F238" s="31" t="str">
        <f>IFERROR(VLOOKUP(C238,기출문제!D:G,4,0),"")</f>
        <v/>
      </c>
      <c r="G238" s="32" t="str">
        <f t="shared" si="3"/>
        <v/>
      </c>
    </row>
    <row r="239" spans="2:7" x14ac:dyDescent="0.3">
      <c r="B239" s="13">
        <v>232</v>
      </c>
      <c r="C239" s="14" t="s">
        <v>766</v>
      </c>
      <c r="D239" s="13"/>
      <c r="E239" s="15" t="str">
        <f>IFERROR(VLOOKUP(C239,기출문제!D:G,3,0),"")</f>
        <v/>
      </c>
      <c r="F239" s="31" t="str">
        <f>IFERROR(VLOOKUP(C239,기출문제!D:G,4,0),"")</f>
        <v/>
      </c>
      <c r="G239" s="32" t="str">
        <f t="shared" si="3"/>
        <v/>
      </c>
    </row>
    <row r="240" spans="2:7" x14ac:dyDescent="0.3">
      <c r="B240" s="13">
        <v>233</v>
      </c>
      <c r="C240" s="14" t="s">
        <v>766</v>
      </c>
      <c r="D240" s="13"/>
      <c r="E240" s="15" t="str">
        <f>IFERROR(VLOOKUP(C240,기출문제!D:G,3,0),"")</f>
        <v/>
      </c>
      <c r="F240" s="31" t="str">
        <f>IFERROR(VLOOKUP(C240,기출문제!D:G,4,0),"")</f>
        <v/>
      </c>
      <c r="G240" s="32" t="str">
        <f t="shared" si="3"/>
        <v/>
      </c>
    </row>
    <row r="241" spans="2:7" x14ac:dyDescent="0.3">
      <c r="B241" s="13">
        <v>234</v>
      </c>
      <c r="C241" s="14" t="s">
        <v>766</v>
      </c>
      <c r="D241" s="13"/>
      <c r="E241" s="15" t="str">
        <f>IFERROR(VLOOKUP(C241,기출문제!D:G,3,0),"")</f>
        <v/>
      </c>
      <c r="F241" s="31" t="str">
        <f>IFERROR(VLOOKUP(C241,기출문제!D:G,4,0),"")</f>
        <v/>
      </c>
      <c r="G241" s="32" t="str">
        <f t="shared" si="3"/>
        <v/>
      </c>
    </row>
    <row r="242" spans="2:7" x14ac:dyDescent="0.3">
      <c r="B242" s="13">
        <v>235</v>
      </c>
      <c r="C242" s="14" t="s">
        <v>766</v>
      </c>
      <c r="D242" s="13"/>
      <c r="E242" s="15" t="str">
        <f>IFERROR(VLOOKUP(C242,기출문제!D:G,3,0),"")</f>
        <v/>
      </c>
      <c r="F242" s="31" t="str">
        <f>IFERROR(VLOOKUP(C242,기출문제!D:G,4,0),"")</f>
        <v/>
      </c>
      <c r="G242" s="32" t="str">
        <f t="shared" si="3"/>
        <v/>
      </c>
    </row>
    <row r="243" spans="2:7" x14ac:dyDescent="0.3">
      <c r="B243" s="13">
        <v>236</v>
      </c>
      <c r="C243" s="14" t="s">
        <v>766</v>
      </c>
      <c r="D243" s="13"/>
      <c r="E243" s="15" t="str">
        <f>IFERROR(VLOOKUP(C243,기출문제!D:G,3,0),"")</f>
        <v/>
      </c>
      <c r="F243" s="31" t="str">
        <f>IFERROR(VLOOKUP(C243,기출문제!D:G,4,0),"")</f>
        <v/>
      </c>
      <c r="G243" s="32" t="str">
        <f t="shared" si="3"/>
        <v/>
      </c>
    </row>
    <row r="244" spans="2:7" x14ac:dyDescent="0.3">
      <c r="B244" s="13">
        <v>237</v>
      </c>
      <c r="C244" s="14" t="s">
        <v>766</v>
      </c>
      <c r="D244" s="13"/>
      <c r="E244" s="15" t="str">
        <f>IFERROR(VLOOKUP(C244,기출문제!D:G,3,0),"")</f>
        <v/>
      </c>
      <c r="F244" s="31" t="str">
        <f>IFERROR(VLOOKUP(C244,기출문제!D:G,4,0),"")</f>
        <v/>
      </c>
      <c r="G244" s="32" t="str">
        <f t="shared" si="3"/>
        <v/>
      </c>
    </row>
    <row r="245" spans="2:7" x14ac:dyDescent="0.3">
      <c r="B245" s="13">
        <v>238</v>
      </c>
      <c r="C245" s="14" t="s">
        <v>766</v>
      </c>
      <c r="D245" s="13"/>
      <c r="E245" s="15" t="str">
        <f>IFERROR(VLOOKUP(C245,기출문제!D:G,3,0),"")</f>
        <v/>
      </c>
      <c r="F245" s="31" t="str">
        <f>IFERROR(VLOOKUP(C245,기출문제!D:G,4,0),"")</f>
        <v/>
      </c>
      <c r="G245" s="32" t="str">
        <f t="shared" si="3"/>
        <v/>
      </c>
    </row>
    <row r="246" spans="2:7" x14ac:dyDescent="0.3">
      <c r="B246" s="13">
        <v>239</v>
      </c>
      <c r="C246" s="14" t="s">
        <v>766</v>
      </c>
      <c r="D246" s="13"/>
      <c r="E246" s="15" t="str">
        <f>IFERROR(VLOOKUP(C246,기출문제!D:G,3,0),"")</f>
        <v/>
      </c>
      <c r="F246" s="31" t="str">
        <f>IFERROR(VLOOKUP(C246,기출문제!D:G,4,0),"")</f>
        <v/>
      </c>
      <c r="G246" s="32" t="str">
        <f t="shared" si="3"/>
        <v/>
      </c>
    </row>
    <row r="247" spans="2:7" x14ac:dyDescent="0.3">
      <c r="B247" s="13">
        <v>240</v>
      </c>
      <c r="C247" s="14" t="s">
        <v>766</v>
      </c>
      <c r="D247" s="13"/>
      <c r="E247" s="15" t="str">
        <f>IFERROR(VLOOKUP(C247,기출문제!D:G,3,0),"")</f>
        <v/>
      </c>
      <c r="F247" s="31" t="str">
        <f>IFERROR(VLOOKUP(C247,기출문제!D:G,4,0),"")</f>
        <v/>
      </c>
      <c r="G247" s="32" t="str">
        <f t="shared" si="3"/>
        <v/>
      </c>
    </row>
    <row r="248" spans="2:7" x14ac:dyDescent="0.3">
      <c r="B248" s="13">
        <v>241</v>
      </c>
      <c r="C248" s="14" t="s">
        <v>766</v>
      </c>
      <c r="D248" s="13"/>
      <c r="E248" s="15" t="str">
        <f>IFERROR(VLOOKUP(C248,기출문제!D:G,3,0),"")</f>
        <v/>
      </c>
      <c r="F248" s="31" t="str">
        <f>IFERROR(VLOOKUP(C248,기출문제!D:G,4,0),"")</f>
        <v/>
      </c>
      <c r="G248" s="32" t="str">
        <f t="shared" si="3"/>
        <v/>
      </c>
    </row>
    <row r="249" spans="2:7" x14ac:dyDescent="0.3">
      <c r="B249" s="13">
        <v>242</v>
      </c>
      <c r="C249" s="14" t="s">
        <v>766</v>
      </c>
      <c r="D249" s="13"/>
      <c r="E249" s="15" t="str">
        <f>IFERROR(VLOOKUP(C249,기출문제!D:G,3,0),"")</f>
        <v/>
      </c>
      <c r="F249" s="31" t="str">
        <f>IFERROR(VLOOKUP(C249,기출문제!D:G,4,0),"")</f>
        <v/>
      </c>
      <c r="G249" s="32" t="str">
        <f t="shared" si="3"/>
        <v/>
      </c>
    </row>
    <row r="250" spans="2:7" x14ac:dyDescent="0.3">
      <c r="B250" s="13">
        <v>243</v>
      </c>
      <c r="C250" s="14" t="s">
        <v>766</v>
      </c>
      <c r="D250" s="13"/>
      <c r="E250" s="15" t="str">
        <f>IFERROR(VLOOKUP(C250,기출문제!D:G,3,0),"")</f>
        <v/>
      </c>
      <c r="F250" s="31" t="str">
        <f>IFERROR(VLOOKUP(C250,기출문제!D:G,4,0),"")</f>
        <v/>
      </c>
      <c r="G250" s="32" t="str">
        <f t="shared" si="3"/>
        <v/>
      </c>
    </row>
    <row r="251" spans="2:7" x14ac:dyDescent="0.3">
      <c r="B251" s="13">
        <v>244</v>
      </c>
      <c r="C251" s="14" t="s">
        <v>766</v>
      </c>
      <c r="D251" s="13"/>
      <c r="E251" s="15" t="str">
        <f>IFERROR(VLOOKUP(C251,기출문제!D:G,3,0),"")</f>
        <v/>
      </c>
      <c r="F251" s="31" t="str">
        <f>IFERROR(VLOOKUP(C251,기출문제!D:G,4,0),"")</f>
        <v/>
      </c>
      <c r="G251" s="32" t="str">
        <f t="shared" si="3"/>
        <v/>
      </c>
    </row>
    <row r="252" spans="2:7" x14ac:dyDescent="0.3">
      <c r="B252" s="13">
        <v>245</v>
      </c>
      <c r="C252" s="14" t="s">
        <v>766</v>
      </c>
      <c r="D252" s="13"/>
      <c r="E252" s="15" t="str">
        <f>IFERROR(VLOOKUP(C252,기출문제!D:G,3,0),"")</f>
        <v/>
      </c>
      <c r="F252" s="31" t="str">
        <f>IFERROR(VLOOKUP(C252,기출문제!D:G,4,0),"")</f>
        <v/>
      </c>
      <c r="G252" s="32" t="str">
        <f t="shared" si="3"/>
        <v/>
      </c>
    </row>
    <row r="253" spans="2:7" x14ac:dyDescent="0.3">
      <c r="B253" s="13">
        <v>246</v>
      </c>
      <c r="C253" s="14" t="s">
        <v>766</v>
      </c>
      <c r="D253" s="13"/>
      <c r="E253" s="15" t="str">
        <f>IFERROR(VLOOKUP(C253,기출문제!D:G,3,0),"")</f>
        <v/>
      </c>
      <c r="F253" s="31" t="str">
        <f>IFERROR(VLOOKUP(C253,기출문제!D:G,4,0),"")</f>
        <v/>
      </c>
      <c r="G253" s="32" t="str">
        <f t="shared" si="3"/>
        <v/>
      </c>
    </row>
    <row r="254" spans="2:7" x14ac:dyDescent="0.3">
      <c r="B254" s="13">
        <v>247</v>
      </c>
      <c r="C254" s="14" t="s">
        <v>766</v>
      </c>
      <c r="D254" s="13"/>
      <c r="E254" s="15" t="str">
        <f>IFERROR(VLOOKUP(C254,기출문제!D:G,3,0),"")</f>
        <v/>
      </c>
      <c r="F254" s="31" t="str">
        <f>IFERROR(VLOOKUP(C254,기출문제!D:G,4,0),"")</f>
        <v/>
      </c>
      <c r="G254" s="32" t="str">
        <f t="shared" si="3"/>
        <v/>
      </c>
    </row>
    <row r="255" spans="2:7" x14ac:dyDescent="0.3">
      <c r="B255" s="13">
        <v>248</v>
      </c>
      <c r="C255" s="14" t="s">
        <v>766</v>
      </c>
      <c r="D255" s="13"/>
      <c r="E255" s="15" t="str">
        <f>IFERROR(VLOOKUP(C255,기출문제!D:G,3,0),"")</f>
        <v/>
      </c>
      <c r="F255" s="31" t="str">
        <f>IFERROR(VLOOKUP(C255,기출문제!D:G,4,0),"")</f>
        <v/>
      </c>
      <c r="G255" s="32" t="str">
        <f t="shared" si="3"/>
        <v/>
      </c>
    </row>
    <row r="256" spans="2:7" x14ac:dyDescent="0.3">
      <c r="B256" s="13">
        <v>249</v>
      </c>
      <c r="C256" s="14" t="s">
        <v>766</v>
      </c>
      <c r="D256" s="13"/>
      <c r="E256" s="15" t="str">
        <f>IFERROR(VLOOKUP(C256,기출문제!D:G,3,0),"")</f>
        <v/>
      </c>
      <c r="F256" s="31" t="str">
        <f>IFERROR(VLOOKUP(C256,기출문제!D:G,4,0),"")</f>
        <v/>
      </c>
      <c r="G256" s="32" t="str">
        <f t="shared" si="3"/>
        <v/>
      </c>
    </row>
    <row r="257" spans="2:7" x14ac:dyDescent="0.3">
      <c r="B257" s="13">
        <v>250</v>
      </c>
      <c r="C257" s="14" t="s">
        <v>766</v>
      </c>
      <c r="D257" s="13"/>
      <c r="E257" s="15" t="str">
        <f>IFERROR(VLOOKUP(C257,기출문제!D:G,3,0),"")</f>
        <v/>
      </c>
      <c r="F257" s="31" t="str">
        <f>IFERROR(VLOOKUP(C257,기출문제!D:G,4,0),"")</f>
        <v/>
      </c>
      <c r="G257" s="32" t="str">
        <f t="shared" si="3"/>
        <v/>
      </c>
    </row>
    <row r="258" spans="2:7" x14ac:dyDescent="0.3">
      <c r="B258" s="13">
        <v>251</v>
      </c>
      <c r="C258" s="14" t="s">
        <v>766</v>
      </c>
      <c r="D258" s="13"/>
      <c r="E258" s="15" t="str">
        <f>IFERROR(VLOOKUP(C258,기출문제!D:G,3,0),"")</f>
        <v/>
      </c>
      <c r="F258" s="31" t="str">
        <f>IFERROR(VLOOKUP(C258,기출문제!D:G,4,0),"")</f>
        <v/>
      </c>
      <c r="G258" s="32" t="str">
        <f t="shared" si="3"/>
        <v/>
      </c>
    </row>
    <row r="259" spans="2:7" x14ac:dyDescent="0.3">
      <c r="B259" s="13">
        <v>252</v>
      </c>
      <c r="C259" s="14" t="s">
        <v>766</v>
      </c>
      <c r="D259" s="13"/>
      <c r="E259" s="15" t="str">
        <f>IFERROR(VLOOKUP(C259,기출문제!D:G,3,0),"")</f>
        <v/>
      </c>
      <c r="F259" s="31" t="str">
        <f>IFERROR(VLOOKUP(C259,기출문제!D:G,4,0),"")</f>
        <v/>
      </c>
      <c r="G259" s="32" t="str">
        <f t="shared" si="3"/>
        <v/>
      </c>
    </row>
    <row r="260" spans="2:7" x14ac:dyDescent="0.3">
      <c r="B260" s="13">
        <v>253</v>
      </c>
      <c r="C260" s="14" t="s">
        <v>766</v>
      </c>
      <c r="D260" s="13"/>
      <c r="E260" s="15" t="str">
        <f>IFERROR(VLOOKUP(C260,기출문제!D:G,3,0),"")</f>
        <v/>
      </c>
      <c r="F260" s="31" t="str">
        <f>IFERROR(VLOOKUP(C260,기출문제!D:G,4,0),"")</f>
        <v/>
      </c>
      <c r="G260" s="32" t="str">
        <f t="shared" si="3"/>
        <v/>
      </c>
    </row>
    <row r="261" spans="2:7" x14ac:dyDescent="0.3">
      <c r="B261" s="13">
        <v>254</v>
      </c>
      <c r="C261" s="14" t="s">
        <v>766</v>
      </c>
      <c r="D261" s="13"/>
      <c r="E261" s="15" t="str">
        <f>IFERROR(VLOOKUP(C261,기출문제!D:G,3,0),"")</f>
        <v/>
      </c>
      <c r="F261" s="31" t="str">
        <f>IFERROR(VLOOKUP(C261,기출문제!D:G,4,0),"")</f>
        <v/>
      </c>
      <c r="G261" s="32" t="str">
        <f t="shared" si="3"/>
        <v/>
      </c>
    </row>
    <row r="262" spans="2:7" x14ac:dyDescent="0.3">
      <c r="B262" s="13">
        <v>255</v>
      </c>
      <c r="C262" s="14" t="s">
        <v>766</v>
      </c>
      <c r="D262" s="13"/>
      <c r="E262" s="15" t="str">
        <f>IFERROR(VLOOKUP(C262,기출문제!D:G,3,0),"")</f>
        <v/>
      </c>
      <c r="F262" s="31" t="str">
        <f>IFERROR(VLOOKUP(C262,기출문제!D:G,4,0),"")</f>
        <v/>
      </c>
      <c r="G262" s="32" t="str">
        <f t="shared" si="3"/>
        <v/>
      </c>
    </row>
    <row r="263" spans="2:7" x14ac:dyDescent="0.3">
      <c r="B263" s="13">
        <v>256</v>
      </c>
      <c r="C263" s="14" t="s">
        <v>766</v>
      </c>
      <c r="D263" s="13"/>
      <c r="E263" s="15" t="str">
        <f>IFERROR(VLOOKUP(C263,기출문제!D:G,3,0),"")</f>
        <v/>
      </c>
      <c r="F263" s="31" t="str">
        <f>IFERROR(VLOOKUP(C263,기출문제!D:G,4,0),"")</f>
        <v/>
      </c>
      <c r="G263" s="32" t="str">
        <f t="shared" si="3"/>
        <v/>
      </c>
    </row>
    <row r="264" spans="2:7" x14ac:dyDescent="0.3">
      <c r="B264" s="13">
        <v>257</v>
      </c>
      <c r="C264" s="14" t="s">
        <v>766</v>
      </c>
      <c r="D264" s="13"/>
      <c r="E264" s="15" t="str">
        <f>IFERROR(VLOOKUP(C264,기출문제!D:G,3,0),"")</f>
        <v/>
      </c>
      <c r="F264" s="31" t="str">
        <f>IFERROR(VLOOKUP(C264,기출문제!D:G,4,0),"")</f>
        <v/>
      </c>
      <c r="G264" s="32" t="str">
        <f t="shared" si="3"/>
        <v/>
      </c>
    </row>
    <row r="265" spans="2:7" x14ac:dyDescent="0.3">
      <c r="B265" s="13">
        <v>258</v>
      </c>
      <c r="C265" s="14" t="s">
        <v>766</v>
      </c>
      <c r="D265" s="13"/>
      <c r="E265" s="15" t="str">
        <f>IFERROR(VLOOKUP(C265,기출문제!D:G,3,0),"")</f>
        <v/>
      </c>
      <c r="F265" s="31" t="str">
        <f>IFERROR(VLOOKUP(C265,기출문제!D:G,4,0),"")</f>
        <v/>
      </c>
      <c r="G265" s="32" t="str">
        <f t="shared" ref="G265:G328" si="4">IF(D265="","",IF(D265=F265,"O", "X"))</f>
        <v/>
      </c>
    </row>
    <row r="266" spans="2:7" x14ac:dyDescent="0.3">
      <c r="B266" s="13">
        <v>259</v>
      </c>
      <c r="C266" s="14" t="s">
        <v>766</v>
      </c>
      <c r="D266" s="13"/>
      <c r="E266" s="15" t="str">
        <f>IFERROR(VLOOKUP(C266,기출문제!D:G,3,0),"")</f>
        <v/>
      </c>
      <c r="F266" s="31" t="str">
        <f>IFERROR(VLOOKUP(C266,기출문제!D:G,4,0),"")</f>
        <v/>
      </c>
      <c r="G266" s="32" t="str">
        <f t="shared" si="4"/>
        <v/>
      </c>
    </row>
    <row r="267" spans="2:7" x14ac:dyDescent="0.3">
      <c r="B267" s="13">
        <v>260</v>
      </c>
      <c r="C267" s="14" t="s">
        <v>766</v>
      </c>
      <c r="D267" s="13"/>
      <c r="E267" s="15" t="str">
        <f>IFERROR(VLOOKUP(C267,기출문제!D:G,3,0),"")</f>
        <v/>
      </c>
      <c r="F267" s="31" t="str">
        <f>IFERROR(VLOOKUP(C267,기출문제!D:G,4,0),"")</f>
        <v/>
      </c>
      <c r="G267" s="32" t="str">
        <f t="shared" si="4"/>
        <v/>
      </c>
    </row>
    <row r="268" spans="2:7" x14ac:dyDescent="0.3">
      <c r="B268" s="13">
        <v>261</v>
      </c>
      <c r="C268" s="14" t="s">
        <v>766</v>
      </c>
      <c r="D268" s="13"/>
      <c r="E268" s="15" t="str">
        <f>IFERROR(VLOOKUP(C268,기출문제!D:G,3,0),"")</f>
        <v/>
      </c>
      <c r="F268" s="31" t="str">
        <f>IFERROR(VLOOKUP(C268,기출문제!D:G,4,0),"")</f>
        <v/>
      </c>
      <c r="G268" s="32" t="str">
        <f t="shared" si="4"/>
        <v/>
      </c>
    </row>
    <row r="269" spans="2:7" x14ac:dyDescent="0.3">
      <c r="B269" s="13">
        <v>262</v>
      </c>
      <c r="C269" s="14" t="s">
        <v>766</v>
      </c>
      <c r="D269" s="13"/>
      <c r="E269" s="15" t="str">
        <f>IFERROR(VLOOKUP(C269,기출문제!D:G,3,0),"")</f>
        <v/>
      </c>
      <c r="F269" s="31" t="str">
        <f>IFERROR(VLOOKUP(C269,기출문제!D:G,4,0),"")</f>
        <v/>
      </c>
      <c r="G269" s="32" t="str">
        <f t="shared" si="4"/>
        <v/>
      </c>
    </row>
    <row r="270" spans="2:7" x14ac:dyDescent="0.3">
      <c r="B270" s="13">
        <v>263</v>
      </c>
      <c r="C270" s="14" t="s">
        <v>766</v>
      </c>
      <c r="D270" s="13"/>
      <c r="E270" s="15" t="str">
        <f>IFERROR(VLOOKUP(C270,기출문제!D:G,3,0),"")</f>
        <v/>
      </c>
      <c r="F270" s="31" t="str">
        <f>IFERROR(VLOOKUP(C270,기출문제!D:G,4,0),"")</f>
        <v/>
      </c>
      <c r="G270" s="32" t="str">
        <f t="shared" si="4"/>
        <v/>
      </c>
    </row>
    <row r="271" spans="2:7" x14ac:dyDescent="0.3">
      <c r="B271" s="13">
        <v>264</v>
      </c>
      <c r="C271" s="14" t="s">
        <v>766</v>
      </c>
      <c r="D271" s="13"/>
      <c r="E271" s="15" t="str">
        <f>IFERROR(VLOOKUP(C271,기출문제!D:G,3,0),"")</f>
        <v/>
      </c>
      <c r="F271" s="31" t="str">
        <f>IFERROR(VLOOKUP(C271,기출문제!D:G,4,0),"")</f>
        <v/>
      </c>
      <c r="G271" s="32" t="str">
        <f t="shared" si="4"/>
        <v/>
      </c>
    </row>
    <row r="272" spans="2:7" x14ac:dyDescent="0.3">
      <c r="B272" s="13">
        <v>265</v>
      </c>
      <c r="C272" s="14" t="s">
        <v>766</v>
      </c>
      <c r="D272" s="13"/>
      <c r="E272" s="15" t="str">
        <f>IFERROR(VLOOKUP(C272,기출문제!D:G,3,0),"")</f>
        <v/>
      </c>
      <c r="F272" s="31" t="str">
        <f>IFERROR(VLOOKUP(C272,기출문제!D:G,4,0),"")</f>
        <v/>
      </c>
      <c r="G272" s="32" t="str">
        <f t="shared" si="4"/>
        <v/>
      </c>
    </row>
    <row r="273" spans="2:7" x14ac:dyDescent="0.3">
      <c r="B273" s="13">
        <v>266</v>
      </c>
      <c r="C273" s="14" t="s">
        <v>766</v>
      </c>
      <c r="D273" s="13"/>
      <c r="E273" s="15" t="str">
        <f>IFERROR(VLOOKUP(C273,기출문제!D:G,3,0),"")</f>
        <v/>
      </c>
      <c r="F273" s="31" t="str">
        <f>IFERROR(VLOOKUP(C273,기출문제!D:G,4,0),"")</f>
        <v/>
      </c>
      <c r="G273" s="32" t="str">
        <f t="shared" si="4"/>
        <v/>
      </c>
    </row>
    <row r="274" spans="2:7" x14ac:dyDescent="0.3">
      <c r="B274" s="13">
        <v>267</v>
      </c>
      <c r="C274" s="14" t="s">
        <v>766</v>
      </c>
      <c r="D274" s="13"/>
      <c r="E274" s="15" t="str">
        <f>IFERROR(VLOOKUP(C274,기출문제!D:G,3,0),"")</f>
        <v/>
      </c>
      <c r="F274" s="31" t="str">
        <f>IFERROR(VLOOKUP(C274,기출문제!D:G,4,0),"")</f>
        <v/>
      </c>
      <c r="G274" s="32" t="str">
        <f t="shared" si="4"/>
        <v/>
      </c>
    </row>
    <row r="275" spans="2:7" x14ac:dyDescent="0.3">
      <c r="B275" s="13">
        <v>268</v>
      </c>
      <c r="C275" s="14" t="s">
        <v>766</v>
      </c>
      <c r="D275" s="13"/>
      <c r="E275" s="15" t="str">
        <f>IFERROR(VLOOKUP(C275,기출문제!D:G,3,0),"")</f>
        <v/>
      </c>
      <c r="F275" s="31" t="str">
        <f>IFERROR(VLOOKUP(C275,기출문제!D:G,4,0),"")</f>
        <v/>
      </c>
      <c r="G275" s="32" t="str">
        <f t="shared" si="4"/>
        <v/>
      </c>
    </row>
    <row r="276" spans="2:7" x14ac:dyDescent="0.3">
      <c r="B276" s="13">
        <v>269</v>
      </c>
      <c r="C276" s="14" t="s">
        <v>766</v>
      </c>
      <c r="D276" s="13"/>
      <c r="E276" s="15" t="str">
        <f>IFERROR(VLOOKUP(C276,기출문제!D:G,3,0),"")</f>
        <v/>
      </c>
      <c r="F276" s="31" t="str">
        <f>IFERROR(VLOOKUP(C276,기출문제!D:G,4,0),"")</f>
        <v/>
      </c>
      <c r="G276" s="32" t="str">
        <f t="shared" si="4"/>
        <v/>
      </c>
    </row>
    <row r="277" spans="2:7" x14ac:dyDescent="0.3">
      <c r="B277" s="13">
        <v>270</v>
      </c>
      <c r="C277" s="14" t="s">
        <v>766</v>
      </c>
      <c r="D277" s="13"/>
      <c r="E277" s="15" t="str">
        <f>IFERROR(VLOOKUP(C277,기출문제!D:G,3,0),"")</f>
        <v/>
      </c>
      <c r="F277" s="31" t="str">
        <f>IFERROR(VLOOKUP(C277,기출문제!D:G,4,0),"")</f>
        <v/>
      </c>
      <c r="G277" s="32" t="str">
        <f t="shared" si="4"/>
        <v/>
      </c>
    </row>
    <row r="278" spans="2:7" x14ac:dyDescent="0.3">
      <c r="B278" s="13">
        <v>271</v>
      </c>
      <c r="C278" s="14" t="s">
        <v>766</v>
      </c>
      <c r="D278" s="13"/>
      <c r="E278" s="15" t="str">
        <f>IFERROR(VLOOKUP(C278,기출문제!D:G,3,0),"")</f>
        <v/>
      </c>
      <c r="F278" s="31" t="str">
        <f>IFERROR(VLOOKUP(C278,기출문제!D:G,4,0),"")</f>
        <v/>
      </c>
      <c r="G278" s="32" t="str">
        <f t="shared" si="4"/>
        <v/>
      </c>
    </row>
    <row r="279" spans="2:7" x14ac:dyDescent="0.3">
      <c r="B279" s="13">
        <v>272</v>
      </c>
      <c r="C279" s="14" t="s">
        <v>766</v>
      </c>
      <c r="D279" s="13"/>
      <c r="E279" s="15" t="str">
        <f>IFERROR(VLOOKUP(C279,기출문제!D:G,3,0),"")</f>
        <v/>
      </c>
      <c r="F279" s="31" t="str">
        <f>IFERROR(VLOOKUP(C279,기출문제!D:G,4,0),"")</f>
        <v/>
      </c>
      <c r="G279" s="32" t="str">
        <f t="shared" si="4"/>
        <v/>
      </c>
    </row>
    <row r="280" spans="2:7" x14ac:dyDescent="0.3">
      <c r="B280" s="13">
        <v>273</v>
      </c>
      <c r="C280" s="14" t="s">
        <v>766</v>
      </c>
      <c r="D280" s="13"/>
      <c r="E280" s="15" t="str">
        <f>IFERROR(VLOOKUP(C280,기출문제!D:G,3,0),"")</f>
        <v/>
      </c>
      <c r="F280" s="31" t="str">
        <f>IFERROR(VLOOKUP(C280,기출문제!D:G,4,0),"")</f>
        <v/>
      </c>
      <c r="G280" s="32" t="str">
        <f t="shared" si="4"/>
        <v/>
      </c>
    </row>
    <row r="281" spans="2:7" x14ac:dyDescent="0.3">
      <c r="B281" s="13">
        <v>274</v>
      </c>
      <c r="C281" s="14" t="s">
        <v>766</v>
      </c>
      <c r="D281" s="13"/>
      <c r="E281" s="15" t="str">
        <f>IFERROR(VLOOKUP(C281,기출문제!D:G,3,0),"")</f>
        <v/>
      </c>
      <c r="F281" s="31" t="str">
        <f>IFERROR(VLOOKUP(C281,기출문제!D:G,4,0),"")</f>
        <v/>
      </c>
      <c r="G281" s="32" t="str">
        <f t="shared" si="4"/>
        <v/>
      </c>
    </row>
    <row r="282" spans="2:7" x14ac:dyDescent="0.3">
      <c r="B282" s="13">
        <v>275</v>
      </c>
      <c r="C282" s="14" t="s">
        <v>766</v>
      </c>
      <c r="D282" s="13"/>
      <c r="E282" s="15" t="str">
        <f>IFERROR(VLOOKUP(C282,기출문제!D:G,3,0),"")</f>
        <v/>
      </c>
      <c r="F282" s="31" t="str">
        <f>IFERROR(VLOOKUP(C282,기출문제!D:G,4,0),"")</f>
        <v/>
      </c>
      <c r="G282" s="32" t="str">
        <f t="shared" si="4"/>
        <v/>
      </c>
    </row>
    <row r="283" spans="2:7" x14ac:dyDescent="0.3">
      <c r="B283" s="13">
        <v>276</v>
      </c>
      <c r="C283" s="14" t="s">
        <v>766</v>
      </c>
      <c r="D283" s="13"/>
      <c r="E283" s="15" t="str">
        <f>IFERROR(VLOOKUP(C283,기출문제!D:G,3,0),"")</f>
        <v/>
      </c>
      <c r="F283" s="31" t="str">
        <f>IFERROR(VLOOKUP(C283,기출문제!D:G,4,0),"")</f>
        <v/>
      </c>
      <c r="G283" s="32" t="str">
        <f t="shared" si="4"/>
        <v/>
      </c>
    </row>
    <row r="284" spans="2:7" x14ac:dyDescent="0.3">
      <c r="B284" s="13">
        <v>277</v>
      </c>
      <c r="C284" s="14" t="s">
        <v>766</v>
      </c>
      <c r="D284" s="13"/>
      <c r="E284" s="15" t="str">
        <f>IFERROR(VLOOKUP(C284,기출문제!D:G,3,0),"")</f>
        <v/>
      </c>
      <c r="F284" s="31" t="str">
        <f>IFERROR(VLOOKUP(C284,기출문제!D:G,4,0),"")</f>
        <v/>
      </c>
      <c r="G284" s="32" t="str">
        <f t="shared" si="4"/>
        <v/>
      </c>
    </row>
    <row r="285" spans="2:7" x14ac:dyDescent="0.3">
      <c r="B285" s="13">
        <v>278</v>
      </c>
      <c r="C285" s="14" t="s">
        <v>766</v>
      </c>
      <c r="D285" s="13"/>
      <c r="E285" s="15" t="str">
        <f>IFERROR(VLOOKUP(C285,기출문제!D:G,3,0),"")</f>
        <v/>
      </c>
      <c r="F285" s="31" t="str">
        <f>IFERROR(VLOOKUP(C285,기출문제!D:G,4,0),"")</f>
        <v/>
      </c>
      <c r="G285" s="32" t="str">
        <f t="shared" si="4"/>
        <v/>
      </c>
    </row>
    <row r="286" spans="2:7" x14ac:dyDescent="0.3">
      <c r="B286" s="13">
        <v>279</v>
      </c>
      <c r="C286" s="14" t="s">
        <v>766</v>
      </c>
      <c r="D286" s="13"/>
      <c r="E286" s="15" t="str">
        <f>IFERROR(VLOOKUP(C286,기출문제!D:G,3,0),"")</f>
        <v/>
      </c>
      <c r="F286" s="31" t="str">
        <f>IFERROR(VLOOKUP(C286,기출문제!D:G,4,0),"")</f>
        <v/>
      </c>
      <c r="G286" s="32" t="str">
        <f t="shared" si="4"/>
        <v/>
      </c>
    </row>
    <row r="287" spans="2:7" x14ac:dyDescent="0.3">
      <c r="B287" s="13">
        <v>280</v>
      </c>
      <c r="C287" s="14" t="s">
        <v>766</v>
      </c>
      <c r="D287" s="13"/>
      <c r="E287" s="15" t="str">
        <f>IFERROR(VLOOKUP(C287,기출문제!D:G,3,0),"")</f>
        <v/>
      </c>
      <c r="F287" s="31" t="str">
        <f>IFERROR(VLOOKUP(C287,기출문제!D:G,4,0),"")</f>
        <v/>
      </c>
      <c r="G287" s="32" t="str">
        <f t="shared" si="4"/>
        <v/>
      </c>
    </row>
    <row r="288" spans="2:7" x14ac:dyDescent="0.3">
      <c r="B288" s="13">
        <v>281</v>
      </c>
      <c r="C288" s="14" t="s">
        <v>766</v>
      </c>
      <c r="D288" s="13"/>
      <c r="E288" s="15" t="str">
        <f>IFERROR(VLOOKUP(C288,기출문제!D:G,3,0),"")</f>
        <v/>
      </c>
      <c r="F288" s="31" t="str">
        <f>IFERROR(VLOOKUP(C288,기출문제!D:G,4,0),"")</f>
        <v/>
      </c>
      <c r="G288" s="32" t="str">
        <f t="shared" si="4"/>
        <v/>
      </c>
    </row>
    <row r="289" spans="2:7" x14ac:dyDescent="0.3">
      <c r="B289" s="13">
        <v>282</v>
      </c>
      <c r="C289" s="14" t="s">
        <v>766</v>
      </c>
      <c r="D289" s="13"/>
      <c r="E289" s="15" t="str">
        <f>IFERROR(VLOOKUP(C289,기출문제!D:G,3,0),"")</f>
        <v/>
      </c>
      <c r="F289" s="31" t="str">
        <f>IFERROR(VLOOKUP(C289,기출문제!D:G,4,0),"")</f>
        <v/>
      </c>
      <c r="G289" s="32" t="str">
        <f t="shared" si="4"/>
        <v/>
      </c>
    </row>
    <row r="290" spans="2:7" x14ac:dyDescent="0.3">
      <c r="B290" s="13">
        <v>283</v>
      </c>
      <c r="C290" s="14" t="s">
        <v>766</v>
      </c>
      <c r="D290" s="13"/>
      <c r="E290" s="15" t="str">
        <f>IFERROR(VLOOKUP(C290,기출문제!D:G,3,0),"")</f>
        <v/>
      </c>
      <c r="F290" s="31" t="str">
        <f>IFERROR(VLOOKUP(C290,기출문제!D:G,4,0),"")</f>
        <v/>
      </c>
      <c r="G290" s="32" t="str">
        <f t="shared" si="4"/>
        <v/>
      </c>
    </row>
    <row r="291" spans="2:7" x14ac:dyDescent="0.3">
      <c r="B291" s="13">
        <v>284</v>
      </c>
      <c r="C291" s="14" t="s">
        <v>766</v>
      </c>
      <c r="D291" s="13"/>
      <c r="E291" s="15" t="str">
        <f>IFERROR(VLOOKUP(C291,기출문제!D:G,3,0),"")</f>
        <v/>
      </c>
      <c r="F291" s="31" t="str">
        <f>IFERROR(VLOOKUP(C291,기출문제!D:G,4,0),"")</f>
        <v/>
      </c>
      <c r="G291" s="32" t="str">
        <f t="shared" si="4"/>
        <v/>
      </c>
    </row>
    <row r="292" spans="2:7" x14ac:dyDescent="0.3">
      <c r="B292" s="13">
        <v>285</v>
      </c>
      <c r="C292" s="14" t="s">
        <v>766</v>
      </c>
      <c r="D292" s="13"/>
      <c r="E292" s="15" t="str">
        <f>IFERROR(VLOOKUP(C292,기출문제!D:G,3,0),"")</f>
        <v/>
      </c>
      <c r="F292" s="31" t="str">
        <f>IFERROR(VLOOKUP(C292,기출문제!D:G,4,0),"")</f>
        <v/>
      </c>
      <c r="G292" s="32" t="str">
        <f t="shared" si="4"/>
        <v/>
      </c>
    </row>
    <row r="293" spans="2:7" x14ac:dyDescent="0.3">
      <c r="B293" s="13">
        <v>286</v>
      </c>
      <c r="C293" s="14" t="s">
        <v>766</v>
      </c>
      <c r="D293" s="13"/>
      <c r="E293" s="15" t="str">
        <f>IFERROR(VLOOKUP(C293,기출문제!D:G,3,0),"")</f>
        <v/>
      </c>
      <c r="F293" s="31" t="str">
        <f>IFERROR(VLOOKUP(C293,기출문제!D:G,4,0),"")</f>
        <v/>
      </c>
      <c r="G293" s="32" t="str">
        <f t="shared" si="4"/>
        <v/>
      </c>
    </row>
    <row r="294" spans="2:7" x14ac:dyDescent="0.3">
      <c r="B294" s="13">
        <v>287</v>
      </c>
      <c r="C294" s="14" t="s">
        <v>766</v>
      </c>
      <c r="D294" s="13"/>
      <c r="E294" s="15" t="str">
        <f>IFERROR(VLOOKUP(C294,기출문제!D:G,3,0),"")</f>
        <v/>
      </c>
      <c r="F294" s="31" t="str">
        <f>IFERROR(VLOOKUP(C294,기출문제!D:G,4,0),"")</f>
        <v/>
      </c>
      <c r="G294" s="32" t="str">
        <f t="shared" si="4"/>
        <v/>
      </c>
    </row>
    <row r="295" spans="2:7" x14ac:dyDescent="0.3">
      <c r="B295" s="13">
        <v>288</v>
      </c>
      <c r="C295" s="14" t="s">
        <v>766</v>
      </c>
      <c r="D295" s="13"/>
      <c r="E295" s="15" t="str">
        <f>IFERROR(VLOOKUP(C295,기출문제!D:G,3,0),"")</f>
        <v/>
      </c>
      <c r="F295" s="31" t="str">
        <f>IFERROR(VLOOKUP(C295,기출문제!D:G,4,0),"")</f>
        <v/>
      </c>
      <c r="G295" s="32" t="str">
        <f t="shared" si="4"/>
        <v/>
      </c>
    </row>
    <row r="296" spans="2:7" x14ac:dyDescent="0.3">
      <c r="B296" s="13">
        <v>289</v>
      </c>
      <c r="C296" s="14" t="s">
        <v>766</v>
      </c>
      <c r="D296" s="13"/>
      <c r="E296" s="15" t="str">
        <f>IFERROR(VLOOKUP(C296,기출문제!D:G,3,0),"")</f>
        <v/>
      </c>
      <c r="F296" s="31" t="str">
        <f>IFERROR(VLOOKUP(C296,기출문제!D:G,4,0),"")</f>
        <v/>
      </c>
      <c r="G296" s="32" t="str">
        <f t="shared" si="4"/>
        <v/>
      </c>
    </row>
    <row r="297" spans="2:7" x14ac:dyDescent="0.3">
      <c r="B297" s="13">
        <v>290</v>
      </c>
      <c r="C297" s="14" t="s">
        <v>766</v>
      </c>
      <c r="D297" s="13"/>
      <c r="E297" s="15" t="str">
        <f>IFERROR(VLOOKUP(C297,기출문제!D:G,3,0),"")</f>
        <v/>
      </c>
      <c r="F297" s="31" t="str">
        <f>IFERROR(VLOOKUP(C297,기출문제!D:G,4,0),"")</f>
        <v/>
      </c>
      <c r="G297" s="32" t="str">
        <f t="shared" si="4"/>
        <v/>
      </c>
    </row>
    <row r="298" spans="2:7" x14ac:dyDescent="0.3">
      <c r="B298" s="13">
        <v>291</v>
      </c>
      <c r="C298" s="14" t="s">
        <v>766</v>
      </c>
      <c r="D298" s="13"/>
      <c r="E298" s="15" t="str">
        <f>IFERROR(VLOOKUP(C298,기출문제!D:G,3,0),"")</f>
        <v/>
      </c>
      <c r="F298" s="31" t="str">
        <f>IFERROR(VLOOKUP(C298,기출문제!D:G,4,0),"")</f>
        <v/>
      </c>
      <c r="G298" s="32" t="str">
        <f t="shared" si="4"/>
        <v/>
      </c>
    </row>
    <row r="299" spans="2:7" x14ac:dyDescent="0.3">
      <c r="B299" s="13">
        <v>292</v>
      </c>
      <c r="C299" s="14" t="s">
        <v>766</v>
      </c>
      <c r="D299" s="13"/>
      <c r="E299" s="15" t="str">
        <f>IFERROR(VLOOKUP(C299,기출문제!D:G,3,0),"")</f>
        <v/>
      </c>
      <c r="F299" s="31" t="str">
        <f>IFERROR(VLOOKUP(C299,기출문제!D:G,4,0),"")</f>
        <v/>
      </c>
      <c r="G299" s="32" t="str">
        <f t="shared" si="4"/>
        <v/>
      </c>
    </row>
    <row r="300" spans="2:7" x14ac:dyDescent="0.3">
      <c r="B300" s="13">
        <v>293</v>
      </c>
      <c r="C300" s="14" t="s">
        <v>766</v>
      </c>
      <c r="D300" s="13"/>
      <c r="E300" s="15" t="str">
        <f>IFERROR(VLOOKUP(C300,기출문제!D:G,3,0),"")</f>
        <v/>
      </c>
      <c r="F300" s="31" t="str">
        <f>IFERROR(VLOOKUP(C300,기출문제!D:G,4,0),"")</f>
        <v/>
      </c>
      <c r="G300" s="32" t="str">
        <f t="shared" si="4"/>
        <v/>
      </c>
    </row>
    <row r="301" spans="2:7" x14ac:dyDescent="0.3">
      <c r="B301" s="13">
        <v>294</v>
      </c>
      <c r="C301" s="14" t="s">
        <v>766</v>
      </c>
      <c r="D301" s="13"/>
      <c r="E301" s="15" t="str">
        <f>IFERROR(VLOOKUP(C301,기출문제!D:G,3,0),"")</f>
        <v/>
      </c>
      <c r="F301" s="31" t="str">
        <f>IFERROR(VLOOKUP(C301,기출문제!D:G,4,0),"")</f>
        <v/>
      </c>
      <c r="G301" s="32" t="str">
        <f t="shared" si="4"/>
        <v/>
      </c>
    </row>
    <row r="302" spans="2:7" x14ac:dyDescent="0.3">
      <c r="B302" s="13">
        <v>295</v>
      </c>
      <c r="C302" s="14" t="s">
        <v>766</v>
      </c>
      <c r="D302" s="13"/>
      <c r="E302" s="15" t="str">
        <f>IFERROR(VLOOKUP(C302,기출문제!D:G,3,0),"")</f>
        <v/>
      </c>
      <c r="F302" s="31" t="str">
        <f>IFERROR(VLOOKUP(C302,기출문제!D:G,4,0),"")</f>
        <v/>
      </c>
      <c r="G302" s="32" t="str">
        <f t="shared" si="4"/>
        <v/>
      </c>
    </row>
    <row r="303" spans="2:7" x14ac:dyDescent="0.3">
      <c r="B303" s="13">
        <v>296</v>
      </c>
      <c r="C303" s="14" t="s">
        <v>766</v>
      </c>
      <c r="D303" s="13"/>
      <c r="E303" s="15" t="str">
        <f>IFERROR(VLOOKUP(C303,기출문제!D:G,3,0),"")</f>
        <v/>
      </c>
      <c r="F303" s="31" t="str">
        <f>IFERROR(VLOOKUP(C303,기출문제!D:G,4,0),"")</f>
        <v/>
      </c>
      <c r="G303" s="32" t="str">
        <f t="shared" si="4"/>
        <v/>
      </c>
    </row>
    <row r="304" spans="2:7" x14ac:dyDescent="0.3">
      <c r="B304" s="13">
        <v>297</v>
      </c>
      <c r="C304" s="14" t="s">
        <v>766</v>
      </c>
      <c r="D304" s="13"/>
      <c r="E304" s="15" t="str">
        <f>IFERROR(VLOOKUP(C304,기출문제!D:G,3,0),"")</f>
        <v/>
      </c>
      <c r="F304" s="31" t="str">
        <f>IFERROR(VLOOKUP(C304,기출문제!D:G,4,0),"")</f>
        <v/>
      </c>
      <c r="G304" s="32" t="str">
        <f t="shared" si="4"/>
        <v/>
      </c>
    </row>
    <row r="305" spans="2:7" x14ac:dyDescent="0.3">
      <c r="B305" s="13">
        <v>298</v>
      </c>
      <c r="C305" s="14" t="s">
        <v>766</v>
      </c>
      <c r="D305" s="13"/>
      <c r="E305" s="15" t="str">
        <f>IFERROR(VLOOKUP(C305,기출문제!D:G,3,0),"")</f>
        <v/>
      </c>
      <c r="F305" s="31" t="str">
        <f>IFERROR(VLOOKUP(C305,기출문제!D:G,4,0),"")</f>
        <v/>
      </c>
      <c r="G305" s="32" t="str">
        <f t="shared" si="4"/>
        <v/>
      </c>
    </row>
    <row r="306" spans="2:7" x14ac:dyDescent="0.3">
      <c r="B306" s="13">
        <v>299</v>
      </c>
      <c r="C306" s="14" t="s">
        <v>766</v>
      </c>
      <c r="D306" s="13"/>
      <c r="E306" s="15" t="str">
        <f>IFERROR(VLOOKUP(C306,기출문제!D:G,3,0),"")</f>
        <v/>
      </c>
      <c r="F306" s="31" t="str">
        <f>IFERROR(VLOOKUP(C306,기출문제!D:G,4,0),"")</f>
        <v/>
      </c>
      <c r="G306" s="32" t="str">
        <f t="shared" si="4"/>
        <v/>
      </c>
    </row>
    <row r="307" spans="2:7" x14ac:dyDescent="0.3">
      <c r="B307" s="13">
        <v>300</v>
      </c>
      <c r="C307" s="14" t="s">
        <v>766</v>
      </c>
      <c r="D307" s="13"/>
      <c r="E307" s="15" t="str">
        <f>IFERROR(VLOOKUP(C307,기출문제!D:G,3,0),"")</f>
        <v/>
      </c>
      <c r="F307" s="31" t="str">
        <f>IFERROR(VLOOKUP(C307,기출문제!D:G,4,0),"")</f>
        <v/>
      </c>
      <c r="G307" s="32" t="str">
        <f t="shared" si="4"/>
        <v/>
      </c>
    </row>
    <row r="308" spans="2:7" x14ac:dyDescent="0.3">
      <c r="B308" s="13">
        <v>301</v>
      </c>
      <c r="C308" s="14" t="s">
        <v>766</v>
      </c>
      <c r="D308" s="13"/>
      <c r="E308" s="15" t="str">
        <f>IFERROR(VLOOKUP(C308,기출문제!D:G,3,0),"")</f>
        <v/>
      </c>
      <c r="F308" s="31" t="str">
        <f>IFERROR(VLOOKUP(C308,기출문제!D:G,4,0),"")</f>
        <v/>
      </c>
      <c r="G308" s="32" t="str">
        <f t="shared" si="4"/>
        <v/>
      </c>
    </row>
    <row r="309" spans="2:7" x14ac:dyDescent="0.3">
      <c r="B309" s="13">
        <v>302</v>
      </c>
      <c r="C309" s="14" t="s">
        <v>766</v>
      </c>
      <c r="D309" s="13"/>
      <c r="E309" s="15" t="str">
        <f>IFERROR(VLOOKUP(C309,기출문제!D:G,3,0),"")</f>
        <v/>
      </c>
      <c r="F309" s="31" t="str">
        <f>IFERROR(VLOOKUP(C309,기출문제!D:G,4,0),"")</f>
        <v/>
      </c>
      <c r="G309" s="32" t="str">
        <f t="shared" si="4"/>
        <v/>
      </c>
    </row>
    <row r="310" spans="2:7" x14ac:dyDescent="0.3">
      <c r="B310" s="13">
        <v>303</v>
      </c>
      <c r="C310" s="14" t="s">
        <v>766</v>
      </c>
      <c r="D310" s="13"/>
      <c r="E310" s="15" t="str">
        <f>IFERROR(VLOOKUP(C310,기출문제!D:G,3,0),"")</f>
        <v/>
      </c>
      <c r="F310" s="31" t="str">
        <f>IFERROR(VLOOKUP(C310,기출문제!D:G,4,0),"")</f>
        <v/>
      </c>
      <c r="G310" s="32" t="str">
        <f t="shared" si="4"/>
        <v/>
      </c>
    </row>
    <row r="311" spans="2:7" x14ac:dyDescent="0.3">
      <c r="B311" s="13">
        <v>304</v>
      </c>
      <c r="C311" s="14" t="s">
        <v>766</v>
      </c>
      <c r="D311" s="13"/>
      <c r="E311" s="15" t="str">
        <f>IFERROR(VLOOKUP(C311,기출문제!D:G,3,0),"")</f>
        <v/>
      </c>
      <c r="F311" s="31" t="str">
        <f>IFERROR(VLOOKUP(C311,기출문제!D:G,4,0),"")</f>
        <v/>
      </c>
      <c r="G311" s="32" t="str">
        <f t="shared" si="4"/>
        <v/>
      </c>
    </row>
    <row r="312" spans="2:7" x14ac:dyDescent="0.3">
      <c r="B312" s="13">
        <v>305</v>
      </c>
      <c r="C312" s="14" t="s">
        <v>766</v>
      </c>
      <c r="D312" s="13"/>
      <c r="E312" s="15" t="str">
        <f>IFERROR(VLOOKUP(C312,기출문제!D:G,3,0),"")</f>
        <v/>
      </c>
      <c r="F312" s="31" t="str">
        <f>IFERROR(VLOOKUP(C312,기출문제!D:G,4,0),"")</f>
        <v/>
      </c>
      <c r="G312" s="32" t="str">
        <f t="shared" si="4"/>
        <v/>
      </c>
    </row>
    <row r="313" spans="2:7" x14ac:dyDescent="0.3">
      <c r="B313" s="13">
        <v>306</v>
      </c>
      <c r="C313" s="14" t="s">
        <v>766</v>
      </c>
      <c r="D313" s="13"/>
      <c r="E313" s="15" t="str">
        <f>IFERROR(VLOOKUP(C313,기출문제!D:G,3,0),"")</f>
        <v/>
      </c>
      <c r="F313" s="31" t="str">
        <f>IFERROR(VLOOKUP(C313,기출문제!D:G,4,0),"")</f>
        <v/>
      </c>
      <c r="G313" s="32" t="str">
        <f t="shared" si="4"/>
        <v/>
      </c>
    </row>
    <row r="314" spans="2:7" x14ac:dyDescent="0.3">
      <c r="B314" s="13">
        <v>307</v>
      </c>
      <c r="C314" s="14" t="s">
        <v>766</v>
      </c>
      <c r="D314" s="13"/>
      <c r="E314" s="15" t="str">
        <f>IFERROR(VLOOKUP(C314,기출문제!D:G,3,0),"")</f>
        <v/>
      </c>
      <c r="F314" s="31" t="str">
        <f>IFERROR(VLOOKUP(C314,기출문제!D:G,4,0),"")</f>
        <v/>
      </c>
      <c r="G314" s="32" t="str">
        <f t="shared" si="4"/>
        <v/>
      </c>
    </row>
    <row r="315" spans="2:7" x14ac:dyDescent="0.3">
      <c r="B315" s="13">
        <v>308</v>
      </c>
      <c r="C315" s="14" t="s">
        <v>766</v>
      </c>
      <c r="D315" s="13"/>
      <c r="E315" s="15" t="str">
        <f>IFERROR(VLOOKUP(C315,기출문제!D:G,3,0),"")</f>
        <v/>
      </c>
      <c r="F315" s="31" t="str">
        <f>IFERROR(VLOOKUP(C315,기출문제!D:G,4,0),"")</f>
        <v/>
      </c>
      <c r="G315" s="32" t="str">
        <f t="shared" si="4"/>
        <v/>
      </c>
    </row>
    <row r="316" spans="2:7" x14ac:dyDescent="0.3">
      <c r="B316" s="13">
        <v>309</v>
      </c>
      <c r="C316" s="14" t="s">
        <v>766</v>
      </c>
      <c r="D316" s="13"/>
      <c r="E316" s="15" t="str">
        <f>IFERROR(VLOOKUP(C316,기출문제!D:G,3,0),"")</f>
        <v/>
      </c>
      <c r="F316" s="31" t="str">
        <f>IFERROR(VLOOKUP(C316,기출문제!D:G,4,0),"")</f>
        <v/>
      </c>
      <c r="G316" s="32" t="str">
        <f t="shared" si="4"/>
        <v/>
      </c>
    </row>
    <row r="317" spans="2:7" x14ac:dyDescent="0.3">
      <c r="B317" s="13">
        <v>310</v>
      </c>
      <c r="C317" s="14" t="s">
        <v>766</v>
      </c>
      <c r="D317" s="13"/>
      <c r="E317" s="15" t="str">
        <f>IFERROR(VLOOKUP(C317,기출문제!D:G,3,0),"")</f>
        <v/>
      </c>
      <c r="F317" s="31" t="str">
        <f>IFERROR(VLOOKUP(C317,기출문제!D:G,4,0),"")</f>
        <v/>
      </c>
      <c r="G317" s="32" t="str">
        <f t="shared" si="4"/>
        <v/>
      </c>
    </row>
    <row r="318" spans="2:7" x14ac:dyDescent="0.3">
      <c r="B318" s="13">
        <v>311</v>
      </c>
      <c r="C318" s="14" t="s">
        <v>766</v>
      </c>
      <c r="D318" s="13"/>
      <c r="E318" s="15" t="str">
        <f>IFERROR(VLOOKUP(C318,기출문제!D:G,3,0),"")</f>
        <v/>
      </c>
      <c r="F318" s="31" t="str">
        <f>IFERROR(VLOOKUP(C318,기출문제!D:G,4,0),"")</f>
        <v/>
      </c>
      <c r="G318" s="32" t="str">
        <f t="shared" si="4"/>
        <v/>
      </c>
    </row>
    <row r="319" spans="2:7" x14ac:dyDescent="0.3">
      <c r="B319" s="13">
        <v>312</v>
      </c>
      <c r="C319" s="14" t="s">
        <v>766</v>
      </c>
      <c r="D319" s="13"/>
      <c r="E319" s="15" t="str">
        <f>IFERROR(VLOOKUP(C319,기출문제!D:G,3,0),"")</f>
        <v/>
      </c>
      <c r="F319" s="31" t="str">
        <f>IFERROR(VLOOKUP(C319,기출문제!D:G,4,0),"")</f>
        <v/>
      </c>
      <c r="G319" s="32" t="str">
        <f t="shared" si="4"/>
        <v/>
      </c>
    </row>
    <row r="320" spans="2:7" x14ac:dyDescent="0.3">
      <c r="B320" s="13">
        <v>313</v>
      </c>
      <c r="C320" s="14" t="s">
        <v>766</v>
      </c>
      <c r="D320" s="13"/>
      <c r="E320" s="15" t="str">
        <f>IFERROR(VLOOKUP(C320,기출문제!D:G,3,0),"")</f>
        <v/>
      </c>
      <c r="F320" s="31" t="str">
        <f>IFERROR(VLOOKUP(C320,기출문제!D:G,4,0),"")</f>
        <v/>
      </c>
      <c r="G320" s="32" t="str">
        <f t="shared" si="4"/>
        <v/>
      </c>
    </row>
    <row r="321" spans="2:7" x14ac:dyDescent="0.3">
      <c r="B321" s="13">
        <v>314</v>
      </c>
      <c r="C321" s="14" t="s">
        <v>766</v>
      </c>
      <c r="D321" s="13"/>
      <c r="E321" s="15" t="str">
        <f>IFERROR(VLOOKUP(C321,기출문제!D:G,3,0),"")</f>
        <v/>
      </c>
      <c r="F321" s="31" t="str">
        <f>IFERROR(VLOOKUP(C321,기출문제!D:G,4,0),"")</f>
        <v/>
      </c>
      <c r="G321" s="32" t="str">
        <f t="shared" si="4"/>
        <v/>
      </c>
    </row>
    <row r="322" spans="2:7" x14ac:dyDescent="0.3">
      <c r="B322" s="13">
        <v>315</v>
      </c>
      <c r="C322" s="14" t="s">
        <v>766</v>
      </c>
      <c r="D322" s="13"/>
      <c r="E322" s="15" t="str">
        <f>IFERROR(VLOOKUP(C322,기출문제!D:G,3,0),"")</f>
        <v/>
      </c>
      <c r="F322" s="31" t="str">
        <f>IFERROR(VLOOKUP(C322,기출문제!D:G,4,0),"")</f>
        <v/>
      </c>
      <c r="G322" s="32" t="str">
        <f t="shared" si="4"/>
        <v/>
      </c>
    </row>
    <row r="323" spans="2:7" x14ac:dyDescent="0.3">
      <c r="B323" s="13">
        <v>316</v>
      </c>
      <c r="C323" s="14" t="s">
        <v>766</v>
      </c>
      <c r="D323" s="13"/>
      <c r="E323" s="15" t="str">
        <f>IFERROR(VLOOKUP(C323,기출문제!D:G,3,0),"")</f>
        <v/>
      </c>
      <c r="F323" s="31" t="str">
        <f>IFERROR(VLOOKUP(C323,기출문제!D:G,4,0),"")</f>
        <v/>
      </c>
      <c r="G323" s="32" t="str">
        <f t="shared" si="4"/>
        <v/>
      </c>
    </row>
    <row r="324" spans="2:7" x14ac:dyDescent="0.3">
      <c r="B324" s="13">
        <v>317</v>
      </c>
      <c r="C324" s="14" t="s">
        <v>766</v>
      </c>
      <c r="D324" s="13"/>
      <c r="E324" s="15" t="str">
        <f>IFERROR(VLOOKUP(C324,기출문제!D:G,3,0),"")</f>
        <v/>
      </c>
      <c r="F324" s="31" t="str">
        <f>IFERROR(VLOOKUP(C324,기출문제!D:G,4,0),"")</f>
        <v/>
      </c>
      <c r="G324" s="32" t="str">
        <f t="shared" si="4"/>
        <v/>
      </c>
    </row>
    <row r="325" spans="2:7" x14ac:dyDescent="0.3">
      <c r="B325" s="13">
        <v>318</v>
      </c>
      <c r="C325" s="14" t="s">
        <v>766</v>
      </c>
      <c r="D325" s="13"/>
      <c r="E325" s="15" t="str">
        <f>IFERROR(VLOOKUP(C325,기출문제!D:G,3,0),"")</f>
        <v/>
      </c>
      <c r="F325" s="31" t="str">
        <f>IFERROR(VLOOKUP(C325,기출문제!D:G,4,0),"")</f>
        <v/>
      </c>
      <c r="G325" s="32" t="str">
        <f t="shared" si="4"/>
        <v/>
      </c>
    </row>
    <row r="326" spans="2:7" x14ac:dyDescent="0.3">
      <c r="B326" s="13">
        <v>319</v>
      </c>
      <c r="C326" s="14" t="s">
        <v>766</v>
      </c>
      <c r="D326" s="13"/>
      <c r="E326" s="15" t="str">
        <f>IFERROR(VLOOKUP(C326,기출문제!D:G,3,0),"")</f>
        <v/>
      </c>
      <c r="F326" s="31" t="str">
        <f>IFERROR(VLOOKUP(C326,기출문제!D:G,4,0),"")</f>
        <v/>
      </c>
      <c r="G326" s="32" t="str">
        <f t="shared" si="4"/>
        <v/>
      </c>
    </row>
    <row r="327" spans="2:7" x14ac:dyDescent="0.3">
      <c r="B327" s="13">
        <v>320</v>
      </c>
      <c r="C327" s="14" t="s">
        <v>766</v>
      </c>
      <c r="D327" s="13"/>
      <c r="E327" s="15" t="str">
        <f>IFERROR(VLOOKUP(C327,기출문제!D:G,3,0),"")</f>
        <v/>
      </c>
      <c r="F327" s="31" t="str">
        <f>IFERROR(VLOOKUP(C327,기출문제!D:G,4,0),"")</f>
        <v/>
      </c>
      <c r="G327" s="32" t="str">
        <f t="shared" si="4"/>
        <v/>
      </c>
    </row>
    <row r="328" spans="2:7" x14ac:dyDescent="0.3">
      <c r="B328" s="13">
        <v>321</v>
      </c>
      <c r="C328" s="14" t="s">
        <v>766</v>
      </c>
      <c r="D328" s="13"/>
      <c r="E328" s="15" t="str">
        <f>IFERROR(VLOOKUP(C328,기출문제!D:G,3,0),"")</f>
        <v/>
      </c>
      <c r="F328" s="31" t="str">
        <f>IFERROR(VLOOKUP(C328,기출문제!D:G,4,0),"")</f>
        <v/>
      </c>
      <c r="G328" s="32" t="str">
        <f t="shared" si="4"/>
        <v/>
      </c>
    </row>
    <row r="329" spans="2:7" x14ac:dyDescent="0.3">
      <c r="B329" s="13">
        <v>322</v>
      </c>
      <c r="C329" s="14" t="s">
        <v>766</v>
      </c>
      <c r="D329" s="13"/>
      <c r="E329" s="15" t="str">
        <f>IFERROR(VLOOKUP(C329,기출문제!D:G,3,0),"")</f>
        <v/>
      </c>
      <c r="F329" s="31" t="str">
        <f>IFERROR(VLOOKUP(C329,기출문제!D:G,4,0),"")</f>
        <v/>
      </c>
      <c r="G329" s="32" t="str">
        <f t="shared" ref="G329:G332" si="5">IF(D329="","",IF(D329=F329,"O", "X"))</f>
        <v/>
      </c>
    </row>
    <row r="330" spans="2:7" x14ac:dyDescent="0.3">
      <c r="B330" s="13">
        <v>323</v>
      </c>
      <c r="C330" s="14" t="s">
        <v>766</v>
      </c>
      <c r="D330" s="13"/>
      <c r="E330" s="15" t="str">
        <f>IFERROR(VLOOKUP(C330,기출문제!D:G,3,0),"")</f>
        <v/>
      </c>
      <c r="F330" s="31" t="str">
        <f>IFERROR(VLOOKUP(C330,기출문제!D:G,4,0),"")</f>
        <v/>
      </c>
      <c r="G330" s="32" t="str">
        <f t="shared" si="5"/>
        <v/>
      </c>
    </row>
    <row r="331" spans="2:7" x14ac:dyDescent="0.3">
      <c r="B331" s="13">
        <v>324</v>
      </c>
      <c r="C331" s="14" t="s">
        <v>766</v>
      </c>
      <c r="D331" s="13"/>
      <c r="E331" s="15" t="str">
        <f>IFERROR(VLOOKUP(C331,기출문제!D:G,3,0),"")</f>
        <v/>
      </c>
      <c r="F331" s="31" t="str">
        <f>IFERROR(VLOOKUP(C331,기출문제!D:G,4,0),"")</f>
        <v/>
      </c>
      <c r="G331" s="32" t="str">
        <f t="shared" si="5"/>
        <v/>
      </c>
    </row>
    <row r="332" spans="2:7" x14ac:dyDescent="0.3">
      <c r="B332" s="13">
        <v>325</v>
      </c>
      <c r="C332" s="14" t="s">
        <v>766</v>
      </c>
      <c r="D332" s="13"/>
      <c r="E332" s="15" t="str">
        <f>IFERROR(VLOOKUP(C332,기출문제!D:G,3,0),"")</f>
        <v/>
      </c>
      <c r="F332" s="31" t="str">
        <f>IFERROR(VLOOKUP(C332,기출문제!D:G,4,0),"")</f>
        <v/>
      </c>
      <c r="G332" s="32" t="str">
        <f t="shared" si="5"/>
        <v/>
      </c>
    </row>
    <row r="333" spans="2:7" x14ac:dyDescent="0.3">
      <c r="B333" s="13">
        <v>326</v>
      </c>
      <c r="C333" s="14" t="s">
        <v>766</v>
      </c>
      <c r="D333" s="13"/>
      <c r="E333" s="15" t="str">
        <f>IFERROR(VLOOKUP(C333,기출문제!D:G,3,0),"")</f>
        <v/>
      </c>
      <c r="F333" s="31" t="str">
        <f>IFERROR(VLOOKUP(C333,기출문제!D:G,4,0),"")</f>
        <v/>
      </c>
      <c r="G333" s="32" t="str">
        <f t="shared" ref="G333:G396" si="6">IF(D333="","",IF(D333=F333,"O", "X"))</f>
        <v/>
      </c>
    </row>
    <row r="334" spans="2:7" x14ac:dyDescent="0.3">
      <c r="B334" s="13">
        <v>327</v>
      </c>
      <c r="C334" s="14" t="s">
        <v>766</v>
      </c>
      <c r="D334" s="13"/>
      <c r="E334" s="15" t="str">
        <f>IFERROR(VLOOKUP(C334,기출문제!D:G,3,0),"")</f>
        <v/>
      </c>
      <c r="F334" s="31" t="str">
        <f>IFERROR(VLOOKUP(C334,기출문제!D:G,4,0),"")</f>
        <v/>
      </c>
      <c r="G334" s="32" t="str">
        <f t="shared" si="6"/>
        <v/>
      </c>
    </row>
    <row r="335" spans="2:7" x14ac:dyDescent="0.3">
      <c r="B335" s="13">
        <v>328</v>
      </c>
      <c r="C335" s="14" t="s">
        <v>766</v>
      </c>
      <c r="D335" s="13"/>
      <c r="E335" s="15" t="str">
        <f>IFERROR(VLOOKUP(C335,기출문제!D:G,3,0),"")</f>
        <v/>
      </c>
      <c r="F335" s="31" t="str">
        <f>IFERROR(VLOOKUP(C335,기출문제!D:G,4,0),"")</f>
        <v/>
      </c>
      <c r="G335" s="32" t="str">
        <f t="shared" si="6"/>
        <v/>
      </c>
    </row>
    <row r="336" spans="2:7" x14ac:dyDescent="0.3">
      <c r="B336" s="13">
        <v>329</v>
      </c>
      <c r="C336" s="14" t="s">
        <v>766</v>
      </c>
      <c r="D336" s="13"/>
      <c r="E336" s="15" t="str">
        <f>IFERROR(VLOOKUP(C336,기출문제!D:G,3,0),"")</f>
        <v/>
      </c>
      <c r="F336" s="31" t="str">
        <f>IFERROR(VLOOKUP(C336,기출문제!D:G,4,0),"")</f>
        <v/>
      </c>
      <c r="G336" s="32" t="str">
        <f t="shared" si="6"/>
        <v/>
      </c>
    </row>
    <row r="337" spans="2:7" x14ac:dyDescent="0.3">
      <c r="B337" s="13">
        <v>330</v>
      </c>
      <c r="C337" s="14" t="s">
        <v>766</v>
      </c>
      <c r="D337" s="13"/>
      <c r="E337" s="15" t="str">
        <f>IFERROR(VLOOKUP(C337,기출문제!D:G,3,0),"")</f>
        <v/>
      </c>
      <c r="F337" s="31" t="str">
        <f>IFERROR(VLOOKUP(C337,기출문제!D:G,4,0),"")</f>
        <v/>
      </c>
      <c r="G337" s="32" t="str">
        <f t="shared" si="6"/>
        <v/>
      </c>
    </row>
    <row r="338" spans="2:7" x14ac:dyDescent="0.3">
      <c r="B338" s="13">
        <v>331</v>
      </c>
      <c r="C338" s="14" t="s">
        <v>766</v>
      </c>
      <c r="D338" s="13"/>
      <c r="E338" s="15" t="str">
        <f>IFERROR(VLOOKUP(C338,기출문제!D:G,3,0),"")</f>
        <v/>
      </c>
      <c r="F338" s="31" t="str">
        <f>IFERROR(VLOOKUP(C338,기출문제!D:G,4,0),"")</f>
        <v/>
      </c>
      <c r="G338" s="32" t="str">
        <f t="shared" si="6"/>
        <v/>
      </c>
    </row>
    <row r="339" spans="2:7" x14ac:dyDescent="0.3">
      <c r="B339" s="13">
        <v>332</v>
      </c>
      <c r="C339" s="14" t="s">
        <v>766</v>
      </c>
      <c r="D339" s="13"/>
      <c r="E339" s="15" t="str">
        <f>IFERROR(VLOOKUP(C339,기출문제!D:G,3,0),"")</f>
        <v/>
      </c>
      <c r="F339" s="31" t="str">
        <f>IFERROR(VLOOKUP(C339,기출문제!D:G,4,0),"")</f>
        <v/>
      </c>
      <c r="G339" s="32" t="str">
        <f t="shared" si="6"/>
        <v/>
      </c>
    </row>
    <row r="340" spans="2:7" x14ac:dyDescent="0.3">
      <c r="B340" s="13">
        <v>333</v>
      </c>
      <c r="C340" s="14" t="s">
        <v>766</v>
      </c>
      <c r="D340" s="13"/>
      <c r="E340" s="15" t="str">
        <f>IFERROR(VLOOKUP(C340,기출문제!D:G,3,0),"")</f>
        <v/>
      </c>
      <c r="F340" s="31" t="str">
        <f>IFERROR(VLOOKUP(C340,기출문제!D:G,4,0),"")</f>
        <v/>
      </c>
      <c r="G340" s="32" t="str">
        <f t="shared" si="6"/>
        <v/>
      </c>
    </row>
    <row r="341" spans="2:7" x14ac:dyDescent="0.3">
      <c r="B341" s="13">
        <v>334</v>
      </c>
      <c r="C341" s="14" t="s">
        <v>766</v>
      </c>
      <c r="D341" s="13"/>
      <c r="E341" s="15" t="str">
        <f>IFERROR(VLOOKUP(C341,기출문제!D:G,3,0),"")</f>
        <v/>
      </c>
      <c r="F341" s="31" t="str">
        <f>IFERROR(VLOOKUP(C341,기출문제!D:G,4,0),"")</f>
        <v/>
      </c>
      <c r="G341" s="32" t="str">
        <f t="shared" si="6"/>
        <v/>
      </c>
    </row>
    <row r="342" spans="2:7" x14ac:dyDescent="0.3">
      <c r="B342" s="13">
        <v>335</v>
      </c>
      <c r="C342" s="14" t="s">
        <v>766</v>
      </c>
      <c r="D342" s="13"/>
      <c r="E342" s="15" t="str">
        <f>IFERROR(VLOOKUP(C342,기출문제!D:G,3,0),"")</f>
        <v/>
      </c>
      <c r="F342" s="31" t="str">
        <f>IFERROR(VLOOKUP(C342,기출문제!D:G,4,0),"")</f>
        <v/>
      </c>
      <c r="G342" s="32" t="str">
        <f t="shared" si="6"/>
        <v/>
      </c>
    </row>
    <row r="343" spans="2:7" x14ac:dyDescent="0.3">
      <c r="B343" s="13">
        <v>336</v>
      </c>
      <c r="C343" s="14" t="s">
        <v>766</v>
      </c>
      <c r="D343" s="13"/>
      <c r="E343" s="15" t="str">
        <f>IFERROR(VLOOKUP(C343,기출문제!D:G,3,0),"")</f>
        <v/>
      </c>
      <c r="F343" s="31" t="str">
        <f>IFERROR(VLOOKUP(C343,기출문제!D:G,4,0),"")</f>
        <v/>
      </c>
      <c r="G343" s="32" t="str">
        <f t="shared" si="6"/>
        <v/>
      </c>
    </row>
    <row r="344" spans="2:7" x14ac:dyDescent="0.3">
      <c r="B344" s="13">
        <v>337</v>
      </c>
      <c r="C344" s="14" t="s">
        <v>766</v>
      </c>
      <c r="D344" s="13"/>
      <c r="E344" s="15" t="str">
        <f>IFERROR(VLOOKUP(C344,기출문제!D:G,3,0),"")</f>
        <v/>
      </c>
      <c r="F344" s="31" t="str">
        <f>IFERROR(VLOOKUP(C344,기출문제!D:G,4,0),"")</f>
        <v/>
      </c>
      <c r="G344" s="32" t="str">
        <f t="shared" si="6"/>
        <v/>
      </c>
    </row>
    <row r="345" spans="2:7" x14ac:dyDescent="0.3">
      <c r="B345" s="13">
        <v>338</v>
      </c>
      <c r="C345" s="14" t="s">
        <v>766</v>
      </c>
      <c r="D345" s="13"/>
      <c r="E345" s="15" t="str">
        <f>IFERROR(VLOOKUP(C345,기출문제!D:G,3,0),"")</f>
        <v/>
      </c>
      <c r="F345" s="31" t="str">
        <f>IFERROR(VLOOKUP(C345,기출문제!D:G,4,0),"")</f>
        <v/>
      </c>
      <c r="G345" s="32" t="str">
        <f t="shared" si="6"/>
        <v/>
      </c>
    </row>
    <row r="346" spans="2:7" x14ac:dyDescent="0.3">
      <c r="B346" s="13">
        <v>339</v>
      </c>
      <c r="C346" s="14" t="s">
        <v>766</v>
      </c>
      <c r="D346" s="13"/>
      <c r="E346" s="15" t="str">
        <f>IFERROR(VLOOKUP(C346,기출문제!D:G,3,0),"")</f>
        <v/>
      </c>
      <c r="F346" s="31" t="str">
        <f>IFERROR(VLOOKUP(C346,기출문제!D:G,4,0),"")</f>
        <v/>
      </c>
      <c r="G346" s="32" t="str">
        <f t="shared" si="6"/>
        <v/>
      </c>
    </row>
    <row r="347" spans="2:7" x14ac:dyDescent="0.3">
      <c r="B347" s="13">
        <v>340</v>
      </c>
      <c r="C347" s="14" t="s">
        <v>766</v>
      </c>
      <c r="D347" s="13"/>
      <c r="E347" s="15" t="str">
        <f>IFERROR(VLOOKUP(C347,기출문제!D:G,3,0),"")</f>
        <v/>
      </c>
      <c r="F347" s="31" t="str">
        <f>IFERROR(VLOOKUP(C347,기출문제!D:G,4,0),"")</f>
        <v/>
      </c>
      <c r="G347" s="32" t="str">
        <f t="shared" si="6"/>
        <v/>
      </c>
    </row>
    <row r="348" spans="2:7" x14ac:dyDescent="0.3">
      <c r="B348" s="13">
        <v>341</v>
      </c>
      <c r="C348" s="14" t="s">
        <v>766</v>
      </c>
      <c r="D348" s="13"/>
      <c r="E348" s="15" t="str">
        <f>IFERROR(VLOOKUP(C348,기출문제!D:G,3,0),"")</f>
        <v/>
      </c>
      <c r="F348" s="31" t="str">
        <f>IFERROR(VLOOKUP(C348,기출문제!D:G,4,0),"")</f>
        <v/>
      </c>
      <c r="G348" s="32" t="str">
        <f t="shared" si="6"/>
        <v/>
      </c>
    </row>
    <row r="349" spans="2:7" x14ac:dyDescent="0.3">
      <c r="B349" s="13">
        <v>342</v>
      </c>
      <c r="C349" s="14" t="s">
        <v>766</v>
      </c>
      <c r="D349" s="13"/>
      <c r="E349" s="15" t="str">
        <f>IFERROR(VLOOKUP(C349,기출문제!D:G,3,0),"")</f>
        <v/>
      </c>
      <c r="F349" s="31" t="str">
        <f>IFERROR(VLOOKUP(C349,기출문제!D:G,4,0),"")</f>
        <v/>
      </c>
      <c r="G349" s="32" t="str">
        <f t="shared" si="6"/>
        <v/>
      </c>
    </row>
    <row r="350" spans="2:7" x14ac:dyDescent="0.3">
      <c r="B350" s="13">
        <v>343</v>
      </c>
      <c r="C350" s="14" t="s">
        <v>766</v>
      </c>
      <c r="D350" s="13"/>
      <c r="E350" s="15" t="str">
        <f>IFERROR(VLOOKUP(C350,기출문제!D:G,3,0),"")</f>
        <v/>
      </c>
      <c r="F350" s="31" t="str">
        <f>IFERROR(VLOOKUP(C350,기출문제!D:G,4,0),"")</f>
        <v/>
      </c>
      <c r="G350" s="32" t="str">
        <f t="shared" si="6"/>
        <v/>
      </c>
    </row>
    <row r="351" spans="2:7" x14ac:dyDescent="0.3">
      <c r="B351" s="13">
        <v>344</v>
      </c>
      <c r="C351" s="14" t="s">
        <v>766</v>
      </c>
      <c r="D351" s="13"/>
      <c r="E351" s="15" t="str">
        <f>IFERROR(VLOOKUP(C351,기출문제!D:G,3,0),"")</f>
        <v/>
      </c>
      <c r="F351" s="31" t="str">
        <f>IFERROR(VLOOKUP(C351,기출문제!D:G,4,0),"")</f>
        <v/>
      </c>
      <c r="G351" s="32" t="str">
        <f t="shared" si="6"/>
        <v/>
      </c>
    </row>
    <row r="352" spans="2:7" x14ac:dyDescent="0.3">
      <c r="B352" s="13">
        <v>345</v>
      </c>
      <c r="C352" s="14" t="s">
        <v>766</v>
      </c>
      <c r="D352" s="13"/>
      <c r="E352" s="15" t="str">
        <f>IFERROR(VLOOKUP(C352,기출문제!D:G,3,0),"")</f>
        <v/>
      </c>
      <c r="F352" s="31" t="str">
        <f>IFERROR(VLOOKUP(C352,기출문제!D:G,4,0),"")</f>
        <v/>
      </c>
      <c r="G352" s="32" t="str">
        <f t="shared" si="6"/>
        <v/>
      </c>
    </row>
    <row r="353" spans="2:7" x14ac:dyDescent="0.3">
      <c r="B353" s="13">
        <v>346</v>
      </c>
      <c r="C353" s="14" t="s">
        <v>766</v>
      </c>
      <c r="D353" s="13"/>
      <c r="E353" s="15" t="str">
        <f>IFERROR(VLOOKUP(C353,기출문제!D:G,3,0),"")</f>
        <v/>
      </c>
      <c r="F353" s="31" t="str">
        <f>IFERROR(VLOOKUP(C353,기출문제!D:G,4,0),"")</f>
        <v/>
      </c>
      <c r="G353" s="32" t="str">
        <f t="shared" si="6"/>
        <v/>
      </c>
    </row>
    <row r="354" spans="2:7" x14ac:dyDescent="0.3">
      <c r="B354" s="13">
        <v>347</v>
      </c>
      <c r="C354" s="14" t="s">
        <v>766</v>
      </c>
      <c r="D354" s="13"/>
      <c r="E354" s="15" t="str">
        <f>IFERROR(VLOOKUP(C354,기출문제!D:G,3,0),"")</f>
        <v/>
      </c>
      <c r="F354" s="31" t="str">
        <f>IFERROR(VLOOKUP(C354,기출문제!D:G,4,0),"")</f>
        <v/>
      </c>
      <c r="G354" s="32" t="str">
        <f t="shared" si="6"/>
        <v/>
      </c>
    </row>
    <row r="355" spans="2:7" x14ac:dyDescent="0.3">
      <c r="B355" s="13">
        <v>348</v>
      </c>
      <c r="C355" s="14" t="s">
        <v>766</v>
      </c>
      <c r="D355" s="13"/>
      <c r="E355" s="15" t="str">
        <f>IFERROR(VLOOKUP(C355,기출문제!D:G,3,0),"")</f>
        <v/>
      </c>
      <c r="F355" s="31" t="str">
        <f>IFERROR(VLOOKUP(C355,기출문제!D:G,4,0),"")</f>
        <v/>
      </c>
      <c r="G355" s="32" t="str">
        <f t="shared" si="6"/>
        <v/>
      </c>
    </row>
    <row r="356" spans="2:7" x14ac:dyDescent="0.3">
      <c r="B356" s="13">
        <v>349</v>
      </c>
      <c r="C356" s="14" t="s">
        <v>766</v>
      </c>
      <c r="D356" s="13"/>
      <c r="E356" s="15" t="str">
        <f>IFERROR(VLOOKUP(C356,기출문제!D:G,3,0),"")</f>
        <v/>
      </c>
      <c r="F356" s="31" t="str">
        <f>IFERROR(VLOOKUP(C356,기출문제!D:G,4,0),"")</f>
        <v/>
      </c>
      <c r="G356" s="32" t="str">
        <f t="shared" si="6"/>
        <v/>
      </c>
    </row>
    <row r="357" spans="2:7" x14ac:dyDescent="0.3">
      <c r="B357" s="13">
        <v>350</v>
      </c>
      <c r="C357" s="14" t="s">
        <v>766</v>
      </c>
      <c r="D357" s="13"/>
      <c r="E357" s="15" t="str">
        <f>IFERROR(VLOOKUP(C357,기출문제!D:G,3,0),"")</f>
        <v/>
      </c>
      <c r="F357" s="31" t="str">
        <f>IFERROR(VLOOKUP(C357,기출문제!D:G,4,0),"")</f>
        <v/>
      </c>
      <c r="G357" s="32" t="str">
        <f t="shared" si="6"/>
        <v/>
      </c>
    </row>
    <row r="358" spans="2:7" x14ac:dyDescent="0.3">
      <c r="B358" s="13">
        <v>351</v>
      </c>
      <c r="C358" s="14" t="s">
        <v>766</v>
      </c>
      <c r="D358" s="13"/>
      <c r="E358" s="15" t="str">
        <f>IFERROR(VLOOKUP(C358,기출문제!D:G,3,0),"")</f>
        <v/>
      </c>
      <c r="F358" s="31" t="str">
        <f>IFERROR(VLOOKUP(C358,기출문제!D:G,4,0),"")</f>
        <v/>
      </c>
      <c r="G358" s="32" t="str">
        <f t="shared" si="6"/>
        <v/>
      </c>
    </row>
    <row r="359" spans="2:7" x14ac:dyDescent="0.3">
      <c r="B359" s="13">
        <v>352</v>
      </c>
      <c r="C359" s="14" t="s">
        <v>766</v>
      </c>
      <c r="D359" s="13"/>
      <c r="E359" s="15" t="str">
        <f>IFERROR(VLOOKUP(C359,기출문제!D:G,3,0),"")</f>
        <v/>
      </c>
      <c r="F359" s="31" t="str">
        <f>IFERROR(VLOOKUP(C359,기출문제!D:G,4,0),"")</f>
        <v/>
      </c>
      <c r="G359" s="32" t="str">
        <f t="shared" si="6"/>
        <v/>
      </c>
    </row>
    <row r="360" spans="2:7" x14ac:dyDescent="0.3">
      <c r="B360" s="13">
        <v>353</v>
      </c>
      <c r="C360" s="14" t="s">
        <v>766</v>
      </c>
      <c r="D360" s="13"/>
      <c r="E360" s="15" t="str">
        <f>IFERROR(VLOOKUP(C360,기출문제!D:G,3,0),"")</f>
        <v/>
      </c>
      <c r="F360" s="31" t="str">
        <f>IFERROR(VLOOKUP(C360,기출문제!D:G,4,0),"")</f>
        <v/>
      </c>
      <c r="G360" s="32" t="str">
        <f t="shared" si="6"/>
        <v/>
      </c>
    </row>
    <row r="361" spans="2:7" x14ac:dyDescent="0.3">
      <c r="B361" s="13">
        <v>354</v>
      </c>
      <c r="C361" s="14" t="s">
        <v>766</v>
      </c>
      <c r="D361" s="13"/>
      <c r="E361" s="15" t="str">
        <f>IFERROR(VLOOKUP(C361,기출문제!D:G,3,0),"")</f>
        <v/>
      </c>
      <c r="F361" s="31" t="str">
        <f>IFERROR(VLOOKUP(C361,기출문제!D:G,4,0),"")</f>
        <v/>
      </c>
      <c r="G361" s="32" t="str">
        <f t="shared" si="6"/>
        <v/>
      </c>
    </row>
    <row r="362" spans="2:7" x14ac:dyDescent="0.3">
      <c r="B362" s="13">
        <v>355</v>
      </c>
      <c r="C362" s="14" t="s">
        <v>766</v>
      </c>
      <c r="D362" s="13"/>
      <c r="E362" s="15" t="str">
        <f>IFERROR(VLOOKUP(C362,기출문제!D:G,3,0),"")</f>
        <v/>
      </c>
      <c r="F362" s="31" t="str">
        <f>IFERROR(VLOOKUP(C362,기출문제!D:G,4,0),"")</f>
        <v/>
      </c>
      <c r="G362" s="32" t="str">
        <f t="shared" si="6"/>
        <v/>
      </c>
    </row>
    <row r="363" spans="2:7" x14ac:dyDescent="0.3">
      <c r="B363" s="13">
        <v>356</v>
      </c>
      <c r="C363" s="14" t="s">
        <v>766</v>
      </c>
      <c r="D363" s="13"/>
      <c r="E363" s="15" t="str">
        <f>IFERROR(VLOOKUP(C363,기출문제!D:G,3,0),"")</f>
        <v/>
      </c>
      <c r="F363" s="31" t="str">
        <f>IFERROR(VLOOKUP(C363,기출문제!D:G,4,0),"")</f>
        <v/>
      </c>
      <c r="G363" s="32" t="str">
        <f t="shared" si="6"/>
        <v/>
      </c>
    </row>
    <row r="364" spans="2:7" x14ac:dyDescent="0.3">
      <c r="B364" s="13">
        <v>357</v>
      </c>
      <c r="C364" s="14" t="s">
        <v>766</v>
      </c>
      <c r="D364" s="13"/>
      <c r="E364" s="15" t="str">
        <f>IFERROR(VLOOKUP(C364,기출문제!D:G,3,0),"")</f>
        <v/>
      </c>
      <c r="F364" s="31" t="str">
        <f>IFERROR(VLOOKUP(C364,기출문제!D:G,4,0),"")</f>
        <v/>
      </c>
      <c r="G364" s="32" t="str">
        <f t="shared" si="6"/>
        <v/>
      </c>
    </row>
    <row r="365" spans="2:7" x14ac:dyDescent="0.3">
      <c r="B365" s="13">
        <v>358</v>
      </c>
      <c r="C365" s="14" t="s">
        <v>766</v>
      </c>
      <c r="D365" s="13"/>
      <c r="E365" s="15" t="str">
        <f>IFERROR(VLOOKUP(C365,기출문제!D:G,3,0),"")</f>
        <v/>
      </c>
      <c r="F365" s="31" t="str">
        <f>IFERROR(VLOOKUP(C365,기출문제!D:G,4,0),"")</f>
        <v/>
      </c>
      <c r="G365" s="32" t="str">
        <f t="shared" si="6"/>
        <v/>
      </c>
    </row>
    <row r="366" spans="2:7" x14ac:dyDescent="0.3">
      <c r="B366" s="13">
        <v>359</v>
      </c>
      <c r="C366" s="14" t="s">
        <v>766</v>
      </c>
      <c r="D366" s="13"/>
      <c r="E366" s="15" t="str">
        <f>IFERROR(VLOOKUP(C366,기출문제!D:G,3,0),"")</f>
        <v/>
      </c>
      <c r="F366" s="31" t="str">
        <f>IFERROR(VLOOKUP(C366,기출문제!D:G,4,0),"")</f>
        <v/>
      </c>
      <c r="G366" s="32" t="str">
        <f t="shared" si="6"/>
        <v/>
      </c>
    </row>
    <row r="367" spans="2:7" x14ac:dyDescent="0.3">
      <c r="B367" s="13">
        <v>360</v>
      </c>
      <c r="C367" s="14" t="s">
        <v>766</v>
      </c>
      <c r="D367" s="13"/>
      <c r="E367" s="15" t="str">
        <f>IFERROR(VLOOKUP(C367,기출문제!D:G,3,0),"")</f>
        <v/>
      </c>
      <c r="F367" s="31" t="str">
        <f>IFERROR(VLOOKUP(C367,기출문제!D:G,4,0),"")</f>
        <v/>
      </c>
      <c r="G367" s="32" t="str">
        <f t="shared" si="6"/>
        <v/>
      </c>
    </row>
    <row r="368" spans="2:7" x14ac:dyDescent="0.3">
      <c r="B368" s="13">
        <v>361</v>
      </c>
      <c r="C368" s="14" t="s">
        <v>766</v>
      </c>
      <c r="D368" s="13"/>
      <c r="E368" s="15" t="str">
        <f>IFERROR(VLOOKUP(C368,기출문제!D:G,3,0),"")</f>
        <v/>
      </c>
      <c r="F368" s="31" t="str">
        <f>IFERROR(VLOOKUP(C368,기출문제!D:G,4,0),"")</f>
        <v/>
      </c>
      <c r="G368" s="32" t="str">
        <f t="shared" si="6"/>
        <v/>
      </c>
    </row>
    <row r="369" spans="2:7" x14ac:dyDescent="0.3">
      <c r="B369" s="13">
        <v>362</v>
      </c>
      <c r="C369" s="14" t="s">
        <v>766</v>
      </c>
      <c r="D369" s="13"/>
      <c r="E369" s="15" t="str">
        <f>IFERROR(VLOOKUP(C369,기출문제!D:G,3,0),"")</f>
        <v/>
      </c>
      <c r="F369" s="31" t="str">
        <f>IFERROR(VLOOKUP(C369,기출문제!D:G,4,0),"")</f>
        <v/>
      </c>
      <c r="G369" s="32" t="str">
        <f t="shared" si="6"/>
        <v/>
      </c>
    </row>
    <row r="370" spans="2:7" x14ac:dyDescent="0.3">
      <c r="B370" s="13">
        <v>363</v>
      </c>
      <c r="C370" s="14" t="s">
        <v>766</v>
      </c>
      <c r="D370" s="13"/>
      <c r="E370" s="15" t="str">
        <f>IFERROR(VLOOKUP(C370,기출문제!D:G,3,0),"")</f>
        <v/>
      </c>
      <c r="F370" s="31" t="str">
        <f>IFERROR(VLOOKUP(C370,기출문제!D:G,4,0),"")</f>
        <v/>
      </c>
      <c r="G370" s="32" t="str">
        <f t="shared" si="6"/>
        <v/>
      </c>
    </row>
    <row r="371" spans="2:7" x14ac:dyDescent="0.3">
      <c r="B371" s="13">
        <v>364</v>
      </c>
      <c r="C371" s="14" t="s">
        <v>766</v>
      </c>
      <c r="D371" s="13"/>
      <c r="E371" s="15" t="str">
        <f>IFERROR(VLOOKUP(C371,기출문제!D:G,3,0),"")</f>
        <v/>
      </c>
      <c r="F371" s="31" t="str">
        <f>IFERROR(VLOOKUP(C371,기출문제!D:G,4,0),"")</f>
        <v/>
      </c>
      <c r="G371" s="32" t="str">
        <f t="shared" si="6"/>
        <v/>
      </c>
    </row>
    <row r="372" spans="2:7" x14ac:dyDescent="0.3">
      <c r="B372" s="13">
        <v>365</v>
      </c>
      <c r="C372" s="14" t="s">
        <v>766</v>
      </c>
      <c r="D372" s="13"/>
      <c r="E372" s="15" t="str">
        <f>IFERROR(VLOOKUP(C372,기출문제!D:G,3,0),"")</f>
        <v/>
      </c>
      <c r="F372" s="31" t="str">
        <f>IFERROR(VLOOKUP(C372,기출문제!D:G,4,0),"")</f>
        <v/>
      </c>
      <c r="G372" s="32" t="str">
        <f t="shared" si="6"/>
        <v/>
      </c>
    </row>
    <row r="373" spans="2:7" x14ac:dyDescent="0.3">
      <c r="B373" s="13">
        <v>366</v>
      </c>
      <c r="C373" s="14" t="s">
        <v>766</v>
      </c>
      <c r="D373" s="13"/>
      <c r="E373" s="15" t="str">
        <f>IFERROR(VLOOKUP(C373,기출문제!D:G,3,0),"")</f>
        <v/>
      </c>
      <c r="F373" s="31" t="str">
        <f>IFERROR(VLOOKUP(C373,기출문제!D:G,4,0),"")</f>
        <v/>
      </c>
      <c r="G373" s="32" t="str">
        <f t="shared" si="6"/>
        <v/>
      </c>
    </row>
    <row r="374" spans="2:7" x14ac:dyDescent="0.3">
      <c r="B374" s="13">
        <v>367</v>
      </c>
      <c r="C374" s="14" t="s">
        <v>766</v>
      </c>
      <c r="D374" s="13"/>
      <c r="E374" s="15" t="str">
        <f>IFERROR(VLOOKUP(C374,기출문제!D:G,3,0),"")</f>
        <v/>
      </c>
      <c r="F374" s="31" t="str">
        <f>IFERROR(VLOOKUP(C374,기출문제!D:G,4,0),"")</f>
        <v/>
      </c>
      <c r="G374" s="32" t="str">
        <f t="shared" si="6"/>
        <v/>
      </c>
    </row>
    <row r="375" spans="2:7" x14ac:dyDescent="0.3">
      <c r="B375" s="13">
        <v>368</v>
      </c>
      <c r="C375" s="14" t="s">
        <v>766</v>
      </c>
      <c r="D375" s="13"/>
      <c r="E375" s="15" t="str">
        <f>IFERROR(VLOOKUP(C375,기출문제!D:G,3,0),"")</f>
        <v/>
      </c>
      <c r="F375" s="31" t="str">
        <f>IFERROR(VLOOKUP(C375,기출문제!D:G,4,0),"")</f>
        <v/>
      </c>
      <c r="G375" s="32" t="str">
        <f t="shared" si="6"/>
        <v/>
      </c>
    </row>
    <row r="376" spans="2:7" x14ac:dyDescent="0.3">
      <c r="B376" s="13">
        <v>369</v>
      </c>
      <c r="C376" s="14" t="s">
        <v>766</v>
      </c>
      <c r="D376" s="13"/>
      <c r="E376" s="15" t="str">
        <f>IFERROR(VLOOKUP(C376,기출문제!D:G,3,0),"")</f>
        <v/>
      </c>
      <c r="F376" s="31" t="str">
        <f>IFERROR(VLOOKUP(C376,기출문제!D:G,4,0),"")</f>
        <v/>
      </c>
      <c r="G376" s="32" t="str">
        <f t="shared" si="6"/>
        <v/>
      </c>
    </row>
    <row r="377" spans="2:7" x14ac:dyDescent="0.3">
      <c r="B377" s="13">
        <v>370</v>
      </c>
      <c r="C377" s="14" t="s">
        <v>766</v>
      </c>
      <c r="D377" s="13"/>
      <c r="E377" s="15" t="str">
        <f>IFERROR(VLOOKUP(C377,기출문제!D:G,3,0),"")</f>
        <v/>
      </c>
      <c r="F377" s="31" t="str">
        <f>IFERROR(VLOOKUP(C377,기출문제!D:G,4,0),"")</f>
        <v/>
      </c>
      <c r="G377" s="32" t="str">
        <f t="shared" si="6"/>
        <v/>
      </c>
    </row>
    <row r="378" spans="2:7" x14ac:dyDescent="0.3">
      <c r="B378" s="13">
        <v>371</v>
      </c>
      <c r="C378" s="14" t="s">
        <v>766</v>
      </c>
      <c r="D378" s="13"/>
      <c r="E378" s="15" t="str">
        <f>IFERROR(VLOOKUP(C378,기출문제!D:G,3,0),"")</f>
        <v/>
      </c>
      <c r="F378" s="31" t="str">
        <f>IFERROR(VLOOKUP(C378,기출문제!D:G,4,0),"")</f>
        <v/>
      </c>
      <c r="G378" s="32" t="str">
        <f t="shared" si="6"/>
        <v/>
      </c>
    </row>
    <row r="379" spans="2:7" x14ac:dyDescent="0.3">
      <c r="B379" s="13">
        <v>372</v>
      </c>
      <c r="C379" s="14" t="s">
        <v>766</v>
      </c>
      <c r="D379" s="13"/>
      <c r="E379" s="15" t="str">
        <f>IFERROR(VLOOKUP(C379,기출문제!D:G,3,0),"")</f>
        <v/>
      </c>
      <c r="F379" s="31" t="str">
        <f>IFERROR(VLOOKUP(C379,기출문제!D:G,4,0),"")</f>
        <v/>
      </c>
      <c r="G379" s="32" t="str">
        <f t="shared" si="6"/>
        <v/>
      </c>
    </row>
    <row r="380" spans="2:7" x14ac:dyDescent="0.3">
      <c r="B380" s="13">
        <v>373</v>
      </c>
      <c r="C380" s="14" t="s">
        <v>766</v>
      </c>
      <c r="D380" s="13"/>
      <c r="E380" s="15" t="str">
        <f>IFERROR(VLOOKUP(C380,기출문제!D:G,3,0),"")</f>
        <v/>
      </c>
      <c r="F380" s="31" t="str">
        <f>IFERROR(VLOOKUP(C380,기출문제!D:G,4,0),"")</f>
        <v/>
      </c>
      <c r="G380" s="32" t="str">
        <f t="shared" si="6"/>
        <v/>
      </c>
    </row>
    <row r="381" spans="2:7" x14ac:dyDescent="0.3">
      <c r="B381" s="13">
        <v>374</v>
      </c>
      <c r="C381" s="14" t="s">
        <v>766</v>
      </c>
      <c r="D381" s="13"/>
      <c r="E381" s="15" t="str">
        <f>IFERROR(VLOOKUP(C381,기출문제!D:G,3,0),"")</f>
        <v/>
      </c>
      <c r="F381" s="31" t="str">
        <f>IFERROR(VLOOKUP(C381,기출문제!D:G,4,0),"")</f>
        <v/>
      </c>
      <c r="G381" s="32" t="str">
        <f t="shared" si="6"/>
        <v/>
      </c>
    </row>
    <row r="382" spans="2:7" x14ac:dyDescent="0.3">
      <c r="B382" s="13">
        <v>375</v>
      </c>
      <c r="C382" s="14" t="s">
        <v>766</v>
      </c>
      <c r="D382" s="13"/>
      <c r="E382" s="15" t="str">
        <f>IFERROR(VLOOKUP(C382,기출문제!D:G,3,0),"")</f>
        <v/>
      </c>
      <c r="F382" s="31" t="str">
        <f>IFERROR(VLOOKUP(C382,기출문제!D:G,4,0),"")</f>
        <v/>
      </c>
      <c r="G382" s="32" t="str">
        <f t="shared" si="6"/>
        <v/>
      </c>
    </row>
    <row r="383" spans="2:7" x14ac:dyDescent="0.3">
      <c r="B383" s="13">
        <v>376</v>
      </c>
      <c r="C383" s="14" t="s">
        <v>766</v>
      </c>
      <c r="D383" s="13"/>
      <c r="E383" s="15" t="str">
        <f>IFERROR(VLOOKUP(C383,기출문제!D:G,3,0),"")</f>
        <v/>
      </c>
      <c r="F383" s="31" t="str">
        <f>IFERROR(VLOOKUP(C383,기출문제!D:G,4,0),"")</f>
        <v/>
      </c>
      <c r="G383" s="32" t="str">
        <f t="shared" si="6"/>
        <v/>
      </c>
    </row>
    <row r="384" spans="2:7" x14ac:dyDescent="0.3">
      <c r="B384" s="13">
        <v>377</v>
      </c>
      <c r="C384" s="14" t="s">
        <v>766</v>
      </c>
      <c r="D384" s="13"/>
      <c r="E384" s="15" t="str">
        <f>IFERROR(VLOOKUP(C384,기출문제!D:G,3,0),"")</f>
        <v/>
      </c>
      <c r="F384" s="31" t="str">
        <f>IFERROR(VLOOKUP(C384,기출문제!D:G,4,0),"")</f>
        <v/>
      </c>
      <c r="G384" s="32" t="str">
        <f t="shared" si="6"/>
        <v/>
      </c>
    </row>
    <row r="385" spans="2:7" x14ac:dyDescent="0.3">
      <c r="B385" s="13">
        <v>378</v>
      </c>
      <c r="C385" s="14" t="s">
        <v>766</v>
      </c>
      <c r="D385" s="13"/>
      <c r="E385" s="15" t="str">
        <f>IFERROR(VLOOKUP(C385,기출문제!D:G,3,0),"")</f>
        <v/>
      </c>
      <c r="F385" s="31" t="str">
        <f>IFERROR(VLOOKUP(C385,기출문제!D:G,4,0),"")</f>
        <v/>
      </c>
      <c r="G385" s="32" t="str">
        <f t="shared" si="6"/>
        <v/>
      </c>
    </row>
    <row r="386" spans="2:7" x14ac:dyDescent="0.3">
      <c r="B386" s="13">
        <v>379</v>
      </c>
      <c r="C386" s="14" t="s">
        <v>766</v>
      </c>
      <c r="D386" s="13"/>
      <c r="E386" s="15" t="str">
        <f>IFERROR(VLOOKUP(C386,기출문제!D:G,3,0),"")</f>
        <v/>
      </c>
      <c r="F386" s="31" t="str">
        <f>IFERROR(VLOOKUP(C386,기출문제!D:G,4,0),"")</f>
        <v/>
      </c>
      <c r="G386" s="32" t="str">
        <f t="shared" si="6"/>
        <v/>
      </c>
    </row>
    <row r="387" spans="2:7" x14ac:dyDescent="0.3">
      <c r="B387" s="13">
        <v>380</v>
      </c>
      <c r="C387" s="14" t="s">
        <v>766</v>
      </c>
      <c r="D387" s="13"/>
      <c r="E387" s="15" t="str">
        <f>IFERROR(VLOOKUP(C387,기출문제!D:G,3,0),"")</f>
        <v/>
      </c>
      <c r="F387" s="31" t="str">
        <f>IFERROR(VLOOKUP(C387,기출문제!D:G,4,0),"")</f>
        <v/>
      </c>
      <c r="G387" s="32" t="str">
        <f t="shared" si="6"/>
        <v/>
      </c>
    </row>
    <row r="388" spans="2:7" x14ac:dyDescent="0.3">
      <c r="B388" s="13">
        <v>381</v>
      </c>
      <c r="C388" s="14" t="s">
        <v>766</v>
      </c>
      <c r="D388" s="13"/>
      <c r="E388" s="15" t="str">
        <f>IFERROR(VLOOKUP(C388,기출문제!D:G,3,0),"")</f>
        <v/>
      </c>
      <c r="F388" s="31" t="str">
        <f>IFERROR(VLOOKUP(C388,기출문제!D:G,4,0),"")</f>
        <v/>
      </c>
      <c r="G388" s="32" t="str">
        <f t="shared" si="6"/>
        <v/>
      </c>
    </row>
    <row r="389" spans="2:7" x14ac:dyDescent="0.3">
      <c r="B389" s="13">
        <v>382</v>
      </c>
      <c r="C389" s="14" t="s">
        <v>766</v>
      </c>
      <c r="D389" s="13"/>
      <c r="E389" s="15" t="str">
        <f>IFERROR(VLOOKUP(C389,기출문제!D:G,3,0),"")</f>
        <v/>
      </c>
      <c r="F389" s="31" t="str">
        <f>IFERROR(VLOOKUP(C389,기출문제!D:G,4,0),"")</f>
        <v/>
      </c>
      <c r="G389" s="32" t="str">
        <f t="shared" si="6"/>
        <v/>
      </c>
    </row>
    <row r="390" spans="2:7" x14ac:dyDescent="0.3">
      <c r="B390" s="13">
        <v>383</v>
      </c>
      <c r="C390" s="14" t="s">
        <v>766</v>
      </c>
      <c r="D390" s="13"/>
      <c r="E390" s="15" t="str">
        <f>IFERROR(VLOOKUP(C390,기출문제!D:G,3,0),"")</f>
        <v/>
      </c>
      <c r="F390" s="31" t="str">
        <f>IFERROR(VLOOKUP(C390,기출문제!D:G,4,0),"")</f>
        <v/>
      </c>
      <c r="G390" s="32" t="str">
        <f t="shared" si="6"/>
        <v/>
      </c>
    </row>
    <row r="391" spans="2:7" x14ac:dyDescent="0.3">
      <c r="B391" s="13">
        <v>384</v>
      </c>
      <c r="C391" s="14" t="s">
        <v>766</v>
      </c>
      <c r="D391" s="13"/>
      <c r="E391" s="15" t="str">
        <f>IFERROR(VLOOKUP(C391,기출문제!D:G,3,0),"")</f>
        <v/>
      </c>
      <c r="F391" s="31" t="str">
        <f>IFERROR(VLOOKUP(C391,기출문제!D:G,4,0),"")</f>
        <v/>
      </c>
      <c r="G391" s="32" t="str">
        <f t="shared" si="6"/>
        <v/>
      </c>
    </row>
    <row r="392" spans="2:7" x14ac:dyDescent="0.3">
      <c r="B392" s="13">
        <v>385</v>
      </c>
      <c r="C392" s="14" t="s">
        <v>766</v>
      </c>
      <c r="D392" s="13"/>
      <c r="E392" s="15" t="str">
        <f>IFERROR(VLOOKUP(C392,기출문제!D:G,3,0),"")</f>
        <v/>
      </c>
      <c r="F392" s="31" t="str">
        <f>IFERROR(VLOOKUP(C392,기출문제!D:G,4,0),"")</f>
        <v/>
      </c>
      <c r="G392" s="32" t="str">
        <f t="shared" si="6"/>
        <v/>
      </c>
    </row>
    <row r="393" spans="2:7" x14ac:dyDescent="0.3">
      <c r="B393" s="13">
        <v>386</v>
      </c>
      <c r="C393" s="14" t="s">
        <v>766</v>
      </c>
      <c r="D393" s="13"/>
      <c r="E393" s="15" t="str">
        <f>IFERROR(VLOOKUP(C393,기출문제!D:G,3,0),"")</f>
        <v/>
      </c>
      <c r="F393" s="31" t="str">
        <f>IFERROR(VLOOKUP(C393,기출문제!D:G,4,0),"")</f>
        <v/>
      </c>
      <c r="G393" s="32" t="str">
        <f t="shared" si="6"/>
        <v/>
      </c>
    </row>
    <row r="394" spans="2:7" x14ac:dyDescent="0.3">
      <c r="B394" s="13">
        <v>387</v>
      </c>
      <c r="C394" s="14" t="s">
        <v>766</v>
      </c>
      <c r="D394" s="13"/>
      <c r="E394" s="15" t="str">
        <f>IFERROR(VLOOKUP(C394,기출문제!D:G,3,0),"")</f>
        <v/>
      </c>
      <c r="F394" s="31" t="str">
        <f>IFERROR(VLOOKUP(C394,기출문제!D:G,4,0),"")</f>
        <v/>
      </c>
      <c r="G394" s="32" t="str">
        <f t="shared" si="6"/>
        <v/>
      </c>
    </row>
    <row r="395" spans="2:7" x14ac:dyDescent="0.3">
      <c r="B395" s="13">
        <v>388</v>
      </c>
      <c r="C395" s="14" t="s">
        <v>766</v>
      </c>
      <c r="D395" s="13"/>
      <c r="E395" s="15" t="str">
        <f>IFERROR(VLOOKUP(C395,기출문제!D:G,3,0),"")</f>
        <v/>
      </c>
      <c r="F395" s="31" t="str">
        <f>IFERROR(VLOOKUP(C395,기출문제!D:G,4,0),"")</f>
        <v/>
      </c>
      <c r="G395" s="32" t="str">
        <f t="shared" si="6"/>
        <v/>
      </c>
    </row>
    <row r="396" spans="2:7" x14ac:dyDescent="0.3">
      <c r="B396" s="13">
        <v>389</v>
      </c>
      <c r="C396" s="14" t="s">
        <v>766</v>
      </c>
      <c r="D396" s="13"/>
      <c r="E396" s="15" t="str">
        <f>IFERROR(VLOOKUP(C396,기출문제!D:G,3,0),"")</f>
        <v/>
      </c>
      <c r="F396" s="31" t="str">
        <f>IFERROR(VLOOKUP(C396,기출문제!D:G,4,0),"")</f>
        <v/>
      </c>
      <c r="G396" s="32" t="str">
        <f t="shared" si="6"/>
        <v/>
      </c>
    </row>
    <row r="397" spans="2:7" x14ac:dyDescent="0.3">
      <c r="B397" s="13">
        <v>390</v>
      </c>
      <c r="C397" s="14" t="s">
        <v>766</v>
      </c>
      <c r="D397" s="13"/>
      <c r="E397" s="15" t="str">
        <f>IFERROR(VLOOKUP(C397,기출문제!D:G,3,0),"")</f>
        <v/>
      </c>
      <c r="F397" s="31" t="str">
        <f>IFERROR(VLOOKUP(C397,기출문제!D:G,4,0),"")</f>
        <v/>
      </c>
      <c r="G397" s="32" t="str">
        <f t="shared" ref="G397" si="7">IF(D397="","",IF(D397=F397,"O", "X"))</f>
        <v/>
      </c>
    </row>
  </sheetData>
  <phoneticPr fontId="1" type="noConversion"/>
  <conditionalFormatting sqref="F8:F397">
    <cfRule type="expression" dxfId="5" priority="1">
      <formula>$D8&lt;&gt;""</formula>
    </cfRule>
  </conditionalFormatting>
  <dataValidations count="1">
    <dataValidation type="list" allowBlank="1" showInputMessage="1" showErrorMessage="1" sqref="D3" xr:uid="{0535E09E-C18F-4C71-9C38-8AEE48E1EE20}">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2</xdr:col>
                    <xdr:colOff>876300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CD9961D-FEF9-4F5F-8023-E78A76A20EC2}">
          <x14:formula1>
            <xm:f>기출문제!$C$4:$C$5000</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38FB-5509-4A08-A645-713C53CA984D}">
  <sheetPr codeName="Sheet18">
    <pageSetUpPr autoPageBreaks="0"/>
  </sheetPr>
  <dimension ref="B2:J397"/>
  <sheetViews>
    <sheetView showGridLines="0" tabSelected="1" zoomScaleNormal="100" zoomScaleSheetLayoutView="100" workbookViewId="0">
      <pane ySplit="7" topLeftCell="A8" activePane="bottomLeft" state="frozen"/>
      <selection activeCell="N35" sqref="N35"/>
      <selection pane="bottomLeft" activeCell="J9" sqref="J9"/>
    </sheetView>
  </sheetViews>
  <sheetFormatPr defaultColWidth="9" defaultRowHeight="14.25" x14ac:dyDescent="0.3"/>
  <cols>
    <col min="1" max="1" width="1.625" style="25" customWidth="1"/>
    <col min="2" max="2" width="3.625" style="18" customWidth="1"/>
    <col min="3" max="3" width="10.625" style="18" customWidth="1"/>
    <col min="4" max="4" width="5.625" style="18" customWidth="1"/>
    <col min="5" max="5" width="95.625" style="20" customWidth="1"/>
    <col min="6" max="7" width="5.625" style="28" customWidth="1"/>
    <col min="8" max="9" width="9" style="23"/>
    <col min="10" max="16384" width="9" style="25"/>
  </cols>
  <sheetData>
    <row r="2" spans="2:10" x14ac:dyDescent="0.3">
      <c r="C2" s="19" t="s">
        <v>767</v>
      </c>
      <c r="D2" s="13">
        <v>265</v>
      </c>
      <c r="F2" s="21" t="s">
        <v>773</v>
      </c>
      <c r="G2" s="22">
        <f>MAX(B8:B397)-COUNTBLANK(C8:C397)</f>
        <v>265</v>
      </c>
      <c r="J2" s="24"/>
    </row>
    <row r="3" spans="2:10" x14ac:dyDescent="0.3">
      <c r="C3" s="19" t="s">
        <v>768</v>
      </c>
      <c r="D3" s="13" t="s">
        <v>771</v>
      </c>
      <c r="F3" s="21" t="s">
        <v>776</v>
      </c>
      <c r="G3" s="26">
        <f>COUNTIF(G8:G447,"X")</f>
        <v>79</v>
      </c>
      <c r="J3" s="24"/>
    </row>
    <row r="4" spans="2:10" x14ac:dyDescent="0.3">
      <c r="C4" s="19" t="s">
        <v>770</v>
      </c>
      <c r="D4" s="13" t="s">
        <v>840</v>
      </c>
      <c r="F4" s="26" t="s">
        <v>3</v>
      </c>
      <c r="G4" s="26">
        <f>G2-G3</f>
        <v>186</v>
      </c>
      <c r="J4" s="24"/>
    </row>
    <row r="5" spans="2:10" x14ac:dyDescent="0.3">
      <c r="C5" s="19" t="s">
        <v>769</v>
      </c>
      <c r="D5" s="13" t="s">
        <v>841</v>
      </c>
      <c r="F5" s="26" t="s">
        <v>774</v>
      </c>
      <c r="G5" s="27">
        <f>100/G2*G4</f>
        <v>70.188679245283026</v>
      </c>
      <c r="J5" s="24"/>
    </row>
    <row r="6" spans="2:10" x14ac:dyDescent="0.3">
      <c r="J6" s="24"/>
    </row>
    <row r="7" spans="2:10" x14ac:dyDescent="0.3">
      <c r="B7" s="12" t="s">
        <v>0</v>
      </c>
      <c r="C7" s="12" t="s">
        <v>1</v>
      </c>
      <c r="D7" s="12" t="s">
        <v>658</v>
      </c>
      <c r="E7" s="29" t="s">
        <v>2</v>
      </c>
      <c r="F7" s="29" t="s">
        <v>3</v>
      </c>
      <c r="G7" s="29" t="s">
        <v>657</v>
      </c>
      <c r="J7" s="24"/>
    </row>
    <row r="8" spans="2:10" ht="142.5" x14ac:dyDescent="0.3">
      <c r="B8" s="13">
        <v>1</v>
      </c>
      <c r="C8" s="14" t="s">
        <v>693</v>
      </c>
      <c r="D8" s="30">
        <v>5</v>
      </c>
      <c r="E8" s="15" t="str">
        <f>IFERROR(VLOOKUP(C8,기출문제!D:G,3,0),"")</f>
        <v>81. 테일러(F. W. Taylor)의 과학적 관리법에 제시된 원칙으로 옳은 것을 모두 고른 것은?
ㄱ. 작업방식의 과학적 연구 
ㄴ. 과학적 선발 및 훈련
ㄷ. 관리자와 작업자들 간의 협력 
ㄹ. 관리활동의 분업
① ㄱ, ㄴ 
② ㄷ, ㄹ 
③ ㄱ, ㄴ, ㄷ
④ ㄴ, ㄷ, ㄹ 
⑤ ㄱ, ㄴ, ㄷ, ㄹ</v>
      </c>
      <c r="F8" s="31">
        <f>IFERROR(VLOOKUP(C8,기출문제!D:G,4,0),"")</f>
        <v>5</v>
      </c>
      <c r="G8" s="32" t="str">
        <f>IF(D8="","",IF(D8=F8,"O", "X"))</f>
        <v>O</v>
      </c>
    </row>
    <row r="9" spans="2:10" ht="128.25" x14ac:dyDescent="0.3">
      <c r="B9" s="13">
        <v>2</v>
      </c>
      <c r="C9" s="14" t="s">
        <v>842</v>
      </c>
      <c r="D9" s="30">
        <v>3</v>
      </c>
      <c r="E9" s="15" t="str">
        <f>IFERROR(VLOOKUP(C9,기출문제!D:G,3,0),"")</f>
        <v>82. 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
① ㄱ 
② ㄴ 
③ ㄱ, ㄴ 
④ ㄱ, ㄷ 
⑤ ㄱ, ㄴ, ㄷ</v>
      </c>
      <c r="F9" s="31">
        <f>IFERROR(VLOOKUP(C9,기출문제!D:G,4,0),"")</f>
        <v>3</v>
      </c>
      <c r="G9" s="32" t="str">
        <f t="shared" ref="G9:G72" si="0">IF(D9="","",IF(D9=F9,"O", "X"))</f>
        <v>O</v>
      </c>
    </row>
    <row r="10" spans="2:10" ht="85.5" x14ac:dyDescent="0.3">
      <c r="B10" s="13">
        <v>3</v>
      </c>
      <c r="C10" s="14" t="s">
        <v>843</v>
      </c>
      <c r="D10" s="30">
        <v>5</v>
      </c>
      <c r="E10" s="15" t="str">
        <f>IFERROR(VLOOKUP(C10,기출문제!D:G,3,0),"")</f>
        <v>83. 기업 외부의 개인이나 그룹과 접촉하여 외부환경에 관한 중요한 정보를 얻는 활동은?
① 광고 
② 예측활동
③ 공중관계(PR) 
④ 활동영역 변경
⑤ 경계연결(boundary spanning)</v>
      </c>
      <c r="F10" s="31">
        <f>IFERROR(VLOOKUP(C10,기출문제!D:G,4,0),"")</f>
        <v>5</v>
      </c>
      <c r="G10" s="32" t="str">
        <f t="shared" si="0"/>
        <v>O</v>
      </c>
    </row>
    <row r="11" spans="2:10" ht="85.5" x14ac:dyDescent="0.3">
      <c r="B11" s="13">
        <v>4</v>
      </c>
      <c r="C11" s="14" t="s">
        <v>844</v>
      </c>
      <c r="D11" s="30">
        <v>2</v>
      </c>
      <c r="E11" s="15" t="str">
        <f>IFERROR(VLOOKUP(C11,기출문제!D:G,3,0),"")</f>
        <v>84. 조직의 목표를 달성하기 위하여 조직구성원들이 담당해야 할 역할 구조를 설정하는 관리과정의 단계는?
① 계획 
② 조직화 
③ 지휘 
④ 조정 
⑤ 통제</v>
      </c>
      <c r="F11" s="31">
        <f>IFERROR(VLOOKUP(C11,기출문제!D:G,4,0),"")</f>
        <v>2</v>
      </c>
      <c r="G11" s="32" t="str">
        <f t="shared" si="0"/>
        <v>O</v>
      </c>
    </row>
    <row r="12" spans="2:10" ht="142.5" x14ac:dyDescent="0.3">
      <c r="B12" s="13">
        <v>5</v>
      </c>
      <c r="C12" s="14" t="s">
        <v>845</v>
      </c>
      <c r="D12" s="30">
        <v>3</v>
      </c>
      <c r="E12" s="15" t="str">
        <f>IFERROR(VLOOKUP(C12,기출문제!D:G,3,0),"")</f>
        <v>85. 캐롤(B. A. Carroll)이 주장한 기업의 사회적 책임 중 책임성격이 의무성 보다 자발성에 기초하는 것을 모두 고른 것은?
ㄱ. 경제적 책임 
ㄴ. 법적 책임 
ㄷ. 윤리적 책임 
ㄹ. 자선적 책임
① ㄱ, ㄴ 
② ㄴ, ㄷ 
③ ㄷ, ㄹ 
④ ㄱ, ㄴ, ㄹ 
⑤ ㄴ, ㄷ, ㄹ</v>
      </c>
      <c r="F12" s="31">
        <f>IFERROR(VLOOKUP(C12,기출문제!D:G,4,0),"")</f>
        <v>3</v>
      </c>
      <c r="G12" s="32" t="str">
        <f t="shared" si="0"/>
        <v>O</v>
      </c>
    </row>
    <row r="13" spans="2:10" ht="85.5" x14ac:dyDescent="0.3">
      <c r="B13" s="13">
        <v>6</v>
      </c>
      <c r="C13" s="14" t="s">
        <v>846</v>
      </c>
      <c r="D13" s="30">
        <v>3</v>
      </c>
      <c r="E13" s="15" t="str">
        <f>IFERROR(VLOOKUP(C13,기출문제!D:G,3,0),"")</f>
        <v>86. 포터(M. Porter)의 산업구조분석 모형에 관한 설명으로 옳지 않은 것은?
① 산업 내 경쟁이 심할수록 산업의 수익률은 낮아진다.
② 새로운 경쟁자에 대한 진입장벽이 낮을수록 해당 산업의 경쟁이 심하다.
③ 산업 내 대체재가 많을수록 기업의 수익이 많이 창출된다.
④ 구매자의 교섭력은 소비자들이 기업의 제품을 선택하거나 다른 제품을 구매할 수 있는 힘을 의미한다.
⑤ 공급자의 교섭력을 결정하는 요인으로는 공급자의 집중도, 공급물량, 공급자 판매품의 중요도 등이 있다.</v>
      </c>
      <c r="F13" s="31">
        <f>IFERROR(VLOOKUP(C13,기출문제!D:G,4,0),"")</f>
        <v>3</v>
      </c>
      <c r="G13" s="32" t="str">
        <f t="shared" si="0"/>
        <v>O</v>
      </c>
    </row>
    <row r="14" spans="2:10" ht="85.5" x14ac:dyDescent="0.3">
      <c r="B14" s="13">
        <v>7</v>
      </c>
      <c r="C14" s="14" t="s">
        <v>847</v>
      </c>
      <c r="D14" s="30">
        <v>5</v>
      </c>
      <c r="E14" s="15" t="str">
        <f>IFERROR(VLOOKUP(C14,기출문제!D:G,3,0),"")</f>
        <v>87. 효과적인 의사소통을 방해하는 요인 중 발신자와 관련된 요인이 아닌 것은?
① 의사소통 기술의 부족 
② 준거체계의 차이 
③ 의사소통 목적의 결여
④ 신뢰성의 부족 
⑤ 정보의 과부하</v>
      </c>
      <c r="F14" s="31">
        <f>IFERROR(VLOOKUP(C14,기출문제!D:G,4,0),"")</f>
        <v>5</v>
      </c>
      <c r="G14" s="32" t="str">
        <f t="shared" si="0"/>
        <v>O</v>
      </c>
    </row>
    <row r="15" spans="2:10" ht="114" x14ac:dyDescent="0.3">
      <c r="B15" s="13">
        <v>8</v>
      </c>
      <c r="C15" s="14" t="s">
        <v>848</v>
      </c>
      <c r="D15" s="30">
        <v>2</v>
      </c>
      <c r="E15" s="15" t="str">
        <f>IFERROR(VLOOKUP(C15,기출문제!D:G,3,0),"")</f>
        <v>88. 변혁적 리더십의 구성요소 중 다음 내용에 해당하는 것은?
○ 높은 기대치를 전달하고, 노력에 집중할 수 있도록 상징을 사용
○ 미래에 대한 매력적인 비전 제시, 업무의 의미감 부여, 낙관주의와 열정을 표출
① 예외에 의한 관리 
② 영감적 동기부여 
③ 지적 자극
④ 이상적 영향력 
⑤ 개인화된 배려</v>
      </c>
      <c r="F15" s="31">
        <f>IFERROR(VLOOKUP(C15,기출문제!D:G,4,0),"")</f>
        <v>2</v>
      </c>
      <c r="G15" s="32" t="str">
        <f t="shared" si="0"/>
        <v>O</v>
      </c>
    </row>
    <row r="16" spans="2:10" ht="128.25" x14ac:dyDescent="0.3">
      <c r="B16" s="13">
        <v>9</v>
      </c>
      <c r="C16" s="14" t="s">
        <v>849</v>
      </c>
      <c r="D16" s="30">
        <v>1</v>
      </c>
      <c r="E16" s="15" t="str">
        <f>IFERROR(VLOOKUP(C16,기출문제!D:G,3,0),"")</f>
        <v>89. 다음 특성에 부합하는 직무평가 방법으로 옳은 것은?
○ 비계량적 평가
○ 직무 전체를 포괄적으로 평가
○ 직무와 직무를 상호 비교하여 평가
① 서열법 
② 등급법 
③ 점수법 
④ 분류법 
⑤ 요소비교법</v>
      </c>
      <c r="F16" s="31">
        <f>IFERROR(VLOOKUP(C16,기출문제!D:G,4,0),"")</f>
        <v>1</v>
      </c>
      <c r="G16" s="32" t="str">
        <f t="shared" si="0"/>
        <v>O</v>
      </c>
    </row>
    <row r="17" spans="2:7" ht="85.5" x14ac:dyDescent="0.3">
      <c r="B17" s="13">
        <v>10</v>
      </c>
      <c r="C17" s="14" t="s">
        <v>850</v>
      </c>
      <c r="D17" s="30">
        <v>3</v>
      </c>
      <c r="E17" s="15" t="str">
        <f>IFERROR(VLOOKUP(C17,기출문제!D:G,3,0),"")</f>
        <v>90. 기업이 종업원에게 지급하는 임금의 계산 및 지불 방법에 해당하는 것은?
① 임금수준 
② 임금체계 
③ 임금형태 
④ 임금구조 
⑤ 임금결정</v>
      </c>
      <c r="F17" s="31">
        <f>IFERROR(VLOOKUP(C17,기출문제!D:G,4,0),"")</f>
        <v>3</v>
      </c>
      <c r="G17" s="32" t="str">
        <f t="shared" si="0"/>
        <v>O</v>
      </c>
    </row>
    <row r="18" spans="2:7" ht="99.75" x14ac:dyDescent="0.3">
      <c r="B18" s="13">
        <v>11</v>
      </c>
      <c r="C18" s="14" t="s">
        <v>851</v>
      </c>
      <c r="D18" s="30">
        <v>1</v>
      </c>
      <c r="E18" s="15" t="str">
        <f>IFERROR(VLOOKUP(C18,기출문제!D:G,3,0),"")</f>
        <v>91. 고과자가 평가방법을 잘 이해하지 못하거나 피고과자들 간의 차이를 인식하지 못하는 무능력에서 발생할 수 있는 인사고과의 오류는?
① 중심화 경향 
② 논리적 오류 
③ 현혹효과 
④ 상동적 태도 
⑤ 근접오차</v>
      </c>
      <c r="F18" s="31">
        <f>IFERROR(VLOOKUP(C18,기출문제!D:G,4,0),"")</f>
        <v>1</v>
      </c>
      <c r="G18" s="32" t="str">
        <f t="shared" si="0"/>
        <v>O</v>
      </c>
    </row>
    <row r="19" spans="2:7" ht="85.5" x14ac:dyDescent="0.3">
      <c r="B19" s="13">
        <v>12</v>
      </c>
      <c r="C19" s="14" t="s">
        <v>852</v>
      </c>
      <c r="D19" s="30">
        <v>1</v>
      </c>
      <c r="E19" s="15" t="str">
        <f>IFERROR(VLOOKUP(C19,기출문제!D:G,3,0),"")</f>
        <v>92. 산업별 노동조합 또는 교섭권을 위임받은 상급단체와 개별 기업의 사용자 간에 이루어지는 단체교섭 유형은?
① 대각선 교섭 
② 통일적 교섭 
③ 기업별 교섭 
④ 공동교섭 
⑤ 집단교섭</v>
      </c>
      <c r="F19" s="31">
        <f>IFERROR(VLOOKUP(C19,기출문제!D:G,4,0),"")</f>
        <v>1</v>
      </c>
      <c r="G19" s="32" t="str">
        <f t="shared" si="0"/>
        <v>O</v>
      </c>
    </row>
    <row r="20" spans="2:7" ht="128.25" x14ac:dyDescent="0.3">
      <c r="B20" s="13">
        <v>13</v>
      </c>
      <c r="C20" s="14" t="s">
        <v>853</v>
      </c>
      <c r="D20" s="30">
        <v>3</v>
      </c>
      <c r="E20" s="15" t="str">
        <f>IFERROR(VLOOKUP(C20,기출문제!D:G,3,0),"")</f>
        <v>93. 외부 모집과 비교한 내부 모집의 장점을 모두 고른 것은?
ㄱ. 승진기회 확대로 종업원 동기 부여
ㄴ. 지원자에 대한 평가의 정확성 확보
ㄷ. 인력수요에 대한 양적 충족 가능
① ㄱ 
② ㄴ 
③ ㄱ, ㄴ 
④ ㄴ, ㄷ 
⑤ ㄱ, ㄴ, ㄷ</v>
      </c>
      <c r="F20" s="31">
        <f>IFERROR(VLOOKUP(C20,기출문제!D:G,4,0),"")</f>
        <v>3</v>
      </c>
      <c r="G20" s="32" t="str">
        <f t="shared" si="0"/>
        <v>O</v>
      </c>
    </row>
    <row r="21" spans="2:7" ht="128.25" x14ac:dyDescent="0.3">
      <c r="B21" s="13">
        <v>14</v>
      </c>
      <c r="C21" s="14" t="s">
        <v>854</v>
      </c>
      <c r="D21" s="30">
        <v>5</v>
      </c>
      <c r="E21" s="15" t="str">
        <f>IFERROR(VLOOKUP(C21,기출문제!D:G,3,0),"")</f>
        <v>94. 다음과 같은 장점을 지닌 조직구조는?
○ 관리 비용을 절감할 수 있음
○ 작은 기업들도 전 세계의 자원과 전문적인 인력을 활용할 수 있음
○ 창업 초기에 공장이나 설비 등의 막대한 투자없이도 사업이 가능
① 사업별 조직구조 
② 프로세스 조직구조 
③ 매트릭스 조직구조
④ 지역별 조직구조 
⑤ 네트워크 조직구조</v>
      </c>
      <c r="F21" s="31">
        <f>IFERROR(VLOOKUP(C21,기출문제!D:G,4,0),"")</f>
        <v>5</v>
      </c>
      <c r="G21" s="32" t="str">
        <f t="shared" si="0"/>
        <v>O</v>
      </c>
    </row>
    <row r="22" spans="2:7" ht="85.5" x14ac:dyDescent="0.3">
      <c r="B22" s="13">
        <v>15</v>
      </c>
      <c r="C22" s="14" t="s">
        <v>855</v>
      </c>
      <c r="D22" s="30">
        <v>3</v>
      </c>
      <c r="E22" s="15" t="str">
        <f>IFERROR(VLOOKUP(C22,기출문제!D:G,3,0),"")</f>
        <v>95. 페로우(C. Perrow)의 기술분류 유형 중 과업다양성과 분석가능성이 모두 낮은 유형은?
① 일상적 기술 
② 비일상적 기술 
③ 장인기술
④ 공학기술 
⑤ 중개기술</v>
      </c>
      <c r="F22" s="31">
        <f>IFERROR(VLOOKUP(C22,기출문제!D:G,4,0),"")</f>
        <v>3</v>
      </c>
      <c r="G22" s="32" t="str">
        <f t="shared" si="0"/>
        <v>O</v>
      </c>
    </row>
    <row r="23" spans="2:7" ht="99.75" x14ac:dyDescent="0.3">
      <c r="B23" s="13">
        <v>16</v>
      </c>
      <c r="C23" s="14" t="s">
        <v>856</v>
      </c>
      <c r="D23" s="30">
        <v>4</v>
      </c>
      <c r="E23" s="15" t="str">
        <f>IFERROR(VLOOKUP(C23,기출문제!D:G,3,0),"")</f>
        <v>96. 마일즈(R. Miles)와 스노우(C. Snow)의 전략 유형 중 유연성이 높고 분권화된 학습지향 조직구조로 설계하는 것이 적합한 전략은?
① 반응형 전략 
② 저원가 전략 
③ 분석형 전략 
④ 공격형 전략 
⑤ 방어형 전략</v>
      </c>
      <c r="F23" s="31">
        <f>IFERROR(VLOOKUP(C23,기출문제!D:G,4,0),"")</f>
        <v>4</v>
      </c>
      <c r="G23" s="32" t="str">
        <f t="shared" si="0"/>
        <v>O</v>
      </c>
    </row>
    <row r="24" spans="2:7" ht="171" x14ac:dyDescent="0.3">
      <c r="B24" s="13">
        <v>17</v>
      </c>
      <c r="C24" s="14" t="s">
        <v>857</v>
      </c>
      <c r="D24" s="30">
        <v>4</v>
      </c>
      <c r="E24" s="15" t="str">
        <f>IFERROR(VLOOKUP(C24,기출문제!D:G,3,0),"")</f>
        <v>97. 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
① ㄱ, ㄴ, ㄷ 
② ㄱ, ㄴ, ㅁ 
③ ㄱ, ㄴ, ㄹ, ㅁ
④ ㄱ, ㄷ, ㄹ, ㅁ 
⑤ ㄴ, ㄷ, ㄹ, ㅁ</v>
      </c>
      <c r="F24" s="31">
        <f>IFERROR(VLOOKUP(C24,기출문제!D:G,4,0),"")</f>
        <v>4</v>
      </c>
      <c r="G24" s="32" t="str">
        <f t="shared" si="0"/>
        <v>O</v>
      </c>
    </row>
    <row r="25" spans="2:7" ht="85.5" x14ac:dyDescent="0.3">
      <c r="B25" s="13">
        <v>18</v>
      </c>
      <c r="C25" s="14" t="s">
        <v>858</v>
      </c>
      <c r="D25" s="30">
        <v>3</v>
      </c>
      <c r="E25" s="15" t="str">
        <f>IFERROR(VLOOKUP(C25,기출문제!D:G,3,0),"")</f>
        <v>98. 킬만(T. Kilmann)의 갈등관리 유형 중 목적달성을 위해 비협조적으로 자기 관심사만을 만족시키려는 유형은?
① 협력형 
② 수용형 
③ 회피형 
④ 타협형 
⑤ 경쟁형</v>
      </c>
      <c r="F25" s="31">
        <f>IFERROR(VLOOKUP(C25,기출문제!D:G,4,0),"")</f>
        <v>5</v>
      </c>
      <c r="G25" s="32" t="str">
        <f t="shared" si="0"/>
        <v>X</v>
      </c>
    </row>
    <row r="26" spans="2:7" ht="85.5" x14ac:dyDescent="0.3">
      <c r="B26" s="13">
        <v>19</v>
      </c>
      <c r="C26" s="14" t="s">
        <v>859</v>
      </c>
      <c r="D26" s="30">
        <v>3</v>
      </c>
      <c r="E26" s="15" t="str">
        <f>IFERROR(VLOOKUP(C26,기출문제!D:G,3,0),"")</f>
        <v>99. 효과적인 시장세분화가 되기 위한 조건으로 옳지 않은 것은?
① 세분화를 위해 사용되는 변수들이 측정가능해야 한다.
② 세분시장에 속하는 고객들에게 효과적이고 효율적으로 접근할 수 있어야 한다.
③ 세분시장 내 고객들과 기업의 적합성은 가능한 낮아야 한다.
④ 같은 세분시장에 속한 고객들끼리는 최대한 비슷해야 하고 서로 다른 세분시장에 속한 고객들 간에는 이질성이 있어야 한다.
⑤ 세분시장의 규모는 마케팅활동으로 이익이 날 수 있을 정도로 충분히 커야 한다.</v>
      </c>
      <c r="F26" s="31">
        <f>IFERROR(VLOOKUP(C26,기출문제!D:G,4,0),"")</f>
        <v>3</v>
      </c>
      <c r="G26" s="32" t="str">
        <f t="shared" si="0"/>
        <v>O</v>
      </c>
    </row>
    <row r="27" spans="2:7" ht="114" x14ac:dyDescent="0.3">
      <c r="B27" s="13">
        <v>20</v>
      </c>
      <c r="C27" s="14" t="s">
        <v>860</v>
      </c>
      <c r="D27" s="30">
        <v>2</v>
      </c>
      <c r="E27" s="15" t="str">
        <f>IFERROR(VLOOKUP(C27,기출문제!D:G,3,0),"")</f>
        <v>100. 다음에서 설명하는 제품수명주기의 단계는?
○ 고객의 신제품수용이 늘어나 생산량이 급속히 증가하면서 단위당 제품원가, 유통비용, 촉진비용이 하락한다.
○ 지속적인 판매량 증대로 이익이 빠르게 늘어난다.
① 도입기 
② 성장기 
③ 성숙기 
④ 정체기 
⑤ 쇠퇴기</v>
      </c>
      <c r="F27" s="31">
        <f>IFERROR(VLOOKUP(C27,기출문제!D:G,4,0),"")</f>
        <v>2</v>
      </c>
      <c r="G27" s="32" t="str">
        <f t="shared" si="0"/>
        <v>O</v>
      </c>
    </row>
    <row r="28" spans="2:7" ht="85.5" x14ac:dyDescent="0.3">
      <c r="B28" s="13">
        <v>21</v>
      </c>
      <c r="C28" s="14" t="s">
        <v>861</v>
      </c>
      <c r="D28" s="30">
        <v>3</v>
      </c>
      <c r="E28" s="15" t="str">
        <f>IFERROR(VLOOKUP(C28,기출문제!D:G,3,0),"")</f>
        <v>101. 4P 중 가격에 관한 설명으로 옳지 않은 것은?
① 가격은 다른 마케팅믹스 요소들과 달리 상대적으로 쉽게 변경할 수 있다.
② 구매자가 가격이 비싼지 싼지를 판단하는 기준으로 삼는 가격을 준거가격이라 한다.
③ 구매자가 어떤 상품에 대해 지불할 용의가 있는 최저가격을 유보가격이라 한다.
④ 가격변화를 느끼게 만드는 최소의 가격변화 폭을 JND(just noticeable difference)라 한다.
⑤ 구매자들이 가격이 높은 상품일수록 품질도 높다고 믿는 것을 가격-품질 연상이라 한다.</v>
      </c>
      <c r="F28" s="31">
        <f>IFERROR(VLOOKUP(C28,기출문제!D:G,4,0),"")</f>
        <v>3</v>
      </c>
      <c r="G28" s="32" t="str">
        <f t="shared" si="0"/>
        <v>O</v>
      </c>
    </row>
    <row r="29" spans="2:7" ht="142.5" x14ac:dyDescent="0.3">
      <c r="B29" s="13">
        <v>22</v>
      </c>
      <c r="C29" s="14" t="s">
        <v>862</v>
      </c>
      <c r="D29" s="30">
        <v>0</v>
      </c>
      <c r="E29" s="15" t="str">
        <f>IFERROR(VLOOKUP(C29,기출문제!D:G,3,0),"")</f>
        <v>102. 판매촉진의 수단 중 소비자들의 구입가격을 인하시키는 효과를 갖는 가격수단의 유형을 모두 고른 것은?
ㄱ. 할인쿠폰 
ㄴ. 샘플 
ㄷ. 보상판매 
ㄹ. 보너스팩
① ㄱ, ㄴ 
② ㄷ, ㄹ 
③ ㄱ, ㄴ, ㄷ
④ ㄱ, ㄷ, ㄹ 
⑤ ㄱ, ㄴ, ㄷ, ㄹ</v>
      </c>
      <c r="F29" s="31">
        <f>IFERROR(VLOOKUP(C29,기출문제!D:G,4,0),"")</f>
        <v>4</v>
      </c>
      <c r="G29" s="32" t="str">
        <f t="shared" si="0"/>
        <v>X</v>
      </c>
    </row>
    <row r="30" spans="2:7" ht="85.5" x14ac:dyDescent="0.3">
      <c r="B30" s="13">
        <v>23</v>
      </c>
      <c r="C30" s="14" t="s">
        <v>863</v>
      </c>
      <c r="D30" s="30">
        <v>5</v>
      </c>
      <c r="E30" s="15" t="str">
        <f>IFERROR(VLOOKUP(C30,기출문제!D:G,3,0),"")</f>
        <v>103. 브랜드에 관한 설명으로 옳지 않은 것은?
① 브랜드는 제품이나 서비스와 관련된 이름, 상징, 혹은 기호로서 그것에 대해 구매자가 심리적인 의미를 부여하는 것이다.
② 브랜드 자산은 소비자가 브랜드에 부여하는 가치, 즉 브랜드가 창출하는 부가가치를 말한다.
③ 켈러(J. Keller)에 따르면, 브랜드 자산의 원천은 브랜드의 인지도와 브랜드의 이미지이다.
④ 브랜드 이미지는 긍정적이고 독특하며 강력해야 한다.
⑤ 브랜드 개발은 창의적인 광고를 통해 관련 이미지를 만들어내는 것이다.</v>
      </c>
      <c r="F30" s="31">
        <f>IFERROR(VLOOKUP(C30,기출문제!D:G,4,0),"")</f>
        <v>5</v>
      </c>
      <c r="G30" s="32" t="str">
        <f t="shared" si="0"/>
        <v>O</v>
      </c>
    </row>
    <row r="31" spans="2:7" ht="99.75" x14ac:dyDescent="0.3">
      <c r="B31" s="13">
        <v>24</v>
      </c>
      <c r="C31" s="14" t="s">
        <v>864</v>
      </c>
      <c r="D31" s="30">
        <v>0</v>
      </c>
      <c r="E31" s="15" t="str">
        <f>IFERROR(VLOOKUP(C31,기출문제!D:G,3,0),"")</f>
        <v>104. 금년 초에 5,000원의 배당(=d0)을 지급한 A기업의 배당은 매년 영원히 5%로 일정하게 성장할 것으로 예상된다. 요구수익률이 10%일 경우 이 주식의 현재가치는?
① 50,000원 
② 52,500원 
③ 100,000원 
④ 105,000원 
⑤ 110,000원</v>
      </c>
      <c r="F31" s="31">
        <f>IFERROR(VLOOKUP(C31,기출문제!D:G,4,0),"")</f>
        <v>4</v>
      </c>
      <c r="G31" s="32" t="str">
        <f t="shared" si="0"/>
        <v>X</v>
      </c>
    </row>
    <row r="32" spans="2:7" ht="85.5" x14ac:dyDescent="0.3">
      <c r="B32" s="13">
        <v>25</v>
      </c>
      <c r="C32" s="14" t="s">
        <v>865</v>
      </c>
      <c r="D32" s="30">
        <v>0</v>
      </c>
      <c r="E32" s="15" t="str">
        <f>IFERROR(VLOOKUP(C32,기출문제!D:G,3,0),"")</f>
        <v>105. 자본시장선(CML)과 증권시장선(SML)에 관한 설명으로 옳지 않은 것은?
① 증권시장선 보다 아래에 위치하는 주식은 주가가 과대평가 된 주식이다.
② 자본시장선은 개별위험자산의 기대수익률과 체계적 위험(베타) 간의 선형관계를 설명한다.
③ 자본시장선 상에는 비체계적 위험을 가진 포트폴리오가 놓이지 않는다.
④ 동일한 체계적 위험(베타)을 가지고 있는 자산이면 증권시장선 상에서 동일한 위치에 놓인다.
⑤ 균형상태에서 모든 위험자산의 체계적 위험(베타) 대비 초과수익률(기대수익률 [E(ri)] - 무위험수익률 [rf])이 동일하다.</v>
      </c>
      <c r="F32" s="31">
        <f>IFERROR(VLOOKUP(C32,기출문제!D:G,4,0),"")</f>
        <v>2</v>
      </c>
      <c r="G32" s="32" t="str">
        <f t="shared" si="0"/>
        <v>X</v>
      </c>
    </row>
    <row r="33" spans="2:7" ht="85.5" x14ac:dyDescent="0.3">
      <c r="B33" s="13">
        <v>26</v>
      </c>
      <c r="C33" s="14" t="s">
        <v>866</v>
      </c>
      <c r="D33" s="30">
        <v>0</v>
      </c>
      <c r="E33" s="15" t="str">
        <f>IFERROR(VLOOKUP(C33,기출문제!D:G,3,0),"")</f>
        <v>106. 투자안의 경제성 분석방법에 관한 설명으로 옳은 것은?
① 투자형 현금흐름의 투자안에서 내부수익률은 투자수익률을 의미한다.
② 화폐의 시간가치를 고려하는 분석방법은 순현재가치법이 유일하다.
③ 순현재가치법에서는 가치가산의 원칙이 성립하지 않는다.
④ 내부수익률법에서는 재투자수익률을 자본비용으로 가정한다.
⑤ 수익성지수법은 순현재가치법과 항상 동일한 투자선택의 의사결정을 한다.</v>
      </c>
      <c r="F33" s="31">
        <f>IFERROR(VLOOKUP(C33,기출문제!D:G,4,0),"")</f>
        <v>1</v>
      </c>
      <c r="G33" s="32" t="str">
        <f t="shared" si="0"/>
        <v>X</v>
      </c>
    </row>
    <row r="34" spans="2:7" ht="85.5" x14ac:dyDescent="0.3">
      <c r="B34" s="13">
        <v>27</v>
      </c>
      <c r="C34" s="14" t="s">
        <v>867</v>
      </c>
      <c r="D34" s="30">
        <v>0</v>
      </c>
      <c r="E34" s="15" t="str">
        <f>IFERROR(VLOOKUP(C34,기출문제!D:G,3,0),"")</f>
        <v>107. 총자산순이익률(ROA)이 20%, 매출액순이익률이 8%일 때 총자산회전율은?
① 2 
② 2.5 
③ 3 
④ 3.5 
⑤ 4</v>
      </c>
      <c r="F34" s="31">
        <f>IFERROR(VLOOKUP(C34,기출문제!D:G,4,0),"")</f>
        <v>2</v>
      </c>
      <c r="G34" s="32" t="str">
        <f t="shared" si="0"/>
        <v>X</v>
      </c>
    </row>
    <row r="35" spans="2:7" ht="142.5" x14ac:dyDescent="0.3">
      <c r="B35" s="13">
        <v>28</v>
      </c>
      <c r="C35" s="14" t="s">
        <v>868</v>
      </c>
      <c r="D35" s="30">
        <v>0</v>
      </c>
      <c r="E35" s="15" t="str">
        <f>IFERROR(VLOOKUP(C35,기출문제!D:G,3,0),"")</f>
        <v>108. 다음 채권의 듀레이션은? (단, 소수점 셋째 자리에서 반올림한다.)
○ 액면가액 1,000원
○ 액면이자율 연 10%, 매년 말 이자지급
○ 만기 2년
○ 만기수익률 연 12%
① 1.75년 
② 1.83년 
③ 1.87년 
④ 1.91년 
⑤ 2.00년</v>
      </c>
      <c r="F35" s="31">
        <f>IFERROR(VLOOKUP(C35,기출문제!D:G,4,0),"")</f>
        <v>4</v>
      </c>
      <c r="G35" s="32" t="str">
        <f t="shared" si="0"/>
        <v>X</v>
      </c>
    </row>
    <row r="36" spans="2:7" ht="85.5" x14ac:dyDescent="0.3">
      <c r="B36" s="13">
        <v>29</v>
      </c>
      <c r="C36" s="14" t="s">
        <v>869</v>
      </c>
      <c r="D36" s="30">
        <v>2</v>
      </c>
      <c r="E36" s="15" t="str">
        <f>IFERROR(VLOOKUP(C36,기출문제!D:G,3,0),"")</f>
        <v>109. 가치분석/가치공학분석에서 사용하는 브레인스토밍(brainstorming)의 주제로 옳지 않은 것은?
① 불필요한 제품의 특성은 없는가?
② 추가되어야 할 공정은 없는가?
③ 무게를 줄일 수는 없는가?
④ 두 개 이상의 부품을 하나로 결합할 수 없는가?
⑤ 제거되어야 할 비표준화된 부품은 없는가?</v>
      </c>
      <c r="F36" s="31">
        <f>IFERROR(VLOOKUP(C36,기출문제!D:G,4,0),"")</f>
        <v>2</v>
      </c>
      <c r="G36" s="32" t="str">
        <f t="shared" si="0"/>
        <v>O</v>
      </c>
    </row>
    <row r="37" spans="2:7" ht="128.25" x14ac:dyDescent="0.3">
      <c r="B37" s="13">
        <v>30</v>
      </c>
      <c r="C37" s="14" t="s">
        <v>870</v>
      </c>
      <c r="D37" s="30">
        <v>0</v>
      </c>
      <c r="E37" s="15" t="str">
        <f>IFERROR(VLOOKUP(C37,기출문제!D:G,3,0),"")</f>
        <v>110. 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
① 606만개 
② 632만개 
③ 658만개 
④ 744만개 
⑤ 766만개</v>
      </c>
      <c r="F37" s="31">
        <f>IFERROR(VLOOKUP(C37,기출문제!D:G,4,0),"")</f>
        <v>2</v>
      </c>
      <c r="G37" s="32" t="str">
        <f t="shared" si="0"/>
        <v>X</v>
      </c>
    </row>
    <row r="38" spans="2:7" ht="85.5" x14ac:dyDescent="0.3">
      <c r="B38" s="13">
        <v>31</v>
      </c>
      <c r="C38" s="14" t="s">
        <v>871</v>
      </c>
      <c r="D38" s="30">
        <v>1</v>
      </c>
      <c r="E38" s="15" t="str">
        <f>IFERROR(VLOOKUP(C38,기출문제!D:G,3,0),"")</f>
        <v>111. 공급사슬관리의 효율성을 측정하는 지표로 옳은 것은?
① 재고회전율 
② 원자재투입량 
③ 최종고객주문량
④ 수요통제 
⑤ 채찍효과</v>
      </c>
      <c r="F38" s="31">
        <f>IFERROR(VLOOKUP(C38,기출문제!D:G,4,0),"")</f>
        <v>1</v>
      </c>
      <c r="G38" s="32" t="str">
        <f t="shared" si="0"/>
        <v>O</v>
      </c>
    </row>
    <row r="39" spans="2:7" ht="85.5" x14ac:dyDescent="0.3">
      <c r="B39" s="13">
        <v>32</v>
      </c>
      <c r="C39" s="14" t="s">
        <v>872</v>
      </c>
      <c r="D39" s="30">
        <v>5</v>
      </c>
      <c r="E39" s="15" t="str">
        <f>IFERROR(VLOOKUP(C39,기출문제!D:G,3,0),"")</f>
        <v>112. 준비비용이 일정하다고 가정하는 경제적 주문량(EOQ)과는 달리 준비비용을 최대한 줄이고자 하는 시스템은?
① 유연생산시스템(FMS) 
② 자재소요관리시스템(MRP)
③ 컴퓨터통합생산시스템(CIM) 
④ ABC 재고관리시스템
⑤ 적시생산시스템(JIT)</v>
      </c>
      <c r="F39" s="31">
        <f>IFERROR(VLOOKUP(C39,기출문제!D:G,4,0),"")</f>
        <v>5</v>
      </c>
      <c r="G39" s="32" t="str">
        <f t="shared" si="0"/>
        <v>O</v>
      </c>
    </row>
    <row r="40" spans="2:7" ht="85.5" x14ac:dyDescent="0.3">
      <c r="B40" s="13">
        <v>33</v>
      </c>
      <c r="C40" s="14" t="s">
        <v>873</v>
      </c>
      <c r="D40" s="30">
        <v>5</v>
      </c>
      <c r="E40" s="15" t="str">
        <f>IFERROR(VLOOKUP(C40,기출문제!D:G,3,0),"")</f>
        <v>113. 기업에서 생산목표상의 경쟁우선순위에 해당하지 않는 것은?
① 기술 
② 품질 
③ 원가 
④ 시간 
⑤ 유연성</v>
      </c>
      <c r="F40" s="31">
        <f>IFERROR(VLOOKUP(C40,기출문제!D:G,4,0),"")</f>
        <v>1</v>
      </c>
      <c r="G40" s="32" t="str">
        <f t="shared" si="0"/>
        <v>X</v>
      </c>
    </row>
    <row r="41" spans="2:7" ht="85.5" x14ac:dyDescent="0.3">
      <c r="B41" s="13">
        <v>34</v>
      </c>
      <c r="C41" s="14" t="s">
        <v>874</v>
      </c>
      <c r="D41" s="30">
        <v>4</v>
      </c>
      <c r="E41" s="15" t="str">
        <f>IFERROR(VLOOKUP(C41,기출문제!D:G,3,0),"")</f>
        <v>114. 품질문제와 관련하여 발생하는 외부 실패비용에 해당하지 않는 것은?
① 고객불만 비용 
② 보증 비용 
③ 반품 비용
④ 스크랩 비용 
⑤ 제조물책임 비용</v>
      </c>
      <c r="F41" s="31">
        <f>IFERROR(VLOOKUP(C41,기출문제!D:G,4,0),"")</f>
        <v>4</v>
      </c>
      <c r="G41" s="32" t="str">
        <f t="shared" si="0"/>
        <v>O</v>
      </c>
    </row>
    <row r="42" spans="2:7" ht="85.5" x14ac:dyDescent="0.3">
      <c r="B42" s="13">
        <v>35</v>
      </c>
      <c r="C42" s="14" t="s">
        <v>875</v>
      </c>
      <c r="D42" s="30">
        <v>0</v>
      </c>
      <c r="E42" s="15" t="str">
        <f>IFERROR(VLOOKUP(C42,기출문제!D:G,3,0),"")</f>
        <v>115. 회계거래 분개 시 차변에 기록해야 하는 것은?
① 선수금의 증가 
② 미수수익의 증가 
③ 매출의 발생
④ 미지급비용의 증가 
⑤ 매입채무의 증가</v>
      </c>
      <c r="F42" s="31">
        <f>IFERROR(VLOOKUP(C42,기출문제!D:G,4,0),"")</f>
        <v>2</v>
      </c>
      <c r="G42" s="32" t="str">
        <f t="shared" si="0"/>
        <v>X</v>
      </c>
    </row>
    <row r="43" spans="2:7" ht="85.5" x14ac:dyDescent="0.3">
      <c r="B43" s="13">
        <v>36</v>
      </c>
      <c r="C43" s="14" t="s">
        <v>876</v>
      </c>
      <c r="D43" s="30">
        <v>0</v>
      </c>
      <c r="E43" s="15" t="str">
        <f>IFERROR(VLOOKUP(C43,기출문제!D:G,3,0),"")</f>
        <v>116. 재무비율에 관한 설명으로 옳지 않은 것은?
① 자산이용의 효율성을 분석하는 것은 활동성비율이다.
② 이자보상비율은 채권자에게 지급해야 할 고정비용인 이자비용의 안전도를 나타낸다.
③ 유동비율은 유동자산을 유동부채로 나눈 것이다.
④ 자기자본순이익률(ROE)은 주주 및 채권자의 관점에서 본 수익성비율이다.
⑤ 재무비율분석 시 기업 간 회계방법의 차이가 있음을 고려해야 한다.</v>
      </c>
      <c r="F43" s="31">
        <f>IFERROR(VLOOKUP(C43,기출문제!D:G,4,0),"")</f>
        <v>4</v>
      </c>
      <c r="G43" s="32" t="str">
        <f t="shared" si="0"/>
        <v>X</v>
      </c>
    </row>
    <row r="44" spans="2:7" ht="85.5" x14ac:dyDescent="0.3">
      <c r="B44" s="13">
        <v>37</v>
      </c>
      <c r="C44" s="14" t="s">
        <v>877</v>
      </c>
      <c r="D44" s="30">
        <v>4</v>
      </c>
      <c r="E44" s="15" t="str">
        <f>IFERROR(VLOOKUP(C44,기출문제!D:G,3,0),"")</f>
        <v>117. 유형자산의 감가상각에 관한 설명으로 옳은 것은?
① 감가상각누계액은 내용연수 동안 비용처리 할 감가상각비의 총액이다.
② 정액법과 정률법에서는 감가대상금액을 기초로 감가상각비를 산정한다.
③ 정률법은 내용연수 후반부로 갈수록 감가상각비를 많이 인식한다.
④ 회계적 관점에서 감가상각은 자산의 평가과정이라기 보다 원가배분과정이라고 할 수 있다.
⑤ 모든 유형자산은 시간이 경과함에 따라 가치가 감소하므로 가치의 감소를 인식하기 위해 감가상각한다.</v>
      </c>
      <c r="F44" s="31">
        <f>IFERROR(VLOOKUP(C44,기출문제!D:G,4,0),"")</f>
        <v>4</v>
      </c>
      <c r="G44" s="32" t="str">
        <f t="shared" si="0"/>
        <v>O</v>
      </c>
    </row>
    <row r="45" spans="2:7" ht="85.5" x14ac:dyDescent="0.3">
      <c r="B45" s="13">
        <v>38</v>
      </c>
      <c r="C45" s="14" t="s">
        <v>878</v>
      </c>
      <c r="D45" s="30">
        <v>4</v>
      </c>
      <c r="E45" s="15" t="str">
        <f>IFERROR(VLOOKUP(C45,기출문제!D:G,3,0),"")</f>
        <v>118. 유형자산의 취득원가에 포함되는 것은?
① 파손된 유리와 소모품의 대체
② 마모된 자산의 원상복구
③ 건물 취득 후 가입한 보험에 대한 보험료
④ 유형자산 취득 시 발생한 운반비
⑤ 건물의 도색</v>
      </c>
      <c r="F45" s="31">
        <f>IFERROR(VLOOKUP(C45,기출문제!D:G,4,0),"")</f>
        <v>4</v>
      </c>
      <c r="G45" s="32" t="str">
        <f t="shared" si="0"/>
        <v>O</v>
      </c>
    </row>
    <row r="46" spans="2:7" ht="114" x14ac:dyDescent="0.3">
      <c r="B46" s="13">
        <v>39</v>
      </c>
      <c r="C46" s="14" t="s">
        <v>879</v>
      </c>
      <c r="D46" s="30">
        <v>2</v>
      </c>
      <c r="E46" s="15" t="str">
        <f>IFERROR(VLOOKUP(C46,기출문제!D:G,3,0),"")</f>
        <v>119. 다음에서 설명하는 것은?
○ 데이터 소스에서 가까운 네트워크 말단의 서버들에서 일부 데이터 처리를 수행한다.
○ 클라우드 컴퓨팅 시스템을 최적화하는 방법이다.
① 엣지 컴퓨팅 
② 그리드 컴퓨팅 
③ 클라이언트/서버 컴퓨팅
④ 온디멘드 컴퓨팅 
⑤ 엔터프라이즈 컴퓨팅</v>
      </c>
      <c r="F46" s="31">
        <f>IFERROR(VLOOKUP(C46,기출문제!D:G,4,0),"")</f>
        <v>1</v>
      </c>
      <c r="G46" s="32" t="str">
        <f t="shared" si="0"/>
        <v>X</v>
      </c>
    </row>
    <row r="47" spans="2:7" ht="85.5" x14ac:dyDescent="0.3">
      <c r="B47" s="13">
        <v>40</v>
      </c>
      <c r="C47" s="14" t="s">
        <v>880</v>
      </c>
      <c r="D47" s="30">
        <v>3</v>
      </c>
      <c r="E47" s="15" t="str">
        <f>IFERROR(VLOOKUP(C47,기출문제!D:G,3,0),"")</f>
        <v>120. 비정형 텍스트 데이터의 가치와 의미를 찾아내는 빅데이터 분석기법은?
① 에쓰노그라피(ethnography) 분석 
② 포커스그룹(focus group) 인터뷰
③ 텍스트마이닝 
④ 군집 분석
⑤ 소셜네트워크 분석</v>
      </c>
      <c r="F47" s="31">
        <f>IFERROR(VLOOKUP(C47,기출문제!D:G,4,0),"")</f>
        <v>3</v>
      </c>
      <c r="G47" s="32" t="str">
        <f t="shared" si="0"/>
        <v>O</v>
      </c>
    </row>
    <row r="48" spans="2:7" ht="142.5" x14ac:dyDescent="0.3">
      <c r="B48" s="13">
        <v>41</v>
      </c>
      <c r="C48" s="14" t="s">
        <v>5</v>
      </c>
      <c r="D48" s="30">
        <v>5</v>
      </c>
      <c r="E48" s="15" t="str">
        <f>IFERROR(VLOOKUP(C48,기출문제!D:G,3,0),"")</f>
        <v>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v>
      </c>
      <c r="F48" s="31">
        <f>IFERROR(VLOOKUP(C48,기출문제!D:G,4,0),"")</f>
        <v>5</v>
      </c>
      <c r="G48" s="32" t="str">
        <f t="shared" si="0"/>
        <v>O</v>
      </c>
    </row>
    <row r="49" spans="2:7" ht="171" x14ac:dyDescent="0.3">
      <c r="B49" s="13">
        <v>42</v>
      </c>
      <c r="C49" s="14" t="s">
        <v>881</v>
      </c>
      <c r="D49" s="30">
        <v>4</v>
      </c>
      <c r="E49" s="15" t="str">
        <f>IFERROR(VLOOKUP(C49,기출문제!D:G,3,0),"")</f>
        <v>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v>
      </c>
      <c r="F49" s="31">
        <f>IFERROR(VLOOKUP(C49,기출문제!D:G,4,0),"")</f>
        <v>4</v>
      </c>
      <c r="G49" s="32" t="str">
        <f t="shared" si="0"/>
        <v>O</v>
      </c>
    </row>
    <row r="50" spans="2:7" ht="85.5" x14ac:dyDescent="0.3">
      <c r="B50" s="13">
        <v>43</v>
      </c>
      <c r="C50" s="14" t="s">
        <v>882</v>
      </c>
      <c r="D50" s="30">
        <v>0</v>
      </c>
      <c r="E50" s="15" t="str">
        <f>IFERROR(VLOOKUP(C50,기출문제!D:G,3,0),"")</f>
        <v>103. 경영환경을 일반환경과 과업환경으로 구분할 때, 기업에게 직접적인 영향을 주는 과업환경에 해당하는 것은?
① 정치적 환경
② 경제적 환경
③ 기술적 환경
④ 경쟁자
⑤ 사회문화적 환경</v>
      </c>
      <c r="F50" s="31">
        <f>IFERROR(VLOOKUP(C50,기출문제!D:G,4,0),"")</f>
        <v>4</v>
      </c>
      <c r="G50" s="32" t="str">
        <f t="shared" si="0"/>
        <v>X</v>
      </c>
    </row>
    <row r="51" spans="2:7" ht="85.5" x14ac:dyDescent="0.3">
      <c r="B51" s="13">
        <v>44</v>
      </c>
      <c r="C51" s="14" t="s">
        <v>883</v>
      </c>
      <c r="D51" s="30">
        <v>1</v>
      </c>
      <c r="E51" s="15" t="str">
        <f>IFERROR(VLOOKUP(C51,기출문제!D:G,3,0),"")</f>
        <v>104. 민츠버그(H. Mintzberg)의 5가지 조직유형에 해당하지 않는 것은?
① 매트릭스 조직
② 기계적 관료제
③ 전문적 관료제
④ 애드호크라시
⑤ 사업부제 조직</v>
      </c>
      <c r="F51" s="31">
        <f>IFERROR(VLOOKUP(C51,기출문제!D:G,4,0),"")</f>
        <v>1</v>
      </c>
      <c r="G51" s="32" t="str">
        <f t="shared" si="0"/>
        <v>O</v>
      </c>
    </row>
    <row r="52" spans="2:7" ht="142.5" x14ac:dyDescent="0.3">
      <c r="B52" s="13">
        <v>45</v>
      </c>
      <c r="C52" s="14" t="s">
        <v>884</v>
      </c>
      <c r="D52" s="30">
        <v>4</v>
      </c>
      <c r="E52" s="15" t="str">
        <f>IFERROR(VLOOKUP(C52,기출문제!D:G,3,0),"")</f>
        <v>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v>
      </c>
      <c r="F52" s="31">
        <f>IFERROR(VLOOKUP(C52,기출문제!D:G,4,0),"")</f>
        <v>3</v>
      </c>
      <c r="G52" s="32" t="str">
        <f t="shared" si="0"/>
        <v>X</v>
      </c>
    </row>
    <row r="53" spans="2:7" ht="156.75" x14ac:dyDescent="0.3">
      <c r="B53" s="13">
        <v>46</v>
      </c>
      <c r="C53" s="14" t="s">
        <v>885</v>
      </c>
      <c r="D53" s="30">
        <v>2</v>
      </c>
      <c r="E53" s="15" t="str">
        <f>IFERROR(VLOOKUP(C53,기출문제!D:G,3,0),"")</f>
        <v>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v>
      </c>
      <c r="F53" s="31">
        <f>IFERROR(VLOOKUP(C53,기출문제!D:G,4,0),"")</f>
        <v>2</v>
      </c>
      <c r="G53" s="32" t="str">
        <f t="shared" si="0"/>
        <v>O</v>
      </c>
    </row>
    <row r="54" spans="2:7" ht="85.5" x14ac:dyDescent="0.3">
      <c r="B54" s="13">
        <v>47</v>
      </c>
      <c r="C54" s="14" t="s">
        <v>886</v>
      </c>
      <c r="D54" s="30">
        <v>5</v>
      </c>
      <c r="E54" s="15" t="str">
        <f>IFERROR(VLOOKUP(C54,기출문제!D:G,3,0),"")</f>
        <v>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v>
      </c>
      <c r="F54" s="31">
        <f>IFERROR(VLOOKUP(C54,기출문제!D:G,4,0),"")</f>
        <v>5</v>
      </c>
      <c r="G54" s="32" t="str">
        <f t="shared" si="0"/>
        <v>O</v>
      </c>
    </row>
    <row r="55" spans="2:7" ht="85.5" x14ac:dyDescent="0.3">
      <c r="B55" s="13">
        <v>48</v>
      </c>
      <c r="C55" s="14" t="s">
        <v>887</v>
      </c>
      <c r="D55" s="30">
        <v>4</v>
      </c>
      <c r="E55" s="15" t="str">
        <f>IFERROR(VLOOKUP(C55,기출문제!D:G,3,0),"")</f>
        <v>108. 성격의 Big5 모형에 해당하지 않는 것은?
① 정서적 안정성
② 성실성
③ 친화성
④ 모험선호성
⑤ 개방성</v>
      </c>
      <c r="F55" s="31">
        <f>IFERROR(VLOOKUP(C55,기출문제!D:G,4,0),"")</f>
        <v>4</v>
      </c>
      <c r="G55" s="32" t="str">
        <f t="shared" si="0"/>
        <v>O</v>
      </c>
    </row>
    <row r="56" spans="2:7" ht="85.5" x14ac:dyDescent="0.3">
      <c r="B56" s="13">
        <v>49</v>
      </c>
      <c r="C56" s="14" t="s">
        <v>888</v>
      </c>
      <c r="D56" s="30">
        <v>3</v>
      </c>
      <c r="E56" s="15" t="str">
        <f>IFERROR(VLOOKUP(C56,기출문제!D:G,3,0),"")</f>
        <v>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v>
      </c>
      <c r="F56" s="31">
        <f>IFERROR(VLOOKUP(C56,기출문제!D:G,4,0),"")</f>
        <v>3</v>
      </c>
      <c r="G56" s="32" t="str">
        <f t="shared" si="0"/>
        <v>O</v>
      </c>
    </row>
    <row r="57" spans="2:7" ht="156.75" x14ac:dyDescent="0.3">
      <c r="B57" s="13">
        <v>50</v>
      </c>
      <c r="C57" s="14" t="s">
        <v>889</v>
      </c>
      <c r="D57" s="30">
        <v>1</v>
      </c>
      <c r="E57" s="15" t="str">
        <f>IFERROR(VLOOKUP(C57,기출문제!D:G,3,0),"")</f>
        <v>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v>
      </c>
      <c r="F57" s="31">
        <f>IFERROR(VLOOKUP(C57,기출문제!D:G,4,0),"")</f>
        <v>1</v>
      </c>
      <c r="G57" s="32" t="str">
        <f t="shared" si="0"/>
        <v>O</v>
      </c>
    </row>
    <row r="58" spans="2:7" ht="85.5" x14ac:dyDescent="0.3">
      <c r="B58" s="13">
        <v>51</v>
      </c>
      <c r="C58" s="14" t="s">
        <v>890</v>
      </c>
      <c r="D58" s="13">
        <v>1</v>
      </c>
      <c r="E58" s="15" t="str">
        <f>IFERROR(VLOOKUP(C58,기출문제!D:G,3,0),"")</f>
        <v>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v>
      </c>
      <c r="F58" s="31">
        <f>IFERROR(VLOOKUP(C58,기출문제!D:G,4,0),"")</f>
        <v>1</v>
      </c>
      <c r="G58" s="32" t="str">
        <f t="shared" si="0"/>
        <v>O</v>
      </c>
    </row>
    <row r="59" spans="2:7" ht="85.5" x14ac:dyDescent="0.3">
      <c r="B59" s="13">
        <v>52</v>
      </c>
      <c r="C59" s="14" t="s">
        <v>891</v>
      </c>
      <c r="D59" s="13">
        <v>5</v>
      </c>
      <c r="E59" s="15" t="str">
        <f>IFERROR(VLOOKUP(C59,기출문제!D:G,3,0),"")</f>
        <v>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v>
      </c>
      <c r="F59" s="31">
        <f>IFERROR(VLOOKUP(C59,기출문제!D:G,4,0),"")</f>
        <v>5</v>
      </c>
      <c r="G59" s="32" t="str">
        <f t="shared" si="0"/>
        <v>O</v>
      </c>
    </row>
    <row r="60" spans="2:7" ht="85.5" x14ac:dyDescent="0.3">
      <c r="B60" s="13">
        <v>53</v>
      </c>
      <c r="C60" s="14" t="s">
        <v>892</v>
      </c>
      <c r="D60" s="13">
        <v>3</v>
      </c>
      <c r="E60" s="15" t="str">
        <f>IFERROR(VLOOKUP(C60,기출문제!D:G,3,0),"")</f>
        <v>113. 로저스(E. Rogers)의 혁신에 대한 수용자 유형이 아닌 것은?
① 혁신자(innovators)
② 조기수용자(early adopters)
③ 후기수용자(late adopters)
④ 조기다수자(early majority)
⑤ 후기다수자(late majority)</v>
      </c>
      <c r="F60" s="31">
        <f>IFERROR(VLOOKUP(C60,기출문제!D:G,4,0),"")</f>
        <v>3</v>
      </c>
      <c r="G60" s="32" t="str">
        <f t="shared" si="0"/>
        <v>O</v>
      </c>
    </row>
    <row r="61" spans="2:7" ht="128.25" x14ac:dyDescent="0.3">
      <c r="B61" s="13">
        <v>54</v>
      </c>
      <c r="C61" s="14" t="s">
        <v>893</v>
      </c>
      <c r="D61" s="13">
        <v>0</v>
      </c>
      <c r="E61" s="15" t="str">
        <f>IFERROR(VLOOKUP(C61,기출문제!D:G,3,0),"")</f>
        <v>114. (주)한국의 매출 및 매출채권 자료가 다음과 같을 때, 매출채권의 평균회수시간은? (단, 1년은 360일로 가정한다.)
매출액            ￦3,000,000
기초매출채권        150,000
기말매출채권        100,000
① 10일
② 15일
③ 18일
④ 20일
⑤ 24일</v>
      </c>
      <c r="F61" s="31">
        <f>IFERROR(VLOOKUP(C61,기출문제!D:G,4,0),"")</f>
        <v>2</v>
      </c>
      <c r="G61" s="32" t="str">
        <f t="shared" si="0"/>
        <v>X</v>
      </c>
    </row>
    <row r="62" spans="2:7" ht="114" x14ac:dyDescent="0.3">
      <c r="B62" s="13">
        <v>55</v>
      </c>
      <c r="C62" s="14" t="s">
        <v>894</v>
      </c>
      <c r="D62" s="13">
        <v>0</v>
      </c>
      <c r="E62" s="15" t="str">
        <f>IFERROR(VLOOKUP(C62,기출문제!D:G,3,0),"")</f>
        <v>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v>
      </c>
      <c r="F62" s="31">
        <f>IFERROR(VLOOKUP(C62,기출문제!D:G,4,0),"")</f>
        <v>4</v>
      </c>
      <c r="G62" s="32" t="str">
        <f t="shared" si="0"/>
        <v>X</v>
      </c>
    </row>
    <row r="63" spans="2:7" ht="142.5" x14ac:dyDescent="0.3">
      <c r="B63" s="13">
        <v>56</v>
      </c>
      <c r="C63" s="14" t="s">
        <v>895</v>
      </c>
      <c r="D63" s="13">
        <v>0</v>
      </c>
      <c r="E63" s="15" t="str">
        <f>IFERROR(VLOOKUP(C63,기출문제!D:G,3,0),"")</f>
        <v>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v>
      </c>
      <c r="F63" s="31">
        <f>IFERROR(VLOOKUP(C63,기출문제!D:G,4,0),"")</f>
        <v>2</v>
      </c>
      <c r="G63" s="32" t="str">
        <f t="shared" si="0"/>
        <v>X</v>
      </c>
    </row>
    <row r="64" spans="2:7" ht="85.5" x14ac:dyDescent="0.3">
      <c r="B64" s="13">
        <v>57</v>
      </c>
      <c r="C64" s="14" t="s">
        <v>896</v>
      </c>
      <c r="D64" s="13">
        <v>4</v>
      </c>
      <c r="E64" s="15" t="str">
        <f>IFERROR(VLOOKUP(C64,기출문제!D:G,3,0),"")</f>
        <v>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v>
      </c>
      <c r="F64" s="31">
        <f>IFERROR(VLOOKUP(C64,기출문제!D:G,4,0),"")</f>
        <v>4</v>
      </c>
      <c r="G64" s="32" t="str">
        <f t="shared" si="0"/>
        <v>O</v>
      </c>
    </row>
    <row r="65" spans="2:7" ht="99.75" x14ac:dyDescent="0.3">
      <c r="B65" s="13">
        <v>58</v>
      </c>
      <c r="C65" s="14" t="s">
        <v>897</v>
      </c>
      <c r="D65" s="13">
        <v>1</v>
      </c>
      <c r="E65" s="15" t="str">
        <f>IFERROR(VLOOKUP(C65,기출문제!D:G,3,0),"")</f>
        <v>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v>
      </c>
      <c r="F65" s="31">
        <f>IFERROR(VLOOKUP(C65,기출문제!D:G,4,0),"")</f>
        <v>1</v>
      </c>
      <c r="G65" s="32" t="str">
        <f t="shared" si="0"/>
        <v>O</v>
      </c>
    </row>
    <row r="66" spans="2:7" ht="142.5" x14ac:dyDescent="0.3">
      <c r="B66" s="13">
        <v>59</v>
      </c>
      <c r="C66" s="14" t="s">
        <v>898</v>
      </c>
      <c r="D66" s="13">
        <v>5</v>
      </c>
      <c r="E66" s="15" t="str">
        <f>IFERROR(VLOOKUP(C66,기출문제!D:G,3,0),"")</f>
        <v>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v>
      </c>
      <c r="F66" s="31">
        <f>IFERROR(VLOOKUP(C66,기출문제!D:G,4,0),"")</f>
        <v>3</v>
      </c>
      <c r="G66" s="32" t="str">
        <f t="shared" si="0"/>
        <v>X</v>
      </c>
    </row>
    <row r="67" spans="2:7" ht="128.25" x14ac:dyDescent="0.3">
      <c r="B67" s="13">
        <v>60</v>
      </c>
      <c r="C67" s="14" t="s">
        <v>899</v>
      </c>
      <c r="D67" s="13">
        <v>0</v>
      </c>
      <c r="E67" s="15" t="str">
        <f>IFERROR(VLOOKUP(C67,기출문제!D:G,3,0),"")</f>
        <v>120. 다음의 수요예측기법 중 시계열(tiem series) 예측기법에 해당하는 것을 모두 고른 것은?
ㄱ. 이동평균법
ㄴ. 지수평활기법
ㄷ. 델파이 기법
① ㄱ
② ㄴ
③ ㄱ, ㄴ
④ ㄴ, ㄷ
⑤ ㄱ, ㄴ, ㄷ</v>
      </c>
      <c r="F67" s="31">
        <f>IFERROR(VLOOKUP(C67,기출문제!D:G,4,0),"")</f>
        <v>3</v>
      </c>
      <c r="G67" s="32" t="str">
        <f t="shared" si="0"/>
        <v>X</v>
      </c>
    </row>
    <row r="68" spans="2:7" ht="85.5" x14ac:dyDescent="0.3">
      <c r="B68" s="13">
        <v>61</v>
      </c>
      <c r="C68" s="14" t="s">
        <v>900</v>
      </c>
      <c r="D68" s="13">
        <v>2</v>
      </c>
      <c r="E68" s="15" t="str">
        <f>IFERROR(VLOOKUP(C68,기출문제!D:G,3,0),"")</f>
        <v>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v>
      </c>
      <c r="F68" s="31">
        <f>IFERROR(VLOOKUP(C68,기출문제!D:G,4,0),"")</f>
        <v>2</v>
      </c>
      <c r="G68" s="32" t="str">
        <f t="shared" si="0"/>
        <v>O</v>
      </c>
    </row>
    <row r="69" spans="2:7" ht="142.5" x14ac:dyDescent="0.3">
      <c r="B69" s="13">
        <v>62</v>
      </c>
      <c r="C69" s="14" t="s">
        <v>901</v>
      </c>
      <c r="D69" s="13">
        <v>0</v>
      </c>
      <c r="E69" s="15" t="str">
        <f>IFERROR(VLOOKUP(C69,기출문제!D:G,3,0),"")</f>
        <v>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v>
      </c>
      <c r="F69" s="31">
        <f>IFERROR(VLOOKUP(C69,기출문제!D:G,4,0),"")</f>
        <v>3</v>
      </c>
      <c r="G69" s="32" t="str">
        <f t="shared" si="0"/>
        <v>X</v>
      </c>
    </row>
    <row r="70" spans="2:7" ht="85.5" x14ac:dyDescent="0.3">
      <c r="B70" s="13">
        <v>63</v>
      </c>
      <c r="C70" s="14" t="s">
        <v>902</v>
      </c>
      <c r="D70" s="13">
        <v>3</v>
      </c>
      <c r="E70" s="15" t="str">
        <f>IFERROR(VLOOKUP(C70,기출문제!D:G,3,0),"")</f>
        <v>123. 현행 K - IFRS에 의한 재무제표에 해당하지 않는 것은?
① 재무상태변동표
② 포괄손익계산서
③ 자본변동표
④ 현금흐름표
⑤ 주석</v>
      </c>
      <c r="F70" s="31">
        <f>IFERROR(VLOOKUP(C70,기출문제!D:G,4,0),"")</f>
        <v>1</v>
      </c>
      <c r="G70" s="32" t="str">
        <f t="shared" si="0"/>
        <v>X</v>
      </c>
    </row>
    <row r="71" spans="2:7" ht="85.5" x14ac:dyDescent="0.3">
      <c r="B71" s="13">
        <v>64</v>
      </c>
      <c r="C71" s="14" t="s">
        <v>903</v>
      </c>
      <c r="D71" s="13">
        <v>2</v>
      </c>
      <c r="E71" s="15" t="str">
        <f>IFERROR(VLOOKUP(C71,기출문제!D:G,3,0),"")</f>
        <v>124. 일반 사용자의 컴퓨터 시스템 접근을 차단한 후, 접근을 허용하는 조건으로 대가를 요구하는 악성코드는?
① 스니핑(sniffing)
② 랜섬웨어(ransomware)
③ 스팸웨어(spamware)
④ 피싱(phishing)
⑤ 파밍(pharming)</v>
      </c>
      <c r="F71" s="31">
        <f>IFERROR(VLOOKUP(C71,기출문제!D:G,4,0),"")</f>
        <v>2</v>
      </c>
      <c r="G71" s="32" t="str">
        <f t="shared" si="0"/>
        <v>O</v>
      </c>
    </row>
    <row r="72" spans="2:7" ht="114" x14ac:dyDescent="0.3">
      <c r="B72" s="13">
        <v>65</v>
      </c>
      <c r="C72" s="14" t="s">
        <v>904</v>
      </c>
      <c r="D72" s="13">
        <v>3</v>
      </c>
      <c r="E72" s="15" t="str">
        <f>IFERROR(VLOOKUP(C72,기출문제!D:G,3,0),"")</f>
        <v>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v>
      </c>
      <c r="F72" s="31">
        <f>IFERROR(VLOOKUP(C72,기출문제!D:G,4,0),"")</f>
        <v>3</v>
      </c>
      <c r="G72" s="32" t="str">
        <f t="shared" si="0"/>
        <v>O</v>
      </c>
    </row>
    <row r="73" spans="2:7" ht="85.5" x14ac:dyDescent="0.3">
      <c r="B73" s="13">
        <v>66</v>
      </c>
      <c r="C73" s="14" t="s">
        <v>611</v>
      </c>
      <c r="D73" s="13">
        <v>1</v>
      </c>
      <c r="E73" s="15" t="str">
        <f>IFERROR(VLOOKUP(C73,기출문제!D:G,3,0),"")</f>
        <v>101. 프랜차이즈(franchise)에 관한 설명으로 옳지 않은 것은?
① 가맹점은 운영측면에서 개인점포에 비해 자율성이 높다.
② 가맹본부의 사업확장이 용이하다.
③ 가맹점은 인지도가 있는 브랜드와 상품으로 사업을 시작할 수 있다.
④ 가맹점은 가맹본부로부터 경영지도와 지원을 받을 수 있다.
⑤ 가맹점은 프랜차이즈 비용이 부담이 될 수 있다.</v>
      </c>
      <c r="F73" s="31">
        <f>IFERROR(VLOOKUP(C73,기출문제!D:G,4,0),"")</f>
        <v>1</v>
      </c>
      <c r="G73" s="32" t="str">
        <f t="shared" ref="G73:G136" si="1">IF(D73="","",IF(D73=F73,"O", "X"))</f>
        <v>O</v>
      </c>
    </row>
    <row r="74" spans="2:7" ht="85.5" x14ac:dyDescent="0.3">
      <c r="B74" s="13">
        <v>67</v>
      </c>
      <c r="C74" s="14" t="s">
        <v>905</v>
      </c>
      <c r="D74" s="13">
        <v>2</v>
      </c>
      <c r="E74" s="15" t="str">
        <f>IFERROR(VLOOKUP(C74,기출문제!D:G,3,0),"")</f>
        <v>102. 앤소프(H. I. Ansoff)의 제품- 시장 확장전략 중 기존 제품으로 기존 시장의 점유율을 확대해 가는 전략은?
① 원가우위 전략 
② 시장침투 전략 
③ 시장개발 전략
④ 제품개발 전략 
⑤ 다각화 전략</v>
      </c>
      <c r="F74" s="31">
        <f>IFERROR(VLOOKUP(C74,기출문제!D:G,4,0),"")</f>
        <v>2</v>
      </c>
      <c r="G74" s="32" t="str">
        <f t="shared" si="1"/>
        <v>O</v>
      </c>
    </row>
    <row r="75" spans="2:7" ht="85.5" x14ac:dyDescent="0.3">
      <c r="B75" s="13">
        <v>68</v>
      </c>
      <c r="C75" s="14" t="s">
        <v>906</v>
      </c>
      <c r="D75" s="13">
        <v>3</v>
      </c>
      <c r="E75" s="15" t="str">
        <f>IFERROR(VLOOKUP(C75,기출문제!D:G,3,0),"")</f>
        <v>103. 포터(M. Porter)의 산업구조분석 모형에서, 소비자 관점의 사용용도가 유사한 다른 제품을 고려하는 경쟁분석의 요소는?
① 산업내 기존 경쟁업체간 경쟁 
② 잠재적 경쟁자의 진입 가능성
③ 대체재의 위협 
④ 공급자의 교섭력
⑤ 구매자의 교섭력</v>
      </c>
      <c r="F75" s="31">
        <f>IFERROR(VLOOKUP(C75,기출문제!D:G,4,0),"")</f>
        <v>3</v>
      </c>
      <c r="G75" s="32" t="str">
        <f t="shared" si="1"/>
        <v>O</v>
      </c>
    </row>
    <row r="76" spans="2:7" ht="85.5" x14ac:dyDescent="0.3">
      <c r="B76" s="13">
        <v>69</v>
      </c>
      <c r="C76" s="14" t="s">
        <v>907</v>
      </c>
      <c r="D76" s="13">
        <v>5</v>
      </c>
      <c r="E76" s="15" t="str">
        <f>IFERROR(VLOOKUP(C76,기출문제!D:G,3,0),"")</f>
        <v>104. 직무스트레스에 관한 설명으로 옳지 않은 것은?
① 직무스트레스의 잠재적 원인으로는 환경요인, 조직적 요인, 개인적 요인이 존재한다.
② 직무스트레스 원인과 경험된 스트레스 간에 조정변수가 존재한다.
③ 사회적 지지는 직무스트레스의 조정변수이다.
④ 직무스트레스 결과로는 생리적 증상, 심리적 증상, 행동적 증상이 있다.
⑤ 직무스트레스와 직무성과간의 관계는 U자형으로 나타난다.</v>
      </c>
      <c r="F76" s="31">
        <f>IFERROR(VLOOKUP(C76,기출문제!D:G,4,0),"")</f>
        <v>5</v>
      </c>
      <c r="G76" s="32" t="str">
        <f t="shared" si="1"/>
        <v>O</v>
      </c>
    </row>
    <row r="77" spans="2:7" ht="85.5" x14ac:dyDescent="0.3">
      <c r="B77" s="13">
        <v>70</v>
      </c>
      <c r="C77" s="14" t="s">
        <v>908</v>
      </c>
      <c r="D77" s="13">
        <v>5</v>
      </c>
      <c r="E77" s="15" t="str">
        <f>IFERROR(VLOOKUP(C77,기출문제!D:G,3,0),"")</f>
        <v>105. 메이요(E. Mayo)의 호손실험 중 배선작업 실험에 관한 설명으로 옳지 않은 것은?
① 작업자를 둘러싸고 있는 사회적 요인들이 작업능률에 미치는 영향을 파악하였다.
② 생산현장에서 비공식조직을 확인하였다.
③ 비공식조직이 작업능률에 영향을 미치는 것을 발견하였다.
④ 관찰연구를 통해 진행되었다.
⑤ 경제적 욕구의 중요성을 재확인하였다.</v>
      </c>
      <c r="F77" s="31">
        <f>IFERROR(VLOOKUP(C77,기출문제!D:G,4,0),"")</f>
        <v>5</v>
      </c>
      <c r="G77" s="32" t="str">
        <f t="shared" si="1"/>
        <v>O</v>
      </c>
    </row>
    <row r="78" spans="2:7" ht="156.75" x14ac:dyDescent="0.3">
      <c r="B78" s="13">
        <v>71</v>
      </c>
      <c r="C78" s="14" t="s">
        <v>909</v>
      </c>
      <c r="D78" s="13">
        <v>0</v>
      </c>
      <c r="E78" s="15" t="str">
        <f>IFERROR(VLOOKUP(C78,기출문제!D:G,3,0),"")</f>
        <v>106. 조직설계의 상황변수에 해당하는 것을 모두 고른 것은?
ㄱ. 복잡성
ㄴ. 전략
ㄷ. 공식화
ㄹ. 기술
ㅁ. 규모
① ㄱ, ㄴ, ㄷ 
② ㄱ, ㄴ, ㄹ 
③ ㄱ, ㄷ, ㅁ 
④ ㄴ, ㄹ, ㅁ 
⑤ ㄷ, ㄹ, ㅁ</v>
      </c>
      <c r="F78" s="31">
        <f>IFERROR(VLOOKUP(C78,기출문제!D:G,4,0),"")</f>
        <v>4</v>
      </c>
      <c r="G78" s="32" t="str">
        <f t="shared" si="1"/>
        <v>X</v>
      </c>
    </row>
    <row r="79" spans="2:7" ht="142.5" x14ac:dyDescent="0.3">
      <c r="B79" s="13">
        <v>72</v>
      </c>
      <c r="C79" s="14" t="s">
        <v>910</v>
      </c>
      <c r="D79" s="13">
        <v>4</v>
      </c>
      <c r="E79" s="15" t="str">
        <f>IFERROR(VLOOKUP(C79,기출문제!D:G,3,0),"")</f>
        <v>107. 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
① ㄱ, ㄴ 
② ㄱ, ㄷ 
③ ㄴ, ㄷ 
④ ㄴ, ㄹ 
⑤ ㄷ, ㄹ</v>
      </c>
      <c r="F79" s="31">
        <f>IFERROR(VLOOKUP(C79,기출문제!D:G,4,0),"")</f>
        <v>4</v>
      </c>
      <c r="G79" s="32" t="str">
        <f t="shared" si="1"/>
        <v>O</v>
      </c>
    </row>
    <row r="80" spans="2:7" ht="128.25" x14ac:dyDescent="0.3">
      <c r="B80" s="13">
        <v>73</v>
      </c>
      <c r="C80" s="14" t="s">
        <v>911</v>
      </c>
      <c r="D80" s="13">
        <v>4</v>
      </c>
      <c r="E80" s="15" t="str">
        <f>IFERROR(VLOOKUP(C80,기출문제!D:G,3,0),"")</f>
        <v>108. 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
① 자원의존 이론 
② 제도화 이론 
③ 학습조직 이론
④ 조직군 생태학 이론 
⑤ 거래비용 이론</v>
      </c>
      <c r="F80" s="31">
        <f>IFERROR(VLOOKUP(C80,기출문제!D:G,4,0),"")</f>
        <v>4</v>
      </c>
      <c r="G80" s="32" t="str">
        <f t="shared" si="1"/>
        <v>O</v>
      </c>
    </row>
    <row r="81" spans="2:7" ht="85.5" x14ac:dyDescent="0.3">
      <c r="B81" s="13">
        <v>74</v>
      </c>
      <c r="C81" s="14" t="s">
        <v>912</v>
      </c>
      <c r="D81" s="13">
        <v>4</v>
      </c>
      <c r="E81" s="15" t="str">
        <f>IFERROR(VLOOKUP(C81,기출문제!D:G,3,0),"")</f>
        <v>109. 직무분석에 관한 설명으로 옳은 것은?
① 직무의 내용을 체계적으로 정리하여 직무명세서를 작성한다.
② 직무수행자에게 요구되는 자격요건을 정리하여 직무기술서를 작성한다.
③ 직무분석과 인력확보를 연계하는 것은 타당하지 않다.
④ 직무분석은 작업장의 안전사고 예방에 도움이 된다.
⑤ 직무분석은 직무평가 결과를 토대로 실시한다.</v>
      </c>
      <c r="F81" s="31">
        <f>IFERROR(VLOOKUP(C81,기출문제!D:G,4,0),"")</f>
        <v>4</v>
      </c>
      <c r="G81" s="32" t="str">
        <f t="shared" si="1"/>
        <v>O</v>
      </c>
    </row>
    <row r="82" spans="2:7" ht="85.5" x14ac:dyDescent="0.3">
      <c r="B82" s="13">
        <v>75</v>
      </c>
      <c r="C82" s="14" t="s">
        <v>913</v>
      </c>
      <c r="D82" s="13">
        <v>4</v>
      </c>
      <c r="E82" s="15" t="str">
        <f>IFERROR(VLOOKUP(C82,기출문제!D:G,3,0),"")</f>
        <v>110. 스캔론 플랜(Scanlon Plan)에 관한 설명으로 옳지 않은 것은?
① 기업이 창출한 부가가치를 기준으로 성과급을 산정한다.
② 집단성과급제도이다.
③ 생산제품의 판매가치와 인건비의 관계에서 배분액을 결정한다.
④ 실제인건비가 표준인건비보다 적을 때 그 차액을 보너스로 배분한다.
⑤ 산출된 보너스액 중 일정액을 적립한 후 종업원분과 회사분으로 배분한다.</v>
      </c>
      <c r="F82" s="31">
        <f>IFERROR(VLOOKUP(C82,기출문제!D:G,4,0),"")</f>
        <v>1</v>
      </c>
      <c r="G82" s="32" t="str">
        <f t="shared" si="1"/>
        <v>X</v>
      </c>
    </row>
    <row r="83" spans="2:7" ht="85.5" x14ac:dyDescent="0.3">
      <c r="B83" s="13">
        <v>76</v>
      </c>
      <c r="C83" s="14" t="s">
        <v>914</v>
      </c>
      <c r="D83" s="13">
        <v>5</v>
      </c>
      <c r="E83" s="15" t="str">
        <f>IFERROR(VLOOKUP(C83,기출문제!D:G,3,0),"")</f>
        <v>111. 기존 브랜드명을 새로운 제품범주의 신제품에 사용하는 것은?
① 공동 브랜딩(co - branding) 
② 복수 브랜딩(multi - branding)
③ 신규 브랜드(new brand) 
④ 라인 확장(line extension)
⑤ 브랜드 확장(brand extension)</v>
      </c>
      <c r="F83" s="31">
        <f>IFERROR(VLOOKUP(C83,기출문제!D:G,4,0),"")</f>
        <v>5</v>
      </c>
      <c r="G83" s="32" t="str">
        <f t="shared" si="1"/>
        <v>O</v>
      </c>
    </row>
    <row r="84" spans="2:7" ht="85.5" x14ac:dyDescent="0.3">
      <c r="B84" s="13">
        <v>77</v>
      </c>
      <c r="C84" s="14" t="s">
        <v>915</v>
      </c>
      <c r="D84" s="13">
        <v>0</v>
      </c>
      <c r="E84" s="15" t="str">
        <f>IFERROR(VLOOKUP(C84,기출문제!D:G,3,0),"")</f>
        <v>112. 제품의 기본가격을 조정하여 세분시장별로 가격을 달리하는 가격결정이 아닌 것은?
① 고객집단 가격결정 
② 묶음제품 가격결정 
③ 제품형태 가격결정
④ 입지 가격결정 
⑤ 시간 가격결정</v>
      </c>
      <c r="F84" s="31">
        <f>IFERROR(VLOOKUP(C84,기출문제!D:G,4,0),"")</f>
        <v>2</v>
      </c>
      <c r="G84" s="32" t="str">
        <f t="shared" si="1"/>
        <v>X</v>
      </c>
    </row>
    <row r="85" spans="2:7" ht="85.5" x14ac:dyDescent="0.3">
      <c r="B85" s="13">
        <v>78</v>
      </c>
      <c r="C85" s="14" t="s">
        <v>916</v>
      </c>
      <c r="D85" s="13">
        <v>2</v>
      </c>
      <c r="E85" s="15" t="str">
        <f>IFERROR(VLOOKUP(C85,기출문제!D:G,3,0),"")</f>
        <v>113. 새로운 마케팅 기회를 확보하기 위해 동일한 유통경로 단계에 있는 둘 이상의 기업이 제휴하는 시스템은?
① 혁신 마케팅시스템 
② 수평적 마케팅시스템
③ 계약형 수직적 마케팅시스템 
④ 관리형 수직적 마케팅시스템
⑤ 기업형 수직적 마케팅시스템</v>
      </c>
      <c r="F85" s="31">
        <f>IFERROR(VLOOKUP(C85,기출문제!D:G,4,0),"")</f>
        <v>2</v>
      </c>
      <c r="G85" s="32" t="str">
        <f t="shared" si="1"/>
        <v>O</v>
      </c>
    </row>
    <row r="86" spans="2:7" ht="142.5" x14ac:dyDescent="0.3">
      <c r="B86" s="13">
        <v>79</v>
      </c>
      <c r="C86" s="14" t="s">
        <v>917</v>
      </c>
      <c r="D86" s="13">
        <v>2</v>
      </c>
      <c r="E86" s="15" t="str">
        <f>IFERROR(VLOOKUP(C86,기출문제!D:G,3,0),"")</f>
        <v>114. 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
① ㄱ, ㄴ 
② ㄱ, ㄷ 
③ ㄱ, ㄹ 
④ ㄴ, ㄷ 
⑤ ㄷ, ㄹ</v>
      </c>
      <c r="F86" s="31">
        <f>IFERROR(VLOOKUP(C86,기출문제!D:G,4,0),"")</f>
        <v>2</v>
      </c>
      <c r="G86" s="32" t="str">
        <f t="shared" si="1"/>
        <v>O</v>
      </c>
    </row>
    <row r="87" spans="2:7" ht="85.5" x14ac:dyDescent="0.3">
      <c r="B87" s="13">
        <v>80</v>
      </c>
      <c r="C87" s="14" t="s">
        <v>918</v>
      </c>
      <c r="D87" s="13">
        <v>4</v>
      </c>
      <c r="E87" s="15" t="str">
        <f>IFERROR(VLOOKUP(C87,기출문제!D:G,3,0),"")</f>
        <v>115. 재무상태표의 자산 항목에 해당하지 않는 것은?
① 미수금 
② 단기대여금 
③ 선급금 
④ 이익준비금 
⑤ 선급비용</v>
      </c>
      <c r="F87" s="31">
        <f>IFERROR(VLOOKUP(C87,기출문제!D:G,4,0),"")</f>
        <v>4</v>
      </c>
      <c r="G87" s="32" t="str">
        <f t="shared" si="1"/>
        <v>O</v>
      </c>
    </row>
    <row r="88" spans="2:7" ht="85.5" x14ac:dyDescent="0.3">
      <c r="B88" s="13">
        <v>81</v>
      </c>
      <c r="C88" s="14" t="s">
        <v>919</v>
      </c>
      <c r="D88" s="13">
        <v>0</v>
      </c>
      <c r="E88" s="15" t="str">
        <f>IFERROR(VLOOKUP(C88,기출문제!D:G,3,0),"")</f>
        <v>116. 투자안의 경제성 평가 방법에 관한 설명으로 옳은 것은?
① 회계적이익률법의 회계적이익률은 연평균 영업이익을 연평균 매출액으로 나누어 산출한다.
② 회수기간법은 회수기간 이후의 현금흐름을 고려한다.
③ 순현재가치법은 재투자수익률을 내부수익률로 가정한다.
④ 내부수익률법에서 개별투자안의 경우 내부수익률이 0보다 크면 경제성이 있다.
⑤ 수익성지수법에서 개별투자안의 경우 수익성 지수가 1보다 크면 경제성이 있다.</v>
      </c>
      <c r="F88" s="31">
        <f>IFERROR(VLOOKUP(C88,기출문제!D:G,4,0),"")</f>
        <v>5</v>
      </c>
      <c r="G88" s="32" t="str">
        <f t="shared" si="1"/>
        <v>X</v>
      </c>
    </row>
    <row r="89" spans="2:7" ht="99.75" x14ac:dyDescent="0.3">
      <c r="B89" s="13">
        <v>82</v>
      </c>
      <c r="C89" s="14" t="s">
        <v>920</v>
      </c>
      <c r="D89" s="13">
        <v>0</v>
      </c>
      <c r="E89" s="15" t="str">
        <f>IFERROR(VLOOKUP(C89,기출문제!D:G,3,0),"")</f>
        <v>117. A주식에 대한 분산은 0.06이고, B주식에 대한 분산은 0.08이다. A주식의 수익률과 B주식의 수익률간의 상관계수가 0인 경우, 총 투자자금 중 A주식과 B주식에 절반씩 투자한 포트폴리오의 분산은?
① 0.025 
② 0.035 
③ 0.045 
④ 0.055 
⑤ 0.065</v>
      </c>
      <c r="F89" s="31">
        <f>IFERROR(VLOOKUP(C89,기출문제!D:G,4,0),"")</f>
        <v>2</v>
      </c>
      <c r="G89" s="32" t="str">
        <f t="shared" si="1"/>
        <v>X</v>
      </c>
    </row>
    <row r="90" spans="2:7" ht="85.5" x14ac:dyDescent="0.3">
      <c r="B90" s="13">
        <v>83</v>
      </c>
      <c r="C90" s="14" t="s">
        <v>921</v>
      </c>
      <c r="D90" s="13">
        <v>4</v>
      </c>
      <c r="E90" s="15" t="str">
        <f>IFERROR(VLOOKUP(C90,기출문제!D:G,3,0),"")</f>
        <v>118. 경제적 주문량(EOQ)에 관한 설명으로 옳지 않은 것은?
① 연간 재고유지비용과 연간 주문비용의 합이 최소화되는 주문량을 결정하는 것이다.
② 연간 재고유지비용과 연간 주문비용이 같아지는 지점에서 결정된다.
③ 연간 주문비용이 감소하면 경제적 주문량이 감소한다.
④ 연간 재고유지비용이 감소하면 경제적 주문량이 감소한다.
⑤ 연간 수요량이 증가하면 경제적 주문량이 증가한다.</v>
      </c>
      <c r="F90" s="31">
        <f>IFERROR(VLOOKUP(C90,기출문제!D:G,4,0),"")</f>
        <v>4</v>
      </c>
      <c r="G90" s="32" t="str">
        <f t="shared" si="1"/>
        <v>O</v>
      </c>
    </row>
    <row r="91" spans="2:7" ht="85.5" x14ac:dyDescent="0.3">
      <c r="B91" s="13">
        <v>84</v>
      </c>
      <c r="C91" s="14" t="s">
        <v>922</v>
      </c>
      <c r="D91" s="13">
        <v>1</v>
      </c>
      <c r="E91" s="15" t="str">
        <f>IFERROR(VLOOKUP(C91,기출문제!D:G,3,0),"")</f>
        <v>119. 생산 프로세스에서 낭비를 제거하여 부가가치를 극대화하기 위한 것은?
① 린(lean) 생산 
② 자재소요계획(MRP)
③ 장인생산(craft production) 
④ 대량고객화(mass customization)
⑤ 오프쇼오링(off - shoring)</v>
      </c>
      <c r="F91" s="31">
        <f>IFERROR(VLOOKUP(C91,기출문제!D:G,4,0),"")</f>
        <v>1</v>
      </c>
      <c r="G91" s="32" t="str">
        <f t="shared" si="1"/>
        <v>O</v>
      </c>
    </row>
    <row r="92" spans="2:7" ht="156.75" x14ac:dyDescent="0.3">
      <c r="B92" s="13">
        <v>85</v>
      </c>
      <c r="C92" s="14" t="s">
        <v>923</v>
      </c>
      <c r="D92" s="13">
        <v>0</v>
      </c>
      <c r="E92" s="15" t="str">
        <f>IFERROR(VLOOKUP(C92,기출문제!D:G,3,0),"")</f>
        <v>120. (주)한국의 4개월간 제품 실제 수요량과 예측치가 다음과 같다고 할 때, 평균절대오차(MAD)는?
월(t) 실제 수요량(  ) 예측치(  )
1월   200개             225개
2월   240개             220개
3월   300개             285개
4월   270개             290개
① 2.5 
② 10 
③ 20 
④ 412.5 
⑤ 1650</v>
      </c>
      <c r="F92" s="31">
        <f>IFERROR(VLOOKUP(C92,기출문제!D:G,4,0),"")</f>
        <v>3</v>
      </c>
      <c r="G92" s="32" t="str">
        <f t="shared" si="1"/>
        <v>X</v>
      </c>
    </row>
    <row r="93" spans="2:7" ht="85.5" x14ac:dyDescent="0.3">
      <c r="B93" s="13">
        <v>86</v>
      </c>
      <c r="C93" s="14" t="s">
        <v>924</v>
      </c>
      <c r="D93" s="13">
        <v>0</v>
      </c>
      <c r="E93" s="15" t="str">
        <f>IFERROR(VLOOKUP(C93,기출문제!D:G,3,0),"")</f>
        <v>121. 서비스 품질평가에 사용되는 SERVQUAL 모형의 서비스 차원이 아닌 것은?
① 유형성(tangibles) 
② 신뢰성(reliability) 
③ 반응성(responsiveness)
④ 공감성(empathy) 
⑤ 소멸성(perishability)</v>
      </c>
      <c r="F93" s="31">
        <f>IFERROR(VLOOKUP(C93,기출문제!D:G,4,0),"")</f>
        <v>5</v>
      </c>
      <c r="G93" s="32" t="str">
        <f t="shared" si="1"/>
        <v>X</v>
      </c>
    </row>
    <row r="94" spans="2:7" ht="142.5" x14ac:dyDescent="0.3">
      <c r="B94" s="13">
        <v>87</v>
      </c>
      <c r="C94" s="14" t="s">
        <v>925</v>
      </c>
      <c r="D94" s="13">
        <v>0</v>
      </c>
      <c r="E94" s="15" t="str">
        <f>IFERROR(VLOOKUP(C94,기출문제!D:G,3,0),"")</f>
        <v>122. 다음의 주어진 자료를 이용하여 산출한 기말자본액은?
&lt;자료&gt;
기초자산 : 380,000원, 기초부채 : 180,000원
당기 중 유상증자 : 80,000원, 당기 중 현금배당 : 40,000원
당기순이익 : 100,000원
① 260,000원 
② 300,000원 
③ 340,000원 
④ 380,000원 
⑤ 420,000원</v>
      </c>
      <c r="F94" s="31">
        <f>IFERROR(VLOOKUP(C94,기출문제!D:G,4,0),"")</f>
        <v>3</v>
      </c>
      <c r="G94" s="32" t="str">
        <f t="shared" si="1"/>
        <v>X</v>
      </c>
    </row>
    <row r="95" spans="2:7" ht="85.5" x14ac:dyDescent="0.3">
      <c r="B95" s="13">
        <v>88</v>
      </c>
      <c r="C95" s="14" t="s">
        <v>926</v>
      </c>
      <c r="D95" s="13">
        <v>3</v>
      </c>
      <c r="E95" s="15" t="str">
        <f>IFERROR(VLOOKUP(C95,기출문제!D:G,3,0),"")</f>
        <v>123. 회계거래 분개에 관한 설명으로 옳은 것은?
① 매입채무의 증가는 차변에 기록한다. 
② 장기대여금의 증가는 대변에 기록한다.
③ 자본금의 감소는 차변에 기록한다. 
④ 임대료 수익의 발생은 차변에 기록한다.
⑤ 급여의 지급은 대변에 기록한다.</v>
      </c>
      <c r="F95" s="31">
        <f>IFERROR(VLOOKUP(C95,기출문제!D:G,4,0),"")</f>
        <v>3</v>
      </c>
      <c r="G95" s="32" t="str">
        <f t="shared" si="1"/>
        <v>O</v>
      </c>
    </row>
    <row r="96" spans="2:7" ht="85.5" x14ac:dyDescent="0.3">
      <c r="B96" s="13">
        <v>89</v>
      </c>
      <c r="C96" s="14" t="s">
        <v>927</v>
      </c>
      <c r="D96" s="13">
        <v>5</v>
      </c>
      <c r="E96" s="15" t="str">
        <f>IFERROR(VLOOKUP(C96,기출문제!D:G,3,0),"")</f>
        <v>124. 컴퓨터, 저장장치, 애플리케이션, 서비스 등과 같은 컴퓨팅 자원의 공유된 풀(pool)을 인터넷으로 접근할 수 있게 해주는 것은?
① 클라이언트/서버 컴퓨팅(client/server computing)
② 엔터프라이즈 컴퓨팅(enterprise computing)
③ 온프레미스 컴퓨팅(on - premise computing)
④ 그린 컴퓨팅(green computing)
⑤ 클라우드 컴퓨팅(cloud computing)</v>
      </c>
      <c r="F96" s="31">
        <f>IFERROR(VLOOKUP(C96,기출문제!D:G,4,0),"")</f>
        <v>5</v>
      </c>
      <c r="G96" s="32" t="str">
        <f t="shared" si="1"/>
        <v>O</v>
      </c>
    </row>
    <row r="97" spans="2:7" ht="85.5" x14ac:dyDescent="0.3">
      <c r="B97" s="13">
        <v>90</v>
      </c>
      <c r="C97" s="14" t="s">
        <v>928</v>
      </c>
      <c r="D97" s="13">
        <v>3</v>
      </c>
      <c r="E97" s="15" t="str">
        <f>IFERROR(VLOOKUP(C97,기출문제!D:G,3,0),"")</f>
        <v>125. 특정기업의 이메일로 위장한 메일을 불특정 다수에게 발송하여 권한 없이 데이터를 획득하는 방식은?
① 파밍(pharming)
② 스니핑(sniffing)
③ 피싱(phishing)
④ 서비스 거부 공격(denial - of - service attack)
⑤ 웜(worm)</v>
      </c>
      <c r="F97" s="31">
        <f>IFERROR(VLOOKUP(C97,기출문제!D:G,4,0),"")</f>
        <v>3</v>
      </c>
      <c r="G97" s="32" t="str">
        <f t="shared" si="1"/>
        <v>O</v>
      </c>
    </row>
    <row r="98" spans="2:7" ht="85.5" x14ac:dyDescent="0.3">
      <c r="B98" s="13">
        <v>91</v>
      </c>
      <c r="C98" s="14" t="s">
        <v>50</v>
      </c>
      <c r="D98" s="13">
        <v>4</v>
      </c>
      <c r="E98" s="15" t="str">
        <f>IFERROR(VLOOKUP(C98,기출문제!D:G,3,0),"")</f>
        <v>101. 페이욜(H. Fayol)의 일반적 관리원칙에 해당하지 않는 것은?
① 지휘의 통일성
② 직무의 분업화
③ 보상의 공정성
④ 조직의 분권화
⑤ 권한과 책임의 일치</v>
      </c>
      <c r="F98" s="31">
        <f>IFERROR(VLOOKUP(C98,기출문제!D:G,4,0),"")</f>
        <v>4</v>
      </c>
      <c r="G98" s="32" t="str">
        <f t="shared" si="1"/>
        <v>O</v>
      </c>
    </row>
    <row r="99" spans="2:7" ht="128.25" x14ac:dyDescent="0.3">
      <c r="B99" s="13">
        <v>92</v>
      </c>
      <c r="C99" s="14" t="s">
        <v>929</v>
      </c>
      <c r="D99" s="13">
        <v>4</v>
      </c>
      <c r="E99" s="15" t="str">
        <f>IFERROR(VLOOKUP(C99,기출문제!D:G,3,0),"")</f>
        <v>102. 다음의 특성에 해당되는 기업집중 형태는?
○ 주식 소유, 금융적 방법 등에 의한 결합
○ 외형상으로 독립성이 유지되지만 실질적으로는 종속관계
○ 모회사와 자회사 형태로 존재
① 카르텔(cartel)
② 콤비나트(combinat)
③ 트러스트(trust)
④ 콘체른(concern)
⑤ 디베스티처(divestiture)</v>
      </c>
      <c r="F99" s="31">
        <f>IFERROR(VLOOKUP(C99,기출문제!D:G,4,0),"")</f>
        <v>4</v>
      </c>
      <c r="G99" s="32" t="str">
        <f t="shared" si="1"/>
        <v>O</v>
      </c>
    </row>
    <row r="100" spans="2:7" ht="85.5" x14ac:dyDescent="0.3">
      <c r="B100" s="13">
        <v>93</v>
      </c>
      <c r="C100" s="14" t="s">
        <v>930</v>
      </c>
      <c r="D100" s="13">
        <v>1</v>
      </c>
      <c r="E100" s="15" t="str">
        <f>IFERROR(VLOOKUP(C100,기출문제!D:G,3,0),"")</f>
        <v>103. 캐롤(B. A. Carrol)의 피라미드 모형에서 제시된 기업의 사회적 책임의 단계로 옳은 것은?
① 경제적 책임 → 법적 책임 → 윤리적 책임 → 자선적 책임
② 경제적 책임 → 윤리적 책임 → 법적 책임 → 자선적 책임
③ 경제적 책임 → 자선적 책임 → 윤리적 책임 → 법적 책임
④ 경제적 책임 → 법적 책임 → 자선적 책임 → 윤리적 책임
⑤ 경제적 책임 → 윤리적 책임 → 자선적 책임 → 법적 책임</v>
      </c>
      <c r="F100" s="31">
        <f>IFERROR(VLOOKUP(C100,기출문제!D:G,4,0),"")</f>
        <v>1</v>
      </c>
      <c r="G100" s="32" t="str">
        <f t="shared" si="1"/>
        <v>O</v>
      </c>
    </row>
    <row r="101" spans="2:7" ht="85.5" x14ac:dyDescent="0.3">
      <c r="B101" s="13">
        <v>94</v>
      </c>
      <c r="C101" s="14" t="s">
        <v>931</v>
      </c>
      <c r="D101" s="13">
        <v>1</v>
      </c>
      <c r="E101" s="15" t="str">
        <f>IFERROR(VLOOKUP(C101,기출문제!D:G,3,0),"")</f>
        <v>104. GE/ 맥킨지 매트릭스(GE/McKinsey matrix)에서 전략적 사업부를 분류하기 위한 두 기준은? 
① 산업매력도 - 사업단위 위치(경쟁력)
② 시장성장률 - 시장점유율
③ 산업매력도 - 시장성장률
④ 사업단위 위치(경쟁력) - 시장점유율
⑤ 시장점유율 - 가격경쟁력</v>
      </c>
      <c r="F101" s="31">
        <f>IFERROR(VLOOKUP(C101,기출문제!D:G,4,0),"")</f>
        <v>1</v>
      </c>
      <c r="G101" s="32" t="str">
        <f t="shared" si="1"/>
        <v>O</v>
      </c>
    </row>
    <row r="102" spans="2:7" ht="85.5" x14ac:dyDescent="0.3">
      <c r="B102" s="13">
        <v>95</v>
      </c>
      <c r="C102" s="14" t="s">
        <v>932</v>
      </c>
      <c r="D102" s="13">
        <v>3</v>
      </c>
      <c r="E102" s="15" t="str">
        <f>IFERROR(VLOOKUP(C102,기출문제!D:G,3,0),"")</f>
        <v>105. 허츠버그(F. Herzberg)의 2요인이론에서 위생요인에 해당하는 것은? 
① 성취감
② 도전감
③ 임금
④ 성장가능성
⑤ 직무내용</v>
      </c>
      <c r="F102" s="31">
        <f>IFERROR(VLOOKUP(C102,기출문제!D:G,4,0),"")</f>
        <v>3</v>
      </c>
      <c r="G102" s="32" t="str">
        <f t="shared" si="1"/>
        <v>O</v>
      </c>
    </row>
    <row r="103" spans="2:7" ht="85.5" x14ac:dyDescent="0.3">
      <c r="B103" s="13">
        <v>96</v>
      </c>
      <c r="C103" s="14" t="s">
        <v>933</v>
      </c>
      <c r="D103" s="13">
        <v>5</v>
      </c>
      <c r="E103" s="15" t="str">
        <f>IFERROR(VLOOKUP(C103,기출문제!D:G,3,0),"")</f>
        <v>106. 전통적 직무설계와 관련 없는 것은?
① 분업
② 과학적 관리
③ 전문화
④ 표준화
⑤ 직무순환</v>
      </c>
      <c r="F103" s="31">
        <f>IFERROR(VLOOKUP(C103,기출문제!D:G,4,0),"")</f>
        <v>5</v>
      </c>
      <c r="G103" s="32" t="str">
        <f t="shared" si="1"/>
        <v>O</v>
      </c>
    </row>
    <row r="104" spans="2:7" ht="85.5" x14ac:dyDescent="0.3">
      <c r="B104" s="13">
        <v>97</v>
      </c>
      <c r="C104" s="14" t="s">
        <v>934</v>
      </c>
      <c r="D104" s="13">
        <v>3</v>
      </c>
      <c r="E104" s="15" t="str">
        <f>IFERROR(VLOOKUP(C104,기출문제!D:G,3,0),"")</f>
        <v>107. 인사평가의 분배적 오류에 해당하는 것은?
① 후광효과
② 상동적 태도
③ 관대화 경향
④ 대비오류
⑤ 확증편향</v>
      </c>
      <c r="F104" s="31">
        <f>IFERROR(VLOOKUP(C104,기출문제!D:G,4,0),"")</f>
        <v>3</v>
      </c>
      <c r="G104" s="32" t="str">
        <f t="shared" si="1"/>
        <v>O</v>
      </c>
    </row>
    <row r="105" spans="2:7" ht="99.75" x14ac:dyDescent="0.3">
      <c r="B105" s="13">
        <v>98</v>
      </c>
      <c r="C105" s="14" t="s">
        <v>935</v>
      </c>
      <c r="D105" s="13">
        <v>5</v>
      </c>
      <c r="E105" s="15" t="str">
        <f>IFERROR(VLOOKUP(C105,기출문제!D:G,3,0),"")</f>
        <v>108. 교육참가자들이 소규모 집단을 구성하여 팀워크로 경영상의 실제 문제를 해결하도록 하여 문제해결과정에 대한 성찰을 통해 학습하게 하는 교육방식은?
① Team Learning
② Organizational Learning
③ Problem Based Learning
④ Blended Learning
⑤ Action Learning</v>
      </c>
      <c r="F105" s="31">
        <f>IFERROR(VLOOKUP(C105,기출문제!D:G,4,0),"")</f>
        <v>5</v>
      </c>
      <c r="G105" s="32" t="str">
        <f t="shared" si="1"/>
        <v>O</v>
      </c>
    </row>
    <row r="106" spans="2:7" ht="85.5" x14ac:dyDescent="0.3">
      <c r="B106" s="13">
        <v>99</v>
      </c>
      <c r="C106" s="14" t="s">
        <v>936</v>
      </c>
      <c r="D106" s="13">
        <v>3</v>
      </c>
      <c r="E106" s="15" t="str">
        <f>IFERROR(VLOOKUP(C106,기출문제!D:G,3,0),"")</f>
        <v>109. 마키아벨리즘(Machiavellism)에 관한 설명으로 옳지 않은 것은?
① 마키아벨리즘은 자신의 이익을 위해 타인을 이용하고 조작하려는 성향이다.
② 마키아벨리즘이 높은 사람은 감정적 거리를 잘 유지한다.
③ 마키아벨리즘이 높은 사람은 남을 잘 설득하며 자신도 잘 설득된다.
④ 마키아벨리즘이 높은 사람은 최소한의 규정과 재량권이 있을 때 높은 성과를 보이는 경향이 있다.
⑤ 마키아벨리즘이 높은 사람은 목적이 수단을 정당화시킬 수 있다고 믿는 경향이 있다.</v>
      </c>
      <c r="F106" s="31">
        <f>IFERROR(VLOOKUP(C106,기출문제!D:G,4,0),"")</f>
        <v>3</v>
      </c>
      <c r="G106" s="32" t="str">
        <f t="shared" si="1"/>
        <v>O</v>
      </c>
    </row>
    <row r="107" spans="2:7" ht="156.75" x14ac:dyDescent="0.3">
      <c r="B107" s="13">
        <v>100</v>
      </c>
      <c r="C107" s="14" t="s">
        <v>937</v>
      </c>
      <c r="D107" s="13">
        <v>3</v>
      </c>
      <c r="E107" s="15" t="str">
        <f>IFERROR(VLOOKUP(C107,기출문제!D:G,3,0),"")</f>
        <v>110. 조직으로부터 나오는 권력을 모두 고른 것은?
ㄱ. 보상적 권력
ㄴ. 전문적 권력
ㄷ. 합법적 권력
ㄹ. 준거적 권력
ㅁ. 강제적 권력
① ㄱ, ㄴ, ㄷ
② ㄱ, ㄴ, ㄹ
③ ㄱ, ㄷ, ㅁ
④ ㄴ, ㄹ, ㅁ
⑤ ㄷ, ㄹ, ㅁ</v>
      </c>
      <c r="F107" s="31">
        <f>IFERROR(VLOOKUP(C107,기출문제!D:G,4,0),"")</f>
        <v>3</v>
      </c>
      <c r="G107" s="32" t="str">
        <f t="shared" si="1"/>
        <v>O</v>
      </c>
    </row>
    <row r="108" spans="2:7" ht="85.5" x14ac:dyDescent="0.3">
      <c r="B108" s="13">
        <v>101</v>
      </c>
      <c r="C108" s="14" t="s">
        <v>938</v>
      </c>
      <c r="D108" s="13">
        <v>1</v>
      </c>
      <c r="E108" s="15" t="str">
        <f>IFERROR(VLOOKUP(C108,기출문제!D:G,3,0),"")</f>
        <v>111. 직무특성모형(Job Characteristics Model)의 핵심직무차원에 포함되지 않는 것은?
① 성장욕구 강도(Growth Need Strength)
② 과업정체성(Task Identity)
③ 과업중요성(Task Significance)
④ 자율성(Autonomy)
⑤ 피드백(Feedback)</v>
      </c>
      <c r="F108" s="31">
        <f>IFERROR(VLOOKUP(C108,기출문제!D:G,4,0),"")</f>
        <v>1</v>
      </c>
      <c r="G108" s="32" t="str">
        <f t="shared" si="1"/>
        <v>O</v>
      </c>
    </row>
    <row r="109" spans="2:7" ht="128.25" x14ac:dyDescent="0.3">
      <c r="B109" s="13">
        <v>102</v>
      </c>
      <c r="C109" s="14" t="s">
        <v>939</v>
      </c>
      <c r="D109" s="13">
        <v>1</v>
      </c>
      <c r="E109" s="15" t="str">
        <f>IFERROR(VLOOKUP(C109,기출문제!D:G,3,0),"")</f>
        <v>112. 다음 설명에 해당하는 의사결정기법은?
○ 자유롭게 아이디어를 제시할 수 있다.
○ 타인이 제시한 아이디어에 대해 비판은 금지된다.
○ 아이디어의 질보다 양을 강조한다.
① 브레인스토밍(Brainstorming)
② 명목집단법(Nominal Group Technique)
③ 델파이법(Delphi Technique)
④ 지명반론자법(Devil's Advocacy)
⑤ 프리모텀법(Premortem)</v>
      </c>
      <c r="F109" s="31">
        <f>IFERROR(VLOOKUP(C109,기출문제!D:G,4,0),"")</f>
        <v>1</v>
      </c>
      <c r="G109" s="32" t="str">
        <f t="shared" si="1"/>
        <v>O</v>
      </c>
    </row>
    <row r="110" spans="2:7" ht="85.5" x14ac:dyDescent="0.3">
      <c r="B110" s="13">
        <v>103</v>
      </c>
      <c r="C110" s="14" t="s">
        <v>940</v>
      </c>
      <c r="D110" s="13">
        <v>2</v>
      </c>
      <c r="E110" s="15" t="str">
        <f>IFERROR(VLOOKUP(C110,기출문제!D:G,3,0),"")</f>
        <v>113. 선매품(Shopping Goods)에 관한 설명으로 옳은 것은? 
① 소비자가 필요하다고 느낄 때 수시로 구매하는 경향을 보인다.
② 소비자는 가격, 품질, 스타일 등 다양한 정보를 수집하여 신중하게 비교하는 경향을 보인다.
③ 소비자는 잘 알지 못하거나 알고 있어도 능동적으로 구매하려 하지 않는다.
④ 일상생활에서 빈번히 구매하는 저관여 제품들이 많다.
⑤ 독특한 특징을 지니거나 브랜드 차별성을 지니는 제품들이 많다.</v>
      </c>
      <c r="F110" s="31">
        <f>IFERROR(VLOOKUP(C110,기출문제!D:G,4,0),"")</f>
        <v>2</v>
      </c>
      <c r="G110" s="32" t="str">
        <f t="shared" si="1"/>
        <v>O</v>
      </c>
    </row>
    <row r="111" spans="2:7" ht="142.5" x14ac:dyDescent="0.3">
      <c r="B111" s="13">
        <v>104</v>
      </c>
      <c r="C111" s="14" t="s">
        <v>941</v>
      </c>
      <c r="D111" s="13">
        <v>5</v>
      </c>
      <c r="E111" s="15" t="str">
        <f>IFERROR(VLOOKUP(C111,기출문제!D:G,3,0),"")</f>
        <v>114. 브랜드(Brand) 요소를 모두 고른 것은?
ㄱ. 징글(Jingle)
ㄴ. 케릭터(Character)
ㄷ. 슬로건(Slogan)
ㄹ. 심볼(Symbol)
① ㄱ, ㄴ
② ㄷ, ㄹ
③ ㄱ, ㄴ, ㄷ
④ ㄴ, ㄷ, ㄹ
⑤ ㄱ, ㄴ, ㄷ, ㄹ</v>
      </c>
      <c r="F111" s="31">
        <f>IFERROR(VLOOKUP(C111,기출문제!D:G,4,0),"")</f>
        <v>5</v>
      </c>
      <c r="G111" s="32" t="str">
        <f t="shared" si="1"/>
        <v>O</v>
      </c>
    </row>
    <row r="112" spans="2:7" ht="85.5" x14ac:dyDescent="0.3">
      <c r="B112" s="13">
        <v>105</v>
      </c>
      <c r="C112" s="14" t="s">
        <v>942</v>
      </c>
      <c r="D112" s="13">
        <v>5</v>
      </c>
      <c r="E112" s="15" t="str">
        <f>IFERROR(VLOOKUP(C112,기출문제!D:G,3,0),"")</f>
        <v>115. 서비스의 특성으로 옳지 않은 것은? 
① 무형성
② 비분리성
③ 반응성
④ 소멸성
⑤ 변동성(이질성)</v>
      </c>
      <c r="F112" s="31">
        <f>IFERROR(VLOOKUP(C112,기출문제!D:G,4,0),"")</f>
        <v>3</v>
      </c>
      <c r="G112" s="32" t="str">
        <f t="shared" si="1"/>
        <v>X</v>
      </c>
    </row>
    <row r="113" spans="2:7" ht="156.75" x14ac:dyDescent="0.3">
      <c r="B113" s="13">
        <v>106</v>
      </c>
      <c r="C113" s="14" t="s">
        <v>943</v>
      </c>
      <c r="D113" s="13">
        <v>0</v>
      </c>
      <c r="E113" s="15" t="str">
        <f>IFERROR(VLOOKUP(C113,기출문제!D:G,3,0),"")</f>
        <v>116. 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
① A, B, C
② A, C, B
③ B, A, C
④ C, A, B
⑤ C, B, A</v>
      </c>
      <c r="F113" s="31">
        <f>IFERROR(VLOOKUP(C113,기출문제!D:G,4,0),"")</f>
        <v>2</v>
      </c>
      <c r="G113" s="32" t="str">
        <f t="shared" si="1"/>
        <v>X</v>
      </c>
    </row>
    <row r="114" spans="2:7" ht="85.5" x14ac:dyDescent="0.3">
      <c r="B114" s="13">
        <v>107</v>
      </c>
      <c r="C114" s="14" t="s">
        <v>944</v>
      </c>
      <c r="D114" s="13">
        <v>3</v>
      </c>
      <c r="E114" s="15" t="str">
        <f>IFERROR(VLOOKUP(C114,기출문제!D:G,3,0),"")</f>
        <v>117. 증권시장선(SML)과 자본시장선(CML)에 관한 설명으로 옳지 않은 것은?
① 증권시장선의 기울기는 표준편차로 측정된 위험 1단위에 대한 균형가격을 의미한다.
② 증권시장선 아래에 위치한 자산은 과대평가된 자산이다.
③ 자본시장선은 효율적 자산의 기대수익률과 표준편차의 선형관계를 나타낸다.
④ 자본시장선에 위치한 위험자산은 무위험자산과 시장포트폴리오의 결합으로 구성된 자산이다.
⑤ 자본시장선에 위치한 위험자산과 시장포트폴리오의 상관계수는 1이다.</v>
      </c>
      <c r="F114" s="31">
        <f>IFERROR(VLOOKUP(C114,기출문제!D:G,4,0),"")</f>
        <v>1</v>
      </c>
      <c r="G114" s="32" t="str">
        <f t="shared" si="1"/>
        <v>X</v>
      </c>
    </row>
    <row r="115" spans="2:7" ht="99.75" x14ac:dyDescent="0.3">
      <c r="B115" s="13">
        <v>108</v>
      </c>
      <c r="C115" s="14" t="s">
        <v>945</v>
      </c>
      <c r="D115" s="13">
        <v>0</v>
      </c>
      <c r="E115" s="15" t="str">
        <f>IFERROR(VLOOKUP(C115,기출문제!D:G,3,0),"")</f>
        <v>118. 올해 말(t=1)에 예상되는 A사 보통주의 주당 배당금은 1,000원이며, 이후 배당금은 매년 10%씩 영구히 증가할 것으로 기대된다. 현재(t=0) A사 보통주의 주가(내재가치)가 10,000원이라고 할 경우 이 주식의 자본비용은?
① 10%
② 15%
③ 20%
④ 25%
⑤ 30%</v>
      </c>
      <c r="F115" s="31">
        <f>IFERROR(VLOOKUP(C115,기출문제!D:G,4,0),"")</f>
        <v>3</v>
      </c>
      <c r="G115" s="32" t="str">
        <f t="shared" si="1"/>
        <v>X</v>
      </c>
    </row>
    <row r="116" spans="2:7" ht="99.75" x14ac:dyDescent="0.3">
      <c r="B116" s="13">
        <v>109</v>
      </c>
      <c r="C116" s="14" t="s">
        <v>946</v>
      </c>
      <c r="D116" s="13">
        <v>0</v>
      </c>
      <c r="E116" s="15" t="str">
        <f>IFERROR(VLOOKUP(C116,기출문제!D:G,3,0),"")</f>
        <v>119. 주식 A와 B의 기대수익률은 각각 10%, 20%이다, 총 투자자금 중 40%를 주식 A에, 60%를 주식 B에 투자하여 구성한 포트폴리오 P의 기대수익률은?
① 15%
② 16%
③ 17%
④ 18%
⑤ 19%</v>
      </c>
      <c r="F116" s="31">
        <f>IFERROR(VLOOKUP(C116,기출문제!D:G,4,0),"")</f>
        <v>2</v>
      </c>
      <c r="G116" s="32" t="str">
        <f t="shared" si="1"/>
        <v>X</v>
      </c>
    </row>
    <row r="117" spans="2:7" ht="85.5" x14ac:dyDescent="0.3">
      <c r="B117" s="13">
        <v>110</v>
      </c>
      <c r="C117" s="14" t="s">
        <v>947</v>
      </c>
      <c r="D117" s="13">
        <v>0</v>
      </c>
      <c r="E117" s="15" t="str">
        <f>IFERROR(VLOOKUP(C117,기출문제!D:G,3,0),"")</f>
        <v>120. 식스시그마의 성공적 수행을 위한 5단계 활동으로 옳은 순서는?
① 계획 → 분석 → 측정 → 개선 → 평가
② 계획 → 분석 → 측정 → 평가 → 개선
③ 계획 → 측정 → 평가 → 통제 → 개선
④ 정의 → 측정 → 분석 → 개선 → 통제
⑤ 정의 → 측정 → 평가 → 통제 → 개선</v>
      </c>
      <c r="F117" s="31">
        <f>IFERROR(VLOOKUP(C117,기출문제!D:G,4,0),"")</f>
        <v>4</v>
      </c>
      <c r="G117" s="32" t="str">
        <f t="shared" si="1"/>
        <v>X</v>
      </c>
    </row>
    <row r="118" spans="2:7" ht="99.75" x14ac:dyDescent="0.3">
      <c r="B118" s="13">
        <v>111</v>
      </c>
      <c r="C118" s="14" t="s">
        <v>948</v>
      </c>
      <c r="D118" s="13">
        <v>4</v>
      </c>
      <c r="E118" s="15" t="str">
        <f>IFERROR(VLOOKUP(C118,기출문제!D:G,3,0),"")</f>
        <v>121. 공급자에서 기업 내 변환과정과 유통망을 거쳐 최종 고객에 이르기까지 자재, 제품, 서비스 및 정보의 흐름을 전체 시스템 관점에서 설계하고 관리하는 것은?
① EOQ
② MRP
③ TQM
④ SCM
⑤ FMS</v>
      </c>
      <c r="F118" s="31">
        <f>IFERROR(VLOOKUP(C118,기출문제!D:G,4,0),"")</f>
        <v>4</v>
      </c>
      <c r="G118" s="32" t="str">
        <f t="shared" si="1"/>
        <v>O</v>
      </c>
    </row>
    <row r="119" spans="2:7" ht="85.5" x14ac:dyDescent="0.3">
      <c r="B119" s="13">
        <v>112</v>
      </c>
      <c r="C119" s="14" t="s">
        <v>949</v>
      </c>
      <c r="D119" s="13">
        <v>2</v>
      </c>
      <c r="E119" s="15" t="str">
        <f>IFERROR(VLOOKUP(C119,기출문제!D:G,3,0),"")</f>
        <v>122. 공장을 신축하고자 1억원의 토지를 현금으로 취득한 거래가 재무제표 요소에 미치는 영향은?
① 자본의 감소, 자산의 감소
② 자산의 증가, 자산의 감소
③ 자산의 증가, 자본의 증가
④ 자산의 증가, 부채의 증가
⑤ 비용의 증가, 자산의 감소</v>
      </c>
      <c r="F119" s="31">
        <f>IFERROR(VLOOKUP(C119,기출문제!D:G,4,0),"")</f>
        <v>2</v>
      </c>
      <c r="G119" s="32" t="str">
        <f t="shared" si="1"/>
        <v>O</v>
      </c>
    </row>
    <row r="120" spans="2:7" ht="142.5" x14ac:dyDescent="0.3">
      <c r="B120" s="13">
        <v>113</v>
      </c>
      <c r="C120" s="14" t="s">
        <v>950</v>
      </c>
      <c r="D120" s="13">
        <v>0</v>
      </c>
      <c r="E120" s="15" t="str">
        <f>IFERROR(VLOOKUP(C120,기출문제!D:G,3,0),"")</f>
        <v>123. 유형자산에 해당하는 항목을 모두 고른 것은?
ㄱ. 특허권
ㄴ. 건물
ㄷ. 비품
ㄹ. 라이선스
① ㄱ, ㄴ
② ㄴ, ㄷ
③ ㄱ, ㄴ, ㄷ
④ ㄴ, ㄷ, ㄹ
⑤ ㄱ, ㄴ, ㄷ, ㄹ</v>
      </c>
      <c r="F120" s="31">
        <f>IFERROR(VLOOKUP(C120,기출문제!D:G,4,0),"")</f>
        <v>2</v>
      </c>
      <c r="G120" s="32" t="str">
        <f t="shared" si="1"/>
        <v>X</v>
      </c>
    </row>
    <row r="121" spans="2:7" ht="85.5" x14ac:dyDescent="0.3">
      <c r="B121" s="13">
        <v>114</v>
      </c>
      <c r="C121" s="14" t="s">
        <v>951</v>
      </c>
      <c r="D121" s="13">
        <v>2</v>
      </c>
      <c r="E121" s="15" t="str">
        <f>IFERROR(VLOOKUP(C121,기출문제!D:G,3,0),"")</f>
        <v>124. 재무상태표의 부채에 해당하지 않는 것은?
① 매입채무
② 선급비용
③ 선수금
④ 사채
⑤ 예수금</v>
      </c>
      <c r="F121" s="31">
        <f>IFERROR(VLOOKUP(C121,기출문제!D:G,4,0),"")</f>
        <v>2</v>
      </c>
      <c r="G121" s="32" t="str">
        <f t="shared" si="1"/>
        <v>O</v>
      </c>
    </row>
    <row r="122" spans="2:7" ht="85.5" x14ac:dyDescent="0.3">
      <c r="B122" s="13">
        <v>115</v>
      </c>
      <c r="C122" s="14" t="s">
        <v>952</v>
      </c>
      <c r="D122" s="13">
        <v>5</v>
      </c>
      <c r="E122" s="15" t="str">
        <f>IFERROR(VLOOKUP(C122,기출문제!D:G,3,0),"")</f>
        <v>125. 급여계산, 고객주문처리, 재고관리 등 일상적이고 반복적인 과업을 주로 수행하는 정보시스템은?
① EIS
② DSS
③ ES
④ SIS
⑤ TPS</v>
      </c>
      <c r="F122" s="31">
        <f>IFERROR(VLOOKUP(C122,기출문제!D:G,4,0),"")</f>
        <v>5</v>
      </c>
      <c r="G122" s="32" t="str">
        <f t="shared" si="1"/>
        <v>O</v>
      </c>
    </row>
    <row r="123" spans="2:7" ht="156.75" x14ac:dyDescent="0.3">
      <c r="B123" s="13">
        <v>116</v>
      </c>
      <c r="C123" s="14" t="s">
        <v>96</v>
      </c>
      <c r="D123" s="13">
        <v>3</v>
      </c>
      <c r="E123" s="15" t="str">
        <f>IFERROR(VLOOKUP(C123,기출문제!D:G,3,0),"")</f>
        <v>101. 페로우(C. Perrow)가 제시한 기술 분류 기준으로 옳은 것을 모두 고른 것은?
ㄱ. 기술복잡성
ㄴ. 과업다양성
ㄷ. 상호의존성
ㄹ. 과업정체성
ㅁ. 문제분석 가능성
① ㄱ, ㄴ
② ㄴ, ㄹ
③ ㄴ, ㅁ
④ ㄷ, ㅁ
⑤ ㄱ, ㄷ, ㄹ</v>
      </c>
      <c r="F123" s="31">
        <f>IFERROR(VLOOKUP(C123,기출문제!D:G,4,0),"")</f>
        <v>3</v>
      </c>
      <c r="G123" s="32" t="str">
        <f t="shared" si="1"/>
        <v>O</v>
      </c>
    </row>
    <row r="124" spans="2:7" ht="85.5" x14ac:dyDescent="0.3">
      <c r="B124" s="13">
        <v>117</v>
      </c>
      <c r="C124" s="14" t="s">
        <v>953</v>
      </c>
      <c r="D124" s="13">
        <v>4</v>
      </c>
      <c r="E124" s="15" t="str">
        <f>IFERROR(VLOOKUP(C124,기출문제!D:G,3,0),"")</f>
        <v>102. (주)한국은 정부의 대규모 사업에 참여하면서 다수 기업과 공동출자를 하고자 한다. 이 전략 유형에 해당하는 것은?
① 우회전략(Turnaround Strategy)
② 집중전략(Concentration Strategy)
③ 프랜차이징(Franchsing)
④ 컨소시엄(Consortium)
⑤ 포획전략(Captive Strategy)</v>
      </c>
      <c r="F124" s="31">
        <f>IFERROR(VLOOKUP(C124,기출문제!D:G,4,0),"")</f>
        <v>4</v>
      </c>
      <c r="G124" s="32" t="str">
        <f t="shared" si="1"/>
        <v>O</v>
      </c>
    </row>
    <row r="125" spans="2:7" ht="85.5" x14ac:dyDescent="0.3">
      <c r="B125" s="13">
        <v>118</v>
      </c>
      <c r="C125" s="14" t="s">
        <v>954</v>
      </c>
      <c r="D125" s="13">
        <v>1</v>
      </c>
      <c r="E125" s="15" t="str">
        <f>IFERROR(VLOOKUP(C125,기출문제!D:G,3,0),"")</f>
        <v>103. 매트릭스 조직의 장점에 해당하지 않는 것은?
① 구성원들 간 갈등해결 용이
② 환경 불확실성에 신속한 대응
③ 인적자원의 유연한 활용
④ 제품 다양성 확보
⑤ 구성원들의 역량향상 기회 제공</v>
      </c>
      <c r="F125" s="31">
        <f>IFERROR(VLOOKUP(C125,기출문제!D:G,4,0),"")</f>
        <v>1</v>
      </c>
      <c r="G125" s="32" t="str">
        <f t="shared" si="1"/>
        <v>O</v>
      </c>
    </row>
    <row r="126" spans="2:7" ht="85.5" x14ac:dyDescent="0.3">
      <c r="B126" s="13">
        <v>119</v>
      </c>
      <c r="C126" s="14" t="s">
        <v>955</v>
      </c>
      <c r="D126" s="13">
        <v>3</v>
      </c>
      <c r="E126" s="15" t="str">
        <f>IFERROR(VLOOKUP(C126,기출문제!D:G,3,0),"")</f>
        <v>104. 사용자가 노동조합의 정당한 활동을 방해하는 것은?
① 태업
② 단체교섭
③ 부당노동행위
④ 노동쟁의
⑤ 준법투쟁</v>
      </c>
      <c r="F126" s="31">
        <f>IFERROR(VLOOKUP(C126,기출문제!D:G,4,0),"")</f>
        <v>3</v>
      </c>
      <c r="G126" s="32" t="str">
        <f t="shared" si="1"/>
        <v>O</v>
      </c>
    </row>
    <row r="127" spans="2:7" ht="85.5" x14ac:dyDescent="0.3">
      <c r="B127" s="13">
        <v>120</v>
      </c>
      <c r="C127" s="14" t="s">
        <v>956</v>
      </c>
      <c r="D127" s="13">
        <v>0</v>
      </c>
      <c r="E127" s="15" t="str">
        <f>IFERROR(VLOOKUP(C127,기출문제!D:G,3,0),"")</f>
        <v>105. 하우스(R. House)가 제시한 경로-목표이론의 리더십 유형에 해당하지 않는 것은?
① 권한위임적 리더십
② 지시적 리더십
③ 지원적 리더십
④ 성취지향적 리더십
⑤ 참가적 리더십</v>
      </c>
      <c r="F127" s="31">
        <f>IFERROR(VLOOKUP(C127,기출문제!D:G,4,0),"")</f>
        <v>1</v>
      </c>
      <c r="G127" s="32" t="str">
        <f t="shared" si="1"/>
        <v>X</v>
      </c>
    </row>
    <row r="128" spans="2:7" ht="85.5" x14ac:dyDescent="0.3">
      <c r="B128" s="13">
        <v>121</v>
      </c>
      <c r="C128" s="14" t="s">
        <v>957</v>
      </c>
      <c r="D128" s="13">
        <v>3</v>
      </c>
      <c r="E128" s="15" t="str">
        <f>IFERROR(VLOOKUP(C128,기출문제!D:G,3,0),"")</f>
        <v>106. 구성원들 간 의사소통이 강력한 특정 리더에게 집중되는 유형은?
① 원형
② Y자형
③ 수레바퀴형
④ 사슬형
⑤ 전체연결형</v>
      </c>
      <c r="F128" s="31">
        <f>IFERROR(VLOOKUP(C128,기출문제!D:G,4,0),"")</f>
        <v>3</v>
      </c>
      <c r="G128" s="32" t="str">
        <f t="shared" si="1"/>
        <v>O</v>
      </c>
    </row>
    <row r="129" spans="2:7" ht="85.5" x14ac:dyDescent="0.3">
      <c r="B129" s="13">
        <v>122</v>
      </c>
      <c r="C129" s="14" t="s">
        <v>958</v>
      </c>
      <c r="D129" s="13">
        <v>2</v>
      </c>
      <c r="E129" s="15" t="str">
        <f>IFERROR(VLOOKUP(C129,기출문제!D:G,3,0),"")</f>
        <v>107. 기업의 사회적 책임 중에서 제1의 책임에 해당하는 것은?
① 법적 책임
② 경제적 책임
③ 윤리적 책임
④ 자선적 책임
⑤ 환경적 책임</v>
      </c>
      <c r="F129" s="31">
        <f>IFERROR(VLOOKUP(C129,기출문제!D:G,4,0),"")</f>
        <v>2</v>
      </c>
      <c r="G129" s="32" t="str">
        <f t="shared" si="1"/>
        <v>O</v>
      </c>
    </row>
    <row r="130" spans="2:7" ht="85.5" x14ac:dyDescent="0.3">
      <c r="B130" s="13">
        <v>123</v>
      </c>
      <c r="C130" s="14" t="s">
        <v>959</v>
      </c>
      <c r="D130" s="13">
        <v>3</v>
      </c>
      <c r="E130" s="15" t="str">
        <f>IFERROR(VLOOKUP(C130,기출문제!D:G,3,0),"")</f>
        <v>108. 파스칼(R. Pascale)과 피터스(T. Peters)의 조직문화 7S 중 다른 요소들을 연결시켜 주는 핵심적인 요소는?
① 전략(Strategy)
② 관리기술(Skill)
③ 공유가치(Shared Value)
④ 관리시스템(System)
⑤ 구성원(Staff)</v>
      </c>
      <c r="F130" s="31">
        <f>IFERROR(VLOOKUP(C130,기출문제!D:G,4,0),"")</f>
        <v>3</v>
      </c>
      <c r="G130" s="32" t="str">
        <f t="shared" si="1"/>
        <v>O</v>
      </c>
    </row>
    <row r="131" spans="2:7" ht="85.5" x14ac:dyDescent="0.3">
      <c r="B131" s="13">
        <v>124</v>
      </c>
      <c r="C131" s="14" t="s">
        <v>960</v>
      </c>
      <c r="D131" s="13">
        <v>1</v>
      </c>
      <c r="E131" s="15" t="str">
        <f>IFERROR(VLOOKUP(C131,기출문제!D:G,3,0),"")</f>
        <v>109. 브룸(V. Vroom)이 제시한 기대이론의 작동순서로 올바른 것은?
① 기대감 → 수단성 → 유의성
② 기대감 → 유의성 → 수단성
③ 수단성 → 유의성 → 기대감
④ 유의성 → 수단성 → 기대감
⑤ 유의성 → 기대감 → 수단성</v>
      </c>
      <c r="F131" s="31">
        <f>IFERROR(VLOOKUP(C131,기출문제!D:G,4,0),"")</f>
        <v>1</v>
      </c>
      <c r="G131" s="32" t="str">
        <f t="shared" si="1"/>
        <v>O</v>
      </c>
    </row>
    <row r="132" spans="2:7" ht="85.5" x14ac:dyDescent="0.3">
      <c r="B132" s="13">
        <v>125</v>
      </c>
      <c r="C132" s="14" t="s">
        <v>961</v>
      </c>
      <c r="D132" s="13">
        <v>5</v>
      </c>
      <c r="E132" s="15" t="str">
        <f>IFERROR(VLOOKUP(C132,기출문제!D:G,3,0),"")</f>
        <v>110. MBO에서 목표설정 시 SMART 원칙으로 옳지 않은 것은?
① 구체적(Specific)이어야 한다.
② 측정가능(Measurable)하여야 한다.
③ 조직목표와의 일치성(Aligned with Organizational Goals)이 있어야 한다.
④ 현실적이며 결과지향적(Realistic and Result-Oriented)이어야 한다.
⑤ 훈련가능(Trainable)하여야 한다.</v>
      </c>
      <c r="F132" s="31">
        <f>IFERROR(VLOOKUP(C132,기출문제!D:G,4,0),"")</f>
        <v>5</v>
      </c>
      <c r="G132" s="32" t="str">
        <f t="shared" si="1"/>
        <v>O</v>
      </c>
    </row>
    <row r="133" spans="2:7" ht="85.5" x14ac:dyDescent="0.3">
      <c r="B133" s="13">
        <v>126</v>
      </c>
      <c r="C133" s="14" t="s">
        <v>962</v>
      </c>
      <c r="D133" s="13">
        <v>1</v>
      </c>
      <c r="E133" s="15" t="str">
        <f>IFERROR(VLOOKUP(C133,기출문제!D:G,3,0),"")</f>
        <v>111. (주)한국은 10,000원에 상당하는 두루마리 화장지 가격을 9,990원으로 책정하였다. 이러한 가격결정 방법은?
① 단수가격
② 명성가격
③ 총화가격
④ 촉진가격
⑤ 관습가격</v>
      </c>
      <c r="F133" s="31">
        <f>IFERROR(VLOOKUP(C133,기출문제!D:G,4,0),"")</f>
        <v>1</v>
      </c>
      <c r="G133" s="32" t="str">
        <f t="shared" si="1"/>
        <v>O</v>
      </c>
    </row>
    <row r="134" spans="2:7" ht="85.5" x14ac:dyDescent="0.3">
      <c r="B134" s="13">
        <v>127</v>
      </c>
      <c r="C134" s="14" t="s">
        <v>963</v>
      </c>
      <c r="D134" s="13">
        <v>3</v>
      </c>
      <c r="E134" s="15" t="str">
        <f>IFERROR(VLOOKUP(C134,기출문제!D:G,3,0),"")</f>
        <v>112. 마약퇴치 운동과 같이 불건전한 수요를 파괴시키는 데 활용되는 마케팅은?
① 동시화 마케팅(Synchro Marketing)
② 재마케팅(Remarketing)
③ 디마케팅(Demarketing)
④ 대항 마케팅(Counter Marketing)
⑤ 터보 마케팅(Turbo Marketing)</v>
      </c>
      <c r="F134" s="31">
        <f>IFERROR(VLOOKUP(C134,기출문제!D:G,4,0),"")</f>
        <v>4</v>
      </c>
      <c r="G134" s="32" t="str">
        <f t="shared" si="1"/>
        <v>X</v>
      </c>
    </row>
    <row r="135" spans="2:7" ht="85.5" x14ac:dyDescent="0.3">
      <c r="B135" s="13">
        <v>128</v>
      </c>
      <c r="C135" s="14" t="s">
        <v>964</v>
      </c>
      <c r="D135" s="13">
        <v>0</v>
      </c>
      <c r="E135" s="15" t="str">
        <f>IFERROR(VLOOKUP(C135,기출문제!D:G,3,0),"")</f>
        <v>113. 마케팅 전략에 관한 설명으로 옳은 것은?
① 마케팅 비용을 절감하기 위해 차별화 마케팅 전략을 도입한다.
② 제품전문화 전략은 표적시장 선정전략의 일종이다.
③ 포지셔닝은 전체 시장을 목표로 하는 마케팅전략이다.
④ 제품의 확장속성이란 판매자가 제공하거나 구매자가 추구하는 본질적 편익을 말한다.
⑤ 시장세분화 전제조건으로서의 실질성이란 세분시장의 구매력 등이 측정가능해야 함을 의미한다.</v>
      </c>
      <c r="F135" s="31">
        <f>IFERROR(VLOOKUP(C135,기출문제!D:G,4,0),"")</f>
        <v>2</v>
      </c>
      <c r="G135" s="32" t="str">
        <f t="shared" si="1"/>
        <v>X</v>
      </c>
    </row>
    <row r="136" spans="2:7" ht="85.5" x14ac:dyDescent="0.3">
      <c r="B136" s="13">
        <v>129</v>
      </c>
      <c r="C136" s="14" t="s">
        <v>965</v>
      </c>
      <c r="D136" s="13">
        <v>2</v>
      </c>
      <c r="E136" s="15" t="str">
        <f>IFERROR(VLOOKUP(C136,기출문제!D:G,3,0),"")</f>
        <v>114. 포터(M. Porter)의 가치사슬(Value Chain)모델에서 주요활동(Primary Activities)에 해당하는 것은?
① 인적자원관리
② 서비스
③ 기술개발
④ 기획・재무
⑤ 법률자문</v>
      </c>
      <c r="F136" s="31">
        <f>IFERROR(VLOOKUP(C136,기출문제!D:G,4,0),"")</f>
        <v>2</v>
      </c>
      <c r="G136" s="32" t="str">
        <f t="shared" si="1"/>
        <v>O</v>
      </c>
    </row>
    <row r="137" spans="2:7" ht="142.5" x14ac:dyDescent="0.3">
      <c r="B137" s="13">
        <v>130</v>
      </c>
      <c r="C137" s="14" t="s">
        <v>966</v>
      </c>
      <c r="D137" s="13">
        <v>5</v>
      </c>
      <c r="E137" s="15" t="str">
        <f>IFERROR(VLOOKUP(C137,기출문제!D:G,3,0),"")</f>
        <v>115. 경영정보시스템 용어에 관한 설명으로 옳지 않은 것은?
① 비즈니스 프로세스 리엔지니어링(Business Process Reengineering)은 새로운 방식으로 최대한의 이득을 얻기 위해 기존의 비즈니스 프로세스를 변경하는 것이다.
② 비즈니스 인텔리전스(Business Intelligence)는 사용자가 정보에 기반하여 보다 나은 비즈니스 의사결정을 돕기 위한 응용프로그램, 기술 및 데이터 분석 등을 포함하는 시스템이다.
③ 의사결정지원시스템(Decision Support System)은 컴퓨터를 이용하여 의사결정자가 효과적인 의사결정을 할 수 있도록 지원하는 시스템이다.
④ 위키스(Wikis)는 사용자들이 웹페이지 내용을 쉽게 추가・편집할 수 있는 웹사이트의 일종이다.
⑤ 자율컴퓨팅(Autonomous Computing)은 지리적으로 분산된 네트워크 환경에서 수많은 컴퓨터와 데이터베이스 등을 고속 네트워크로 연결하여 공유할 수 있도록 한다.</v>
      </c>
      <c r="F137" s="31">
        <f>IFERROR(VLOOKUP(C137,기출문제!D:G,4,0),"")</f>
        <v>5</v>
      </c>
      <c r="G137" s="32" t="str">
        <f t="shared" ref="G137:G200" si="2">IF(D137="","",IF(D137=F137,"O", "X"))</f>
        <v>O</v>
      </c>
    </row>
    <row r="138" spans="2:7" ht="99.75" x14ac:dyDescent="0.3">
      <c r="B138" s="13">
        <v>131</v>
      </c>
      <c r="C138" s="14" t="s">
        <v>967</v>
      </c>
      <c r="D138" s="13">
        <v>0</v>
      </c>
      <c r="E138" s="15" t="str">
        <f>IFERROR(VLOOKUP(C138,기출문제!D:G,3,0),"")</f>
        <v>116. 품질의 산포가 우연원인에 의한 것인지, 이상원인에 의한 것인지를 밝혀주는 역할을 하며, 제조공정의 상태를 파악하기 위해 공정관리에 이용되는 것은?
① 파레토도
② 관리도
③ 산포도
④ 특성요인도
⑤ 히스토그램</v>
      </c>
      <c r="F138" s="31">
        <f>IFERROR(VLOOKUP(C138,기출문제!D:G,4,0),"")</f>
        <v>2</v>
      </c>
      <c r="G138" s="32" t="str">
        <f t="shared" si="2"/>
        <v>X</v>
      </c>
    </row>
    <row r="139" spans="2:7" ht="199.5" x14ac:dyDescent="0.3">
      <c r="B139" s="13">
        <v>132</v>
      </c>
      <c r="C139" s="14" t="s">
        <v>968</v>
      </c>
      <c r="D139" s="13">
        <v>0</v>
      </c>
      <c r="E139" s="15" t="str">
        <f>IFERROR(VLOOKUP(C139,기출문제!D:G,3,0),"")</f>
        <v>117. (주)한국의 연도별 제품 판매량은 다음과 같다. 과거 3년간의 데이터를 바탕으로 단순이동평균법을 적용하였을 때 2020년도의 수요예측량은?
연도       판매량(개)
2014       2,260
2015       2,090
2016       2,110
2017       2,150
2018       2,310
2019       2,410
① 2,270
② 2,280
③ 2,290
④ 2,300
⑤ 2,310</v>
      </c>
      <c r="F139" s="31">
        <f>IFERROR(VLOOKUP(C139,기출문제!D:G,4,0),"")</f>
        <v>3</v>
      </c>
      <c r="G139" s="32" t="str">
        <f t="shared" si="2"/>
        <v>X</v>
      </c>
    </row>
    <row r="140" spans="2:7" ht="85.5" x14ac:dyDescent="0.3">
      <c r="B140" s="13">
        <v>133</v>
      </c>
      <c r="C140" s="14" t="s">
        <v>969</v>
      </c>
      <c r="D140" s="13">
        <v>0</v>
      </c>
      <c r="E140" s="15" t="str">
        <f>IFERROR(VLOOKUP(C140,기출문제!D:G,3,0),"")</f>
        <v>118. 선물거래에 관한 설명으로 옳지 않은 것은?
① 조직화된 공식시장에서 거래가 이루어진다.
② 다수의 불특정 참가자가 자유롭게 시장에 참여한다.
③ 거래대상, 거래단위 등의 거래조건이 표준화되어 있다.
④ 계약의 이행을 보증하려는 제도적 장치로 일일정산, 증거금 등이 있다.
⑤ 반대매매를 통한 중도청산이 어려워 만기일에 실물의 인수・인도가 이루어진다.</v>
      </c>
      <c r="F140" s="31">
        <f>IFERROR(VLOOKUP(C140,기출문제!D:G,4,0),"")</f>
        <v>5</v>
      </c>
      <c r="G140" s="32" t="str">
        <f t="shared" si="2"/>
        <v>X</v>
      </c>
    </row>
    <row r="141" spans="2:7" ht="114" x14ac:dyDescent="0.3">
      <c r="B141" s="13">
        <v>134</v>
      </c>
      <c r="C141" s="14" t="s">
        <v>970</v>
      </c>
      <c r="D141" s="13">
        <v>1</v>
      </c>
      <c r="E141" s="15" t="str">
        <f>IFERROR(VLOOKUP(C141,기출문제!D:G,3,0),"")</f>
        <v>119. 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
① 순현가법
② 수익성지수법
③ 회수기간법
④ 내부수익률법
⑤ 평균회계이익률법</v>
      </c>
      <c r="F141" s="31">
        <f>IFERROR(VLOOKUP(C141,기출문제!D:G,4,0),"")</f>
        <v>4</v>
      </c>
      <c r="G141" s="32" t="str">
        <f t="shared" si="2"/>
        <v>X</v>
      </c>
    </row>
    <row r="142" spans="2:7" ht="85.5" x14ac:dyDescent="0.3">
      <c r="B142" s="13">
        <v>135</v>
      </c>
      <c r="C142" s="14" t="s">
        <v>971</v>
      </c>
      <c r="D142" s="13">
        <v>0</v>
      </c>
      <c r="E142" s="15" t="str">
        <f>IFERROR(VLOOKUP(C142,기출문제!D:G,3,0),"")</f>
        <v>120. (주)한국의 총자산이 40억원, 비유동자산이 25억원, 유동부채가 10억원인 경우 유동비율은?
① 50%
② 70%
③ 100%
④ 150%
⑤ 200%</v>
      </c>
      <c r="F142" s="31">
        <f>IFERROR(VLOOKUP(C142,기출문제!D:G,4,0),"")</f>
        <v>4</v>
      </c>
      <c r="G142" s="32" t="str">
        <f t="shared" si="2"/>
        <v>X</v>
      </c>
    </row>
    <row r="143" spans="2:7" ht="85.5" x14ac:dyDescent="0.3">
      <c r="B143" s="13">
        <v>136</v>
      </c>
      <c r="C143" s="14" t="s">
        <v>972</v>
      </c>
      <c r="D143" s="13">
        <v>0</v>
      </c>
      <c r="E143" s="15" t="str">
        <f>IFERROR(VLOOKUP(C143,기출문제!D:G,3,0),"")</f>
        <v>121. 자본항목의 분류가 다른 것은?
① 주식할인발행차금
② 감자차손
③ 자기주식
④ 미교부주식배당금
⑤ 자기주식처분이익</v>
      </c>
      <c r="F143" s="31">
        <f>IFERROR(VLOOKUP(C143,기출문제!D:G,4,0),"")</f>
        <v>5</v>
      </c>
      <c r="G143" s="32" t="str">
        <f t="shared" si="2"/>
        <v>X</v>
      </c>
    </row>
    <row r="144" spans="2:7" ht="85.5" x14ac:dyDescent="0.3">
      <c r="B144" s="13">
        <v>137</v>
      </c>
      <c r="C144" s="14" t="s">
        <v>973</v>
      </c>
      <c r="D144" s="13">
        <v>0</v>
      </c>
      <c r="E144" s="15" t="str">
        <f>IFERROR(VLOOKUP(C144,기출문제!D:G,3,0),"")</f>
        <v>122. 부채에 관한 설명으로 옳지 않은 것은?
① 매입채무는 일반적인 상거래에서 발생한 외상매입금과 지급어음을 말한다.
② 예수금은 거래처나 종업원을 대신하여 납부기관에 납부할 때 소멸하는 부채이다.
③ 미지급금은 비유동자산의 취득 등 일반적인 상거래 이외에서 발생한 채무를 말한다.
④ 장기차입금의 상환기일이 결산일로부터 1년 이내에 도래하는 경우 유동성장기차입금으로 대체하고 유동부채로 분류한다.
⑤ 매입채무, 차입금, 선수금, 사채 등은 금융부채에 속한다.</v>
      </c>
      <c r="F144" s="31">
        <f>IFERROR(VLOOKUP(C144,기출문제!D:G,4,0),"")</f>
        <v>5</v>
      </c>
      <c r="G144" s="32" t="str">
        <f t="shared" si="2"/>
        <v>X</v>
      </c>
    </row>
    <row r="145" spans="2:7" ht="156.75" x14ac:dyDescent="0.3">
      <c r="B145" s="13">
        <v>138</v>
      </c>
      <c r="C145" s="14" t="s">
        <v>974</v>
      </c>
      <c r="D145" s="13">
        <v>4</v>
      </c>
      <c r="E145" s="15" t="str">
        <f>IFERROR(VLOOKUP(C145,기출문제!D:G,3,0),"")</f>
        <v>123. 재무상태표와 관련되는 것을 모두 고른 것은?
ㄱ. 수익・비용대응의 원칙
ㄴ. 일정시점의 재무상태
ㄷ. 유동성배열법
ㄹ. 일정기간의 경영성과
ㅁ. 자산, 부채 및 자본
① ㄱ, ㄴ
② ㄱ, ㄹ
③ ㄴ, ㄷ, ㄹ
④ ㄴ, ㄷ, ㅁ
⑤ ㄷ, ㄹ, ㅁ</v>
      </c>
      <c r="F145" s="31">
        <f>IFERROR(VLOOKUP(C145,기출문제!D:G,4,0),"")</f>
        <v>4</v>
      </c>
      <c r="G145" s="32" t="str">
        <f t="shared" si="2"/>
        <v>O</v>
      </c>
    </row>
    <row r="146" spans="2:7" ht="85.5" x14ac:dyDescent="0.3">
      <c r="B146" s="13">
        <v>139</v>
      </c>
      <c r="C146" s="14" t="s">
        <v>975</v>
      </c>
      <c r="D146" s="13">
        <v>1</v>
      </c>
      <c r="E146" s="15" t="str">
        <f>IFERROR(VLOOKUP(C146,기출문제!D:G,3,0),"")</f>
        <v>124. 전자(상)거래의 유형에 관한 설명으로 옳은 것은?
① B2E는 기업과 직원 간 전자(상)거래를 말한다.
② B2C는 소비자와 소비자 간 전자(상)거래를 말한다.
③ B2B는 기업 내 전자(상)거래를 말한다.
④ C2C는 기업과 소비자 간 전자(상)거래를 말한다.
⑤ C2G는 기업 간 전자(상)거래를 말한다.</v>
      </c>
      <c r="F146" s="31">
        <f>IFERROR(VLOOKUP(C146,기출문제!D:G,4,0),"")</f>
        <v>1</v>
      </c>
      <c r="G146" s="32" t="str">
        <f t="shared" si="2"/>
        <v>O</v>
      </c>
    </row>
    <row r="147" spans="2:7" ht="99.75" x14ac:dyDescent="0.3">
      <c r="B147" s="13">
        <v>140</v>
      </c>
      <c r="C147" s="14" t="s">
        <v>976</v>
      </c>
      <c r="D147" s="13">
        <v>3</v>
      </c>
      <c r="E147" s="15" t="str">
        <f>IFERROR(VLOOKUP(C147,기출문제!D:G,3,0),"")</f>
        <v>125. 기업이 미래 의사결정 및 예측을 위하여 보유하고 있는 고객, 거래, 상품 등의 데이터와 각종 외부 데이터를 분석하여 숨겨진 패턴이나 규칙을 발견하는 것은?
① 데이터 관리(Data Management)
② 데이터 무결성(Data Integrity)
③ 데이터 마이닝(Data Mining)
④ 데이터 정제(Data Cleaning)
⑤ 데이터 마트(Data Mart)</v>
      </c>
      <c r="F147" s="31">
        <f>IFERROR(VLOOKUP(C147,기출문제!D:G,4,0),"")</f>
        <v>3</v>
      </c>
      <c r="G147" s="32" t="str">
        <f t="shared" si="2"/>
        <v>O</v>
      </c>
    </row>
    <row r="148" spans="2:7" ht="85.5" x14ac:dyDescent="0.3">
      <c r="B148" s="13">
        <v>141</v>
      </c>
      <c r="C148" s="14" t="s">
        <v>138</v>
      </c>
      <c r="D148" s="13">
        <v>3</v>
      </c>
      <c r="E148" s="15" t="str">
        <f>IFERROR(VLOOKUP(C148,기출문제!D:G,3,0),"")</f>
        <v>101. 테일러(F. W. Taylor)의 과학적 관리법에 관한 설명으로 옳지 않은 것은?
① 시간 및 동작 연구
② 기능적 직장제도
③ 집단중심의 보상
④ 과업에 적합한 종업원 선발과 훈련 강조
⑤ 고임금 저노무비 지향</v>
      </c>
      <c r="F148" s="31">
        <f>IFERROR(VLOOKUP(C148,기출문제!D:G,4,0),"")</f>
        <v>3</v>
      </c>
      <c r="G148" s="32" t="str">
        <f t="shared" si="2"/>
        <v>O</v>
      </c>
    </row>
    <row r="149" spans="2:7" ht="85.5" x14ac:dyDescent="0.3">
      <c r="B149" s="13">
        <v>142</v>
      </c>
      <c r="C149" s="14" t="s">
        <v>781</v>
      </c>
      <c r="D149" s="13">
        <v>4</v>
      </c>
      <c r="E149" s="15" t="str">
        <f>IFERROR(VLOOKUP(C149,기출문제!D:G,3,0),"")</f>
        <v>102. 매슬로우(A. H. Maslow)의 욕구단계이론에 관한 설명으로 옳지 않은 것은?
① 최하위 단계의 욕구는 생리적 욕구이다.
② 최상위 단계의 욕구는 자아실현 욕구이다.
③ 욕구계층을 5단계로 설명하고 있다.
④ 다른 사람으로부터 인정과 존경을 받고자 하는 욕구는 성장욕구에 속한다.
⑤ 하위단계의 욕구가 충족되어야 상위단계의 욕구를 충족시키기 위한 동기부여가 된다.</v>
      </c>
      <c r="F149" s="31">
        <f>IFERROR(VLOOKUP(C149,기출문제!D:G,4,0),"")</f>
        <v>4</v>
      </c>
      <c r="G149" s="32" t="str">
        <f t="shared" si="2"/>
        <v>O</v>
      </c>
    </row>
    <row r="150" spans="2:7" ht="85.5" x14ac:dyDescent="0.3">
      <c r="B150" s="13">
        <v>143</v>
      </c>
      <c r="C150" s="14" t="s">
        <v>782</v>
      </c>
      <c r="D150" s="13">
        <v>3</v>
      </c>
      <c r="E150" s="15" t="str">
        <f>IFERROR(VLOOKUP(C150,기출문제!D:G,3,0),"")</f>
        <v>103. 균형성과표(Balanced Score Card)에 해당하지 않는 것은?
① 고객 관점
② 내부 프로세스 관점
③ 사회적 책임 관점
④ 학습과 성장 관점
⑤ 재무 관점</v>
      </c>
      <c r="F150" s="31">
        <f>IFERROR(VLOOKUP(C150,기출문제!D:G,4,0),"")</f>
        <v>3</v>
      </c>
      <c r="G150" s="32" t="str">
        <f t="shared" si="2"/>
        <v>O</v>
      </c>
    </row>
    <row r="151" spans="2:7" ht="85.5" x14ac:dyDescent="0.3">
      <c r="B151" s="13">
        <v>144</v>
      </c>
      <c r="C151" s="14" t="s">
        <v>783</v>
      </c>
      <c r="D151" s="13">
        <v>0</v>
      </c>
      <c r="E151" s="15" t="str">
        <f>IFERROR(VLOOKUP(C151,기출문제!D:G,3,0),"")</f>
        <v>104. 강화계획(schedules of reinforcement)에서 불규칙한 횟수의 바람직한 행동 후 강화요인을 제공하는 기법은?
① 고정간격법
② 변동간격법
③ 고정비율법
④ 변동비율법
⑤ 연속강화법</v>
      </c>
      <c r="F151" s="31">
        <f>IFERROR(VLOOKUP(C151,기출문제!D:G,4,0),"")</f>
        <v>4</v>
      </c>
      <c r="G151" s="32" t="str">
        <f t="shared" si="2"/>
        <v>X</v>
      </c>
    </row>
    <row r="152" spans="2:7" ht="85.5" x14ac:dyDescent="0.3">
      <c r="B152" s="13">
        <v>145</v>
      </c>
      <c r="C152" s="14" t="s">
        <v>784</v>
      </c>
      <c r="D152" s="13">
        <v>5</v>
      </c>
      <c r="E152" s="15" t="str">
        <f>IFERROR(VLOOKUP(C152,기출문제!D:G,3,0),"")</f>
        <v>105. 아담스(J. S. Adams)의 공정성이론에서 조직구성원들이 개인적 불공정성을 시정(是正)하기 위한 방법에 해당하지 않는 것은?
① 투입의 변경
② 산출의 변경
③ 투입과 산출의 인지적 왜곡
④ 장(場) 이탈
⑤ 준거인물 유지</v>
      </c>
      <c r="F152" s="31">
        <f>IFERROR(VLOOKUP(C152,기출문제!D:G,4,0),"")</f>
        <v>5</v>
      </c>
      <c r="G152" s="32" t="str">
        <f t="shared" si="2"/>
        <v>O</v>
      </c>
    </row>
    <row r="153" spans="2:7" ht="85.5" x14ac:dyDescent="0.3">
      <c r="B153" s="13">
        <v>146</v>
      </c>
      <c r="C153" s="14" t="s">
        <v>785</v>
      </c>
      <c r="D153" s="13">
        <v>5</v>
      </c>
      <c r="E153" s="15" t="str">
        <f>IFERROR(VLOOKUP(C153,기출문제!D:G,3,0),"")</f>
        <v>106. 직무급의 특징에 관한 설명으로 옳지 않은 것은?
① 직무의 상대적 가치에 따라 개별임금이 결정된다.
② 능력주의 인사풍토 조성에 유리하다.
③ 인건비의 효율성이 증대된다.
④ 동일노동 동일임금 실현이 가능해진다.
⑤ 시행 절차가 간단하고 적용이 용이하다.</v>
      </c>
      <c r="F153" s="31">
        <f>IFERROR(VLOOKUP(C153,기출문제!D:G,4,0),"")</f>
        <v>5</v>
      </c>
      <c r="G153" s="32" t="str">
        <f t="shared" si="2"/>
        <v>O</v>
      </c>
    </row>
    <row r="154" spans="2:7" ht="85.5" x14ac:dyDescent="0.3">
      <c r="B154" s="13">
        <v>147</v>
      </c>
      <c r="C154" s="14" t="s">
        <v>786</v>
      </c>
      <c r="D154" s="13">
        <v>0</v>
      </c>
      <c r="E154" s="15" t="str">
        <f>IFERROR(VLOOKUP(C154,기출문제!D:G,3,0),"")</f>
        <v>107. 노동조합의 조직형태에 관한 설명으로 옳지 않은 것은?
① 직종별 노동조합은 동종 근로자 집단으로 조직되어 단결이 강화되고 단체교섭과 임금협상이 용이하다.
② 일반노동조합은 숙련근로자들의 최저생활조건을 확보하기 위한 조직으로 초기에 발달한 형태이다.
③ 기업별 노동조합은 조합원들이 동일기업에 종사하고 있으므로 근로조건을 획일적으로 적용하기가 용이하다.
④ 산업별 노동조합은 기업과 직종을 초월한 거대한 조직으로서 정책활동 등에 의해 압력단체로서의 지위를 가진다.
⑤ 연합체 조직은 각 지역이나 기업 또는 직종별 단위조합이 단체의 자격으로 지역적 내지 전국적 조직의 구성원이 되는 형태이다.</v>
      </c>
      <c r="F154" s="31">
        <f>IFERROR(VLOOKUP(C154,기출문제!D:G,4,0),"")</f>
        <v>2</v>
      </c>
      <c r="G154" s="32" t="str">
        <f t="shared" si="2"/>
        <v>X</v>
      </c>
    </row>
    <row r="155" spans="2:7" ht="128.25" x14ac:dyDescent="0.3">
      <c r="B155" s="13">
        <v>148</v>
      </c>
      <c r="C155" s="14" t="s">
        <v>787</v>
      </c>
      <c r="D155" s="13">
        <v>4</v>
      </c>
      <c r="E155" s="15" t="str">
        <f>IFERROR(VLOOKUP(C155,기출문제!D:G,3,0),"")</f>
        <v>108. 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
① ㄱ. 감정적 요소 ㄴ. 인지적 요소 ㄷ. 행동적 요소
② ㄱ. 감정적 요소 ㄴ. 행동적 요소 ㄷ. 인지적 요소
③ ㄱ. 인지적 요소 ㄴ. 행동적 요소 ㄷ. 감정적 요소
④ ㄱ. 인지적 요소 ㄴ. 감정적 요소 ㄷ. 행동적 요소
⑤ ㄱ. 행동적 요소 ㄴ. 감정적 요소 ㄷ. 인지적 요소</v>
      </c>
      <c r="F155" s="31">
        <f>IFERROR(VLOOKUP(C155,기출문제!D:G,4,0),"")</f>
        <v>4</v>
      </c>
      <c r="G155" s="32" t="str">
        <f t="shared" si="2"/>
        <v>O</v>
      </c>
    </row>
    <row r="156" spans="2:7" ht="156.75" x14ac:dyDescent="0.3">
      <c r="B156" s="13">
        <v>149</v>
      </c>
      <c r="C156" s="14" t="s">
        <v>788</v>
      </c>
      <c r="D156" s="13">
        <v>2</v>
      </c>
      <c r="E156" s="15" t="str">
        <f>IFERROR(VLOOKUP(C156,기출문제!D:G,3,0),"")</f>
        <v>109. 프렌치와 레이븐(French &amp; Raven)의 권력원천 분류에 따라 개인적 원천의 권력에 해당하는 것을 모두 고른 것은?
ㄱ. 강제적 권력
ㄴ. 준거적 권력
ㄷ. 전문적 권력
ㄹ. 합법적 권력
ㅁ. 보상적 권력
① ㄱ, ㄴ
② ㄴ, ㄷ
③ ㄷ, ㄹ
④ ㄹ, ㅁ
⑤ ㄱ, ㄴ, ㅁ</v>
      </c>
      <c r="F156" s="31">
        <f>IFERROR(VLOOKUP(C156,기출문제!D:G,4,0),"")</f>
        <v>2</v>
      </c>
      <c r="G156" s="32" t="str">
        <f t="shared" si="2"/>
        <v>O</v>
      </c>
    </row>
    <row r="157" spans="2:7" ht="85.5" x14ac:dyDescent="0.3">
      <c r="B157" s="13">
        <v>150</v>
      </c>
      <c r="C157" s="14" t="s">
        <v>789</v>
      </c>
      <c r="D157" s="13">
        <v>1</v>
      </c>
      <c r="E157" s="15" t="str">
        <f>IFERROR(VLOOKUP(C157,기출문제!D:G,3,0),"")</f>
        <v>110. 모집 방법 중 사내공모제(job posting system)의 특징에 관한 설명으로 옳지 않은 것은?
① 종업원의 상위직급 승진 기회가 제한된다.
② 외부 인력의 영입이 차단되어 조직이 정체될 가능성이 있다.
③ 지원자의 소속부서 상사와의 인간관계가 훼손될 수 있다.
④ 특정부서의 선발 시 연고주의를 고집할 경우 조직 내 파벌이 조성될 수 있다.
⑤ 선발과정에서 여러번 탈락되었을 때 지원자의 심리적 위축감이 고조된다.</v>
      </c>
      <c r="F157" s="31">
        <f>IFERROR(VLOOKUP(C157,기출문제!D:G,4,0),"")</f>
        <v>1</v>
      </c>
      <c r="G157" s="32" t="str">
        <f t="shared" si="2"/>
        <v>O</v>
      </c>
    </row>
    <row r="158" spans="2:7" ht="85.5" x14ac:dyDescent="0.3">
      <c r="B158" s="13">
        <v>151</v>
      </c>
      <c r="C158" s="14" t="s">
        <v>790</v>
      </c>
      <c r="D158" s="13">
        <v>1</v>
      </c>
      <c r="E158" s="15" t="str">
        <f>IFERROR(VLOOKUP(C158,기출문제!D:G,3,0),"")</f>
        <v>111. 인사고과의 오류 중 피고과자가 속한 사회적 집단에 대한 평가에 기초하여 판단하는 것은?
① 상동적 오류(stereotyping errors)
② 논리적 오류(logical errors)
③ 대비오류(contrast errors)
④ 근접오류(proximity errors)
⑤ 후광효과(halo effect)</v>
      </c>
      <c r="F158" s="31">
        <f>IFERROR(VLOOKUP(C158,기출문제!D:G,4,0),"")</f>
        <v>1</v>
      </c>
      <c r="G158" s="32" t="str">
        <f t="shared" si="2"/>
        <v>O</v>
      </c>
    </row>
    <row r="159" spans="2:7" ht="85.5" x14ac:dyDescent="0.3">
      <c r="B159" s="13">
        <v>152</v>
      </c>
      <c r="C159" s="14" t="s">
        <v>791</v>
      </c>
      <c r="D159" s="13">
        <v>5</v>
      </c>
      <c r="E159" s="15" t="str">
        <f>IFERROR(VLOOKUP(C159,기출문제!D:G,3,0),"")</f>
        <v>112. 집단의사결정의 특징에 관한 설명으로 옳지 않은 것은?
① 구성원으로부터 다양한 정보를 얻을 수 있다.
② 의사결정에 참여한 구성원들의 교육효과가 높게 나타난다.
③ 구성원의 합의에 의한 것이므로 수용도와 응집력이 높아진다.
④ 서로의 의견에 비판없이 동의하는 경향이 있다.
⑤ 차선책을 채택하는 오류가 발생하지 않는다.</v>
      </c>
      <c r="F159" s="31">
        <f>IFERROR(VLOOKUP(C159,기출문제!D:G,4,0),"")</f>
        <v>5</v>
      </c>
      <c r="G159" s="32" t="str">
        <f t="shared" si="2"/>
        <v>O</v>
      </c>
    </row>
    <row r="160" spans="2:7" ht="85.5" x14ac:dyDescent="0.3">
      <c r="B160" s="13">
        <v>153</v>
      </c>
      <c r="C160" s="14" t="s">
        <v>792</v>
      </c>
      <c r="D160" s="13">
        <v>1</v>
      </c>
      <c r="E160" s="15" t="str">
        <f>IFERROR(VLOOKUP(C160,기출문제!D:G,3,0),"")</f>
        <v>113. 생산성을 높이고, 유통을 효율화 시키는 등 주로 원가절감에 관심을 갖는 마케팅 개념은?
① 판매 개념
② 생산 개념
③ 관계마케팅 개념
④ 통합마케팅 개념
⑤ 내부마케팅 개념</v>
      </c>
      <c r="F160" s="31">
        <f>IFERROR(VLOOKUP(C160,기출문제!D:G,4,0),"")</f>
        <v>2</v>
      </c>
      <c r="G160" s="32" t="str">
        <f t="shared" si="2"/>
        <v>X</v>
      </c>
    </row>
    <row r="161" spans="2:7" ht="85.5" x14ac:dyDescent="0.3">
      <c r="B161" s="13">
        <v>154</v>
      </c>
      <c r="C161" s="14" t="s">
        <v>793</v>
      </c>
      <c r="D161" s="13">
        <v>5</v>
      </c>
      <c r="E161" s="15" t="str">
        <f>IFERROR(VLOOKUP(C161,기출문제!D:G,3,0),"")</f>
        <v>114. 수요가 공급을 초과할 때 수요를 감소시키는 것을 목적으로 하는 마케팅관리 기법은?
① 전환적 마케팅(conversional marketing)
② 동시화 마케팅(synchro marketing)
③ 자극적 마케팅(stimulative marketing)
④ 개발적 마케팅(developmental marketing)
⑤ 디마케팅(demarketing)</v>
      </c>
      <c r="F161" s="31">
        <f>IFERROR(VLOOKUP(C161,기출문제!D:G,4,0),"")</f>
        <v>5</v>
      </c>
      <c r="G161" s="32" t="str">
        <f t="shared" si="2"/>
        <v>O</v>
      </c>
    </row>
    <row r="162" spans="2:7" ht="85.5" x14ac:dyDescent="0.3">
      <c r="B162" s="13">
        <v>155</v>
      </c>
      <c r="C162" s="14" t="s">
        <v>794</v>
      </c>
      <c r="D162" s="13">
        <v>1</v>
      </c>
      <c r="E162" s="15" t="str">
        <f>IFERROR(VLOOKUP(C162,기출문제!D:G,3,0),"")</f>
        <v>115. 수직적 마케팅시스템(Vertical Marketing System) 중 소유권의 정도와 통제력이 강한 유형에 해당하는 것은?
① 계약형 VMS
② 기업형 VMS
③ 관리형 VMS
④ 협력형 VMS
⑤ 혼합형 VMS</v>
      </c>
      <c r="F162" s="31">
        <f>IFERROR(VLOOKUP(C162,기출문제!D:G,4,0),"")</f>
        <v>2</v>
      </c>
      <c r="G162" s="32" t="str">
        <f t="shared" si="2"/>
        <v>X</v>
      </c>
    </row>
    <row r="163" spans="2:7" ht="85.5" x14ac:dyDescent="0.3">
      <c r="B163" s="13">
        <v>156</v>
      </c>
      <c r="C163" s="14" t="s">
        <v>795</v>
      </c>
      <c r="D163" s="13">
        <v>1</v>
      </c>
      <c r="E163" s="15" t="str">
        <f>IFERROR(VLOOKUP(C163,기출문제!D:G,3,0),"")</f>
        <v>116. 소비자 심리에 근거한 가격결정 방법으로 옳지 않은 것은?
① 종속가격(captive pricing)
② 단수가격(odd pricing)
③ 준거가격(reference pricing)
④ 긍지가격(prestige pricing)
⑤ 관습가격(customary pricing)</v>
      </c>
      <c r="F163" s="31">
        <f>IFERROR(VLOOKUP(C163,기출문제!D:G,4,0),"")</f>
        <v>1</v>
      </c>
      <c r="G163" s="32" t="str">
        <f t="shared" si="2"/>
        <v>O</v>
      </c>
    </row>
    <row r="164" spans="2:7" ht="85.5" x14ac:dyDescent="0.3">
      <c r="B164" s="13">
        <v>157</v>
      </c>
      <c r="C164" s="14" t="s">
        <v>796</v>
      </c>
      <c r="D164" s="13">
        <v>0</v>
      </c>
      <c r="E164" s="15" t="str">
        <f>IFERROR(VLOOKUP(C164,기출문제!D:G,3,0),"")</f>
        <v>117. (주)한국의 유동자산은 1,200,000원이고, 유동비율과 당좌비율은 각각 200%와 150%이다. (주)한국의 재고자산은?
① 300,000원
② 600,000원
③ 900,000원
④ 1,800,000원
⑤ 2,400,000원</v>
      </c>
      <c r="F164" s="31">
        <f>IFERROR(VLOOKUP(C164,기출문제!D:G,4,0),"")</f>
        <v>1</v>
      </c>
      <c r="G164" s="32" t="str">
        <f t="shared" si="2"/>
        <v>X</v>
      </c>
    </row>
    <row r="165" spans="2:7" ht="156.75" x14ac:dyDescent="0.3">
      <c r="B165" s="13">
        <v>158</v>
      </c>
      <c r="C165" s="14" t="s">
        <v>797</v>
      </c>
      <c r="D165" s="13">
        <v>4</v>
      </c>
      <c r="E165" s="15" t="str">
        <f>IFERROR(VLOOKUP(C165,기출문제!D:G,3,0),"")</f>
        <v>118. 투자안의 경제성분석방법 중 화폐의 시간가치를 고려한 방법을 모두 고른 것은?
ㄱ. 회수기간법
ㄴ. 수익성지수법
ㄷ. 회계적이익률법
ㄹ. 순현재가치법
ㅁ. 내부수익률법
① ㄱ, ㄴ
② ㄱ, ㄹ
③ ㄴ, ㄷ
④ ㄴ, ㄹ, ㅁ
⑤ ㄷ, ㄹ, ㅁ</v>
      </c>
      <c r="F165" s="31">
        <f>IFERROR(VLOOKUP(C165,기출문제!D:G,4,0),"")</f>
        <v>4</v>
      </c>
      <c r="G165" s="32" t="str">
        <f t="shared" si="2"/>
        <v>O</v>
      </c>
    </row>
    <row r="166" spans="2:7" ht="99.75" x14ac:dyDescent="0.3">
      <c r="B166" s="13">
        <v>159</v>
      </c>
      <c r="C166" s="14" t="s">
        <v>798</v>
      </c>
      <c r="D166" s="13">
        <v>0</v>
      </c>
      <c r="E166" s="15" t="str">
        <f>IFERROR(VLOOKUP(C166,기출문제!D:G,3,0),"")</f>
        <v>119. (주)한국의 자기자본 시장가치와 타인자본 시장가치는 각각 5억원이다. 자기자본 비용은 16%이고, 세전타인자본비용은 12%이다. 법인세율이 50%일 때 (주)한국의 가중평균자본비용(WACC)은?
① 6%
② 8%
③ 11%
④ 13%
⑤ 15%</v>
      </c>
      <c r="F166" s="31">
        <f>IFERROR(VLOOKUP(C166,기출문제!D:G,4,0),"")</f>
        <v>3</v>
      </c>
      <c r="G166" s="32" t="str">
        <f t="shared" si="2"/>
        <v>X</v>
      </c>
    </row>
    <row r="167" spans="2:7" ht="99.75" x14ac:dyDescent="0.3">
      <c r="B167" s="13">
        <v>160</v>
      </c>
      <c r="C167" s="14" t="s">
        <v>799</v>
      </c>
      <c r="D167" s="13">
        <v>0</v>
      </c>
      <c r="E167" s="15" t="str">
        <f>IFERROR(VLOOKUP(C167,기출문제!D:G,3,0),"")</f>
        <v>120. (주)한국의 A부품에 대한 연간수요는 4,000개이며, A부품 구입가격은 단위당 8,000원이다. 1회당 주문비용은 4,000원이고, 단위당 연간 재고유지비용은 구입가격의 10%일 때 A부품의 경제적 주문량(EOQ)은?
① 100개
② 200개
③ 300개
④ 400개
⑤ 600개</v>
      </c>
      <c r="F167" s="31">
        <f>IFERROR(VLOOKUP(C167,기출문제!D:G,4,0),"")</f>
        <v>2</v>
      </c>
      <c r="G167" s="32" t="str">
        <f t="shared" si="2"/>
        <v>X</v>
      </c>
    </row>
    <row r="168" spans="2:7" ht="85.5" x14ac:dyDescent="0.3">
      <c r="B168" s="13">
        <v>161</v>
      </c>
      <c r="C168" s="14" t="s">
        <v>800</v>
      </c>
      <c r="D168" s="13">
        <v>0</v>
      </c>
      <c r="E168" s="15" t="str">
        <f>IFERROR(VLOOKUP(C168,기출문제!D:G,3,0),"")</f>
        <v>121. 수요예측기법 중 인과형 예측기법(causal forecasting methods)에 해당하는 것은?
① 델파이법
② 패널동의법
③ 회귀분석법
④ 판매원 의견종합법
⑤ 자료유추법</v>
      </c>
      <c r="F168" s="31">
        <f>IFERROR(VLOOKUP(C168,기출문제!D:G,4,0),"")</f>
        <v>3</v>
      </c>
      <c r="G168" s="32" t="str">
        <f t="shared" si="2"/>
        <v>X</v>
      </c>
    </row>
    <row r="169" spans="2:7" ht="85.5" x14ac:dyDescent="0.3">
      <c r="B169" s="13">
        <v>162</v>
      </c>
      <c r="C169" s="14" t="s">
        <v>801</v>
      </c>
      <c r="D169" s="13">
        <v>4</v>
      </c>
      <c r="E169" s="15" t="str">
        <f>IFERROR(VLOOKUP(C169,기출문제!D:G,3,0),"")</f>
        <v>122. 포괄손익계산서의 계정에 해당하지 않는 것은?
① 감가상각비
② 광고비
③ 매출원가
④ 자기주식처분이익
⑤ 유형자산처분이익</v>
      </c>
      <c r="F169" s="31">
        <f>IFERROR(VLOOKUP(C169,기출문제!D:G,4,0),"")</f>
        <v>4</v>
      </c>
      <c r="G169" s="32" t="str">
        <f t="shared" si="2"/>
        <v>O</v>
      </c>
    </row>
    <row r="170" spans="2:7" ht="99.75" x14ac:dyDescent="0.3">
      <c r="B170" s="13">
        <v>163</v>
      </c>
      <c r="C170" s="14" t="s">
        <v>802</v>
      </c>
      <c r="D170" s="13">
        <v>0</v>
      </c>
      <c r="E170" s="15" t="str">
        <f>IFERROR(VLOOKUP(C170,기출문제!D:G,3,0),"")</f>
        <v>123. (주)한국(결산일: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
① 처분이익 20,000원
② 처분손실 20,000원
③ 처분이익 100,000원
④ 처분손실 100,000원
⑤ 처분손실 300,000원</v>
      </c>
      <c r="F170" s="31">
        <f>IFERROR(VLOOKUP(C170,기출문제!D:G,4,0),"")</f>
        <v>1</v>
      </c>
      <c r="G170" s="32" t="str">
        <f t="shared" si="2"/>
        <v>X</v>
      </c>
    </row>
    <row r="171" spans="2:7" ht="85.5" x14ac:dyDescent="0.3">
      <c r="B171" s="13">
        <v>164</v>
      </c>
      <c r="C171" s="14" t="s">
        <v>803</v>
      </c>
      <c r="D171" s="13">
        <v>0</v>
      </c>
      <c r="E171" s="15" t="str">
        <f>IFERROR(VLOOKUP(C171,기출문제!D:G,3,0),"")</f>
        <v>124. 다음 중 자본잉여금에 해당하는 항목은?
① 미교부주식배당금
② 법정적립금
③ 임의적립금
④ 미처분이익잉여금
⑤ 주식발행초과금</v>
      </c>
      <c r="F171" s="31">
        <f>IFERROR(VLOOKUP(C171,기출문제!D:G,4,0),"")</f>
        <v>5</v>
      </c>
      <c r="G171" s="32" t="str">
        <f t="shared" si="2"/>
        <v>X</v>
      </c>
    </row>
    <row r="172" spans="2:7" ht="85.5" x14ac:dyDescent="0.3">
      <c r="B172" s="13">
        <v>165</v>
      </c>
      <c r="C172" s="14" t="s">
        <v>804</v>
      </c>
      <c r="D172" s="13">
        <v>3</v>
      </c>
      <c r="E172" s="15" t="str">
        <f>IFERROR(VLOOKUP(C172,기출문제!D:G,3,0),"")</f>
        <v>125. 스마트폰에 신용카드 등의 금융정보를 담아 10 ~ 15 cm의 근거리에서 결제를 가능하게 하는 무선통신기술은?
① 블루투스(Bluetooth)
② GPS(Global Positioning System)
③ NFC(Near Field Communication)
④ IoT(Internet of Things)
⑤ 텔레매틱스(Telematics)</v>
      </c>
      <c r="F172" s="31">
        <f>IFERROR(VLOOKUP(C172,기출문제!D:G,4,0),"")</f>
        <v>3</v>
      </c>
      <c r="G172" s="32" t="str">
        <f t="shared" si="2"/>
        <v>O</v>
      </c>
    </row>
    <row r="173" spans="2:7" ht="85.5" x14ac:dyDescent="0.3">
      <c r="B173" s="13">
        <v>166</v>
      </c>
      <c r="C173" s="14" t="s">
        <v>188</v>
      </c>
      <c r="D173" s="13">
        <v>2</v>
      </c>
      <c r="E173" s="15" t="str">
        <f>IFERROR(VLOOKUP(C173,기출문제!D:G,3,0),"")</f>
        <v>101. 동종 또는 유사업종의 기업들이 법적, 경제적 독립성을 유지하면서 협정을 통해 수평적으로 결합하는 형태는?
① 지주회사(Holding Company)
② 카르텔(Cartel)
③ 컨글로메리트(Conglomerate)
④ 트러스트(Trust)
⑤ 콘체른(Concern)</v>
      </c>
      <c r="F173" s="31">
        <f>IFERROR(VLOOKUP(C173,기출문제!D:G,4,0),"")</f>
        <v>2</v>
      </c>
      <c r="G173" s="32" t="str">
        <f t="shared" si="2"/>
        <v>O</v>
      </c>
    </row>
    <row r="174" spans="2:7" ht="85.5" x14ac:dyDescent="0.3">
      <c r="B174" s="13">
        <v>167</v>
      </c>
      <c r="C174" s="14" t="s">
        <v>806</v>
      </c>
      <c r="D174" s="13">
        <v>1</v>
      </c>
      <c r="E174" s="15" t="str">
        <f>IFERROR(VLOOKUP(C174,기출문제!D:G,3,0),"")</f>
        <v>102. 포터(M. Porter)의 경쟁전략 유형에 해당하는 것은?
① 차별화(Differentitaion) 전략
② 블루오션(Blue Ocean) 전략
③ 방어자(Defender) 전략
④ 반응자(Reactor) 전략
⑤ 분석자(Analyzer) 전략</v>
      </c>
      <c r="F174" s="31">
        <f>IFERROR(VLOOKUP(C174,기출문제!D:G,4,0),"")</f>
        <v>1</v>
      </c>
      <c r="G174" s="32" t="str">
        <f t="shared" si="2"/>
        <v>O</v>
      </c>
    </row>
    <row r="175" spans="2:7" ht="128.25" x14ac:dyDescent="0.3">
      <c r="B175" s="13">
        <v>168</v>
      </c>
      <c r="C175" s="14" t="s">
        <v>807</v>
      </c>
      <c r="D175" s="13">
        <v>2</v>
      </c>
      <c r="E175" s="15" t="str">
        <f>IFERROR(VLOOKUP(C175,기출문제!D:G,3,0),"")</f>
        <v>103. 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
① 기대이론
② 공정성이론
③ 욕구단계이론
④ 목표설정이론
⑤ 인지적평가이론</v>
      </c>
      <c r="F175" s="31">
        <f>IFERROR(VLOOKUP(C175,기출문제!D:G,4,0),"")</f>
        <v>2</v>
      </c>
      <c r="G175" s="32" t="str">
        <f t="shared" si="2"/>
        <v>O</v>
      </c>
    </row>
    <row r="176" spans="2:7" ht="85.5" x14ac:dyDescent="0.3">
      <c r="B176" s="13">
        <v>169</v>
      </c>
      <c r="C176" s="14" t="s">
        <v>808</v>
      </c>
      <c r="D176" s="13">
        <v>5</v>
      </c>
      <c r="E176" s="15" t="str">
        <f>IFERROR(VLOOKUP(C176,기출문제!D:G,3,0),"")</f>
        <v>104. 평가센터법(Assessment Center)에 관한 설명으로 옳지 않은 것은?
① 평가에 대한 신뢰성이 양호하다.
② 승진에 대한 의사결정에 유용하다.
③ 교육훈련에 대한 타당성이 높다.
④ 평가센터에 초대받지 못한 종업원의 심리적 저항이 예상된다.
⑤ 다른 평가기법에 비해 상대적으로 비용과 시간이 적게 소요된다.</v>
      </c>
      <c r="F176" s="31">
        <f>IFERROR(VLOOKUP(C176,기출문제!D:G,4,0),"")</f>
        <v>5</v>
      </c>
      <c r="G176" s="32" t="str">
        <f t="shared" si="2"/>
        <v>O</v>
      </c>
    </row>
    <row r="177" spans="2:7" ht="85.5" x14ac:dyDescent="0.3">
      <c r="B177" s="13">
        <v>170</v>
      </c>
      <c r="C177" s="14" t="s">
        <v>809</v>
      </c>
      <c r="D177" s="13">
        <v>5</v>
      </c>
      <c r="E177" s="15" t="str">
        <f>IFERROR(VLOOKUP(C177,기출문제!D:G,3,0),"")</f>
        <v>105. 최저임금제의 필요성으로 옳지 않은 것은?
① 계약자유 원칙의 한계 보완
② 저임금 노동자 보호
③ 임금인하 경쟁 방지
④ 유효수요 창출
⑤ 소비자 부담 완화</v>
      </c>
      <c r="F177" s="31">
        <f>IFERROR(VLOOKUP(C177,기출문제!D:G,4,0),"")</f>
        <v>5</v>
      </c>
      <c r="G177" s="32" t="str">
        <f t="shared" si="2"/>
        <v>O</v>
      </c>
    </row>
    <row r="178" spans="2:7" ht="99.75" x14ac:dyDescent="0.3">
      <c r="B178" s="13">
        <v>171</v>
      </c>
      <c r="C178" s="14" t="s">
        <v>810</v>
      </c>
      <c r="D178" s="13">
        <v>2</v>
      </c>
      <c r="E178" s="15" t="str">
        <f>IFERROR(VLOOKUP(C178,기출문제!D:G,3,0),"")</f>
        <v>106. 인사평가방법중 피평가자의 능력, 태도, 작업, 성과 등에 관련된 표준행동들을 제시하고 평가자가 해당 서술문을 대조하여 평가하는 방법은?
① 서열법
② 평정척도법
③ 체크리스트법
④ 중요사건기술법
⑤ 목표관리법</v>
      </c>
      <c r="F178" s="31">
        <f>IFERROR(VLOOKUP(C178,기출문제!D:G,4,0),"")</f>
        <v>3</v>
      </c>
      <c r="G178" s="32" t="str">
        <f t="shared" si="2"/>
        <v>X</v>
      </c>
    </row>
    <row r="179" spans="2:7" ht="85.5" x14ac:dyDescent="0.3">
      <c r="B179" s="13">
        <v>172</v>
      </c>
      <c r="C179" s="14" t="s">
        <v>811</v>
      </c>
      <c r="D179" s="13">
        <v>2</v>
      </c>
      <c r="E179" s="15" t="str">
        <f>IFERROR(VLOOKUP(C179,기출문제!D:G,3,0),"")</f>
        <v>107. 교육훈련 필요성을 파악하기 위한 일반적인 분석방법이 아닌 것은?
① 전문가 자문법
② 역할연기법
③ 자료조사법
④ 면접법
⑤ 델파이기법</v>
      </c>
      <c r="F179" s="31">
        <f>IFERROR(VLOOKUP(C179,기출문제!D:G,4,0),"")</f>
        <v>2</v>
      </c>
      <c r="G179" s="32" t="str">
        <f t="shared" si="2"/>
        <v>O</v>
      </c>
    </row>
    <row r="180" spans="2:7" ht="99.75" x14ac:dyDescent="0.3">
      <c r="B180" s="13">
        <v>173</v>
      </c>
      <c r="C180" s="14" t="s">
        <v>812</v>
      </c>
      <c r="D180" s="13">
        <v>2</v>
      </c>
      <c r="E180" s="15" t="str">
        <f>IFERROR(VLOOKUP(C180,기출문제!D:G,3,0),"")</f>
        <v>108. 맥그리거(D. McGregor)의 X - Y이론은 인간에 대한 기본 가정에 따라 동기부여방식이 달라진다는 것이다. Y이론에 해당하는 가정 또는 동기부여방식이 아닌 것은?
① 문제해결을 위한 창조적 능력 보유
② 직무수행에 대한 분명한 지시
③ 조직목표 달성을 위한 자기 통제
④ 성취감과 자아실현 추구
⑤ 노동에 대한 자연스러운 수용</v>
      </c>
      <c r="F180" s="31">
        <f>IFERROR(VLOOKUP(C180,기출문제!D:G,4,0),"")</f>
        <v>2</v>
      </c>
      <c r="G180" s="32" t="str">
        <f t="shared" si="2"/>
        <v>O</v>
      </c>
    </row>
    <row r="181" spans="2:7" ht="85.5" x14ac:dyDescent="0.3">
      <c r="B181" s="13">
        <v>174</v>
      </c>
      <c r="C181" s="14" t="s">
        <v>813</v>
      </c>
      <c r="D181" s="13">
        <v>5</v>
      </c>
      <c r="E181" s="15" t="str">
        <f>IFERROR(VLOOKUP(C181,기출문제!D:G,3,0),"")</f>
        <v>109. 서번트 리더의 특성으로 옳지 않은 것은?
① 부하의 성장을 위해 헌신한다.
② 부하의 감정에 공감하고 이해하려고 노력한다.
③ 권력이나 지시보다는 설득으로 부하를 대한다.
④ 조직의 구성원들에게 공동체 정신을 심어준다.
⑤ 비전 달성을 위해 위험감수 등 비범한 행동을 보인다.</v>
      </c>
      <c r="F181" s="31">
        <f>IFERROR(VLOOKUP(C181,기출문제!D:G,4,0),"")</f>
        <v>5</v>
      </c>
      <c r="G181" s="32" t="str">
        <f t="shared" si="2"/>
        <v>O</v>
      </c>
    </row>
    <row r="182" spans="2:7" ht="128.25" x14ac:dyDescent="0.3">
      <c r="B182" s="13">
        <v>175</v>
      </c>
      <c r="C182" s="14" t="s">
        <v>814</v>
      </c>
      <c r="D182" s="13">
        <v>4</v>
      </c>
      <c r="E182" s="15" t="str">
        <f>IFERROR(VLOOKUP(C182,기출문제!D:G,3,0),"")</f>
        <v>110. 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
① 연봉제
② 개인성과급제
③ 임금피크제
④ 럭커 플랜
⑤ 스캔론 플랜</v>
      </c>
      <c r="F182" s="31">
        <f>IFERROR(VLOOKUP(C182,기출문제!D:G,4,0),"")</f>
        <v>4</v>
      </c>
      <c r="G182" s="32" t="str">
        <f t="shared" si="2"/>
        <v>O</v>
      </c>
    </row>
    <row r="183" spans="2:7" ht="142.5" x14ac:dyDescent="0.3">
      <c r="B183" s="13">
        <v>176</v>
      </c>
      <c r="C183" s="14" t="s">
        <v>815</v>
      </c>
      <c r="D183" s="13">
        <v>3</v>
      </c>
      <c r="E183" s="15" t="str">
        <f>IFERROR(VLOOKUP(C183,기출문제!D:G,3,0),"")</f>
        <v>111. 다음에서 설명하는 소비재는?
○ 특정 브랜드에 대한 고객 충성도가 높다.
○ 제품마다 고유한 특성을 지니고 있다.
○ 브랜드마다 차이가 크다.
○ 구매 시 많은 시간과 노력을 필요로 한다.
① 편의품(Convenience Goods)
② 선매품(Shopping Goods)
③ 전문품(Specialty Goods)
④ 자본재(Captical Items)
⑤ 원자재(Raw Materials)</v>
      </c>
      <c r="F183" s="31">
        <f>IFERROR(VLOOKUP(C183,기출문제!D:G,4,0),"")</f>
        <v>3</v>
      </c>
      <c r="G183" s="32" t="str">
        <f t="shared" si="2"/>
        <v>O</v>
      </c>
    </row>
    <row r="184" spans="2:7" ht="85.5" x14ac:dyDescent="0.3">
      <c r="B184" s="13">
        <v>177</v>
      </c>
      <c r="C184" s="14" t="s">
        <v>816</v>
      </c>
      <c r="D184" s="13">
        <v>1</v>
      </c>
      <c r="E184" s="15" t="str">
        <f>IFERROR(VLOOKUP(C184,기출문제!D:G,3,0),"")</f>
        <v>112. 신제품 가격결정방법 중 초기고가전략(Skimming Pricing)을 채택하기 어려운 이유는?
① 수요의 가격탄력성이 높은 경우
② 생산 및 마케팅 비용이 높은 경우
③ 경쟁자의 시장진입이 어려운 경우
④ 제품의 혁신성이 큰 경우
⑤ 독보적인 기술이 있는 경우</v>
      </c>
      <c r="F184" s="31">
        <f>IFERROR(VLOOKUP(C184,기출문제!D:G,4,0),"")</f>
        <v>1</v>
      </c>
      <c r="G184" s="32" t="str">
        <f t="shared" si="2"/>
        <v>O</v>
      </c>
    </row>
    <row r="185" spans="2:7" ht="85.5" x14ac:dyDescent="0.3">
      <c r="B185" s="13">
        <v>178</v>
      </c>
      <c r="C185" s="14" t="s">
        <v>817</v>
      </c>
      <c r="D185" s="13">
        <v>4</v>
      </c>
      <c r="E185" s="15" t="str">
        <f>IFERROR(VLOOKUP(C185,기출문제!D:G,3,0),"")</f>
        <v>113. 효과적인 시장세분화를 위한 요건으로 옳지 않은 것은?
① 측정가능성
② 충분한 시장 규모
③ 접근가능성
④ 세분시장 간의 동질성
⑤ 실행가능성</v>
      </c>
      <c r="F185" s="31">
        <f>IFERROR(VLOOKUP(C185,기출문제!D:G,4,0),"")</f>
        <v>4</v>
      </c>
      <c r="G185" s="32" t="str">
        <f t="shared" si="2"/>
        <v>O</v>
      </c>
    </row>
    <row r="186" spans="2:7" ht="85.5" x14ac:dyDescent="0.3">
      <c r="B186" s="13">
        <v>179</v>
      </c>
      <c r="C186" s="14" t="s">
        <v>818</v>
      </c>
      <c r="D186" s="13">
        <v>5</v>
      </c>
      <c r="E186" s="15" t="str">
        <f>IFERROR(VLOOKUP(C186,기출문제!D:G,3,0),"")</f>
        <v>114. 촉진믹스(Promotion Mix) 활동에 해당되지 않는 것은?
① 옥외광고
② 방문판매
③ 홍보
④ 가격할인
⑤ 개방적 유통</v>
      </c>
      <c r="F186" s="31">
        <f>IFERROR(VLOOKUP(C186,기출문제!D:G,4,0),"")</f>
        <v>5</v>
      </c>
      <c r="G186" s="32" t="str">
        <f t="shared" si="2"/>
        <v>O</v>
      </c>
    </row>
    <row r="187" spans="2:7" ht="99.75" x14ac:dyDescent="0.3">
      <c r="B187" s="13">
        <v>180</v>
      </c>
      <c r="C187" s="14" t="s">
        <v>819</v>
      </c>
      <c r="D187" s="13">
        <v>0</v>
      </c>
      <c r="E187" s="15" t="str">
        <f>IFERROR(VLOOKUP(C187,기출문제!D:G,3,0),"")</f>
        <v>115. A기업은 액면가액 10,000원, 만기 2년, 액면이자율 연 3%인 채권을 발행하였다. 시장이자율이 연 2%라면, 이 채권의 이론가격은? (단, 가격은 소수점 첫째 자리에서 반올림한다.)
① 9,194원
② 9,594원
③ 10,194원
④ 10,594원
⑤ 10,994원</v>
      </c>
      <c r="F187" s="31">
        <f>IFERROR(VLOOKUP(C187,기출문제!D:G,4,0),"")</f>
        <v>3</v>
      </c>
      <c r="G187" s="32" t="str">
        <f t="shared" si="2"/>
        <v>X</v>
      </c>
    </row>
    <row r="188" spans="2:7" ht="99.75" x14ac:dyDescent="0.3">
      <c r="B188" s="13">
        <v>181</v>
      </c>
      <c r="C188" s="14" t="s">
        <v>820</v>
      </c>
      <c r="D188" s="13">
        <v>1</v>
      </c>
      <c r="E188" s="15" t="str">
        <f>IFERROR(VLOOKUP(C188,기출문제!D:G,3,0),"")</f>
        <v>116. 자본예산은 투자로 인한 수익이 1년 이상에 걸쳐 장기적으로 실현될 투자결정에 관한 일련의 과정을 말한다. 투자안의 평가방법에 해당하지 않는 것은?
① 유동성분석법
② 수익성지수법
③ 순현재가치법
④ 내부수익률법
⑤ 회수기간법</v>
      </c>
      <c r="F188" s="31">
        <f>IFERROR(VLOOKUP(C188,기출문제!D:G,4,0),"")</f>
        <v>1</v>
      </c>
      <c r="G188" s="32" t="str">
        <f t="shared" si="2"/>
        <v>O</v>
      </c>
    </row>
    <row r="189" spans="2:7" ht="114" x14ac:dyDescent="0.3">
      <c r="B189" s="13">
        <v>182</v>
      </c>
      <c r="C189" s="14" t="s">
        <v>821</v>
      </c>
      <c r="D189" s="13">
        <v>0</v>
      </c>
      <c r="E189" s="15" t="str">
        <f>IFERROR(VLOOKUP(C189,기출문제!D:G,3,0),"")</f>
        <v>117. 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
① 90,910원
② 173,550원
③ 182,640원
④ 235,500원
⑤ 256,190원</v>
      </c>
      <c r="F189" s="31">
        <f>IFERROR(VLOOKUP(C189,기출문제!D:G,4,0),"")</f>
        <v>4</v>
      </c>
      <c r="G189" s="32" t="str">
        <f t="shared" si="2"/>
        <v>X</v>
      </c>
    </row>
    <row r="190" spans="2:7" ht="99.75" x14ac:dyDescent="0.3">
      <c r="B190" s="13">
        <v>183</v>
      </c>
      <c r="C190" s="14" t="s">
        <v>822</v>
      </c>
      <c r="D190" s="13">
        <v>1</v>
      </c>
      <c r="E190" s="15" t="str">
        <f>IFERROR(VLOOKUP(C190,기출문제!D:G,3,0),"")</f>
        <v>118. 최종품목 또는 완제품의 주생산일정계획(Master Production Schedule)을 기반으로 제품생산에 필요한 각종 원자재, 부품, 중간조립품의 주문량과 주문시기를 결정하는 재고관리방법은?
① 자재소요계획(MRP)
② 적시(JIT) 생산시스템
③ 린(Lean) 생산
④ 공급사슬관리(SCM)
⑤ 칸반(Kanban) 시스템</v>
      </c>
      <c r="F190" s="31">
        <f>IFERROR(VLOOKUP(C190,기출문제!D:G,4,0),"")</f>
        <v>1</v>
      </c>
      <c r="G190" s="32" t="str">
        <f t="shared" si="2"/>
        <v>O</v>
      </c>
    </row>
    <row r="191" spans="2:7" ht="99.75" x14ac:dyDescent="0.3">
      <c r="B191" s="13">
        <v>184</v>
      </c>
      <c r="C191" s="14" t="s">
        <v>823</v>
      </c>
      <c r="D191" s="13">
        <v>0</v>
      </c>
      <c r="E191" s="15" t="str">
        <f>IFERROR(VLOOKUP(C191,기출문제!D:G,3,0),"")</f>
        <v>119. 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
① 50대, 5회
② 50대, 10회
③ 100대, 5회
④ 100대, 7회
⑤ 250대, 2회</v>
      </c>
      <c r="F191" s="31">
        <f>IFERROR(VLOOKUP(C191,기출문제!D:G,4,0),"")</f>
        <v>3</v>
      </c>
      <c r="G191" s="32" t="str">
        <f t="shared" si="2"/>
        <v>X</v>
      </c>
    </row>
    <row r="192" spans="2:7" ht="85.5" x14ac:dyDescent="0.3">
      <c r="B192" s="13">
        <v>185</v>
      </c>
      <c r="C192" s="14" t="s">
        <v>824</v>
      </c>
      <c r="D192" s="13">
        <v>0</v>
      </c>
      <c r="E192" s="15" t="str">
        <f>IFERROR(VLOOKUP(C192,기출문제!D:G,3,0),"")</f>
        <v>120. 재고품목을 가치나 상대적 중요도에 따라 차별화하여 관리하는 ABC 재고관리에 관한 설명으로 옳은 것은?
① A등급은 재고가치가 낮은 품목들이 속한다.
② A등급 품목은 로트 크기를 크게 유지한다.
③ C등급 품목은 재고유지비가 높다.
④ ABC등급 분석을 위해 롱테일(Long Tail)법칙을 활용한다.
⑤ 가격, 사용량 등을 기준으로 등급을 구분한다.</v>
      </c>
      <c r="F192" s="31">
        <f>IFERROR(VLOOKUP(C192,기출문제!D:G,4,0),"")</f>
        <v>5</v>
      </c>
      <c r="G192" s="32" t="str">
        <f t="shared" si="2"/>
        <v>X</v>
      </c>
    </row>
    <row r="193" spans="2:7" ht="114" x14ac:dyDescent="0.3">
      <c r="B193" s="13">
        <v>186</v>
      </c>
      <c r="C193" s="14" t="s">
        <v>825</v>
      </c>
      <c r="D193" s="13">
        <v>2</v>
      </c>
      <c r="E193" s="15" t="str">
        <f>IFERROR(VLOOKUP(C193,기출문제!D:G,3,0),"")</f>
        <v>121. 시산표는 재무상태표 구성요소와 포괄손익계산서 구성요소를 한 곳에 집계한 표이다. 다음 시산표 등식에서 ( )에 들어갈 항목으로 옳은 것은?
○ 자산 + 비용 = 부채 + ( ) + 수익
① 매출액
② 자본
③ 법인세
④ 미지급금
⑤ 감가상각비</v>
      </c>
      <c r="F193" s="31">
        <f>IFERROR(VLOOKUP(C193,기출문제!D:G,4,0),"")</f>
        <v>2</v>
      </c>
      <c r="G193" s="32" t="str">
        <f t="shared" si="2"/>
        <v>O</v>
      </c>
    </row>
    <row r="194" spans="2:7" ht="142.5" x14ac:dyDescent="0.3">
      <c r="B194" s="13">
        <v>187</v>
      </c>
      <c r="C194" s="14" t="s">
        <v>826</v>
      </c>
      <c r="D194" s="13">
        <v>3</v>
      </c>
      <c r="E194" s="15" t="str">
        <f>IFERROR(VLOOKUP(C194,기출문제!D:G,3,0),"")</f>
        <v>122. 당좌자산에 해당하는 것을 모두 고른 것은?
ㄱ. 현금
ㄴ. 보통예금
ㄷ. 투자부동산
ㄹ. 단기금융상품
① ㄱ, ㄴ
② ㄷ, ㄹ
③ ㄱ, ㄴ, ㄹ
④ ㄴ, ㄷ, ㄹ
⑤ ㄱ, ㄴ, ㄷ, ㄹ</v>
      </c>
      <c r="F194" s="31">
        <f>IFERROR(VLOOKUP(C194,기출문제!D:G,4,0),"")</f>
        <v>3</v>
      </c>
      <c r="G194" s="32" t="str">
        <f t="shared" si="2"/>
        <v>O</v>
      </c>
    </row>
    <row r="195" spans="2:7" ht="85.5" x14ac:dyDescent="0.3">
      <c r="B195" s="13">
        <v>188</v>
      </c>
      <c r="C195" s="14" t="s">
        <v>827</v>
      </c>
      <c r="D195" s="13">
        <v>4</v>
      </c>
      <c r="E195" s="15" t="str">
        <f>IFERROR(VLOOKUP(C195,기출문제!D:G,3,0),"")</f>
        <v>123. 재무상태표의 항목에 해당되지 않는 것은?
① 차입금
② 이익잉여금
③ 매출채권
④ 판매비
⑤ 재고자산</v>
      </c>
      <c r="F195" s="31">
        <f>IFERROR(VLOOKUP(C195,기출문제!D:G,4,0),"")</f>
        <v>4</v>
      </c>
      <c r="G195" s="32" t="str">
        <f t="shared" si="2"/>
        <v>O</v>
      </c>
    </row>
    <row r="196" spans="2:7" ht="99.75" x14ac:dyDescent="0.3">
      <c r="B196" s="13">
        <v>189</v>
      </c>
      <c r="C196" s="14" t="s">
        <v>828</v>
      </c>
      <c r="D196" s="13">
        <v>3</v>
      </c>
      <c r="E196" s="15" t="str">
        <f>IFERROR(VLOOKUP(C196,기출문제!D:G,3,0),"")</f>
        <v>124. 네트워크 붕괴를 목적으로 다수의 잘못된 통신이나 서비스 요청을 특정 네트워크 또는 웹 서버에 보내는 방식을 의미하는 것은?
① 스푸핑(Spoofing)
② 스니핑(Sniffing)
③ 서비스 거부 공격(Denial - of - Service Attack)
④ 신원도용(Identity Theft)
⑤ 피싱(Phishing)</v>
      </c>
      <c r="F196" s="31">
        <f>IFERROR(VLOOKUP(C196,기출문제!D:G,4,0),"")</f>
        <v>3</v>
      </c>
      <c r="G196" s="32" t="str">
        <f t="shared" si="2"/>
        <v>O</v>
      </c>
    </row>
    <row r="197" spans="2:7" ht="114" x14ac:dyDescent="0.3">
      <c r="B197" s="13">
        <v>190</v>
      </c>
      <c r="C197" s="14" t="s">
        <v>829</v>
      </c>
      <c r="D197" s="13">
        <v>4</v>
      </c>
      <c r="E197" s="15" t="str">
        <f>IFERROR(VLOOKUP(C197,기출문제!D:G,3,0),"")</f>
        <v>125. 다음에서 설명하는 것은?
○ 지리적으로 분산된 네트워크 환경에서 수 많은 컴퓨터와 저장장치, 데이터베이스 시스템 등과 같은 자원들을 고속 네트워크로 연결하여 그 자원을 공유할 수 있도록 하는 방식
① 전문가 시스템(Expert System)
② 그린 컴퓨팅(Green Computing)
③ 사물인터넷(Internet of Things)
④ 그리드 컴퓨팅(Grid Computing)
⑤ 인트라넷(Intranet)</v>
      </c>
      <c r="F197" s="31">
        <f>IFERROR(VLOOKUP(C197,기출문제!D:G,4,0),"")</f>
        <v>4</v>
      </c>
      <c r="G197" s="32" t="str">
        <f t="shared" si="2"/>
        <v>O</v>
      </c>
    </row>
    <row r="198" spans="2:7" ht="85.5" x14ac:dyDescent="0.3">
      <c r="B198" s="13">
        <v>191</v>
      </c>
      <c r="C198" s="14" t="s">
        <v>232</v>
      </c>
      <c r="D198" s="13">
        <v>1</v>
      </c>
      <c r="E198" s="15" t="str">
        <f>IFERROR(VLOOKUP(C198,기출문제!D:G,3,0),"")</f>
        <v>101. 제품/시장 매트릭스(product/market matrix)에서 신제품을 가지고 신시장에 진출하는 성장전략은?
① 다각화 전략
② 제품개발 전략
③ 집중화 전략
④ 시장침투 전략
⑤ 시장개발 전략</v>
      </c>
      <c r="F198" s="31">
        <f>IFERROR(VLOOKUP(C198,기출문제!D:G,4,0),"")</f>
        <v>1</v>
      </c>
      <c r="G198" s="32" t="str">
        <f t="shared" si="2"/>
        <v>O</v>
      </c>
    </row>
    <row r="199" spans="2:7" ht="85.5" x14ac:dyDescent="0.3">
      <c r="B199" s="13">
        <v>192</v>
      </c>
      <c r="C199" s="14" t="s">
        <v>977</v>
      </c>
      <c r="D199" s="13">
        <v>4</v>
      </c>
      <c r="E199" s="15" t="str">
        <f>IFERROR(VLOOKUP(C199,기출문제!D:G,3,0),"")</f>
        <v>102. 경영이론의 주창자와 그 내용이 옳지 않은 것은?
① 테일러(Taylor): 차별적 성과급제
② 메이요(Mayo): 비공식 조직의 중시
③ 페이욜(Fayol): 권한과 책임의 원칙
④ 포드(Ford): 고임금 고가격의 원칙
⑤ 베버(Weber): 규칙과 절차의 중시</v>
      </c>
      <c r="F199" s="31">
        <f>IFERROR(VLOOKUP(C199,기출문제!D:G,4,0),"")</f>
        <v>4</v>
      </c>
      <c r="G199" s="32" t="str">
        <f t="shared" si="2"/>
        <v>O</v>
      </c>
    </row>
    <row r="200" spans="2:7" ht="85.5" x14ac:dyDescent="0.3">
      <c r="B200" s="13">
        <v>193</v>
      </c>
      <c r="C200" s="14" t="s">
        <v>978</v>
      </c>
      <c r="D200" s="13">
        <v>3</v>
      </c>
      <c r="E200" s="15" t="str">
        <f>IFERROR(VLOOKUP(C200,기출문제!D:G,3,0),"")</f>
        <v>103. 생산수량과 일정을 토대로 필요한 자재조달 계획을 수립하는 관리시스템은?
① CIM
② FMS
③ MRP
④ SCM
⑤ TQM</v>
      </c>
      <c r="F200" s="31">
        <f>IFERROR(VLOOKUP(C200,기출문제!D:G,4,0),"")</f>
        <v>3</v>
      </c>
      <c r="G200" s="32" t="str">
        <f t="shared" si="2"/>
        <v>O</v>
      </c>
    </row>
    <row r="201" spans="2:7" ht="128.25" x14ac:dyDescent="0.3">
      <c r="B201" s="13">
        <v>194</v>
      </c>
      <c r="C201" s="14" t="s">
        <v>979</v>
      </c>
      <c r="D201" s="13">
        <v>2</v>
      </c>
      <c r="E201" s="15" t="str">
        <f>IFERROR(VLOOKUP(C201,기출문제!D:G,3,0),"")</f>
        <v>104. 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
① 제도화이론
② 자원의존이론
③ 조직군생태학이론
④ 거래비용이론
⑤ 학습조직이론</v>
      </c>
      <c r="F201" s="31">
        <f>IFERROR(VLOOKUP(C201,기출문제!D:G,4,0),"")</f>
        <v>2</v>
      </c>
      <c r="G201" s="32" t="str">
        <f t="shared" ref="G201:G264" si="3">IF(D201="","",IF(D201=F201,"O", "X"))</f>
        <v>O</v>
      </c>
    </row>
    <row r="202" spans="2:7" ht="128.25" x14ac:dyDescent="0.3">
      <c r="B202" s="13">
        <v>195</v>
      </c>
      <c r="C202" s="14" t="s">
        <v>980</v>
      </c>
      <c r="D202" s="13">
        <v>5</v>
      </c>
      <c r="E202" s="15" t="str">
        <f>IFERROR(VLOOKUP(C202,기출문제!D:G,3,0),"")</f>
        <v>105. 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
① 직무순환
② 직무전문화
③ 직무특성화
④ 수평적 직무확대
⑤ 직무충실화</v>
      </c>
      <c r="F202" s="31">
        <f>IFERROR(VLOOKUP(C202,기출문제!D:G,4,0),"")</f>
        <v>5</v>
      </c>
      <c r="G202" s="32" t="str">
        <f t="shared" si="3"/>
        <v>O</v>
      </c>
    </row>
    <row r="203" spans="2:7" ht="142.5" x14ac:dyDescent="0.3">
      <c r="B203" s="13">
        <v>196</v>
      </c>
      <c r="C203" s="14" t="s">
        <v>981</v>
      </c>
      <c r="D203" s="13">
        <v>3</v>
      </c>
      <c r="E203" s="15" t="str">
        <f>IFERROR(VLOOKUP(C203,기출문제!D:G,3,0),"")</f>
        <v>106. 호손실험(Hawthorne experiment)의 순서가 바르게 나열된 것은?
ㄱ. 면접실험
ㄴ. 조명실험
ㄷ. 배전기 전선작업실 관찰
ㄹ. 계전기 조립실험
① ㄱ → ㄴ → ㄷ → ㄹ
② ㄱ → ㄹ → ㄷ → ㄴ
③ ㄴ → ㄹ → ㄱ → ㄷ
④ ㄴ → ㄹ → ㄷ → ㄱ
⑤ ㄹ → ㄱ → ㄷ → ㄴ</v>
      </c>
      <c r="F203" s="31">
        <f>IFERROR(VLOOKUP(C203,기출문제!D:G,4,0),"")</f>
        <v>3</v>
      </c>
      <c r="G203" s="32" t="str">
        <f t="shared" si="3"/>
        <v>O</v>
      </c>
    </row>
    <row r="204" spans="2:7" ht="85.5" x14ac:dyDescent="0.3">
      <c r="B204" s="13">
        <v>197</v>
      </c>
      <c r="C204" s="14" t="s">
        <v>982</v>
      </c>
      <c r="D204" s="13">
        <v>5</v>
      </c>
      <c r="E204" s="15" t="str">
        <f>IFERROR(VLOOKUP(C204,기출문제!D:G,3,0),"")</f>
        <v>107. 기대이론에서 동기부여를 유발하는 요인에 관한 설명으로 옳지 않은 것은?
① 수단성이 높아야 동기부여가 된다.
② 기대가 높아야 동기부여가 된다.
③ 조직에 대한 신뢰가 클수록 수단성이 높아진다.
④ 가치관에 부합되는 보상이 주어질수록 유의성이 높아진다.
⑤ 종업원들은 주어진 보상에 대하여 동일한 유의성을 갖는다.</v>
      </c>
      <c r="F204" s="31">
        <f>IFERROR(VLOOKUP(C204,기출문제!D:G,4,0),"")</f>
        <v>5</v>
      </c>
      <c r="G204" s="32" t="str">
        <f t="shared" si="3"/>
        <v>O</v>
      </c>
    </row>
    <row r="205" spans="2:7" ht="85.5" x14ac:dyDescent="0.3">
      <c r="B205" s="13">
        <v>198</v>
      </c>
      <c r="C205" s="14" t="s">
        <v>983</v>
      </c>
      <c r="D205" s="13">
        <v>3</v>
      </c>
      <c r="E205" s="15" t="str">
        <f>IFERROR(VLOOKUP(C205,기출문제!D:G,3,0),"")</f>
        <v>108. 리더십에 관한 설명으로 옳지 않은 것은?
① 거래적 리더십은 리더와 종업원 사이의 교환이나 거래관계를 통해 발휘된다.
② 서번트 리더십은 목표달성이라는 결과보다 구성원에 대한 서비스에 초점을 둔다.
③ 카리스마적 리더십은 비전달성을 위해 위험감수 등 비범한 행동을 보인다.
④ 변혁적 리더십은 장기비전을 제시하고 구성원들의 가치관 변화와 조직몰입을 증가시킨다.
⑤ 슈퍼 리더십은 리더가 종업원들을 관리하고 통제할 수 있는 힘과 기술을 가지도록 하는데 초점을 둔다.</v>
      </c>
      <c r="F205" s="31">
        <f>IFERROR(VLOOKUP(C205,기출문제!D:G,4,0),"")</f>
        <v>5</v>
      </c>
      <c r="G205" s="32" t="str">
        <f t="shared" si="3"/>
        <v>X</v>
      </c>
    </row>
    <row r="206" spans="2:7" ht="85.5" x14ac:dyDescent="0.3">
      <c r="B206" s="13">
        <v>199</v>
      </c>
      <c r="C206" s="14" t="s">
        <v>984</v>
      </c>
      <c r="D206" s="13">
        <v>5</v>
      </c>
      <c r="E206" s="15" t="str">
        <f>IFERROR(VLOOKUP(C206,기출문제!D:G,3,0),"")</f>
        <v>109. 질적 인력수요 예측기법에 해당하지 않는 것은?
① 브레인스토밍법
② 명목집단법
③ 시나리오 기법
④ 자격요건 분석법
⑤ 노동과학적 기법</v>
      </c>
      <c r="F206" s="31">
        <f>IFERROR(VLOOKUP(C206,기출문제!D:G,4,0),"")</f>
        <v>5</v>
      </c>
      <c r="G206" s="32" t="str">
        <f t="shared" si="3"/>
        <v>O</v>
      </c>
    </row>
    <row r="207" spans="2:7" ht="85.5" x14ac:dyDescent="0.3">
      <c r="B207" s="13">
        <v>200</v>
      </c>
      <c r="C207" s="14" t="s">
        <v>985</v>
      </c>
      <c r="D207" s="13">
        <v>2</v>
      </c>
      <c r="E207" s="15" t="str">
        <f>IFERROR(VLOOKUP(C207,기출문제!D:G,3,0),"")</f>
        <v>110. 종업원 선발을 위한 면접에 관한 설명으로 옳은 것은?
① 비구조화 면접은 표준화된 질문지를 사용한다.
② 집단 면접의 경우 맥락효과(context effect)가 발생할 수 있다.
③ 면접의 신뢰성과 타당성을 높이기 위해 면접내용 개발 단계에서 면접관이나 경영진을 배제한다.
④ 위원회 면접은 한명의 면접자가 여러 명의 피면접자를 평가하는 방식이다.
⑤ 스트레스 면접은 여러 시기에 걸쳐 여러 사람이 면접하는 방식이다.</v>
      </c>
      <c r="F207" s="31">
        <f>IFERROR(VLOOKUP(C207,기출문제!D:G,4,0),"")</f>
        <v>2</v>
      </c>
      <c r="G207" s="32" t="str">
        <f t="shared" si="3"/>
        <v>O</v>
      </c>
    </row>
    <row r="208" spans="2:7" ht="85.5" x14ac:dyDescent="0.3">
      <c r="B208" s="13">
        <v>201</v>
      </c>
      <c r="C208" s="14" t="s">
        <v>986</v>
      </c>
      <c r="D208" s="13">
        <v>2</v>
      </c>
      <c r="E208" s="15" t="str">
        <f>IFERROR(VLOOKUP(C208,기출문제!D:G,3,0),"")</f>
        <v>111. 노사관계에 관한 설명으로 옳지 않은 것은?
① 좁은 의미의 노사관계는 집단적 노사관계를 의미한다.
② 메인트넌스 숍(maintenance shop)은 조합원이 아닌 종업원에게도 노동조합비를 징수하는 제도이다.
③ 우리나라 노동조합의 조직형태는 기업별 노조가 대부분이다.
④ 사용자는 노동조합의 파업에 대응하여 직장을 폐쇄할 수 있다.
⑤ 채용이후 자동적으로 노동조합에 가입하는 제도는 유니온 숍(union shop)이다.</v>
      </c>
      <c r="F208" s="31">
        <f>IFERROR(VLOOKUP(C208,기출문제!D:G,4,0),"")</f>
        <v>2</v>
      </c>
      <c r="G208" s="32" t="str">
        <f t="shared" si="3"/>
        <v>O</v>
      </c>
    </row>
    <row r="209" spans="2:7" ht="85.5" x14ac:dyDescent="0.3">
      <c r="B209" s="13">
        <v>202</v>
      </c>
      <c r="C209" s="14" t="s">
        <v>987</v>
      </c>
      <c r="D209" s="13">
        <v>1</v>
      </c>
      <c r="E209" s="15" t="str">
        <f>IFERROR(VLOOKUP(C209,기출문제!D:G,3,0),"")</f>
        <v>112. 시장세분화에 관한 설명으로 옳지 않은 것은?
① 세분화된 시장 내에서는 이질성이 극대화 되도록 해야 한다.
② 효과적인 시장세분화를 위해서는 시장의 규모가 측정 가능해야 한다.
③ 나이, 성별, 소득은 인구통계학적 세분화 기준에 속한다.
④ 제품사용 상황, 추구편익은 행동적 세분화 기준에 속한다.
⑤ 라이프스타일, 성격은 심리도식적 세분화 기준에 속한다.</v>
      </c>
      <c r="F209" s="31">
        <f>IFERROR(VLOOKUP(C209,기출문제!D:G,4,0),"")</f>
        <v>1</v>
      </c>
      <c r="G209" s="32" t="str">
        <f t="shared" si="3"/>
        <v>O</v>
      </c>
    </row>
    <row r="210" spans="2:7" ht="85.5" x14ac:dyDescent="0.3">
      <c r="B210" s="13">
        <v>203</v>
      </c>
      <c r="C210" s="14" t="s">
        <v>988</v>
      </c>
      <c r="D210" s="13">
        <v>1</v>
      </c>
      <c r="E210" s="15" t="str">
        <f>IFERROR(VLOOKUP(C210,기출문제!D:G,3,0),"")</f>
        <v>113. A 사가 프린터를 저렴하게 판매한 후, 그 프린터의 토너를 비싼 가격으로 결정하는 방법은?
① 종속제품 가격결정(captive product pricing)
② 묶음 가격결정(bundle pricing)
③ 단수 가격결정(odd pricing)
④ 침투 가격결정(penetration pricing)
⑤ 스키밍 가격결정(skimming pricing)</v>
      </c>
      <c r="F210" s="31">
        <f>IFERROR(VLOOKUP(C210,기출문제!D:G,4,0),"")</f>
        <v>1</v>
      </c>
      <c r="G210" s="32" t="str">
        <f t="shared" si="3"/>
        <v>O</v>
      </c>
    </row>
    <row r="211" spans="2:7" ht="85.5" x14ac:dyDescent="0.3">
      <c r="B211" s="13">
        <v>204</v>
      </c>
      <c r="C211" s="14" t="s">
        <v>989</v>
      </c>
      <c r="D211" s="13">
        <v>2</v>
      </c>
      <c r="E211" s="15" t="str">
        <f>IFERROR(VLOOKUP(C211,기출문제!D:G,3,0),"")</f>
        <v>114. 제품 구성요소 중 유형제품(tangible product)에 해당하는 것은?
① 보증(guarantee)
② 상표명(brand name)
③ 대금결제방식(payment)
④ 배달(delivery)
⑤ 애프터 서비스(after service)</v>
      </c>
      <c r="F211" s="31">
        <f>IFERROR(VLOOKUP(C211,기출문제!D:G,4,0),"")</f>
        <v>2</v>
      </c>
      <c r="G211" s="32" t="str">
        <f t="shared" si="3"/>
        <v>O</v>
      </c>
    </row>
    <row r="212" spans="2:7" ht="128.25" x14ac:dyDescent="0.3">
      <c r="B212" s="13">
        <v>205</v>
      </c>
      <c r="C212" s="14" t="s">
        <v>990</v>
      </c>
      <c r="D212" s="13">
        <v>0</v>
      </c>
      <c r="E212" s="15" t="str">
        <f>IFERROR(VLOOKUP(C212,기출문제!D:G,3,0),"")</f>
        <v>115. 다음에서 증권시장선(SML)을 이용하여 A 주식의 균형기대수익률을 구한 값은?
○ 무위험이자율: 5%
○ 시장포트폴리오 기대수익률: 10%
○ A 주식의 베타: 1.2
① 5%
② 7%
③ 9%
④ 11%
⑤ 13%</v>
      </c>
      <c r="F212" s="31">
        <f>IFERROR(VLOOKUP(C212,기출문제!D:G,4,0),"")</f>
        <v>4</v>
      </c>
      <c r="G212" s="32" t="str">
        <f t="shared" si="3"/>
        <v>X</v>
      </c>
    </row>
    <row r="213" spans="2:7" ht="85.5" x14ac:dyDescent="0.3">
      <c r="B213" s="13">
        <v>206</v>
      </c>
      <c r="C213" s="14" t="s">
        <v>991</v>
      </c>
      <c r="D213" s="13">
        <v>3</v>
      </c>
      <c r="E213" s="15" t="str">
        <f>IFERROR(VLOOKUP(C213,기출문제!D:G,3,0),"")</f>
        <v>116. 자본자산가격결정모형(CAPM)의 가정으로 옳지 않은 것은?
① 투자자는 위험회피형 투자자이며 기대효용 극대화를 추구한다.
② 무위험자산이 존재하며, 무위험이자율로 무제한 차입 또는 대출이 가능하다.
③ 세금과 거래비용이 존재하는 불완전 자본시장이다.
④ 투자자는 평균 - 분산 기준에 따라 포트폴리오를 선택한다.
⑤ 모든 투자자는 투자대상의 미래 수익률의 확률분포에 대하여 동질적 예측을 한다.</v>
      </c>
      <c r="F213" s="31">
        <f>IFERROR(VLOOKUP(C213,기출문제!D:G,4,0),"")</f>
        <v>3</v>
      </c>
      <c r="G213" s="32" t="str">
        <f t="shared" si="3"/>
        <v>O</v>
      </c>
    </row>
    <row r="214" spans="2:7" ht="142.5" x14ac:dyDescent="0.3">
      <c r="B214" s="13">
        <v>207</v>
      </c>
      <c r="C214" s="14" t="s">
        <v>670</v>
      </c>
      <c r="D214" s="13">
        <v>3</v>
      </c>
      <c r="E214" s="15" t="str">
        <f>IFERROR(VLOOKUP(C214,기출문제!D:G,3,0),"")</f>
        <v>117. 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
① ㄱ, ㄴ
② ㄴ, ㄷ
③ ㄱ, ㄹ
④ ㄷ, ㄹ
⑤ ㄴ, ㄷ, ㄹ</v>
      </c>
      <c r="F214" s="31">
        <f>IFERROR(VLOOKUP(C214,기출문제!D:G,4,0),"")</f>
        <v>3</v>
      </c>
      <c r="G214" s="32" t="str">
        <f t="shared" si="3"/>
        <v>O</v>
      </c>
    </row>
    <row r="215" spans="2:7" ht="85.5" x14ac:dyDescent="0.3">
      <c r="B215" s="13">
        <v>208</v>
      </c>
      <c r="C215" s="14" t="s">
        <v>992</v>
      </c>
      <c r="D215" s="13">
        <v>1</v>
      </c>
      <c r="E215" s="15" t="str">
        <f>IFERROR(VLOOKUP(C215,기출문제!D:G,3,0),"")</f>
        <v>118. 유동비율 = (A) / 유동부채 × 100, 자기자본순이익률(ROE) = (1 + 부채비율) × (B)일 때, 각각 옳게 짝지어진 것은?
① A: 유동자산, B: 총자본순이익률
② A: 유동자산, B: 매출액순이익률
③ A: 유동자산, B: 총자본회전율
④ A: 유형자산, B: 총자본회전율
⑤ A: 유형자산, B: 매출액영업이익률</v>
      </c>
      <c r="F215" s="31">
        <f>IFERROR(VLOOKUP(C215,기출문제!D:G,4,0),"")</f>
        <v>1</v>
      </c>
      <c r="G215" s="32" t="str">
        <f t="shared" si="3"/>
        <v>O</v>
      </c>
    </row>
    <row r="216" spans="2:7" ht="85.5" x14ac:dyDescent="0.3">
      <c r="B216" s="13">
        <v>209</v>
      </c>
      <c r="C216" s="14" t="s">
        <v>993</v>
      </c>
      <c r="D216" s="13">
        <v>4</v>
      </c>
      <c r="E216" s="15" t="str">
        <f>IFERROR(VLOOKUP(C216,기출문제!D:G,3,0),"")</f>
        <v>119. 회계감사의 감사의견에 포함되지 않는 것은?
① 적정 의견
② 부적정 의견
③ 한정 의견
④ 불한정 의견
⑤ 의견 거절</v>
      </c>
      <c r="F216" s="31">
        <f>IFERROR(VLOOKUP(C216,기출문제!D:G,4,0),"")</f>
        <v>4</v>
      </c>
      <c r="G216" s="32" t="str">
        <f t="shared" si="3"/>
        <v>O</v>
      </c>
    </row>
    <row r="217" spans="2:7" ht="85.5" x14ac:dyDescent="0.3">
      <c r="B217" s="13">
        <v>210</v>
      </c>
      <c r="C217" s="14" t="s">
        <v>994</v>
      </c>
      <c r="D217" s="13">
        <v>1</v>
      </c>
      <c r="E217" s="15" t="str">
        <f>IFERROR(VLOOKUP(C217,기출문제!D:G,3,0),"")</f>
        <v>120. 자본 항목에 해당하는 것은?
① 이익잉여금
② 사채
③ 영업권
④ 미수수익
⑤ 선수수익</v>
      </c>
      <c r="F217" s="31">
        <f>IFERROR(VLOOKUP(C217,기출문제!D:G,4,0),"")</f>
        <v>1</v>
      </c>
      <c r="G217" s="32" t="str">
        <f t="shared" si="3"/>
        <v>O</v>
      </c>
    </row>
    <row r="218" spans="2:7" ht="114" x14ac:dyDescent="0.3">
      <c r="B218" s="13">
        <v>211</v>
      </c>
      <c r="C218" s="14" t="s">
        <v>995</v>
      </c>
      <c r="D218" s="13">
        <v>0</v>
      </c>
      <c r="E218" s="15" t="str">
        <f>IFERROR(VLOOKUP(C218,기출문제!D:G,3,0),"")</f>
        <v>21. 최근 3개월 자료로 가중이동평균법을 적용할 때, 5월의 예측생산량은? (단, 가중치는 0.5, 0.3, 0.2를 적용한다.)
○ 구분                  1월    2월    3월    4월
○ 제품생산량(개)   90만  70만  90만  110만
① 87만개
② 90만개
③ 93만개
④ 96만개
⑤ 99만개</v>
      </c>
      <c r="F218" s="31">
        <f>IFERROR(VLOOKUP(C218,기출문제!D:G,4,0),"")</f>
        <v>4</v>
      </c>
      <c r="G218" s="32" t="str">
        <f t="shared" si="3"/>
        <v>X</v>
      </c>
    </row>
    <row r="219" spans="2:7" ht="114" x14ac:dyDescent="0.3">
      <c r="B219" s="13">
        <v>212</v>
      </c>
      <c r="C219" s="14" t="s">
        <v>996</v>
      </c>
      <c r="D219" s="13">
        <v>0</v>
      </c>
      <c r="E219" s="15" t="str">
        <f>IFERROR(VLOOKUP(C219,기출문제!D:G,3,0),"")</f>
        <v>122. 다음이 설명하는 기법은?
○ 비구조적인 문제를 다루는데 유용하다.
○ 경험을 체계화하고 정형화하여 해결책을 발견한다.
① 팀 빌딩
② 휴리스틱
③ 군집분석
④ 회귀분석
⑤ 선형계획법</v>
      </c>
      <c r="F219" s="31">
        <f>IFERROR(VLOOKUP(C219,기출문제!D:G,4,0),"")</f>
        <v>2</v>
      </c>
      <c r="G219" s="32" t="str">
        <f t="shared" si="3"/>
        <v>X</v>
      </c>
    </row>
    <row r="220" spans="2:7" ht="85.5" x14ac:dyDescent="0.3">
      <c r="B220" s="13">
        <v>213</v>
      </c>
      <c r="C220" s="14" t="s">
        <v>997</v>
      </c>
      <c r="D220" s="13">
        <v>5</v>
      </c>
      <c r="E220" s="15" t="str">
        <f>IFERROR(VLOOKUP(C220,기출문제!D:G,3,0),"")</f>
        <v>123. 전사적 자원관리(ERP) 도입의 효과가 아닌 것은?
① 신기술 수용 및 활용
② 사업장 및 업무통합
③ 고객 이미지 개선
④ 정보 적시 제공
⑤ 업무프로세스 복잡화</v>
      </c>
      <c r="F220" s="31">
        <f>IFERROR(VLOOKUP(C220,기출문제!D:G,4,0),"")</f>
        <v>5</v>
      </c>
      <c r="G220" s="32" t="str">
        <f t="shared" si="3"/>
        <v>O</v>
      </c>
    </row>
    <row r="221" spans="2:7" ht="85.5" x14ac:dyDescent="0.3">
      <c r="B221" s="13">
        <v>214</v>
      </c>
      <c r="C221" s="14" t="s">
        <v>998</v>
      </c>
      <c r="D221" s="13">
        <v>0</v>
      </c>
      <c r="E221" s="15" t="str">
        <f>IFERROR(VLOOKUP(C221,기출문제!D:G,3,0),"")</f>
        <v>124. 모바일 비즈니스의 특성으로 옳지 않은 것은?
① 편재성
② 접근성
③ 고정성
④ 편리성
⑤ 접속성</v>
      </c>
      <c r="F221" s="31">
        <f>IFERROR(VLOOKUP(C221,기출문제!D:G,4,0),"")</f>
        <v>3</v>
      </c>
      <c r="G221" s="32" t="str">
        <f t="shared" si="3"/>
        <v>X</v>
      </c>
    </row>
    <row r="222" spans="2:7" ht="142.5" x14ac:dyDescent="0.3">
      <c r="B222" s="13">
        <v>215</v>
      </c>
      <c r="C222" s="14" t="s">
        <v>999</v>
      </c>
      <c r="D222" s="13">
        <v>4</v>
      </c>
      <c r="E222" s="15" t="str">
        <f>IFERROR(VLOOKUP(C222,기출문제!D:G,3,0),"")</f>
        <v>125. 빅데이터(big data)의 기본적 특성(3V)으로 옳은 것을 모두 고른 것은?
ㄱ. 거대한 양(Volume)
ㄴ. 모호성(Vagueness)
ㄷ. 다양한 형태(Variety)
ㄹ. 생성 속도(Velocity)
① ㄱ, ㄴ
② ㄴ, ㄷ
③ ㄱ, ㄴ, ㄹ
④ ㄱ, ㄷ, ㄹ
⑤ ㄴ, ㄷ, ㄹ</v>
      </c>
      <c r="F222" s="31">
        <f>IFERROR(VLOOKUP(C222,기출문제!D:G,4,0),"")</f>
        <v>4</v>
      </c>
      <c r="G222" s="32" t="str">
        <f t="shared" si="3"/>
        <v>O</v>
      </c>
    </row>
    <row r="223" spans="2:7" ht="85.5" x14ac:dyDescent="0.3">
      <c r="B223" s="13">
        <v>216</v>
      </c>
      <c r="C223" s="14" t="s">
        <v>276</v>
      </c>
      <c r="D223" s="13">
        <v>3</v>
      </c>
      <c r="E223" s="15" t="str">
        <f>IFERROR(VLOOKUP(C223,기출문제!D:G,3,0),"")</f>
        <v>101. 막스 베버(Max Weber)가 제시한 관료제이론의 주요 내용이 아닌 것은?
① 규정에 따른 직무배정과 직무수행
② 능력과 과업에 따른 선발과 승진
③ 상황적합적 관리
④ 계층에 의한 관리
⑤ 규칙과 문서에 의한 관리</v>
      </c>
      <c r="F223" s="31">
        <f>IFERROR(VLOOKUP(C223,기출문제!D:G,4,0),"")</f>
        <v>3</v>
      </c>
      <c r="G223" s="32" t="str">
        <f t="shared" si="3"/>
        <v>O</v>
      </c>
    </row>
    <row r="224" spans="2:7" ht="85.5" x14ac:dyDescent="0.3">
      <c r="B224" s="13">
        <v>217</v>
      </c>
      <c r="C224" s="14" t="s">
        <v>1000</v>
      </c>
      <c r="D224" s="13">
        <v>1</v>
      </c>
      <c r="E224" s="15" t="str">
        <f>IFERROR(VLOOKUP(C224,기출문제!D:G,3,0),"")</f>
        <v>102. 매슬로우(A. H. Maslow)가 제시한 욕구단계이론의 내용이 아닌 것은?
① 권한위임에 대한 욕구
② 신체적 안전에 대한 욕구
③ 소속감이나 애정에 대한 욕구
④ 의식주에 대한 욕구
⑤ 존경받고 싶은 욕구</v>
      </c>
      <c r="F224" s="31">
        <f>IFERROR(VLOOKUP(C224,기출문제!D:G,4,0),"")</f>
        <v>1</v>
      </c>
      <c r="G224" s="32" t="str">
        <f t="shared" si="3"/>
        <v>O</v>
      </c>
    </row>
    <row r="225" spans="2:7" ht="114" x14ac:dyDescent="0.3">
      <c r="B225" s="13">
        <v>218</v>
      </c>
      <c r="C225" s="14" t="s">
        <v>1001</v>
      </c>
      <c r="D225" s="13">
        <v>5</v>
      </c>
      <c r="E225" s="15" t="str">
        <f>IFERROR(VLOOKUP(C225,기출문제!D:G,3,0),"")</f>
        <v>103. 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
① 학습조직(Learning Organization)
② 다운사이징(Downsizing)
③ 리스트럭처링(Restructuring)
④ 리엔지니어링(Reengineering)
⑤ 6시그마(Six Sigma)</v>
      </c>
      <c r="F225" s="31">
        <f>IFERROR(VLOOKUP(C225,기출문제!D:G,4,0),"")</f>
        <v>5</v>
      </c>
      <c r="G225" s="32" t="str">
        <f t="shared" si="3"/>
        <v>O</v>
      </c>
    </row>
    <row r="226" spans="2:7" ht="85.5" x14ac:dyDescent="0.3">
      <c r="B226" s="13">
        <v>219</v>
      </c>
      <c r="C226" s="14" t="s">
        <v>1002</v>
      </c>
      <c r="D226" s="13">
        <v>2</v>
      </c>
      <c r="E226" s="15" t="str">
        <f>IFERROR(VLOOKUP(C226,기출문제!D:G,3,0),"")</f>
        <v>104. 브릭스(BRICs)로 일컬어지는 신흥경제권 국가가 아닌 것은?
① 인도
② 캐나다
③ 러시아
④ 브라질
⑤ 중국</v>
      </c>
      <c r="F226" s="31">
        <f>IFERROR(VLOOKUP(C226,기출문제!D:G,4,0),"")</f>
        <v>2</v>
      </c>
      <c r="G226" s="32" t="str">
        <f t="shared" si="3"/>
        <v>O</v>
      </c>
    </row>
    <row r="227" spans="2:7" ht="85.5" x14ac:dyDescent="0.3">
      <c r="B227" s="13">
        <v>220</v>
      </c>
      <c r="C227" s="14" t="s">
        <v>1003</v>
      </c>
      <c r="D227" s="13">
        <v>5</v>
      </c>
      <c r="E227" s="15" t="str">
        <f>IFERROR(VLOOKUP(C227,기출문제!D:G,3,0),"")</f>
        <v>105. 임금수준의 관리에 관한 설명으로 옳지 않은 것은?
① 대외적 공정성을 확보하기 위해서는 노동시장의 임금수준 파악이 필요하다.
② 기업의 임금 지불능력을 파악하는 기준으로 생산성과 수익성을 들 수 있다.
③ 임금수준 결정 시 선도전략은 유능한 종업원을 유인하는 효과가 크다.
④ 임금수준의 관리는 적정성의 원칙을 지향한다.
⑤ 임금수준의 하한선은 기업의 지불능력에 의하여 결정된다.</v>
      </c>
      <c r="F227" s="31">
        <f>IFERROR(VLOOKUP(C227,기출문제!D:G,4,0),"")</f>
        <v>5</v>
      </c>
      <c r="G227" s="32" t="str">
        <f t="shared" si="3"/>
        <v>O</v>
      </c>
    </row>
    <row r="228" spans="2:7" ht="156.75" x14ac:dyDescent="0.3">
      <c r="B228" s="13">
        <v>221</v>
      </c>
      <c r="C228" s="14" t="s">
        <v>1004</v>
      </c>
      <c r="D228" s="13">
        <v>4</v>
      </c>
      <c r="E228" s="15" t="str">
        <f>IFERROR(VLOOKUP(C228,기출문제!D:G,3,0),"")</f>
        <v>106. 허츠버그(F. Herzberg)의 2요인이론에서 동기요인을 모두 고른 것은?
ㄱ. 상사와의 관계
ㄴ. 성취
ㄷ. 회사 정책 및 관리방침
ㄹ. 작업조건
ㅁ. 인정
① ㄱ, ㄴ
② ㄱ, ㅁ
③ ㄴ, ㄷ
④ ㄴ, ㅁ
⑤ ㄹ, ㅁ</v>
      </c>
      <c r="F228" s="31">
        <f>IFERROR(VLOOKUP(C228,기출문제!D:G,4,0),"")</f>
        <v>4</v>
      </c>
      <c r="G228" s="32" t="str">
        <f t="shared" si="3"/>
        <v>O</v>
      </c>
    </row>
    <row r="229" spans="2:7" ht="114" x14ac:dyDescent="0.3">
      <c r="B229" s="13">
        <v>222</v>
      </c>
      <c r="C229" s="14" t="s">
        <v>1005</v>
      </c>
      <c r="D229" s="13">
        <v>4</v>
      </c>
      <c r="E229" s="15" t="str">
        <f>IFERROR(VLOOKUP(C229,기출문제!D:G,3,0),"")</f>
        <v>107. 다음 설명에 해당하는 인사평가기법은?
○ 평가자가 피평가자의 일상 작업생활에 대한 관찰 등을 통해 특별히 효과적이거나 비효과적인 행동, 업적 등을 기록하고 이를 평가시점에 정리하여 평가하는 기법
① 서열법
② 평정척도법
③ 체크리스트법
④ 중요사건기술법
⑤ 강제선택서술법</v>
      </c>
      <c r="F229" s="31">
        <f>IFERROR(VLOOKUP(C229,기출문제!D:G,4,0),"")</f>
        <v>4</v>
      </c>
      <c r="G229" s="32" t="str">
        <f t="shared" si="3"/>
        <v>O</v>
      </c>
    </row>
    <row r="230" spans="2:7" ht="114" x14ac:dyDescent="0.3">
      <c r="B230" s="13">
        <v>223</v>
      </c>
      <c r="C230" s="14" t="s">
        <v>1006</v>
      </c>
      <c r="D230" s="13">
        <v>5</v>
      </c>
      <c r="E230" s="15" t="str">
        <f>IFERROR(VLOOKUP(C230,기출문제!D:G,3,0),"")</f>
        <v>108. 다음 설명에 해당하는 것은?
○ 전환배치 시 해당 종업원의 '능력(적성)-직무-시간' 이라는 세 가지 측면을 모두 고려하여 이들 간의 적합성을 극대화시켜야 된다는 원칙
① 연공주의
② 균형주의
③ 상향이동주의
④ 인재육성주의
⑤ 적재적소적시주의</v>
      </c>
      <c r="F230" s="31">
        <f>IFERROR(VLOOKUP(C230,기출문제!D:G,4,0),"")</f>
        <v>5</v>
      </c>
      <c r="G230" s="32" t="str">
        <f t="shared" si="3"/>
        <v>O</v>
      </c>
    </row>
    <row r="231" spans="2:7" ht="85.5" x14ac:dyDescent="0.3">
      <c r="B231" s="13">
        <v>224</v>
      </c>
      <c r="C231" s="14" t="s">
        <v>1007</v>
      </c>
      <c r="D231" s="13">
        <v>3</v>
      </c>
      <c r="E231" s="15" t="str">
        <f>IFERROR(VLOOKUP(C231,기출문제!D:G,3,0),"")</f>
        <v>109. 인간관계론에 해당하는 내용은?
① 기획업무와 집행업무를 분리시킴으로써 계획과 통제의 개념 확립
② 시간 및 동작 연구를 통하여 표준 과업량 설정
③ 자연발생적으로 형성된 비공식 조직의 존재 인식
④ 과업에 적합한 근로자 선발 및 교육훈련 방법 고안
⑤ 전문기능별 책임자가 작업에 대한 분업적 지도 수행</v>
      </c>
      <c r="F231" s="31">
        <f>IFERROR(VLOOKUP(C231,기출문제!D:G,4,0),"")</f>
        <v>3</v>
      </c>
      <c r="G231" s="32" t="str">
        <f t="shared" si="3"/>
        <v>O</v>
      </c>
    </row>
    <row r="232" spans="2:7" ht="85.5" x14ac:dyDescent="0.3">
      <c r="B232" s="13">
        <v>225</v>
      </c>
      <c r="C232" s="14" t="s">
        <v>1008</v>
      </c>
      <c r="D232" s="13">
        <v>0</v>
      </c>
      <c r="E232" s="15" t="str">
        <f>IFERROR(VLOOKUP(C232,기출문제!D:G,3,0),"")</f>
        <v>110. 직무기술서에 포함되는 사항이 아닌 것은?
① 요구되는 지식
② 작업 조건
③ 직무수행의 절차
④ 수행되는 과업
⑤ 직무수행의 방법</v>
      </c>
      <c r="F232" s="31">
        <f>IFERROR(VLOOKUP(C232,기출문제!D:G,4,0),"")</f>
        <v>1</v>
      </c>
      <c r="G232" s="32" t="str">
        <f t="shared" si="3"/>
        <v>X</v>
      </c>
    </row>
    <row r="233" spans="2:7" ht="85.5" x14ac:dyDescent="0.3">
      <c r="B233" s="13">
        <v>226</v>
      </c>
      <c r="C233" s="14" t="s">
        <v>1009</v>
      </c>
      <c r="D233" s="13">
        <v>2</v>
      </c>
      <c r="E233" s="15" t="str">
        <f>IFERROR(VLOOKUP(C233,기출문제!D:G,3,0),"")</f>
        <v>111. 프렌치(J.R.P. French)와 레이븐(B. Raven)이 구분한 5가지 권력 유형이 아닌 것은?
① 합법적 권력
② 기회적 권력
③ 강제적 권력
④ 보상적 권력
⑤ 준거적 권력</v>
      </c>
      <c r="F233" s="31">
        <f>IFERROR(VLOOKUP(C233,기출문제!D:G,4,0),"")</f>
        <v>2</v>
      </c>
      <c r="G233" s="32" t="str">
        <f t="shared" si="3"/>
        <v>O</v>
      </c>
    </row>
    <row r="234" spans="2:7" ht="99.75" x14ac:dyDescent="0.3">
      <c r="B234" s="13">
        <v>227</v>
      </c>
      <c r="C234" s="14" t="s">
        <v>1010</v>
      </c>
      <c r="D234" s="13">
        <v>2</v>
      </c>
      <c r="E234" s="15" t="str">
        <f>IFERROR(VLOOKUP(C234,기출문제!D:G,3,0),"")</f>
        <v>112. 다음 설명에 해당하는 지각 오류는?
○ 어떤 대상(개인)으로부터 얻은 일부 정보가 다른 부분의 여러 정보들을 해석할 때 영향을 미치는 것
① 자존적 편견
② 후광효과
③ 투사
④ 통제의 환상
⑤ 대조효과</v>
      </c>
      <c r="F234" s="31">
        <f>IFERROR(VLOOKUP(C234,기출문제!D:G,4,0),"")</f>
        <v>2</v>
      </c>
      <c r="G234" s="32" t="str">
        <f t="shared" si="3"/>
        <v>O</v>
      </c>
    </row>
    <row r="235" spans="2:7" ht="85.5" x14ac:dyDescent="0.3">
      <c r="B235" s="13">
        <v>228</v>
      </c>
      <c r="C235" s="14" t="s">
        <v>1011</v>
      </c>
      <c r="D235" s="13">
        <v>5</v>
      </c>
      <c r="E235" s="15" t="str">
        <f>IFERROR(VLOOKUP(C235,기출문제!D:G,3,0),"")</f>
        <v>113. 보스턴 컨설팅 그룹(BCG)의 사업 포트폴리오 매트릭스에 관한 설명으로 옳은 것은?
① 산업의 매력도와 사업의 강점을 기준으로 분류한다.
② 물음표(Question Mark)에 속해 있는 사업단위는 투자가 필요하나 성장가능성은 낮다.
③ 개(Dog)에 속해 있는 사업단위는 확대전략이 필수적이다.
④ 별(Star)에 속해 있는 사업단위는 철수나 매각이 필수적이다.
⑤ 자금젖소(Cash Cow)에 속해 있는 사업단위는 수익이 높고 안정적이다.</v>
      </c>
      <c r="F235" s="31">
        <f>IFERROR(VLOOKUP(C235,기출문제!D:G,4,0),"")</f>
        <v>5</v>
      </c>
      <c r="G235" s="32" t="str">
        <f t="shared" si="3"/>
        <v>O</v>
      </c>
    </row>
    <row r="236" spans="2:7" ht="85.5" x14ac:dyDescent="0.3">
      <c r="B236" s="13">
        <v>229</v>
      </c>
      <c r="C236" s="14" t="s">
        <v>1012</v>
      </c>
      <c r="D236" s="13">
        <v>1</v>
      </c>
      <c r="E236" s="15" t="str">
        <f>IFERROR(VLOOKUP(C236,기출문제!D:G,3,0),"")</f>
        <v>114. 마케팅 커뮤티케이션 활동인 촉진믹스(Promotion Mix)의 구성요소와 관련이 없는 것은?
① 선별적 유통점포 개설
② 구매시점 진열
③ PR(Public Relastions)
④ 광고
⑤ 인적판매</v>
      </c>
      <c r="F236" s="31">
        <f>IFERROR(VLOOKUP(C236,기출문제!D:G,4,0),"")</f>
        <v>1</v>
      </c>
      <c r="G236" s="32" t="str">
        <f t="shared" si="3"/>
        <v>O</v>
      </c>
    </row>
    <row r="237" spans="2:7" ht="85.5" x14ac:dyDescent="0.3">
      <c r="B237" s="13">
        <v>230</v>
      </c>
      <c r="C237" s="14" t="s">
        <v>1013</v>
      </c>
      <c r="D237" s="13">
        <v>4</v>
      </c>
      <c r="E237" s="15" t="str">
        <f>IFERROR(VLOOKUP(C237,기출문제!D:G,3,0),"")</f>
        <v>115. 소비자들의 구매의사 결정과정을 순서대로 바르게 나열한 것은?
① 정보탐색 → 필요인식 → 대안평가 → 구매 → 구매 후 행동
② 정보탐색 → 필요인식 → 구매 → 대안평가 → 구매 후 행동
③ 정보탐색 → 대안평가 → 필요인식 → 구매 → 구매 후 행동
④ 필요인식 → 정보탐색 → 대안평가 → 구매 → 구매 후 행동
⑤ 대안평가 → 정보탐색 → 필요인식 → 구매 → 구매 후 행동</v>
      </c>
      <c r="F237" s="31">
        <f>IFERROR(VLOOKUP(C237,기출문제!D:G,4,0),"")</f>
        <v>4</v>
      </c>
      <c r="G237" s="32" t="str">
        <f t="shared" si="3"/>
        <v>O</v>
      </c>
    </row>
    <row r="238" spans="2:7" ht="85.5" x14ac:dyDescent="0.3">
      <c r="B238" s="13">
        <v>231</v>
      </c>
      <c r="C238" s="14" t="s">
        <v>1014</v>
      </c>
      <c r="D238" s="13">
        <v>3</v>
      </c>
      <c r="E238" s="15" t="str">
        <f>IFERROR(VLOOKUP(C238,기출문제!D:G,3,0),"")</f>
        <v>116. 제품구매에 대한 심리적 불편을 겪게 되는 인지부조화(Cognitive Dissonance)에 관한 설명으로 옳은 것은?
① 반품이나 환불이 가능할 때 많이 발생한다.
② 구매제품의 만족수준에 정비례하여 발생한다.
③ 고관여 제품에서 많이 발생한다.
④ 제품구매 전에 경험하는 긴장감과 걱정의 감정을 뜻한다.
⑤ 사후서비스(A/S)가 좋을수록 많이 발생한다.</v>
      </c>
      <c r="F238" s="31">
        <f>IFERROR(VLOOKUP(C238,기출문제!D:G,4,0),"")</f>
        <v>3</v>
      </c>
      <c r="G238" s="32" t="str">
        <f t="shared" si="3"/>
        <v>O</v>
      </c>
    </row>
    <row r="239" spans="2:7" ht="85.5" x14ac:dyDescent="0.3">
      <c r="B239" s="13">
        <v>232</v>
      </c>
      <c r="C239" s="14" t="s">
        <v>1015</v>
      </c>
      <c r="D239" s="13">
        <v>0</v>
      </c>
      <c r="E239" s="15" t="str">
        <f>IFERROR(VLOOKUP(C239,기출문제!D:G,3,0),"")</f>
        <v>117. 총자산회전율의 산식은?
① 매출액/매출채권
② 매출액/총자산
③ 순이익/자기자본
④ 총자산/매출액
⑤ 자기자본/순이기</v>
      </c>
      <c r="F239" s="31">
        <f>IFERROR(VLOOKUP(C239,기출문제!D:G,4,0),"")</f>
        <v>2</v>
      </c>
      <c r="G239" s="32" t="str">
        <f t="shared" si="3"/>
        <v>X</v>
      </c>
    </row>
    <row r="240" spans="2:7" ht="85.5" x14ac:dyDescent="0.3">
      <c r="B240" s="13">
        <v>233</v>
      </c>
      <c r="C240" s="14" t="s">
        <v>1016</v>
      </c>
      <c r="D240" s="13">
        <v>4</v>
      </c>
      <c r="E240" s="15" t="str">
        <f>IFERROR(VLOOKUP(C240,기출문제!D:G,3,0),"")</f>
        <v>118. 주식에 관한 설명으로 옳지 않은 것은?
① 기업의 이익 중 일부를 주주에게 분배하는 것을 배당이라 한다.
② 기업은 발행한 보통주에 대한 상환의무를 갖지 않는다.
③ 주식은 자금조달이 필요한 경우 추가로 발행될 수 있다.
④ 모든 주식은 채권과 달리 액면가가 없다.
⑤ 주주는 투자한 금액 내에서 유한책임을 진다.</v>
      </c>
      <c r="F240" s="31">
        <f>IFERROR(VLOOKUP(C240,기출문제!D:G,4,0),"")</f>
        <v>4</v>
      </c>
      <c r="G240" s="32" t="str">
        <f t="shared" si="3"/>
        <v>O</v>
      </c>
    </row>
    <row r="241" spans="2:7" ht="85.5" x14ac:dyDescent="0.3">
      <c r="B241" s="13">
        <v>234</v>
      </c>
      <c r="C241" s="14" t="s">
        <v>1017</v>
      </c>
      <c r="D241" s="13">
        <v>2</v>
      </c>
      <c r="E241" s="15" t="str">
        <f>IFERROR(VLOOKUP(C241,기출문제!D:G,3,0),"")</f>
        <v>119. 생산시스템 설계에 해당하는 것은?
① 일정관리
② 시설입지
③ 재고관리
④ 품질관리
⑤ 수요예측</v>
      </c>
      <c r="F241" s="31">
        <f>IFERROR(VLOOKUP(C241,기출문제!D:G,4,0),"")</f>
        <v>2</v>
      </c>
      <c r="G241" s="32" t="str">
        <f t="shared" si="3"/>
        <v>O</v>
      </c>
    </row>
    <row r="242" spans="2:7" ht="85.5" x14ac:dyDescent="0.3">
      <c r="B242" s="13">
        <v>235</v>
      </c>
      <c r="C242" s="14" t="s">
        <v>1018</v>
      </c>
      <c r="D242" s="13">
        <v>1</v>
      </c>
      <c r="E242" s="15" t="str">
        <f>IFERROR(VLOOKUP(C242,기출문제!D:G,3,0),"")</f>
        <v>120. 해리스(F. W. Harris)가 제시한 EOQ(경제적 주문량) 모형의 가정으로 옳은 것은?
① 단일품목만을 대상으로 한다.
② 조달기간은 분기 단위로 변동한다.
③ 수량할인이 적용된다.
④ 연간수요량은 알 수 없다.
⑤ 주문비용은 주문량에 정비례한다.</v>
      </c>
      <c r="F242" s="31">
        <f>IFERROR(VLOOKUP(C242,기출문제!D:G,4,0),"")</f>
        <v>1</v>
      </c>
      <c r="G242" s="32" t="str">
        <f t="shared" si="3"/>
        <v>O</v>
      </c>
    </row>
    <row r="243" spans="2:7" ht="142.5" x14ac:dyDescent="0.3">
      <c r="B243" s="13">
        <v>236</v>
      </c>
      <c r="C243" s="14" t="s">
        <v>1019</v>
      </c>
      <c r="D243" s="13">
        <v>0</v>
      </c>
      <c r="E243" s="15" t="str">
        <f>IFERROR(VLOOKUP(C243,기출문제!D:G,3,0),"")</f>
        <v>121. 다음자료를 이용하여 당기순이익을 구하면? (단, 회계기간은 1월 1일부터 12월 31일까지이다.)
○ 영업이익     :  300,000원
○ 이자비용     :    10,000원
○ 영업외수익  :    50,000원
○ 법인세비용  :    15,000원
① 275,000원
② 290,000원
③ 325,000원
④ 335,000원
⑤ 340,000원</v>
      </c>
      <c r="F243" s="31">
        <f>IFERROR(VLOOKUP(C243,기출문제!D:G,4,0),"")</f>
        <v>3</v>
      </c>
      <c r="G243" s="32" t="str">
        <f t="shared" si="3"/>
        <v>X</v>
      </c>
    </row>
    <row r="244" spans="2:7" ht="128.25" x14ac:dyDescent="0.3">
      <c r="B244" s="13">
        <v>237</v>
      </c>
      <c r="C244" s="14" t="s">
        <v>1020</v>
      </c>
      <c r="D244" s="13">
        <v>0</v>
      </c>
      <c r="E244" s="15" t="str">
        <f>IFERROR(VLOOKUP(C244,기출문제!D:G,3,0),"")</f>
        <v>122. 다음과 같은 조건에서 손익분기점에 도달하기 위한 팬매수량(단위)은?
○ 단위당 판매가격   :        20,000원
○ 단위당 변동기      :        14,000원
○ 총고정비              : 48,000,000원
① 5,000
② 6,000
③ 7,000
④ 8,000
⑤ 9,000</v>
      </c>
      <c r="F244" s="31">
        <f>IFERROR(VLOOKUP(C244,기출문제!D:G,4,0),"")</f>
        <v>4</v>
      </c>
      <c r="G244" s="32" t="str">
        <f t="shared" si="3"/>
        <v>X</v>
      </c>
    </row>
    <row r="245" spans="2:7" ht="85.5" x14ac:dyDescent="0.3">
      <c r="B245" s="13">
        <v>238</v>
      </c>
      <c r="C245" s="14" t="s">
        <v>1021</v>
      </c>
      <c r="D245" s="13">
        <v>3</v>
      </c>
      <c r="E245" s="15" t="str">
        <f>IFERROR(VLOOKUP(C245,기출문제!D:G,3,0),"")</f>
        <v>123. 경영정보시스템의 분석 및 설계 과정에서 수행하는 작업이 아닌 것은?
① 입력 자료의 내용, 양식, 형태, 분량 분석
② 출력물의 양식, 내용, 분량, 출력주기 정의
③ 시스템 테스트를 위한 테이터 준비, 시스템 수정
④ 자료가 출력되기 위해 필요한 수식연산, 비교연산, 논리연산 설계
⑤ 데이터베이스 구조 및 특성, 자료처리 분량 및 속도, 레코드 및 파일 구조 명세화</v>
      </c>
      <c r="F245" s="31">
        <f>IFERROR(VLOOKUP(C245,기출문제!D:G,4,0),"")</f>
        <v>3</v>
      </c>
      <c r="G245" s="32" t="str">
        <f t="shared" si="3"/>
        <v>O</v>
      </c>
    </row>
    <row r="246" spans="2:7" ht="85.5" x14ac:dyDescent="0.3">
      <c r="B246" s="13">
        <v>239</v>
      </c>
      <c r="C246" s="14" t="s">
        <v>1022</v>
      </c>
      <c r="D246" s="13">
        <v>1</v>
      </c>
      <c r="E246" s="15" t="str">
        <f>IFERROR(VLOOKUP(C246,기출문제!D:G,3,0),"")</f>
        <v>124. 빅데이터 기술에 관한 설명으로 옳지 않은 것은?
① 관계형 데이터베이스인 NoSQL, Hbase 등을 분석에 활용한다.
② 구조화되지 않은 데이터도 분석 대상으로 한다.
③ 많은 양의 정보를 처리한다.
④ 빠르게 변화하거나 증가하는 데이터도 분석이 가능하다.
⑤ 제조업, 금융업, 유통업 등 다양한 분야에 활용된다.</v>
      </c>
      <c r="F246" s="31">
        <f>IFERROR(VLOOKUP(C246,기출문제!D:G,4,0),"")</f>
        <v>1</v>
      </c>
      <c r="G246" s="32" t="str">
        <f t="shared" si="3"/>
        <v>O</v>
      </c>
    </row>
    <row r="247" spans="2:7" ht="99.75" x14ac:dyDescent="0.3">
      <c r="B247" s="13">
        <v>240</v>
      </c>
      <c r="C247" s="14" t="s">
        <v>1023</v>
      </c>
      <c r="D247" s="13">
        <v>5</v>
      </c>
      <c r="E247" s="15" t="str">
        <f>IFERROR(VLOOKUP(C247,기출문제!D:G,3,0),"")</f>
        <v>125. 다음에서 설명하는 것은?
○ 기업의 자재, 회계, 구매, 생산, 판매, 인사 등 모든 업무의 흐름을 효율적으로 지원하기 위한 통합정보 시스템
① CRM
② SCM
③ DSS
④ KMS
⑤ ERP</v>
      </c>
      <c r="F247" s="31">
        <f>IFERROR(VLOOKUP(C247,기출문제!D:G,4,0),"")</f>
        <v>5</v>
      </c>
      <c r="G247" s="32" t="str">
        <f t="shared" si="3"/>
        <v>O</v>
      </c>
    </row>
    <row r="248" spans="2:7" ht="85.5" x14ac:dyDescent="0.3">
      <c r="B248" s="13">
        <v>241</v>
      </c>
      <c r="C248" s="14" t="s">
        <v>318</v>
      </c>
      <c r="D248" s="13">
        <v>1</v>
      </c>
      <c r="E248" s="15" t="str">
        <f>IFERROR(VLOOKUP(C248,기출문제!D:G,3,0),"")</f>
        <v>101. 포터(M. Porter)의 가치사슬모델에서 주요 활동에 해당하지 않는 것은?
① 운영・제조
② 입고・출고
③ 고객서비스
④ 영업・마케팅
⑤ 인적자원관리</v>
      </c>
      <c r="F248" s="31">
        <f>IFERROR(VLOOKUP(C248,기출문제!D:G,4,0),"")</f>
        <v>5</v>
      </c>
      <c r="G248" s="32" t="str">
        <f t="shared" si="3"/>
        <v>X</v>
      </c>
    </row>
    <row r="249" spans="2:7" ht="85.5" x14ac:dyDescent="0.3">
      <c r="B249" s="13">
        <v>242</v>
      </c>
      <c r="C249" s="14" t="s">
        <v>1024</v>
      </c>
      <c r="D249" s="13">
        <v>3</v>
      </c>
      <c r="E249" s="15" t="str">
        <f>IFERROR(VLOOKUP(C249,기출문제!D:G,3,0),"")</f>
        <v>102. BCG의 성장-점유율 매트릭스에서 시장성장률은 낮고 상대적 시장점유율이 높은 영역은?
① Dog
② Star
③ Cash Cow
④ Problem Child
⑤ Question Mark</v>
      </c>
      <c r="F249" s="31">
        <f>IFERROR(VLOOKUP(C249,기출문제!D:G,4,0),"")</f>
        <v>3</v>
      </c>
      <c r="G249" s="32" t="str">
        <f t="shared" si="3"/>
        <v>O</v>
      </c>
    </row>
    <row r="250" spans="2:7" ht="85.5" x14ac:dyDescent="0.3">
      <c r="B250" s="13">
        <v>243</v>
      </c>
      <c r="C250" s="14" t="s">
        <v>1025</v>
      </c>
      <c r="D250" s="13">
        <v>5</v>
      </c>
      <c r="E250" s="15" t="str">
        <f>IFERROR(VLOOKUP(C250,기출문제!D:G,3,0),"")</f>
        <v>103. 테일러(F. Taylor)의 과학적 관리의 특징으로 옳지 않은 것은?
① 과업관리
② 작업지도표 제도
③ 차별적 성과급제
④ 기능식 직장제도
⑤ 컨베이어 시스템</v>
      </c>
      <c r="F250" s="31">
        <f>IFERROR(VLOOKUP(C250,기출문제!D:G,4,0),"")</f>
        <v>5</v>
      </c>
      <c r="G250" s="32" t="str">
        <f t="shared" si="3"/>
        <v>O</v>
      </c>
    </row>
    <row r="251" spans="2:7" ht="85.5" x14ac:dyDescent="0.3">
      <c r="B251" s="13">
        <v>244</v>
      </c>
      <c r="C251" s="14" t="s">
        <v>1026</v>
      </c>
      <c r="D251" s="13">
        <v>4</v>
      </c>
      <c r="E251" s="15" t="str">
        <f>IFERROR(VLOOKUP(C251,기출문제!D:G,3,0),"")</f>
        <v>104. 임금관리에 관한 설명으로 옳지 않은 것은?
① 임금체계는 공정성이 중요한 관심사이다.
② 연공급은 근속연수를 기준으로 임금을 차등화하는 제도이다.
③ 직무급은 직무의 표준화와 전문화가 선행되어야 한다.
④ 직능급은 동일 직무를 수행하면 동일 임금을 지급한다.
⑤ 임금수준을 결정하는 주요 요인에는 기업의 지불능력과 생산성 등이 있다.</v>
      </c>
      <c r="F251" s="31">
        <f>IFERROR(VLOOKUP(C251,기출문제!D:G,4,0),"")</f>
        <v>4</v>
      </c>
      <c r="G251" s="32" t="str">
        <f t="shared" si="3"/>
        <v>O</v>
      </c>
    </row>
    <row r="252" spans="2:7" ht="85.5" x14ac:dyDescent="0.3">
      <c r="B252" s="13">
        <v>245</v>
      </c>
      <c r="C252" s="14" t="s">
        <v>1027</v>
      </c>
      <c r="D252" s="13">
        <v>1</v>
      </c>
      <c r="E252" s="15" t="str">
        <f>IFERROR(VLOOKUP(C252,기출문제!D:G,3,0),"")</f>
        <v>105. 수단성(instrumentality) 및 유의성(valence)을 포함한 동기부여이론은?
① 기대이론(expectancy theory)
② 2요인이론(two factor theory)
③ 강화이론(reinforcement theory)
④ 목표설정이론(goal setting theory)
⑤ 인지평가이론(cognitive evaluation theory)</v>
      </c>
      <c r="F252" s="31">
        <f>IFERROR(VLOOKUP(C252,기출문제!D:G,4,0),"")</f>
        <v>1</v>
      </c>
      <c r="G252" s="32" t="str">
        <f t="shared" si="3"/>
        <v>O</v>
      </c>
    </row>
    <row r="253" spans="2:7" ht="85.5" x14ac:dyDescent="0.3">
      <c r="B253" s="13">
        <v>246</v>
      </c>
      <c r="C253" s="14" t="s">
        <v>1028</v>
      </c>
      <c r="D253" s="13">
        <v>1</v>
      </c>
      <c r="E253" s="15" t="str">
        <f>IFERROR(VLOOKUP(C253,기출문제!D:G,3,0),"")</f>
        <v>106. 델파이기법에 관한 설명으로 옳지 않은 것은?
① 전문가들을 두 그룹으로 나누어 진행한다.
② 많은 전문가들의 의견을 취합하여 재조정 과정을 거친다.
③ 의사결정 및 의견개진 과정에서 타인의 압력이 배제된다.
④ 전문가들을 공식적으로 소집하여 한 장소에 모이게 할 필요가 없다.
⑤ 미래의 불확실성에 대한 의사결정 및 장기예측에 좋은 방법이다.</v>
      </c>
      <c r="F253" s="31">
        <f>IFERROR(VLOOKUP(C253,기출문제!D:G,4,0),"")</f>
        <v>1</v>
      </c>
      <c r="G253" s="32" t="str">
        <f t="shared" si="3"/>
        <v>O</v>
      </c>
    </row>
    <row r="254" spans="2:7" ht="85.5" x14ac:dyDescent="0.3">
      <c r="B254" s="13">
        <v>247</v>
      </c>
      <c r="C254" s="14" t="s">
        <v>1029</v>
      </c>
      <c r="D254" s="13">
        <v>4</v>
      </c>
      <c r="E254" s="15" t="str">
        <f>IFERROR(VLOOKUP(C254,기출문제!D:G,3,0),"")</f>
        <v>107. 선발시험 합격자들의 시험성적과 입사 후 일정 기간이 지나서 이들이 달성한 직무성과와의 상관관계를 측정하는 지표는?
① 신뢰도
② 대비효과
③ 현재타당도
④ 내용타당도
⑤ 예측타당도</v>
      </c>
      <c r="F254" s="31">
        <f>IFERROR(VLOOKUP(C254,기출문제!D:G,4,0),"")</f>
        <v>5</v>
      </c>
      <c r="G254" s="32" t="str">
        <f t="shared" si="3"/>
        <v>X</v>
      </c>
    </row>
    <row r="255" spans="2:7" ht="85.5" x14ac:dyDescent="0.3">
      <c r="B255" s="13">
        <v>248</v>
      </c>
      <c r="C255" s="14" t="s">
        <v>1030</v>
      </c>
      <c r="D255" s="13">
        <v>2</v>
      </c>
      <c r="E255" s="15" t="str">
        <f>IFERROR(VLOOKUP(C255,기출문제!D:G,3,0),"")</f>
        <v>108. Big 5 모델에서 제시하는 다섯 가지 성격요소가 아닌 것은?
① 개방성(openness)
② 객관성(objectivity)
③ 외향성(extraversion)
④ 성실성(conscientiousness)
⑤ 정서적 안정성(emotional stability)</v>
      </c>
      <c r="F255" s="31">
        <f>IFERROR(VLOOKUP(C255,기출문제!D:G,4,0),"")</f>
        <v>2</v>
      </c>
      <c r="G255" s="32" t="str">
        <f t="shared" si="3"/>
        <v>O</v>
      </c>
    </row>
    <row r="256" spans="2:7" ht="85.5" x14ac:dyDescent="0.3">
      <c r="B256" s="13">
        <v>249</v>
      </c>
      <c r="C256" s="14" t="s">
        <v>1031</v>
      </c>
      <c r="D256" s="13">
        <v>2</v>
      </c>
      <c r="E256" s="15" t="str">
        <f>IFERROR(VLOOKUP(C256,기출문제!D:G,3,0),"")</f>
        <v>109. Communication에서 전달된 메시지를 자신에게 주는 의미로 변환시키는 사고 과정은?
① 잡음(noise)
② 해독(decoding)
③ 반응(response)
④ 부호화(encoding)
⑤ 피드백(feedback)</v>
      </c>
      <c r="F256" s="31">
        <f>IFERROR(VLOOKUP(C256,기출문제!D:G,4,0),"")</f>
        <v>2</v>
      </c>
      <c r="G256" s="32" t="str">
        <f t="shared" si="3"/>
        <v>O</v>
      </c>
    </row>
    <row r="257" spans="2:7" ht="114" x14ac:dyDescent="0.3">
      <c r="B257" s="13">
        <v>250</v>
      </c>
      <c r="C257" s="14" t="s">
        <v>1032</v>
      </c>
      <c r="D257" s="13">
        <v>2</v>
      </c>
      <c r="E257" s="15" t="str">
        <f>IFERROR(VLOOKUP(C257,기출문제!D:G,3,0),"")</f>
        <v>110. 다음 주장에 해당하는 이론은?
ㄱ. 조직의 생존을 위해 이해관계자들로부터 정당성을 얻는 것이 중요하다.
ㄴ. 동일 산업내의 조직형태 및 경영관행 등이 유사성을 보이는 것은 조직들이 서로 모방하기 때문이다.
① 대리인이론
② 제도화이론
③ 자원의존이론
④ 조직군생태학이론
⑤ 협력적네트워크이론</v>
      </c>
      <c r="F257" s="31">
        <f>IFERROR(VLOOKUP(C257,기출문제!D:G,4,0),"")</f>
        <v>2</v>
      </c>
      <c r="G257" s="32" t="str">
        <f t="shared" si="3"/>
        <v>O</v>
      </c>
    </row>
    <row r="258" spans="2:7" ht="85.5" x14ac:dyDescent="0.3">
      <c r="B258" s="13">
        <v>251</v>
      </c>
      <c r="C258" s="14" t="s">
        <v>1033</v>
      </c>
      <c r="D258" s="13">
        <v>3</v>
      </c>
      <c r="E258" s="15" t="str">
        <f>IFERROR(VLOOKUP(C258,기출문제!D:G,3,0),"")</f>
        <v>111. 조합원 및 비조합원 모두에게 조합비를 징수하는 shop제도는?
① open shop
② closed shop
③ agency shop
④ preferential shop
⑤ maintenance shop</v>
      </c>
      <c r="F258" s="31">
        <f>IFERROR(VLOOKUP(C258,기출문제!D:G,4,0),"")</f>
        <v>3</v>
      </c>
      <c r="G258" s="32" t="str">
        <f t="shared" si="3"/>
        <v>O</v>
      </c>
    </row>
    <row r="259" spans="2:7" ht="85.5" x14ac:dyDescent="0.3">
      <c r="B259" s="13">
        <v>252</v>
      </c>
      <c r="C259" s="14" t="s">
        <v>1034</v>
      </c>
      <c r="D259" s="13">
        <v>4</v>
      </c>
      <c r="E259" s="15" t="str">
        <f>IFERROR(VLOOKUP(C259,기출문제!D:G,3,0),"")</f>
        <v>112. 표적시장에 관한 설명으로 옳지 않은 것은?
① 단일표적시장에는 집중적 마케팅전략을 구사한다.
② 다수표적시장에는 순환적 마케팅전략을 구사한다.
③ 통합표적시장에는 역세분화 마케팅전략을 구사한다.
④ 인적, 물적, 기술적 자원이 부족한 기업은 보통 집중적 마케팅전략을 구사한다.
⑤ 세분시장 평가 시에는 세분시장의 매력도, 기업의 목표와 자원 등을 고려해야 한다.</v>
      </c>
      <c r="F259" s="31">
        <f>IFERROR(VLOOKUP(C259,기출문제!D:G,4,0),"")</f>
        <v>2</v>
      </c>
      <c r="G259" s="32" t="str">
        <f t="shared" si="3"/>
        <v>X</v>
      </c>
    </row>
    <row r="260" spans="2:7" ht="85.5" x14ac:dyDescent="0.3">
      <c r="B260" s="13">
        <v>253</v>
      </c>
      <c r="C260" s="14" t="s">
        <v>1035</v>
      </c>
      <c r="D260" s="13">
        <v>2</v>
      </c>
      <c r="E260" s="15" t="str">
        <f>IFERROR(VLOOKUP(C260,기출문제!D:G,3,0),"")</f>
        <v>113. 전형적인 제품수명주기(PLC)에 관한 설명으로 옳지 않은 것은?
① 도입기, 성장기, 성숙기, 쇠퇴기의 4단계로 나누어진다.
② 성장기에는 제품선호형 광고에서 정보제공형 광고로 전환한다.
③ 도입기에는 제품인지도를 높이기 위해 광고비가 많이 소요된다.
④ 성숙기에는 제품의 매출성장률이 점차적으로 둔화되기 시작한다.
⑤ 쇠퇴기에는 제품에 대해 유지전략, 수확전략, 철수전략 등을 고려할 수 있다.</v>
      </c>
      <c r="F260" s="31">
        <f>IFERROR(VLOOKUP(C260,기출문제!D:G,4,0),"")</f>
        <v>2</v>
      </c>
      <c r="G260" s="32" t="str">
        <f t="shared" si="3"/>
        <v>O</v>
      </c>
    </row>
    <row r="261" spans="2:7" ht="99.75" x14ac:dyDescent="0.3">
      <c r="B261" s="13">
        <v>254</v>
      </c>
      <c r="C261" s="14" t="s">
        <v>1036</v>
      </c>
      <c r="D261" s="13">
        <v>0</v>
      </c>
      <c r="E261" s="15" t="str">
        <f>IFERROR(VLOOKUP(C261,기출문제!D:G,3,0),"")</f>
        <v>114. 통합적 마케팅 커뮤니케이션에 관한 설명 중 옳지 않은 것은?
① 강화광고는 기존 사용자에게 브랜드에 대한 확신과 만족도를 높여 준다.
② 가족 브랜딩(family branding)은 개별 브랜딩과는 달리 한 제품을 촉진하면 나머지 제품도 촉진된다는 이점이 있다.
③ 촉진에서 풀(pull) 정책은 제품에 대한 강한 수요를 유발할 목적으로 광고나 판매촉진 등을 활용하는 정책이다.
④ PR은 조직의 이해관계자들에게 호의적인 인상을 심어주기 위하여 홍보, 후원, 이벤트, 웹사이트 등을 사용하는 커뮤니케이션 방법이다.
⑤ 버즈(buzz) 마케팅은 소비자에게 메시지를 빨리 전파할 수 있게 이메일이나 모바일을 통하여 메시지를 공유한다.</v>
      </c>
      <c r="F261" s="31">
        <f>IFERROR(VLOOKUP(C261,기출문제!D:G,4,0),"")</f>
        <v>5</v>
      </c>
      <c r="G261" s="32" t="str">
        <f t="shared" si="3"/>
        <v>X</v>
      </c>
    </row>
    <row r="262" spans="2:7" ht="85.5" x14ac:dyDescent="0.3">
      <c r="B262" s="13">
        <v>255</v>
      </c>
      <c r="C262" s="14" t="s">
        <v>1037</v>
      </c>
      <c r="D262" s="13">
        <v>4</v>
      </c>
      <c r="E262" s="15" t="str">
        <f>IFERROR(VLOOKUP(C262,기출문제!D:G,3,0),"")</f>
        <v>115. 투자안의 순현가를 0으로 만드는 수익률(할인율)은?
① 초과수익률
② 실질수익률
③ 경상수익률
④ 내부수익률
⑤ 명목수익률</v>
      </c>
      <c r="F262" s="31">
        <f>IFERROR(VLOOKUP(C262,기출문제!D:G,4,0),"")</f>
        <v>4</v>
      </c>
      <c r="G262" s="32" t="str">
        <f t="shared" si="3"/>
        <v>O</v>
      </c>
    </row>
    <row r="263" spans="2:7" ht="85.5" x14ac:dyDescent="0.3">
      <c r="B263" s="13">
        <v>256</v>
      </c>
      <c r="C263" s="14" t="s">
        <v>1038</v>
      </c>
      <c r="D263" s="13">
        <v>0</v>
      </c>
      <c r="E263" s="15" t="str">
        <f>IFERROR(VLOOKUP(C263,기출문제!D:G,3,0),"")</f>
        <v>116. 매출액순이익률이 2%이고 총자본회전율이 5인 기업의 총자본순이익률은?
① 1%
② 2.5%
③ 5%
④ 7%
⑤ 10%</v>
      </c>
      <c r="F263" s="31">
        <f>IFERROR(VLOOKUP(C263,기출문제!D:G,4,0),"")</f>
        <v>5</v>
      </c>
      <c r="G263" s="32" t="str">
        <f t="shared" si="3"/>
        <v>X</v>
      </c>
    </row>
    <row r="264" spans="2:7" ht="85.5" x14ac:dyDescent="0.3">
      <c r="B264" s="13">
        <v>257</v>
      </c>
      <c r="C264" s="14" t="s">
        <v>1039</v>
      </c>
      <c r="D264" s="13">
        <v>0</v>
      </c>
      <c r="E264" s="15" t="str">
        <f>IFERROR(VLOOKUP(C264,기출문제!D:G,3,0),"")</f>
        <v>117. 매년 말 200만원을 영원히 지급받는 영구연금의 현재가치는? (단, 연간이자율은 10%)
① 1,400만원
② 1,600만원
③ 1,800만원
④ 2,000만원
⑤ 2,200만원</v>
      </c>
      <c r="F264" s="31">
        <f>IFERROR(VLOOKUP(C264,기출문제!D:G,4,0),"")</f>
        <v>4</v>
      </c>
      <c r="G264" s="32" t="str">
        <f t="shared" si="3"/>
        <v>X</v>
      </c>
    </row>
    <row r="265" spans="2:7" ht="99.75" x14ac:dyDescent="0.3">
      <c r="B265" s="13">
        <v>258</v>
      </c>
      <c r="C265" s="14" t="s">
        <v>1040</v>
      </c>
      <c r="D265" s="13">
        <v>0</v>
      </c>
      <c r="E265" s="15" t="str">
        <f>IFERROR(VLOOKUP(C265,기출문제!D:G,3,0),"")</f>
        <v>118. A기업은 1년간 400개의 부품을 사용한다. 부품가격은 개당 1,000원, 주문비용은 회당 10,000원, 단위당 연간 재고유지비용은 부품가격의 20%라면 이 부품의 경제적 주문량(EOQ)은?
① 100개
② 150개
③ 200개
④ 250개
⑤ 300개</v>
      </c>
      <c r="F265" s="31">
        <f>IFERROR(VLOOKUP(C265,기출문제!D:G,4,0),"")</f>
        <v>3</v>
      </c>
      <c r="G265" s="32" t="str">
        <f t="shared" ref="G265:G328" si="4">IF(D265="","",IF(D265=F265,"O", "X"))</f>
        <v>X</v>
      </c>
    </row>
    <row r="266" spans="2:7" ht="85.5" x14ac:dyDescent="0.3">
      <c r="B266" s="13">
        <v>259</v>
      </c>
      <c r="C266" s="14" t="s">
        <v>1041</v>
      </c>
      <c r="D266" s="13">
        <v>1</v>
      </c>
      <c r="E266" s="15" t="str">
        <f>IFERROR(VLOOKUP(C266,기출문제!D:G,3,0),"")</f>
        <v>119. 생산관리의 전형적인 목표(과업)로 옳지 않은 것은?
① 촉진강화
② 품질향상
③ 원가절감
④ 납기준수
⑤ 유연성제고</v>
      </c>
      <c r="F266" s="31">
        <f>IFERROR(VLOOKUP(C266,기출문제!D:G,4,0),"")</f>
        <v>1</v>
      </c>
      <c r="G266" s="32" t="str">
        <f t="shared" si="4"/>
        <v>O</v>
      </c>
    </row>
    <row r="267" spans="2:7" ht="85.5" x14ac:dyDescent="0.3">
      <c r="B267" s="13">
        <v>260</v>
      </c>
      <c r="C267" s="14" t="s">
        <v>1042</v>
      </c>
      <c r="D267" s="13">
        <v>1</v>
      </c>
      <c r="E267" s="15" t="str">
        <f>IFERROR(VLOOKUP(C267,기출문제!D:G,3,0),"")</f>
        <v>120. JIT(Just-in-time) 시스템의 특징으로 옳지 않은 것은?
① 푸쉬(push) 방식이다.
② 필요한 만큼의 자재만을 생산한다.
③ 공급자와 긴밀한 관계를 유지한다.
④ 가능한 한 소량 로트(lot) 크기를 사용하여 재고를 관리한다.
⑤ 생산지시와 자재이동을 가시적으로 통제하기 위한 방법으로 간판(Kanban)을 사용한다.</v>
      </c>
      <c r="F267" s="31">
        <f>IFERROR(VLOOKUP(C267,기출문제!D:G,4,0),"")</f>
        <v>1</v>
      </c>
      <c r="G267" s="32" t="str">
        <f t="shared" si="4"/>
        <v>O</v>
      </c>
    </row>
    <row r="268" spans="2:7" ht="85.5" x14ac:dyDescent="0.3">
      <c r="B268" s="13">
        <v>261</v>
      </c>
      <c r="C268" s="14" t="s">
        <v>1043</v>
      </c>
      <c r="D268" s="13">
        <v>2</v>
      </c>
      <c r="E268" s="15" t="str">
        <f>IFERROR(VLOOKUP(C268,기출문제!D:G,3,0),"")</f>
        <v>121. 내용연수를 기준으로 초기에 비용을 많이 계상하는 감가상각방법은?
① 정액법
② 정률법
③ 선입선출법
④ 후입선출법
⑤ 저가법</v>
      </c>
      <c r="F268" s="31">
        <f>IFERROR(VLOOKUP(C268,기출문제!D:G,4,0),"")</f>
        <v>2</v>
      </c>
      <c r="G268" s="32" t="str">
        <f t="shared" si="4"/>
        <v>O</v>
      </c>
    </row>
    <row r="269" spans="2:7" ht="85.5" x14ac:dyDescent="0.3">
      <c r="B269" s="13">
        <v>262</v>
      </c>
      <c r="C269" s="14" t="s">
        <v>1044</v>
      </c>
      <c r="D269" s="13">
        <v>0</v>
      </c>
      <c r="E269" s="15" t="str">
        <f>IFERROR(VLOOKUP(C269,기출문제!D:G,3,0),"")</f>
        <v>122. 액면가액 5,000원인 주식 100주를 발행하여 회사를 설립할 경우 올바른 분개는?
① (차) 현금 500,000 / (대) 부채 500,000
② (차) 자본금 500,000 / (대) 부채 500,000
③ (차) 자본금 500,000 / (대) 현금 500,000
④ (차) 현금 500,000 / (대) 자본금 500,000
⑤ (차) 부채 500,000 / (대) 자본금 500,000</v>
      </c>
      <c r="F269" s="31">
        <f>IFERROR(VLOOKUP(C269,기출문제!D:G,4,0),"")</f>
        <v>4</v>
      </c>
      <c r="G269" s="32" t="str">
        <f t="shared" si="4"/>
        <v>X</v>
      </c>
    </row>
    <row r="270" spans="2:7" ht="85.5" x14ac:dyDescent="0.3">
      <c r="B270" s="13">
        <v>263</v>
      </c>
      <c r="C270" s="14" t="s">
        <v>1045</v>
      </c>
      <c r="D270" s="13">
        <v>0</v>
      </c>
      <c r="E270" s="15" t="str">
        <f>IFERROR(VLOOKUP(C270,기출문제!D:G,3,0),"")</f>
        <v>123. 재무상태표에서 비유동자산에 해당하는 계정과목은?
① 영업권
② 매입채무
③ 매출채권
④ 자기주식
⑤ 법정적립금</v>
      </c>
      <c r="F270" s="31">
        <f>IFERROR(VLOOKUP(C270,기출문제!D:G,4,0),"")</f>
        <v>1</v>
      </c>
      <c r="G270" s="32" t="str">
        <f t="shared" si="4"/>
        <v>X</v>
      </c>
    </row>
    <row r="271" spans="2:7" ht="99.75" x14ac:dyDescent="0.3">
      <c r="B271" s="13">
        <v>264</v>
      </c>
      <c r="C271" s="14" t="s">
        <v>1046</v>
      </c>
      <c r="D271" s="13">
        <v>3</v>
      </c>
      <c r="E271" s="15" t="str">
        <f>IFERROR(VLOOKUP(C271,기출문제!D:G,3,0),"")</f>
        <v>124. 데이터 중복을 최소화하고 무결성을 극대화하며, 최상의 성능을 달성할 수 있도록 관계형 데이터베이스를 분석하고 효율화하는 과정을 지칭하는 용어는?
① 통합화(integration)
② 최적화(optimization)
③ 정규화(normalization)
④ 집중화(centralization)
⑤ 표준화(standardization)</v>
      </c>
      <c r="F271" s="31">
        <f>IFERROR(VLOOKUP(C271,기출문제!D:G,4,0),"")</f>
        <v>3</v>
      </c>
      <c r="G271" s="32" t="str">
        <f t="shared" si="4"/>
        <v>O</v>
      </c>
    </row>
    <row r="272" spans="2:7" ht="99.75" x14ac:dyDescent="0.3">
      <c r="B272" s="13">
        <v>265</v>
      </c>
      <c r="C272" s="14" t="s">
        <v>1047</v>
      </c>
      <c r="D272" s="13">
        <v>2</v>
      </c>
      <c r="E272" s="15" t="str">
        <f>IFERROR(VLOOKUP(C272,기출문제!D:G,3,0),"")</f>
        <v>125. USB는 컴퓨터와 주변장치(키보드, 마우스, 메모리스틱 등)를 연결하는 장치이다. 여기서, USB는 U=Universal, S=Serial, B=( )의 약자이다. 괄호 안에 들어갈 단어는?
① Bit
② Bus
③ Box
④ Boot
⑤ Base</v>
      </c>
      <c r="F272" s="31">
        <f>IFERROR(VLOOKUP(C272,기출문제!D:G,4,0),"")</f>
        <v>2</v>
      </c>
      <c r="G272" s="32" t="str">
        <f t="shared" si="4"/>
        <v>O</v>
      </c>
    </row>
    <row r="273" spans="2:7" x14ac:dyDescent="0.3">
      <c r="B273" s="13">
        <v>266</v>
      </c>
      <c r="C273" s="14" t="s">
        <v>766</v>
      </c>
      <c r="D273" s="13"/>
      <c r="E273" s="15" t="str">
        <f>IFERROR(VLOOKUP(C273,기출문제!D:G,3,0),"")</f>
        <v/>
      </c>
      <c r="F273" s="31" t="str">
        <f>IFERROR(VLOOKUP(C273,기출문제!D:G,4,0),"")</f>
        <v/>
      </c>
      <c r="G273" s="32" t="str">
        <f t="shared" si="4"/>
        <v/>
      </c>
    </row>
    <row r="274" spans="2:7" x14ac:dyDescent="0.3">
      <c r="B274" s="13">
        <v>267</v>
      </c>
      <c r="C274" s="14" t="s">
        <v>766</v>
      </c>
      <c r="D274" s="13"/>
      <c r="E274" s="15" t="str">
        <f>IFERROR(VLOOKUP(C274,기출문제!D:G,3,0),"")</f>
        <v/>
      </c>
      <c r="F274" s="31" t="str">
        <f>IFERROR(VLOOKUP(C274,기출문제!D:G,4,0),"")</f>
        <v/>
      </c>
      <c r="G274" s="32" t="str">
        <f t="shared" si="4"/>
        <v/>
      </c>
    </row>
    <row r="275" spans="2:7" x14ac:dyDescent="0.3">
      <c r="B275" s="13">
        <v>268</v>
      </c>
      <c r="C275" s="14" t="s">
        <v>766</v>
      </c>
      <c r="D275" s="13"/>
      <c r="E275" s="15" t="str">
        <f>IFERROR(VLOOKUP(C275,기출문제!D:G,3,0),"")</f>
        <v/>
      </c>
      <c r="F275" s="31" t="str">
        <f>IFERROR(VLOOKUP(C275,기출문제!D:G,4,0),"")</f>
        <v/>
      </c>
      <c r="G275" s="32" t="str">
        <f t="shared" si="4"/>
        <v/>
      </c>
    </row>
    <row r="276" spans="2:7" x14ac:dyDescent="0.3">
      <c r="B276" s="13">
        <v>269</v>
      </c>
      <c r="C276" s="14" t="s">
        <v>766</v>
      </c>
      <c r="D276" s="13"/>
      <c r="E276" s="15" t="str">
        <f>IFERROR(VLOOKUP(C276,기출문제!D:G,3,0),"")</f>
        <v/>
      </c>
      <c r="F276" s="31" t="str">
        <f>IFERROR(VLOOKUP(C276,기출문제!D:G,4,0),"")</f>
        <v/>
      </c>
      <c r="G276" s="32" t="str">
        <f t="shared" si="4"/>
        <v/>
      </c>
    </row>
    <row r="277" spans="2:7" x14ac:dyDescent="0.3">
      <c r="B277" s="13">
        <v>270</v>
      </c>
      <c r="C277" s="14" t="s">
        <v>766</v>
      </c>
      <c r="D277" s="13"/>
      <c r="E277" s="15" t="str">
        <f>IFERROR(VLOOKUP(C277,기출문제!D:G,3,0),"")</f>
        <v/>
      </c>
      <c r="F277" s="31" t="str">
        <f>IFERROR(VLOOKUP(C277,기출문제!D:G,4,0),"")</f>
        <v/>
      </c>
      <c r="G277" s="32" t="str">
        <f t="shared" si="4"/>
        <v/>
      </c>
    </row>
    <row r="278" spans="2:7" x14ac:dyDescent="0.3">
      <c r="B278" s="13">
        <v>271</v>
      </c>
      <c r="C278" s="14" t="s">
        <v>766</v>
      </c>
      <c r="D278" s="13"/>
      <c r="E278" s="15" t="str">
        <f>IFERROR(VLOOKUP(C278,기출문제!D:G,3,0),"")</f>
        <v/>
      </c>
      <c r="F278" s="31" t="str">
        <f>IFERROR(VLOOKUP(C278,기출문제!D:G,4,0),"")</f>
        <v/>
      </c>
      <c r="G278" s="32" t="str">
        <f t="shared" si="4"/>
        <v/>
      </c>
    </row>
    <row r="279" spans="2:7" x14ac:dyDescent="0.3">
      <c r="B279" s="13">
        <v>272</v>
      </c>
      <c r="C279" s="14" t="s">
        <v>766</v>
      </c>
      <c r="D279" s="13"/>
      <c r="E279" s="15" t="str">
        <f>IFERROR(VLOOKUP(C279,기출문제!D:G,3,0),"")</f>
        <v/>
      </c>
      <c r="F279" s="31" t="str">
        <f>IFERROR(VLOOKUP(C279,기출문제!D:G,4,0),"")</f>
        <v/>
      </c>
      <c r="G279" s="32" t="str">
        <f t="shared" si="4"/>
        <v/>
      </c>
    </row>
    <row r="280" spans="2:7" x14ac:dyDescent="0.3">
      <c r="B280" s="13">
        <v>273</v>
      </c>
      <c r="C280" s="14" t="s">
        <v>766</v>
      </c>
      <c r="D280" s="13"/>
      <c r="E280" s="15" t="str">
        <f>IFERROR(VLOOKUP(C280,기출문제!D:G,3,0),"")</f>
        <v/>
      </c>
      <c r="F280" s="31" t="str">
        <f>IFERROR(VLOOKUP(C280,기출문제!D:G,4,0),"")</f>
        <v/>
      </c>
      <c r="G280" s="32" t="str">
        <f t="shared" si="4"/>
        <v/>
      </c>
    </row>
    <row r="281" spans="2:7" x14ac:dyDescent="0.3">
      <c r="B281" s="13">
        <v>274</v>
      </c>
      <c r="C281" s="14" t="s">
        <v>766</v>
      </c>
      <c r="D281" s="13"/>
      <c r="E281" s="15" t="str">
        <f>IFERROR(VLOOKUP(C281,기출문제!D:G,3,0),"")</f>
        <v/>
      </c>
      <c r="F281" s="31" t="str">
        <f>IFERROR(VLOOKUP(C281,기출문제!D:G,4,0),"")</f>
        <v/>
      </c>
      <c r="G281" s="32" t="str">
        <f t="shared" si="4"/>
        <v/>
      </c>
    </row>
    <row r="282" spans="2:7" x14ac:dyDescent="0.3">
      <c r="B282" s="13">
        <v>275</v>
      </c>
      <c r="C282" s="14" t="s">
        <v>766</v>
      </c>
      <c r="D282" s="13"/>
      <c r="E282" s="15" t="str">
        <f>IFERROR(VLOOKUP(C282,기출문제!D:G,3,0),"")</f>
        <v/>
      </c>
      <c r="F282" s="31" t="str">
        <f>IFERROR(VLOOKUP(C282,기출문제!D:G,4,0),"")</f>
        <v/>
      </c>
      <c r="G282" s="32" t="str">
        <f t="shared" si="4"/>
        <v/>
      </c>
    </row>
    <row r="283" spans="2:7" x14ac:dyDescent="0.3">
      <c r="B283" s="13">
        <v>276</v>
      </c>
      <c r="C283" s="14" t="s">
        <v>766</v>
      </c>
      <c r="D283" s="13"/>
      <c r="E283" s="15" t="str">
        <f>IFERROR(VLOOKUP(C283,기출문제!D:G,3,0),"")</f>
        <v/>
      </c>
      <c r="F283" s="31" t="str">
        <f>IFERROR(VLOOKUP(C283,기출문제!D:G,4,0),"")</f>
        <v/>
      </c>
      <c r="G283" s="32" t="str">
        <f t="shared" si="4"/>
        <v/>
      </c>
    </row>
    <row r="284" spans="2:7" x14ac:dyDescent="0.3">
      <c r="B284" s="13">
        <v>277</v>
      </c>
      <c r="C284" s="14" t="s">
        <v>766</v>
      </c>
      <c r="D284" s="13"/>
      <c r="E284" s="15" t="str">
        <f>IFERROR(VLOOKUP(C284,기출문제!D:G,3,0),"")</f>
        <v/>
      </c>
      <c r="F284" s="31" t="str">
        <f>IFERROR(VLOOKUP(C284,기출문제!D:G,4,0),"")</f>
        <v/>
      </c>
      <c r="G284" s="32" t="str">
        <f t="shared" si="4"/>
        <v/>
      </c>
    </row>
    <row r="285" spans="2:7" x14ac:dyDescent="0.3">
      <c r="B285" s="13">
        <v>278</v>
      </c>
      <c r="C285" s="14" t="s">
        <v>766</v>
      </c>
      <c r="D285" s="13"/>
      <c r="E285" s="15" t="str">
        <f>IFERROR(VLOOKUP(C285,기출문제!D:G,3,0),"")</f>
        <v/>
      </c>
      <c r="F285" s="31" t="str">
        <f>IFERROR(VLOOKUP(C285,기출문제!D:G,4,0),"")</f>
        <v/>
      </c>
      <c r="G285" s="32" t="str">
        <f t="shared" si="4"/>
        <v/>
      </c>
    </row>
    <row r="286" spans="2:7" x14ac:dyDescent="0.3">
      <c r="B286" s="13">
        <v>279</v>
      </c>
      <c r="C286" s="14" t="s">
        <v>766</v>
      </c>
      <c r="D286" s="13"/>
      <c r="E286" s="15" t="str">
        <f>IFERROR(VLOOKUP(C286,기출문제!D:G,3,0),"")</f>
        <v/>
      </c>
      <c r="F286" s="31" t="str">
        <f>IFERROR(VLOOKUP(C286,기출문제!D:G,4,0),"")</f>
        <v/>
      </c>
      <c r="G286" s="32" t="str">
        <f t="shared" si="4"/>
        <v/>
      </c>
    </row>
    <row r="287" spans="2:7" x14ac:dyDescent="0.3">
      <c r="B287" s="13">
        <v>280</v>
      </c>
      <c r="C287" s="14" t="s">
        <v>766</v>
      </c>
      <c r="D287" s="13"/>
      <c r="E287" s="15" t="str">
        <f>IFERROR(VLOOKUP(C287,기출문제!D:G,3,0),"")</f>
        <v/>
      </c>
      <c r="F287" s="31" t="str">
        <f>IFERROR(VLOOKUP(C287,기출문제!D:G,4,0),"")</f>
        <v/>
      </c>
      <c r="G287" s="32" t="str">
        <f t="shared" si="4"/>
        <v/>
      </c>
    </row>
    <row r="288" spans="2:7" x14ac:dyDescent="0.3">
      <c r="B288" s="13">
        <v>281</v>
      </c>
      <c r="C288" s="14" t="s">
        <v>766</v>
      </c>
      <c r="D288" s="13"/>
      <c r="E288" s="15" t="str">
        <f>IFERROR(VLOOKUP(C288,기출문제!D:G,3,0),"")</f>
        <v/>
      </c>
      <c r="F288" s="31" t="str">
        <f>IFERROR(VLOOKUP(C288,기출문제!D:G,4,0),"")</f>
        <v/>
      </c>
      <c r="G288" s="32" t="str">
        <f t="shared" si="4"/>
        <v/>
      </c>
    </row>
    <row r="289" spans="2:7" x14ac:dyDescent="0.3">
      <c r="B289" s="13">
        <v>282</v>
      </c>
      <c r="C289" s="14" t="s">
        <v>766</v>
      </c>
      <c r="D289" s="13"/>
      <c r="E289" s="15" t="str">
        <f>IFERROR(VLOOKUP(C289,기출문제!D:G,3,0),"")</f>
        <v/>
      </c>
      <c r="F289" s="31" t="str">
        <f>IFERROR(VLOOKUP(C289,기출문제!D:G,4,0),"")</f>
        <v/>
      </c>
      <c r="G289" s="32" t="str">
        <f t="shared" si="4"/>
        <v/>
      </c>
    </row>
    <row r="290" spans="2:7" x14ac:dyDescent="0.3">
      <c r="B290" s="13">
        <v>283</v>
      </c>
      <c r="C290" s="14" t="s">
        <v>766</v>
      </c>
      <c r="D290" s="13"/>
      <c r="E290" s="15" t="str">
        <f>IFERROR(VLOOKUP(C290,기출문제!D:G,3,0),"")</f>
        <v/>
      </c>
      <c r="F290" s="31" t="str">
        <f>IFERROR(VLOOKUP(C290,기출문제!D:G,4,0),"")</f>
        <v/>
      </c>
      <c r="G290" s="32" t="str">
        <f t="shared" si="4"/>
        <v/>
      </c>
    </row>
    <row r="291" spans="2:7" x14ac:dyDescent="0.3">
      <c r="B291" s="13">
        <v>284</v>
      </c>
      <c r="C291" s="14" t="s">
        <v>766</v>
      </c>
      <c r="D291" s="13"/>
      <c r="E291" s="15" t="str">
        <f>IFERROR(VLOOKUP(C291,기출문제!D:G,3,0),"")</f>
        <v/>
      </c>
      <c r="F291" s="31" t="str">
        <f>IFERROR(VLOOKUP(C291,기출문제!D:G,4,0),"")</f>
        <v/>
      </c>
      <c r="G291" s="32" t="str">
        <f t="shared" si="4"/>
        <v/>
      </c>
    </row>
    <row r="292" spans="2:7" x14ac:dyDescent="0.3">
      <c r="B292" s="13">
        <v>285</v>
      </c>
      <c r="C292" s="14" t="s">
        <v>766</v>
      </c>
      <c r="D292" s="13"/>
      <c r="E292" s="15" t="str">
        <f>IFERROR(VLOOKUP(C292,기출문제!D:G,3,0),"")</f>
        <v/>
      </c>
      <c r="F292" s="31" t="str">
        <f>IFERROR(VLOOKUP(C292,기출문제!D:G,4,0),"")</f>
        <v/>
      </c>
      <c r="G292" s="32" t="str">
        <f t="shared" si="4"/>
        <v/>
      </c>
    </row>
    <row r="293" spans="2:7" x14ac:dyDescent="0.3">
      <c r="B293" s="13">
        <v>286</v>
      </c>
      <c r="C293" s="14" t="s">
        <v>766</v>
      </c>
      <c r="D293" s="13"/>
      <c r="E293" s="15" t="str">
        <f>IFERROR(VLOOKUP(C293,기출문제!D:G,3,0),"")</f>
        <v/>
      </c>
      <c r="F293" s="31" t="str">
        <f>IFERROR(VLOOKUP(C293,기출문제!D:G,4,0),"")</f>
        <v/>
      </c>
      <c r="G293" s="32" t="str">
        <f t="shared" si="4"/>
        <v/>
      </c>
    </row>
    <row r="294" spans="2:7" x14ac:dyDescent="0.3">
      <c r="B294" s="13">
        <v>287</v>
      </c>
      <c r="C294" s="14" t="s">
        <v>766</v>
      </c>
      <c r="D294" s="13"/>
      <c r="E294" s="15" t="str">
        <f>IFERROR(VLOOKUP(C294,기출문제!D:G,3,0),"")</f>
        <v/>
      </c>
      <c r="F294" s="31" t="str">
        <f>IFERROR(VLOOKUP(C294,기출문제!D:G,4,0),"")</f>
        <v/>
      </c>
      <c r="G294" s="32" t="str">
        <f t="shared" si="4"/>
        <v/>
      </c>
    </row>
    <row r="295" spans="2:7" x14ac:dyDescent="0.3">
      <c r="B295" s="13">
        <v>288</v>
      </c>
      <c r="C295" s="14" t="s">
        <v>766</v>
      </c>
      <c r="D295" s="13"/>
      <c r="E295" s="15" t="str">
        <f>IFERROR(VLOOKUP(C295,기출문제!D:G,3,0),"")</f>
        <v/>
      </c>
      <c r="F295" s="31" t="str">
        <f>IFERROR(VLOOKUP(C295,기출문제!D:G,4,0),"")</f>
        <v/>
      </c>
      <c r="G295" s="32" t="str">
        <f t="shared" si="4"/>
        <v/>
      </c>
    </row>
    <row r="296" spans="2:7" x14ac:dyDescent="0.3">
      <c r="B296" s="13">
        <v>289</v>
      </c>
      <c r="C296" s="14" t="s">
        <v>766</v>
      </c>
      <c r="D296" s="13"/>
      <c r="E296" s="15" t="str">
        <f>IFERROR(VLOOKUP(C296,기출문제!D:G,3,0),"")</f>
        <v/>
      </c>
      <c r="F296" s="31" t="str">
        <f>IFERROR(VLOOKUP(C296,기출문제!D:G,4,0),"")</f>
        <v/>
      </c>
      <c r="G296" s="32" t="str">
        <f t="shared" si="4"/>
        <v/>
      </c>
    </row>
    <row r="297" spans="2:7" x14ac:dyDescent="0.3">
      <c r="B297" s="13">
        <v>290</v>
      </c>
      <c r="C297" s="14" t="s">
        <v>766</v>
      </c>
      <c r="D297" s="13"/>
      <c r="E297" s="15" t="str">
        <f>IFERROR(VLOOKUP(C297,기출문제!D:G,3,0),"")</f>
        <v/>
      </c>
      <c r="F297" s="31" t="str">
        <f>IFERROR(VLOOKUP(C297,기출문제!D:G,4,0),"")</f>
        <v/>
      </c>
      <c r="G297" s="32" t="str">
        <f t="shared" si="4"/>
        <v/>
      </c>
    </row>
    <row r="298" spans="2:7" x14ac:dyDescent="0.3">
      <c r="B298" s="13">
        <v>291</v>
      </c>
      <c r="C298" s="14" t="s">
        <v>766</v>
      </c>
      <c r="D298" s="13"/>
      <c r="E298" s="15" t="str">
        <f>IFERROR(VLOOKUP(C298,기출문제!D:G,3,0),"")</f>
        <v/>
      </c>
      <c r="F298" s="31" t="str">
        <f>IFERROR(VLOOKUP(C298,기출문제!D:G,4,0),"")</f>
        <v/>
      </c>
      <c r="G298" s="32" t="str">
        <f t="shared" si="4"/>
        <v/>
      </c>
    </row>
    <row r="299" spans="2:7" x14ac:dyDescent="0.3">
      <c r="B299" s="13">
        <v>292</v>
      </c>
      <c r="C299" s="14" t="s">
        <v>766</v>
      </c>
      <c r="D299" s="13"/>
      <c r="E299" s="15" t="str">
        <f>IFERROR(VLOOKUP(C299,기출문제!D:G,3,0),"")</f>
        <v/>
      </c>
      <c r="F299" s="31" t="str">
        <f>IFERROR(VLOOKUP(C299,기출문제!D:G,4,0),"")</f>
        <v/>
      </c>
      <c r="G299" s="32" t="str">
        <f t="shared" si="4"/>
        <v/>
      </c>
    </row>
    <row r="300" spans="2:7" x14ac:dyDescent="0.3">
      <c r="B300" s="13">
        <v>293</v>
      </c>
      <c r="C300" s="14" t="s">
        <v>766</v>
      </c>
      <c r="D300" s="13"/>
      <c r="E300" s="15" t="str">
        <f>IFERROR(VLOOKUP(C300,기출문제!D:G,3,0),"")</f>
        <v/>
      </c>
      <c r="F300" s="31" t="str">
        <f>IFERROR(VLOOKUP(C300,기출문제!D:G,4,0),"")</f>
        <v/>
      </c>
      <c r="G300" s="32" t="str">
        <f t="shared" si="4"/>
        <v/>
      </c>
    </row>
    <row r="301" spans="2:7" x14ac:dyDescent="0.3">
      <c r="B301" s="13">
        <v>294</v>
      </c>
      <c r="C301" s="14" t="s">
        <v>766</v>
      </c>
      <c r="D301" s="13"/>
      <c r="E301" s="15" t="str">
        <f>IFERROR(VLOOKUP(C301,기출문제!D:G,3,0),"")</f>
        <v/>
      </c>
      <c r="F301" s="31" t="str">
        <f>IFERROR(VLOOKUP(C301,기출문제!D:G,4,0),"")</f>
        <v/>
      </c>
      <c r="G301" s="32" t="str">
        <f t="shared" si="4"/>
        <v/>
      </c>
    </row>
    <row r="302" spans="2:7" x14ac:dyDescent="0.3">
      <c r="B302" s="13">
        <v>295</v>
      </c>
      <c r="C302" s="14" t="s">
        <v>766</v>
      </c>
      <c r="D302" s="13"/>
      <c r="E302" s="15" t="str">
        <f>IFERROR(VLOOKUP(C302,기출문제!D:G,3,0),"")</f>
        <v/>
      </c>
      <c r="F302" s="31" t="str">
        <f>IFERROR(VLOOKUP(C302,기출문제!D:G,4,0),"")</f>
        <v/>
      </c>
      <c r="G302" s="32" t="str">
        <f t="shared" si="4"/>
        <v/>
      </c>
    </row>
    <row r="303" spans="2:7" x14ac:dyDescent="0.3">
      <c r="B303" s="13">
        <v>296</v>
      </c>
      <c r="C303" s="14" t="s">
        <v>766</v>
      </c>
      <c r="D303" s="13"/>
      <c r="E303" s="15" t="str">
        <f>IFERROR(VLOOKUP(C303,기출문제!D:G,3,0),"")</f>
        <v/>
      </c>
      <c r="F303" s="31" t="str">
        <f>IFERROR(VLOOKUP(C303,기출문제!D:G,4,0),"")</f>
        <v/>
      </c>
      <c r="G303" s="32" t="str">
        <f t="shared" si="4"/>
        <v/>
      </c>
    </row>
    <row r="304" spans="2:7" x14ac:dyDescent="0.3">
      <c r="B304" s="13">
        <v>297</v>
      </c>
      <c r="C304" s="14" t="s">
        <v>766</v>
      </c>
      <c r="D304" s="13"/>
      <c r="E304" s="15" t="str">
        <f>IFERROR(VLOOKUP(C304,기출문제!D:G,3,0),"")</f>
        <v/>
      </c>
      <c r="F304" s="31" t="str">
        <f>IFERROR(VLOOKUP(C304,기출문제!D:G,4,0),"")</f>
        <v/>
      </c>
      <c r="G304" s="32" t="str">
        <f t="shared" si="4"/>
        <v/>
      </c>
    </row>
    <row r="305" spans="2:7" x14ac:dyDescent="0.3">
      <c r="B305" s="13">
        <v>298</v>
      </c>
      <c r="C305" s="14" t="s">
        <v>766</v>
      </c>
      <c r="D305" s="13"/>
      <c r="E305" s="15" t="str">
        <f>IFERROR(VLOOKUP(C305,기출문제!D:G,3,0),"")</f>
        <v/>
      </c>
      <c r="F305" s="31" t="str">
        <f>IFERROR(VLOOKUP(C305,기출문제!D:G,4,0),"")</f>
        <v/>
      </c>
      <c r="G305" s="32" t="str">
        <f t="shared" si="4"/>
        <v/>
      </c>
    </row>
    <row r="306" spans="2:7" x14ac:dyDescent="0.3">
      <c r="B306" s="13">
        <v>299</v>
      </c>
      <c r="C306" s="14" t="s">
        <v>766</v>
      </c>
      <c r="D306" s="13"/>
      <c r="E306" s="15" t="str">
        <f>IFERROR(VLOOKUP(C306,기출문제!D:G,3,0),"")</f>
        <v/>
      </c>
      <c r="F306" s="31" t="str">
        <f>IFERROR(VLOOKUP(C306,기출문제!D:G,4,0),"")</f>
        <v/>
      </c>
      <c r="G306" s="32" t="str">
        <f t="shared" si="4"/>
        <v/>
      </c>
    </row>
    <row r="307" spans="2:7" x14ac:dyDescent="0.3">
      <c r="B307" s="13">
        <v>300</v>
      </c>
      <c r="C307" s="14" t="s">
        <v>766</v>
      </c>
      <c r="D307" s="13"/>
      <c r="E307" s="15" t="str">
        <f>IFERROR(VLOOKUP(C307,기출문제!D:G,3,0),"")</f>
        <v/>
      </c>
      <c r="F307" s="31" t="str">
        <f>IFERROR(VLOOKUP(C307,기출문제!D:G,4,0),"")</f>
        <v/>
      </c>
      <c r="G307" s="32" t="str">
        <f t="shared" si="4"/>
        <v/>
      </c>
    </row>
    <row r="308" spans="2:7" x14ac:dyDescent="0.3">
      <c r="B308" s="13">
        <v>301</v>
      </c>
      <c r="C308" s="14" t="s">
        <v>766</v>
      </c>
      <c r="D308" s="13"/>
      <c r="E308" s="15" t="str">
        <f>IFERROR(VLOOKUP(C308,기출문제!D:G,3,0),"")</f>
        <v/>
      </c>
      <c r="F308" s="31" t="str">
        <f>IFERROR(VLOOKUP(C308,기출문제!D:G,4,0),"")</f>
        <v/>
      </c>
      <c r="G308" s="32" t="str">
        <f t="shared" si="4"/>
        <v/>
      </c>
    </row>
    <row r="309" spans="2:7" x14ac:dyDescent="0.3">
      <c r="B309" s="13">
        <v>302</v>
      </c>
      <c r="C309" s="14" t="s">
        <v>766</v>
      </c>
      <c r="D309" s="13"/>
      <c r="E309" s="15" t="str">
        <f>IFERROR(VLOOKUP(C309,기출문제!D:G,3,0),"")</f>
        <v/>
      </c>
      <c r="F309" s="31" t="str">
        <f>IFERROR(VLOOKUP(C309,기출문제!D:G,4,0),"")</f>
        <v/>
      </c>
      <c r="G309" s="32" t="str">
        <f t="shared" si="4"/>
        <v/>
      </c>
    </row>
    <row r="310" spans="2:7" x14ac:dyDescent="0.3">
      <c r="B310" s="13">
        <v>303</v>
      </c>
      <c r="C310" s="14" t="s">
        <v>766</v>
      </c>
      <c r="D310" s="13"/>
      <c r="E310" s="15" t="str">
        <f>IFERROR(VLOOKUP(C310,기출문제!D:G,3,0),"")</f>
        <v/>
      </c>
      <c r="F310" s="31" t="str">
        <f>IFERROR(VLOOKUP(C310,기출문제!D:G,4,0),"")</f>
        <v/>
      </c>
      <c r="G310" s="32" t="str">
        <f t="shared" si="4"/>
        <v/>
      </c>
    </row>
    <row r="311" spans="2:7" x14ac:dyDescent="0.3">
      <c r="B311" s="13">
        <v>304</v>
      </c>
      <c r="C311" s="14" t="s">
        <v>766</v>
      </c>
      <c r="D311" s="13"/>
      <c r="E311" s="15" t="str">
        <f>IFERROR(VLOOKUP(C311,기출문제!D:G,3,0),"")</f>
        <v/>
      </c>
      <c r="F311" s="31" t="str">
        <f>IFERROR(VLOOKUP(C311,기출문제!D:G,4,0),"")</f>
        <v/>
      </c>
      <c r="G311" s="32" t="str">
        <f t="shared" si="4"/>
        <v/>
      </c>
    </row>
    <row r="312" spans="2:7" x14ac:dyDescent="0.3">
      <c r="B312" s="13">
        <v>305</v>
      </c>
      <c r="C312" s="14" t="s">
        <v>766</v>
      </c>
      <c r="D312" s="13"/>
      <c r="E312" s="15" t="str">
        <f>IFERROR(VLOOKUP(C312,기출문제!D:G,3,0),"")</f>
        <v/>
      </c>
      <c r="F312" s="31" t="str">
        <f>IFERROR(VLOOKUP(C312,기출문제!D:G,4,0),"")</f>
        <v/>
      </c>
      <c r="G312" s="32" t="str">
        <f t="shared" si="4"/>
        <v/>
      </c>
    </row>
    <row r="313" spans="2:7" x14ac:dyDescent="0.3">
      <c r="B313" s="13">
        <v>306</v>
      </c>
      <c r="C313" s="14" t="s">
        <v>766</v>
      </c>
      <c r="D313" s="13"/>
      <c r="E313" s="15" t="str">
        <f>IFERROR(VLOOKUP(C313,기출문제!D:G,3,0),"")</f>
        <v/>
      </c>
      <c r="F313" s="31" t="str">
        <f>IFERROR(VLOOKUP(C313,기출문제!D:G,4,0),"")</f>
        <v/>
      </c>
      <c r="G313" s="32" t="str">
        <f t="shared" si="4"/>
        <v/>
      </c>
    </row>
    <row r="314" spans="2:7" x14ac:dyDescent="0.3">
      <c r="B314" s="13">
        <v>307</v>
      </c>
      <c r="C314" s="14" t="s">
        <v>766</v>
      </c>
      <c r="D314" s="13"/>
      <c r="E314" s="15" t="str">
        <f>IFERROR(VLOOKUP(C314,기출문제!D:G,3,0),"")</f>
        <v/>
      </c>
      <c r="F314" s="31" t="str">
        <f>IFERROR(VLOOKUP(C314,기출문제!D:G,4,0),"")</f>
        <v/>
      </c>
      <c r="G314" s="32" t="str">
        <f t="shared" si="4"/>
        <v/>
      </c>
    </row>
    <row r="315" spans="2:7" x14ac:dyDescent="0.3">
      <c r="B315" s="13">
        <v>308</v>
      </c>
      <c r="C315" s="14" t="s">
        <v>766</v>
      </c>
      <c r="D315" s="13"/>
      <c r="E315" s="15" t="str">
        <f>IFERROR(VLOOKUP(C315,기출문제!D:G,3,0),"")</f>
        <v/>
      </c>
      <c r="F315" s="31" t="str">
        <f>IFERROR(VLOOKUP(C315,기출문제!D:G,4,0),"")</f>
        <v/>
      </c>
      <c r="G315" s="32" t="str">
        <f t="shared" si="4"/>
        <v/>
      </c>
    </row>
    <row r="316" spans="2:7" x14ac:dyDescent="0.3">
      <c r="B316" s="13">
        <v>309</v>
      </c>
      <c r="C316" s="14" t="s">
        <v>766</v>
      </c>
      <c r="D316" s="13"/>
      <c r="E316" s="15" t="str">
        <f>IFERROR(VLOOKUP(C316,기출문제!D:G,3,0),"")</f>
        <v/>
      </c>
      <c r="F316" s="31" t="str">
        <f>IFERROR(VLOOKUP(C316,기출문제!D:G,4,0),"")</f>
        <v/>
      </c>
      <c r="G316" s="32" t="str">
        <f t="shared" si="4"/>
        <v/>
      </c>
    </row>
    <row r="317" spans="2:7" x14ac:dyDescent="0.3">
      <c r="B317" s="13">
        <v>310</v>
      </c>
      <c r="C317" s="14" t="s">
        <v>766</v>
      </c>
      <c r="D317" s="13"/>
      <c r="E317" s="15" t="str">
        <f>IFERROR(VLOOKUP(C317,기출문제!D:G,3,0),"")</f>
        <v/>
      </c>
      <c r="F317" s="31" t="str">
        <f>IFERROR(VLOOKUP(C317,기출문제!D:G,4,0),"")</f>
        <v/>
      </c>
      <c r="G317" s="32" t="str">
        <f t="shared" si="4"/>
        <v/>
      </c>
    </row>
    <row r="318" spans="2:7" x14ac:dyDescent="0.3">
      <c r="B318" s="13">
        <v>311</v>
      </c>
      <c r="C318" s="14" t="s">
        <v>766</v>
      </c>
      <c r="D318" s="13"/>
      <c r="E318" s="15" t="str">
        <f>IFERROR(VLOOKUP(C318,기출문제!D:G,3,0),"")</f>
        <v/>
      </c>
      <c r="F318" s="31" t="str">
        <f>IFERROR(VLOOKUP(C318,기출문제!D:G,4,0),"")</f>
        <v/>
      </c>
      <c r="G318" s="32" t="str">
        <f t="shared" si="4"/>
        <v/>
      </c>
    </row>
    <row r="319" spans="2:7" x14ac:dyDescent="0.3">
      <c r="B319" s="13">
        <v>312</v>
      </c>
      <c r="C319" s="14" t="s">
        <v>766</v>
      </c>
      <c r="D319" s="13"/>
      <c r="E319" s="15" t="str">
        <f>IFERROR(VLOOKUP(C319,기출문제!D:G,3,0),"")</f>
        <v/>
      </c>
      <c r="F319" s="31" t="str">
        <f>IFERROR(VLOOKUP(C319,기출문제!D:G,4,0),"")</f>
        <v/>
      </c>
      <c r="G319" s="32" t="str">
        <f t="shared" si="4"/>
        <v/>
      </c>
    </row>
    <row r="320" spans="2:7" x14ac:dyDescent="0.3">
      <c r="B320" s="13">
        <v>313</v>
      </c>
      <c r="C320" s="14" t="s">
        <v>766</v>
      </c>
      <c r="D320" s="13"/>
      <c r="E320" s="15" t="str">
        <f>IFERROR(VLOOKUP(C320,기출문제!D:G,3,0),"")</f>
        <v/>
      </c>
      <c r="F320" s="31" t="str">
        <f>IFERROR(VLOOKUP(C320,기출문제!D:G,4,0),"")</f>
        <v/>
      </c>
      <c r="G320" s="32" t="str">
        <f t="shared" si="4"/>
        <v/>
      </c>
    </row>
    <row r="321" spans="2:7" x14ac:dyDescent="0.3">
      <c r="B321" s="13">
        <v>314</v>
      </c>
      <c r="C321" s="14" t="s">
        <v>766</v>
      </c>
      <c r="D321" s="13"/>
      <c r="E321" s="15" t="str">
        <f>IFERROR(VLOOKUP(C321,기출문제!D:G,3,0),"")</f>
        <v/>
      </c>
      <c r="F321" s="31" t="str">
        <f>IFERROR(VLOOKUP(C321,기출문제!D:G,4,0),"")</f>
        <v/>
      </c>
      <c r="G321" s="32" t="str">
        <f t="shared" si="4"/>
        <v/>
      </c>
    </row>
    <row r="322" spans="2:7" x14ac:dyDescent="0.3">
      <c r="B322" s="13">
        <v>315</v>
      </c>
      <c r="C322" s="14" t="s">
        <v>766</v>
      </c>
      <c r="D322" s="13"/>
      <c r="E322" s="15" t="str">
        <f>IFERROR(VLOOKUP(C322,기출문제!D:G,3,0),"")</f>
        <v/>
      </c>
      <c r="F322" s="31" t="str">
        <f>IFERROR(VLOOKUP(C322,기출문제!D:G,4,0),"")</f>
        <v/>
      </c>
      <c r="G322" s="32" t="str">
        <f t="shared" si="4"/>
        <v/>
      </c>
    </row>
    <row r="323" spans="2:7" x14ac:dyDescent="0.3">
      <c r="B323" s="13">
        <v>316</v>
      </c>
      <c r="C323" s="14" t="s">
        <v>766</v>
      </c>
      <c r="D323" s="13"/>
      <c r="E323" s="15" t="str">
        <f>IFERROR(VLOOKUP(C323,기출문제!D:G,3,0),"")</f>
        <v/>
      </c>
      <c r="F323" s="31" t="str">
        <f>IFERROR(VLOOKUP(C323,기출문제!D:G,4,0),"")</f>
        <v/>
      </c>
      <c r="G323" s="32" t="str">
        <f t="shared" si="4"/>
        <v/>
      </c>
    </row>
    <row r="324" spans="2:7" x14ac:dyDescent="0.3">
      <c r="B324" s="13">
        <v>317</v>
      </c>
      <c r="C324" s="14" t="s">
        <v>766</v>
      </c>
      <c r="D324" s="13"/>
      <c r="E324" s="15" t="str">
        <f>IFERROR(VLOOKUP(C324,기출문제!D:G,3,0),"")</f>
        <v/>
      </c>
      <c r="F324" s="31" t="str">
        <f>IFERROR(VLOOKUP(C324,기출문제!D:G,4,0),"")</f>
        <v/>
      </c>
      <c r="G324" s="32" t="str">
        <f t="shared" si="4"/>
        <v/>
      </c>
    </row>
    <row r="325" spans="2:7" x14ac:dyDescent="0.3">
      <c r="B325" s="13">
        <v>318</v>
      </c>
      <c r="C325" s="14" t="s">
        <v>766</v>
      </c>
      <c r="D325" s="13"/>
      <c r="E325" s="15" t="str">
        <f>IFERROR(VLOOKUP(C325,기출문제!D:G,3,0),"")</f>
        <v/>
      </c>
      <c r="F325" s="31" t="str">
        <f>IFERROR(VLOOKUP(C325,기출문제!D:G,4,0),"")</f>
        <v/>
      </c>
      <c r="G325" s="32" t="str">
        <f t="shared" si="4"/>
        <v/>
      </c>
    </row>
    <row r="326" spans="2:7" x14ac:dyDescent="0.3">
      <c r="B326" s="13">
        <v>319</v>
      </c>
      <c r="C326" s="14" t="s">
        <v>766</v>
      </c>
      <c r="D326" s="13"/>
      <c r="E326" s="15" t="str">
        <f>IFERROR(VLOOKUP(C326,기출문제!D:G,3,0),"")</f>
        <v/>
      </c>
      <c r="F326" s="31" t="str">
        <f>IFERROR(VLOOKUP(C326,기출문제!D:G,4,0),"")</f>
        <v/>
      </c>
      <c r="G326" s="32" t="str">
        <f t="shared" si="4"/>
        <v/>
      </c>
    </row>
    <row r="327" spans="2:7" x14ac:dyDescent="0.3">
      <c r="B327" s="13">
        <v>320</v>
      </c>
      <c r="C327" s="14" t="s">
        <v>766</v>
      </c>
      <c r="D327" s="13"/>
      <c r="E327" s="15" t="str">
        <f>IFERROR(VLOOKUP(C327,기출문제!D:G,3,0),"")</f>
        <v/>
      </c>
      <c r="F327" s="31" t="str">
        <f>IFERROR(VLOOKUP(C327,기출문제!D:G,4,0),"")</f>
        <v/>
      </c>
      <c r="G327" s="32" t="str">
        <f t="shared" si="4"/>
        <v/>
      </c>
    </row>
    <row r="328" spans="2:7" x14ac:dyDescent="0.3">
      <c r="B328" s="13">
        <v>321</v>
      </c>
      <c r="C328" s="14" t="s">
        <v>766</v>
      </c>
      <c r="D328" s="13"/>
      <c r="E328" s="15" t="str">
        <f>IFERROR(VLOOKUP(C328,기출문제!D:G,3,0),"")</f>
        <v/>
      </c>
      <c r="F328" s="31" t="str">
        <f>IFERROR(VLOOKUP(C328,기출문제!D:G,4,0),"")</f>
        <v/>
      </c>
      <c r="G328" s="32" t="str">
        <f t="shared" si="4"/>
        <v/>
      </c>
    </row>
    <row r="329" spans="2:7" x14ac:dyDescent="0.3">
      <c r="B329" s="13">
        <v>322</v>
      </c>
      <c r="C329" s="14" t="s">
        <v>766</v>
      </c>
      <c r="D329" s="13"/>
      <c r="E329" s="15" t="str">
        <f>IFERROR(VLOOKUP(C329,기출문제!D:G,3,0),"")</f>
        <v/>
      </c>
      <c r="F329" s="31" t="str">
        <f>IFERROR(VLOOKUP(C329,기출문제!D:G,4,0),"")</f>
        <v/>
      </c>
      <c r="G329" s="32" t="str">
        <f t="shared" ref="G329:G392" si="5">IF(D329="","",IF(D329=F329,"O", "X"))</f>
        <v/>
      </c>
    </row>
    <row r="330" spans="2:7" x14ac:dyDescent="0.3">
      <c r="B330" s="13">
        <v>323</v>
      </c>
      <c r="C330" s="14" t="s">
        <v>766</v>
      </c>
      <c r="D330" s="13"/>
      <c r="E330" s="15" t="str">
        <f>IFERROR(VLOOKUP(C330,기출문제!D:G,3,0),"")</f>
        <v/>
      </c>
      <c r="F330" s="31" t="str">
        <f>IFERROR(VLOOKUP(C330,기출문제!D:G,4,0),"")</f>
        <v/>
      </c>
      <c r="G330" s="32" t="str">
        <f t="shared" si="5"/>
        <v/>
      </c>
    </row>
    <row r="331" spans="2:7" x14ac:dyDescent="0.3">
      <c r="B331" s="13">
        <v>324</v>
      </c>
      <c r="C331" s="14" t="s">
        <v>766</v>
      </c>
      <c r="D331" s="13"/>
      <c r="E331" s="15" t="str">
        <f>IFERROR(VLOOKUP(C331,기출문제!D:G,3,0),"")</f>
        <v/>
      </c>
      <c r="F331" s="31" t="str">
        <f>IFERROR(VLOOKUP(C331,기출문제!D:G,4,0),"")</f>
        <v/>
      </c>
      <c r="G331" s="32" t="str">
        <f t="shared" si="5"/>
        <v/>
      </c>
    </row>
    <row r="332" spans="2:7" x14ac:dyDescent="0.3">
      <c r="B332" s="13">
        <v>325</v>
      </c>
      <c r="C332" s="14" t="s">
        <v>766</v>
      </c>
      <c r="D332" s="13"/>
      <c r="E332" s="15" t="str">
        <f>IFERROR(VLOOKUP(C332,기출문제!D:G,3,0),"")</f>
        <v/>
      </c>
      <c r="F332" s="31" t="str">
        <f>IFERROR(VLOOKUP(C332,기출문제!D:G,4,0),"")</f>
        <v/>
      </c>
      <c r="G332" s="32" t="str">
        <f t="shared" si="5"/>
        <v/>
      </c>
    </row>
    <row r="333" spans="2:7" x14ac:dyDescent="0.3">
      <c r="B333" s="13">
        <v>326</v>
      </c>
      <c r="C333" s="14" t="s">
        <v>766</v>
      </c>
      <c r="D333" s="13"/>
      <c r="E333" s="15" t="str">
        <f>IFERROR(VLOOKUP(C333,기출문제!D:G,3,0),"")</f>
        <v/>
      </c>
      <c r="F333" s="31" t="str">
        <f>IFERROR(VLOOKUP(C333,기출문제!D:G,4,0),"")</f>
        <v/>
      </c>
      <c r="G333" s="32" t="str">
        <f t="shared" si="5"/>
        <v/>
      </c>
    </row>
    <row r="334" spans="2:7" x14ac:dyDescent="0.3">
      <c r="B334" s="13">
        <v>327</v>
      </c>
      <c r="C334" s="14" t="s">
        <v>766</v>
      </c>
      <c r="D334" s="13"/>
      <c r="E334" s="15" t="str">
        <f>IFERROR(VLOOKUP(C334,기출문제!D:G,3,0),"")</f>
        <v/>
      </c>
      <c r="F334" s="31" t="str">
        <f>IFERROR(VLOOKUP(C334,기출문제!D:G,4,0),"")</f>
        <v/>
      </c>
      <c r="G334" s="32" t="str">
        <f t="shared" si="5"/>
        <v/>
      </c>
    </row>
    <row r="335" spans="2:7" x14ac:dyDescent="0.3">
      <c r="B335" s="13">
        <v>328</v>
      </c>
      <c r="C335" s="14" t="s">
        <v>766</v>
      </c>
      <c r="D335" s="13"/>
      <c r="E335" s="15" t="str">
        <f>IFERROR(VLOOKUP(C335,기출문제!D:G,3,0),"")</f>
        <v/>
      </c>
      <c r="F335" s="31" t="str">
        <f>IFERROR(VLOOKUP(C335,기출문제!D:G,4,0),"")</f>
        <v/>
      </c>
      <c r="G335" s="32" t="str">
        <f t="shared" si="5"/>
        <v/>
      </c>
    </row>
    <row r="336" spans="2:7" x14ac:dyDescent="0.3">
      <c r="B336" s="13">
        <v>329</v>
      </c>
      <c r="C336" s="14" t="s">
        <v>766</v>
      </c>
      <c r="D336" s="13"/>
      <c r="E336" s="15" t="str">
        <f>IFERROR(VLOOKUP(C336,기출문제!D:G,3,0),"")</f>
        <v/>
      </c>
      <c r="F336" s="31" t="str">
        <f>IFERROR(VLOOKUP(C336,기출문제!D:G,4,0),"")</f>
        <v/>
      </c>
      <c r="G336" s="32" t="str">
        <f t="shared" si="5"/>
        <v/>
      </c>
    </row>
    <row r="337" spans="2:7" x14ac:dyDescent="0.3">
      <c r="B337" s="13">
        <v>330</v>
      </c>
      <c r="C337" s="14" t="s">
        <v>766</v>
      </c>
      <c r="D337" s="13"/>
      <c r="E337" s="15" t="str">
        <f>IFERROR(VLOOKUP(C337,기출문제!D:G,3,0),"")</f>
        <v/>
      </c>
      <c r="F337" s="31" t="str">
        <f>IFERROR(VLOOKUP(C337,기출문제!D:G,4,0),"")</f>
        <v/>
      </c>
      <c r="G337" s="32" t="str">
        <f t="shared" si="5"/>
        <v/>
      </c>
    </row>
    <row r="338" spans="2:7" x14ac:dyDescent="0.3">
      <c r="B338" s="13">
        <v>331</v>
      </c>
      <c r="C338" s="14" t="s">
        <v>766</v>
      </c>
      <c r="D338" s="13"/>
      <c r="E338" s="15" t="str">
        <f>IFERROR(VLOOKUP(C338,기출문제!D:G,3,0),"")</f>
        <v/>
      </c>
      <c r="F338" s="31" t="str">
        <f>IFERROR(VLOOKUP(C338,기출문제!D:G,4,0),"")</f>
        <v/>
      </c>
      <c r="G338" s="32" t="str">
        <f t="shared" si="5"/>
        <v/>
      </c>
    </row>
    <row r="339" spans="2:7" x14ac:dyDescent="0.3">
      <c r="B339" s="13">
        <v>332</v>
      </c>
      <c r="C339" s="14" t="s">
        <v>766</v>
      </c>
      <c r="D339" s="13"/>
      <c r="E339" s="15" t="str">
        <f>IFERROR(VLOOKUP(C339,기출문제!D:G,3,0),"")</f>
        <v/>
      </c>
      <c r="F339" s="31" t="str">
        <f>IFERROR(VLOOKUP(C339,기출문제!D:G,4,0),"")</f>
        <v/>
      </c>
      <c r="G339" s="32" t="str">
        <f t="shared" si="5"/>
        <v/>
      </c>
    </row>
    <row r="340" spans="2:7" x14ac:dyDescent="0.3">
      <c r="B340" s="13">
        <v>333</v>
      </c>
      <c r="C340" s="14" t="s">
        <v>766</v>
      </c>
      <c r="D340" s="13"/>
      <c r="E340" s="15" t="str">
        <f>IFERROR(VLOOKUP(C340,기출문제!D:G,3,0),"")</f>
        <v/>
      </c>
      <c r="F340" s="31" t="str">
        <f>IFERROR(VLOOKUP(C340,기출문제!D:G,4,0),"")</f>
        <v/>
      </c>
      <c r="G340" s="32" t="str">
        <f t="shared" si="5"/>
        <v/>
      </c>
    </row>
    <row r="341" spans="2:7" x14ac:dyDescent="0.3">
      <c r="B341" s="13">
        <v>334</v>
      </c>
      <c r="C341" s="14" t="s">
        <v>766</v>
      </c>
      <c r="D341" s="13"/>
      <c r="E341" s="15" t="str">
        <f>IFERROR(VLOOKUP(C341,기출문제!D:G,3,0),"")</f>
        <v/>
      </c>
      <c r="F341" s="31" t="str">
        <f>IFERROR(VLOOKUP(C341,기출문제!D:G,4,0),"")</f>
        <v/>
      </c>
      <c r="G341" s="32" t="str">
        <f t="shared" si="5"/>
        <v/>
      </c>
    </row>
    <row r="342" spans="2:7" x14ac:dyDescent="0.3">
      <c r="B342" s="13">
        <v>335</v>
      </c>
      <c r="C342" s="14" t="s">
        <v>766</v>
      </c>
      <c r="D342" s="13"/>
      <c r="E342" s="15" t="str">
        <f>IFERROR(VLOOKUP(C342,기출문제!D:G,3,0),"")</f>
        <v/>
      </c>
      <c r="F342" s="31" t="str">
        <f>IFERROR(VLOOKUP(C342,기출문제!D:G,4,0),"")</f>
        <v/>
      </c>
      <c r="G342" s="32" t="str">
        <f t="shared" si="5"/>
        <v/>
      </c>
    </row>
    <row r="343" spans="2:7" x14ac:dyDescent="0.3">
      <c r="B343" s="13">
        <v>336</v>
      </c>
      <c r="C343" s="14" t="s">
        <v>766</v>
      </c>
      <c r="D343" s="13"/>
      <c r="E343" s="15" t="str">
        <f>IFERROR(VLOOKUP(C343,기출문제!D:G,3,0),"")</f>
        <v/>
      </c>
      <c r="F343" s="31" t="str">
        <f>IFERROR(VLOOKUP(C343,기출문제!D:G,4,0),"")</f>
        <v/>
      </c>
      <c r="G343" s="32" t="str">
        <f t="shared" si="5"/>
        <v/>
      </c>
    </row>
    <row r="344" spans="2:7" x14ac:dyDescent="0.3">
      <c r="B344" s="13">
        <v>337</v>
      </c>
      <c r="C344" s="14" t="s">
        <v>766</v>
      </c>
      <c r="D344" s="13"/>
      <c r="E344" s="15" t="str">
        <f>IFERROR(VLOOKUP(C344,기출문제!D:G,3,0),"")</f>
        <v/>
      </c>
      <c r="F344" s="31" t="str">
        <f>IFERROR(VLOOKUP(C344,기출문제!D:G,4,0),"")</f>
        <v/>
      </c>
      <c r="G344" s="32" t="str">
        <f t="shared" si="5"/>
        <v/>
      </c>
    </row>
    <row r="345" spans="2:7" x14ac:dyDescent="0.3">
      <c r="B345" s="13">
        <v>338</v>
      </c>
      <c r="C345" s="14" t="s">
        <v>766</v>
      </c>
      <c r="D345" s="13"/>
      <c r="E345" s="15" t="str">
        <f>IFERROR(VLOOKUP(C345,기출문제!D:G,3,0),"")</f>
        <v/>
      </c>
      <c r="F345" s="31" t="str">
        <f>IFERROR(VLOOKUP(C345,기출문제!D:G,4,0),"")</f>
        <v/>
      </c>
      <c r="G345" s="32" t="str">
        <f t="shared" si="5"/>
        <v/>
      </c>
    </row>
    <row r="346" spans="2:7" x14ac:dyDescent="0.3">
      <c r="B346" s="13">
        <v>339</v>
      </c>
      <c r="C346" s="14" t="s">
        <v>766</v>
      </c>
      <c r="D346" s="13"/>
      <c r="E346" s="15" t="str">
        <f>IFERROR(VLOOKUP(C346,기출문제!D:G,3,0),"")</f>
        <v/>
      </c>
      <c r="F346" s="31" t="str">
        <f>IFERROR(VLOOKUP(C346,기출문제!D:G,4,0),"")</f>
        <v/>
      </c>
      <c r="G346" s="32" t="str">
        <f t="shared" si="5"/>
        <v/>
      </c>
    </row>
    <row r="347" spans="2:7" x14ac:dyDescent="0.3">
      <c r="B347" s="13">
        <v>340</v>
      </c>
      <c r="C347" s="14" t="s">
        <v>766</v>
      </c>
      <c r="D347" s="13"/>
      <c r="E347" s="15" t="str">
        <f>IFERROR(VLOOKUP(C347,기출문제!D:G,3,0),"")</f>
        <v/>
      </c>
      <c r="F347" s="31" t="str">
        <f>IFERROR(VLOOKUP(C347,기출문제!D:G,4,0),"")</f>
        <v/>
      </c>
      <c r="G347" s="32" t="str">
        <f t="shared" si="5"/>
        <v/>
      </c>
    </row>
    <row r="348" spans="2:7" x14ac:dyDescent="0.3">
      <c r="B348" s="13">
        <v>341</v>
      </c>
      <c r="C348" s="14" t="s">
        <v>766</v>
      </c>
      <c r="D348" s="13"/>
      <c r="E348" s="15" t="str">
        <f>IFERROR(VLOOKUP(C348,기출문제!D:G,3,0),"")</f>
        <v/>
      </c>
      <c r="F348" s="31" t="str">
        <f>IFERROR(VLOOKUP(C348,기출문제!D:G,4,0),"")</f>
        <v/>
      </c>
      <c r="G348" s="32" t="str">
        <f t="shared" si="5"/>
        <v/>
      </c>
    </row>
    <row r="349" spans="2:7" x14ac:dyDescent="0.3">
      <c r="B349" s="13">
        <v>342</v>
      </c>
      <c r="C349" s="14" t="s">
        <v>766</v>
      </c>
      <c r="D349" s="13"/>
      <c r="E349" s="15" t="str">
        <f>IFERROR(VLOOKUP(C349,기출문제!D:G,3,0),"")</f>
        <v/>
      </c>
      <c r="F349" s="31" t="str">
        <f>IFERROR(VLOOKUP(C349,기출문제!D:G,4,0),"")</f>
        <v/>
      </c>
      <c r="G349" s="32" t="str">
        <f t="shared" si="5"/>
        <v/>
      </c>
    </row>
    <row r="350" spans="2:7" x14ac:dyDescent="0.3">
      <c r="B350" s="13">
        <v>343</v>
      </c>
      <c r="C350" s="14" t="s">
        <v>766</v>
      </c>
      <c r="D350" s="13"/>
      <c r="E350" s="15" t="str">
        <f>IFERROR(VLOOKUP(C350,기출문제!D:G,3,0),"")</f>
        <v/>
      </c>
      <c r="F350" s="31" t="str">
        <f>IFERROR(VLOOKUP(C350,기출문제!D:G,4,0),"")</f>
        <v/>
      </c>
      <c r="G350" s="32" t="str">
        <f t="shared" si="5"/>
        <v/>
      </c>
    </row>
    <row r="351" spans="2:7" x14ac:dyDescent="0.3">
      <c r="B351" s="13">
        <v>344</v>
      </c>
      <c r="C351" s="14" t="s">
        <v>766</v>
      </c>
      <c r="D351" s="13"/>
      <c r="E351" s="15" t="str">
        <f>IFERROR(VLOOKUP(C351,기출문제!D:G,3,0),"")</f>
        <v/>
      </c>
      <c r="F351" s="31" t="str">
        <f>IFERROR(VLOOKUP(C351,기출문제!D:G,4,0),"")</f>
        <v/>
      </c>
      <c r="G351" s="32" t="str">
        <f t="shared" si="5"/>
        <v/>
      </c>
    </row>
    <row r="352" spans="2:7" x14ac:dyDescent="0.3">
      <c r="B352" s="13">
        <v>345</v>
      </c>
      <c r="C352" s="14" t="s">
        <v>766</v>
      </c>
      <c r="D352" s="13"/>
      <c r="E352" s="15" t="str">
        <f>IFERROR(VLOOKUP(C352,기출문제!D:G,3,0),"")</f>
        <v/>
      </c>
      <c r="F352" s="31" t="str">
        <f>IFERROR(VLOOKUP(C352,기출문제!D:G,4,0),"")</f>
        <v/>
      </c>
      <c r="G352" s="32" t="str">
        <f t="shared" si="5"/>
        <v/>
      </c>
    </row>
    <row r="353" spans="2:7" x14ac:dyDescent="0.3">
      <c r="B353" s="13">
        <v>346</v>
      </c>
      <c r="C353" s="14" t="s">
        <v>766</v>
      </c>
      <c r="D353" s="13"/>
      <c r="E353" s="15" t="str">
        <f>IFERROR(VLOOKUP(C353,기출문제!D:G,3,0),"")</f>
        <v/>
      </c>
      <c r="F353" s="31" t="str">
        <f>IFERROR(VLOOKUP(C353,기출문제!D:G,4,0),"")</f>
        <v/>
      </c>
      <c r="G353" s="32" t="str">
        <f t="shared" si="5"/>
        <v/>
      </c>
    </row>
    <row r="354" spans="2:7" x14ac:dyDescent="0.3">
      <c r="B354" s="13">
        <v>347</v>
      </c>
      <c r="C354" s="14" t="s">
        <v>766</v>
      </c>
      <c r="D354" s="13"/>
      <c r="E354" s="15" t="str">
        <f>IFERROR(VLOOKUP(C354,기출문제!D:G,3,0),"")</f>
        <v/>
      </c>
      <c r="F354" s="31" t="str">
        <f>IFERROR(VLOOKUP(C354,기출문제!D:G,4,0),"")</f>
        <v/>
      </c>
      <c r="G354" s="32" t="str">
        <f t="shared" si="5"/>
        <v/>
      </c>
    </row>
    <row r="355" spans="2:7" x14ac:dyDescent="0.3">
      <c r="B355" s="13">
        <v>348</v>
      </c>
      <c r="C355" s="14" t="s">
        <v>766</v>
      </c>
      <c r="D355" s="13"/>
      <c r="E355" s="15" t="str">
        <f>IFERROR(VLOOKUP(C355,기출문제!D:G,3,0),"")</f>
        <v/>
      </c>
      <c r="F355" s="31" t="str">
        <f>IFERROR(VLOOKUP(C355,기출문제!D:G,4,0),"")</f>
        <v/>
      </c>
      <c r="G355" s="32" t="str">
        <f t="shared" si="5"/>
        <v/>
      </c>
    </row>
    <row r="356" spans="2:7" x14ac:dyDescent="0.3">
      <c r="B356" s="13">
        <v>349</v>
      </c>
      <c r="C356" s="14" t="s">
        <v>766</v>
      </c>
      <c r="D356" s="13"/>
      <c r="E356" s="15" t="str">
        <f>IFERROR(VLOOKUP(C356,기출문제!D:G,3,0),"")</f>
        <v/>
      </c>
      <c r="F356" s="31" t="str">
        <f>IFERROR(VLOOKUP(C356,기출문제!D:G,4,0),"")</f>
        <v/>
      </c>
      <c r="G356" s="32" t="str">
        <f t="shared" si="5"/>
        <v/>
      </c>
    </row>
    <row r="357" spans="2:7" x14ac:dyDescent="0.3">
      <c r="B357" s="13">
        <v>350</v>
      </c>
      <c r="C357" s="14" t="s">
        <v>766</v>
      </c>
      <c r="D357" s="13"/>
      <c r="E357" s="15" t="str">
        <f>IFERROR(VLOOKUP(C357,기출문제!D:G,3,0),"")</f>
        <v/>
      </c>
      <c r="F357" s="31" t="str">
        <f>IFERROR(VLOOKUP(C357,기출문제!D:G,4,0),"")</f>
        <v/>
      </c>
      <c r="G357" s="32" t="str">
        <f t="shared" si="5"/>
        <v/>
      </c>
    </row>
    <row r="358" spans="2:7" x14ac:dyDescent="0.3">
      <c r="B358" s="13">
        <v>351</v>
      </c>
      <c r="C358" s="14" t="s">
        <v>766</v>
      </c>
      <c r="D358" s="13"/>
      <c r="E358" s="15" t="str">
        <f>IFERROR(VLOOKUP(C358,기출문제!D:G,3,0),"")</f>
        <v/>
      </c>
      <c r="F358" s="31" t="str">
        <f>IFERROR(VLOOKUP(C358,기출문제!D:G,4,0),"")</f>
        <v/>
      </c>
      <c r="G358" s="32" t="str">
        <f t="shared" si="5"/>
        <v/>
      </c>
    </row>
    <row r="359" spans="2:7" x14ac:dyDescent="0.3">
      <c r="B359" s="13">
        <v>352</v>
      </c>
      <c r="C359" s="14" t="s">
        <v>766</v>
      </c>
      <c r="D359" s="13"/>
      <c r="E359" s="15" t="str">
        <f>IFERROR(VLOOKUP(C359,기출문제!D:G,3,0),"")</f>
        <v/>
      </c>
      <c r="F359" s="31" t="str">
        <f>IFERROR(VLOOKUP(C359,기출문제!D:G,4,0),"")</f>
        <v/>
      </c>
      <c r="G359" s="32" t="str">
        <f t="shared" si="5"/>
        <v/>
      </c>
    </row>
    <row r="360" spans="2:7" x14ac:dyDescent="0.3">
      <c r="B360" s="13">
        <v>353</v>
      </c>
      <c r="C360" s="14" t="s">
        <v>766</v>
      </c>
      <c r="D360" s="13"/>
      <c r="E360" s="15" t="str">
        <f>IFERROR(VLOOKUP(C360,기출문제!D:G,3,0),"")</f>
        <v/>
      </c>
      <c r="F360" s="31" t="str">
        <f>IFERROR(VLOOKUP(C360,기출문제!D:G,4,0),"")</f>
        <v/>
      </c>
      <c r="G360" s="32" t="str">
        <f t="shared" si="5"/>
        <v/>
      </c>
    </row>
    <row r="361" spans="2:7" x14ac:dyDescent="0.3">
      <c r="B361" s="13">
        <v>354</v>
      </c>
      <c r="C361" s="14" t="s">
        <v>766</v>
      </c>
      <c r="D361" s="13"/>
      <c r="E361" s="15" t="str">
        <f>IFERROR(VLOOKUP(C361,기출문제!D:G,3,0),"")</f>
        <v/>
      </c>
      <c r="F361" s="31" t="str">
        <f>IFERROR(VLOOKUP(C361,기출문제!D:G,4,0),"")</f>
        <v/>
      </c>
      <c r="G361" s="32" t="str">
        <f t="shared" si="5"/>
        <v/>
      </c>
    </row>
    <row r="362" spans="2:7" x14ac:dyDescent="0.3">
      <c r="B362" s="13">
        <v>355</v>
      </c>
      <c r="C362" s="14" t="s">
        <v>766</v>
      </c>
      <c r="D362" s="13"/>
      <c r="E362" s="15" t="str">
        <f>IFERROR(VLOOKUP(C362,기출문제!D:G,3,0),"")</f>
        <v/>
      </c>
      <c r="F362" s="31" t="str">
        <f>IFERROR(VLOOKUP(C362,기출문제!D:G,4,0),"")</f>
        <v/>
      </c>
      <c r="G362" s="32" t="str">
        <f t="shared" si="5"/>
        <v/>
      </c>
    </row>
    <row r="363" spans="2:7" x14ac:dyDescent="0.3">
      <c r="B363" s="13">
        <v>356</v>
      </c>
      <c r="C363" s="14" t="s">
        <v>766</v>
      </c>
      <c r="D363" s="13"/>
      <c r="E363" s="15" t="str">
        <f>IFERROR(VLOOKUP(C363,기출문제!D:G,3,0),"")</f>
        <v/>
      </c>
      <c r="F363" s="31" t="str">
        <f>IFERROR(VLOOKUP(C363,기출문제!D:G,4,0),"")</f>
        <v/>
      </c>
      <c r="G363" s="32" t="str">
        <f t="shared" si="5"/>
        <v/>
      </c>
    </row>
    <row r="364" spans="2:7" x14ac:dyDescent="0.3">
      <c r="B364" s="13">
        <v>357</v>
      </c>
      <c r="C364" s="14" t="s">
        <v>766</v>
      </c>
      <c r="D364" s="13"/>
      <c r="E364" s="15" t="str">
        <f>IFERROR(VLOOKUP(C364,기출문제!D:G,3,0),"")</f>
        <v/>
      </c>
      <c r="F364" s="31" t="str">
        <f>IFERROR(VLOOKUP(C364,기출문제!D:G,4,0),"")</f>
        <v/>
      </c>
      <c r="G364" s="32" t="str">
        <f t="shared" si="5"/>
        <v/>
      </c>
    </row>
    <row r="365" spans="2:7" x14ac:dyDescent="0.3">
      <c r="B365" s="13">
        <v>358</v>
      </c>
      <c r="C365" s="14" t="s">
        <v>766</v>
      </c>
      <c r="D365" s="13"/>
      <c r="E365" s="15" t="str">
        <f>IFERROR(VLOOKUP(C365,기출문제!D:G,3,0),"")</f>
        <v/>
      </c>
      <c r="F365" s="31" t="str">
        <f>IFERROR(VLOOKUP(C365,기출문제!D:G,4,0),"")</f>
        <v/>
      </c>
      <c r="G365" s="32" t="str">
        <f t="shared" si="5"/>
        <v/>
      </c>
    </row>
    <row r="366" spans="2:7" x14ac:dyDescent="0.3">
      <c r="B366" s="13">
        <v>359</v>
      </c>
      <c r="C366" s="14" t="s">
        <v>766</v>
      </c>
      <c r="D366" s="13"/>
      <c r="E366" s="15" t="str">
        <f>IFERROR(VLOOKUP(C366,기출문제!D:G,3,0),"")</f>
        <v/>
      </c>
      <c r="F366" s="31" t="str">
        <f>IFERROR(VLOOKUP(C366,기출문제!D:G,4,0),"")</f>
        <v/>
      </c>
      <c r="G366" s="32" t="str">
        <f t="shared" si="5"/>
        <v/>
      </c>
    </row>
    <row r="367" spans="2:7" x14ac:dyDescent="0.3">
      <c r="B367" s="13">
        <v>360</v>
      </c>
      <c r="C367" s="14" t="s">
        <v>766</v>
      </c>
      <c r="D367" s="13"/>
      <c r="E367" s="15" t="str">
        <f>IFERROR(VLOOKUP(C367,기출문제!D:G,3,0),"")</f>
        <v/>
      </c>
      <c r="F367" s="31" t="str">
        <f>IFERROR(VLOOKUP(C367,기출문제!D:G,4,0),"")</f>
        <v/>
      </c>
      <c r="G367" s="32" t="str">
        <f t="shared" si="5"/>
        <v/>
      </c>
    </row>
    <row r="368" spans="2:7" x14ac:dyDescent="0.3">
      <c r="B368" s="13">
        <v>361</v>
      </c>
      <c r="C368" s="14" t="s">
        <v>766</v>
      </c>
      <c r="D368" s="13"/>
      <c r="E368" s="15" t="str">
        <f>IFERROR(VLOOKUP(C368,기출문제!D:G,3,0),"")</f>
        <v/>
      </c>
      <c r="F368" s="31" t="str">
        <f>IFERROR(VLOOKUP(C368,기출문제!D:G,4,0),"")</f>
        <v/>
      </c>
      <c r="G368" s="32" t="str">
        <f t="shared" si="5"/>
        <v/>
      </c>
    </row>
    <row r="369" spans="2:7" x14ac:dyDescent="0.3">
      <c r="B369" s="13">
        <v>362</v>
      </c>
      <c r="C369" s="14" t="s">
        <v>766</v>
      </c>
      <c r="D369" s="13"/>
      <c r="E369" s="15" t="str">
        <f>IFERROR(VLOOKUP(C369,기출문제!D:G,3,0),"")</f>
        <v/>
      </c>
      <c r="F369" s="31" t="str">
        <f>IFERROR(VLOOKUP(C369,기출문제!D:G,4,0),"")</f>
        <v/>
      </c>
      <c r="G369" s="32" t="str">
        <f t="shared" si="5"/>
        <v/>
      </c>
    </row>
    <row r="370" spans="2:7" x14ac:dyDescent="0.3">
      <c r="B370" s="13">
        <v>363</v>
      </c>
      <c r="C370" s="14" t="s">
        <v>766</v>
      </c>
      <c r="D370" s="13"/>
      <c r="E370" s="15" t="str">
        <f>IFERROR(VLOOKUP(C370,기출문제!D:G,3,0),"")</f>
        <v/>
      </c>
      <c r="F370" s="31" t="str">
        <f>IFERROR(VLOOKUP(C370,기출문제!D:G,4,0),"")</f>
        <v/>
      </c>
      <c r="G370" s="32" t="str">
        <f t="shared" si="5"/>
        <v/>
      </c>
    </row>
    <row r="371" spans="2:7" x14ac:dyDescent="0.3">
      <c r="B371" s="13">
        <v>364</v>
      </c>
      <c r="C371" s="14" t="s">
        <v>766</v>
      </c>
      <c r="D371" s="13"/>
      <c r="E371" s="15" t="str">
        <f>IFERROR(VLOOKUP(C371,기출문제!D:G,3,0),"")</f>
        <v/>
      </c>
      <c r="F371" s="31" t="str">
        <f>IFERROR(VLOOKUP(C371,기출문제!D:G,4,0),"")</f>
        <v/>
      </c>
      <c r="G371" s="32" t="str">
        <f t="shared" si="5"/>
        <v/>
      </c>
    </row>
    <row r="372" spans="2:7" x14ac:dyDescent="0.3">
      <c r="B372" s="13">
        <v>365</v>
      </c>
      <c r="C372" s="14" t="s">
        <v>766</v>
      </c>
      <c r="D372" s="13"/>
      <c r="E372" s="15" t="str">
        <f>IFERROR(VLOOKUP(C372,기출문제!D:G,3,0),"")</f>
        <v/>
      </c>
      <c r="F372" s="31" t="str">
        <f>IFERROR(VLOOKUP(C372,기출문제!D:G,4,0),"")</f>
        <v/>
      </c>
      <c r="G372" s="32" t="str">
        <f t="shared" si="5"/>
        <v/>
      </c>
    </row>
    <row r="373" spans="2:7" x14ac:dyDescent="0.3">
      <c r="B373" s="13">
        <v>366</v>
      </c>
      <c r="C373" s="14" t="s">
        <v>766</v>
      </c>
      <c r="D373" s="13"/>
      <c r="E373" s="15" t="str">
        <f>IFERROR(VLOOKUP(C373,기출문제!D:G,3,0),"")</f>
        <v/>
      </c>
      <c r="F373" s="31" t="str">
        <f>IFERROR(VLOOKUP(C373,기출문제!D:G,4,0),"")</f>
        <v/>
      </c>
      <c r="G373" s="32" t="str">
        <f t="shared" si="5"/>
        <v/>
      </c>
    </row>
    <row r="374" spans="2:7" x14ac:dyDescent="0.3">
      <c r="B374" s="13">
        <v>367</v>
      </c>
      <c r="C374" s="14" t="s">
        <v>766</v>
      </c>
      <c r="D374" s="13"/>
      <c r="E374" s="15" t="str">
        <f>IFERROR(VLOOKUP(C374,기출문제!D:G,3,0),"")</f>
        <v/>
      </c>
      <c r="F374" s="31" t="str">
        <f>IFERROR(VLOOKUP(C374,기출문제!D:G,4,0),"")</f>
        <v/>
      </c>
      <c r="G374" s="32" t="str">
        <f t="shared" si="5"/>
        <v/>
      </c>
    </row>
    <row r="375" spans="2:7" x14ac:dyDescent="0.3">
      <c r="B375" s="13">
        <v>368</v>
      </c>
      <c r="C375" s="14" t="s">
        <v>766</v>
      </c>
      <c r="D375" s="13"/>
      <c r="E375" s="15" t="str">
        <f>IFERROR(VLOOKUP(C375,기출문제!D:G,3,0),"")</f>
        <v/>
      </c>
      <c r="F375" s="31" t="str">
        <f>IFERROR(VLOOKUP(C375,기출문제!D:G,4,0),"")</f>
        <v/>
      </c>
      <c r="G375" s="32" t="str">
        <f t="shared" si="5"/>
        <v/>
      </c>
    </row>
    <row r="376" spans="2:7" x14ac:dyDescent="0.3">
      <c r="B376" s="13">
        <v>369</v>
      </c>
      <c r="C376" s="14" t="s">
        <v>766</v>
      </c>
      <c r="D376" s="13"/>
      <c r="E376" s="15" t="str">
        <f>IFERROR(VLOOKUP(C376,기출문제!D:G,3,0),"")</f>
        <v/>
      </c>
      <c r="F376" s="31" t="str">
        <f>IFERROR(VLOOKUP(C376,기출문제!D:G,4,0),"")</f>
        <v/>
      </c>
      <c r="G376" s="32" t="str">
        <f t="shared" si="5"/>
        <v/>
      </c>
    </row>
    <row r="377" spans="2:7" x14ac:dyDescent="0.3">
      <c r="B377" s="13">
        <v>370</v>
      </c>
      <c r="C377" s="14" t="s">
        <v>766</v>
      </c>
      <c r="D377" s="13"/>
      <c r="E377" s="15" t="str">
        <f>IFERROR(VLOOKUP(C377,기출문제!D:G,3,0),"")</f>
        <v/>
      </c>
      <c r="F377" s="31" t="str">
        <f>IFERROR(VLOOKUP(C377,기출문제!D:G,4,0),"")</f>
        <v/>
      </c>
      <c r="G377" s="32" t="str">
        <f t="shared" si="5"/>
        <v/>
      </c>
    </row>
    <row r="378" spans="2:7" x14ac:dyDescent="0.3">
      <c r="B378" s="13">
        <v>371</v>
      </c>
      <c r="C378" s="14" t="s">
        <v>766</v>
      </c>
      <c r="D378" s="13"/>
      <c r="E378" s="15" t="str">
        <f>IFERROR(VLOOKUP(C378,기출문제!D:G,3,0),"")</f>
        <v/>
      </c>
      <c r="F378" s="31" t="str">
        <f>IFERROR(VLOOKUP(C378,기출문제!D:G,4,0),"")</f>
        <v/>
      </c>
      <c r="G378" s="32" t="str">
        <f t="shared" si="5"/>
        <v/>
      </c>
    </row>
    <row r="379" spans="2:7" x14ac:dyDescent="0.3">
      <c r="B379" s="13">
        <v>372</v>
      </c>
      <c r="C379" s="14" t="s">
        <v>766</v>
      </c>
      <c r="D379" s="13"/>
      <c r="E379" s="15" t="str">
        <f>IFERROR(VLOOKUP(C379,기출문제!D:G,3,0),"")</f>
        <v/>
      </c>
      <c r="F379" s="31" t="str">
        <f>IFERROR(VLOOKUP(C379,기출문제!D:G,4,0),"")</f>
        <v/>
      </c>
      <c r="G379" s="32" t="str">
        <f t="shared" si="5"/>
        <v/>
      </c>
    </row>
    <row r="380" spans="2:7" x14ac:dyDescent="0.3">
      <c r="B380" s="13">
        <v>373</v>
      </c>
      <c r="C380" s="14" t="s">
        <v>766</v>
      </c>
      <c r="D380" s="13"/>
      <c r="E380" s="15" t="str">
        <f>IFERROR(VLOOKUP(C380,기출문제!D:G,3,0),"")</f>
        <v/>
      </c>
      <c r="F380" s="31" t="str">
        <f>IFERROR(VLOOKUP(C380,기출문제!D:G,4,0),"")</f>
        <v/>
      </c>
      <c r="G380" s="32" t="str">
        <f t="shared" si="5"/>
        <v/>
      </c>
    </row>
    <row r="381" spans="2:7" x14ac:dyDescent="0.3">
      <c r="B381" s="13">
        <v>374</v>
      </c>
      <c r="C381" s="14" t="s">
        <v>766</v>
      </c>
      <c r="D381" s="13"/>
      <c r="E381" s="15" t="str">
        <f>IFERROR(VLOOKUP(C381,기출문제!D:G,3,0),"")</f>
        <v/>
      </c>
      <c r="F381" s="31" t="str">
        <f>IFERROR(VLOOKUP(C381,기출문제!D:G,4,0),"")</f>
        <v/>
      </c>
      <c r="G381" s="32" t="str">
        <f t="shared" si="5"/>
        <v/>
      </c>
    </row>
    <row r="382" spans="2:7" x14ac:dyDescent="0.3">
      <c r="B382" s="13">
        <v>375</v>
      </c>
      <c r="C382" s="14" t="s">
        <v>766</v>
      </c>
      <c r="D382" s="13"/>
      <c r="E382" s="15" t="str">
        <f>IFERROR(VLOOKUP(C382,기출문제!D:G,3,0),"")</f>
        <v/>
      </c>
      <c r="F382" s="31" t="str">
        <f>IFERROR(VLOOKUP(C382,기출문제!D:G,4,0),"")</f>
        <v/>
      </c>
      <c r="G382" s="32" t="str">
        <f t="shared" si="5"/>
        <v/>
      </c>
    </row>
    <row r="383" spans="2:7" x14ac:dyDescent="0.3">
      <c r="B383" s="13">
        <v>376</v>
      </c>
      <c r="C383" s="14" t="s">
        <v>766</v>
      </c>
      <c r="D383" s="13"/>
      <c r="E383" s="15" t="str">
        <f>IFERROR(VLOOKUP(C383,기출문제!D:G,3,0),"")</f>
        <v/>
      </c>
      <c r="F383" s="31" t="str">
        <f>IFERROR(VLOOKUP(C383,기출문제!D:G,4,0),"")</f>
        <v/>
      </c>
      <c r="G383" s="32" t="str">
        <f t="shared" si="5"/>
        <v/>
      </c>
    </row>
    <row r="384" spans="2:7" x14ac:dyDescent="0.3">
      <c r="B384" s="13">
        <v>377</v>
      </c>
      <c r="C384" s="14" t="s">
        <v>766</v>
      </c>
      <c r="D384" s="13"/>
      <c r="E384" s="15" t="str">
        <f>IFERROR(VLOOKUP(C384,기출문제!D:G,3,0),"")</f>
        <v/>
      </c>
      <c r="F384" s="31" t="str">
        <f>IFERROR(VLOOKUP(C384,기출문제!D:G,4,0),"")</f>
        <v/>
      </c>
      <c r="G384" s="32" t="str">
        <f t="shared" si="5"/>
        <v/>
      </c>
    </row>
    <row r="385" spans="2:7" x14ac:dyDescent="0.3">
      <c r="B385" s="13">
        <v>378</v>
      </c>
      <c r="C385" s="14" t="s">
        <v>766</v>
      </c>
      <c r="D385" s="13"/>
      <c r="E385" s="15" t="str">
        <f>IFERROR(VLOOKUP(C385,기출문제!D:G,3,0),"")</f>
        <v/>
      </c>
      <c r="F385" s="31" t="str">
        <f>IFERROR(VLOOKUP(C385,기출문제!D:G,4,0),"")</f>
        <v/>
      </c>
      <c r="G385" s="32" t="str">
        <f t="shared" si="5"/>
        <v/>
      </c>
    </row>
    <row r="386" spans="2:7" x14ac:dyDescent="0.3">
      <c r="B386" s="13">
        <v>379</v>
      </c>
      <c r="C386" s="14" t="s">
        <v>766</v>
      </c>
      <c r="D386" s="13"/>
      <c r="E386" s="15" t="str">
        <f>IFERROR(VLOOKUP(C386,기출문제!D:G,3,0),"")</f>
        <v/>
      </c>
      <c r="F386" s="31" t="str">
        <f>IFERROR(VLOOKUP(C386,기출문제!D:G,4,0),"")</f>
        <v/>
      </c>
      <c r="G386" s="32" t="str">
        <f t="shared" si="5"/>
        <v/>
      </c>
    </row>
    <row r="387" spans="2:7" x14ac:dyDescent="0.3">
      <c r="B387" s="13">
        <v>380</v>
      </c>
      <c r="C387" s="14" t="s">
        <v>766</v>
      </c>
      <c r="D387" s="13"/>
      <c r="E387" s="15" t="str">
        <f>IFERROR(VLOOKUP(C387,기출문제!D:G,3,0),"")</f>
        <v/>
      </c>
      <c r="F387" s="31" t="str">
        <f>IFERROR(VLOOKUP(C387,기출문제!D:G,4,0),"")</f>
        <v/>
      </c>
      <c r="G387" s="32" t="str">
        <f t="shared" si="5"/>
        <v/>
      </c>
    </row>
    <row r="388" spans="2:7" x14ac:dyDescent="0.3">
      <c r="B388" s="13">
        <v>381</v>
      </c>
      <c r="C388" s="14" t="s">
        <v>766</v>
      </c>
      <c r="D388" s="13"/>
      <c r="E388" s="15" t="str">
        <f>IFERROR(VLOOKUP(C388,기출문제!D:G,3,0),"")</f>
        <v/>
      </c>
      <c r="F388" s="31" t="str">
        <f>IFERROR(VLOOKUP(C388,기출문제!D:G,4,0),"")</f>
        <v/>
      </c>
      <c r="G388" s="32" t="str">
        <f t="shared" si="5"/>
        <v/>
      </c>
    </row>
    <row r="389" spans="2:7" x14ac:dyDescent="0.3">
      <c r="B389" s="13">
        <v>382</v>
      </c>
      <c r="C389" s="14" t="s">
        <v>766</v>
      </c>
      <c r="D389" s="13"/>
      <c r="E389" s="15" t="str">
        <f>IFERROR(VLOOKUP(C389,기출문제!D:G,3,0),"")</f>
        <v/>
      </c>
      <c r="F389" s="31" t="str">
        <f>IFERROR(VLOOKUP(C389,기출문제!D:G,4,0),"")</f>
        <v/>
      </c>
      <c r="G389" s="32" t="str">
        <f t="shared" si="5"/>
        <v/>
      </c>
    </row>
    <row r="390" spans="2:7" x14ac:dyDescent="0.3">
      <c r="B390" s="13">
        <v>383</v>
      </c>
      <c r="C390" s="14" t="s">
        <v>766</v>
      </c>
      <c r="D390" s="13"/>
      <c r="E390" s="15" t="str">
        <f>IFERROR(VLOOKUP(C390,기출문제!D:G,3,0),"")</f>
        <v/>
      </c>
      <c r="F390" s="31" t="str">
        <f>IFERROR(VLOOKUP(C390,기출문제!D:G,4,0),"")</f>
        <v/>
      </c>
      <c r="G390" s="32" t="str">
        <f t="shared" si="5"/>
        <v/>
      </c>
    </row>
    <row r="391" spans="2:7" x14ac:dyDescent="0.3">
      <c r="B391" s="13">
        <v>384</v>
      </c>
      <c r="C391" s="14" t="s">
        <v>766</v>
      </c>
      <c r="D391" s="13"/>
      <c r="E391" s="15" t="str">
        <f>IFERROR(VLOOKUP(C391,기출문제!D:G,3,0),"")</f>
        <v/>
      </c>
      <c r="F391" s="31" t="str">
        <f>IFERROR(VLOOKUP(C391,기출문제!D:G,4,0),"")</f>
        <v/>
      </c>
      <c r="G391" s="32" t="str">
        <f t="shared" si="5"/>
        <v/>
      </c>
    </row>
    <row r="392" spans="2:7" x14ac:dyDescent="0.3">
      <c r="B392" s="13">
        <v>385</v>
      </c>
      <c r="C392" s="14" t="s">
        <v>766</v>
      </c>
      <c r="D392" s="13"/>
      <c r="E392" s="15" t="str">
        <f>IFERROR(VLOOKUP(C392,기출문제!D:G,3,0),"")</f>
        <v/>
      </c>
      <c r="F392" s="31" t="str">
        <f>IFERROR(VLOOKUP(C392,기출문제!D:G,4,0),"")</f>
        <v/>
      </c>
      <c r="G392" s="32" t="str">
        <f t="shared" si="5"/>
        <v/>
      </c>
    </row>
    <row r="393" spans="2:7" x14ac:dyDescent="0.3">
      <c r="B393" s="13">
        <v>386</v>
      </c>
      <c r="C393" s="14" t="s">
        <v>766</v>
      </c>
      <c r="D393" s="13"/>
      <c r="E393" s="15" t="str">
        <f>IFERROR(VLOOKUP(C393,기출문제!D:G,3,0),"")</f>
        <v/>
      </c>
      <c r="F393" s="31" t="str">
        <f>IFERROR(VLOOKUP(C393,기출문제!D:G,4,0),"")</f>
        <v/>
      </c>
      <c r="G393" s="32" t="str">
        <f t="shared" ref="G393:G397" si="6">IF(D393="","",IF(D393=F393,"O", "X"))</f>
        <v/>
      </c>
    </row>
    <row r="394" spans="2:7" x14ac:dyDescent="0.3">
      <c r="B394" s="13">
        <v>387</v>
      </c>
      <c r="C394" s="14" t="s">
        <v>766</v>
      </c>
      <c r="D394" s="13"/>
      <c r="E394" s="15" t="str">
        <f>IFERROR(VLOOKUP(C394,기출문제!D:G,3,0),"")</f>
        <v/>
      </c>
      <c r="F394" s="31" t="str">
        <f>IFERROR(VLOOKUP(C394,기출문제!D:G,4,0),"")</f>
        <v/>
      </c>
      <c r="G394" s="32" t="str">
        <f t="shared" si="6"/>
        <v/>
      </c>
    </row>
    <row r="395" spans="2:7" x14ac:dyDescent="0.3">
      <c r="B395" s="13">
        <v>388</v>
      </c>
      <c r="C395" s="14" t="s">
        <v>766</v>
      </c>
      <c r="D395" s="13"/>
      <c r="E395" s="15" t="str">
        <f>IFERROR(VLOOKUP(C395,기출문제!D:G,3,0),"")</f>
        <v/>
      </c>
      <c r="F395" s="31" t="str">
        <f>IFERROR(VLOOKUP(C395,기출문제!D:G,4,0),"")</f>
        <v/>
      </c>
      <c r="G395" s="32" t="str">
        <f t="shared" si="6"/>
        <v/>
      </c>
    </row>
    <row r="396" spans="2:7" x14ac:dyDescent="0.3">
      <c r="B396" s="13">
        <v>389</v>
      </c>
      <c r="C396" s="14" t="s">
        <v>766</v>
      </c>
      <c r="D396" s="13"/>
      <c r="E396" s="15" t="str">
        <f>IFERROR(VLOOKUP(C396,기출문제!D:G,3,0),"")</f>
        <v/>
      </c>
      <c r="F396" s="31" t="str">
        <f>IFERROR(VLOOKUP(C396,기출문제!D:G,4,0),"")</f>
        <v/>
      </c>
      <c r="G396" s="32" t="str">
        <f t="shared" si="6"/>
        <v/>
      </c>
    </row>
    <row r="397" spans="2:7" x14ac:dyDescent="0.3">
      <c r="B397" s="13">
        <v>390</v>
      </c>
      <c r="C397" s="14" t="s">
        <v>766</v>
      </c>
      <c r="D397" s="13"/>
      <c r="E397" s="15" t="str">
        <f>IFERROR(VLOOKUP(C397,기출문제!D:G,3,0),"")</f>
        <v/>
      </c>
      <c r="F397" s="31" t="str">
        <f>IFERROR(VLOOKUP(C397,기출문제!D:G,4,0),"")</f>
        <v/>
      </c>
      <c r="G397" s="32" t="str">
        <f t="shared" si="6"/>
        <v/>
      </c>
    </row>
  </sheetData>
  <phoneticPr fontId="1" type="noConversion"/>
  <conditionalFormatting sqref="F8:F397">
    <cfRule type="expression" dxfId="4" priority="1">
      <formula>$D8&lt;&gt;""</formula>
    </cfRule>
  </conditionalFormatting>
  <dataValidations count="1">
    <dataValidation type="list" allowBlank="1" showInputMessage="1" showErrorMessage="1" sqref="D3" xr:uid="{16D2D9E9-7B92-4CD7-9CD0-632DE40F863D}">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2</xdr:col>
                    <xdr:colOff>876300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A7DBCF5-1B6D-4845-84E6-E9CE33C793D2}">
          <x14:formula1>
            <xm:f>기출문제!$C$4:$C$5000</xm:f>
          </x14:formula1>
          <xm:sqref>D4:D5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36D46-18C1-41F4-9A1B-35DDFEC04984}">
  <sheetPr codeName="Sheet19">
    <pageSetUpPr autoPageBreaks="0"/>
  </sheetPr>
  <dimension ref="B2:J397"/>
  <sheetViews>
    <sheetView showGridLines="0" zoomScaleNormal="100" zoomScaleSheetLayoutView="100" workbookViewId="0">
      <pane ySplit="7" topLeftCell="A21" activePane="bottomLeft" state="frozen"/>
      <selection activeCell="N35" sqref="N35"/>
      <selection pane="bottomLeft" activeCell="I21" sqref="I21"/>
    </sheetView>
  </sheetViews>
  <sheetFormatPr defaultColWidth="9" defaultRowHeight="14.25" x14ac:dyDescent="0.3"/>
  <cols>
    <col min="1" max="1" width="1.625" style="25" customWidth="1"/>
    <col min="2" max="2" width="3.625" style="18" customWidth="1"/>
    <col min="3" max="3" width="10.625" style="18" customWidth="1"/>
    <col min="4" max="4" width="5.625" style="18" customWidth="1"/>
    <col min="5" max="5" width="95.625" style="20" customWidth="1"/>
    <col min="6" max="7" width="5.625" style="28" customWidth="1"/>
    <col min="8" max="9" width="9" style="23"/>
    <col min="10" max="16384" width="9" style="25"/>
  </cols>
  <sheetData>
    <row r="2" spans="2:10" x14ac:dyDescent="0.3">
      <c r="C2" s="19" t="s">
        <v>767</v>
      </c>
      <c r="D2" s="13">
        <v>265</v>
      </c>
      <c r="F2" s="21" t="s">
        <v>773</v>
      </c>
      <c r="G2" s="22">
        <f>MAX(B8:B397)-COUNTBLANK(C8:C397)</f>
        <v>265</v>
      </c>
      <c r="J2" s="24"/>
    </row>
    <row r="3" spans="2:10" x14ac:dyDescent="0.3">
      <c r="C3" s="19" t="s">
        <v>768</v>
      </c>
      <c r="D3" s="13" t="s">
        <v>771</v>
      </c>
      <c r="F3" s="21" t="s">
        <v>776</v>
      </c>
      <c r="G3" s="26">
        <f>COUNTIF(G8:G447,"X")</f>
        <v>0</v>
      </c>
      <c r="J3" s="24"/>
    </row>
    <row r="4" spans="2:10" x14ac:dyDescent="0.3">
      <c r="C4" s="19" t="s">
        <v>770</v>
      </c>
      <c r="D4" s="13" t="s">
        <v>840</v>
      </c>
      <c r="F4" s="26" t="s">
        <v>3</v>
      </c>
      <c r="G4" s="26">
        <f>G2-G3</f>
        <v>265</v>
      </c>
      <c r="J4" s="24"/>
    </row>
    <row r="5" spans="2:10" x14ac:dyDescent="0.3">
      <c r="C5" s="19" t="s">
        <v>769</v>
      </c>
      <c r="D5" s="13" t="s">
        <v>841</v>
      </c>
      <c r="F5" s="26" t="s">
        <v>774</v>
      </c>
      <c r="G5" s="27">
        <f>100/G2*G4</f>
        <v>100.00000000000001</v>
      </c>
      <c r="J5" s="24"/>
    </row>
    <row r="6" spans="2:10" x14ac:dyDescent="0.3">
      <c r="J6" s="24"/>
    </row>
    <row r="7" spans="2:10" x14ac:dyDescent="0.3">
      <c r="B7" s="12" t="s">
        <v>0</v>
      </c>
      <c r="C7" s="12" t="s">
        <v>1</v>
      </c>
      <c r="D7" s="12" t="s">
        <v>658</v>
      </c>
      <c r="E7" s="29" t="s">
        <v>2</v>
      </c>
      <c r="F7" s="29" t="s">
        <v>3</v>
      </c>
      <c r="G7" s="29" t="s">
        <v>657</v>
      </c>
      <c r="J7" s="24"/>
    </row>
    <row r="8" spans="2:10" ht="142.5" x14ac:dyDescent="0.3">
      <c r="B8" s="13">
        <v>1</v>
      </c>
      <c r="C8" s="14" t="s">
        <v>693</v>
      </c>
      <c r="D8" s="30"/>
      <c r="E8" s="15" t="str">
        <f>IFERROR(VLOOKUP(C8,기출문제!D:G,3,0),"")</f>
        <v>81. 테일러(F. W. Taylor)의 과학적 관리법에 제시된 원칙으로 옳은 것을 모두 고른 것은?
ㄱ. 작업방식의 과학적 연구 
ㄴ. 과학적 선발 및 훈련
ㄷ. 관리자와 작업자들 간의 협력 
ㄹ. 관리활동의 분업
① ㄱ, ㄴ 
② ㄷ, ㄹ 
③ ㄱ, ㄴ, ㄷ
④ ㄴ, ㄷ, ㄹ 
⑤ ㄱ, ㄴ, ㄷ, ㄹ</v>
      </c>
      <c r="F8" s="31">
        <f>IFERROR(VLOOKUP(C8,기출문제!D:G,4,0),"")</f>
        <v>5</v>
      </c>
      <c r="G8" s="32" t="str">
        <f>IF(D8="","",IF(D8=F8,"O", "X"))</f>
        <v/>
      </c>
    </row>
    <row r="9" spans="2:10" ht="128.25" x14ac:dyDescent="0.3">
      <c r="B9" s="13">
        <v>2</v>
      </c>
      <c r="C9" s="14" t="s">
        <v>842</v>
      </c>
      <c r="D9" s="30"/>
      <c r="E9" s="15" t="str">
        <f>IFERROR(VLOOKUP(C9,기출문제!D:G,3,0),"")</f>
        <v>82. 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
① ㄱ 
② ㄴ 
③ ㄱ, ㄴ 
④ ㄱ, ㄷ 
⑤ ㄱ, ㄴ, ㄷ</v>
      </c>
      <c r="F9" s="31">
        <f>IFERROR(VLOOKUP(C9,기출문제!D:G,4,0),"")</f>
        <v>3</v>
      </c>
      <c r="G9" s="32" t="str">
        <f t="shared" ref="G9:G72" si="0">IF(D9="","",IF(D9=F9,"O", "X"))</f>
        <v/>
      </c>
    </row>
    <row r="10" spans="2:10" ht="85.5" x14ac:dyDescent="0.3">
      <c r="B10" s="13">
        <v>3</v>
      </c>
      <c r="C10" s="14" t="s">
        <v>843</v>
      </c>
      <c r="D10" s="30"/>
      <c r="E10" s="15" t="str">
        <f>IFERROR(VLOOKUP(C10,기출문제!D:G,3,0),"")</f>
        <v>83. 기업 외부의 개인이나 그룹과 접촉하여 외부환경에 관한 중요한 정보를 얻는 활동은?
① 광고 
② 예측활동
③ 공중관계(PR) 
④ 활동영역 변경
⑤ 경계연결(boundary spanning)</v>
      </c>
      <c r="F10" s="31">
        <f>IFERROR(VLOOKUP(C10,기출문제!D:G,4,0),"")</f>
        <v>5</v>
      </c>
      <c r="G10" s="32" t="str">
        <f t="shared" si="0"/>
        <v/>
      </c>
    </row>
    <row r="11" spans="2:10" ht="85.5" x14ac:dyDescent="0.3">
      <c r="B11" s="13">
        <v>4</v>
      </c>
      <c r="C11" s="14" t="s">
        <v>844</v>
      </c>
      <c r="D11" s="30"/>
      <c r="E11" s="15" t="str">
        <f>IFERROR(VLOOKUP(C11,기출문제!D:G,3,0),"")</f>
        <v>84. 조직의 목표를 달성하기 위하여 조직구성원들이 담당해야 할 역할 구조를 설정하는 관리과정의 단계는?
① 계획 
② 조직화 
③ 지휘 
④ 조정 
⑤ 통제</v>
      </c>
      <c r="F11" s="31">
        <f>IFERROR(VLOOKUP(C11,기출문제!D:G,4,0),"")</f>
        <v>2</v>
      </c>
      <c r="G11" s="32" t="str">
        <f t="shared" si="0"/>
        <v/>
      </c>
    </row>
    <row r="12" spans="2:10" ht="142.5" x14ac:dyDescent="0.3">
      <c r="B12" s="13">
        <v>5</v>
      </c>
      <c r="C12" s="14" t="s">
        <v>845</v>
      </c>
      <c r="D12" s="30"/>
      <c r="E12" s="15" t="str">
        <f>IFERROR(VLOOKUP(C12,기출문제!D:G,3,0),"")</f>
        <v>85. 캐롤(B. A. Carroll)이 주장한 기업의 사회적 책임 중 책임성격이 의무성 보다 자발성에 기초하는 것을 모두 고른 것은?
ㄱ. 경제적 책임 
ㄴ. 법적 책임 
ㄷ. 윤리적 책임 
ㄹ. 자선적 책임
① ㄱ, ㄴ 
② ㄴ, ㄷ 
③ ㄷ, ㄹ 
④ ㄱ, ㄴ, ㄹ 
⑤ ㄴ, ㄷ, ㄹ</v>
      </c>
      <c r="F12" s="31">
        <f>IFERROR(VLOOKUP(C12,기출문제!D:G,4,0),"")</f>
        <v>3</v>
      </c>
      <c r="G12" s="32" t="str">
        <f t="shared" si="0"/>
        <v/>
      </c>
    </row>
    <row r="13" spans="2:10" ht="85.5" x14ac:dyDescent="0.3">
      <c r="B13" s="13">
        <v>6</v>
      </c>
      <c r="C13" s="14" t="s">
        <v>846</v>
      </c>
      <c r="D13" s="30"/>
      <c r="E13" s="15" t="str">
        <f>IFERROR(VLOOKUP(C13,기출문제!D:G,3,0),"")</f>
        <v>86. 포터(M. Porter)의 산업구조분석 모형에 관한 설명으로 옳지 않은 것은?
① 산업 내 경쟁이 심할수록 산업의 수익률은 낮아진다.
② 새로운 경쟁자에 대한 진입장벽이 낮을수록 해당 산업의 경쟁이 심하다.
③ 산업 내 대체재가 많을수록 기업의 수익이 많이 창출된다.
④ 구매자의 교섭력은 소비자들이 기업의 제품을 선택하거나 다른 제품을 구매할 수 있는 힘을 의미한다.
⑤ 공급자의 교섭력을 결정하는 요인으로는 공급자의 집중도, 공급물량, 공급자 판매품의 중요도 등이 있다.</v>
      </c>
      <c r="F13" s="31">
        <f>IFERROR(VLOOKUP(C13,기출문제!D:G,4,0),"")</f>
        <v>3</v>
      </c>
      <c r="G13" s="32" t="str">
        <f t="shared" si="0"/>
        <v/>
      </c>
    </row>
    <row r="14" spans="2:10" ht="85.5" x14ac:dyDescent="0.3">
      <c r="B14" s="13">
        <v>7</v>
      </c>
      <c r="C14" s="14" t="s">
        <v>847</v>
      </c>
      <c r="D14" s="30"/>
      <c r="E14" s="15" t="str">
        <f>IFERROR(VLOOKUP(C14,기출문제!D:G,3,0),"")</f>
        <v>87. 효과적인 의사소통을 방해하는 요인 중 발신자와 관련된 요인이 아닌 것은?
① 의사소통 기술의 부족 
② 준거체계의 차이 
③ 의사소통 목적의 결여
④ 신뢰성의 부족 
⑤ 정보의 과부하</v>
      </c>
      <c r="F14" s="31">
        <f>IFERROR(VLOOKUP(C14,기출문제!D:G,4,0),"")</f>
        <v>5</v>
      </c>
      <c r="G14" s="32" t="str">
        <f t="shared" si="0"/>
        <v/>
      </c>
    </row>
    <row r="15" spans="2:10" ht="114" x14ac:dyDescent="0.3">
      <c r="B15" s="13">
        <v>8</v>
      </c>
      <c r="C15" s="14" t="s">
        <v>848</v>
      </c>
      <c r="D15" s="30"/>
      <c r="E15" s="15" t="str">
        <f>IFERROR(VLOOKUP(C15,기출문제!D:G,3,0),"")</f>
        <v>88. 변혁적 리더십의 구성요소 중 다음 내용에 해당하는 것은?
○ 높은 기대치를 전달하고, 노력에 집중할 수 있도록 상징을 사용
○ 미래에 대한 매력적인 비전 제시, 업무의 의미감 부여, 낙관주의와 열정을 표출
① 예외에 의한 관리 
② 영감적 동기부여 
③ 지적 자극
④ 이상적 영향력 
⑤ 개인화된 배려</v>
      </c>
      <c r="F15" s="31">
        <f>IFERROR(VLOOKUP(C15,기출문제!D:G,4,0),"")</f>
        <v>2</v>
      </c>
      <c r="G15" s="32" t="str">
        <f t="shared" si="0"/>
        <v/>
      </c>
    </row>
    <row r="16" spans="2:10" ht="128.25" x14ac:dyDescent="0.3">
      <c r="B16" s="13">
        <v>9</v>
      </c>
      <c r="C16" s="14" t="s">
        <v>849</v>
      </c>
      <c r="D16" s="30"/>
      <c r="E16" s="15" t="str">
        <f>IFERROR(VLOOKUP(C16,기출문제!D:G,3,0),"")</f>
        <v>89. 다음 특성에 부합하는 직무평가 방법으로 옳은 것은?
○ 비계량적 평가
○ 직무 전체를 포괄적으로 평가
○ 직무와 직무를 상호 비교하여 평가
① 서열법 
② 등급법 
③ 점수법 
④ 분류법 
⑤ 요소비교법</v>
      </c>
      <c r="F16" s="31">
        <f>IFERROR(VLOOKUP(C16,기출문제!D:G,4,0),"")</f>
        <v>1</v>
      </c>
      <c r="G16" s="32" t="str">
        <f t="shared" si="0"/>
        <v/>
      </c>
    </row>
    <row r="17" spans="2:7" ht="85.5" x14ac:dyDescent="0.3">
      <c r="B17" s="13">
        <v>10</v>
      </c>
      <c r="C17" s="14" t="s">
        <v>850</v>
      </c>
      <c r="D17" s="30"/>
      <c r="E17" s="15" t="str">
        <f>IFERROR(VLOOKUP(C17,기출문제!D:G,3,0),"")</f>
        <v>90. 기업이 종업원에게 지급하는 임금의 계산 및 지불 방법에 해당하는 것은?
① 임금수준 
② 임금체계 
③ 임금형태 
④ 임금구조 
⑤ 임금결정</v>
      </c>
      <c r="F17" s="31">
        <f>IFERROR(VLOOKUP(C17,기출문제!D:G,4,0),"")</f>
        <v>3</v>
      </c>
      <c r="G17" s="32" t="str">
        <f t="shared" si="0"/>
        <v/>
      </c>
    </row>
    <row r="18" spans="2:7" ht="99.75" x14ac:dyDescent="0.3">
      <c r="B18" s="13">
        <v>11</v>
      </c>
      <c r="C18" s="14" t="s">
        <v>851</v>
      </c>
      <c r="D18" s="30"/>
      <c r="E18" s="15" t="str">
        <f>IFERROR(VLOOKUP(C18,기출문제!D:G,3,0),"")</f>
        <v>91. 고과자가 평가방법을 잘 이해하지 못하거나 피고과자들 간의 차이를 인식하지 못하는 무능력에서 발생할 수 있는 인사고과의 오류는?
① 중심화 경향 
② 논리적 오류 
③ 현혹효과 
④ 상동적 태도 
⑤ 근접오차</v>
      </c>
      <c r="F18" s="31">
        <f>IFERROR(VLOOKUP(C18,기출문제!D:G,4,0),"")</f>
        <v>1</v>
      </c>
      <c r="G18" s="32" t="str">
        <f t="shared" si="0"/>
        <v/>
      </c>
    </row>
    <row r="19" spans="2:7" ht="85.5" x14ac:dyDescent="0.3">
      <c r="B19" s="13">
        <v>12</v>
      </c>
      <c r="C19" s="14" t="s">
        <v>852</v>
      </c>
      <c r="D19" s="30"/>
      <c r="E19" s="15" t="str">
        <f>IFERROR(VLOOKUP(C19,기출문제!D:G,3,0),"")</f>
        <v>92. 산업별 노동조합 또는 교섭권을 위임받은 상급단체와 개별 기업의 사용자 간에 이루어지는 단체교섭 유형은?
① 대각선 교섭 
② 통일적 교섭 
③ 기업별 교섭 
④ 공동교섭 
⑤ 집단교섭</v>
      </c>
      <c r="F19" s="31">
        <f>IFERROR(VLOOKUP(C19,기출문제!D:G,4,0),"")</f>
        <v>1</v>
      </c>
      <c r="G19" s="32" t="str">
        <f t="shared" si="0"/>
        <v/>
      </c>
    </row>
    <row r="20" spans="2:7" ht="128.25" x14ac:dyDescent="0.3">
      <c r="B20" s="13">
        <v>13</v>
      </c>
      <c r="C20" s="14" t="s">
        <v>853</v>
      </c>
      <c r="D20" s="30"/>
      <c r="E20" s="15" t="str">
        <f>IFERROR(VLOOKUP(C20,기출문제!D:G,3,0),"")</f>
        <v>93. 외부 모집과 비교한 내부 모집의 장점을 모두 고른 것은?
ㄱ. 승진기회 확대로 종업원 동기 부여
ㄴ. 지원자에 대한 평가의 정확성 확보
ㄷ. 인력수요에 대한 양적 충족 가능
① ㄱ 
② ㄴ 
③ ㄱ, ㄴ 
④ ㄴ, ㄷ 
⑤ ㄱ, ㄴ, ㄷ</v>
      </c>
      <c r="F20" s="31">
        <f>IFERROR(VLOOKUP(C20,기출문제!D:G,4,0),"")</f>
        <v>3</v>
      </c>
      <c r="G20" s="32" t="str">
        <f t="shared" si="0"/>
        <v/>
      </c>
    </row>
    <row r="21" spans="2:7" ht="128.25" x14ac:dyDescent="0.3">
      <c r="B21" s="13">
        <v>14</v>
      </c>
      <c r="C21" s="14" t="s">
        <v>854</v>
      </c>
      <c r="D21" s="30"/>
      <c r="E21" s="15" t="str">
        <f>IFERROR(VLOOKUP(C21,기출문제!D:G,3,0),"")</f>
        <v>94. 다음과 같은 장점을 지닌 조직구조는?
○ 관리 비용을 절감할 수 있음
○ 작은 기업들도 전 세계의 자원과 전문적인 인력을 활용할 수 있음
○ 창업 초기에 공장이나 설비 등의 막대한 투자없이도 사업이 가능
① 사업별 조직구조 
② 프로세스 조직구조 
③ 매트릭스 조직구조
④ 지역별 조직구조 
⑤ 네트워크 조직구조</v>
      </c>
      <c r="F21" s="31">
        <f>IFERROR(VLOOKUP(C21,기출문제!D:G,4,0),"")</f>
        <v>5</v>
      </c>
      <c r="G21" s="32" t="str">
        <f t="shared" si="0"/>
        <v/>
      </c>
    </row>
    <row r="22" spans="2:7" ht="85.5" x14ac:dyDescent="0.3">
      <c r="B22" s="13">
        <v>15</v>
      </c>
      <c r="C22" s="14" t="s">
        <v>855</v>
      </c>
      <c r="D22" s="30"/>
      <c r="E22" s="15" t="str">
        <f>IFERROR(VLOOKUP(C22,기출문제!D:G,3,0),"")</f>
        <v>95. 페로우(C. Perrow)의 기술분류 유형 중 과업다양성과 분석가능성이 모두 낮은 유형은?
① 일상적 기술 
② 비일상적 기술 
③ 장인기술
④ 공학기술 
⑤ 중개기술</v>
      </c>
      <c r="F22" s="31">
        <f>IFERROR(VLOOKUP(C22,기출문제!D:G,4,0),"")</f>
        <v>3</v>
      </c>
      <c r="G22" s="32" t="str">
        <f t="shared" si="0"/>
        <v/>
      </c>
    </row>
    <row r="23" spans="2:7" ht="99.75" x14ac:dyDescent="0.3">
      <c r="B23" s="13">
        <v>16</v>
      </c>
      <c r="C23" s="14" t="s">
        <v>856</v>
      </c>
      <c r="D23" s="30"/>
      <c r="E23" s="15" t="str">
        <f>IFERROR(VLOOKUP(C23,기출문제!D:G,3,0),"")</f>
        <v>96. 마일즈(R. Miles)와 스노우(C. Snow)의 전략 유형 중 유연성이 높고 분권화된 학습지향 조직구조로 설계하는 것이 적합한 전략은?
① 반응형 전략 
② 저원가 전략 
③ 분석형 전략 
④ 공격형 전략 
⑤ 방어형 전략</v>
      </c>
      <c r="F23" s="31">
        <f>IFERROR(VLOOKUP(C23,기출문제!D:G,4,0),"")</f>
        <v>4</v>
      </c>
      <c r="G23" s="32" t="str">
        <f t="shared" si="0"/>
        <v/>
      </c>
    </row>
    <row r="24" spans="2:7" ht="171" x14ac:dyDescent="0.3">
      <c r="B24" s="13">
        <v>17</v>
      </c>
      <c r="C24" s="14" t="s">
        <v>857</v>
      </c>
      <c r="D24" s="30"/>
      <c r="E24" s="15" t="str">
        <f>IFERROR(VLOOKUP(C24,기출문제!D:G,3,0),"")</f>
        <v>97. 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
① ㄱ, ㄴ, ㄷ 
② ㄱ, ㄴ, ㅁ 
③ ㄱ, ㄴ, ㄹ, ㅁ
④ ㄱ, ㄷ, ㄹ, ㅁ 
⑤ ㄴ, ㄷ, ㄹ, ㅁ</v>
      </c>
      <c r="F24" s="31">
        <f>IFERROR(VLOOKUP(C24,기출문제!D:G,4,0),"")</f>
        <v>4</v>
      </c>
      <c r="G24" s="32" t="str">
        <f t="shared" si="0"/>
        <v/>
      </c>
    </row>
    <row r="25" spans="2:7" ht="85.5" x14ac:dyDescent="0.3">
      <c r="B25" s="13">
        <v>18</v>
      </c>
      <c r="C25" s="14" t="s">
        <v>858</v>
      </c>
      <c r="D25" s="30"/>
      <c r="E25" s="15" t="str">
        <f>IFERROR(VLOOKUP(C25,기출문제!D:G,3,0),"")</f>
        <v>98. 킬만(T. Kilmann)의 갈등관리 유형 중 목적달성을 위해 비협조적으로 자기 관심사만을 만족시키려는 유형은?
① 협력형 
② 수용형 
③ 회피형 
④ 타협형 
⑤ 경쟁형</v>
      </c>
      <c r="F25" s="31">
        <f>IFERROR(VLOOKUP(C25,기출문제!D:G,4,0),"")</f>
        <v>5</v>
      </c>
      <c r="G25" s="32" t="str">
        <f t="shared" si="0"/>
        <v/>
      </c>
    </row>
    <row r="26" spans="2:7" ht="85.5" x14ac:dyDescent="0.3">
      <c r="B26" s="13">
        <v>19</v>
      </c>
      <c r="C26" s="14" t="s">
        <v>859</v>
      </c>
      <c r="D26" s="30"/>
      <c r="E26" s="15" t="str">
        <f>IFERROR(VLOOKUP(C26,기출문제!D:G,3,0),"")</f>
        <v>99. 효과적인 시장세분화가 되기 위한 조건으로 옳지 않은 것은?
① 세분화를 위해 사용되는 변수들이 측정가능해야 한다.
② 세분시장에 속하는 고객들에게 효과적이고 효율적으로 접근할 수 있어야 한다.
③ 세분시장 내 고객들과 기업의 적합성은 가능한 낮아야 한다.
④ 같은 세분시장에 속한 고객들끼리는 최대한 비슷해야 하고 서로 다른 세분시장에 속한 고객들 간에는 이질성이 있어야 한다.
⑤ 세분시장의 규모는 마케팅활동으로 이익이 날 수 있을 정도로 충분히 커야 한다.</v>
      </c>
      <c r="F26" s="31">
        <f>IFERROR(VLOOKUP(C26,기출문제!D:G,4,0),"")</f>
        <v>3</v>
      </c>
      <c r="G26" s="32" t="str">
        <f t="shared" si="0"/>
        <v/>
      </c>
    </row>
    <row r="27" spans="2:7" ht="114" x14ac:dyDescent="0.3">
      <c r="B27" s="13">
        <v>20</v>
      </c>
      <c r="C27" s="14" t="s">
        <v>860</v>
      </c>
      <c r="D27" s="30"/>
      <c r="E27" s="15" t="str">
        <f>IFERROR(VLOOKUP(C27,기출문제!D:G,3,0),"")</f>
        <v>100. 다음에서 설명하는 제품수명주기의 단계는?
○ 고객의 신제품수용이 늘어나 생산량이 급속히 증가하면서 단위당 제품원가, 유통비용, 촉진비용이 하락한다.
○ 지속적인 판매량 증대로 이익이 빠르게 늘어난다.
① 도입기 
② 성장기 
③ 성숙기 
④ 정체기 
⑤ 쇠퇴기</v>
      </c>
      <c r="F27" s="31">
        <f>IFERROR(VLOOKUP(C27,기출문제!D:G,4,0),"")</f>
        <v>2</v>
      </c>
      <c r="G27" s="32" t="str">
        <f t="shared" si="0"/>
        <v/>
      </c>
    </row>
    <row r="28" spans="2:7" ht="85.5" x14ac:dyDescent="0.3">
      <c r="B28" s="13">
        <v>21</v>
      </c>
      <c r="C28" s="14" t="s">
        <v>861</v>
      </c>
      <c r="D28" s="30"/>
      <c r="E28" s="15" t="str">
        <f>IFERROR(VLOOKUP(C28,기출문제!D:G,3,0),"")</f>
        <v>101. 4P 중 가격에 관한 설명으로 옳지 않은 것은?
① 가격은 다른 마케팅믹스 요소들과 달리 상대적으로 쉽게 변경할 수 있다.
② 구매자가 가격이 비싼지 싼지를 판단하는 기준으로 삼는 가격을 준거가격이라 한다.
③ 구매자가 어떤 상품에 대해 지불할 용의가 있는 최저가격을 유보가격이라 한다.
④ 가격변화를 느끼게 만드는 최소의 가격변화 폭을 JND(just noticeable difference)라 한다.
⑤ 구매자들이 가격이 높은 상품일수록 품질도 높다고 믿는 것을 가격-품질 연상이라 한다.</v>
      </c>
      <c r="F28" s="31">
        <f>IFERROR(VLOOKUP(C28,기출문제!D:G,4,0),"")</f>
        <v>3</v>
      </c>
      <c r="G28" s="32" t="str">
        <f t="shared" si="0"/>
        <v/>
      </c>
    </row>
    <row r="29" spans="2:7" ht="142.5" x14ac:dyDescent="0.3">
      <c r="B29" s="13">
        <v>22</v>
      </c>
      <c r="C29" s="14" t="s">
        <v>862</v>
      </c>
      <c r="D29" s="30"/>
      <c r="E29" s="15" t="str">
        <f>IFERROR(VLOOKUP(C29,기출문제!D:G,3,0),"")</f>
        <v>102. 판매촉진의 수단 중 소비자들의 구입가격을 인하시키는 효과를 갖는 가격수단의 유형을 모두 고른 것은?
ㄱ. 할인쿠폰 
ㄴ. 샘플 
ㄷ. 보상판매 
ㄹ. 보너스팩
① ㄱ, ㄴ 
② ㄷ, ㄹ 
③ ㄱ, ㄴ, ㄷ
④ ㄱ, ㄷ, ㄹ 
⑤ ㄱ, ㄴ, ㄷ, ㄹ</v>
      </c>
      <c r="F29" s="31">
        <f>IFERROR(VLOOKUP(C29,기출문제!D:G,4,0),"")</f>
        <v>4</v>
      </c>
      <c r="G29" s="32" t="str">
        <f t="shared" si="0"/>
        <v/>
      </c>
    </row>
    <row r="30" spans="2:7" ht="85.5" x14ac:dyDescent="0.3">
      <c r="B30" s="13">
        <v>23</v>
      </c>
      <c r="C30" s="14" t="s">
        <v>863</v>
      </c>
      <c r="D30" s="30"/>
      <c r="E30" s="15" t="str">
        <f>IFERROR(VLOOKUP(C30,기출문제!D:G,3,0),"")</f>
        <v>103. 브랜드에 관한 설명으로 옳지 않은 것은?
① 브랜드는 제품이나 서비스와 관련된 이름, 상징, 혹은 기호로서 그것에 대해 구매자가 심리적인 의미를 부여하는 것이다.
② 브랜드 자산은 소비자가 브랜드에 부여하는 가치, 즉 브랜드가 창출하는 부가가치를 말한다.
③ 켈러(J. Keller)에 따르면, 브랜드 자산의 원천은 브랜드의 인지도와 브랜드의 이미지이다.
④ 브랜드 이미지는 긍정적이고 독특하며 강력해야 한다.
⑤ 브랜드 개발은 창의적인 광고를 통해 관련 이미지를 만들어내는 것이다.</v>
      </c>
      <c r="F30" s="31">
        <f>IFERROR(VLOOKUP(C30,기출문제!D:G,4,0),"")</f>
        <v>5</v>
      </c>
      <c r="G30" s="32" t="str">
        <f t="shared" si="0"/>
        <v/>
      </c>
    </row>
    <row r="31" spans="2:7" ht="99.75" x14ac:dyDescent="0.3">
      <c r="B31" s="13">
        <v>24</v>
      </c>
      <c r="C31" s="14" t="s">
        <v>864</v>
      </c>
      <c r="D31" s="30"/>
      <c r="E31" s="15" t="str">
        <f>IFERROR(VLOOKUP(C31,기출문제!D:G,3,0),"")</f>
        <v>104. 금년 초에 5,000원의 배당(=d0)을 지급한 A기업의 배당은 매년 영원히 5%로 일정하게 성장할 것으로 예상된다. 요구수익률이 10%일 경우 이 주식의 현재가치는?
① 50,000원 
② 52,500원 
③ 100,000원 
④ 105,000원 
⑤ 110,000원</v>
      </c>
      <c r="F31" s="31">
        <f>IFERROR(VLOOKUP(C31,기출문제!D:G,4,0),"")</f>
        <v>4</v>
      </c>
      <c r="G31" s="32" t="str">
        <f t="shared" si="0"/>
        <v/>
      </c>
    </row>
    <row r="32" spans="2:7" ht="85.5" x14ac:dyDescent="0.3">
      <c r="B32" s="13">
        <v>25</v>
      </c>
      <c r="C32" s="14" t="s">
        <v>865</v>
      </c>
      <c r="D32" s="30"/>
      <c r="E32" s="15" t="str">
        <f>IFERROR(VLOOKUP(C32,기출문제!D:G,3,0),"")</f>
        <v>105. 자본시장선(CML)과 증권시장선(SML)에 관한 설명으로 옳지 않은 것은?
① 증권시장선 보다 아래에 위치하는 주식은 주가가 과대평가 된 주식이다.
② 자본시장선은 개별위험자산의 기대수익률과 체계적 위험(베타) 간의 선형관계를 설명한다.
③ 자본시장선 상에는 비체계적 위험을 가진 포트폴리오가 놓이지 않는다.
④ 동일한 체계적 위험(베타)을 가지고 있는 자산이면 증권시장선 상에서 동일한 위치에 놓인다.
⑤ 균형상태에서 모든 위험자산의 체계적 위험(베타) 대비 초과수익률(기대수익률 [E(ri)] - 무위험수익률 [rf])이 동일하다.</v>
      </c>
      <c r="F32" s="31">
        <f>IFERROR(VLOOKUP(C32,기출문제!D:G,4,0),"")</f>
        <v>2</v>
      </c>
      <c r="G32" s="32" t="str">
        <f t="shared" si="0"/>
        <v/>
      </c>
    </row>
    <row r="33" spans="2:7" ht="85.5" x14ac:dyDescent="0.3">
      <c r="B33" s="13">
        <v>26</v>
      </c>
      <c r="C33" s="14" t="s">
        <v>866</v>
      </c>
      <c r="D33" s="30"/>
      <c r="E33" s="15" t="str">
        <f>IFERROR(VLOOKUP(C33,기출문제!D:G,3,0),"")</f>
        <v>106. 투자안의 경제성 분석방법에 관한 설명으로 옳은 것은?
① 투자형 현금흐름의 투자안에서 내부수익률은 투자수익률을 의미한다.
② 화폐의 시간가치를 고려하는 분석방법은 순현재가치법이 유일하다.
③ 순현재가치법에서는 가치가산의 원칙이 성립하지 않는다.
④ 내부수익률법에서는 재투자수익률을 자본비용으로 가정한다.
⑤ 수익성지수법은 순현재가치법과 항상 동일한 투자선택의 의사결정을 한다.</v>
      </c>
      <c r="F33" s="31">
        <f>IFERROR(VLOOKUP(C33,기출문제!D:G,4,0),"")</f>
        <v>1</v>
      </c>
      <c r="G33" s="32" t="str">
        <f t="shared" si="0"/>
        <v/>
      </c>
    </row>
    <row r="34" spans="2:7" ht="85.5" x14ac:dyDescent="0.3">
      <c r="B34" s="13">
        <v>27</v>
      </c>
      <c r="C34" s="14" t="s">
        <v>867</v>
      </c>
      <c r="D34" s="30"/>
      <c r="E34" s="15" t="str">
        <f>IFERROR(VLOOKUP(C34,기출문제!D:G,3,0),"")</f>
        <v>107. 총자산순이익률(ROA)이 20%, 매출액순이익률이 8%일 때 총자산회전율은?
① 2 
② 2.5 
③ 3 
④ 3.5 
⑤ 4</v>
      </c>
      <c r="F34" s="31">
        <f>IFERROR(VLOOKUP(C34,기출문제!D:G,4,0),"")</f>
        <v>2</v>
      </c>
      <c r="G34" s="32" t="str">
        <f t="shared" si="0"/>
        <v/>
      </c>
    </row>
    <row r="35" spans="2:7" ht="142.5" x14ac:dyDescent="0.3">
      <c r="B35" s="13">
        <v>28</v>
      </c>
      <c r="C35" s="14" t="s">
        <v>868</v>
      </c>
      <c r="D35" s="30"/>
      <c r="E35" s="15" t="str">
        <f>IFERROR(VLOOKUP(C35,기출문제!D:G,3,0),"")</f>
        <v>108. 다음 채권의 듀레이션은? (단, 소수점 셋째 자리에서 반올림한다.)
○ 액면가액 1,000원
○ 액면이자율 연 10%, 매년 말 이자지급
○ 만기 2년
○ 만기수익률 연 12%
① 1.75년 
② 1.83년 
③ 1.87년 
④ 1.91년 
⑤ 2.00년</v>
      </c>
      <c r="F35" s="31">
        <f>IFERROR(VLOOKUP(C35,기출문제!D:G,4,0),"")</f>
        <v>4</v>
      </c>
      <c r="G35" s="32" t="str">
        <f t="shared" si="0"/>
        <v/>
      </c>
    </row>
    <row r="36" spans="2:7" ht="85.5" x14ac:dyDescent="0.3">
      <c r="B36" s="13">
        <v>29</v>
      </c>
      <c r="C36" s="14" t="s">
        <v>869</v>
      </c>
      <c r="D36" s="30"/>
      <c r="E36" s="15" t="str">
        <f>IFERROR(VLOOKUP(C36,기출문제!D:G,3,0),"")</f>
        <v>109. 가치분석/가치공학분석에서 사용하는 브레인스토밍(brainstorming)의 주제로 옳지 않은 것은?
① 불필요한 제품의 특성은 없는가?
② 추가되어야 할 공정은 없는가?
③ 무게를 줄일 수는 없는가?
④ 두 개 이상의 부품을 하나로 결합할 수 없는가?
⑤ 제거되어야 할 비표준화된 부품은 없는가?</v>
      </c>
      <c r="F36" s="31">
        <f>IFERROR(VLOOKUP(C36,기출문제!D:G,4,0),"")</f>
        <v>2</v>
      </c>
      <c r="G36" s="32" t="str">
        <f t="shared" si="0"/>
        <v/>
      </c>
    </row>
    <row r="37" spans="2:7" ht="128.25" x14ac:dyDescent="0.3">
      <c r="B37" s="13">
        <v>30</v>
      </c>
      <c r="C37" s="14" t="s">
        <v>870</v>
      </c>
      <c r="D37" s="30"/>
      <c r="E37" s="15" t="str">
        <f>IFERROR(VLOOKUP(C37,기출문제!D:G,3,0),"")</f>
        <v>110. 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
① 606만개 
② 632만개 
③ 658만개 
④ 744만개 
⑤ 766만개</v>
      </c>
      <c r="F37" s="31">
        <f>IFERROR(VLOOKUP(C37,기출문제!D:G,4,0),"")</f>
        <v>2</v>
      </c>
      <c r="G37" s="32" t="str">
        <f t="shared" si="0"/>
        <v/>
      </c>
    </row>
    <row r="38" spans="2:7" ht="85.5" x14ac:dyDescent="0.3">
      <c r="B38" s="13">
        <v>31</v>
      </c>
      <c r="C38" s="14" t="s">
        <v>871</v>
      </c>
      <c r="D38" s="30"/>
      <c r="E38" s="15" t="str">
        <f>IFERROR(VLOOKUP(C38,기출문제!D:G,3,0),"")</f>
        <v>111. 공급사슬관리의 효율성을 측정하는 지표로 옳은 것은?
① 재고회전율 
② 원자재투입량 
③ 최종고객주문량
④ 수요통제 
⑤ 채찍효과</v>
      </c>
      <c r="F38" s="31">
        <f>IFERROR(VLOOKUP(C38,기출문제!D:G,4,0),"")</f>
        <v>1</v>
      </c>
      <c r="G38" s="32" t="str">
        <f t="shared" si="0"/>
        <v/>
      </c>
    </row>
    <row r="39" spans="2:7" ht="85.5" x14ac:dyDescent="0.3">
      <c r="B39" s="13">
        <v>32</v>
      </c>
      <c r="C39" s="14" t="s">
        <v>872</v>
      </c>
      <c r="D39" s="30"/>
      <c r="E39" s="15" t="str">
        <f>IFERROR(VLOOKUP(C39,기출문제!D:G,3,0),"")</f>
        <v>112. 준비비용이 일정하다고 가정하는 경제적 주문량(EOQ)과는 달리 준비비용을 최대한 줄이고자 하는 시스템은?
① 유연생산시스템(FMS) 
② 자재소요관리시스템(MRP)
③ 컴퓨터통합생산시스템(CIM) 
④ ABC 재고관리시스템
⑤ 적시생산시스템(JIT)</v>
      </c>
      <c r="F39" s="31">
        <f>IFERROR(VLOOKUP(C39,기출문제!D:G,4,0),"")</f>
        <v>5</v>
      </c>
      <c r="G39" s="32" t="str">
        <f t="shared" si="0"/>
        <v/>
      </c>
    </row>
    <row r="40" spans="2:7" ht="85.5" x14ac:dyDescent="0.3">
      <c r="B40" s="13">
        <v>33</v>
      </c>
      <c r="C40" s="14" t="s">
        <v>873</v>
      </c>
      <c r="D40" s="30"/>
      <c r="E40" s="15" t="str">
        <f>IFERROR(VLOOKUP(C40,기출문제!D:G,3,0),"")</f>
        <v>113. 기업에서 생산목표상의 경쟁우선순위에 해당하지 않는 것은?
① 기술 
② 품질 
③ 원가 
④ 시간 
⑤ 유연성</v>
      </c>
      <c r="F40" s="31">
        <f>IFERROR(VLOOKUP(C40,기출문제!D:G,4,0),"")</f>
        <v>1</v>
      </c>
      <c r="G40" s="32" t="str">
        <f t="shared" si="0"/>
        <v/>
      </c>
    </row>
    <row r="41" spans="2:7" ht="85.5" x14ac:dyDescent="0.3">
      <c r="B41" s="13">
        <v>34</v>
      </c>
      <c r="C41" s="14" t="s">
        <v>874</v>
      </c>
      <c r="D41" s="30"/>
      <c r="E41" s="15" t="str">
        <f>IFERROR(VLOOKUP(C41,기출문제!D:G,3,0),"")</f>
        <v>114. 품질문제와 관련하여 발생하는 외부 실패비용에 해당하지 않는 것은?
① 고객불만 비용 
② 보증 비용 
③ 반품 비용
④ 스크랩 비용 
⑤ 제조물책임 비용</v>
      </c>
      <c r="F41" s="31">
        <f>IFERROR(VLOOKUP(C41,기출문제!D:G,4,0),"")</f>
        <v>4</v>
      </c>
      <c r="G41" s="32" t="str">
        <f t="shared" si="0"/>
        <v/>
      </c>
    </row>
    <row r="42" spans="2:7" ht="85.5" x14ac:dyDescent="0.3">
      <c r="B42" s="13">
        <v>35</v>
      </c>
      <c r="C42" s="14" t="s">
        <v>875</v>
      </c>
      <c r="D42" s="30"/>
      <c r="E42" s="15" t="str">
        <f>IFERROR(VLOOKUP(C42,기출문제!D:G,3,0),"")</f>
        <v>115. 회계거래 분개 시 차변에 기록해야 하는 것은?
① 선수금의 증가 
② 미수수익의 증가 
③ 매출의 발생
④ 미지급비용의 증가 
⑤ 매입채무의 증가</v>
      </c>
      <c r="F42" s="31">
        <f>IFERROR(VLOOKUP(C42,기출문제!D:G,4,0),"")</f>
        <v>2</v>
      </c>
      <c r="G42" s="32" t="str">
        <f t="shared" si="0"/>
        <v/>
      </c>
    </row>
    <row r="43" spans="2:7" ht="85.5" x14ac:dyDescent="0.3">
      <c r="B43" s="13">
        <v>36</v>
      </c>
      <c r="C43" s="14" t="s">
        <v>876</v>
      </c>
      <c r="D43" s="30"/>
      <c r="E43" s="15" t="str">
        <f>IFERROR(VLOOKUP(C43,기출문제!D:G,3,0),"")</f>
        <v>116. 재무비율에 관한 설명으로 옳지 않은 것은?
① 자산이용의 효율성을 분석하는 것은 활동성비율이다.
② 이자보상비율은 채권자에게 지급해야 할 고정비용인 이자비용의 안전도를 나타낸다.
③ 유동비율은 유동자산을 유동부채로 나눈 것이다.
④ 자기자본순이익률(ROE)은 주주 및 채권자의 관점에서 본 수익성비율이다.
⑤ 재무비율분석 시 기업 간 회계방법의 차이가 있음을 고려해야 한다.</v>
      </c>
      <c r="F43" s="31">
        <f>IFERROR(VLOOKUP(C43,기출문제!D:G,4,0),"")</f>
        <v>4</v>
      </c>
      <c r="G43" s="32" t="str">
        <f t="shared" si="0"/>
        <v/>
      </c>
    </row>
    <row r="44" spans="2:7" ht="85.5" x14ac:dyDescent="0.3">
      <c r="B44" s="13">
        <v>37</v>
      </c>
      <c r="C44" s="14" t="s">
        <v>877</v>
      </c>
      <c r="D44" s="30"/>
      <c r="E44" s="15" t="str">
        <f>IFERROR(VLOOKUP(C44,기출문제!D:G,3,0),"")</f>
        <v>117. 유형자산의 감가상각에 관한 설명으로 옳은 것은?
① 감가상각누계액은 내용연수 동안 비용처리 할 감가상각비의 총액이다.
② 정액법과 정률법에서는 감가대상금액을 기초로 감가상각비를 산정한다.
③ 정률법은 내용연수 후반부로 갈수록 감가상각비를 많이 인식한다.
④ 회계적 관점에서 감가상각은 자산의 평가과정이라기 보다 원가배분과정이라고 할 수 있다.
⑤ 모든 유형자산은 시간이 경과함에 따라 가치가 감소하므로 가치의 감소를 인식하기 위해 감가상각한다.</v>
      </c>
      <c r="F44" s="31">
        <f>IFERROR(VLOOKUP(C44,기출문제!D:G,4,0),"")</f>
        <v>4</v>
      </c>
      <c r="G44" s="32" t="str">
        <f t="shared" si="0"/>
        <v/>
      </c>
    </row>
    <row r="45" spans="2:7" ht="85.5" x14ac:dyDescent="0.3">
      <c r="B45" s="13">
        <v>38</v>
      </c>
      <c r="C45" s="14" t="s">
        <v>878</v>
      </c>
      <c r="D45" s="30"/>
      <c r="E45" s="15" t="str">
        <f>IFERROR(VLOOKUP(C45,기출문제!D:G,3,0),"")</f>
        <v>118. 유형자산의 취득원가에 포함되는 것은?
① 파손된 유리와 소모품의 대체
② 마모된 자산의 원상복구
③ 건물 취득 후 가입한 보험에 대한 보험료
④ 유형자산 취득 시 발생한 운반비
⑤ 건물의 도색</v>
      </c>
      <c r="F45" s="31">
        <f>IFERROR(VLOOKUP(C45,기출문제!D:G,4,0),"")</f>
        <v>4</v>
      </c>
      <c r="G45" s="32" t="str">
        <f t="shared" si="0"/>
        <v/>
      </c>
    </row>
    <row r="46" spans="2:7" ht="114" x14ac:dyDescent="0.3">
      <c r="B46" s="13">
        <v>39</v>
      </c>
      <c r="C46" s="14" t="s">
        <v>879</v>
      </c>
      <c r="D46" s="30"/>
      <c r="E46" s="15" t="str">
        <f>IFERROR(VLOOKUP(C46,기출문제!D:G,3,0),"")</f>
        <v>119. 다음에서 설명하는 것은?
○ 데이터 소스에서 가까운 네트워크 말단의 서버들에서 일부 데이터 처리를 수행한다.
○ 클라우드 컴퓨팅 시스템을 최적화하는 방법이다.
① 엣지 컴퓨팅 
② 그리드 컴퓨팅 
③ 클라이언트/서버 컴퓨팅
④ 온디멘드 컴퓨팅 
⑤ 엔터프라이즈 컴퓨팅</v>
      </c>
      <c r="F46" s="31">
        <f>IFERROR(VLOOKUP(C46,기출문제!D:G,4,0),"")</f>
        <v>1</v>
      </c>
      <c r="G46" s="32" t="str">
        <f t="shared" si="0"/>
        <v/>
      </c>
    </row>
    <row r="47" spans="2:7" ht="85.5" x14ac:dyDescent="0.3">
      <c r="B47" s="13">
        <v>40</v>
      </c>
      <c r="C47" s="14" t="s">
        <v>880</v>
      </c>
      <c r="D47" s="30"/>
      <c r="E47" s="15" t="str">
        <f>IFERROR(VLOOKUP(C47,기출문제!D:G,3,0),"")</f>
        <v>120. 비정형 텍스트 데이터의 가치와 의미를 찾아내는 빅데이터 분석기법은?
① 에쓰노그라피(ethnography) 분석 
② 포커스그룹(focus group) 인터뷰
③ 텍스트마이닝 
④ 군집 분석
⑤ 소셜네트워크 분석</v>
      </c>
      <c r="F47" s="31">
        <f>IFERROR(VLOOKUP(C47,기출문제!D:G,4,0),"")</f>
        <v>3</v>
      </c>
      <c r="G47" s="32" t="str">
        <f t="shared" si="0"/>
        <v/>
      </c>
    </row>
    <row r="48" spans="2:7" ht="142.5" x14ac:dyDescent="0.3">
      <c r="B48" s="13">
        <v>41</v>
      </c>
      <c r="C48" s="14" t="s">
        <v>5</v>
      </c>
      <c r="D48" s="30"/>
      <c r="E48" s="15" t="str">
        <f>IFERROR(VLOOKUP(C48,기출문제!D:G,3,0),"")</f>
        <v>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v>
      </c>
      <c r="F48" s="31">
        <f>IFERROR(VLOOKUP(C48,기출문제!D:G,4,0),"")</f>
        <v>5</v>
      </c>
      <c r="G48" s="32" t="str">
        <f t="shared" si="0"/>
        <v/>
      </c>
    </row>
    <row r="49" spans="2:7" ht="171" x14ac:dyDescent="0.3">
      <c r="B49" s="13">
        <v>42</v>
      </c>
      <c r="C49" s="14" t="s">
        <v>881</v>
      </c>
      <c r="D49" s="30"/>
      <c r="E49" s="15" t="str">
        <f>IFERROR(VLOOKUP(C49,기출문제!D:G,3,0),"")</f>
        <v>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v>
      </c>
      <c r="F49" s="31">
        <f>IFERROR(VLOOKUP(C49,기출문제!D:G,4,0),"")</f>
        <v>4</v>
      </c>
      <c r="G49" s="32" t="str">
        <f t="shared" si="0"/>
        <v/>
      </c>
    </row>
    <row r="50" spans="2:7" ht="85.5" x14ac:dyDescent="0.3">
      <c r="B50" s="13">
        <v>43</v>
      </c>
      <c r="C50" s="14" t="s">
        <v>882</v>
      </c>
      <c r="D50" s="30"/>
      <c r="E50" s="15" t="str">
        <f>IFERROR(VLOOKUP(C50,기출문제!D:G,3,0),"")</f>
        <v>103. 경영환경을 일반환경과 과업환경으로 구분할 때, 기업에게 직접적인 영향을 주는 과업환경에 해당하는 것은?
① 정치적 환경
② 경제적 환경
③ 기술적 환경
④ 경쟁자
⑤ 사회문화적 환경</v>
      </c>
      <c r="F50" s="31">
        <f>IFERROR(VLOOKUP(C50,기출문제!D:G,4,0),"")</f>
        <v>4</v>
      </c>
      <c r="G50" s="32" t="str">
        <f t="shared" si="0"/>
        <v/>
      </c>
    </row>
    <row r="51" spans="2:7" ht="85.5" x14ac:dyDescent="0.3">
      <c r="B51" s="13">
        <v>44</v>
      </c>
      <c r="C51" s="14" t="s">
        <v>883</v>
      </c>
      <c r="D51" s="30"/>
      <c r="E51" s="15" t="str">
        <f>IFERROR(VLOOKUP(C51,기출문제!D:G,3,0),"")</f>
        <v>104. 민츠버그(H. Mintzberg)의 5가지 조직유형에 해당하지 않는 것은?
① 매트릭스 조직
② 기계적 관료제
③ 전문적 관료제
④ 애드호크라시
⑤ 사업부제 조직</v>
      </c>
      <c r="F51" s="31">
        <f>IFERROR(VLOOKUP(C51,기출문제!D:G,4,0),"")</f>
        <v>1</v>
      </c>
      <c r="G51" s="32" t="str">
        <f t="shared" si="0"/>
        <v/>
      </c>
    </row>
    <row r="52" spans="2:7" ht="142.5" x14ac:dyDescent="0.3">
      <c r="B52" s="13">
        <v>45</v>
      </c>
      <c r="C52" s="14" t="s">
        <v>884</v>
      </c>
      <c r="D52" s="30"/>
      <c r="E52" s="15" t="str">
        <f>IFERROR(VLOOKUP(C52,기출문제!D:G,3,0),"")</f>
        <v>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v>
      </c>
      <c r="F52" s="31">
        <f>IFERROR(VLOOKUP(C52,기출문제!D:G,4,0),"")</f>
        <v>3</v>
      </c>
      <c r="G52" s="32" t="str">
        <f t="shared" si="0"/>
        <v/>
      </c>
    </row>
    <row r="53" spans="2:7" ht="156.75" x14ac:dyDescent="0.3">
      <c r="B53" s="13">
        <v>46</v>
      </c>
      <c r="C53" s="14" t="s">
        <v>885</v>
      </c>
      <c r="D53" s="30"/>
      <c r="E53" s="15" t="str">
        <f>IFERROR(VLOOKUP(C53,기출문제!D:G,3,0),"")</f>
        <v>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v>
      </c>
      <c r="F53" s="31">
        <f>IFERROR(VLOOKUP(C53,기출문제!D:G,4,0),"")</f>
        <v>2</v>
      </c>
      <c r="G53" s="32" t="str">
        <f t="shared" si="0"/>
        <v/>
      </c>
    </row>
    <row r="54" spans="2:7" ht="85.5" x14ac:dyDescent="0.3">
      <c r="B54" s="13">
        <v>47</v>
      </c>
      <c r="C54" s="14" t="s">
        <v>886</v>
      </c>
      <c r="D54" s="30"/>
      <c r="E54" s="15" t="str">
        <f>IFERROR(VLOOKUP(C54,기출문제!D:G,3,0),"")</f>
        <v>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v>
      </c>
      <c r="F54" s="31">
        <f>IFERROR(VLOOKUP(C54,기출문제!D:G,4,0),"")</f>
        <v>5</v>
      </c>
      <c r="G54" s="32" t="str">
        <f t="shared" si="0"/>
        <v/>
      </c>
    </row>
    <row r="55" spans="2:7" ht="85.5" x14ac:dyDescent="0.3">
      <c r="B55" s="13">
        <v>48</v>
      </c>
      <c r="C55" s="14" t="s">
        <v>887</v>
      </c>
      <c r="D55" s="30"/>
      <c r="E55" s="15" t="str">
        <f>IFERROR(VLOOKUP(C55,기출문제!D:G,3,0),"")</f>
        <v>108. 성격의 Big5 모형에 해당하지 않는 것은?
① 정서적 안정성
② 성실성
③ 친화성
④ 모험선호성
⑤ 개방성</v>
      </c>
      <c r="F55" s="31">
        <f>IFERROR(VLOOKUP(C55,기출문제!D:G,4,0),"")</f>
        <v>4</v>
      </c>
      <c r="G55" s="32" t="str">
        <f t="shared" si="0"/>
        <v/>
      </c>
    </row>
    <row r="56" spans="2:7" ht="85.5" x14ac:dyDescent="0.3">
      <c r="B56" s="13">
        <v>49</v>
      </c>
      <c r="C56" s="14" t="s">
        <v>888</v>
      </c>
      <c r="D56" s="30"/>
      <c r="E56" s="15" t="str">
        <f>IFERROR(VLOOKUP(C56,기출문제!D:G,3,0),"")</f>
        <v>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v>
      </c>
      <c r="F56" s="31">
        <f>IFERROR(VLOOKUP(C56,기출문제!D:G,4,0),"")</f>
        <v>3</v>
      </c>
      <c r="G56" s="32" t="str">
        <f t="shared" si="0"/>
        <v/>
      </c>
    </row>
    <row r="57" spans="2:7" ht="156.75" x14ac:dyDescent="0.3">
      <c r="B57" s="13">
        <v>50</v>
      </c>
      <c r="C57" s="14" t="s">
        <v>889</v>
      </c>
      <c r="D57" s="30"/>
      <c r="E57" s="15" t="str">
        <f>IFERROR(VLOOKUP(C57,기출문제!D:G,3,0),"")</f>
        <v>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v>
      </c>
      <c r="F57" s="31">
        <f>IFERROR(VLOOKUP(C57,기출문제!D:G,4,0),"")</f>
        <v>1</v>
      </c>
      <c r="G57" s="32" t="str">
        <f t="shared" si="0"/>
        <v/>
      </c>
    </row>
    <row r="58" spans="2:7" ht="85.5" x14ac:dyDescent="0.3">
      <c r="B58" s="13">
        <v>51</v>
      </c>
      <c r="C58" s="14" t="s">
        <v>890</v>
      </c>
      <c r="D58" s="13"/>
      <c r="E58" s="15" t="str">
        <f>IFERROR(VLOOKUP(C58,기출문제!D:G,3,0),"")</f>
        <v>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v>
      </c>
      <c r="F58" s="31">
        <f>IFERROR(VLOOKUP(C58,기출문제!D:G,4,0),"")</f>
        <v>1</v>
      </c>
      <c r="G58" s="32" t="str">
        <f t="shared" si="0"/>
        <v/>
      </c>
    </row>
    <row r="59" spans="2:7" ht="85.5" x14ac:dyDescent="0.3">
      <c r="B59" s="13">
        <v>52</v>
      </c>
      <c r="C59" s="14" t="s">
        <v>891</v>
      </c>
      <c r="D59" s="13"/>
      <c r="E59" s="15" t="str">
        <f>IFERROR(VLOOKUP(C59,기출문제!D:G,3,0),"")</f>
        <v>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v>
      </c>
      <c r="F59" s="31">
        <f>IFERROR(VLOOKUP(C59,기출문제!D:G,4,0),"")</f>
        <v>5</v>
      </c>
      <c r="G59" s="32" t="str">
        <f t="shared" si="0"/>
        <v/>
      </c>
    </row>
    <row r="60" spans="2:7" ht="85.5" x14ac:dyDescent="0.3">
      <c r="B60" s="13">
        <v>53</v>
      </c>
      <c r="C60" s="14" t="s">
        <v>892</v>
      </c>
      <c r="D60" s="13"/>
      <c r="E60" s="15" t="str">
        <f>IFERROR(VLOOKUP(C60,기출문제!D:G,3,0),"")</f>
        <v>113. 로저스(E. Rogers)의 혁신에 대한 수용자 유형이 아닌 것은?
① 혁신자(innovators)
② 조기수용자(early adopters)
③ 후기수용자(late adopters)
④ 조기다수자(early majority)
⑤ 후기다수자(late majority)</v>
      </c>
      <c r="F60" s="31">
        <f>IFERROR(VLOOKUP(C60,기출문제!D:G,4,0),"")</f>
        <v>3</v>
      </c>
      <c r="G60" s="32" t="str">
        <f t="shared" si="0"/>
        <v/>
      </c>
    </row>
    <row r="61" spans="2:7" ht="128.25" x14ac:dyDescent="0.3">
      <c r="B61" s="13">
        <v>54</v>
      </c>
      <c r="C61" s="14" t="s">
        <v>893</v>
      </c>
      <c r="D61" s="13"/>
      <c r="E61" s="15" t="str">
        <f>IFERROR(VLOOKUP(C61,기출문제!D:G,3,0),"")</f>
        <v>114. (주)한국의 매출 및 매출채권 자료가 다음과 같을 때, 매출채권의 평균회수시간은? (단, 1년은 360일로 가정한다.)
매출액            ￦3,000,000
기초매출채권        150,000
기말매출채권        100,000
① 10일
② 15일
③ 18일
④ 20일
⑤ 24일</v>
      </c>
      <c r="F61" s="31">
        <f>IFERROR(VLOOKUP(C61,기출문제!D:G,4,0),"")</f>
        <v>2</v>
      </c>
      <c r="G61" s="32" t="str">
        <f t="shared" si="0"/>
        <v/>
      </c>
    </row>
    <row r="62" spans="2:7" ht="114" x14ac:dyDescent="0.3">
      <c r="B62" s="13">
        <v>55</v>
      </c>
      <c r="C62" s="14" t="s">
        <v>894</v>
      </c>
      <c r="D62" s="13"/>
      <c r="E62" s="15" t="str">
        <f>IFERROR(VLOOKUP(C62,기출문제!D:G,3,0),"")</f>
        <v>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v>
      </c>
      <c r="F62" s="31">
        <f>IFERROR(VLOOKUP(C62,기출문제!D:G,4,0),"")</f>
        <v>4</v>
      </c>
      <c r="G62" s="32" t="str">
        <f t="shared" si="0"/>
        <v/>
      </c>
    </row>
    <row r="63" spans="2:7" ht="142.5" x14ac:dyDescent="0.3">
      <c r="B63" s="13">
        <v>56</v>
      </c>
      <c r="C63" s="14" t="s">
        <v>895</v>
      </c>
      <c r="D63" s="13"/>
      <c r="E63" s="15" t="str">
        <f>IFERROR(VLOOKUP(C63,기출문제!D:G,3,0),"")</f>
        <v>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v>
      </c>
      <c r="F63" s="31">
        <f>IFERROR(VLOOKUP(C63,기출문제!D:G,4,0),"")</f>
        <v>2</v>
      </c>
      <c r="G63" s="32" t="str">
        <f t="shared" si="0"/>
        <v/>
      </c>
    </row>
    <row r="64" spans="2:7" ht="85.5" x14ac:dyDescent="0.3">
      <c r="B64" s="13">
        <v>57</v>
      </c>
      <c r="C64" s="14" t="s">
        <v>896</v>
      </c>
      <c r="D64" s="13"/>
      <c r="E64" s="15" t="str">
        <f>IFERROR(VLOOKUP(C64,기출문제!D:G,3,0),"")</f>
        <v>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v>
      </c>
      <c r="F64" s="31">
        <f>IFERROR(VLOOKUP(C64,기출문제!D:G,4,0),"")</f>
        <v>4</v>
      </c>
      <c r="G64" s="32" t="str">
        <f t="shared" si="0"/>
        <v/>
      </c>
    </row>
    <row r="65" spans="2:7" ht="99.75" x14ac:dyDescent="0.3">
      <c r="B65" s="13">
        <v>58</v>
      </c>
      <c r="C65" s="14" t="s">
        <v>897</v>
      </c>
      <c r="D65" s="13"/>
      <c r="E65" s="15" t="str">
        <f>IFERROR(VLOOKUP(C65,기출문제!D:G,3,0),"")</f>
        <v>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v>
      </c>
      <c r="F65" s="31">
        <f>IFERROR(VLOOKUP(C65,기출문제!D:G,4,0),"")</f>
        <v>1</v>
      </c>
      <c r="G65" s="32" t="str">
        <f t="shared" si="0"/>
        <v/>
      </c>
    </row>
    <row r="66" spans="2:7" ht="142.5" x14ac:dyDescent="0.3">
      <c r="B66" s="13">
        <v>59</v>
      </c>
      <c r="C66" s="14" t="s">
        <v>898</v>
      </c>
      <c r="D66" s="13"/>
      <c r="E66" s="15" t="str">
        <f>IFERROR(VLOOKUP(C66,기출문제!D:G,3,0),"")</f>
        <v>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v>
      </c>
      <c r="F66" s="31">
        <f>IFERROR(VLOOKUP(C66,기출문제!D:G,4,0),"")</f>
        <v>3</v>
      </c>
      <c r="G66" s="32" t="str">
        <f t="shared" si="0"/>
        <v/>
      </c>
    </row>
    <row r="67" spans="2:7" ht="128.25" x14ac:dyDescent="0.3">
      <c r="B67" s="13">
        <v>60</v>
      </c>
      <c r="C67" s="14" t="s">
        <v>899</v>
      </c>
      <c r="D67" s="13"/>
      <c r="E67" s="15" t="str">
        <f>IFERROR(VLOOKUP(C67,기출문제!D:G,3,0),"")</f>
        <v>120. 다음의 수요예측기법 중 시계열(tiem series) 예측기법에 해당하는 것을 모두 고른 것은?
ㄱ. 이동평균법
ㄴ. 지수평활기법
ㄷ. 델파이 기법
① ㄱ
② ㄴ
③ ㄱ, ㄴ
④ ㄴ, ㄷ
⑤ ㄱ, ㄴ, ㄷ</v>
      </c>
      <c r="F67" s="31">
        <f>IFERROR(VLOOKUP(C67,기출문제!D:G,4,0),"")</f>
        <v>3</v>
      </c>
      <c r="G67" s="32" t="str">
        <f t="shared" si="0"/>
        <v/>
      </c>
    </row>
    <row r="68" spans="2:7" ht="85.5" x14ac:dyDescent="0.3">
      <c r="B68" s="13">
        <v>61</v>
      </c>
      <c r="C68" s="14" t="s">
        <v>900</v>
      </c>
      <c r="D68" s="13"/>
      <c r="E68" s="15" t="str">
        <f>IFERROR(VLOOKUP(C68,기출문제!D:G,3,0),"")</f>
        <v>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v>
      </c>
      <c r="F68" s="31">
        <f>IFERROR(VLOOKUP(C68,기출문제!D:G,4,0),"")</f>
        <v>2</v>
      </c>
      <c r="G68" s="32" t="str">
        <f t="shared" si="0"/>
        <v/>
      </c>
    </row>
    <row r="69" spans="2:7" ht="142.5" x14ac:dyDescent="0.3">
      <c r="B69" s="13">
        <v>62</v>
      </c>
      <c r="C69" s="14" t="s">
        <v>901</v>
      </c>
      <c r="D69" s="13"/>
      <c r="E69" s="15" t="str">
        <f>IFERROR(VLOOKUP(C69,기출문제!D:G,3,0),"")</f>
        <v>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v>
      </c>
      <c r="F69" s="31">
        <f>IFERROR(VLOOKUP(C69,기출문제!D:G,4,0),"")</f>
        <v>3</v>
      </c>
      <c r="G69" s="32" t="str">
        <f t="shared" si="0"/>
        <v/>
      </c>
    </row>
    <row r="70" spans="2:7" ht="85.5" x14ac:dyDescent="0.3">
      <c r="B70" s="13">
        <v>63</v>
      </c>
      <c r="C70" s="14" t="s">
        <v>902</v>
      </c>
      <c r="D70" s="13"/>
      <c r="E70" s="15" t="str">
        <f>IFERROR(VLOOKUP(C70,기출문제!D:G,3,0),"")</f>
        <v>123. 현행 K - IFRS에 의한 재무제표에 해당하지 않는 것은?
① 재무상태변동표
② 포괄손익계산서
③ 자본변동표
④ 현금흐름표
⑤ 주석</v>
      </c>
      <c r="F70" s="31">
        <f>IFERROR(VLOOKUP(C70,기출문제!D:G,4,0),"")</f>
        <v>1</v>
      </c>
      <c r="G70" s="32" t="str">
        <f t="shared" si="0"/>
        <v/>
      </c>
    </row>
    <row r="71" spans="2:7" ht="85.5" x14ac:dyDescent="0.3">
      <c r="B71" s="13">
        <v>64</v>
      </c>
      <c r="C71" s="14" t="s">
        <v>903</v>
      </c>
      <c r="D71" s="13"/>
      <c r="E71" s="15" t="str">
        <f>IFERROR(VLOOKUP(C71,기출문제!D:G,3,0),"")</f>
        <v>124. 일반 사용자의 컴퓨터 시스템 접근을 차단한 후, 접근을 허용하는 조건으로 대가를 요구하는 악성코드는?
① 스니핑(sniffing)
② 랜섬웨어(ransomware)
③ 스팸웨어(spamware)
④ 피싱(phishing)
⑤ 파밍(pharming)</v>
      </c>
      <c r="F71" s="31">
        <f>IFERROR(VLOOKUP(C71,기출문제!D:G,4,0),"")</f>
        <v>2</v>
      </c>
      <c r="G71" s="32" t="str">
        <f t="shared" si="0"/>
        <v/>
      </c>
    </row>
    <row r="72" spans="2:7" ht="114" x14ac:dyDescent="0.3">
      <c r="B72" s="13">
        <v>65</v>
      </c>
      <c r="C72" s="14" t="s">
        <v>904</v>
      </c>
      <c r="D72" s="13"/>
      <c r="E72" s="15" t="str">
        <f>IFERROR(VLOOKUP(C72,기출문제!D:G,3,0),"")</f>
        <v>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v>
      </c>
      <c r="F72" s="31">
        <f>IFERROR(VLOOKUP(C72,기출문제!D:G,4,0),"")</f>
        <v>3</v>
      </c>
      <c r="G72" s="32" t="str">
        <f t="shared" si="0"/>
        <v/>
      </c>
    </row>
    <row r="73" spans="2:7" ht="85.5" x14ac:dyDescent="0.3">
      <c r="B73" s="13">
        <v>66</v>
      </c>
      <c r="C73" s="14" t="s">
        <v>611</v>
      </c>
      <c r="D73" s="13"/>
      <c r="E73" s="15" t="str">
        <f>IFERROR(VLOOKUP(C73,기출문제!D:G,3,0),"")</f>
        <v>101. 프랜차이즈(franchise)에 관한 설명으로 옳지 않은 것은?
① 가맹점은 운영측면에서 개인점포에 비해 자율성이 높다.
② 가맹본부의 사업확장이 용이하다.
③ 가맹점은 인지도가 있는 브랜드와 상품으로 사업을 시작할 수 있다.
④ 가맹점은 가맹본부로부터 경영지도와 지원을 받을 수 있다.
⑤ 가맹점은 프랜차이즈 비용이 부담이 될 수 있다.</v>
      </c>
      <c r="F73" s="31">
        <f>IFERROR(VLOOKUP(C73,기출문제!D:G,4,0),"")</f>
        <v>1</v>
      </c>
      <c r="G73" s="32" t="str">
        <f t="shared" ref="G73:G136" si="1">IF(D73="","",IF(D73=F73,"O", "X"))</f>
        <v/>
      </c>
    </row>
    <row r="74" spans="2:7" ht="85.5" x14ac:dyDescent="0.3">
      <c r="B74" s="13">
        <v>67</v>
      </c>
      <c r="C74" s="14" t="s">
        <v>905</v>
      </c>
      <c r="D74" s="13"/>
      <c r="E74" s="15" t="str">
        <f>IFERROR(VLOOKUP(C74,기출문제!D:G,3,0),"")</f>
        <v>102. 앤소프(H. I. Ansoff)의 제품- 시장 확장전략 중 기존 제품으로 기존 시장의 점유율을 확대해 가는 전략은?
① 원가우위 전략 
② 시장침투 전략 
③ 시장개발 전략
④ 제품개발 전략 
⑤ 다각화 전략</v>
      </c>
      <c r="F74" s="31">
        <f>IFERROR(VLOOKUP(C74,기출문제!D:G,4,0),"")</f>
        <v>2</v>
      </c>
      <c r="G74" s="32" t="str">
        <f t="shared" si="1"/>
        <v/>
      </c>
    </row>
    <row r="75" spans="2:7" ht="85.5" x14ac:dyDescent="0.3">
      <c r="B75" s="13">
        <v>68</v>
      </c>
      <c r="C75" s="14" t="s">
        <v>906</v>
      </c>
      <c r="D75" s="13"/>
      <c r="E75" s="15" t="str">
        <f>IFERROR(VLOOKUP(C75,기출문제!D:G,3,0),"")</f>
        <v>103. 포터(M. Porter)의 산업구조분석 모형에서, 소비자 관점의 사용용도가 유사한 다른 제품을 고려하는 경쟁분석의 요소는?
① 산업내 기존 경쟁업체간 경쟁 
② 잠재적 경쟁자의 진입 가능성
③ 대체재의 위협 
④ 공급자의 교섭력
⑤ 구매자의 교섭력</v>
      </c>
      <c r="F75" s="31">
        <f>IFERROR(VLOOKUP(C75,기출문제!D:G,4,0),"")</f>
        <v>3</v>
      </c>
      <c r="G75" s="32" t="str">
        <f t="shared" si="1"/>
        <v/>
      </c>
    </row>
    <row r="76" spans="2:7" ht="85.5" x14ac:dyDescent="0.3">
      <c r="B76" s="13">
        <v>69</v>
      </c>
      <c r="C76" s="14" t="s">
        <v>907</v>
      </c>
      <c r="D76" s="13"/>
      <c r="E76" s="15" t="str">
        <f>IFERROR(VLOOKUP(C76,기출문제!D:G,3,0),"")</f>
        <v>104. 직무스트레스에 관한 설명으로 옳지 않은 것은?
① 직무스트레스의 잠재적 원인으로는 환경요인, 조직적 요인, 개인적 요인이 존재한다.
② 직무스트레스 원인과 경험된 스트레스 간에 조정변수가 존재한다.
③ 사회적 지지는 직무스트레스의 조정변수이다.
④ 직무스트레스 결과로는 생리적 증상, 심리적 증상, 행동적 증상이 있다.
⑤ 직무스트레스와 직무성과간의 관계는 U자형으로 나타난다.</v>
      </c>
      <c r="F76" s="31">
        <f>IFERROR(VLOOKUP(C76,기출문제!D:G,4,0),"")</f>
        <v>5</v>
      </c>
      <c r="G76" s="32" t="str">
        <f t="shared" si="1"/>
        <v/>
      </c>
    </row>
    <row r="77" spans="2:7" ht="85.5" x14ac:dyDescent="0.3">
      <c r="B77" s="13">
        <v>70</v>
      </c>
      <c r="C77" s="14" t="s">
        <v>908</v>
      </c>
      <c r="D77" s="13"/>
      <c r="E77" s="15" t="str">
        <f>IFERROR(VLOOKUP(C77,기출문제!D:G,3,0),"")</f>
        <v>105. 메이요(E. Mayo)의 호손실험 중 배선작업 실험에 관한 설명으로 옳지 않은 것은?
① 작업자를 둘러싸고 있는 사회적 요인들이 작업능률에 미치는 영향을 파악하였다.
② 생산현장에서 비공식조직을 확인하였다.
③ 비공식조직이 작업능률에 영향을 미치는 것을 발견하였다.
④ 관찰연구를 통해 진행되었다.
⑤ 경제적 욕구의 중요성을 재확인하였다.</v>
      </c>
      <c r="F77" s="31">
        <f>IFERROR(VLOOKUP(C77,기출문제!D:G,4,0),"")</f>
        <v>5</v>
      </c>
      <c r="G77" s="32" t="str">
        <f t="shared" si="1"/>
        <v/>
      </c>
    </row>
    <row r="78" spans="2:7" ht="156.75" x14ac:dyDescent="0.3">
      <c r="B78" s="13">
        <v>71</v>
      </c>
      <c r="C78" s="14" t="s">
        <v>909</v>
      </c>
      <c r="D78" s="13"/>
      <c r="E78" s="15" t="str">
        <f>IFERROR(VLOOKUP(C78,기출문제!D:G,3,0),"")</f>
        <v>106. 조직설계의 상황변수에 해당하는 것을 모두 고른 것은?
ㄱ. 복잡성
ㄴ. 전략
ㄷ. 공식화
ㄹ. 기술
ㅁ. 규모
① ㄱ, ㄴ, ㄷ 
② ㄱ, ㄴ, ㄹ 
③ ㄱ, ㄷ, ㅁ 
④ ㄴ, ㄹ, ㅁ 
⑤ ㄷ, ㄹ, ㅁ</v>
      </c>
      <c r="F78" s="31">
        <f>IFERROR(VLOOKUP(C78,기출문제!D:G,4,0),"")</f>
        <v>4</v>
      </c>
      <c r="G78" s="32" t="str">
        <f t="shared" si="1"/>
        <v/>
      </c>
    </row>
    <row r="79" spans="2:7" ht="142.5" x14ac:dyDescent="0.3">
      <c r="B79" s="13">
        <v>72</v>
      </c>
      <c r="C79" s="14" t="s">
        <v>910</v>
      </c>
      <c r="D79" s="13"/>
      <c r="E79" s="15" t="str">
        <f>IFERROR(VLOOKUP(C79,기출문제!D:G,3,0),"")</f>
        <v>107. 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
① ㄱ, ㄴ 
② ㄱ, ㄷ 
③ ㄴ, ㄷ 
④ ㄴ, ㄹ 
⑤ ㄷ, ㄹ</v>
      </c>
      <c r="F79" s="31">
        <f>IFERROR(VLOOKUP(C79,기출문제!D:G,4,0),"")</f>
        <v>4</v>
      </c>
      <c r="G79" s="32" t="str">
        <f t="shared" si="1"/>
        <v/>
      </c>
    </row>
    <row r="80" spans="2:7" ht="128.25" x14ac:dyDescent="0.3">
      <c r="B80" s="13">
        <v>73</v>
      </c>
      <c r="C80" s="14" t="s">
        <v>911</v>
      </c>
      <c r="D80" s="13"/>
      <c r="E80" s="15" t="str">
        <f>IFERROR(VLOOKUP(C80,기출문제!D:G,3,0),"")</f>
        <v>108. 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
① 자원의존 이론 
② 제도화 이론 
③ 학습조직 이론
④ 조직군 생태학 이론 
⑤ 거래비용 이론</v>
      </c>
      <c r="F80" s="31">
        <f>IFERROR(VLOOKUP(C80,기출문제!D:G,4,0),"")</f>
        <v>4</v>
      </c>
      <c r="G80" s="32" t="str">
        <f t="shared" si="1"/>
        <v/>
      </c>
    </row>
    <row r="81" spans="2:7" ht="85.5" x14ac:dyDescent="0.3">
      <c r="B81" s="13">
        <v>74</v>
      </c>
      <c r="C81" s="14" t="s">
        <v>912</v>
      </c>
      <c r="D81" s="13"/>
      <c r="E81" s="15" t="str">
        <f>IFERROR(VLOOKUP(C81,기출문제!D:G,3,0),"")</f>
        <v>109. 직무분석에 관한 설명으로 옳은 것은?
① 직무의 내용을 체계적으로 정리하여 직무명세서를 작성한다.
② 직무수행자에게 요구되는 자격요건을 정리하여 직무기술서를 작성한다.
③ 직무분석과 인력확보를 연계하는 것은 타당하지 않다.
④ 직무분석은 작업장의 안전사고 예방에 도움이 된다.
⑤ 직무분석은 직무평가 결과를 토대로 실시한다.</v>
      </c>
      <c r="F81" s="31">
        <f>IFERROR(VLOOKUP(C81,기출문제!D:G,4,0),"")</f>
        <v>4</v>
      </c>
      <c r="G81" s="32" t="str">
        <f t="shared" si="1"/>
        <v/>
      </c>
    </row>
    <row r="82" spans="2:7" ht="85.5" x14ac:dyDescent="0.3">
      <c r="B82" s="13">
        <v>75</v>
      </c>
      <c r="C82" s="14" t="s">
        <v>913</v>
      </c>
      <c r="D82" s="13"/>
      <c r="E82" s="15" t="str">
        <f>IFERROR(VLOOKUP(C82,기출문제!D:G,3,0),"")</f>
        <v>110. 스캔론 플랜(Scanlon Plan)에 관한 설명으로 옳지 않은 것은?
① 기업이 창출한 부가가치를 기준으로 성과급을 산정한다.
② 집단성과급제도이다.
③ 생산제품의 판매가치와 인건비의 관계에서 배분액을 결정한다.
④ 실제인건비가 표준인건비보다 적을 때 그 차액을 보너스로 배분한다.
⑤ 산출된 보너스액 중 일정액을 적립한 후 종업원분과 회사분으로 배분한다.</v>
      </c>
      <c r="F82" s="31">
        <f>IFERROR(VLOOKUP(C82,기출문제!D:G,4,0),"")</f>
        <v>1</v>
      </c>
      <c r="G82" s="32" t="str">
        <f t="shared" si="1"/>
        <v/>
      </c>
    </row>
    <row r="83" spans="2:7" ht="85.5" x14ac:dyDescent="0.3">
      <c r="B83" s="13">
        <v>76</v>
      </c>
      <c r="C83" s="14" t="s">
        <v>914</v>
      </c>
      <c r="D83" s="13"/>
      <c r="E83" s="15" t="str">
        <f>IFERROR(VLOOKUP(C83,기출문제!D:G,3,0),"")</f>
        <v>111. 기존 브랜드명을 새로운 제품범주의 신제품에 사용하는 것은?
① 공동 브랜딩(co - branding) 
② 복수 브랜딩(multi - branding)
③ 신규 브랜드(new brand) 
④ 라인 확장(line extension)
⑤ 브랜드 확장(brand extension)</v>
      </c>
      <c r="F83" s="31">
        <f>IFERROR(VLOOKUP(C83,기출문제!D:G,4,0),"")</f>
        <v>5</v>
      </c>
      <c r="G83" s="32" t="str">
        <f t="shared" si="1"/>
        <v/>
      </c>
    </row>
    <row r="84" spans="2:7" ht="85.5" x14ac:dyDescent="0.3">
      <c r="B84" s="13">
        <v>77</v>
      </c>
      <c r="C84" s="14" t="s">
        <v>915</v>
      </c>
      <c r="D84" s="13"/>
      <c r="E84" s="15" t="str">
        <f>IFERROR(VLOOKUP(C84,기출문제!D:G,3,0),"")</f>
        <v>112. 제품의 기본가격을 조정하여 세분시장별로 가격을 달리하는 가격결정이 아닌 것은?
① 고객집단 가격결정 
② 묶음제품 가격결정 
③ 제품형태 가격결정
④ 입지 가격결정 
⑤ 시간 가격결정</v>
      </c>
      <c r="F84" s="31">
        <f>IFERROR(VLOOKUP(C84,기출문제!D:G,4,0),"")</f>
        <v>2</v>
      </c>
      <c r="G84" s="32" t="str">
        <f t="shared" si="1"/>
        <v/>
      </c>
    </row>
    <row r="85" spans="2:7" ht="85.5" x14ac:dyDescent="0.3">
      <c r="B85" s="13">
        <v>78</v>
      </c>
      <c r="C85" s="14" t="s">
        <v>916</v>
      </c>
      <c r="D85" s="13"/>
      <c r="E85" s="15" t="str">
        <f>IFERROR(VLOOKUP(C85,기출문제!D:G,3,0),"")</f>
        <v>113. 새로운 마케팅 기회를 확보하기 위해 동일한 유통경로 단계에 있는 둘 이상의 기업이 제휴하는 시스템은?
① 혁신 마케팅시스템 
② 수평적 마케팅시스템
③ 계약형 수직적 마케팅시스템 
④ 관리형 수직적 마케팅시스템
⑤ 기업형 수직적 마케팅시스템</v>
      </c>
      <c r="F85" s="31">
        <f>IFERROR(VLOOKUP(C85,기출문제!D:G,4,0),"")</f>
        <v>2</v>
      </c>
      <c r="G85" s="32" t="str">
        <f t="shared" si="1"/>
        <v/>
      </c>
    </row>
    <row r="86" spans="2:7" ht="142.5" x14ac:dyDescent="0.3">
      <c r="B86" s="13">
        <v>79</v>
      </c>
      <c r="C86" s="14" t="s">
        <v>917</v>
      </c>
      <c r="D86" s="13"/>
      <c r="E86" s="15" t="str">
        <f>IFERROR(VLOOKUP(C86,기출문제!D:G,3,0),"")</f>
        <v>114. 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
① ㄱ, ㄴ 
② ㄱ, ㄷ 
③ ㄱ, ㄹ 
④ ㄴ, ㄷ 
⑤ ㄷ, ㄹ</v>
      </c>
      <c r="F86" s="31">
        <f>IFERROR(VLOOKUP(C86,기출문제!D:G,4,0),"")</f>
        <v>2</v>
      </c>
      <c r="G86" s="32" t="str">
        <f t="shared" si="1"/>
        <v/>
      </c>
    </row>
    <row r="87" spans="2:7" ht="85.5" x14ac:dyDescent="0.3">
      <c r="B87" s="13">
        <v>80</v>
      </c>
      <c r="C87" s="14" t="s">
        <v>918</v>
      </c>
      <c r="D87" s="13"/>
      <c r="E87" s="15" t="str">
        <f>IFERROR(VLOOKUP(C87,기출문제!D:G,3,0),"")</f>
        <v>115. 재무상태표의 자산 항목에 해당하지 않는 것은?
① 미수금 
② 단기대여금 
③ 선급금 
④ 이익준비금 
⑤ 선급비용</v>
      </c>
      <c r="F87" s="31">
        <f>IFERROR(VLOOKUP(C87,기출문제!D:G,4,0),"")</f>
        <v>4</v>
      </c>
      <c r="G87" s="32" t="str">
        <f t="shared" si="1"/>
        <v/>
      </c>
    </row>
    <row r="88" spans="2:7" ht="85.5" x14ac:dyDescent="0.3">
      <c r="B88" s="13">
        <v>81</v>
      </c>
      <c r="C88" s="14" t="s">
        <v>919</v>
      </c>
      <c r="D88" s="13"/>
      <c r="E88" s="15" t="str">
        <f>IFERROR(VLOOKUP(C88,기출문제!D:G,3,0),"")</f>
        <v>116. 투자안의 경제성 평가 방법에 관한 설명으로 옳은 것은?
① 회계적이익률법의 회계적이익률은 연평균 영업이익을 연평균 매출액으로 나누어 산출한다.
② 회수기간법은 회수기간 이후의 현금흐름을 고려한다.
③ 순현재가치법은 재투자수익률을 내부수익률로 가정한다.
④ 내부수익률법에서 개별투자안의 경우 내부수익률이 0보다 크면 경제성이 있다.
⑤ 수익성지수법에서 개별투자안의 경우 수익성 지수가 1보다 크면 경제성이 있다.</v>
      </c>
      <c r="F88" s="31">
        <f>IFERROR(VLOOKUP(C88,기출문제!D:G,4,0),"")</f>
        <v>5</v>
      </c>
      <c r="G88" s="32" t="str">
        <f t="shared" si="1"/>
        <v/>
      </c>
    </row>
    <row r="89" spans="2:7" ht="99.75" x14ac:dyDescent="0.3">
      <c r="B89" s="13">
        <v>82</v>
      </c>
      <c r="C89" s="14" t="s">
        <v>920</v>
      </c>
      <c r="D89" s="13"/>
      <c r="E89" s="15" t="str">
        <f>IFERROR(VLOOKUP(C89,기출문제!D:G,3,0),"")</f>
        <v>117. A주식에 대한 분산은 0.06이고, B주식에 대한 분산은 0.08이다. A주식의 수익률과 B주식의 수익률간의 상관계수가 0인 경우, 총 투자자금 중 A주식과 B주식에 절반씩 투자한 포트폴리오의 분산은?
① 0.025 
② 0.035 
③ 0.045 
④ 0.055 
⑤ 0.065</v>
      </c>
      <c r="F89" s="31">
        <f>IFERROR(VLOOKUP(C89,기출문제!D:G,4,0),"")</f>
        <v>2</v>
      </c>
      <c r="G89" s="32" t="str">
        <f t="shared" si="1"/>
        <v/>
      </c>
    </row>
    <row r="90" spans="2:7" ht="85.5" x14ac:dyDescent="0.3">
      <c r="B90" s="13">
        <v>83</v>
      </c>
      <c r="C90" s="14" t="s">
        <v>921</v>
      </c>
      <c r="D90" s="13"/>
      <c r="E90" s="15" t="str">
        <f>IFERROR(VLOOKUP(C90,기출문제!D:G,3,0),"")</f>
        <v>118. 경제적 주문량(EOQ)에 관한 설명으로 옳지 않은 것은?
① 연간 재고유지비용과 연간 주문비용의 합이 최소화되는 주문량을 결정하는 것이다.
② 연간 재고유지비용과 연간 주문비용이 같아지는 지점에서 결정된다.
③ 연간 주문비용이 감소하면 경제적 주문량이 감소한다.
④ 연간 재고유지비용이 감소하면 경제적 주문량이 감소한다.
⑤ 연간 수요량이 증가하면 경제적 주문량이 증가한다.</v>
      </c>
      <c r="F90" s="31">
        <f>IFERROR(VLOOKUP(C90,기출문제!D:G,4,0),"")</f>
        <v>4</v>
      </c>
      <c r="G90" s="32" t="str">
        <f t="shared" si="1"/>
        <v/>
      </c>
    </row>
    <row r="91" spans="2:7" ht="85.5" x14ac:dyDescent="0.3">
      <c r="B91" s="13">
        <v>84</v>
      </c>
      <c r="C91" s="14" t="s">
        <v>922</v>
      </c>
      <c r="D91" s="13"/>
      <c r="E91" s="15" t="str">
        <f>IFERROR(VLOOKUP(C91,기출문제!D:G,3,0),"")</f>
        <v>119. 생산 프로세스에서 낭비를 제거하여 부가가치를 극대화하기 위한 것은?
① 린(lean) 생산 
② 자재소요계획(MRP)
③ 장인생산(craft production) 
④ 대량고객화(mass customization)
⑤ 오프쇼오링(off - shoring)</v>
      </c>
      <c r="F91" s="31">
        <f>IFERROR(VLOOKUP(C91,기출문제!D:G,4,0),"")</f>
        <v>1</v>
      </c>
      <c r="G91" s="32" t="str">
        <f t="shared" si="1"/>
        <v/>
      </c>
    </row>
    <row r="92" spans="2:7" ht="156.75" x14ac:dyDescent="0.3">
      <c r="B92" s="13">
        <v>85</v>
      </c>
      <c r="C92" s="14" t="s">
        <v>923</v>
      </c>
      <c r="D92" s="13"/>
      <c r="E92" s="15" t="str">
        <f>IFERROR(VLOOKUP(C92,기출문제!D:G,3,0),"")</f>
        <v>120. (주)한국의 4개월간 제품 실제 수요량과 예측치가 다음과 같다고 할 때, 평균절대오차(MAD)는?
월(t) 실제 수요량(  ) 예측치(  )
1월   200개             225개
2월   240개             220개
3월   300개             285개
4월   270개             290개
① 2.5 
② 10 
③ 20 
④ 412.5 
⑤ 1650</v>
      </c>
      <c r="F92" s="31">
        <f>IFERROR(VLOOKUP(C92,기출문제!D:G,4,0),"")</f>
        <v>3</v>
      </c>
      <c r="G92" s="32" t="str">
        <f t="shared" si="1"/>
        <v/>
      </c>
    </row>
    <row r="93" spans="2:7" ht="85.5" x14ac:dyDescent="0.3">
      <c r="B93" s="13">
        <v>86</v>
      </c>
      <c r="C93" s="14" t="s">
        <v>924</v>
      </c>
      <c r="D93" s="13"/>
      <c r="E93" s="15" t="str">
        <f>IFERROR(VLOOKUP(C93,기출문제!D:G,3,0),"")</f>
        <v>121. 서비스 품질평가에 사용되는 SERVQUAL 모형의 서비스 차원이 아닌 것은?
① 유형성(tangibles) 
② 신뢰성(reliability) 
③ 반응성(responsiveness)
④ 공감성(empathy) 
⑤ 소멸성(perishability)</v>
      </c>
      <c r="F93" s="31">
        <f>IFERROR(VLOOKUP(C93,기출문제!D:G,4,0),"")</f>
        <v>5</v>
      </c>
      <c r="G93" s="32" t="str">
        <f t="shared" si="1"/>
        <v/>
      </c>
    </row>
    <row r="94" spans="2:7" ht="142.5" x14ac:dyDescent="0.3">
      <c r="B94" s="13">
        <v>87</v>
      </c>
      <c r="C94" s="14" t="s">
        <v>925</v>
      </c>
      <c r="D94" s="13"/>
      <c r="E94" s="15" t="str">
        <f>IFERROR(VLOOKUP(C94,기출문제!D:G,3,0),"")</f>
        <v>122. 다음의 주어진 자료를 이용하여 산출한 기말자본액은?
&lt;자료&gt;
기초자산 : 380,000원, 기초부채 : 180,000원
당기 중 유상증자 : 80,000원, 당기 중 현금배당 : 40,000원
당기순이익 : 100,000원
① 260,000원 
② 300,000원 
③ 340,000원 
④ 380,000원 
⑤ 420,000원</v>
      </c>
      <c r="F94" s="31">
        <f>IFERROR(VLOOKUP(C94,기출문제!D:G,4,0),"")</f>
        <v>3</v>
      </c>
      <c r="G94" s="32" t="str">
        <f t="shared" si="1"/>
        <v/>
      </c>
    </row>
    <row r="95" spans="2:7" ht="85.5" x14ac:dyDescent="0.3">
      <c r="B95" s="13">
        <v>88</v>
      </c>
      <c r="C95" s="14" t="s">
        <v>926</v>
      </c>
      <c r="D95" s="13"/>
      <c r="E95" s="15" t="str">
        <f>IFERROR(VLOOKUP(C95,기출문제!D:G,3,0),"")</f>
        <v>123. 회계거래 분개에 관한 설명으로 옳은 것은?
① 매입채무의 증가는 차변에 기록한다. 
② 장기대여금의 증가는 대변에 기록한다.
③ 자본금의 감소는 차변에 기록한다. 
④ 임대료 수익의 발생은 차변에 기록한다.
⑤ 급여의 지급은 대변에 기록한다.</v>
      </c>
      <c r="F95" s="31">
        <f>IFERROR(VLOOKUP(C95,기출문제!D:G,4,0),"")</f>
        <v>3</v>
      </c>
      <c r="G95" s="32" t="str">
        <f t="shared" si="1"/>
        <v/>
      </c>
    </row>
    <row r="96" spans="2:7" ht="85.5" x14ac:dyDescent="0.3">
      <c r="B96" s="13">
        <v>89</v>
      </c>
      <c r="C96" s="14" t="s">
        <v>927</v>
      </c>
      <c r="D96" s="13"/>
      <c r="E96" s="15" t="str">
        <f>IFERROR(VLOOKUP(C96,기출문제!D:G,3,0),"")</f>
        <v>124. 컴퓨터, 저장장치, 애플리케이션, 서비스 등과 같은 컴퓨팅 자원의 공유된 풀(pool)을 인터넷으로 접근할 수 있게 해주는 것은?
① 클라이언트/서버 컴퓨팅(client/server computing)
② 엔터프라이즈 컴퓨팅(enterprise computing)
③ 온프레미스 컴퓨팅(on - premise computing)
④ 그린 컴퓨팅(green computing)
⑤ 클라우드 컴퓨팅(cloud computing)</v>
      </c>
      <c r="F96" s="31">
        <f>IFERROR(VLOOKUP(C96,기출문제!D:G,4,0),"")</f>
        <v>5</v>
      </c>
      <c r="G96" s="32" t="str">
        <f t="shared" si="1"/>
        <v/>
      </c>
    </row>
    <row r="97" spans="2:7" ht="85.5" x14ac:dyDescent="0.3">
      <c r="B97" s="13">
        <v>90</v>
      </c>
      <c r="C97" s="14" t="s">
        <v>928</v>
      </c>
      <c r="D97" s="13"/>
      <c r="E97" s="15" t="str">
        <f>IFERROR(VLOOKUP(C97,기출문제!D:G,3,0),"")</f>
        <v>125. 특정기업의 이메일로 위장한 메일을 불특정 다수에게 발송하여 권한 없이 데이터를 획득하는 방식은?
① 파밍(pharming)
② 스니핑(sniffing)
③ 피싱(phishing)
④ 서비스 거부 공격(denial - of - service attack)
⑤ 웜(worm)</v>
      </c>
      <c r="F97" s="31">
        <f>IFERROR(VLOOKUP(C97,기출문제!D:G,4,0),"")</f>
        <v>3</v>
      </c>
      <c r="G97" s="32" t="str">
        <f t="shared" si="1"/>
        <v/>
      </c>
    </row>
    <row r="98" spans="2:7" ht="85.5" x14ac:dyDescent="0.3">
      <c r="B98" s="13">
        <v>91</v>
      </c>
      <c r="C98" s="14" t="s">
        <v>50</v>
      </c>
      <c r="D98" s="13"/>
      <c r="E98" s="15" t="str">
        <f>IFERROR(VLOOKUP(C98,기출문제!D:G,3,0),"")</f>
        <v>101. 페이욜(H. Fayol)의 일반적 관리원칙에 해당하지 않는 것은?
① 지휘의 통일성
② 직무의 분업화
③ 보상의 공정성
④ 조직의 분권화
⑤ 권한과 책임의 일치</v>
      </c>
      <c r="F98" s="31">
        <f>IFERROR(VLOOKUP(C98,기출문제!D:G,4,0),"")</f>
        <v>4</v>
      </c>
      <c r="G98" s="32" t="str">
        <f t="shared" si="1"/>
        <v/>
      </c>
    </row>
    <row r="99" spans="2:7" ht="128.25" x14ac:dyDescent="0.3">
      <c r="B99" s="13">
        <v>92</v>
      </c>
      <c r="C99" s="14" t="s">
        <v>929</v>
      </c>
      <c r="D99" s="13"/>
      <c r="E99" s="15" t="str">
        <f>IFERROR(VLOOKUP(C99,기출문제!D:G,3,0),"")</f>
        <v>102. 다음의 특성에 해당되는 기업집중 형태는?
○ 주식 소유, 금융적 방법 등에 의한 결합
○ 외형상으로 독립성이 유지되지만 실질적으로는 종속관계
○ 모회사와 자회사 형태로 존재
① 카르텔(cartel)
② 콤비나트(combinat)
③ 트러스트(trust)
④ 콘체른(concern)
⑤ 디베스티처(divestiture)</v>
      </c>
      <c r="F99" s="31">
        <f>IFERROR(VLOOKUP(C99,기출문제!D:G,4,0),"")</f>
        <v>4</v>
      </c>
      <c r="G99" s="32" t="str">
        <f t="shared" si="1"/>
        <v/>
      </c>
    </row>
    <row r="100" spans="2:7" ht="85.5" x14ac:dyDescent="0.3">
      <c r="B100" s="13">
        <v>93</v>
      </c>
      <c r="C100" s="14" t="s">
        <v>930</v>
      </c>
      <c r="D100" s="13"/>
      <c r="E100" s="15" t="str">
        <f>IFERROR(VLOOKUP(C100,기출문제!D:G,3,0),"")</f>
        <v>103. 캐롤(B. A. Carrol)의 피라미드 모형에서 제시된 기업의 사회적 책임의 단계로 옳은 것은?
① 경제적 책임 → 법적 책임 → 윤리적 책임 → 자선적 책임
② 경제적 책임 → 윤리적 책임 → 법적 책임 → 자선적 책임
③ 경제적 책임 → 자선적 책임 → 윤리적 책임 → 법적 책임
④ 경제적 책임 → 법적 책임 → 자선적 책임 → 윤리적 책임
⑤ 경제적 책임 → 윤리적 책임 → 자선적 책임 → 법적 책임</v>
      </c>
      <c r="F100" s="31">
        <f>IFERROR(VLOOKUP(C100,기출문제!D:G,4,0),"")</f>
        <v>1</v>
      </c>
      <c r="G100" s="32" t="str">
        <f t="shared" si="1"/>
        <v/>
      </c>
    </row>
    <row r="101" spans="2:7" ht="85.5" x14ac:dyDescent="0.3">
      <c r="B101" s="13">
        <v>94</v>
      </c>
      <c r="C101" s="14" t="s">
        <v>931</v>
      </c>
      <c r="D101" s="13"/>
      <c r="E101" s="15" t="str">
        <f>IFERROR(VLOOKUP(C101,기출문제!D:G,3,0),"")</f>
        <v>104. GE/ 맥킨지 매트릭스(GE/McKinsey matrix)에서 전략적 사업부를 분류하기 위한 두 기준은? 
① 산업매력도 - 사업단위 위치(경쟁력)
② 시장성장률 - 시장점유율
③ 산업매력도 - 시장성장률
④ 사업단위 위치(경쟁력) - 시장점유율
⑤ 시장점유율 - 가격경쟁력</v>
      </c>
      <c r="F101" s="31">
        <f>IFERROR(VLOOKUP(C101,기출문제!D:G,4,0),"")</f>
        <v>1</v>
      </c>
      <c r="G101" s="32" t="str">
        <f t="shared" si="1"/>
        <v/>
      </c>
    </row>
    <row r="102" spans="2:7" ht="85.5" x14ac:dyDescent="0.3">
      <c r="B102" s="13">
        <v>95</v>
      </c>
      <c r="C102" s="14" t="s">
        <v>932</v>
      </c>
      <c r="D102" s="13"/>
      <c r="E102" s="15" t="str">
        <f>IFERROR(VLOOKUP(C102,기출문제!D:G,3,0),"")</f>
        <v>105. 허츠버그(F. Herzberg)의 2요인이론에서 위생요인에 해당하는 것은? 
① 성취감
② 도전감
③ 임금
④ 성장가능성
⑤ 직무내용</v>
      </c>
      <c r="F102" s="31">
        <f>IFERROR(VLOOKUP(C102,기출문제!D:G,4,0),"")</f>
        <v>3</v>
      </c>
      <c r="G102" s="32" t="str">
        <f t="shared" si="1"/>
        <v/>
      </c>
    </row>
    <row r="103" spans="2:7" ht="85.5" x14ac:dyDescent="0.3">
      <c r="B103" s="13">
        <v>96</v>
      </c>
      <c r="C103" s="14" t="s">
        <v>933</v>
      </c>
      <c r="D103" s="13"/>
      <c r="E103" s="15" t="str">
        <f>IFERROR(VLOOKUP(C103,기출문제!D:G,3,0),"")</f>
        <v>106. 전통적 직무설계와 관련 없는 것은?
① 분업
② 과학적 관리
③ 전문화
④ 표준화
⑤ 직무순환</v>
      </c>
      <c r="F103" s="31">
        <f>IFERROR(VLOOKUP(C103,기출문제!D:G,4,0),"")</f>
        <v>5</v>
      </c>
      <c r="G103" s="32" t="str">
        <f t="shared" si="1"/>
        <v/>
      </c>
    </row>
    <row r="104" spans="2:7" ht="85.5" x14ac:dyDescent="0.3">
      <c r="B104" s="13">
        <v>97</v>
      </c>
      <c r="C104" s="14" t="s">
        <v>934</v>
      </c>
      <c r="D104" s="13"/>
      <c r="E104" s="15" t="str">
        <f>IFERROR(VLOOKUP(C104,기출문제!D:G,3,0),"")</f>
        <v>107. 인사평가의 분배적 오류에 해당하는 것은?
① 후광효과
② 상동적 태도
③ 관대화 경향
④ 대비오류
⑤ 확증편향</v>
      </c>
      <c r="F104" s="31">
        <f>IFERROR(VLOOKUP(C104,기출문제!D:G,4,0),"")</f>
        <v>3</v>
      </c>
      <c r="G104" s="32" t="str">
        <f t="shared" si="1"/>
        <v/>
      </c>
    </row>
    <row r="105" spans="2:7" ht="99.75" x14ac:dyDescent="0.3">
      <c r="B105" s="13">
        <v>98</v>
      </c>
      <c r="C105" s="14" t="s">
        <v>935</v>
      </c>
      <c r="D105" s="13"/>
      <c r="E105" s="15" t="str">
        <f>IFERROR(VLOOKUP(C105,기출문제!D:G,3,0),"")</f>
        <v>108. 교육참가자들이 소규모 집단을 구성하여 팀워크로 경영상의 실제 문제를 해결하도록 하여 문제해결과정에 대한 성찰을 통해 학습하게 하는 교육방식은?
① Team Learning
② Organizational Learning
③ Problem Based Learning
④ Blended Learning
⑤ Action Learning</v>
      </c>
      <c r="F105" s="31">
        <f>IFERROR(VLOOKUP(C105,기출문제!D:G,4,0),"")</f>
        <v>5</v>
      </c>
      <c r="G105" s="32" t="str">
        <f t="shared" si="1"/>
        <v/>
      </c>
    </row>
    <row r="106" spans="2:7" ht="85.5" x14ac:dyDescent="0.3">
      <c r="B106" s="13">
        <v>99</v>
      </c>
      <c r="C106" s="14" t="s">
        <v>936</v>
      </c>
      <c r="D106" s="13"/>
      <c r="E106" s="15" t="str">
        <f>IFERROR(VLOOKUP(C106,기출문제!D:G,3,0),"")</f>
        <v>109. 마키아벨리즘(Machiavellism)에 관한 설명으로 옳지 않은 것은?
① 마키아벨리즘은 자신의 이익을 위해 타인을 이용하고 조작하려는 성향이다.
② 마키아벨리즘이 높은 사람은 감정적 거리를 잘 유지한다.
③ 마키아벨리즘이 높은 사람은 남을 잘 설득하며 자신도 잘 설득된다.
④ 마키아벨리즘이 높은 사람은 최소한의 규정과 재량권이 있을 때 높은 성과를 보이는 경향이 있다.
⑤ 마키아벨리즘이 높은 사람은 목적이 수단을 정당화시킬 수 있다고 믿는 경향이 있다.</v>
      </c>
      <c r="F106" s="31">
        <f>IFERROR(VLOOKUP(C106,기출문제!D:G,4,0),"")</f>
        <v>3</v>
      </c>
      <c r="G106" s="32" t="str">
        <f t="shared" si="1"/>
        <v/>
      </c>
    </row>
    <row r="107" spans="2:7" ht="156.75" x14ac:dyDescent="0.3">
      <c r="B107" s="13">
        <v>100</v>
      </c>
      <c r="C107" s="14" t="s">
        <v>937</v>
      </c>
      <c r="D107" s="13"/>
      <c r="E107" s="15" t="str">
        <f>IFERROR(VLOOKUP(C107,기출문제!D:G,3,0),"")</f>
        <v>110. 조직으로부터 나오는 권력을 모두 고른 것은?
ㄱ. 보상적 권력
ㄴ. 전문적 권력
ㄷ. 합법적 권력
ㄹ. 준거적 권력
ㅁ. 강제적 권력
① ㄱ, ㄴ, ㄷ
② ㄱ, ㄴ, ㄹ
③ ㄱ, ㄷ, ㅁ
④ ㄴ, ㄹ, ㅁ
⑤ ㄷ, ㄹ, ㅁ</v>
      </c>
      <c r="F107" s="31">
        <f>IFERROR(VLOOKUP(C107,기출문제!D:G,4,0),"")</f>
        <v>3</v>
      </c>
      <c r="G107" s="32" t="str">
        <f t="shared" si="1"/>
        <v/>
      </c>
    </row>
    <row r="108" spans="2:7" ht="85.5" x14ac:dyDescent="0.3">
      <c r="B108" s="13">
        <v>101</v>
      </c>
      <c r="C108" s="14" t="s">
        <v>938</v>
      </c>
      <c r="D108" s="13"/>
      <c r="E108" s="15" t="str">
        <f>IFERROR(VLOOKUP(C108,기출문제!D:G,3,0),"")</f>
        <v>111. 직무특성모형(Job Characteristics Model)의 핵심직무차원에 포함되지 않는 것은?
① 성장욕구 강도(Growth Need Strength)
② 과업정체성(Task Identity)
③ 과업중요성(Task Significance)
④ 자율성(Autonomy)
⑤ 피드백(Feedback)</v>
      </c>
      <c r="F108" s="31">
        <f>IFERROR(VLOOKUP(C108,기출문제!D:G,4,0),"")</f>
        <v>1</v>
      </c>
      <c r="G108" s="32" t="str">
        <f t="shared" si="1"/>
        <v/>
      </c>
    </row>
    <row r="109" spans="2:7" ht="128.25" x14ac:dyDescent="0.3">
      <c r="B109" s="13">
        <v>102</v>
      </c>
      <c r="C109" s="14" t="s">
        <v>939</v>
      </c>
      <c r="D109" s="13"/>
      <c r="E109" s="15" t="str">
        <f>IFERROR(VLOOKUP(C109,기출문제!D:G,3,0),"")</f>
        <v>112. 다음 설명에 해당하는 의사결정기법은?
○ 자유롭게 아이디어를 제시할 수 있다.
○ 타인이 제시한 아이디어에 대해 비판은 금지된다.
○ 아이디어의 질보다 양을 강조한다.
① 브레인스토밍(Brainstorming)
② 명목집단법(Nominal Group Technique)
③ 델파이법(Delphi Technique)
④ 지명반론자법(Devil's Advocacy)
⑤ 프리모텀법(Premortem)</v>
      </c>
      <c r="F109" s="31">
        <f>IFERROR(VLOOKUP(C109,기출문제!D:G,4,0),"")</f>
        <v>1</v>
      </c>
      <c r="G109" s="32" t="str">
        <f t="shared" si="1"/>
        <v/>
      </c>
    </row>
    <row r="110" spans="2:7" ht="85.5" x14ac:dyDescent="0.3">
      <c r="B110" s="13">
        <v>103</v>
      </c>
      <c r="C110" s="14" t="s">
        <v>940</v>
      </c>
      <c r="D110" s="13"/>
      <c r="E110" s="15" t="str">
        <f>IFERROR(VLOOKUP(C110,기출문제!D:G,3,0),"")</f>
        <v>113. 선매품(Shopping Goods)에 관한 설명으로 옳은 것은? 
① 소비자가 필요하다고 느낄 때 수시로 구매하는 경향을 보인다.
② 소비자는 가격, 품질, 스타일 등 다양한 정보를 수집하여 신중하게 비교하는 경향을 보인다.
③ 소비자는 잘 알지 못하거나 알고 있어도 능동적으로 구매하려 하지 않는다.
④ 일상생활에서 빈번히 구매하는 저관여 제품들이 많다.
⑤ 독특한 특징을 지니거나 브랜드 차별성을 지니는 제품들이 많다.</v>
      </c>
      <c r="F110" s="31">
        <f>IFERROR(VLOOKUP(C110,기출문제!D:G,4,0),"")</f>
        <v>2</v>
      </c>
      <c r="G110" s="32" t="str">
        <f t="shared" si="1"/>
        <v/>
      </c>
    </row>
    <row r="111" spans="2:7" ht="142.5" x14ac:dyDescent="0.3">
      <c r="B111" s="13">
        <v>104</v>
      </c>
      <c r="C111" s="14" t="s">
        <v>941</v>
      </c>
      <c r="D111" s="13"/>
      <c r="E111" s="15" t="str">
        <f>IFERROR(VLOOKUP(C111,기출문제!D:G,3,0),"")</f>
        <v>114. 브랜드(Brand) 요소를 모두 고른 것은?
ㄱ. 징글(Jingle)
ㄴ. 케릭터(Character)
ㄷ. 슬로건(Slogan)
ㄹ. 심볼(Symbol)
① ㄱ, ㄴ
② ㄷ, ㄹ
③ ㄱ, ㄴ, ㄷ
④ ㄴ, ㄷ, ㄹ
⑤ ㄱ, ㄴ, ㄷ, ㄹ</v>
      </c>
      <c r="F111" s="31">
        <f>IFERROR(VLOOKUP(C111,기출문제!D:G,4,0),"")</f>
        <v>5</v>
      </c>
      <c r="G111" s="32" t="str">
        <f t="shared" si="1"/>
        <v/>
      </c>
    </row>
    <row r="112" spans="2:7" ht="85.5" x14ac:dyDescent="0.3">
      <c r="B112" s="13">
        <v>105</v>
      </c>
      <c r="C112" s="14" t="s">
        <v>942</v>
      </c>
      <c r="D112" s="13"/>
      <c r="E112" s="15" t="str">
        <f>IFERROR(VLOOKUP(C112,기출문제!D:G,3,0),"")</f>
        <v>115. 서비스의 특성으로 옳지 않은 것은? 
① 무형성
② 비분리성
③ 반응성
④ 소멸성
⑤ 변동성(이질성)</v>
      </c>
      <c r="F112" s="31">
        <f>IFERROR(VLOOKUP(C112,기출문제!D:G,4,0),"")</f>
        <v>3</v>
      </c>
      <c r="G112" s="32" t="str">
        <f t="shared" si="1"/>
        <v/>
      </c>
    </row>
    <row r="113" spans="2:7" ht="156.75" x14ac:dyDescent="0.3">
      <c r="B113" s="13">
        <v>106</v>
      </c>
      <c r="C113" s="14" t="s">
        <v>943</v>
      </c>
      <c r="D113" s="13"/>
      <c r="E113" s="15" t="str">
        <f>IFERROR(VLOOKUP(C113,기출문제!D:G,3,0),"")</f>
        <v>116. 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
① A, B, C
② A, C, B
③ B, A, C
④ C, A, B
⑤ C, B, A</v>
      </c>
      <c r="F113" s="31">
        <f>IFERROR(VLOOKUP(C113,기출문제!D:G,4,0),"")</f>
        <v>2</v>
      </c>
      <c r="G113" s="32" t="str">
        <f t="shared" si="1"/>
        <v/>
      </c>
    </row>
    <row r="114" spans="2:7" ht="85.5" x14ac:dyDescent="0.3">
      <c r="B114" s="13">
        <v>107</v>
      </c>
      <c r="C114" s="14" t="s">
        <v>944</v>
      </c>
      <c r="D114" s="13"/>
      <c r="E114" s="15" t="str">
        <f>IFERROR(VLOOKUP(C114,기출문제!D:G,3,0),"")</f>
        <v>117. 증권시장선(SML)과 자본시장선(CML)에 관한 설명으로 옳지 않은 것은?
① 증권시장선의 기울기는 표준편차로 측정된 위험 1단위에 대한 균형가격을 의미한다.
② 증권시장선 아래에 위치한 자산은 과대평가된 자산이다.
③ 자본시장선은 효율적 자산의 기대수익률과 표준편차의 선형관계를 나타낸다.
④ 자본시장선에 위치한 위험자산은 무위험자산과 시장포트폴리오의 결합으로 구성된 자산이다.
⑤ 자본시장선에 위치한 위험자산과 시장포트폴리오의 상관계수는 1이다.</v>
      </c>
      <c r="F114" s="31">
        <f>IFERROR(VLOOKUP(C114,기출문제!D:G,4,0),"")</f>
        <v>1</v>
      </c>
      <c r="G114" s="32" t="str">
        <f t="shared" si="1"/>
        <v/>
      </c>
    </row>
    <row r="115" spans="2:7" ht="99.75" x14ac:dyDescent="0.3">
      <c r="B115" s="13">
        <v>108</v>
      </c>
      <c r="C115" s="14" t="s">
        <v>945</v>
      </c>
      <c r="D115" s="13"/>
      <c r="E115" s="15" t="str">
        <f>IFERROR(VLOOKUP(C115,기출문제!D:G,3,0),"")</f>
        <v>118. 올해 말(t=1)에 예상되는 A사 보통주의 주당 배당금은 1,000원이며, 이후 배당금은 매년 10%씩 영구히 증가할 것으로 기대된다. 현재(t=0) A사 보통주의 주가(내재가치)가 10,000원이라고 할 경우 이 주식의 자본비용은?
① 10%
② 15%
③ 20%
④ 25%
⑤ 30%</v>
      </c>
      <c r="F115" s="31">
        <f>IFERROR(VLOOKUP(C115,기출문제!D:G,4,0),"")</f>
        <v>3</v>
      </c>
      <c r="G115" s="32" t="str">
        <f t="shared" si="1"/>
        <v/>
      </c>
    </row>
    <row r="116" spans="2:7" ht="99.75" x14ac:dyDescent="0.3">
      <c r="B116" s="13">
        <v>109</v>
      </c>
      <c r="C116" s="14" t="s">
        <v>946</v>
      </c>
      <c r="D116" s="13"/>
      <c r="E116" s="15" t="str">
        <f>IFERROR(VLOOKUP(C116,기출문제!D:G,3,0),"")</f>
        <v>119. 주식 A와 B의 기대수익률은 각각 10%, 20%이다, 총 투자자금 중 40%를 주식 A에, 60%를 주식 B에 투자하여 구성한 포트폴리오 P의 기대수익률은?
① 15%
② 16%
③ 17%
④ 18%
⑤ 19%</v>
      </c>
      <c r="F116" s="31">
        <f>IFERROR(VLOOKUP(C116,기출문제!D:G,4,0),"")</f>
        <v>2</v>
      </c>
      <c r="G116" s="32" t="str">
        <f t="shared" si="1"/>
        <v/>
      </c>
    </row>
    <row r="117" spans="2:7" ht="85.5" x14ac:dyDescent="0.3">
      <c r="B117" s="13">
        <v>110</v>
      </c>
      <c r="C117" s="14" t="s">
        <v>947</v>
      </c>
      <c r="D117" s="13"/>
      <c r="E117" s="15" t="str">
        <f>IFERROR(VLOOKUP(C117,기출문제!D:G,3,0),"")</f>
        <v>120. 식스시그마의 성공적 수행을 위한 5단계 활동으로 옳은 순서는?
① 계획 → 분석 → 측정 → 개선 → 평가
② 계획 → 분석 → 측정 → 평가 → 개선
③ 계획 → 측정 → 평가 → 통제 → 개선
④ 정의 → 측정 → 분석 → 개선 → 통제
⑤ 정의 → 측정 → 평가 → 통제 → 개선</v>
      </c>
      <c r="F117" s="31">
        <f>IFERROR(VLOOKUP(C117,기출문제!D:G,4,0),"")</f>
        <v>4</v>
      </c>
      <c r="G117" s="32" t="str">
        <f t="shared" si="1"/>
        <v/>
      </c>
    </row>
    <row r="118" spans="2:7" ht="99.75" x14ac:dyDescent="0.3">
      <c r="B118" s="13">
        <v>111</v>
      </c>
      <c r="C118" s="14" t="s">
        <v>948</v>
      </c>
      <c r="D118" s="13"/>
      <c r="E118" s="15" t="str">
        <f>IFERROR(VLOOKUP(C118,기출문제!D:G,3,0),"")</f>
        <v>121. 공급자에서 기업 내 변환과정과 유통망을 거쳐 최종 고객에 이르기까지 자재, 제품, 서비스 및 정보의 흐름을 전체 시스템 관점에서 설계하고 관리하는 것은?
① EOQ
② MRP
③ TQM
④ SCM
⑤ FMS</v>
      </c>
      <c r="F118" s="31">
        <f>IFERROR(VLOOKUP(C118,기출문제!D:G,4,0),"")</f>
        <v>4</v>
      </c>
      <c r="G118" s="32" t="str">
        <f t="shared" si="1"/>
        <v/>
      </c>
    </row>
    <row r="119" spans="2:7" ht="85.5" x14ac:dyDescent="0.3">
      <c r="B119" s="13">
        <v>112</v>
      </c>
      <c r="C119" s="14" t="s">
        <v>949</v>
      </c>
      <c r="D119" s="13"/>
      <c r="E119" s="15" t="str">
        <f>IFERROR(VLOOKUP(C119,기출문제!D:G,3,0),"")</f>
        <v>122. 공장을 신축하고자 1억원의 토지를 현금으로 취득한 거래가 재무제표 요소에 미치는 영향은?
① 자본의 감소, 자산의 감소
② 자산의 증가, 자산의 감소
③ 자산의 증가, 자본의 증가
④ 자산의 증가, 부채의 증가
⑤ 비용의 증가, 자산의 감소</v>
      </c>
      <c r="F119" s="31">
        <f>IFERROR(VLOOKUP(C119,기출문제!D:G,4,0),"")</f>
        <v>2</v>
      </c>
      <c r="G119" s="32" t="str">
        <f t="shared" si="1"/>
        <v/>
      </c>
    </row>
    <row r="120" spans="2:7" ht="142.5" x14ac:dyDescent="0.3">
      <c r="B120" s="13">
        <v>113</v>
      </c>
      <c r="C120" s="14" t="s">
        <v>950</v>
      </c>
      <c r="D120" s="13"/>
      <c r="E120" s="15" t="str">
        <f>IFERROR(VLOOKUP(C120,기출문제!D:G,3,0),"")</f>
        <v>123. 유형자산에 해당하는 항목을 모두 고른 것은?
ㄱ. 특허권
ㄴ. 건물
ㄷ. 비품
ㄹ. 라이선스
① ㄱ, ㄴ
② ㄴ, ㄷ
③ ㄱ, ㄴ, ㄷ
④ ㄴ, ㄷ, ㄹ
⑤ ㄱ, ㄴ, ㄷ, ㄹ</v>
      </c>
      <c r="F120" s="31">
        <f>IFERROR(VLOOKUP(C120,기출문제!D:G,4,0),"")</f>
        <v>2</v>
      </c>
      <c r="G120" s="32" t="str">
        <f t="shared" si="1"/>
        <v/>
      </c>
    </row>
    <row r="121" spans="2:7" ht="85.5" x14ac:dyDescent="0.3">
      <c r="B121" s="13">
        <v>114</v>
      </c>
      <c r="C121" s="14" t="s">
        <v>951</v>
      </c>
      <c r="D121" s="13"/>
      <c r="E121" s="15" t="str">
        <f>IFERROR(VLOOKUP(C121,기출문제!D:G,3,0),"")</f>
        <v>124. 재무상태표의 부채에 해당하지 않는 것은?
① 매입채무
② 선급비용
③ 선수금
④ 사채
⑤ 예수금</v>
      </c>
      <c r="F121" s="31">
        <f>IFERROR(VLOOKUP(C121,기출문제!D:G,4,0),"")</f>
        <v>2</v>
      </c>
      <c r="G121" s="32" t="str">
        <f t="shared" si="1"/>
        <v/>
      </c>
    </row>
    <row r="122" spans="2:7" ht="85.5" x14ac:dyDescent="0.3">
      <c r="B122" s="13">
        <v>115</v>
      </c>
      <c r="C122" s="14" t="s">
        <v>952</v>
      </c>
      <c r="D122" s="13"/>
      <c r="E122" s="15" t="str">
        <f>IFERROR(VLOOKUP(C122,기출문제!D:G,3,0),"")</f>
        <v>125. 급여계산, 고객주문처리, 재고관리 등 일상적이고 반복적인 과업을 주로 수행하는 정보시스템은?
① EIS
② DSS
③ ES
④ SIS
⑤ TPS</v>
      </c>
      <c r="F122" s="31">
        <f>IFERROR(VLOOKUP(C122,기출문제!D:G,4,0),"")</f>
        <v>5</v>
      </c>
      <c r="G122" s="32" t="str">
        <f t="shared" si="1"/>
        <v/>
      </c>
    </row>
    <row r="123" spans="2:7" ht="156.75" x14ac:dyDescent="0.3">
      <c r="B123" s="13">
        <v>116</v>
      </c>
      <c r="C123" s="14" t="s">
        <v>96</v>
      </c>
      <c r="D123" s="13"/>
      <c r="E123" s="15" t="str">
        <f>IFERROR(VLOOKUP(C123,기출문제!D:G,3,0),"")</f>
        <v>101. 페로우(C. Perrow)가 제시한 기술 분류 기준으로 옳은 것을 모두 고른 것은?
ㄱ. 기술복잡성
ㄴ. 과업다양성
ㄷ. 상호의존성
ㄹ. 과업정체성
ㅁ. 문제분석 가능성
① ㄱ, ㄴ
② ㄴ, ㄹ
③ ㄴ, ㅁ
④ ㄷ, ㅁ
⑤ ㄱ, ㄷ, ㄹ</v>
      </c>
      <c r="F123" s="31">
        <f>IFERROR(VLOOKUP(C123,기출문제!D:G,4,0),"")</f>
        <v>3</v>
      </c>
      <c r="G123" s="32" t="str">
        <f t="shared" si="1"/>
        <v/>
      </c>
    </row>
    <row r="124" spans="2:7" ht="85.5" x14ac:dyDescent="0.3">
      <c r="B124" s="13">
        <v>117</v>
      </c>
      <c r="C124" s="14" t="s">
        <v>953</v>
      </c>
      <c r="D124" s="13"/>
      <c r="E124" s="15" t="str">
        <f>IFERROR(VLOOKUP(C124,기출문제!D:G,3,0),"")</f>
        <v>102. (주)한국은 정부의 대규모 사업에 참여하면서 다수 기업과 공동출자를 하고자 한다. 이 전략 유형에 해당하는 것은?
① 우회전략(Turnaround Strategy)
② 집중전략(Concentration Strategy)
③ 프랜차이징(Franchsing)
④ 컨소시엄(Consortium)
⑤ 포획전략(Captive Strategy)</v>
      </c>
      <c r="F124" s="31">
        <f>IFERROR(VLOOKUP(C124,기출문제!D:G,4,0),"")</f>
        <v>4</v>
      </c>
      <c r="G124" s="32" t="str">
        <f t="shared" si="1"/>
        <v/>
      </c>
    </row>
    <row r="125" spans="2:7" ht="85.5" x14ac:dyDescent="0.3">
      <c r="B125" s="13">
        <v>118</v>
      </c>
      <c r="C125" s="14" t="s">
        <v>954</v>
      </c>
      <c r="D125" s="13"/>
      <c r="E125" s="15" t="str">
        <f>IFERROR(VLOOKUP(C125,기출문제!D:G,3,0),"")</f>
        <v>103. 매트릭스 조직의 장점에 해당하지 않는 것은?
① 구성원들 간 갈등해결 용이
② 환경 불확실성에 신속한 대응
③ 인적자원의 유연한 활용
④ 제품 다양성 확보
⑤ 구성원들의 역량향상 기회 제공</v>
      </c>
      <c r="F125" s="31">
        <f>IFERROR(VLOOKUP(C125,기출문제!D:G,4,0),"")</f>
        <v>1</v>
      </c>
      <c r="G125" s="32" t="str">
        <f t="shared" si="1"/>
        <v/>
      </c>
    </row>
    <row r="126" spans="2:7" ht="85.5" x14ac:dyDescent="0.3">
      <c r="B126" s="13">
        <v>119</v>
      </c>
      <c r="C126" s="14" t="s">
        <v>955</v>
      </c>
      <c r="D126" s="13"/>
      <c r="E126" s="15" t="str">
        <f>IFERROR(VLOOKUP(C126,기출문제!D:G,3,0),"")</f>
        <v>104. 사용자가 노동조합의 정당한 활동을 방해하는 것은?
① 태업
② 단체교섭
③ 부당노동행위
④ 노동쟁의
⑤ 준법투쟁</v>
      </c>
      <c r="F126" s="31">
        <f>IFERROR(VLOOKUP(C126,기출문제!D:G,4,0),"")</f>
        <v>3</v>
      </c>
      <c r="G126" s="32" t="str">
        <f t="shared" si="1"/>
        <v/>
      </c>
    </row>
    <row r="127" spans="2:7" ht="85.5" x14ac:dyDescent="0.3">
      <c r="B127" s="13">
        <v>120</v>
      </c>
      <c r="C127" s="14" t="s">
        <v>956</v>
      </c>
      <c r="D127" s="13"/>
      <c r="E127" s="15" t="str">
        <f>IFERROR(VLOOKUP(C127,기출문제!D:G,3,0),"")</f>
        <v>105. 하우스(R. House)가 제시한 경로-목표이론의 리더십 유형에 해당하지 않는 것은?
① 권한위임적 리더십
② 지시적 리더십
③ 지원적 리더십
④ 성취지향적 리더십
⑤ 참가적 리더십</v>
      </c>
      <c r="F127" s="31">
        <f>IFERROR(VLOOKUP(C127,기출문제!D:G,4,0),"")</f>
        <v>1</v>
      </c>
      <c r="G127" s="32" t="str">
        <f t="shared" si="1"/>
        <v/>
      </c>
    </row>
    <row r="128" spans="2:7" ht="85.5" x14ac:dyDescent="0.3">
      <c r="B128" s="13">
        <v>121</v>
      </c>
      <c r="C128" s="14" t="s">
        <v>957</v>
      </c>
      <c r="D128" s="13"/>
      <c r="E128" s="15" t="str">
        <f>IFERROR(VLOOKUP(C128,기출문제!D:G,3,0),"")</f>
        <v>106. 구성원들 간 의사소통이 강력한 특정 리더에게 집중되는 유형은?
① 원형
② Y자형
③ 수레바퀴형
④ 사슬형
⑤ 전체연결형</v>
      </c>
      <c r="F128" s="31">
        <f>IFERROR(VLOOKUP(C128,기출문제!D:G,4,0),"")</f>
        <v>3</v>
      </c>
      <c r="G128" s="32" t="str">
        <f t="shared" si="1"/>
        <v/>
      </c>
    </row>
    <row r="129" spans="2:7" ht="85.5" x14ac:dyDescent="0.3">
      <c r="B129" s="13">
        <v>122</v>
      </c>
      <c r="C129" s="14" t="s">
        <v>958</v>
      </c>
      <c r="D129" s="13"/>
      <c r="E129" s="15" t="str">
        <f>IFERROR(VLOOKUP(C129,기출문제!D:G,3,0),"")</f>
        <v>107. 기업의 사회적 책임 중에서 제1의 책임에 해당하는 것은?
① 법적 책임
② 경제적 책임
③ 윤리적 책임
④ 자선적 책임
⑤ 환경적 책임</v>
      </c>
      <c r="F129" s="31">
        <f>IFERROR(VLOOKUP(C129,기출문제!D:G,4,0),"")</f>
        <v>2</v>
      </c>
      <c r="G129" s="32" t="str">
        <f t="shared" si="1"/>
        <v/>
      </c>
    </row>
    <row r="130" spans="2:7" ht="85.5" x14ac:dyDescent="0.3">
      <c r="B130" s="13">
        <v>123</v>
      </c>
      <c r="C130" s="14" t="s">
        <v>959</v>
      </c>
      <c r="D130" s="13"/>
      <c r="E130" s="15" t="str">
        <f>IFERROR(VLOOKUP(C130,기출문제!D:G,3,0),"")</f>
        <v>108. 파스칼(R. Pascale)과 피터스(T. Peters)의 조직문화 7S 중 다른 요소들을 연결시켜 주는 핵심적인 요소는?
① 전략(Strategy)
② 관리기술(Skill)
③ 공유가치(Shared Value)
④ 관리시스템(System)
⑤ 구성원(Staff)</v>
      </c>
      <c r="F130" s="31">
        <f>IFERROR(VLOOKUP(C130,기출문제!D:G,4,0),"")</f>
        <v>3</v>
      </c>
      <c r="G130" s="32" t="str">
        <f t="shared" si="1"/>
        <v/>
      </c>
    </row>
    <row r="131" spans="2:7" ht="85.5" x14ac:dyDescent="0.3">
      <c r="B131" s="13">
        <v>124</v>
      </c>
      <c r="C131" s="14" t="s">
        <v>960</v>
      </c>
      <c r="D131" s="13"/>
      <c r="E131" s="15" t="str">
        <f>IFERROR(VLOOKUP(C131,기출문제!D:G,3,0),"")</f>
        <v>109. 브룸(V. Vroom)이 제시한 기대이론의 작동순서로 올바른 것은?
① 기대감 → 수단성 → 유의성
② 기대감 → 유의성 → 수단성
③ 수단성 → 유의성 → 기대감
④ 유의성 → 수단성 → 기대감
⑤ 유의성 → 기대감 → 수단성</v>
      </c>
      <c r="F131" s="31">
        <f>IFERROR(VLOOKUP(C131,기출문제!D:G,4,0),"")</f>
        <v>1</v>
      </c>
      <c r="G131" s="32" t="str">
        <f t="shared" si="1"/>
        <v/>
      </c>
    </row>
    <row r="132" spans="2:7" ht="85.5" x14ac:dyDescent="0.3">
      <c r="B132" s="13">
        <v>125</v>
      </c>
      <c r="C132" s="14" t="s">
        <v>961</v>
      </c>
      <c r="D132" s="13"/>
      <c r="E132" s="15" t="str">
        <f>IFERROR(VLOOKUP(C132,기출문제!D:G,3,0),"")</f>
        <v>110. MBO에서 목표설정 시 SMART 원칙으로 옳지 않은 것은?
① 구체적(Specific)이어야 한다.
② 측정가능(Measurable)하여야 한다.
③ 조직목표와의 일치성(Aligned with Organizational Goals)이 있어야 한다.
④ 현실적이며 결과지향적(Realistic and Result-Oriented)이어야 한다.
⑤ 훈련가능(Trainable)하여야 한다.</v>
      </c>
      <c r="F132" s="31">
        <f>IFERROR(VLOOKUP(C132,기출문제!D:G,4,0),"")</f>
        <v>5</v>
      </c>
      <c r="G132" s="32" t="str">
        <f t="shared" si="1"/>
        <v/>
      </c>
    </row>
    <row r="133" spans="2:7" ht="85.5" x14ac:dyDescent="0.3">
      <c r="B133" s="13">
        <v>126</v>
      </c>
      <c r="C133" s="14" t="s">
        <v>962</v>
      </c>
      <c r="D133" s="13"/>
      <c r="E133" s="15" t="str">
        <f>IFERROR(VLOOKUP(C133,기출문제!D:G,3,0),"")</f>
        <v>111. (주)한국은 10,000원에 상당하는 두루마리 화장지 가격을 9,990원으로 책정하였다. 이러한 가격결정 방법은?
① 단수가격
② 명성가격
③ 총화가격
④ 촉진가격
⑤ 관습가격</v>
      </c>
      <c r="F133" s="31">
        <f>IFERROR(VLOOKUP(C133,기출문제!D:G,4,0),"")</f>
        <v>1</v>
      </c>
      <c r="G133" s="32" t="str">
        <f t="shared" si="1"/>
        <v/>
      </c>
    </row>
    <row r="134" spans="2:7" ht="85.5" x14ac:dyDescent="0.3">
      <c r="B134" s="13">
        <v>127</v>
      </c>
      <c r="C134" s="14" t="s">
        <v>963</v>
      </c>
      <c r="D134" s="13"/>
      <c r="E134" s="15" t="str">
        <f>IFERROR(VLOOKUP(C134,기출문제!D:G,3,0),"")</f>
        <v>112. 마약퇴치 운동과 같이 불건전한 수요를 파괴시키는 데 활용되는 마케팅은?
① 동시화 마케팅(Synchro Marketing)
② 재마케팅(Remarketing)
③ 디마케팅(Demarketing)
④ 대항 마케팅(Counter Marketing)
⑤ 터보 마케팅(Turbo Marketing)</v>
      </c>
      <c r="F134" s="31">
        <f>IFERROR(VLOOKUP(C134,기출문제!D:G,4,0),"")</f>
        <v>4</v>
      </c>
      <c r="G134" s="32" t="str">
        <f t="shared" si="1"/>
        <v/>
      </c>
    </row>
    <row r="135" spans="2:7" ht="85.5" x14ac:dyDescent="0.3">
      <c r="B135" s="13">
        <v>128</v>
      </c>
      <c r="C135" s="14" t="s">
        <v>964</v>
      </c>
      <c r="D135" s="13"/>
      <c r="E135" s="15" t="str">
        <f>IFERROR(VLOOKUP(C135,기출문제!D:G,3,0),"")</f>
        <v>113. 마케팅 전략에 관한 설명으로 옳은 것은?
① 마케팅 비용을 절감하기 위해 차별화 마케팅 전략을 도입한다.
② 제품전문화 전략은 표적시장 선정전략의 일종이다.
③ 포지셔닝은 전체 시장을 목표로 하는 마케팅전략이다.
④ 제품의 확장속성이란 판매자가 제공하거나 구매자가 추구하는 본질적 편익을 말한다.
⑤ 시장세분화 전제조건으로서의 실질성이란 세분시장의 구매력 등이 측정가능해야 함을 의미한다.</v>
      </c>
      <c r="F135" s="31">
        <f>IFERROR(VLOOKUP(C135,기출문제!D:G,4,0),"")</f>
        <v>2</v>
      </c>
      <c r="G135" s="32" t="str">
        <f t="shared" si="1"/>
        <v/>
      </c>
    </row>
    <row r="136" spans="2:7" ht="85.5" x14ac:dyDescent="0.3">
      <c r="B136" s="13">
        <v>129</v>
      </c>
      <c r="C136" s="14" t="s">
        <v>965</v>
      </c>
      <c r="D136" s="13"/>
      <c r="E136" s="15" t="str">
        <f>IFERROR(VLOOKUP(C136,기출문제!D:G,3,0),"")</f>
        <v>114. 포터(M. Porter)의 가치사슬(Value Chain)모델에서 주요활동(Primary Activities)에 해당하는 것은?
① 인적자원관리
② 서비스
③ 기술개발
④ 기획・재무
⑤ 법률자문</v>
      </c>
      <c r="F136" s="31">
        <f>IFERROR(VLOOKUP(C136,기출문제!D:G,4,0),"")</f>
        <v>2</v>
      </c>
      <c r="G136" s="32" t="str">
        <f t="shared" si="1"/>
        <v/>
      </c>
    </row>
    <row r="137" spans="2:7" ht="142.5" x14ac:dyDescent="0.3">
      <c r="B137" s="13">
        <v>130</v>
      </c>
      <c r="C137" s="14" t="s">
        <v>966</v>
      </c>
      <c r="D137" s="13"/>
      <c r="E137" s="15" t="str">
        <f>IFERROR(VLOOKUP(C137,기출문제!D:G,3,0),"")</f>
        <v>115. 경영정보시스템 용어에 관한 설명으로 옳지 않은 것은?
① 비즈니스 프로세스 리엔지니어링(Business Process Reengineering)은 새로운 방식으로 최대한의 이득을 얻기 위해 기존의 비즈니스 프로세스를 변경하는 것이다.
② 비즈니스 인텔리전스(Business Intelligence)는 사용자가 정보에 기반하여 보다 나은 비즈니스 의사결정을 돕기 위한 응용프로그램, 기술 및 데이터 분석 등을 포함하는 시스템이다.
③ 의사결정지원시스템(Decision Support System)은 컴퓨터를 이용하여 의사결정자가 효과적인 의사결정을 할 수 있도록 지원하는 시스템이다.
④ 위키스(Wikis)는 사용자들이 웹페이지 내용을 쉽게 추가・편집할 수 있는 웹사이트의 일종이다.
⑤ 자율컴퓨팅(Autonomous Computing)은 지리적으로 분산된 네트워크 환경에서 수많은 컴퓨터와 데이터베이스 등을 고속 네트워크로 연결하여 공유할 수 있도록 한다.</v>
      </c>
      <c r="F137" s="31">
        <f>IFERROR(VLOOKUP(C137,기출문제!D:G,4,0),"")</f>
        <v>5</v>
      </c>
      <c r="G137" s="32" t="str">
        <f t="shared" ref="G137:G200" si="2">IF(D137="","",IF(D137=F137,"O", "X"))</f>
        <v/>
      </c>
    </row>
    <row r="138" spans="2:7" ht="99.75" x14ac:dyDescent="0.3">
      <c r="B138" s="13">
        <v>131</v>
      </c>
      <c r="C138" s="14" t="s">
        <v>967</v>
      </c>
      <c r="D138" s="13"/>
      <c r="E138" s="15" t="str">
        <f>IFERROR(VLOOKUP(C138,기출문제!D:G,3,0),"")</f>
        <v>116. 품질의 산포가 우연원인에 의한 것인지, 이상원인에 의한 것인지를 밝혀주는 역할을 하며, 제조공정의 상태를 파악하기 위해 공정관리에 이용되는 것은?
① 파레토도
② 관리도
③ 산포도
④ 특성요인도
⑤ 히스토그램</v>
      </c>
      <c r="F138" s="31">
        <f>IFERROR(VLOOKUP(C138,기출문제!D:G,4,0),"")</f>
        <v>2</v>
      </c>
      <c r="G138" s="32" t="str">
        <f t="shared" si="2"/>
        <v/>
      </c>
    </row>
    <row r="139" spans="2:7" ht="199.5" x14ac:dyDescent="0.3">
      <c r="B139" s="13">
        <v>132</v>
      </c>
      <c r="C139" s="14" t="s">
        <v>968</v>
      </c>
      <c r="D139" s="13"/>
      <c r="E139" s="15" t="str">
        <f>IFERROR(VLOOKUP(C139,기출문제!D:G,3,0),"")</f>
        <v>117. (주)한국의 연도별 제품 판매량은 다음과 같다. 과거 3년간의 데이터를 바탕으로 단순이동평균법을 적용하였을 때 2020년도의 수요예측량은?
연도       판매량(개)
2014       2,260
2015       2,090
2016       2,110
2017       2,150
2018       2,310
2019       2,410
① 2,270
② 2,280
③ 2,290
④ 2,300
⑤ 2,310</v>
      </c>
      <c r="F139" s="31">
        <f>IFERROR(VLOOKUP(C139,기출문제!D:G,4,0),"")</f>
        <v>3</v>
      </c>
      <c r="G139" s="32" t="str">
        <f t="shared" si="2"/>
        <v/>
      </c>
    </row>
    <row r="140" spans="2:7" ht="85.5" x14ac:dyDescent="0.3">
      <c r="B140" s="13">
        <v>133</v>
      </c>
      <c r="C140" s="14" t="s">
        <v>969</v>
      </c>
      <c r="D140" s="13"/>
      <c r="E140" s="15" t="str">
        <f>IFERROR(VLOOKUP(C140,기출문제!D:G,3,0),"")</f>
        <v>118. 선물거래에 관한 설명으로 옳지 않은 것은?
① 조직화된 공식시장에서 거래가 이루어진다.
② 다수의 불특정 참가자가 자유롭게 시장에 참여한다.
③ 거래대상, 거래단위 등의 거래조건이 표준화되어 있다.
④ 계약의 이행을 보증하려는 제도적 장치로 일일정산, 증거금 등이 있다.
⑤ 반대매매를 통한 중도청산이 어려워 만기일에 실물의 인수・인도가 이루어진다.</v>
      </c>
      <c r="F140" s="31">
        <f>IFERROR(VLOOKUP(C140,기출문제!D:G,4,0),"")</f>
        <v>5</v>
      </c>
      <c r="G140" s="32" t="str">
        <f t="shared" si="2"/>
        <v/>
      </c>
    </row>
    <row r="141" spans="2:7" ht="114" x14ac:dyDescent="0.3">
      <c r="B141" s="13">
        <v>134</v>
      </c>
      <c r="C141" s="14" t="s">
        <v>970</v>
      </c>
      <c r="D141" s="13"/>
      <c r="E141" s="15" t="str">
        <f>IFERROR(VLOOKUP(C141,기출문제!D:G,3,0),"")</f>
        <v>119. 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
① 순현가법
② 수익성지수법
③ 회수기간법
④ 내부수익률법
⑤ 평균회계이익률법</v>
      </c>
      <c r="F141" s="31">
        <f>IFERROR(VLOOKUP(C141,기출문제!D:G,4,0),"")</f>
        <v>4</v>
      </c>
      <c r="G141" s="32" t="str">
        <f t="shared" si="2"/>
        <v/>
      </c>
    </row>
    <row r="142" spans="2:7" ht="85.5" x14ac:dyDescent="0.3">
      <c r="B142" s="13">
        <v>135</v>
      </c>
      <c r="C142" s="14" t="s">
        <v>971</v>
      </c>
      <c r="D142" s="13"/>
      <c r="E142" s="15" t="str">
        <f>IFERROR(VLOOKUP(C142,기출문제!D:G,3,0),"")</f>
        <v>120. (주)한국의 총자산이 40억원, 비유동자산이 25억원, 유동부채가 10억원인 경우 유동비율은?
① 50%
② 70%
③ 100%
④ 150%
⑤ 200%</v>
      </c>
      <c r="F142" s="31">
        <f>IFERROR(VLOOKUP(C142,기출문제!D:G,4,0),"")</f>
        <v>4</v>
      </c>
      <c r="G142" s="32" t="str">
        <f t="shared" si="2"/>
        <v/>
      </c>
    </row>
    <row r="143" spans="2:7" ht="85.5" x14ac:dyDescent="0.3">
      <c r="B143" s="13">
        <v>136</v>
      </c>
      <c r="C143" s="14" t="s">
        <v>972</v>
      </c>
      <c r="D143" s="13"/>
      <c r="E143" s="15" t="str">
        <f>IFERROR(VLOOKUP(C143,기출문제!D:G,3,0),"")</f>
        <v>121. 자본항목의 분류가 다른 것은?
① 주식할인발행차금
② 감자차손
③ 자기주식
④ 미교부주식배당금
⑤ 자기주식처분이익</v>
      </c>
      <c r="F143" s="31">
        <f>IFERROR(VLOOKUP(C143,기출문제!D:G,4,0),"")</f>
        <v>5</v>
      </c>
      <c r="G143" s="32" t="str">
        <f t="shared" si="2"/>
        <v/>
      </c>
    </row>
    <row r="144" spans="2:7" ht="85.5" x14ac:dyDescent="0.3">
      <c r="B144" s="13">
        <v>137</v>
      </c>
      <c r="C144" s="14" t="s">
        <v>973</v>
      </c>
      <c r="D144" s="13"/>
      <c r="E144" s="15" t="str">
        <f>IFERROR(VLOOKUP(C144,기출문제!D:G,3,0),"")</f>
        <v>122. 부채에 관한 설명으로 옳지 않은 것은?
① 매입채무는 일반적인 상거래에서 발생한 외상매입금과 지급어음을 말한다.
② 예수금은 거래처나 종업원을 대신하여 납부기관에 납부할 때 소멸하는 부채이다.
③ 미지급금은 비유동자산의 취득 등 일반적인 상거래 이외에서 발생한 채무를 말한다.
④ 장기차입금의 상환기일이 결산일로부터 1년 이내에 도래하는 경우 유동성장기차입금으로 대체하고 유동부채로 분류한다.
⑤ 매입채무, 차입금, 선수금, 사채 등은 금융부채에 속한다.</v>
      </c>
      <c r="F144" s="31">
        <f>IFERROR(VLOOKUP(C144,기출문제!D:G,4,0),"")</f>
        <v>5</v>
      </c>
      <c r="G144" s="32" t="str">
        <f t="shared" si="2"/>
        <v/>
      </c>
    </row>
    <row r="145" spans="2:7" ht="156.75" x14ac:dyDescent="0.3">
      <c r="B145" s="13">
        <v>138</v>
      </c>
      <c r="C145" s="14" t="s">
        <v>974</v>
      </c>
      <c r="D145" s="13"/>
      <c r="E145" s="15" t="str">
        <f>IFERROR(VLOOKUP(C145,기출문제!D:G,3,0),"")</f>
        <v>123. 재무상태표와 관련되는 것을 모두 고른 것은?
ㄱ. 수익・비용대응의 원칙
ㄴ. 일정시점의 재무상태
ㄷ. 유동성배열법
ㄹ. 일정기간의 경영성과
ㅁ. 자산, 부채 및 자본
① ㄱ, ㄴ
② ㄱ, ㄹ
③ ㄴ, ㄷ, ㄹ
④ ㄴ, ㄷ, ㅁ
⑤ ㄷ, ㄹ, ㅁ</v>
      </c>
      <c r="F145" s="31">
        <f>IFERROR(VLOOKUP(C145,기출문제!D:G,4,0),"")</f>
        <v>4</v>
      </c>
      <c r="G145" s="32" t="str">
        <f t="shared" si="2"/>
        <v/>
      </c>
    </row>
    <row r="146" spans="2:7" ht="85.5" x14ac:dyDescent="0.3">
      <c r="B146" s="13">
        <v>139</v>
      </c>
      <c r="C146" s="14" t="s">
        <v>975</v>
      </c>
      <c r="D146" s="13"/>
      <c r="E146" s="15" t="str">
        <f>IFERROR(VLOOKUP(C146,기출문제!D:G,3,0),"")</f>
        <v>124. 전자(상)거래의 유형에 관한 설명으로 옳은 것은?
① B2E는 기업과 직원 간 전자(상)거래를 말한다.
② B2C는 소비자와 소비자 간 전자(상)거래를 말한다.
③ B2B는 기업 내 전자(상)거래를 말한다.
④ C2C는 기업과 소비자 간 전자(상)거래를 말한다.
⑤ C2G는 기업 간 전자(상)거래를 말한다.</v>
      </c>
      <c r="F146" s="31">
        <f>IFERROR(VLOOKUP(C146,기출문제!D:G,4,0),"")</f>
        <v>1</v>
      </c>
      <c r="G146" s="32" t="str">
        <f t="shared" si="2"/>
        <v/>
      </c>
    </row>
    <row r="147" spans="2:7" ht="99.75" x14ac:dyDescent="0.3">
      <c r="B147" s="13">
        <v>140</v>
      </c>
      <c r="C147" s="14" t="s">
        <v>976</v>
      </c>
      <c r="D147" s="13"/>
      <c r="E147" s="15" t="str">
        <f>IFERROR(VLOOKUP(C147,기출문제!D:G,3,0),"")</f>
        <v>125. 기업이 미래 의사결정 및 예측을 위하여 보유하고 있는 고객, 거래, 상품 등의 데이터와 각종 외부 데이터를 분석하여 숨겨진 패턴이나 규칙을 발견하는 것은?
① 데이터 관리(Data Management)
② 데이터 무결성(Data Integrity)
③ 데이터 마이닝(Data Mining)
④ 데이터 정제(Data Cleaning)
⑤ 데이터 마트(Data Mart)</v>
      </c>
      <c r="F147" s="31">
        <f>IFERROR(VLOOKUP(C147,기출문제!D:G,4,0),"")</f>
        <v>3</v>
      </c>
      <c r="G147" s="32" t="str">
        <f t="shared" si="2"/>
        <v/>
      </c>
    </row>
    <row r="148" spans="2:7" ht="85.5" x14ac:dyDescent="0.3">
      <c r="B148" s="13">
        <v>141</v>
      </c>
      <c r="C148" s="14" t="s">
        <v>138</v>
      </c>
      <c r="D148" s="13"/>
      <c r="E148" s="15" t="str">
        <f>IFERROR(VLOOKUP(C148,기출문제!D:G,3,0),"")</f>
        <v>101. 테일러(F. W. Taylor)의 과학적 관리법에 관한 설명으로 옳지 않은 것은?
① 시간 및 동작 연구
② 기능적 직장제도
③ 집단중심의 보상
④ 과업에 적합한 종업원 선발과 훈련 강조
⑤ 고임금 저노무비 지향</v>
      </c>
      <c r="F148" s="31">
        <f>IFERROR(VLOOKUP(C148,기출문제!D:G,4,0),"")</f>
        <v>3</v>
      </c>
      <c r="G148" s="32" t="str">
        <f t="shared" si="2"/>
        <v/>
      </c>
    </row>
    <row r="149" spans="2:7" ht="85.5" x14ac:dyDescent="0.3">
      <c r="B149" s="13">
        <v>142</v>
      </c>
      <c r="C149" s="14" t="s">
        <v>781</v>
      </c>
      <c r="D149" s="13"/>
      <c r="E149" s="15" t="str">
        <f>IFERROR(VLOOKUP(C149,기출문제!D:G,3,0),"")</f>
        <v>102. 매슬로우(A. H. Maslow)의 욕구단계이론에 관한 설명으로 옳지 않은 것은?
① 최하위 단계의 욕구는 생리적 욕구이다.
② 최상위 단계의 욕구는 자아실현 욕구이다.
③ 욕구계층을 5단계로 설명하고 있다.
④ 다른 사람으로부터 인정과 존경을 받고자 하는 욕구는 성장욕구에 속한다.
⑤ 하위단계의 욕구가 충족되어야 상위단계의 욕구를 충족시키기 위한 동기부여가 된다.</v>
      </c>
      <c r="F149" s="31">
        <f>IFERROR(VLOOKUP(C149,기출문제!D:G,4,0),"")</f>
        <v>4</v>
      </c>
      <c r="G149" s="32" t="str">
        <f t="shared" si="2"/>
        <v/>
      </c>
    </row>
    <row r="150" spans="2:7" ht="85.5" x14ac:dyDescent="0.3">
      <c r="B150" s="13">
        <v>143</v>
      </c>
      <c r="C150" s="14" t="s">
        <v>782</v>
      </c>
      <c r="D150" s="13"/>
      <c r="E150" s="15" t="str">
        <f>IFERROR(VLOOKUP(C150,기출문제!D:G,3,0),"")</f>
        <v>103. 균형성과표(Balanced Score Card)에 해당하지 않는 것은?
① 고객 관점
② 내부 프로세스 관점
③ 사회적 책임 관점
④ 학습과 성장 관점
⑤ 재무 관점</v>
      </c>
      <c r="F150" s="31">
        <f>IFERROR(VLOOKUP(C150,기출문제!D:G,4,0),"")</f>
        <v>3</v>
      </c>
      <c r="G150" s="32" t="str">
        <f t="shared" si="2"/>
        <v/>
      </c>
    </row>
    <row r="151" spans="2:7" ht="85.5" x14ac:dyDescent="0.3">
      <c r="B151" s="13">
        <v>144</v>
      </c>
      <c r="C151" s="14" t="s">
        <v>783</v>
      </c>
      <c r="D151" s="13"/>
      <c r="E151" s="15" t="str">
        <f>IFERROR(VLOOKUP(C151,기출문제!D:G,3,0),"")</f>
        <v>104. 강화계획(schedules of reinforcement)에서 불규칙한 횟수의 바람직한 행동 후 강화요인을 제공하는 기법은?
① 고정간격법
② 변동간격법
③ 고정비율법
④ 변동비율법
⑤ 연속강화법</v>
      </c>
      <c r="F151" s="31">
        <f>IFERROR(VLOOKUP(C151,기출문제!D:G,4,0),"")</f>
        <v>4</v>
      </c>
      <c r="G151" s="32" t="str">
        <f t="shared" si="2"/>
        <v/>
      </c>
    </row>
    <row r="152" spans="2:7" ht="85.5" x14ac:dyDescent="0.3">
      <c r="B152" s="13">
        <v>145</v>
      </c>
      <c r="C152" s="14" t="s">
        <v>784</v>
      </c>
      <c r="D152" s="13"/>
      <c r="E152" s="15" t="str">
        <f>IFERROR(VLOOKUP(C152,기출문제!D:G,3,0),"")</f>
        <v>105. 아담스(J. S. Adams)의 공정성이론에서 조직구성원들이 개인적 불공정성을 시정(是正)하기 위한 방법에 해당하지 않는 것은?
① 투입의 변경
② 산출의 변경
③ 투입과 산출의 인지적 왜곡
④ 장(場) 이탈
⑤ 준거인물 유지</v>
      </c>
      <c r="F152" s="31">
        <f>IFERROR(VLOOKUP(C152,기출문제!D:G,4,0),"")</f>
        <v>5</v>
      </c>
      <c r="G152" s="32" t="str">
        <f t="shared" si="2"/>
        <v/>
      </c>
    </row>
    <row r="153" spans="2:7" ht="85.5" x14ac:dyDescent="0.3">
      <c r="B153" s="13">
        <v>146</v>
      </c>
      <c r="C153" s="14" t="s">
        <v>785</v>
      </c>
      <c r="D153" s="13"/>
      <c r="E153" s="15" t="str">
        <f>IFERROR(VLOOKUP(C153,기출문제!D:G,3,0),"")</f>
        <v>106. 직무급의 특징에 관한 설명으로 옳지 않은 것은?
① 직무의 상대적 가치에 따라 개별임금이 결정된다.
② 능력주의 인사풍토 조성에 유리하다.
③ 인건비의 효율성이 증대된다.
④ 동일노동 동일임금 실현이 가능해진다.
⑤ 시행 절차가 간단하고 적용이 용이하다.</v>
      </c>
      <c r="F153" s="31">
        <f>IFERROR(VLOOKUP(C153,기출문제!D:G,4,0),"")</f>
        <v>5</v>
      </c>
      <c r="G153" s="32" t="str">
        <f t="shared" si="2"/>
        <v/>
      </c>
    </row>
    <row r="154" spans="2:7" ht="85.5" x14ac:dyDescent="0.3">
      <c r="B154" s="13">
        <v>147</v>
      </c>
      <c r="C154" s="14" t="s">
        <v>786</v>
      </c>
      <c r="D154" s="13"/>
      <c r="E154" s="15" t="str">
        <f>IFERROR(VLOOKUP(C154,기출문제!D:G,3,0),"")</f>
        <v>107. 노동조합의 조직형태에 관한 설명으로 옳지 않은 것은?
① 직종별 노동조합은 동종 근로자 집단으로 조직되어 단결이 강화되고 단체교섭과 임금협상이 용이하다.
② 일반노동조합은 숙련근로자들의 최저생활조건을 확보하기 위한 조직으로 초기에 발달한 형태이다.
③ 기업별 노동조합은 조합원들이 동일기업에 종사하고 있으므로 근로조건을 획일적으로 적용하기가 용이하다.
④ 산업별 노동조합은 기업과 직종을 초월한 거대한 조직으로서 정책활동 등에 의해 압력단체로서의 지위를 가진다.
⑤ 연합체 조직은 각 지역이나 기업 또는 직종별 단위조합이 단체의 자격으로 지역적 내지 전국적 조직의 구성원이 되는 형태이다.</v>
      </c>
      <c r="F154" s="31">
        <f>IFERROR(VLOOKUP(C154,기출문제!D:G,4,0),"")</f>
        <v>2</v>
      </c>
      <c r="G154" s="32" t="str">
        <f t="shared" si="2"/>
        <v/>
      </c>
    </row>
    <row r="155" spans="2:7" ht="128.25" x14ac:dyDescent="0.3">
      <c r="B155" s="13">
        <v>148</v>
      </c>
      <c r="C155" s="14" t="s">
        <v>787</v>
      </c>
      <c r="D155" s="13"/>
      <c r="E155" s="15" t="str">
        <f>IFERROR(VLOOKUP(C155,기출문제!D:G,3,0),"")</f>
        <v>108. 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
① ㄱ. 감정적 요소 ㄴ. 인지적 요소 ㄷ. 행동적 요소
② ㄱ. 감정적 요소 ㄴ. 행동적 요소 ㄷ. 인지적 요소
③ ㄱ. 인지적 요소 ㄴ. 행동적 요소 ㄷ. 감정적 요소
④ ㄱ. 인지적 요소 ㄴ. 감정적 요소 ㄷ. 행동적 요소
⑤ ㄱ. 행동적 요소 ㄴ. 감정적 요소 ㄷ. 인지적 요소</v>
      </c>
      <c r="F155" s="31">
        <f>IFERROR(VLOOKUP(C155,기출문제!D:G,4,0),"")</f>
        <v>4</v>
      </c>
      <c r="G155" s="32" t="str">
        <f t="shared" si="2"/>
        <v/>
      </c>
    </row>
    <row r="156" spans="2:7" ht="156.75" x14ac:dyDescent="0.3">
      <c r="B156" s="13">
        <v>149</v>
      </c>
      <c r="C156" s="14" t="s">
        <v>788</v>
      </c>
      <c r="D156" s="13"/>
      <c r="E156" s="15" t="str">
        <f>IFERROR(VLOOKUP(C156,기출문제!D:G,3,0),"")</f>
        <v>109. 프렌치와 레이븐(French &amp; Raven)의 권력원천 분류에 따라 개인적 원천의 권력에 해당하는 것을 모두 고른 것은?
ㄱ. 강제적 권력
ㄴ. 준거적 권력
ㄷ. 전문적 권력
ㄹ. 합법적 권력
ㅁ. 보상적 권력
① ㄱ, ㄴ
② ㄴ, ㄷ
③ ㄷ, ㄹ
④ ㄹ, ㅁ
⑤ ㄱ, ㄴ, ㅁ</v>
      </c>
      <c r="F156" s="31">
        <f>IFERROR(VLOOKUP(C156,기출문제!D:G,4,0),"")</f>
        <v>2</v>
      </c>
      <c r="G156" s="32" t="str">
        <f t="shared" si="2"/>
        <v/>
      </c>
    </row>
    <row r="157" spans="2:7" ht="85.5" x14ac:dyDescent="0.3">
      <c r="B157" s="13">
        <v>150</v>
      </c>
      <c r="C157" s="14" t="s">
        <v>789</v>
      </c>
      <c r="D157" s="13"/>
      <c r="E157" s="15" t="str">
        <f>IFERROR(VLOOKUP(C157,기출문제!D:G,3,0),"")</f>
        <v>110. 모집 방법 중 사내공모제(job posting system)의 특징에 관한 설명으로 옳지 않은 것은?
① 종업원의 상위직급 승진 기회가 제한된다.
② 외부 인력의 영입이 차단되어 조직이 정체될 가능성이 있다.
③ 지원자의 소속부서 상사와의 인간관계가 훼손될 수 있다.
④ 특정부서의 선발 시 연고주의를 고집할 경우 조직 내 파벌이 조성될 수 있다.
⑤ 선발과정에서 여러번 탈락되었을 때 지원자의 심리적 위축감이 고조된다.</v>
      </c>
      <c r="F157" s="31">
        <f>IFERROR(VLOOKUP(C157,기출문제!D:G,4,0),"")</f>
        <v>1</v>
      </c>
      <c r="G157" s="32" t="str">
        <f t="shared" si="2"/>
        <v/>
      </c>
    </row>
    <row r="158" spans="2:7" ht="85.5" x14ac:dyDescent="0.3">
      <c r="B158" s="13">
        <v>151</v>
      </c>
      <c r="C158" s="14" t="s">
        <v>790</v>
      </c>
      <c r="D158" s="13"/>
      <c r="E158" s="15" t="str">
        <f>IFERROR(VLOOKUP(C158,기출문제!D:G,3,0),"")</f>
        <v>111. 인사고과의 오류 중 피고과자가 속한 사회적 집단에 대한 평가에 기초하여 판단하는 것은?
① 상동적 오류(stereotyping errors)
② 논리적 오류(logical errors)
③ 대비오류(contrast errors)
④ 근접오류(proximity errors)
⑤ 후광효과(halo effect)</v>
      </c>
      <c r="F158" s="31">
        <f>IFERROR(VLOOKUP(C158,기출문제!D:G,4,0),"")</f>
        <v>1</v>
      </c>
      <c r="G158" s="32" t="str">
        <f t="shared" si="2"/>
        <v/>
      </c>
    </row>
    <row r="159" spans="2:7" ht="85.5" x14ac:dyDescent="0.3">
      <c r="B159" s="13">
        <v>152</v>
      </c>
      <c r="C159" s="14" t="s">
        <v>791</v>
      </c>
      <c r="D159" s="13"/>
      <c r="E159" s="15" t="str">
        <f>IFERROR(VLOOKUP(C159,기출문제!D:G,3,0),"")</f>
        <v>112. 집단의사결정의 특징에 관한 설명으로 옳지 않은 것은?
① 구성원으로부터 다양한 정보를 얻을 수 있다.
② 의사결정에 참여한 구성원들의 교육효과가 높게 나타난다.
③ 구성원의 합의에 의한 것이므로 수용도와 응집력이 높아진다.
④ 서로의 의견에 비판없이 동의하는 경향이 있다.
⑤ 차선책을 채택하는 오류가 발생하지 않는다.</v>
      </c>
      <c r="F159" s="31">
        <f>IFERROR(VLOOKUP(C159,기출문제!D:G,4,0),"")</f>
        <v>5</v>
      </c>
      <c r="G159" s="32" t="str">
        <f t="shared" si="2"/>
        <v/>
      </c>
    </row>
    <row r="160" spans="2:7" ht="85.5" x14ac:dyDescent="0.3">
      <c r="B160" s="13">
        <v>153</v>
      </c>
      <c r="C160" s="14" t="s">
        <v>792</v>
      </c>
      <c r="D160" s="13"/>
      <c r="E160" s="15" t="str">
        <f>IFERROR(VLOOKUP(C160,기출문제!D:G,3,0),"")</f>
        <v>113. 생산성을 높이고, 유통을 효율화 시키는 등 주로 원가절감에 관심을 갖는 마케팅 개념은?
① 판매 개념
② 생산 개념
③ 관계마케팅 개념
④ 통합마케팅 개념
⑤ 내부마케팅 개념</v>
      </c>
      <c r="F160" s="31">
        <f>IFERROR(VLOOKUP(C160,기출문제!D:G,4,0),"")</f>
        <v>2</v>
      </c>
      <c r="G160" s="32" t="str">
        <f t="shared" si="2"/>
        <v/>
      </c>
    </row>
    <row r="161" spans="2:7" ht="85.5" x14ac:dyDescent="0.3">
      <c r="B161" s="13">
        <v>154</v>
      </c>
      <c r="C161" s="14" t="s">
        <v>793</v>
      </c>
      <c r="D161" s="13"/>
      <c r="E161" s="15" t="str">
        <f>IFERROR(VLOOKUP(C161,기출문제!D:G,3,0),"")</f>
        <v>114. 수요가 공급을 초과할 때 수요를 감소시키는 것을 목적으로 하는 마케팅관리 기법은?
① 전환적 마케팅(conversional marketing)
② 동시화 마케팅(synchro marketing)
③ 자극적 마케팅(stimulative marketing)
④ 개발적 마케팅(developmental marketing)
⑤ 디마케팅(demarketing)</v>
      </c>
      <c r="F161" s="31">
        <f>IFERROR(VLOOKUP(C161,기출문제!D:G,4,0),"")</f>
        <v>5</v>
      </c>
      <c r="G161" s="32" t="str">
        <f t="shared" si="2"/>
        <v/>
      </c>
    </row>
    <row r="162" spans="2:7" ht="85.5" x14ac:dyDescent="0.3">
      <c r="B162" s="13">
        <v>155</v>
      </c>
      <c r="C162" s="14" t="s">
        <v>794</v>
      </c>
      <c r="D162" s="13"/>
      <c r="E162" s="15" t="str">
        <f>IFERROR(VLOOKUP(C162,기출문제!D:G,3,0),"")</f>
        <v>115. 수직적 마케팅시스템(Vertical Marketing System) 중 소유권의 정도와 통제력이 강한 유형에 해당하는 것은?
① 계약형 VMS
② 기업형 VMS
③ 관리형 VMS
④ 협력형 VMS
⑤ 혼합형 VMS</v>
      </c>
      <c r="F162" s="31">
        <f>IFERROR(VLOOKUP(C162,기출문제!D:G,4,0),"")</f>
        <v>2</v>
      </c>
      <c r="G162" s="32" t="str">
        <f t="shared" si="2"/>
        <v/>
      </c>
    </row>
    <row r="163" spans="2:7" ht="85.5" x14ac:dyDescent="0.3">
      <c r="B163" s="13">
        <v>156</v>
      </c>
      <c r="C163" s="14" t="s">
        <v>795</v>
      </c>
      <c r="D163" s="13"/>
      <c r="E163" s="15" t="str">
        <f>IFERROR(VLOOKUP(C163,기출문제!D:G,3,0),"")</f>
        <v>116. 소비자 심리에 근거한 가격결정 방법으로 옳지 않은 것은?
① 종속가격(captive pricing)
② 단수가격(odd pricing)
③ 준거가격(reference pricing)
④ 긍지가격(prestige pricing)
⑤ 관습가격(customary pricing)</v>
      </c>
      <c r="F163" s="31">
        <f>IFERROR(VLOOKUP(C163,기출문제!D:G,4,0),"")</f>
        <v>1</v>
      </c>
      <c r="G163" s="32" t="str">
        <f t="shared" si="2"/>
        <v/>
      </c>
    </row>
    <row r="164" spans="2:7" ht="85.5" x14ac:dyDescent="0.3">
      <c r="B164" s="13">
        <v>157</v>
      </c>
      <c r="C164" s="14" t="s">
        <v>796</v>
      </c>
      <c r="D164" s="13"/>
      <c r="E164" s="15" t="str">
        <f>IFERROR(VLOOKUP(C164,기출문제!D:G,3,0),"")</f>
        <v>117. (주)한국의 유동자산은 1,200,000원이고, 유동비율과 당좌비율은 각각 200%와 150%이다. (주)한국의 재고자산은?
① 300,000원
② 600,000원
③ 900,000원
④ 1,800,000원
⑤ 2,400,000원</v>
      </c>
      <c r="F164" s="31">
        <f>IFERROR(VLOOKUP(C164,기출문제!D:G,4,0),"")</f>
        <v>1</v>
      </c>
      <c r="G164" s="32" t="str">
        <f t="shared" si="2"/>
        <v/>
      </c>
    </row>
    <row r="165" spans="2:7" ht="156.75" x14ac:dyDescent="0.3">
      <c r="B165" s="13">
        <v>158</v>
      </c>
      <c r="C165" s="14" t="s">
        <v>797</v>
      </c>
      <c r="D165" s="13"/>
      <c r="E165" s="15" t="str">
        <f>IFERROR(VLOOKUP(C165,기출문제!D:G,3,0),"")</f>
        <v>118. 투자안의 경제성분석방법 중 화폐의 시간가치를 고려한 방법을 모두 고른 것은?
ㄱ. 회수기간법
ㄴ. 수익성지수법
ㄷ. 회계적이익률법
ㄹ. 순현재가치법
ㅁ. 내부수익률법
① ㄱ, ㄴ
② ㄱ, ㄹ
③ ㄴ, ㄷ
④ ㄴ, ㄹ, ㅁ
⑤ ㄷ, ㄹ, ㅁ</v>
      </c>
      <c r="F165" s="31">
        <f>IFERROR(VLOOKUP(C165,기출문제!D:G,4,0),"")</f>
        <v>4</v>
      </c>
      <c r="G165" s="32" t="str">
        <f t="shared" si="2"/>
        <v/>
      </c>
    </row>
    <row r="166" spans="2:7" ht="99.75" x14ac:dyDescent="0.3">
      <c r="B166" s="13">
        <v>159</v>
      </c>
      <c r="C166" s="14" t="s">
        <v>798</v>
      </c>
      <c r="D166" s="13"/>
      <c r="E166" s="15" t="str">
        <f>IFERROR(VLOOKUP(C166,기출문제!D:G,3,0),"")</f>
        <v>119. (주)한국의 자기자본 시장가치와 타인자본 시장가치는 각각 5억원이다. 자기자본 비용은 16%이고, 세전타인자본비용은 12%이다. 법인세율이 50%일 때 (주)한국의 가중평균자본비용(WACC)은?
① 6%
② 8%
③ 11%
④ 13%
⑤ 15%</v>
      </c>
      <c r="F166" s="31">
        <f>IFERROR(VLOOKUP(C166,기출문제!D:G,4,0),"")</f>
        <v>3</v>
      </c>
      <c r="G166" s="32" t="str">
        <f t="shared" si="2"/>
        <v/>
      </c>
    </row>
    <row r="167" spans="2:7" ht="99.75" x14ac:dyDescent="0.3">
      <c r="B167" s="13">
        <v>160</v>
      </c>
      <c r="C167" s="14" t="s">
        <v>799</v>
      </c>
      <c r="D167" s="13"/>
      <c r="E167" s="15" t="str">
        <f>IFERROR(VLOOKUP(C167,기출문제!D:G,3,0),"")</f>
        <v>120. (주)한국의 A부품에 대한 연간수요는 4,000개이며, A부품 구입가격은 단위당 8,000원이다. 1회당 주문비용은 4,000원이고, 단위당 연간 재고유지비용은 구입가격의 10%일 때 A부품의 경제적 주문량(EOQ)은?
① 100개
② 200개
③ 300개
④ 400개
⑤ 600개</v>
      </c>
      <c r="F167" s="31">
        <f>IFERROR(VLOOKUP(C167,기출문제!D:G,4,0),"")</f>
        <v>2</v>
      </c>
      <c r="G167" s="32" t="str">
        <f t="shared" si="2"/>
        <v/>
      </c>
    </row>
    <row r="168" spans="2:7" ht="85.5" x14ac:dyDescent="0.3">
      <c r="B168" s="13">
        <v>161</v>
      </c>
      <c r="C168" s="14" t="s">
        <v>800</v>
      </c>
      <c r="D168" s="13"/>
      <c r="E168" s="15" t="str">
        <f>IFERROR(VLOOKUP(C168,기출문제!D:G,3,0),"")</f>
        <v>121. 수요예측기법 중 인과형 예측기법(causal forecasting methods)에 해당하는 것은?
① 델파이법
② 패널동의법
③ 회귀분석법
④ 판매원 의견종합법
⑤ 자료유추법</v>
      </c>
      <c r="F168" s="31">
        <f>IFERROR(VLOOKUP(C168,기출문제!D:G,4,0),"")</f>
        <v>3</v>
      </c>
      <c r="G168" s="32" t="str">
        <f t="shared" si="2"/>
        <v/>
      </c>
    </row>
    <row r="169" spans="2:7" ht="85.5" x14ac:dyDescent="0.3">
      <c r="B169" s="13">
        <v>162</v>
      </c>
      <c r="C169" s="14" t="s">
        <v>801</v>
      </c>
      <c r="D169" s="13"/>
      <c r="E169" s="15" t="str">
        <f>IFERROR(VLOOKUP(C169,기출문제!D:G,3,0),"")</f>
        <v>122. 포괄손익계산서의 계정에 해당하지 않는 것은?
① 감가상각비
② 광고비
③ 매출원가
④ 자기주식처분이익
⑤ 유형자산처분이익</v>
      </c>
      <c r="F169" s="31">
        <f>IFERROR(VLOOKUP(C169,기출문제!D:G,4,0),"")</f>
        <v>4</v>
      </c>
      <c r="G169" s="32" t="str">
        <f t="shared" si="2"/>
        <v/>
      </c>
    </row>
    <row r="170" spans="2:7" ht="99.75" x14ac:dyDescent="0.3">
      <c r="B170" s="13">
        <v>163</v>
      </c>
      <c r="C170" s="14" t="s">
        <v>802</v>
      </c>
      <c r="D170" s="13"/>
      <c r="E170" s="15" t="str">
        <f>IFERROR(VLOOKUP(C170,기출문제!D:G,3,0),"")</f>
        <v>123. (주)한국(결산일: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
① 처분이익 20,000원
② 처분손실 20,000원
③ 처분이익 100,000원
④ 처분손실 100,000원
⑤ 처분손실 300,000원</v>
      </c>
      <c r="F170" s="31">
        <f>IFERROR(VLOOKUP(C170,기출문제!D:G,4,0),"")</f>
        <v>1</v>
      </c>
      <c r="G170" s="32" t="str">
        <f t="shared" si="2"/>
        <v/>
      </c>
    </row>
    <row r="171" spans="2:7" ht="85.5" x14ac:dyDescent="0.3">
      <c r="B171" s="13">
        <v>164</v>
      </c>
      <c r="C171" s="14" t="s">
        <v>803</v>
      </c>
      <c r="D171" s="13"/>
      <c r="E171" s="15" t="str">
        <f>IFERROR(VLOOKUP(C171,기출문제!D:G,3,0),"")</f>
        <v>124. 다음 중 자본잉여금에 해당하는 항목은?
① 미교부주식배당금
② 법정적립금
③ 임의적립금
④ 미처분이익잉여금
⑤ 주식발행초과금</v>
      </c>
      <c r="F171" s="31">
        <f>IFERROR(VLOOKUP(C171,기출문제!D:G,4,0),"")</f>
        <v>5</v>
      </c>
      <c r="G171" s="32" t="str">
        <f t="shared" si="2"/>
        <v/>
      </c>
    </row>
    <row r="172" spans="2:7" ht="85.5" x14ac:dyDescent="0.3">
      <c r="B172" s="13">
        <v>165</v>
      </c>
      <c r="C172" s="14" t="s">
        <v>804</v>
      </c>
      <c r="D172" s="13"/>
      <c r="E172" s="15" t="str">
        <f>IFERROR(VLOOKUP(C172,기출문제!D:G,3,0),"")</f>
        <v>125. 스마트폰에 신용카드 등의 금융정보를 담아 10 ~ 15 cm의 근거리에서 결제를 가능하게 하는 무선통신기술은?
① 블루투스(Bluetooth)
② GPS(Global Positioning System)
③ NFC(Near Field Communication)
④ IoT(Internet of Things)
⑤ 텔레매틱스(Telematics)</v>
      </c>
      <c r="F172" s="31">
        <f>IFERROR(VLOOKUP(C172,기출문제!D:G,4,0),"")</f>
        <v>3</v>
      </c>
      <c r="G172" s="32" t="str">
        <f t="shared" si="2"/>
        <v/>
      </c>
    </row>
    <row r="173" spans="2:7" ht="85.5" x14ac:dyDescent="0.3">
      <c r="B173" s="13">
        <v>166</v>
      </c>
      <c r="C173" s="14" t="s">
        <v>188</v>
      </c>
      <c r="D173" s="13"/>
      <c r="E173" s="15" t="str">
        <f>IFERROR(VLOOKUP(C173,기출문제!D:G,3,0),"")</f>
        <v>101. 동종 또는 유사업종의 기업들이 법적, 경제적 독립성을 유지하면서 협정을 통해 수평적으로 결합하는 형태는?
① 지주회사(Holding Company)
② 카르텔(Cartel)
③ 컨글로메리트(Conglomerate)
④ 트러스트(Trust)
⑤ 콘체른(Concern)</v>
      </c>
      <c r="F173" s="31">
        <f>IFERROR(VLOOKUP(C173,기출문제!D:G,4,0),"")</f>
        <v>2</v>
      </c>
      <c r="G173" s="32" t="str">
        <f t="shared" si="2"/>
        <v/>
      </c>
    </row>
    <row r="174" spans="2:7" ht="85.5" x14ac:dyDescent="0.3">
      <c r="B174" s="13">
        <v>167</v>
      </c>
      <c r="C174" s="14" t="s">
        <v>806</v>
      </c>
      <c r="D174" s="13"/>
      <c r="E174" s="15" t="str">
        <f>IFERROR(VLOOKUP(C174,기출문제!D:G,3,0),"")</f>
        <v>102. 포터(M. Porter)의 경쟁전략 유형에 해당하는 것은?
① 차별화(Differentitaion) 전략
② 블루오션(Blue Ocean) 전략
③ 방어자(Defender) 전략
④ 반응자(Reactor) 전략
⑤ 분석자(Analyzer) 전략</v>
      </c>
      <c r="F174" s="31">
        <f>IFERROR(VLOOKUP(C174,기출문제!D:G,4,0),"")</f>
        <v>1</v>
      </c>
      <c r="G174" s="32" t="str">
        <f t="shared" si="2"/>
        <v/>
      </c>
    </row>
    <row r="175" spans="2:7" ht="128.25" x14ac:dyDescent="0.3">
      <c r="B175" s="13">
        <v>168</v>
      </c>
      <c r="C175" s="14" t="s">
        <v>807</v>
      </c>
      <c r="D175" s="13"/>
      <c r="E175" s="15" t="str">
        <f>IFERROR(VLOOKUP(C175,기출문제!D:G,3,0),"")</f>
        <v>103. 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
① 기대이론
② 공정성이론
③ 욕구단계이론
④ 목표설정이론
⑤ 인지적평가이론</v>
      </c>
      <c r="F175" s="31">
        <f>IFERROR(VLOOKUP(C175,기출문제!D:G,4,0),"")</f>
        <v>2</v>
      </c>
      <c r="G175" s="32" t="str">
        <f t="shared" si="2"/>
        <v/>
      </c>
    </row>
    <row r="176" spans="2:7" ht="85.5" x14ac:dyDescent="0.3">
      <c r="B176" s="13">
        <v>169</v>
      </c>
      <c r="C176" s="14" t="s">
        <v>808</v>
      </c>
      <c r="D176" s="13"/>
      <c r="E176" s="15" t="str">
        <f>IFERROR(VLOOKUP(C176,기출문제!D:G,3,0),"")</f>
        <v>104. 평가센터법(Assessment Center)에 관한 설명으로 옳지 않은 것은?
① 평가에 대한 신뢰성이 양호하다.
② 승진에 대한 의사결정에 유용하다.
③ 교육훈련에 대한 타당성이 높다.
④ 평가센터에 초대받지 못한 종업원의 심리적 저항이 예상된다.
⑤ 다른 평가기법에 비해 상대적으로 비용과 시간이 적게 소요된다.</v>
      </c>
      <c r="F176" s="31">
        <f>IFERROR(VLOOKUP(C176,기출문제!D:G,4,0),"")</f>
        <v>5</v>
      </c>
      <c r="G176" s="32" t="str">
        <f t="shared" si="2"/>
        <v/>
      </c>
    </row>
    <row r="177" spans="2:7" ht="85.5" x14ac:dyDescent="0.3">
      <c r="B177" s="13">
        <v>170</v>
      </c>
      <c r="C177" s="14" t="s">
        <v>809</v>
      </c>
      <c r="D177" s="13"/>
      <c r="E177" s="15" t="str">
        <f>IFERROR(VLOOKUP(C177,기출문제!D:G,3,0),"")</f>
        <v>105. 최저임금제의 필요성으로 옳지 않은 것은?
① 계약자유 원칙의 한계 보완
② 저임금 노동자 보호
③ 임금인하 경쟁 방지
④ 유효수요 창출
⑤ 소비자 부담 완화</v>
      </c>
      <c r="F177" s="31">
        <f>IFERROR(VLOOKUP(C177,기출문제!D:G,4,0),"")</f>
        <v>5</v>
      </c>
      <c r="G177" s="32" t="str">
        <f t="shared" si="2"/>
        <v/>
      </c>
    </row>
    <row r="178" spans="2:7" ht="99.75" x14ac:dyDescent="0.3">
      <c r="B178" s="13">
        <v>171</v>
      </c>
      <c r="C178" s="14" t="s">
        <v>810</v>
      </c>
      <c r="D178" s="13"/>
      <c r="E178" s="15" t="str">
        <f>IFERROR(VLOOKUP(C178,기출문제!D:G,3,0),"")</f>
        <v>106. 인사평가방법중 피평가자의 능력, 태도, 작업, 성과 등에 관련된 표준행동들을 제시하고 평가자가 해당 서술문을 대조하여 평가하는 방법은?
① 서열법
② 평정척도법
③ 체크리스트법
④ 중요사건기술법
⑤ 목표관리법</v>
      </c>
      <c r="F178" s="31">
        <f>IFERROR(VLOOKUP(C178,기출문제!D:G,4,0),"")</f>
        <v>3</v>
      </c>
      <c r="G178" s="32" t="str">
        <f t="shared" si="2"/>
        <v/>
      </c>
    </row>
    <row r="179" spans="2:7" ht="85.5" x14ac:dyDescent="0.3">
      <c r="B179" s="13">
        <v>172</v>
      </c>
      <c r="C179" s="14" t="s">
        <v>811</v>
      </c>
      <c r="D179" s="13"/>
      <c r="E179" s="15" t="str">
        <f>IFERROR(VLOOKUP(C179,기출문제!D:G,3,0),"")</f>
        <v>107. 교육훈련 필요성을 파악하기 위한 일반적인 분석방법이 아닌 것은?
① 전문가 자문법
② 역할연기법
③ 자료조사법
④ 면접법
⑤ 델파이기법</v>
      </c>
      <c r="F179" s="31">
        <f>IFERROR(VLOOKUP(C179,기출문제!D:G,4,0),"")</f>
        <v>2</v>
      </c>
      <c r="G179" s="32" t="str">
        <f t="shared" si="2"/>
        <v/>
      </c>
    </row>
    <row r="180" spans="2:7" ht="99.75" x14ac:dyDescent="0.3">
      <c r="B180" s="13">
        <v>173</v>
      </c>
      <c r="C180" s="14" t="s">
        <v>812</v>
      </c>
      <c r="D180" s="13"/>
      <c r="E180" s="15" t="str">
        <f>IFERROR(VLOOKUP(C180,기출문제!D:G,3,0),"")</f>
        <v>108. 맥그리거(D. McGregor)의 X - Y이론은 인간에 대한 기본 가정에 따라 동기부여방식이 달라진다는 것이다. Y이론에 해당하는 가정 또는 동기부여방식이 아닌 것은?
① 문제해결을 위한 창조적 능력 보유
② 직무수행에 대한 분명한 지시
③ 조직목표 달성을 위한 자기 통제
④ 성취감과 자아실현 추구
⑤ 노동에 대한 자연스러운 수용</v>
      </c>
      <c r="F180" s="31">
        <f>IFERROR(VLOOKUP(C180,기출문제!D:G,4,0),"")</f>
        <v>2</v>
      </c>
      <c r="G180" s="32" t="str">
        <f t="shared" si="2"/>
        <v/>
      </c>
    </row>
    <row r="181" spans="2:7" ht="85.5" x14ac:dyDescent="0.3">
      <c r="B181" s="13">
        <v>174</v>
      </c>
      <c r="C181" s="14" t="s">
        <v>813</v>
      </c>
      <c r="D181" s="13"/>
      <c r="E181" s="15" t="str">
        <f>IFERROR(VLOOKUP(C181,기출문제!D:G,3,0),"")</f>
        <v>109. 서번트 리더의 특성으로 옳지 않은 것은?
① 부하의 성장을 위해 헌신한다.
② 부하의 감정에 공감하고 이해하려고 노력한다.
③ 권력이나 지시보다는 설득으로 부하를 대한다.
④ 조직의 구성원들에게 공동체 정신을 심어준다.
⑤ 비전 달성을 위해 위험감수 등 비범한 행동을 보인다.</v>
      </c>
      <c r="F181" s="31">
        <f>IFERROR(VLOOKUP(C181,기출문제!D:G,4,0),"")</f>
        <v>5</v>
      </c>
      <c r="G181" s="32" t="str">
        <f t="shared" si="2"/>
        <v/>
      </c>
    </row>
    <row r="182" spans="2:7" ht="128.25" x14ac:dyDescent="0.3">
      <c r="B182" s="13">
        <v>175</v>
      </c>
      <c r="C182" s="14" t="s">
        <v>814</v>
      </c>
      <c r="D182" s="13"/>
      <c r="E182" s="15" t="str">
        <f>IFERROR(VLOOKUP(C182,기출문제!D:G,3,0),"")</f>
        <v>110. 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
① 연봉제
② 개인성과급제
③ 임금피크제
④ 럭커 플랜
⑤ 스캔론 플랜</v>
      </c>
      <c r="F182" s="31">
        <f>IFERROR(VLOOKUP(C182,기출문제!D:G,4,0),"")</f>
        <v>4</v>
      </c>
      <c r="G182" s="32" t="str">
        <f t="shared" si="2"/>
        <v/>
      </c>
    </row>
    <row r="183" spans="2:7" ht="142.5" x14ac:dyDescent="0.3">
      <c r="B183" s="13">
        <v>176</v>
      </c>
      <c r="C183" s="14" t="s">
        <v>815</v>
      </c>
      <c r="D183" s="13"/>
      <c r="E183" s="15" t="str">
        <f>IFERROR(VLOOKUP(C183,기출문제!D:G,3,0),"")</f>
        <v>111. 다음에서 설명하는 소비재는?
○ 특정 브랜드에 대한 고객 충성도가 높다.
○ 제품마다 고유한 특성을 지니고 있다.
○ 브랜드마다 차이가 크다.
○ 구매 시 많은 시간과 노력을 필요로 한다.
① 편의품(Convenience Goods)
② 선매품(Shopping Goods)
③ 전문품(Specialty Goods)
④ 자본재(Captical Items)
⑤ 원자재(Raw Materials)</v>
      </c>
      <c r="F183" s="31">
        <f>IFERROR(VLOOKUP(C183,기출문제!D:G,4,0),"")</f>
        <v>3</v>
      </c>
      <c r="G183" s="32" t="str">
        <f t="shared" si="2"/>
        <v/>
      </c>
    </row>
    <row r="184" spans="2:7" ht="85.5" x14ac:dyDescent="0.3">
      <c r="B184" s="13">
        <v>177</v>
      </c>
      <c r="C184" s="14" t="s">
        <v>816</v>
      </c>
      <c r="D184" s="13"/>
      <c r="E184" s="15" t="str">
        <f>IFERROR(VLOOKUP(C184,기출문제!D:G,3,0),"")</f>
        <v>112. 신제품 가격결정방법 중 초기고가전략(Skimming Pricing)을 채택하기 어려운 이유는?
① 수요의 가격탄력성이 높은 경우
② 생산 및 마케팅 비용이 높은 경우
③ 경쟁자의 시장진입이 어려운 경우
④ 제품의 혁신성이 큰 경우
⑤ 독보적인 기술이 있는 경우</v>
      </c>
      <c r="F184" s="31">
        <f>IFERROR(VLOOKUP(C184,기출문제!D:G,4,0),"")</f>
        <v>1</v>
      </c>
      <c r="G184" s="32" t="str">
        <f t="shared" si="2"/>
        <v/>
      </c>
    </row>
    <row r="185" spans="2:7" ht="85.5" x14ac:dyDescent="0.3">
      <c r="B185" s="13">
        <v>178</v>
      </c>
      <c r="C185" s="14" t="s">
        <v>817</v>
      </c>
      <c r="D185" s="13"/>
      <c r="E185" s="15" t="str">
        <f>IFERROR(VLOOKUP(C185,기출문제!D:G,3,0),"")</f>
        <v>113. 효과적인 시장세분화를 위한 요건으로 옳지 않은 것은?
① 측정가능성
② 충분한 시장 규모
③ 접근가능성
④ 세분시장 간의 동질성
⑤ 실행가능성</v>
      </c>
      <c r="F185" s="31">
        <f>IFERROR(VLOOKUP(C185,기출문제!D:G,4,0),"")</f>
        <v>4</v>
      </c>
      <c r="G185" s="32" t="str">
        <f t="shared" si="2"/>
        <v/>
      </c>
    </row>
    <row r="186" spans="2:7" ht="85.5" x14ac:dyDescent="0.3">
      <c r="B186" s="13">
        <v>179</v>
      </c>
      <c r="C186" s="14" t="s">
        <v>818</v>
      </c>
      <c r="D186" s="13"/>
      <c r="E186" s="15" t="str">
        <f>IFERROR(VLOOKUP(C186,기출문제!D:G,3,0),"")</f>
        <v>114. 촉진믹스(Promotion Mix) 활동에 해당되지 않는 것은?
① 옥외광고
② 방문판매
③ 홍보
④ 가격할인
⑤ 개방적 유통</v>
      </c>
      <c r="F186" s="31">
        <f>IFERROR(VLOOKUP(C186,기출문제!D:G,4,0),"")</f>
        <v>5</v>
      </c>
      <c r="G186" s="32" t="str">
        <f t="shared" si="2"/>
        <v/>
      </c>
    </row>
    <row r="187" spans="2:7" ht="99.75" x14ac:dyDescent="0.3">
      <c r="B187" s="13">
        <v>180</v>
      </c>
      <c r="C187" s="14" t="s">
        <v>819</v>
      </c>
      <c r="D187" s="13"/>
      <c r="E187" s="15" t="str">
        <f>IFERROR(VLOOKUP(C187,기출문제!D:G,3,0),"")</f>
        <v>115. A기업은 액면가액 10,000원, 만기 2년, 액면이자율 연 3%인 채권을 발행하였다. 시장이자율이 연 2%라면, 이 채권의 이론가격은? (단, 가격은 소수점 첫째 자리에서 반올림한다.)
① 9,194원
② 9,594원
③ 10,194원
④ 10,594원
⑤ 10,994원</v>
      </c>
      <c r="F187" s="31">
        <f>IFERROR(VLOOKUP(C187,기출문제!D:G,4,0),"")</f>
        <v>3</v>
      </c>
      <c r="G187" s="32" t="str">
        <f t="shared" si="2"/>
        <v/>
      </c>
    </row>
    <row r="188" spans="2:7" ht="99.75" x14ac:dyDescent="0.3">
      <c r="B188" s="13">
        <v>181</v>
      </c>
      <c r="C188" s="14" t="s">
        <v>820</v>
      </c>
      <c r="D188" s="13"/>
      <c r="E188" s="15" t="str">
        <f>IFERROR(VLOOKUP(C188,기출문제!D:G,3,0),"")</f>
        <v>116. 자본예산은 투자로 인한 수익이 1년 이상에 걸쳐 장기적으로 실현될 투자결정에 관한 일련의 과정을 말한다. 투자안의 평가방법에 해당하지 않는 것은?
① 유동성분석법
② 수익성지수법
③ 순현재가치법
④ 내부수익률법
⑤ 회수기간법</v>
      </c>
      <c r="F188" s="31">
        <f>IFERROR(VLOOKUP(C188,기출문제!D:G,4,0),"")</f>
        <v>1</v>
      </c>
      <c r="G188" s="32" t="str">
        <f t="shared" si="2"/>
        <v/>
      </c>
    </row>
    <row r="189" spans="2:7" ht="114" x14ac:dyDescent="0.3">
      <c r="B189" s="13">
        <v>182</v>
      </c>
      <c r="C189" s="14" t="s">
        <v>821</v>
      </c>
      <c r="D189" s="13"/>
      <c r="E189" s="15" t="str">
        <f>IFERROR(VLOOKUP(C189,기출문제!D:G,3,0),"")</f>
        <v>117. 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
① 90,910원
② 173,550원
③ 182,640원
④ 235,500원
⑤ 256,190원</v>
      </c>
      <c r="F189" s="31">
        <f>IFERROR(VLOOKUP(C189,기출문제!D:G,4,0),"")</f>
        <v>4</v>
      </c>
      <c r="G189" s="32" t="str">
        <f t="shared" si="2"/>
        <v/>
      </c>
    </row>
    <row r="190" spans="2:7" ht="99.75" x14ac:dyDescent="0.3">
      <c r="B190" s="13">
        <v>183</v>
      </c>
      <c r="C190" s="14" t="s">
        <v>822</v>
      </c>
      <c r="D190" s="13"/>
      <c r="E190" s="15" t="str">
        <f>IFERROR(VLOOKUP(C190,기출문제!D:G,3,0),"")</f>
        <v>118. 최종품목 또는 완제품의 주생산일정계획(Master Production Schedule)을 기반으로 제품생산에 필요한 각종 원자재, 부품, 중간조립품의 주문량과 주문시기를 결정하는 재고관리방법은?
① 자재소요계획(MRP)
② 적시(JIT) 생산시스템
③ 린(Lean) 생산
④ 공급사슬관리(SCM)
⑤ 칸반(Kanban) 시스템</v>
      </c>
      <c r="F190" s="31">
        <f>IFERROR(VLOOKUP(C190,기출문제!D:G,4,0),"")</f>
        <v>1</v>
      </c>
      <c r="G190" s="32" t="str">
        <f t="shared" si="2"/>
        <v/>
      </c>
    </row>
    <row r="191" spans="2:7" ht="99.75" x14ac:dyDescent="0.3">
      <c r="B191" s="13">
        <v>184</v>
      </c>
      <c r="C191" s="14" t="s">
        <v>823</v>
      </c>
      <c r="D191" s="13"/>
      <c r="E191" s="15" t="str">
        <f>IFERROR(VLOOKUP(C191,기출문제!D:G,3,0),"")</f>
        <v>119. 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
① 50대, 5회
② 50대, 10회
③ 100대, 5회
④ 100대, 7회
⑤ 250대, 2회</v>
      </c>
      <c r="F191" s="31">
        <f>IFERROR(VLOOKUP(C191,기출문제!D:G,4,0),"")</f>
        <v>3</v>
      </c>
      <c r="G191" s="32" t="str">
        <f t="shared" si="2"/>
        <v/>
      </c>
    </row>
    <row r="192" spans="2:7" ht="85.5" x14ac:dyDescent="0.3">
      <c r="B192" s="13">
        <v>185</v>
      </c>
      <c r="C192" s="14" t="s">
        <v>824</v>
      </c>
      <c r="D192" s="13"/>
      <c r="E192" s="15" t="str">
        <f>IFERROR(VLOOKUP(C192,기출문제!D:G,3,0),"")</f>
        <v>120. 재고품목을 가치나 상대적 중요도에 따라 차별화하여 관리하는 ABC 재고관리에 관한 설명으로 옳은 것은?
① A등급은 재고가치가 낮은 품목들이 속한다.
② A등급 품목은 로트 크기를 크게 유지한다.
③ C등급 품목은 재고유지비가 높다.
④ ABC등급 분석을 위해 롱테일(Long Tail)법칙을 활용한다.
⑤ 가격, 사용량 등을 기준으로 등급을 구분한다.</v>
      </c>
      <c r="F192" s="31">
        <f>IFERROR(VLOOKUP(C192,기출문제!D:G,4,0),"")</f>
        <v>5</v>
      </c>
      <c r="G192" s="32" t="str">
        <f t="shared" si="2"/>
        <v/>
      </c>
    </row>
    <row r="193" spans="2:7" ht="114" x14ac:dyDescent="0.3">
      <c r="B193" s="13">
        <v>186</v>
      </c>
      <c r="C193" s="14" t="s">
        <v>825</v>
      </c>
      <c r="D193" s="13"/>
      <c r="E193" s="15" t="str">
        <f>IFERROR(VLOOKUP(C193,기출문제!D:G,3,0),"")</f>
        <v>121. 시산표는 재무상태표 구성요소와 포괄손익계산서 구성요소를 한 곳에 집계한 표이다. 다음 시산표 등식에서 ( )에 들어갈 항목으로 옳은 것은?
○ 자산 + 비용 = 부채 + ( ) + 수익
① 매출액
② 자본
③ 법인세
④ 미지급금
⑤ 감가상각비</v>
      </c>
      <c r="F193" s="31">
        <f>IFERROR(VLOOKUP(C193,기출문제!D:G,4,0),"")</f>
        <v>2</v>
      </c>
      <c r="G193" s="32" t="str">
        <f t="shared" si="2"/>
        <v/>
      </c>
    </row>
    <row r="194" spans="2:7" ht="142.5" x14ac:dyDescent="0.3">
      <c r="B194" s="13">
        <v>187</v>
      </c>
      <c r="C194" s="14" t="s">
        <v>826</v>
      </c>
      <c r="D194" s="13"/>
      <c r="E194" s="15" t="str">
        <f>IFERROR(VLOOKUP(C194,기출문제!D:G,3,0),"")</f>
        <v>122. 당좌자산에 해당하는 것을 모두 고른 것은?
ㄱ. 현금
ㄴ. 보통예금
ㄷ. 투자부동산
ㄹ. 단기금융상품
① ㄱ, ㄴ
② ㄷ, ㄹ
③ ㄱ, ㄴ, ㄹ
④ ㄴ, ㄷ, ㄹ
⑤ ㄱ, ㄴ, ㄷ, ㄹ</v>
      </c>
      <c r="F194" s="31">
        <f>IFERROR(VLOOKUP(C194,기출문제!D:G,4,0),"")</f>
        <v>3</v>
      </c>
      <c r="G194" s="32" t="str">
        <f t="shared" si="2"/>
        <v/>
      </c>
    </row>
    <row r="195" spans="2:7" ht="85.5" x14ac:dyDescent="0.3">
      <c r="B195" s="13">
        <v>188</v>
      </c>
      <c r="C195" s="14" t="s">
        <v>827</v>
      </c>
      <c r="D195" s="13"/>
      <c r="E195" s="15" t="str">
        <f>IFERROR(VLOOKUP(C195,기출문제!D:G,3,0),"")</f>
        <v>123. 재무상태표의 항목에 해당되지 않는 것은?
① 차입금
② 이익잉여금
③ 매출채권
④ 판매비
⑤ 재고자산</v>
      </c>
      <c r="F195" s="31">
        <f>IFERROR(VLOOKUP(C195,기출문제!D:G,4,0),"")</f>
        <v>4</v>
      </c>
      <c r="G195" s="32" t="str">
        <f t="shared" si="2"/>
        <v/>
      </c>
    </row>
    <row r="196" spans="2:7" ht="99.75" x14ac:dyDescent="0.3">
      <c r="B196" s="13">
        <v>189</v>
      </c>
      <c r="C196" s="14" t="s">
        <v>828</v>
      </c>
      <c r="D196" s="13"/>
      <c r="E196" s="15" t="str">
        <f>IFERROR(VLOOKUP(C196,기출문제!D:G,3,0),"")</f>
        <v>124. 네트워크 붕괴를 목적으로 다수의 잘못된 통신이나 서비스 요청을 특정 네트워크 또는 웹 서버에 보내는 방식을 의미하는 것은?
① 스푸핑(Spoofing)
② 스니핑(Sniffing)
③ 서비스 거부 공격(Denial - of - Service Attack)
④ 신원도용(Identity Theft)
⑤ 피싱(Phishing)</v>
      </c>
      <c r="F196" s="31">
        <f>IFERROR(VLOOKUP(C196,기출문제!D:G,4,0),"")</f>
        <v>3</v>
      </c>
      <c r="G196" s="32" t="str">
        <f t="shared" si="2"/>
        <v/>
      </c>
    </row>
    <row r="197" spans="2:7" ht="114" x14ac:dyDescent="0.3">
      <c r="B197" s="13">
        <v>190</v>
      </c>
      <c r="C197" s="14" t="s">
        <v>829</v>
      </c>
      <c r="D197" s="13"/>
      <c r="E197" s="15" t="str">
        <f>IFERROR(VLOOKUP(C197,기출문제!D:G,3,0),"")</f>
        <v>125. 다음에서 설명하는 것은?
○ 지리적으로 분산된 네트워크 환경에서 수 많은 컴퓨터와 저장장치, 데이터베이스 시스템 등과 같은 자원들을 고속 네트워크로 연결하여 그 자원을 공유할 수 있도록 하는 방식
① 전문가 시스템(Expert System)
② 그린 컴퓨팅(Green Computing)
③ 사물인터넷(Internet of Things)
④ 그리드 컴퓨팅(Grid Computing)
⑤ 인트라넷(Intranet)</v>
      </c>
      <c r="F197" s="31">
        <f>IFERROR(VLOOKUP(C197,기출문제!D:G,4,0),"")</f>
        <v>4</v>
      </c>
      <c r="G197" s="32" t="str">
        <f t="shared" si="2"/>
        <v/>
      </c>
    </row>
    <row r="198" spans="2:7" ht="85.5" x14ac:dyDescent="0.3">
      <c r="B198" s="13">
        <v>191</v>
      </c>
      <c r="C198" s="14" t="s">
        <v>232</v>
      </c>
      <c r="D198" s="13"/>
      <c r="E198" s="15" t="str">
        <f>IFERROR(VLOOKUP(C198,기출문제!D:G,3,0),"")</f>
        <v>101. 제품/시장 매트릭스(product/market matrix)에서 신제품을 가지고 신시장에 진출하는 성장전략은?
① 다각화 전략
② 제품개발 전략
③ 집중화 전략
④ 시장침투 전략
⑤ 시장개발 전략</v>
      </c>
      <c r="F198" s="31">
        <f>IFERROR(VLOOKUP(C198,기출문제!D:G,4,0),"")</f>
        <v>1</v>
      </c>
      <c r="G198" s="32" t="str">
        <f t="shared" si="2"/>
        <v/>
      </c>
    </row>
    <row r="199" spans="2:7" ht="85.5" x14ac:dyDescent="0.3">
      <c r="B199" s="13">
        <v>192</v>
      </c>
      <c r="C199" s="14" t="s">
        <v>977</v>
      </c>
      <c r="D199" s="13"/>
      <c r="E199" s="15" t="str">
        <f>IFERROR(VLOOKUP(C199,기출문제!D:G,3,0),"")</f>
        <v>102. 경영이론의 주창자와 그 내용이 옳지 않은 것은?
① 테일러(Taylor): 차별적 성과급제
② 메이요(Mayo): 비공식 조직의 중시
③ 페이욜(Fayol): 권한과 책임의 원칙
④ 포드(Ford): 고임금 고가격의 원칙
⑤ 베버(Weber): 규칙과 절차의 중시</v>
      </c>
      <c r="F199" s="31">
        <f>IFERROR(VLOOKUP(C199,기출문제!D:G,4,0),"")</f>
        <v>4</v>
      </c>
      <c r="G199" s="32" t="str">
        <f t="shared" si="2"/>
        <v/>
      </c>
    </row>
    <row r="200" spans="2:7" ht="85.5" x14ac:dyDescent="0.3">
      <c r="B200" s="13">
        <v>193</v>
      </c>
      <c r="C200" s="14" t="s">
        <v>978</v>
      </c>
      <c r="D200" s="13"/>
      <c r="E200" s="15" t="str">
        <f>IFERROR(VLOOKUP(C200,기출문제!D:G,3,0),"")</f>
        <v>103. 생산수량과 일정을 토대로 필요한 자재조달 계획을 수립하는 관리시스템은?
① CIM
② FMS
③ MRP
④ SCM
⑤ TQM</v>
      </c>
      <c r="F200" s="31">
        <f>IFERROR(VLOOKUP(C200,기출문제!D:G,4,0),"")</f>
        <v>3</v>
      </c>
      <c r="G200" s="32" t="str">
        <f t="shared" si="2"/>
        <v/>
      </c>
    </row>
    <row r="201" spans="2:7" ht="128.25" x14ac:dyDescent="0.3">
      <c r="B201" s="13">
        <v>194</v>
      </c>
      <c r="C201" s="14" t="s">
        <v>979</v>
      </c>
      <c r="D201" s="13"/>
      <c r="E201" s="15" t="str">
        <f>IFERROR(VLOOKUP(C201,기출문제!D:G,3,0),"")</f>
        <v>104. 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
① 제도화이론
② 자원의존이론
③ 조직군생태학이론
④ 거래비용이론
⑤ 학습조직이론</v>
      </c>
      <c r="F201" s="31">
        <f>IFERROR(VLOOKUP(C201,기출문제!D:G,4,0),"")</f>
        <v>2</v>
      </c>
      <c r="G201" s="32" t="str">
        <f t="shared" ref="G201:G264" si="3">IF(D201="","",IF(D201=F201,"O", "X"))</f>
        <v/>
      </c>
    </row>
    <row r="202" spans="2:7" ht="128.25" x14ac:dyDescent="0.3">
      <c r="B202" s="13">
        <v>195</v>
      </c>
      <c r="C202" s="14" t="s">
        <v>980</v>
      </c>
      <c r="D202" s="13"/>
      <c r="E202" s="15" t="str">
        <f>IFERROR(VLOOKUP(C202,기출문제!D:G,3,0),"")</f>
        <v>105. 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
① 직무순환
② 직무전문화
③ 직무특성화
④ 수평적 직무확대
⑤ 직무충실화</v>
      </c>
      <c r="F202" s="31">
        <f>IFERROR(VLOOKUP(C202,기출문제!D:G,4,0),"")</f>
        <v>5</v>
      </c>
      <c r="G202" s="32" t="str">
        <f t="shared" si="3"/>
        <v/>
      </c>
    </row>
    <row r="203" spans="2:7" ht="142.5" x14ac:dyDescent="0.3">
      <c r="B203" s="13">
        <v>196</v>
      </c>
      <c r="C203" s="14" t="s">
        <v>981</v>
      </c>
      <c r="D203" s="13"/>
      <c r="E203" s="15" t="str">
        <f>IFERROR(VLOOKUP(C203,기출문제!D:G,3,0),"")</f>
        <v>106. 호손실험(Hawthorne experiment)의 순서가 바르게 나열된 것은?
ㄱ. 면접실험
ㄴ. 조명실험
ㄷ. 배전기 전선작업실 관찰
ㄹ. 계전기 조립실험
① ㄱ → ㄴ → ㄷ → ㄹ
② ㄱ → ㄹ → ㄷ → ㄴ
③ ㄴ → ㄹ → ㄱ → ㄷ
④ ㄴ → ㄹ → ㄷ → ㄱ
⑤ ㄹ → ㄱ → ㄷ → ㄴ</v>
      </c>
      <c r="F203" s="31">
        <f>IFERROR(VLOOKUP(C203,기출문제!D:G,4,0),"")</f>
        <v>3</v>
      </c>
      <c r="G203" s="32" t="str">
        <f t="shared" si="3"/>
        <v/>
      </c>
    </row>
    <row r="204" spans="2:7" ht="85.5" x14ac:dyDescent="0.3">
      <c r="B204" s="13">
        <v>197</v>
      </c>
      <c r="C204" s="14" t="s">
        <v>982</v>
      </c>
      <c r="D204" s="13"/>
      <c r="E204" s="15" t="str">
        <f>IFERROR(VLOOKUP(C204,기출문제!D:G,3,0),"")</f>
        <v>107. 기대이론에서 동기부여를 유발하는 요인에 관한 설명으로 옳지 않은 것은?
① 수단성이 높아야 동기부여가 된다.
② 기대가 높아야 동기부여가 된다.
③ 조직에 대한 신뢰가 클수록 수단성이 높아진다.
④ 가치관에 부합되는 보상이 주어질수록 유의성이 높아진다.
⑤ 종업원들은 주어진 보상에 대하여 동일한 유의성을 갖는다.</v>
      </c>
      <c r="F204" s="31">
        <f>IFERROR(VLOOKUP(C204,기출문제!D:G,4,0),"")</f>
        <v>5</v>
      </c>
      <c r="G204" s="32" t="str">
        <f t="shared" si="3"/>
        <v/>
      </c>
    </row>
    <row r="205" spans="2:7" ht="85.5" x14ac:dyDescent="0.3">
      <c r="B205" s="13">
        <v>198</v>
      </c>
      <c r="C205" s="14" t="s">
        <v>983</v>
      </c>
      <c r="D205" s="13"/>
      <c r="E205" s="15" t="str">
        <f>IFERROR(VLOOKUP(C205,기출문제!D:G,3,0),"")</f>
        <v>108. 리더십에 관한 설명으로 옳지 않은 것은?
① 거래적 리더십은 리더와 종업원 사이의 교환이나 거래관계를 통해 발휘된다.
② 서번트 리더십은 목표달성이라는 결과보다 구성원에 대한 서비스에 초점을 둔다.
③ 카리스마적 리더십은 비전달성을 위해 위험감수 등 비범한 행동을 보인다.
④ 변혁적 리더십은 장기비전을 제시하고 구성원들의 가치관 변화와 조직몰입을 증가시킨다.
⑤ 슈퍼 리더십은 리더가 종업원들을 관리하고 통제할 수 있는 힘과 기술을 가지도록 하는데 초점을 둔다.</v>
      </c>
      <c r="F205" s="31">
        <f>IFERROR(VLOOKUP(C205,기출문제!D:G,4,0),"")</f>
        <v>5</v>
      </c>
      <c r="G205" s="32" t="str">
        <f t="shared" si="3"/>
        <v/>
      </c>
    </row>
    <row r="206" spans="2:7" ht="85.5" x14ac:dyDescent="0.3">
      <c r="B206" s="13">
        <v>199</v>
      </c>
      <c r="C206" s="14" t="s">
        <v>984</v>
      </c>
      <c r="D206" s="13"/>
      <c r="E206" s="15" t="str">
        <f>IFERROR(VLOOKUP(C206,기출문제!D:G,3,0),"")</f>
        <v>109. 질적 인력수요 예측기법에 해당하지 않는 것은?
① 브레인스토밍법
② 명목집단법
③ 시나리오 기법
④ 자격요건 분석법
⑤ 노동과학적 기법</v>
      </c>
      <c r="F206" s="31">
        <f>IFERROR(VLOOKUP(C206,기출문제!D:G,4,0),"")</f>
        <v>5</v>
      </c>
      <c r="G206" s="32" t="str">
        <f t="shared" si="3"/>
        <v/>
      </c>
    </row>
    <row r="207" spans="2:7" ht="85.5" x14ac:dyDescent="0.3">
      <c r="B207" s="13">
        <v>200</v>
      </c>
      <c r="C207" s="14" t="s">
        <v>985</v>
      </c>
      <c r="D207" s="13"/>
      <c r="E207" s="15" t="str">
        <f>IFERROR(VLOOKUP(C207,기출문제!D:G,3,0),"")</f>
        <v>110. 종업원 선발을 위한 면접에 관한 설명으로 옳은 것은?
① 비구조화 면접은 표준화된 질문지를 사용한다.
② 집단 면접의 경우 맥락효과(context effect)가 발생할 수 있다.
③ 면접의 신뢰성과 타당성을 높이기 위해 면접내용 개발 단계에서 면접관이나 경영진을 배제한다.
④ 위원회 면접은 한명의 면접자가 여러 명의 피면접자를 평가하는 방식이다.
⑤ 스트레스 면접은 여러 시기에 걸쳐 여러 사람이 면접하는 방식이다.</v>
      </c>
      <c r="F207" s="31">
        <f>IFERROR(VLOOKUP(C207,기출문제!D:G,4,0),"")</f>
        <v>2</v>
      </c>
      <c r="G207" s="32" t="str">
        <f t="shared" si="3"/>
        <v/>
      </c>
    </row>
    <row r="208" spans="2:7" ht="85.5" x14ac:dyDescent="0.3">
      <c r="B208" s="13">
        <v>201</v>
      </c>
      <c r="C208" s="14" t="s">
        <v>986</v>
      </c>
      <c r="D208" s="13"/>
      <c r="E208" s="15" t="str">
        <f>IFERROR(VLOOKUP(C208,기출문제!D:G,3,0),"")</f>
        <v>111. 노사관계에 관한 설명으로 옳지 않은 것은?
① 좁은 의미의 노사관계는 집단적 노사관계를 의미한다.
② 메인트넌스 숍(maintenance shop)은 조합원이 아닌 종업원에게도 노동조합비를 징수하는 제도이다.
③ 우리나라 노동조합의 조직형태는 기업별 노조가 대부분이다.
④ 사용자는 노동조합의 파업에 대응하여 직장을 폐쇄할 수 있다.
⑤ 채용이후 자동적으로 노동조합에 가입하는 제도는 유니온 숍(union shop)이다.</v>
      </c>
      <c r="F208" s="31">
        <f>IFERROR(VLOOKUP(C208,기출문제!D:G,4,0),"")</f>
        <v>2</v>
      </c>
      <c r="G208" s="32" t="str">
        <f t="shared" si="3"/>
        <v/>
      </c>
    </row>
    <row r="209" spans="2:7" ht="85.5" x14ac:dyDescent="0.3">
      <c r="B209" s="13">
        <v>202</v>
      </c>
      <c r="C209" s="14" t="s">
        <v>987</v>
      </c>
      <c r="D209" s="13"/>
      <c r="E209" s="15" t="str">
        <f>IFERROR(VLOOKUP(C209,기출문제!D:G,3,0),"")</f>
        <v>112. 시장세분화에 관한 설명으로 옳지 않은 것은?
① 세분화된 시장 내에서는 이질성이 극대화 되도록 해야 한다.
② 효과적인 시장세분화를 위해서는 시장의 규모가 측정 가능해야 한다.
③ 나이, 성별, 소득은 인구통계학적 세분화 기준에 속한다.
④ 제품사용 상황, 추구편익은 행동적 세분화 기준에 속한다.
⑤ 라이프스타일, 성격은 심리도식적 세분화 기준에 속한다.</v>
      </c>
      <c r="F209" s="31">
        <f>IFERROR(VLOOKUP(C209,기출문제!D:G,4,0),"")</f>
        <v>1</v>
      </c>
      <c r="G209" s="32" t="str">
        <f t="shared" si="3"/>
        <v/>
      </c>
    </row>
    <row r="210" spans="2:7" ht="85.5" x14ac:dyDescent="0.3">
      <c r="B210" s="13">
        <v>203</v>
      </c>
      <c r="C210" s="14" t="s">
        <v>988</v>
      </c>
      <c r="D210" s="13"/>
      <c r="E210" s="15" t="str">
        <f>IFERROR(VLOOKUP(C210,기출문제!D:G,3,0),"")</f>
        <v>113. A 사가 프린터를 저렴하게 판매한 후, 그 프린터의 토너를 비싼 가격으로 결정하는 방법은?
① 종속제품 가격결정(captive product pricing)
② 묶음 가격결정(bundle pricing)
③ 단수 가격결정(odd pricing)
④ 침투 가격결정(penetration pricing)
⑤ 스키밍 가격결정(skimming pricing)</v>
      </c>
      <c r="F210" s="31">
        <f>IFERROR(VLOOKUP(C210,기출문제!D:G,4,0),"")</f>
        <v>1</v>
      </c>
      <c r="G210" s="32" t="str">
        <f t="shared" si="3"/>
        <v/>
      </c>
    </row>
    <row r="211" spans="2:7" ht="85.5" x14ac:dyDescent="0.3">
      <c r="B211" s="13">
        <v>204</v>
      </c>
      <c r="C211" s="14" t="s">
        <v>989</v>
      </c>
      <c r="D211" s="13"/>
      <c r="E211" s="15" t="str">
        <f>IFERROR(VLOOKUP(C211,기출문제!D:G,3,0),"")</f>
        <v>114. 제품 구성요소 중 유형제품(tangible product)에 해당하는 것은?
① 보증(guarantee)
② 상표명(brand name)
③ 대금결제방식(payment)
④ 배달(delivery)
⑤ 애프터 서비스(after service)</v>
      </c>
      <c r="F211" s="31">
        <f>IFERROR(VLOOKUP(C211,기출문제!D:G,4,0),"")</f>
        <v>2</v>
      </c>
      <c r="G211" s="32" t="str">
        <f t="shared" si="3"/>
        <v/>
      </c>
    </row>
    <row r="212" spans="2:7" ht="128.25" x14ac:dyDescent="0.3">
      <c r="B212" s="13">
        <v>205</v>
      </c>
      <c r="C212" s="14" t="s">
        <v>990</v>
      </c>
      <c r="D212" s="13"/>
      <c r="E212" s="15" t="str">
        <f>IFERROR(VLOOKUP(C212,기출문제!D:G,3,0),"")</f>
        <v>115. 다음에서 증권시장선(SML)을 이용하여 A 주식의 균형기대수익률을 구한 값은?
○ 무위험이자율: 5%
○ 시장포트폴리오 기대수익률: 10%
○ A 주식의 베타: 1.2
① 5%
② 7%
③ 9%
④ 11%
⑤ 13%</v>
      </c>
      <c r="F212" s="31">
        <f>IFERROR(VLOOKUP(C212,기출문제!D:G,4,0),"")</f>
        <v>4</v>
      </c>
      <c r="G212" s="32" t="str">
        <f t="shared" si="3"/>
        <v/>
      </c>
    </row>
    <row r="213" spans="2:7" ht="85.5" x14ac:dyDescent="0.3">
      <c r="B213" s="13">
        <v>206</v>
      </c>
      <c r="C213" s="14" t="s">
        <v>991</v>
      </c>
      <c r="D213" s="13"/>
      <c r="E213" s="15" t="str">
        <f>IFERROR(VLOOKUP(C213,기출문제!D:G,3,0),"")</f>
        <v>116. 자본자산가격결정모형(CAPM)의 가정으로 옳지 않은 것은?
① 투자자는 위험회피형 투자자이며 기대효용 극대화를 추구한다.
② 무위험자산이 존재하며, 무위험이자율로 무제한 차입 또는 대출이 가능하다.
③ 세금과 거래비용이 존재하는 불완전 자본시장이다.
④ 투자자는 평균 - 분산 기준에 따라 포트폴리오를 선택한다.
⑤ 모든 투자자는 투자대상의 미래 수익률의 확률분포에 대하여 동질적 예측을 한다.</v>
      </c>
      <c r="F213" s="31">
        <f>IFERROR(VLOOKUP(C213,기출문제!D:G,4,0),"")</f>
        <v>3</v>
      </c>
      <c r="G213" s="32" t="str">
        <f t="shared" si="3"/>
        <v/>
      </c>
    </row>
    <row r="214" spans="2:7" ht="142.5" x14ac:dyDescent="0.3">
      <c r="B214" s="13">
        <v>207</v>
      </c>
      <c r="C214" s="14" t="s">
        <v>670</v>
      </c>
      <c r="D214" s="13"/>
      <c r="E214" s="15" t="str">
        <f>IFERROR(VLOOKUP(C214,기출문제!D:G,3,0),"")</f>
        <v>117. 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
① ㄱ, ㄴ
② ㄴ, ㄷ
③ ㄱ, ㄹ
④ ㄷ, ㄹ
⑤ ㄴ, ㄷ, ㄹ</v>
      </c>
      <c r="F214" s="31">
        <f>IFERROR(VLOOKUP(C214,기출문제!D:G,4,0),"")</f>
        <v>3</v>
      </c>
      <c r="G214" s="32" t="str">
        <f t="shared" si="3"/>
        <v/>
      </c>
    </row>
    <row r="215" spans="2:7" ht="85.5" x14ac:dyDescent="0.3">
      <c r="B215" s="13">
        <v>208</v>
      </c>
      <c r="C215" s="14" t="s">
        <v>992</v>
      </c>
      <c r="D215" s="13"/>
      <c r="E215" s="15" t="str">
        <f>IFERROR(VLOOKUP(C215,기출문제!D:G,3,0),"")</f>
        <v>118. 유동비율 = (A) / 유동부채 × 100, 자기자본순이익률(ROE) = (1 + 부채비율) × (B)일 때, 각각 옳게 짝지어진 것은?
① A: 유동자산, B: 총자본순이익률
② A: 유동자산, B: 매출액순이익률
③ A: 유동자산, B: 총자본회전율
④ A: 유형자산, B: 총자본회전율
⑤ A: 유형자산, B: 매출액영업이익률</v>
      </c>
      <c r="F215" s="31">
        <f>IFERROR(VLOOKUP(C215,기출문제!D:G,4,0),"")</f>
        <v>1</v>
      </c>
      <c r="G215" s="32" t="str">
        <f t="shared" si="3"/>
        <v/>
      </c>
    </row>
    <row r="216" spans="2:7" ht="85.5" x14ac:dyDescent="0.3">
      <c r="B216" s="13">
        <v>209</v>
      </c>
      <c r="C216" s="14" t="s">
        <v>993</v>
      </c>
      <c r="D216" s="13"/>
      <c r="E216" s="15" t="str">
        <f>IFERROR(VLOOKUP(C216,기출문제!D:G,3,0),"")</f>
        <v>119. 회계감사의 감사의견에 포함되지 않는 것은?
① 적정 의견
② 부적정 의견
③ 한정 의견
④ 불한정 의견
⑤ 의견 거절</v>
      </c>
      <c r="F216" s="31">
        <f>IFERROR(VLOOKUP(C216,기출문제!D:G,4,0),"")</f>
        <v>4</v>
      </c>
      <c r="G216" s="32" t="str">
        <f t="shared" si="3"/>
        <v/>
      </c>
    </row>
    <row r="217" spans="2:7" ht="85.5" x14ac:dyDescent="0.3">
      <c r="B217" s="13">
        <v>210</v>
      </c>
      <c r="C217" s="14" t="s">
        <v>994</v>
      </c>
      <c r="D217" s="13"/>
      <c r="E217" s="15" t="str">
        <f>IFERROR(VLOOKUP(C217,기출문제!D:G,3,0),"")</f>
        <v>120. 자본 항목에 해당하는 것은?
① 이익잉여금
② 사채
③ 영업권
④ 미수수익
⑤ 선수수익</v>
      </c>
      <c r="F217" s="31">
        <f>IFERROR(VLOOKUP(C217,기출문제!D:G,4,0),"")</f>
        <v>1</v>
      </c>
      <c r="G217" s="32" t="str">
        <f t="shared" si="3"/>
        <v/>
      </c>
    </row>
    <row r="218" spans="2:7" ht="114" x14ac:dyDescent="0.3">
      <c r="B218" s="13">
        <v>211</v>
      </c>
      <c r="C218" s="14" t="s">
        <v>995</v>
      </c>
      <c r="D218" s="13"/>
      <c r="E218" s="15" t="str">
        <f>IFERROR(VLOOKUP(C218,기출문제!D:G,3,0),"")</f>
        <v>21. 최근 3개월 자료로 가중이동평균법을 적용할 때, 5월의 예측생산량은? (단, 가중치는 0.5, 0.3, 0.2를 적용한다.)
○ 구분                  1월    2월    3월    4월
○ 제품생산량(개)   90만  70만  90만  110만
① 87만개
② 90만개
③ 93만개
④ 96만개
⑤ 99만개</v>
      </c>
      <c r="F218" s="31">
        <f>IFERROR(VLOOKUP(C218,기출문제!D:G,4,0),"")</f>
        <v>4</v>
      </c>
      <c r="G218" s="32" t="str">
        <f t="shared" si="3"/>
        <v/>
      </c>
    </row>
    <row r="219" spans="2:7" ht="114" x14ac:dyDescent="0.3">
      <c r="B219" s="13">
        <v>212</v>
      </c>
      <c r="C219" s="14" t="s">
        <v>996</v>
      </c>
      <c r="D219" s="13"/>
      <c r="E219" s="15" t="str">
        <f>IFERROR(VLOOKUP(C219,기출문제!D:G,3,0),"")</f>
        <v>122. 다음이 설명하는 기법은?
○ 비구조적인 문제를 다루는데 유용하다.
○ 경험을 체계화하고 정형화하여 해결책을 발견한다.
① 팀 빌딩
② 휴리스틱
③ 군집분석
④ 회귀분석
⑤ 선형계획법</v>
      </c>
      <c r="F219" s="31">
        <f>IFERROR(VLOOKUP(C219,기출문제!D:G,4,0),"")</f>
        <v>2</v>
      </c>
      <c r="G219" s="32" t="str">
        <f t="shared" si="3"/>
        <v/>
      </c>
    </row>
    <row r="220" spans="2:7" ht="85.5" x14ac:dyDescent="0.3">
      <c r="B220" s="13">
        <v>213</v>
      </c>
      <c r="C220" s="14" t="s">
        <v>997</v>
      </c>
      <c r="D220" s="13"/>
      <c r="E220" s="15" t="str">
        <f>IFERROR(VLOOKUP(C220,기출문제!D:G,3,0),"")</f>
        <v>123. 전사적 자원관리(ERP) 도입의 효과가 아닌 것은?
① 신기술 수용 및 활용
② 사업장 및 업무통합
③ 고객 이미지 개선
④ 정보 적시 제공
⑤ 업무프로세스 복잡화</v>
      </c>
      <c r="F220" s="31">
        <f>IFERROR(VLOOKUP(C220,기출문제!D:G,4,0),"")</f>
        <v>5</v>
      </c>
      <c r="G220" s="32" t="str">
        <f t="shared" si="3"/>
        <v/>
      </c>
    </row>
    <row r="221" spans="2:7" ht="85.5" x14ac:dyDescent="0.3">
      <c r="B221" s="13">
        <v>214</v>
      </c>
      <c r="C221" s="14" t="s">
        <v>998</v>
      </c>
      <c r="D221" s="13"/>
      <c r="E221" s="15" t="str">
        <f>IFERROR(VLOOKUP(C221,기출문제!D:G,3,0),"")</f>
        <v>124. 모바일 비즈니스의 특성으로 옳지 않은 것은?
① 편재성
② 접근성
③ 고정성
④ 편리성
⑤ 접속성</v>
      </c>
      <c r="F221" s="31">
        <f>IFERROR(VLOOKUP(C221,기출문제!D:G,4,0),"")</f>
        <v>3</v>
      </c>
      <c r="G221" s="32" t="str">
        <f t="shared" si="3"/>
        <v/>
      </c>
    </row>
    <row r="222" spans="2:7" ht="142.5" x14ac:dyDescent="0.3">
      <c r="B222" s="13">
        <v>215</v>
      </c>
      <c r="C222" s="14" t="s">
        <v>999</v>
      </c>
      <c r="D222" s="13"/>
      <c r="E222" s="15" t="str">
        <f>IFERROR(VLOOKUP(C222,기출문제!D:G,3,0),"")</f>
        <v>125. 빅데이터(big data)의 기본적 특성(3V)으로 옳은 것을 모두 고른 것은?
ㄱ. 거대한 양(Volume)
ㄴ. 모호성(Vagueness)
ㄷ. 다양한 형태(Variety)
ㄹ. 생성 속도(Velocity)
① ㄱ, ㄴ
② ㄴ, ㄷ
③ ㄱ, ㄴ, ㄹ
④ ㄱ, ㄷ, ㄹ
⑤ ㄴ, ㄷ, ㄹ</v>
      </c>
      <c r="F222" s="31">
        <f>IFERROR(VLOOKUP(C222,기출문제!D:G,4,0),"")</f>
        <v>4</v>
      </c>
      <c r="G222" s="32" t="str">
        <f t="shared" si="3"/>
        <v/>
      </c>
    </row>
    <row r="223" spans="2:7" ht="85.5" x14ac:dyDescent="0.3">
      <c r="B223" s="13">
        <v>216</v>
      </c>
      <c r="C223" s="14" t="s">
        <v>276</v>
      </c>
      <c r="D223" s="13"/>
      <c r="E223" s="15" t="str">
        <f>IFERROR(VLOOKUP(C223,기출문제!D:G,3,0),"")</f>
        <v>101. 막스 베버(Max Weber)가 제시한 관료제이론의 주요 내용이 아닌 것은?
① 규정에 따른 직무배정과 직무수행
② 능력과 과업에 따른 선발과 승진
③ 상황적합적 관리
④ 계층에 의한 관리
⑤ 규칙과 문서에 의한 관리</v>
      </c>
      <c r="F223" s="31">
        <f>IFERROR(VLOOKUP(C223,기출문제!D:G,4,0),"")</f>
        <v>3</v>
      </c>
      <c r="G223" s="32" t="str">
        <f t="shared" si="3"/>
        <v/>
      </c>
    </row>
    <row r="224" spans="2:7" ht="85.5" x14ac:dyDescent="0.3">
      <c r="B224" s="13">
        <v>217</v>
      </c>
      <c r="C224" s="14" t="s">
        <v>1000</v>
      </c>
      <c r="D224" s="13"/>
      <c r="E224" s="15" t="str">
        <f>IFERROR(VLOOKUP(C224,기출문제!D:G,3,0),"")</f>
        <v>102. 매슬로우(A. H. Maslow)가 제시한 욕구단계이론의 내용이 아닌 것은?
① 권한위임에 대한 욕구
② 신체적 안전에 대한 욕구
③ 소속감이나 애정에 대한 욕구
④ 의식주에 대한 욕구
⑤ 존경받고 싶은 욕구</v>
      </c>
      <c r="F224" s="31">
        <f>IFERROR(VLOOKUP(C224,기출문제!D:G,4,0),"")</f>
        <v>1</v>
      </c>
      <c r="G224" s="32" t="str">
        <f t="shared" si="3"/>
        <v/>
      </c>
    </row>
    <row r="225" spans="2:7" ht="114" x14ac:dyDescent="0.3">
      <c r="B225" s="13">
        <v>218</v>
      </c>
      <c r="C225" s="14" t="s">
        <v>1001</v>
      </c>
      <c r="D225" s="13"/>
      <c r="E225" s="15" t="str">
        <f>IFERROR(VLOOKUP(C225,기출문제!D:G,3,0),"")</f>
        <v>103. 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
① 학습조직(Learning Organization)
② 다운사이징(Downsizing)
③ 리스트럭처링(Restructuring)
④ 리엔지니어링(Reengineering)
⑤ 6시그마(Six Sigma)</v>
      </c>
      <c r="F225" s="31">
        <f>IFERROR(VLOOKUP(C225,기출문제!D:G,4,0),"")</f>
        <v>5</v>
      </c>
      <c r="G225" s="32" t="str">
        <f t="shared" si="3"/>
        <v/>
      </c>
    </row>
    <row r="226" spans="2:7" ht="85.5" x14ac:dyDescent="0.3">
      <c r="B226" s="13">
        <v>219</v>
      </c>
      <c r="C226" s="14" t="s">
        <v>1002</v>
      </c>
      <c r="D226" s="13"/>
      <c r="E226" s="15" t="str">
        <f>IFERROR(VLOOKUP(C226,기출문제!D:G,3,0),"")</f>
        <v>104. 브릭스(BRICs)로 일컬어지는 신흥경제권 국가가 아닌 것은?
① 인도
② 캐나다
③ 러시아
④ 브라질
⑤ 중국</v>
      </c>
      <c r="F226" s="31">
        <f>IFERROR(VLOOKUP(C226,기출문제!D:G,4,0),"")</f>
        <v>2</v>
      </c>
      <c r="G226" s="32" t="str">
        <f t="shared" si="3"/>
        <v/>
      </c>
    </row>
    <row r="227" spans="2:7" ht="85.5" x14ac:dyDescent="0.3">
      <c r="B227" s="13">
        <v>220</v>
      </c>
      <c r="C227" s="14" t="s">
        <v>1003</v>
      </c>
      <c r="D227" s="13"/>
      <c r="E227" s="15" t="str">
        <f>IFERROR(VLOOKUP(C227,기출문제!D:G,3,0),"")</f>
        <v>105. 임금수준의 관리에 관한 설명으로 옳지 않은 것은?
① 대외적 공정성을 확보하기 위해서는 노동시장의 임금수준 파악이 필요하다.
② 기업의 임금 지불능력을 파악하는 기준으로 생산성과 수익성을 들 수 있다.
③ 임금수준 결정 시 선도전략은 유능한 종업원을 유인하는 효과가 크다.
④ 임금수준의 관리는 적정성의 원칙을 지향한다.
⑤ 임금수준의 하한선은 기업의 지불능력에 의하여 결정된다.</v>
      </c>
      <c r="F227" s="31">
        <f>IFERROR(VLOOKUP(C227,기출문제!D:G,4,0),"")</f>
        <v>5</v>
      </c>
      <c r="G227" s="32" t="str">
        <f t="shared" si="3"/>
        <v/>
      </c>
    </row>
    <row r="228" spans="2:7" ht="156.75" x14ac:dyDescent="0.3">
      <c r="B228" s="13">
        <v>221</v>
      </c>
      <c r="C228" s="14" t="s">
        <v>1004</v>
      </c>
      <c r="D228" s="13"/>
      <c r="E228" s="15" t="str">
        <f>IFERROR(VLOOKUP(C228,기출문제!D:G,3,0),"")</f>
        <v>106. 허츠버그(F. Herzberg)의 2요인이론에서 동기요인을 모두 고른 것은?
ㄱ. 상사와의 관계
ㄴ. 성취
ㄷ. 회사 정책 및 관리방침
ㄹ. 작업조건
ㅁ. 인정
① ㄱ, ㄴ
② ㄱ, ㅁ
③ ㄴ, ㄷ
④ ㄴ, ㅁ
⑤ ㄹ, ㅁ</v>
      </c>
      <c r="F228" s="31">
        <f>IFERROR(VLOOKUP(C228,기출문제!D:G,4,0),"")</f>
        <v>4</v>
      </c>
      <c r="G228" s="32" t="str">
        <f t="shared" si="3"/>
        <v/>
      </c>
    </row>
    <row r="229" spans="2:7" ht="114" x14ac:dyDescent="0.3">
      <c r="B229" s="13">
        <v>222</v>
      </c>
      <c r="C229" s="14" t="s">
        <v>1005</v>
      </c>
      <c r="D229" s="13"/>
      <c r="E229" s="15" t="str">
        <f>IFERROR(VLOOKUP(C229,기출문제!D:G,3,0),"")</f>
        <v>107. 다음 설명에 해당하는 인사평가기법은?
○ 평가자가 피평가자의 일상 작업생활에 대한 관찰 등을 통해 특별히 효과적이거나 비효과적인 행동, 업적 등을 기록하고 이를 평가시점에 정리하여 평가하는 기법
① 서열법
② 평정척도법
③ 체크리스트법
④ 중요사건기술법
⑤ 강제선택서술법</v>
      </c>
      <c r="F229" s="31">
        <f>IFERROR(VLOOKUP(C229,기출문제!D:G,4,0),"")</f>
        <v>4</v>
      </c>
      <c r="G229" s="32" t="str">
        <f t="shared" si="3"/>
        <v/>
      </c>
    </row>
    <row r="230" spans="2:7" ht="114" x14ac:dyDescent="0.3">
      <c r="B230" s="13">
        <v>223</v>
      </c>
      <c r="C230" s="14" t="s">
        <v>1006</v>
      </c>
      <c r="D230" s="13"/>
      <c r="E230" s="15" t="str">
        <f>IFERROR(VLOOKUP(C230,기출문제!D:G,3,0),"")</f>
        <v>108. 다음 설명에 해당하는 것은?
○ 전환배치 시 해당 종업원의 '능력(적성)-직무-시간' 이라는 세 가지 측면을 모두 고려하여 이들 간의 적합성을 극대화시켜야 된다는 원칙
① 연공주의
② 균형주의
③ 상향이동주의
④ 인재육성주의
⑤ 적재적소적시주의</v>
      </c>
      <c r="F230" s="31">
        <f>IFERROR(VLOOKUP(C230,기출문제!D:G,4,0),"")</f>
        <v>5</v>
      </c>
      <c r="G230" s="32" t="str">
        <f t="shared" si="3"/>
        <v/>
      </c>
    </row>
    <row r="231" spans="2:7" ht="85.5" x14ac:dyDescent="0.3">
      <c r="B231" s="13">
        <v>224</v>
      </c>
      <c r="C231" s="14" t="s">
        <v>1007</v>
      </c>
      <c r="D231" s="13"/>
      <c r="E231" s="15" t="str">
        <f>IFERROR(VLOOKUP(C231,기출문제!D:G,3,0),"")</f>
        <v>109. 인간관계론에 해당하는 내용은?
① 기획업무와 집행업무를 분리시킴으로써 계획과 통제의 개념 확립
② 시간 및 동작 연구를 통하여 표준 과업량 설정
③ 자연발생적으로 형성된 비공식 조직의 존재 인식
④ 과업에 적합한 근로자 선발 및 교육훈련 방법 고안
⑤ 전문기능별 책임자가 작업에 대한 분업적 지도 수행</v>
      </c>
      <c r="F231" s="31">
        <f>IFERROR(VLOOKUP(C231,기출문제!D:G,4,0),"")</f>
        <v>3</v>
      </c>
      <c r="G231" s="32" t="str">
        <f t="shared" si="3"/>
        <v/>
      </c>
    </row>
    <row r="232" spans="2:7" ht="85.5" x14ac:dyDescent="0.3">
      <c r="B232" s="13">
        <v>225</v>
      </c>
      <c r="C232" s="14" t="s">
        <v>1008</v>
      </c>
      <c r="D232" s="13"/>
      <c r="E232" s="15" t="str">
        <f>IFERROR(VLOOKUP(C232,기출문제!D:G,3,0),"")</f>
        <v>110. 직무기술서에 포함되는 사항이 아닌 것은?
① 요구되는 지식
② 작업 조건
③ 직무수행의 절차
④ 수행되는 과업
⑤ 직무수행의 방법</v>
      </c>
      <c r="F232" s="31">
        <f>IFERROR(VLOOKUP(C232,기출문제!D:G,4,0),"")</f>
        <v>1</v>
      </c>
      <c r="G232" s="32" t="str">
        <f t="shared" si="3"/>
        <v/>
      </c>
    </row>
    <row r="233" spans="2:7" ht="85.5" x14ac:dyDescent="0.3">
      <c r="B233" s="13">
        <v>226</v>
      </c>
      <c r="C233" s="14" t="s">
        <v>1009</v>
      </c>
      <c r="D233" s="13"/>
      <c r="E233" s="15" t="str">
        <f>IFERROR(VLOOKUP(C233,기출문제!D:G,3,0),"")</f>
        <v>111. 프렌치(J.R.P. French)와 레이븐(B. Raven)이 구분한 5가지 권력 유형이 아닌 것은?
① 합법적 권력
② 기회적 권력
③ 강제적 권력
④ 보상적 권력
⑤ 준거적 권력</v>
      </c>
      <c r="F233" s="31">
        <f>IFERROR(VLOOKUP(C233,기출문제!D:G,4,0),"")</f>
        <v>2</v>
      </c>
      <c r="G233" s="32" t="str">
        <f t="shared" si="3"/>
        <v/>
      </c>
    </row>
    <row r="234" spans="2:7" ht="99.75" x14ac:dyDescent="0.3">
      <c r="B234" s="13">
        <v>227</v>
      </c>
      <c r="C234" s="14" t="s">
        <v>1010</v>
      </c>
      <c r="D234" s="13"/>
      <c r="E234" s="15" t="str">
        <f>IFERROR(VLOOKUP(C234,기출문제!D:G,3,0),"")</f>
        <v>112. 다음 설명에 해당하는 지각 오류는?
○ 어떤 대상(개인)으로부터 얻은 일부 정보가 다른 부분의 여러 정보들을 해석할 때 영향을 미치는 것
① 자존적 편견
② 후광효과
③ 투사
④ 통제의 환상
⑤ 대조효과</v>
      </c>
      <c r="F234" s="31">
        <f>IFERROR(VLOOKUP(C234,기출문제!D:G,4,0),"")</f>
        <v>2</v>
      </c>
      <c r="G234" s="32" t="str">
        <f t="shared" si="3"/>
        <v/>
      </c>
    </row>
    <row r="235" spans="2:7" ht="85.5" x14ac:dyDescent="0.3">
      <c r="B235" s="13">
        <v>228</v>
      </c>
      <c r="C235" s="14" t="s">
        <v>1011</v>
      </c>
      <c r="D235" s="13"/>
      <c r="E235" s="15" t="str">
        <f>IFERROR(VLOOKUP(C235,기출문제!D:G,3,0),"")</f>
        <v>113. 보스턴 컨설팅 그룹(BCG)의 사업 포트폴리오 매트릭스에 관한 설명으로 옳은 것은?
① 산업의 매력도와 사업의 강점을 기준으로 분류한다.
② 물음표(Question Mark)에 속해 있는 사업단위는 투자가 필요하나 성장가능성은 낮다.
③ 개(Dog)에 속해 있는 사업단위는 확대전략이 필수적이다.
④ 별(Star)에 속해 있는 사업단위는 철수나 매각이 필수적이다.
⑤ 자금젖소(Cash Cow)에 속해 있는 사업단위는 수익이 높고 안정적이다.</v>
      </c>
      <c r="F235" s="31">
        <f>IFERROR(VLOOKUP(C235,기출문제!D:G,4,0),"")</f>
        <v>5</v>
      </c>
      <c r="G235" s="32" t="str">
        <f t="shared" si="3"/>
        <v/>
      </c>
    </row>
    <row r="236" spans="2:7" ht="85.5" x14ac:dyDescent="0.3">
      <c r="B236" s="13">
        <v>229</v>
      </c>
      <c r="C236" s="14" t="s">
        <v>1012</v>
      </c>
      <c r="D236" s="13"/>
      <c r="E236" s="15" t="str">
        <f>IFERROR(VLOOKUP(C236,기출문제!D:G,3,0),"")</f>
        <v>114. 마케팅 커뮤티케이션 활동인 촉진믹스(Promotion Mix)의 구성요소와 관련이 없는 것은?
① 선별적 유통점포 개설
② 구매시점 진열
③ PR(Public Relastions)
④ 광고
⑤ 인적판매</v>
      </c>
      <c r="F236" s="31">
        <f>IFERROR(VLOOKUP(C236,기출문제!D:G,4,0),"")</f>
        <v>1</v>
      </c>
      <c r="G236" s="32" t="str">
        <f t="shared" si="3"/>
        <v/>
      </c>
    </row>
    <row r="237" spans="2:7" ht="85.5" x14ac:dyDescent="0.3">
      <c r="B237" s="13">
        <v>230</v>
      </c>
      <c r="C237" s="14" t="s">
        <v>1013</v>
      </c>
      <c r="D237" s="13"/>
      <c r="E237" s="15" t="str">
        <f>IFERROR(VLOOKUP(C237,기출문제!D:G,3,0),"")</f>
        <v>115. 소비자들의 구매의사 결정과정을 순서대로 바르게 나열한 것은?
① 정보탐색 → 필요인식 → 대안평가 → 구매 → 구매 후 행동
② 정보탐색 → 필요인식 → 구매 → 대안평가 → 구매 후 행동
③ 정보탐색 → 대안평가 → 필요인식 → 구매 → 구매 후 행동
④ 필요인식 → 정보탐색 → 대안평가 → 구매 → 구매 후 행동
⑤ 대안평가 → 정보탐색 → 필요인식 → 구매 → 구매 후 행동</v>
      </c>
      <c r="F237" s="31">
        <f>IFERROR(VLOOKUP(C237,기출문제!D:G,4,0),"")</f>
        <v>4</v>
      </c>
      <c r="G237" s="32" t="str">
        <f t="shared" si="3"/>
        <v/>
      </c>
    </row>
    <row r="238" spans="2:7" ht="85.5" x14ac:dyDescent="0.3">
      <c r="B238" s="13">
        <v>231</v>
      </c>
      <c r="C238" s="14" t="s">
        <v>1014</v>
      </c>
      <c r="D238" s="13"/>
      <c r="E238" s="15" t="str">
        <f>IFERROR(VLOOKUP(C238,기출문제!D:G,3,0),"")</f>
        <v>116. 제품구매에 대한 심리적 불편을 겪게 되는 인지부조화(Cognitive Dissonance)에 관한 설명으로 옳은 것은?
① 반품이나 환불이 가능할 때 많이 발생한다.
② 구매제품의 만족수준에 정비례하여 발생한다.
③ 고관여 제품에서 많이 발생한다.
④ 제품구매 전에 경험하는 긴장감과 걱정의 감정을 뜻한다.
⑤ 사후서비스(A/S)가 좋을수록 많이 발생한다.</v>
      </c>
      <c r="F238" s="31">
        <f>IFERROR(VLOOKUP(C238,기출문제!D:G,4,0),"")</f>
        <v>3</v>
      </c>
      <c r="G238" s="32" t="str">
        <f t="shared" si="3"/>
        <v/>
      </c>
    </row>
    <row r="239" spans="2:7" ht="85.5" x14ac:dyDescent="0.3">
      <c r="B239" s="13">
        <v>232</v>
      </c>
      <c r="C239" s="14" t="s">
        <v>1015</v>
      </c>
      <c r="D239" s="13"/>
      <c r="E239" s="15" t="str">
        <f>IFERROR(VLOOKUP(C239,기출문제!D:G,3,0),"")</f>
        <v>117. 총자산회전율의 산식은?
① 매출액/매출채권
② 매출액/총자산
③ 순이익/자기자본
④ 총자산/매출액
⑤ 자기자본/순이기</v>
      </c>
      <c r="F239" s="31">
        <f>IFERROR(VLOOKUP(C239,기출문제!D:G,4,0),"")</f>
        <v>2</v>
      </c>
      <c r="G239" s="32" t="str">
        <f t="shared" si="3"/>
        <v/>
      </c>
    </row>
    <row r="240" spans="2:7" ht="85.5" x14ac:dyDescent="0.3">
      <c r="B240" s="13">
        <v>233</v>
      </c>
      <c r="C240" s="14" t="s">
        <v>1016</v>
      </c>
      <c r="D240" s="13"/>
      <c r="E240" s="15" t="str">
        <f>IFERROR(VLOOKUP(C240,기출문제!D:G,3,0),"")</f>
        <v>118. 주식에 관한 설명으로 옳지 않은 것은?
① 기업의 이익 중 일부를 주주에게 분배하는 것을 배당이라 한다.
② 기업은 발행한 보통주에 대한 상환의무를 갖지 않는다.
③ 주식은 자금조달이 필요한 경우 추가로 발행될 수 있다.
④ 모든 주식은 채권과 달리 액면가가 없다.
⑤ 주주는 투자한 금액 내에서 유한책임을 진다.</v>
      </c>
      <c r="F240" s="31">
        <f>IFERROR(VLOOKUP(C240,기출문제!D:G,4,0),"")</f>
        <v>4</v>
      </c>
      <c r="G240" s="32" t="str">
        <f t="shared" si="3"/>
        <v/>
      </c>
    </row>
    <row r="241" spans="2:7" ht="85.5" x14ac:dyDescent="0.3">
      <c r="B241" s="13">
        <v>234</v>
      </c>
      <c r="C241" s="14" t="s">
        <v>1017</v>
      </c>
      <c r="D241" s="13"/>
      <c r="E241" s="15" t="str">
        <f>IFERROR(VLOOKUP(C241,기출문제!D:G,3,0),"")</f>
        <v>119. 생산시스템 설계에 해당하는 것은?
① 일정관리
② 시설입지
③ 재고관리
④ 품질관리
⑤ 수요예측</v>
      </c>
      <c r="F241" s="31">
        <f>IFERROR(VLOOKUP(C241,기출문제!D:G,4,0),"")</f>
        <v>2</v>
      </c>
      <c r="G241" s="32" t="str">
        <f t="shared" si="3"/>
        <v/>
      </c>
    </row>
    <row r="242" spans="2:7" ht="85.5" x14ac:dyDescent="0.3">
      <c r="B242" s="13">
        <v>235</v>
      </c>
      <c r="C242" s="14" t="s">
        <v>1018</v>
      </c>
      <c r="D242" s="13"/>
      <c r="E242" s="15" t="str">
        <f>IFERROR(VLOOKUP(C242,기출문제!D:G,3,0),"")</f>
        <v>120. 해리스(F. W. Harris)가 제시한 EOQ(경제적 주문량) 모형의 가정으로 옳은 것은?
① 단일품목만을 대상으로 한다.
② 조달기간은 분기 단위로 변동한다.
③ 수량할인이 적용된다.
④ 연간수요량은 알 수 없다.
⑤ 주문비용은 주문량에 정비례한다.</v>
      </c>
      <c r="F242" s="31">
        <f>IFERROR(VLOOKUP(C242,기출문제!D:G,4,0),"")</f>
        <v>1</v>
      </c>
      <c r="G242" s="32" t="str">
        <f t="shared" si="3"/>
        <v/>
      </c>
    </row>
    <row r="243" spans="2:7" ht="142.5" x14ac:dyDescent="0.3">
      <c r="B243" s="13">
        <v>236</v>
      </c>
      <c r="C243" s="14" t="s">
        <v>1019</v>
      </c>
      <c r="D243" s="13"/>
      <c r="E243" s="15" t="str">
        <f>IFERROR(VLOOKUP(C243,기출문제!D:G,3,0),"")</f>
        <v>121. 다음자료를 이용하여 당기순이익을 구하면? (단, 회계기간은 1월 1일부터 12월 31일까지이다.)
○ 영업이익     :  300,000원
○ 이자비용     :    10,000원
○ 영업외수익  :    50,000원
○ 법인세비용  :    15,000원
① 275,000원
② 290,000원
③ 325,000원
④ 335,000원
⑤ 340,000원</v>
      </c>
      <c r="F243" s="31">
        <f>IFERROR(VLOOKUP(C243,기출문제!D:G,4,0),"")</f>
        <v>3</v>
      </c>
      <c r="G243" s="32" t="str">
        <f t="shared" si="3"/>
        <v/>
      </c>
    </row>
    <row r="244" spans="2:7" ht="128.25" x14ac:dyDescent="0.3">
      <c r="B244" s="13">
        <v>237</v>
      </c>
      <c r="C244" s="14" t="s">
        <v>1020</v>
      </c>
      <c r="D244" s="13"/>
      <c r="E244" s="15" t="str">
        <f>IFERROR(VLOOKUP(C244,기출문제!D:G,3,0),"")</f>
        <v>122. 다음과 같은 조건에서 손익분기점에 도달하기 위한 팬매수량(단위)은?
○ 단위당 판매가격   :        20,000원
○ 단위당 변동기      :        14,000원
○ 총고정비              : 48,000,000원
① 5,000
② 6,000
③ 7,000
④ 8,000
⑤ 9,000</v>
      </c>
      <c r="F244" s="31">
        <f>IFERROR(VLOOKUP(C244,기출문제!D:G,4,0),"")</f>
        <v>4</v>
      </c>
      <c r="G244" s="32" t="str">
        <f t="shared" si="3"/>
        <v/>
      </c>
    </row>
    <row r="245" spans="2:7" ht="85.5" x14ac:dyDescent="0.3">
      <c r="B245" s="13">
        <v>238</v>
      </c>
      <c r="C245" s="14" t="s">
        <v>1021</v>
      </c>
      <c r="D245" s="13"/>
      <c r="E245" s="15" t="str">
        <f>IFERROR(VLOOKUP(C245,기출문제!D:G,3,0),"")</f>
        <v>123. 경영정보시스템의 분석 및 설계 과정에서 수행하는 작업이 아닌 것은?
① 입력 자료의 내용, 양식, 형태, 분량 분석
② 출력물의 양식, 내용, 분량, 출력주기 정의
③ 시스템 테스트를 위한 테이터 준비, 시스템 수정
④ 자료가 출력되기 위해 필요한 수식연산, 비교연산, 논리연산 설계
⑤ 데이터베이스 구조 및 특성, 자료처리 분량 및 속도, 레코드 및 파일 구조 명세화</v>
      </c>
      <c r="F245" s="31">
        <f>IFERROR(VLOOKUP(C245,기출문제!D:G,4,0),"")</f>
        <v>3</v>
      </c>
      <c r="G245" s="32" t="str">
        <f t="shared" si="3"/>
        <v/>
      </c>
    </row>
    <row r="246" spans="2:7" ht="85.5" x14ac:dyDescent="0.3">
      <c r="B246" s="13">
        <v>239</v>
      </c>
      <c r="C246" s="14" t="s">
        <v>1022</v>
      </c>
      <c r="D246" s="13"/>
      <c r="E246" s="15" t="str">
        <f>IFERROR(VLOOKUP(C246,기출문제!D:G,3,0),"")</f>
        <v>124. 빅데이터 기술에 관한 설명으로 옳지 않은 것은?
① 관계형 데이터베이스인 NoSQL, Hbase 등을 분석에 활용한다.
② 구조화되지 않은 데이터도 분석 대상으로 한다.
③ 많은 양의 정보를 처리한다.
④ 빠르게 변화하거나 증가하는 데이터도 분석이 가능하다.
⑤ 제조업, 금융업, 유통업 등 다양한 분야에 활용된다.</v>
      </c>
      <c r="F246" s="31">
        <f>IFERROR(VLOOKUP(C246,기출문제!D:G,4,0),"")</f>
        <v>1</v>
      </c>
      <c r="G246" s="32" t="str">
        <f t="shared" si="3"/>
        <v/>
      </c>
    </row>
    <row r="247" spans="2:7" ht="99.75" x14ac:dyDescent="0.3">
      <c r="B247" s="13">
        <v>240</v>
      </c>
      <c r="C247" s="14" t="s">
        <v>1023</v>
      </c>
      <c r="D247" s="13"/>
      <c r="E247" s="15" t="str">
        <f>IFERROR(VLOOKUP(C247,기출문제!D:G,3,0),"")</f>
        <v>125. 다음에서 설명하는 것은?
○ 기업의 자재, 회계, 구매, 생산, 판매, 인사 등 모든 업무의 흐름을 효율적으로 지원하기 위한 통합정보 시스템
① CRM
② SCM
③ DSS
④ KMS
⑤ ERP</v>
      </c>
      <c r="F247" s="31">
        <f>IFERROR(VLOOKUP(C247,기출문제!D:G,4,0),"")</f>
        <v>5</v>
      </c>
      <c r="G247" s="32" t="str">
        <f t="shared" si="3"/>
        <v/>
      </c>
    </row>
    <row r="248" spans="2:7" ht="85.5" x14ac:dyDescent="0.3">
      <c r="B248" s="13">
        <v>241</v>
      </c>
      <c r="C248" s="14" t="s">
        <v>318</v>
      </c>
      <c r="D248" s="13"/>
      <c r="E248" s="15" t="str">
        <f>IFERROR(VLOOKUP(C248,기출문제!D:G,3,0),"")</f>
        <v>101. 포터(M. Porter)의 가치사슬모델에서 주요 활동에 해당하지 않는 것은?
① 운영・제조
② 입고・출고
③ 고객서비스
④ 영업・마케팅
⑤ 인적자원관리</v>
      </c>
      <c r="F248" s="31">
        <f>IFERROR(VLOOKUP(C248,기출문제!D:G,4,0),"")</f>
        <v>5</v>
      </c>
      <c r="G248" s="32" t="str">
        <f t="shared" si="3"/>
        <v/>
      </c>
    </row>
    <row r="249" spans="2:7" ht="85.5" x14ac:dyDescent="0.3">
      <c r="B249" s="13">
        <v>242</v>
      </c>
      <c r="C249" s="14" t="s">
        <v>1024</v>
      </c>
      <c r="D249" s="13"/>
      <c r="E249" s="15" t="str">
        <f>IFERROR(VLOOKUP(C249,기출문제!D:G,3,0),"")</f>
        <v>102. BCG의 성장-점유율 매트릭스에서 시장성장률은 낮고 상대적 시장점유율이 높은 영역은?
① Dog
② Star
③ Cash Cow
④ Problem Child
⑤ Question Mark</v>
      </c>
      <c r="F249" s="31">
        <f>IFERROR(VLOOKUP(C249,기출문제!D:G,4,0),"")</f>
        <v>3</v>
      </c>
      <c r="G249" s="32" t="str">
        <f t="shared" si="3"/>
        <v/>
      </c>
    </row>
    <row r="250" spans="2:7" ht="85.5" x14ac:dyDescent="0.3">
      <c r="B250" s="13">
        <v>243</v>
      </c>
      <c r="C250" s="14" t="s">
        <v>1025</v>
      </c>
      <c r="D250" s="13"/>
      <c r="E250" s="15" t="str">
        <f>IFERROR(VLOOKUP(C250,기출문제!D:G,3,0),"")</f>
        <v>103. 테일러(F. Taylor)의 과학적 관리의 특징으로 옳지 않은 것은?
① 과업관리
② 작업지도표 제도
③ 차별적 성과급제
④ 기능식 직장제도
⑤ 컨베이어 시스템</v>
      </c>
      <c r="F250" s="31">
        <f>IFERROR(VLOOKUP(C250,기출문제!D:G,4,0),"")</f>
        <v>5</v>
      </c>
      <c r="G250" s="32" t="str">
        <f t="shared" si="3"/>
        <v/>
      </c>
    </row>
    <row r="251" spans="2:7" ht="85.5" x14ac:dyDescent="0.3">
      <c r="B251" s="13">
        <v>244</v>
      </c>
      <c r="C251" s="14" t="s">
        <v>1026</v>
      </c>
      <c r="D251" s="13"/>
      <c r="E251" s="15" t="str">
        <f>IFERROR(VLOOKUP(C251,기출문제!D:G,3,0),"")</f>
        <v>104. 임금관리에 관한 설명으로 옳지 않은 것은?
① 임금체계는 공정성이 중요한 관심사이다.
② 연공급은 근속연수를 기준으로 임금을 차등화하는 제도이다.
③ 직무급은 직무의 표준화와 전문화가 선행되어야 한다.
④ 직능급은 동일 직무를 수행하면 동일 임금을 지급한다.
⑤ 임금수준을 결정하는 주요 요인에는 기업의 지불능력과 생산성 등이 있다.</v>
      </c>
      <c r="F251" s="31">
        <f>IFERROR(VLOOKUP(C251,기출문제!D:G,4,0),"")</f>
        <v>4</v>
      </c>
      <c r="G251" s="32" t="str">
        <f t="shared" si="3"/>
        <v/>
      </c>
    </row>
    <row r="252" spans="2:7" ht="85.5" x14ac:dyDescent="0.3">
      <c r="B252" s="13">
        <v>245</v>
      </c>
      <c r="C252" s="14" t="s">
        <v>1027</v>
      </c>
      <c r="D252" s="13"/>
      <c r="E252" s="15" t="str">
        <f>IFERROR(VLOOKUP(C252,기출문제!D:G,3,0),"")</f>
        <v>105. 수단성(instrumentality) 및 유의성(valence)을 포함한 동기부여이론은?
① 기대이론(expectancy theory)
② 2요인이론(two factor theory)
③ 강화이론(reinforcement theory)
④ 목표설정이론(goal setting theory)
⑤ 인지평가이론(cognitive evaluation theory)</v>
      </c>
      <c r="F252" s="31">
        <f>IFERROR(VLOOKUP(C252,기출문제!D:G,4,0),"")</f>
        <v>1</v>
      </c>
      <c r="G252" s="32" t="str">
        <f t="shared" si="3"/>
        <v/>
      </c>
    </row>
    <row r="253" spans="2:7" ht="85.5" x14ac:dyDescent="0.3">
      <c r="B253" s="13">
        <v>246</v>
      </c>
      <c r="C253" s="14" t="s">
        <v>1028</v>
      </c>
      <c r="D253" s="13"/>
      <c r="E253" s="15" t="str">
        <f>IFERROR(VLOOKUP(C253,기출문제!D:G,3,0),"")</f>
        <v>106. 델파이기법에 관한 설명으로 옳지 않은 것은?
① 전문가들을 두 그룹으로 나누어 진행한다.
② 많은 전문가들의 의견을 취합하여 재조정 과정을 거친다.
③ 의사결정 및 의견개진 과정에서 타인의 압력이 배제된다.
④ 전문가들을 공식적으로 소집하여 한 장소에 모이게 할 필요가 없다.
⑤ 미래의 불확실성에 대한 의사결정 및 장기예측에 좋은 방법이다.</v>
      </c>
      <c r="F253" s="31">
        <f>IFERROR(VLOOKUP(C253,기출문제!D:G,4,0),"")</f>
        <v>1</v>
      </c>
      <c r="G253" s="32" t="str">
        <f t="shared" si="3"/>
        <v/>
      </c>
    </row>
    <row r="254" spans="2:7" ht="85.5" x14ac:dyDescent="0.3">
      <c r="B254" s="13">
        <v>247</v>
      </c>
      <c r="C254" s="14" t="s">
        <v>1029</v>
      </c>
      <c r="D254" s="13"/>
      <c r="E254" s="15" t="str">
        <f>IFERROR(VLOOKUP(C254,기출문제!D:G,3,0),"")</f>
        <v>107. 선발시험 합격자들의 시험성적과 입사 후 일정 기간이 지나서 이들이 달성한 직무성과와의 상관관계를 측정하는 지표는?
① 신뢰도
② 대비효과
③ 현재타당도
④ 내용타당도
⑤ 예측타당도</v>
      </c>
      <c r="F254" s="31">
        <f>IFERROR(VLOOKUP(C254,기출문제!D:G,4,0),"")</f>
        <v>5</v>
      </c>
      <c r="G254" s="32" t="str">
        <f t="shared" si="3"/>
        <v/>
      </c>
    </row>
    <row r="255" spans="2:7" ht="85.5" x14ac:dyDescent="0.3">
      <c r="B255" s="13">
        <v>248</v>
      </c>
      <c r="C255" s="14" t="s">
        <v>1030</v>
      </c>
      <c r="D255" s="13"/>
      <c r="E255" s="15" t="str">
        <f>IFERROR(VLOOKUP(C255,기출문제!D:G,3,0),"")</f>
        <v>108. Big 5 모델에서 제시하는 다섯 가지 성격요소가 아닌 것은?
① 개방성(openness)
② 객관성(objectivity)
③ 외향성(extraversion)
④ 성실성(conscientiousness)
⑤ 정서적 안정성(emotional stability)</v>
      </c>
      <c r="F255" s="31">
        <f>IFERROR(VLOOKUP(C255,기출문제!D:G,4,0),"")</f>
        <v>2</v>
      </c>
      <c r="G255" s="32" t="str">
        <f t="shared" si="3"/>
        <v/>
      </c>
    </row>
    <row r="256" spans="2:7" ht="85.5" x14ac:dyDescent="0.3">
      <c r="B256" s="13">
        <v>249</v>
      </c>
      <c r="C256" s="14" t="s">
        <v>1031</v>
      </c>
      <c r="D256" s="13"/>
      <c r="E256" s="15" t="str">
        <f>IFERROR(VLOOKUP(C256,기출문제!D:G,3,0),"")</f>
        <v>109. Communication에서 전달된 메시지를 자신에게 주는 의미로 변환시키는 사고 과정은?
① 잡음(noise)
② 해독(decoding)
③ 반응(response)
④ 부호화(encoding)
⑤ 피드백(feedback)</v>
      </c>
      <c r="F256" s="31">
        <f>IFERROR(VLOOKUP(C256,기출문제!D:G,4,0),"")</f>
        <v>2</v>
      </c>
      <c r="G256" s="32" t="str">
        <f t="shared" si="3"/>
        <v/>
      </c>
    </row>
    <row r="257" spans="2:7" ht="114" x14ac:dyDescent="0.3">
      <c r="B257" s="13">
        <v>250</v>
      </c>
      <c r="C257" s="14" t="s">
        <v>1032</v>
      </c>
      <c r="D257" s="13"/>
      <c r="E257" s="15" t="str">
        <f>IFERROR(VLOOKUP(C257,기출문제!D:G,3,0),"")</f>
        <v>110. 다음 주장에 해당하는 이론은?
ㄱ. 조직의 생존을 위해 이해관계자들로부터 정당성을 얻는 것이 중요하다.
ㄴ. 동일 산업내의 조직형태 및 경영관행 등이 유사성을 보이는 것은 조직들이 서로 모방하기 때문이다.
① 대리인이론
② 제도화이론
③ 자원의존이론
④ 조직군생태학이론
⑤ 협력적네트워크이론</v>
      </c>
      <c r="F257" s="31">
        <f>IFERROR(VLOOKUP(C257,기출문제!D:G,4,0),"")</f>
        <v>2</v>
      </c>
      <c r="G257" s="32" t="str">
        <f t="shared" si="3"/>
        <v/>
      </c>
    </row>
    <row r="258" spans="2:7" ht="85.5" x14ac:dyDescent="0.3">
      <c r="B258" s="13">
        <v>251</v>
      </c>
      <c r="C258" s="14" t="s">
        <v>1033</v>
      </c>
      <c r="D258" s="13"/>
      <c r="E258" s="15" t="str">
        <f>IFERROR(VLOOKUP(C258,기출문제!D:G,3,0),"")</f>
        <v>111. 조합원 및 비조합원 모두에게 조합비를 징수하는 shop제도는?
① open shop
② closed shop
③ agency shop
④ preferential shop
⑤ maintenance shop</v>
      </c>
      <c r="F258" s="31">
        <f>IFERROR(VLOOKUP(C258,기출문제!D:G,4,0),"")</f>
        <v>3</v>
      </c>
      <c r="G258" s="32" t="str">
        <f t="shared" si="3"/>
        <v/>
      </c>
    </row>
    <row r="259" spans="2:7" ht="85.5" x14ac:dyDescent="0.3">
      <c r="B259" s="13">
        <v>252</v>
      </c>
      <c r="C259" s="14" t="s">
        <v>1034</v>
      </c>
      <c r="D259" s="13"/>
      <c r="E259" s="15" t="str">
        <f>IFERROR(VLOOKUP(C259,기출문제!D:G,3,0),"")</f>
        <v>112. 표적시장에 관한 설명으로 옳지 않은 것은?
① 단일표적시장에는 집중적 마케팅전략을 구사한다.
② 다수표적시장에는 순환적 마케팅전략을 구사한다.
③ 통합표적시장에는 역세분화 마케팅전략을 구사한다.
④ 인적, 물적, 기술적 자원이 부족한 기업은 보통 집중적 마케팅전략을 구사한다.
⑤ 세분시장 평가 시에는 세분시장의 매력도, 기업의 목표와 자원 등을 고려해야 한다.</v>
      </c>
      <c r="F259" s="31">
        <f>IFERROR(VLOOKUP(C259,기출문제!D:G,4,0),"")</f>
        <v>2</v>
      </c>
      <c r="G259" s="32" t="str">
        <f t="shared" si="3"/>
        <v/>
      </c>
    </row>
    <row r="260" spans="2:7" ht="85.5" x14ac:dyDescent="0.3">
      <c r="B260" s="13">
        <v>253</v>
      </c>
      <c r="C260" s="14" t="s">
        <v>1035</v>
      </c>
      <c r="D260" s="13"/>
      <c r="E260" s="15" t="str">
        <f>IFERROR(VLOOKUP(C260,기출문제!D:G,3,0),"")</f>
        <v>113. 전형적인 제품수명주기(PLC)에 관한 설명으로 옳지 않은 것은?
① 도입기, 성장기, 성숙기, 쇠퇴기의 4단계로 나누어진다.
② 성장기에는 제품선호형 광고에서 정보제공형 광고로 전환한다.
③ 도입기에는 제품인지도를 높이기 위해 광고비가 많이 소요된다.
④ 성숙기에는 제품의 매출성장률이 점차적으로 둔화되기 시작한다.
⑤ 쇠퇴기에는 제품에 대해 유지전략, 수확전략, 철수전략 등을 고려할 수 있다.</v>
      </c>
      <c r="F260" s="31">
        <f>IFERROR(VLOOKUP(C260,기출문제!D:G,4,0),"")</f>
        <v>2</v>
      </c>
      <c r="G260" s="32" t="str">
        <f t="shared" si="3"/>
        <v/>
      </c>
    </row>
    <row r="261" spans="2:7" ht="99.75" x14ac:dyDescent="0.3">
      <c r="B261" s="13">
        <v>254</v>
      </c>
      <c r="C261" s="14" t="s">
        <v>1036</v>
      </c>
      <c r="D261" s="13"/>
      <c r="E261" s="15" t="str">
        <f>IFERROR(VLOOKUP(C261,기출문제!D:G,3,0),"")</f>
        <v>114. 통합적 마케팅 커뮤니케이션에 관한 설명 중 옳지 않은 것은?
① 강화광고는 기존 사용자에게 브랜드에 대한 확신과 만족도를 높여 준다.
② 가족 브랜딩(family branding)은 개별 브랜딩과는 달리 한 제품을 촉진하면 나머지 제품도 촉진된다는 이점이 있다.
③ 촉진에서 풀(pull) 정책은 제품에 대한 강한 수요를 유발할 목적으로 광고나 판매촉진 등을 활용하는 정책이다.
④ PR은 조직의 이해관계자들에게 호의적인 인상을 심어주기 위하여 홍보, 후원, 이벤트, 웹사이트 등을 사용하는 커뮤니케이션 방법이다.
⑤ 버즈(buzz) 마케팅은 소비자에게 메시지를 빨리 전파할 수 있게 이메일이나 모바일을 통하여 메시지를 공유한다.</v>
      </c>
      <c r="F261" s="31">
        <f>IFERROR(VLOOKUP(C261,기출문제!D:G,4,0),"")</f>
        <v>5</v>
      </c>
      <c r="G261" s="32" t="str">
        <f t="shared" si="3"/>
        <v/>
      </c>
    </row>
    <row r="262" spans="2:7" ht="85.5" x14ac:dyDescent="0.3">
      <c r="B262" s="13">
        <v>255</v>
      </c>
      <c r="C262" s="14" t="s">
        <v>1037</v>
      </c>
      <c r="D262" s="13"/>
      <c r="E262" s="15" t="str">
        <f>IFERROR(VLOOKUP(C262,기출문제!D:G,3,0),"")</f>
        <v>115. 투자안의 순현가를 0으로 만드는 수익률(할인율)은?
① 초과수익률
② 실질수익률
③ 경상수익률
④ 내부수익률
⑤ 명목수익률</v>
      </c>
      <c r="F262" s="31">
        <f>IFERROR(VLOOKUP(C262,기출문제!D:G,4,0),"")</f>
        <v>4</v>
      </c>
      <c r="G262" s="32" t="str">
        <f t="shared" si="3"/>
        <v/>
      </c>
    </row>
    <row r="263" spans="2:7" ht="85.5" x14ac:dyDescent="0.3">
      <c r="B263" s="13">
        <v>256</v>
      </c>
      <c r="C263" s="14" t="s">
        <v>1038</v>
      </c>
      <c r="D263" s="13"/>
      <c r="E263" s="15" t="str">
        <f>IFERROR(VLOOKUP(C263,기출문제!D:G,3,0),"")</f>
        <v>116. 매출액순이익률이 2%이고 총자본회전율이 5인 기업의 총자본순이익률은?
① 1%
② 2.5%
③ 5%
④ 7%
⑤ 10%</v>
      </c>
      <c r="F263" s="31">
        <f>IFERROR(VLOOKUP(C263,기출문제!D:G,4,0),"")</f>
        <v>5</v>
      </c>
      <c r="G263" s="32" t="str">
        <f t="shared" si="3"/>
        <v/>
      </c>
    </row>
    <row r="264" spans="2:7" ht="85.5" x14ac:dyDescent="0.3">
      <c r="B264" s="13">
        <v>257</v>
      </c>
      <c r="C264" s="14" t="s">
        <v>1039</v>
      </c>
      <c r="D264" s="13"/>
      <c r="E264" s="15" t="str">
        <f>IFERROR(VLOOKUP(C264,기출문제!D:G,3,0),"")</f>
        <v>117. 매년 말 200만원을 영원히 지급받는 영구연금의 현재가치는? (단, 연간이자율은 10%)
① 1,400만원
② 1,600만원
③ 1,800만원
④ 2,000만원
⑤ 2,200만원</v>
      </c>
      <c r="F264" s="31">
        <f>IFERROR(VLOOKUP(C264,기출문제!D:G,4,0),"")</f>
        <v>4</v>
      </c>
      <c r="G264" s="32" t="str">
        <f t="shared" si="3"/>
        <v/>
      </c>
    </row>
    <row r="265" spans="2:7" ht="99.75" x14ac:dyDescent="0.3">
      <c r="B265" s="13">
        <v>258</v>
      </c>
      <c r="C265" s="14" t="s">
        <v>1040</v>
      </c>
      <c r="D265" s="13"/>
      <c r="E265" s="15" t="str">
        <f>IFERROR(VLOOKUP(C265,기출문제!D:G,3,0),"")</f>
        <v>118. A기업은 1년간 400개의 부품을 사용한다. 부품가격은 개당 1,000원, 주문비용은 회당 10,000원, 단위당 연간 재고유지비용은 부품가격의 20%라면 이 부품의 경제적 주문량(EOQ)은?
① 100개
② 150개
③ 200개
④ 250개
⑤ 300개</v>
      </c>
      <c r="F265" s="31">
        <f>IFERROR(VLOOKUP(C265,기출문제!D:G,4,0),"")</f>
        <v>3</v>
      </c>
      <c r="G265" s="32" t="str">
        <f t="shared" ref="G265:G328" si="4">IF(D265="","",IF(D265=F265,"O", "X"))</f>
        <v/>
      </c>
    </row>
    <row r="266" spans="2:7" ht="85.5" x14ac:dyDescent="0.3">
      <c r="B266" s="13">
        <v>259</v>
      </c>
      <c r="C266" s="14" t="s">
        <v>1041</v>
      </c>
      <c r="D266" s="13"/>
      <c r="E266" s="15" t="str">
        <f>IFERROR(VLOOKUP(C266,기출문제!D:G,3,0),"")</f>
        <v>119. 생산관리의 전형적인 목표(과업)로 옳지 않은 것은?
① 촉진강화
② 품질향상
③ 원가절감
④ 납기준수
⑤ 유연성제고</v>
      </c>
      <c r="F266" s="31">
        <f>IFERROR(VLOOKUP(C266,기출문제!D:G,4,0),"")</f>
        <v>1</v>
      </c>
      <c r="G266" s="32" t="str">
        <f t="shared" si="4"/>
        <v/>
      </c>
    </row>
    <row r="267" spans="2:7" ht="85.5" x14ac:dyDescent="0.3">
      <c r="B267" s="13">
        <v>260</v>
      </c>
      <c r="C267" s="14" t="s">
        <v>1042</v>
      </c>
      <c r="D267" s="13"/>
      <c r="E267" s="15" t="str">
        <f>IFERROR(VLOOKUP(C267,기출문제!D:G,3,0),"")</f>
        <v>120. JIT(Just-in-time) 시스템의 특징으로 옳지 않은 것은?
① 푸쉬(push) 방식이다.
② 필요한 만큼의 자재만을 생산한다.
③ 공급자와 긴밀한 관계를 유지한다.
④ 가능한 한 소량 로트(lot) 크기를 사용하여 재고를 관리한다.
⑤ 생산지시와 자재이동을 가시적으로 통제하기 위한 방법으로 간판(Kanban)을 사용한다.</v>
      </c>
      <c r="F267" s="31">
        <f>IFERROR(VLOOKUP(C267,기출문제!D:G,4,0),"")</f>
        <v>1</v>
      </c>
      <c r="G267" s="32" t="str">
        <f t="shared" si="4"/>
        <v/>
      </c>
    </row>
    <row r="268" spans="2:7" ht="85.5" x14ac:dyDescent="0.3">
      <c r="B268" s="13">
        <v>261</v>
      </c>
      <c r="C268" s="14" t="s">
        <v>1043</v>
      </c>
      <c r="D268" s="13"/>
      <c r="E268" s="15" t="str">
        <f>IFERROR(VLOOKUP(C268,기출문제!D:G,3,0),"")</f>
        <v>121. 내용연수를 기준으로 초기에 비용을 많이 계상하는 감가상각방법은?
① 정액법
② 정률법
③ 선입선출법
④ 후입선출법
⑤ 저가법</v>
      </c>
      <c r="F268" s="31">
        <f>IFERROR(VLOOKUP(C268,기출문제!D:G,4,0),"")</f>
        <v>2</v>
      </c>
      <c r="G268" s="32" t="str">
        <f t="shared" si="4"/>
        <v/>
      </c>
    </row>
    <row r="269" spans="2:7" ht="85.5" x14ac:dyDescent="0.3">
      <c r="B269" s="13">
        <v>262</v>
      </c>
      <c r="C269" s="14" t="s">
        <v>1044</v>
      </c>
      <c r="D269" s="13"/>
      <c r="E269" s="15" t="str">
        <f>IFERROR(VLOOKUP(C269,기출문제!D:G,3,0),"")</f>
        <v>122. 액면가액 5,000원인 주식 100주를 발행하여 회사를 설립할 경우 올바른 분개는?
① (차) 현금 500,000 / (대) 부채 500,000
② (차) 자본금 500,000 / (대) 부채 500,000
③ (차) 자본금 500,000 / (대) 현금 500,000
④ (차) 현금 500,000 / (대) 자본금 500,000
⑤ (차) 부채 500,000 / (대) 자본금 500,000</v>
      </c>
      <c r="F269" s="31">
        <f>IFERROR(VLOOKUP(C269,기출문제!D:G,4,0),"")</f>
        <v>4</v>
      </c>
      <c r="G269" s="32" t="str">
        <f t="shared" si="4"/>
        <v/>
      </c>
    </row>
    <row r="270" spans="2:7" ht="85.5" x14ac:dyDescent="0.3">
      <c r="B270" s="13">
        <v>263</v>
      </c>
      <c r="C270" s="14" t="s">
        <v>1045</v>
      </c>
      <c r="D270" s="13"/>
      <c r="E270" s="15" t="str">
        <f>IFERROR(VLOOKUP(C270,기출문제!D:G,3,0),"")</f>
        <v>123. 재무상태표에서 비유동자산에 해당하는 계정과목은?
① 영업권
② 매입채무
③ 매출채권
④ 자기주식
⑤ 법정적립금</v>
      </c>
      <c r="F270" s="31">
        <f>IFERROR(VLOOKUP(C270,기출문제!D:G,4,0),"")</f>
        <v>1</v>
      </c>
      <c r="G270" s="32" t="str">
        <f t="shared" si="4"/>
        <v/>
      </c>
    </row>
    <row r="271" spans="2:7" ht="99.75" x14ac:dyDescent="0.3">
      <c r="B271" s="13">
        <v>264</v>
      </c>
      <c r="C271" s="14" t="s">
        <v>1046</v>
      </c>
      <c r="D271" s="13"/>
      <c r="E271" s="15" t="str">
        <f>IFERROR(VLOOKUP(C271,기출문제!D:G,3,0),"")</f>
        <v>124. 데이터 중복을 최소화하고 무결성을 극대화하며, 최상의 성능을 달성할 수 있도록 관계형 데이터베이스를 분석하고 효율화하는 과정을 지칭하는 용어는?
① 통합화(integration)
② 최적화(optimization)
③ 정규화(normalization)
④ 집중화(centralization)
⑤ 표준화(standardization)</v>
      </c>
      <c r="F271" s="31">
        <f>IFERROR(VLOOKUP(C271,기출문제!D:G,4,0),"")</f>
        <v>3</v>
      </c>
      <c r="G271" s="32" t="str">
        <f t="shared" si="4"/>
        <v/>
      </c>
    </row>
    <row r="272" spans="2:7" ht="99.75" x14ac:dyDescent="0.3">
      <c r="B272" s="13">
        <v>265</v>
      </c>
      <c r="C272" s="14" t="s">
        <v>1047</v>
      </c>
      <c r="D272" s="13"/>
      <c r="E272" s="15" t="str">
        <f>IFERROR(VLOOKUP(C272,기출문제!D:G,3,0),"")</f>
        <v>125. USB는 컴퓨터와 주변장치(키보드, 마우스, 메모리스틱 등)를 연결하는 장치이다. 여기서, USB는 U=Universal, S=Serial, B=( )의 약자이다. 괄호 안에 들어갈 단어는?
① Bit
② Bus
③ Box
④ Boot
⑤ Base</v>
      </c>
      <c r="F272" s="31">
        <f>IFERROR(VLOOKUP(C272,기출문제!D:G,4,0),"")</f>
        <v>2</v>
      </c>
      <c r="G272" s="32" t="str">
        <f t="shared" si="4"/>
        <v/>
      </c>
    </row>
    <row r="273" spans="2:7" x14ac:dyDescent="0.3">
      <c r="B273" s="13">
        <v>266</v>
      </c>
      <c r="C273" s="14" t="s">
        <v>766</v>
      </c>
      <c r="D273" s="13"/>
      <c r="E273" s="15" t="str">
        <f>IFERROR(VLOOKUP(C273,기출문제!D:G,3,0),"")</f>
        <v/>
      </c>
      <c r="F273" s="31" t="str">
        <f>IFERROR(VLOOKUP(C273,기출문제!D:G,4,0),"")</f>
        <v/>
      </c>
      <c r="G273" s="32" t="str">
        <f t="shared" si="4"/>
        <v/>
      </c>
    </row>
    <row r="274" spans="2:7" x14ac:dyDescent="0.3">
      <c r="B274" s="13">
        <v>267</v>
      </c>
      <c r="C274" s="14" t="s">
        <v>766</v>
      </c>
      <c r="D274" s="13"/>
      <c r="E274" s="15" t="str">
        <f>IFERROR(VLOOKUP(C274,기출문제!D:G,3,0),"")</f>
        <v/>
      </c>
      <c r="F274" s="31" t="str">
        <f>IFERROR(VLOOKUP(C274,기출문제!D:G,4,0),"")</f>
        <v/>
      </c>
      <c r="G274" s="32" t="str">
        <f t="shared" si="4"/>
        <v/>
      </c>
    </row>
    <row r="275" spans="2:7" x14ac:dyDescent="0.3">
      <c r="B275" s="13">
        <v>268</v>
      </c>
      <c r="C275" s="14" t="s">
        <v>766</v>
      </c>
      <c r="D275" s="13"/>
      <c r="E275" s="15" t="str">
        <f>IFERROR(VLOOKUP(C275,기출문제!D:G,3,0),"")</f>
        <v/>
      </c>
      <c r="F275" s="31" t="str">
        <f>IFERROR(VLOOKUP(C275,기출문제!D:G,4,0),"")</f>
        <v/>
      </c>
      <c r="G275" s="32" t="str">
        <f t="shared" si="4"/>
        <v/>
      </c>
    </row>
    <row r="276" spans="2:7" x14ac:dyDescent="0.3">
      <c r="B276" s="13">
        <v>269</v>
      </c>
      <c r="C276" s="14" t="s">
        <v>766</v>
      </c>
      <c r="D276" s="13"/>
      <c r="E276" s="15" t="str">
        <f>IFERROR(VLOOKUP(C276,기출문제!D:G,3,0),"")</f>
        <v/>
      </c>
      <c r="F276" s="31" t="str">
        <f>IFERROR(VLOOKUP(C276,기출문제!D:G,4,0),"")</f>
        <v/>
      </c>
      <c r="G276" s="32" t="str">
        <f t="shared" si="4"/>
        <v/>
      </c>
    </row>
    <row r="277" spans="2:7" x14ac:dyDescent="0.3">
      <c r="B277" s="13">
        <v>270</v>
      </c>
      <c r="C277" s="14" t="s">
        <v>766</v>
      </c>
      <c r="D277" s="13"/>
      <c r="E277" s="15" t="str">
        <f>IFERROR(VLOOKUP(C277,기출문제!D:G,3,0),"")</f>
        <v/>
      </c>
      <c r="F277" s="31" t="str">
        <f>IFERROR(VLOOKUP(C277,기출문제!D:G,4,0),"")</f>
        <v/>
      </c>
      <c r="G277" s="32" t="str">
        <f t="shared" si="4"/>
        <v/>
      </c>
    </row>
    <row r="278" spans="2:7" x14ac:dyDescent="0.3">
      <c r="B278" s="13">
        <v>271</v>
      </c>
      <c r="C278" s="14" t="s">
        <v>766</v>
      </c>
      <c r="D278" s="13"/>
      <c r="E278" s="15" t="str">
        <f>IFERROR(VLOOKUP(C278,기출문제!D:G,3,0),"")</f>
        <v/>
      </c>
      <c r="F278" s="31" t="str">
        <f>IFERROR(VLOOKUP(C278,기출문제!D:G,4,0),"")</f>
        <v/>
      </c>
      <c r="G278" s="32" t="str">
        <f t="shared" si="4"/>
        <v/>
      </c>
    </row>
    <row r="279" spans="2:7" x14ac:dyDescent="0.3">
      <c r="B279" s="13">
        <v>272</v>
      </c>
      <c r="C279" s="14" t="s">
        <v>766</v>
      </c>
      <c r="D279" s="13"/>
      <c r="E279" s="15" t="str">
        <f>IFERROR(VLOOKUP(C279,기출문제!D:G,3,0),"")</f>
        <v/>
      </c>
      <c r="F279" s="31" t="str">
        <f>IFERROR(VLOOKUP(C279,기출문제!D:G,4,0),"")</f>
        <v/>
      </c>
      <c r="G279" s="32" t="str">
        <f t="shared" si="4"/>
        <v/>
      </c>
    </row>
    <row r="280" spans="2:7" x14ac:dyDescent="0.3">
      <c r="B280" s="13">
        <v>273</v>
      </c>
      <c r="C280" s="14" t="s">
        <v>766</v>
      </c>
      <c r="D280" s="13"/>
      <c r="E280" s="15" t="str">
        <f>IFERROR(VLOOKUP(C280,기출문제!D:G,3,0),"")</f>
        <v/>
      </c>
      <c r="F280" s="31" t="str">
        <f>IFERROR(VLOOKUP(C280,기출문제!D:G,4,0),"")</f>
        <v/>
      </c>
      <c r="G280" s="32" t="str">
        <f t="shared" si="4"/>
        <v/>
      </c>
    </row>
    <row r="281" spans="2:7" x14ac:dyDescent="0.3">
      <c r="B281" s="13">
        <v>274</v>
      </c>
      <c r="C281" s="14" t="s">
        <v>766</v>
      </c>
      <c r="D281" s="13"/>
      <c r="E281" s="15" t="str">
        <f>IFERROR(VLOOKUP(C281,기출문제!D:G,3,0),"")</f>
        <v/>
      </c>
      <c r="F281" s="31" t="str">
        <f>IFERROR(VLOOKUP(C281,기출문제!D:G,4,0),"")</f>
        <v/>
      </c>
      <c r="G281" s="32" t="str">
        <f t="shared" si="4"/>
        <v/>
      </c>
    </row>
    <row r="282" spans="2:7" x14ac:dyDescent="0.3">
      <c r="B282" s="13">
        <v>275</v>
      </c>
      <c r="C282" s="14" t="s">
        <v>766</v>
      </c>
      <c r="D282" s="13"/>
      <c r="E282" s="15" t="str">
        <f>IFERROR(VLOOKUP(C282,기출문제!D:G,3,0),"")</f>
        <v/>
      </c>
      <c r="F282" s="31" t="str">
        <f>IFERROR(VLOOKUP(C282,기출문제!D:G,4,0),"")</f>
        <v/>
      </c>
      <c r="G282" s="32" t="str">
        <f t="shared" si="4"/>
        <v/>
      </c>
    </row>
    <row r="283" spans="2:7" x14ac:dyDescent="0.3">
      <c r="B283" s="13">
        <v>276</v>
      </c>
      <c r="C283" s="14" t="s">
        <v>766</v>
      </c>
      <c r="D283" s="13"/>
      <c r="E283" s="15" t="str">
        <f>IFERROR(VLOOKUP(C283,기출문제!D:G,3,0),"")</f>
        <v/>
      </c>
      <c r="F283" s="31" t="str">
        <f>IFERROR(VLOOKUP(C283,기출문제!D:G,4,0),"")</f>
        <v/>
      </c>
      <c r="G283" s="32" t="str">
        <f t="shared" si="4"/>
        <v/>
      </c>
    </row>
    <row r="284" spans="2:7" x14ac:dyDescent="0.3">
      <c r="B284" s="13">
        <v>277</v>
      </c>
      <c r="C284" s="14" t="s">
        <v>766</v>
      </c>
      <c r="D284" s="13"/>
      <c r="E284" s="15" t="str">
        <f>IFERROR(VLOOKUP(C284,기출문제!D:G,3,0),"")</f>
        <v/>
      </c>
      <c r="F284" s="31" t="str">
        <f>IFERROR(VLOOKUP(C284,기출문제!D:G,4,0),"")</f>
        <v/>
      </c>
      <c r="G284" s="32" t="str">
        <f t="shared" si="4"/>
        <v/>
      </c>
    </row>
    <row r="285" spans="2:7" x14ac:dyDescent="0.3">
      <c r="B285" s="13">
        <v>278</v>
      </c>
      <c r="C285" s="14" t="s">
        <v>766</v>
      </c>
      <c r="D285" s="13"/>
      <c r="E285" s="15" t="str">
        <f>IFERROR(VLOOKUP(C285,기출문제!D:G,3,0),"")</f>
        <v/>
      </c>
      <c r="F285" s="31" t="str">
        <f>IFERROR(VLOOKUP(C285,기출문제!D:G,4,0),"")</f>
        <v/>
      </c>
      <c r="G285" s="32" t="str">
        <f t="shared" si="4"/>
        <v/>
      </c>
    </row>
    <row r="286" spans="2:7" x14ac:dyDescent="0.3">
      <c r="B286" s="13">
        <v>279</v>
      </c>
      <c r="C286" s="14" t="s">
        <v>766</v>
      </c>
      <c r="D286" s="13"/>
      <c r="E286" s="15" t="str">
        <f>IFERROR(VLOOKUP(C286,기출문제!D:G,3,0),"")</f>
        <v/>
      </c>
      <c r="F286" s="31" t="str">
        <f>IFERROR(VLOOKUP(C286,기출문제!D:G,4,0),"")</f>
        <v/>
      </c>
      <c r="G286" s="32" t="str">
        <f t="shared" si="4"/>
        <v/>
      </c>
    </row>
    <row r="287" spans="2:7" x14ac:dyDescent="0.3">
      <c r="B287" s="13">
        <v>280</v>
      </c>
      <c r="C287" s="14" t="s">
        <v>766</v>
      </c>
      <c r="D287" s="13"/>
      <c r="E287" s="15" t="str">
        <f>IFERROR(VLOOKUP(C287,기출문제!D:G,3,0),"")</f>
        <v/>
      </c>
      <c r="F287" s="31" t="str">
        <f>IFERROR(VLOOKUP(C287,기출문제!D:G,4,0),"")</f>
        <v/>
      </c>
      <c r="G287" s="32" t="str">
        <f t="shared" si="4"/>
        <v/>
      </c>
    </row>
    <row r="288" spans="2:7" x14ac:dyDescent="0.3">
      <c r="B288" s="13">
        <v>281</v>
      </c>
      <c r="C288" s="14" t="s">
        <v>766</v>
      </c>
      <c r="D288" s="13"/>
      <c r="E288" s="15" t="str">
        <f>IFERROR(VLOOKUP(C288,기출문제!D:G,3,0),"")</f>
        <v/>
      </c>
      <c r="F288" s="31" t="str">
        <f>IFERROR(VLOOKUP(C288,기출문제!D:G,4,0),"")</f>
        <v/>
      </c>
      <c r="G288" s="32" t="str">
        <f t="shared" si="4"/>
        <v/>
      </c>
    </row>
    <row r="289" spans="2:7" x14ac:dyDescent="0.3">
      <c r="B289" s="13">
        <v>282</v>
      </c>
      <c r="C289" s="14" t="s">
        <v>766</v>
      </c>
      <c r="D289" s="13"/>
      <c r="E289" s="15" t="str">
        <f>IFERROR(VLOOKUP(C289,기출문제!D:G,3,0),"")</f>
        <v/>
      </c>
      <c r="F289" s="31" t="str">
        <f>IFERROR(VLOOKUP(C289,기출문제!D:G,4,0),"")</f>
        <v/>
      </c>
      <c r="G289" s="32" t="str">
        <f t="shared" si="4"/>
        <v/>
      </c>
    </row>
    <row r="290" spans="2:7" x14ac:dyDescent="0.3">
      <c r="B290" s="13">
        <v>283</v>
      </c>
      <c r="C290" s="14" t="s">
        <v>766</v>
      </c>
      <c r="D290" s="13"/>
      <c r="E290" s="15" t="str">
        <f>IFERROR(VLOOKUP(C290,기출문제!D:G,3,0),"")</f>
        <v/>
      </c>
      <c r="F290" s="31" t="str">
        <f>IFERROR(VLOOKUP(C290,기출문제!D:G,4,0),"")</f>
        <v/>
      </c>
      <c r="G290" s="32" t="str">
        <f t="shared" si="4"/>
        <v/>
      </c>
    </row>
    <row r="291" spans="2:7" x14ac:dyDescent="0.3">
      <c r="B291" s="13">
        <v>284</v>
      </c>
      <c r="C291" s="14" t="s">
        <v>766</v>
      </c>
      <c r="D291" s="13"/>
      <c r="E291" s="15" t="str">
        <f>IFERROR(VLOOKUP(C291,기출문제!D:G,3,0),"")</f>
        <v/>
      </c>
      <c r="F291" s="31" t="str">
        <f>IFERROR(VLOOKUP(C291,기출문제!D:G,4,0),"")</f>
        <v/>
      </c>
      <c r="G291" s="32" t="str">
        <f t="shared" si="4"/>
        <v/>
      </c>
    </row>
    <row r="292" spans="2:7" x14ac:dyDescent="0.3">
      <c r="B292" s="13">
        <v>285</v>
      </c>
      <c r="C292" s="14" t="s">
        <v>766</v>
      </c>
      <c r="D292" s="13"/>
      <c r="E292" s="15" t="str">
        <f>IFERROR(VLOOKUP(C292,기출문제!D:G,3,0),"")</f>
        <v/>
      </c>
      <c r="F292" s="31" t="str">
        <f>IFERROR(VLOOKUP(C292,기출문제!D:G,4,0),"")</f>
        <v/>
      </c>
      <c r="G292" s="32" t="str">
        <f t="shared" si="4"/>
        <v/>
      </c>
    </row>
    <row r="293" spans="2:7" x14ac:dyDescent="0.3">
      <c r="B293" s="13">
        <v>286</v>
      </c>
      <c r="C293" s="14" t="s">
        <v>766</v>
      </c>
      <c r="D293" s="13"/>
      <c r="E293" s="15" t="str">
        <f>IFERROR(VLOOKUP(C293,기출문제!D:G,3,0),"")</f>
        <v/>
      </c>
      <c r="F293" s="31" t="str">
        <f>IFERROR(VLOOKUP(C293,기출문제!D:G,4,0),"")</f>
        <v/>
      </c>
      <c r="G293" s="32" t="str">
        <f t="shared" si="4"/>
        <v/>
      </c>
    </row>
    <row r="294" spans="2:7" x14ac:dyDescent="0.3">
      <c r="B294" s="13">
        <v>287</v>
      </c>
      <c r="C294" s="14" t="s">
        <v>766</v>
      </c>
      <c r="D294" s="13"/>
      <c r="E294" s="15" t="str">
        <f>IFERROR(VLOOKUP(C294,기출문제!D:G,3,0),"")</f>
        <v/>
      </c>
      <c r="F294" s="31" t="str">
        <f>IFERROR(VLOOKUP(C294,기출문제!D:G,4,0),"")</f>
        <v/>
      </c>
      <c r="G294" s="32" t="str">
        <f t="shared" si="4"/>
        <v/>
      </c>
    </row>
    <row r="295" spans="2:7" x14ac:dyDescent="0.3">
      <c r="B295" s="13">
        <v>288</v>
      </c>
      <c r="C295" s="14" t="s">
        <v>766</v>
      </c>
      <c r="D295" s="13"/>
      <c r="E295" s="15" t="str">
        <f>IFERROR(VLOOKUP(C295,기출문제!D:G,3,0),"")</f>
        <v/>
      </c>
      <c r="F295" s="31" t="str">
        <f>IFERROR(VLOOKUP(C295,기출문제!D:G,4,0),"")</f>
        <v/>
      </c>
      <c r="G295" s="32" t="str">
        <f t="shared" si="4"/>
        <v/>
      </c>
    </row>
    <row r="296" spans="2:7" x14ac:dyDescent="0.3">
      <c r="B296" s="13">
        <v>289</v>
      </c>
      <c r="C296" s="14" t="s">
        <v>766</v>
      </c>
      <c r="D296" s="13"/>
      <c r="E296" s="15" t="str">
        <f>IFERROR(VLOOKUP(C296,기출문제!D:G,3,0),"")</f>
        <v/>
      </c>
      <c r="F296" s="31" t="str">
        <f>IFERROR(VLOOKUP(C296,기출문제!D:G,4,0),"")</f>
        <v/>
      </c>
      <c r="G296" s="32" t="str">
        <f t="shared" si="4"/>
        <v/>
      </c>
    </row>
    <row r="297" spans="2:7" x14ac:dyDescent="0.3">
      <c r="B297" s="13">
        <v>290</v>
      </c>
      <c r="C297" s="14" t="s">
        <v>766</v>
      </c>
      <c r="D297" s="13"/>
      <c r="E297" s="15" t="str">
        <f>IFERROR(VLOOKUP(C297,기출문제!D:G,3,0),"")</f>
        <v/>
      </c>
      <c r="F297" s="31" t="str">
        <f>IFERROR(VLOOKUP(C297,기출문제!D:G,4,0),"")</f>
        <v/>
      </c>
      <c r="G297" s="32" t="str">
        <f t="shared" si="4"/>
        <v/>
      </c>
    </row>
    <row r="298" spans="2:7" x14ac:dyDescent="0.3">
      <c r="B298" s="13">
        <v>291</v>
      </c>
      <c r="C298" s="14" t="s">
        <v>766</v>
      </c>
      <c r="D298" s="13"/>
      <c r="E298" s="15" t="str">
        <f>IFERROR(VLOOKUP(C298,기출문제!D:G,3,0),"")</f>
        <v/>
      </c>
      <c r="F298" s="31" t="str">
        <f>IFERROR(VLOOKUP(C298,기출문제!D:G,4,0),"")</f>
        <v/>
      </c>
      <c r="G298" s="32" t="str">
        <f t="shared" si="4"/>
        <v/>
      </c>
    </row>
    <row r="299" spans="2:7" x14ac:dyDescent="0.3">
      <c r="B299" s="13">
        <v>292</v>
      </c>
      <c r="C299" s="14" t="s">
        <v>766</v>
      </c>
      <c r="D299" s="13"/>
      <c r="E299" s="15" t="str">
        <f>IFERROR(VLOOKUP(C299,기출문제!D:G,3,0),"")</f>
        <v/>
      </c>
      <c r="F299" s="31" t="str">
        <f>IFERROR(VLOOKUP(C299,기출문제!D:G,4,0),"")</f>
        <v/>
      </c>
      <c r="G299" s="32" t="str">
        <f t="shared" si="4"/>
        <v/>
      </c>
    </row>
    <row r="300" spans="2:7" x14ac:dyDescent="0.3">
      <c r="B300" s="13">
        <v>293</v>
      </c>
      <c r="C300" s="14" t="s">
        <v>766</v>
      </c>
      <c r="D300" s="13"/>
      <c r="E300" s="15" t="str">
        <f>IFERROR(VLOOKUP(C300,기출문제!D:G,3,0),"")</f>
        <v/>
      </c>
      <c r="F300" s="31" t="str">
        <f>IFERROR(VLOOKUP(C300,기출문제!D:G,4,0),"")</f>
        <v/>
      </c>
      <c r="G300" s="32" t="str">
        <f t="shared" si="4"/>
        <v/>
      </c>
    </row>
    <row r="301" spans="2:7" x14ac:dyDescent="0.3">
      <c r="B301" s="13">
        <v>294</v>
      </c>
      <c r="C301" s="14" t="s">
        <v>766</v>
      </c>
      <c r="D301" s="13"/>
      <c r="E301" s="15" t="str">
        <f>IFERROR(VLOOKUP(C301,기출문제!D:G,3,0),"")</f>
        <v/>
      </c>
      <c r="F301" s="31" t="str">
        <f>IFERROR(VLOOKUP(C301,기출문제!D:G,4,0),"")</f>
        <v/>
      </c>
      <c r="G301" s="32" t="str">
        <f t="shared" si="4"/>
        <v/>
      </c>
    </row>
    <row r="302" spans="2:7" x14ac:dyDescent="0.3">
      <c r="B302" s="13">
        <v>295</v>
      </c>
      <c r="C302" s="14" t="s">
        <v>766</v>
      </c>
      <c r="D302" s="13"/>
      <c r="E302" s="15" t="str">
        <f>IFERROR(VLOOKUP(C302,기출문제!D:G,3,0),"")</f>
        <v/>
      </c>
      <c r="F302" s="31" t="str">
        <f>IFERROR(VLOOKUP(C302,기출문제!D:G,4,0),"")</f>
        <v/>
      </c>
      <c r="G302" s="32" t="str">
        <f t="shared" si="4"/>
        <v/>
      </c>
    </row>
    <row r="303" spans="2:7" x14ac:dyDescent="0.3">
      <c r="B303" s="13">
        <v>296</v>
      </c>
      <c r="C303" s="14" t="s">
        <v>766</v>
      </c>
      <c r="D303" s="13"/>
      <c r="E303" s="15" t="str">
        <f>IFERROR(VLOOKUP(C303,기출문제!D:G,3,0),"")</f>
        <v/>
      </c>
      <c r="F303" s="31" t="str">
        <f>IFERROR(VLOOKUP(C303,기출문제!D:G,4,0),"")</f>
        <v/>
      </c>
      <c r="G303" s="32" t="str">
        <f t="shared" si="4"/>
        <v/>
      </c>
    </row>
    <row r="304" spans="2:7" x14ac:dyDescent="0.3">
      <c r="B304" s="13">
        <v>297</v>
      </c>
      <c r="C304" s="14" t="s">
        <v>766</v>
      </c>
      <c r="D304" s="13"/>
      <c r="E304" s="15" t="str">
        <f>IFERROR(VLOOKUP(C304,기출문제!D:G,3,0),"")</f>
        <v/>
      </c>
      <c r="F304" s="31" t="str">
        <f>IFERROR(VLOOKUP(C304,기출문제!D:G,4,0),"")</f>
        <v/>
      </c>
      <c r="G304" s="32" t="str">
        <f t="shared" si="4"/>
        <v/>
      </c>
    </row>
    <row r="305" spans="2:7" x14ac:dyDescent="0.3">
      <c r="B305" s="13">
        <v>298</v>
      </c>
      <c r="C305" s="14" t="s">
        <v>766</v>
      </c>
      <c r="D305" s="13"/>
      <c r="E305" s="15" t="str">
        <f>IFERROR(VLOOKUP(C305,기출문제!D:G,3,0),"")</f>
        <v/>
      </c>
      <c r="F305" s="31" t="str">
        <f>IFERROR(VLOOKUP(C305,기출문제!D:G,4,0),"")</f>
        <v/>
      </c>
      <c r="G305" s="32" t="str">
        <f t="shared" si="4"/>
        <v/>
      </c>
    </row>
    <row r="306" spans="2:7" x14ac:dyDescent="0.3">
      <c r="B306" s="13">
        <v>299</v>
      </c>
      <c r="C306" s="14" t="s">
        <v>766</v>
      </c>
      <c r="D306" s="13"/>
      <c r="E306" s="15" t="str">
        <f>IFERROR(VLOOKUP(C306,기출문제!D:G,3,0),"")</f>
        <v/>
      </c>
      <c r="F306" s="31" t="str">
        <f>IFERROR(VLOOKUP(C306,기출문제!D:G,4,0),"")</f>
        <v/>
      </c>
      <c r="G306" s="32" t="str">
        <f t="shared" si="4"/>
        <v/>
      </c>
    </row>
    <row r="307" spans="2:7" x14ac:dyDescent="0.3">
      <c r="B307" s="13">
        <v>300</v>
      </c>
      <c r="C307" s="14" t="s">
        <v>766</v>
      </c>
      <c r="D307" s="13"/>
      <c r="E307" s="15" t="str">
        <f>IFERROR(VLOOKUP(C307,기출문제!D:G,3,0),"")</f>
        <v/>
      </c>
      <c r="F307" s="31" t="str">
        <f>IFERROR(VLOOKUP(C307,기출문제!D:G,4,0),"")</f>
        <v/>
      </c>
      <c r="G307" s="32" t="str">
        <f t="shared" si="4"/>
        <v/>
      </c>
    </row>
    <row r="308" spans="2:7" x14ac:dyDescent="0.3">
      <c r="B308" s="13">
        <v>301</v>
      </c>
      <c r="C308" s="14" t="s">
        <v>766</v>
      </c>
      <c r="D308" s="13"/>
      <c r="E308" s="15" t="str">
        <f>IFERROR(VLOOKUP(C308,기출문제!D:G,3,0),"")</f>
        <v/>
      </c>
      <c r="F308" s="31" t="str">
        <f>IFERROR(VLOOKUP(C308,기출문제!D:G,4,0),"")</f>
        <v/>
      </c>
      <c r="G308" s="32" t="str">
        <f t="shared" si="4"/>
        <v/>
      </c>
    </row>
    <row r="309" spans="2:7" x14ac:dyDescent="0.3">
      <c r="B309" s="13">
        <v>302</v>
      </c>
      <c r="C309" s="14" t="s">
        <v>766</v>
      </c>
      <c r="D309" s="13"/>
      <c r="E309" s="15" t="str">
        <f>IFERROR(VLOOKUP(C309,기출문제!D:G,3,0),"")</f>
        <v/>
      </c>
      <c r="F309" s="31" t="str">
        <f>IFERROR(VLOOKUP(C309,기출문제!D:G,4,0),"")</f>
        <v/>
      </c>
      <c r="G309" s="32" t="str">
        <f t="shared" si="4"/>
        <v/>
      </c>
    </row>
    <row r="310" spans="2:7" x14ac:dyDescent="0.3">
      <c r="B310" s="13">
        <v>303</v>
      </c>
      <c r="C310" s="14" t="s">
        <v>766</v>
      </c>
      <c r="D310" s="13"/>
      <c r="E310" s="15" t="str">
        <f>IFERROR(VLOOKUP(C310,기출문제!D:G,3,0),"")</f>
        <v/>
      </c>
      <c r="F310" s="31" t="str">
        <f>IFERROR(VLOOKUP(C310,기출문제!D:G,4,0),"")</f>
        <v/>
      </c>
      <c r="G310" s="32" t="str">
        <f t="shared" si="4"/>
        <v/>
      </c>
    </row>
    <row r="311" spans="2:7" x14ac:dyDescent="0.3">
      <c r="B311" s="13">
        <v>304</v>
      </c>
      <c r="C311" s="14" t="s">
        <v>766</v>
      </c>
      <c r="D311" s="13"/>
      <c r="E311" s="15" t="str">
        <f>IFERROR(VLOOKUP(C311,기출문제!D:G,3,0),"")</f>
        <v/>
      </c>
      <c r="F311" s="31" t="str">
        <f>IFERROR(VLOOKUP(C311,기출문제!D:G,4,0),"")</f>
        <v/>
      </c>
      <c r="G311" s="32" t="str">
        <f t="shared" si="4"/>
        <v/>
      </c>
    </row>
    <row r="312" spans="2:7" x14ac:dyDescent="0.3">
      <c r="B312" s="13">
        <v>305</v>
      </c>
      <c r="C312" s="14" t="s">
        <v>766</v>
      </c>
      <c r="D312" s="13"/>
      <c r="E312" s="15" t="str">
        <f>IFERROR(VLOOKUP(C312,기출문제!D:G,3,0),"")</f>
        <v/>
      </c>
      <c r="F312" s="31" t="str">
        <f>IFERROR(VLOOKUP(C312,기출문제!D:G,4,0),"")</f>
        <v/>
      </c>
      <c r="G312" s="32" t="str">
        <f t="shared" si="4"/>
        <v/>
      </c>
    </row>
    <row r="313" spans="2:7" x14ac:dyDescent="0.3">
      <c r="B313" s="13">
        <v>306</v>
      </c>
      <c r="C313" s="14" t="s">
        <v>766</v>
      </c>
      <c r="D313" s="13"/>
      <c r="E313" s="15" t="str">
        <f>IFERROR(VLOOKUP(C313,기출문제!D:G,3,0),"")</f>
        <v/>
      </c>
      <c r="F313" s="31" t="str">
        <f>IFERROR(VLOOKUP(C313,기출문제!D:G,4,0),"")</f>
        <v/>
      </c>
      <c r="G313" s="32" t="str">
        <f t="shared" si="4"/>
        <v/>
      </c>
    </row>
    <row r="314" spans="2:7" x14ac:dyDescent="0.3">
      <c r="B314" s="13">
        <v>307</v>
      </c>
      <c r="C314" s="14" t="s">
        <v>766</v>
      </c>
      <c r="D314" s="13"/>
      <c r="E314" s="15" t="str">
        <f>IFERROR(VLOOKUP(C314,기출문제!D:G,3,0),"")</f>
        <v/>
      </c>
      <c r="F314" s="31" t="str">
        <f>IFERROR(VLOOKUP(C314,기출문제!D:G,4,0),"")</f>
        <v/>
      </c>
      <c r="G314" s="32" t="str">
        <f t="shared" si="4"/>
        <v/>
      </c>
    </row>
    <row r="315" spans="2:7" x14ac:dyDescent="0.3">
      <c r="B315" s="13">
        <v>308</v>
      </c>
      <c r="C315" s="14" t="s">
        <v>766</v>
      </c>
      <c r="D315" s="13"/>
      <c r="E315" s="15" t="str">
        <f>IFERROR(VLOOKUP(C315,기출문제!D:G,3,0),"")</f>
        <v/>
      </c>
      <c r="F315" s="31" t="str">
        <f>IFERROR(VLOOKUP(C315,기출문제!D:G,4,0),"")</f>
        <v/>
      </c>
      <c r="G315" s="32" t="str">
        <f t="shared" si="4"/>
        <v/>
      </c>
    </row>
    <row r="316" spans="2:7" x14ac:dyDescent="0.3">
      <c r="B316" s="13">
        <v>309</v>
      </c>
      <c r="C316" s="14" t="s">
        <v>766</v>
      </c>
      <c r="D316" s="13"/>
      <c r="E316" s="15" t="str">
        <f>IFERROR(VLOOKUP(C316,기출문제!D:G,3,0),"")</f>
        <v/>
      </c>
      <c r="F316" s="31" t="str">
        <f>IFERROR(VLOOKUP(C316,기출문제!D:G,4,0),"")</f>
        <v/>
      </c>
      <c r="G316" s="32" t="str">
        <f t="shared" si="4"/>
        <v/>
      </c>
    </row>
    <row r="317" spans="2:7" x14ac:dyDescent="0.3">
      <c r="B317" s="13">
        <v>310</v>
      </c>
      <c r="C317" s="14" t="s">
        <v>766</v>
      </c>
      <c r="D317" s="13"/>
      <c r="E317" s="15" t="str">
        <f>IFERROR(VLOOKUP(C317,기출문제!D:G,3,0),"")</f>
        <v/>
      </c>
      <c r="F317" s="31" t="str">
        <f>IFERROR(VLOOKUP(C317,기출문제!D:G,4,0),"")</f>
        <v/>
      </c>
      <c r="G317" s="32" t="str">
        <f t="shared" si="4"/>
        <v/>
      </c>
    </row>
    <row r="318" spans="2:7" x14ac:dyDescent="0.3">
      <c r="B318" s="13">
        <v>311</v>
      </c>
      <c r="C318" s="14" t="s">
        <v>766</v>
      </c>
      <c r="D318" s="13"/>
      <c r="E318" s="15" t="str">
        <f>IFERROR(VLOOKUP(C318,기출문제!D:G,3,0),"")</f>
        <v/>
      </c>
      <c r="F318" s="31" t="str">
        <f>IFERROR(VLOOKUP(C318,기출문제!D:G,4,0),"")</f>
        <v/>
      </c>
      <c r="G318" s="32" t="str">
        <f t="shared" si="4"/>
        <v/>
      </c>
    </row>
    <row r="319" spans="2:7" x14ac:dyDescent="0.3">
      <c r="B319" s="13">
        <v>312</v>
      </c>
      <c r="C319" s="14" t="s">
        <v>766</v>
      </c>
      <c r="D319" s="13"/>
      <c r="E319" s="15" t="str">
        <f>IFERROR(VLOOKUP(C319,기출문제!D:G,3,0),"")</f>
        <v/>
      </c>
      <c r="F319" s="31" t="str">
        <f>IFERROR(VLOOKUP(C319,기출문제!D:G,4,0),"")</f>
        <v/>
      </c>
      <c r="G319" s="32" t="str">
        <f t="shared" si="4"/>
        <v/>
      </c>
    </row>
    <row r="320" spans="2:7" x14ac:dyDescent="0.3">
      <c r="B320" s="13">
        <v>313</v>
      </c>
      <c r="C320" s="14" t="s">
        <v>766</v>
      </c>
      <c r="D320" s="13"/>
      <c r="E320" s="15" t="str">
        <f>IFERROR(VLOOKUP(C320,기출문제!D:G,3,0),"")</f>
        <v/>
      </c>
      <c r="F320" s="31" t="str">
        <f>IFERROR(VLOOKUP(C320,기출문제!D:G,4,0),"")</f>
        <v/>
      </c>
      <c r="G320" s="32" t="str">
        <f t="shared" si="4"/>
        <v/>
      </c>
    </row>
    <row r="321" spans="2:7" x14ac:dyDescent="0.3">
      <c r="B321" s="13">
        <v>314</v>
      </c>
      <c r="C321" s="14" t="s">
        <v>766</v>
      </c>
      <c r="D321" s="13"/>
      <c r="E321" s="15" t="str">
        <f>IFERROR(VLOOKUP(C321,기출문제!D:G,3,0),"")</f>
        <v/>
      </c>
      <c r="F321" s="31" t="str">
        <f>IFERROR(VLOOKUP(C321,기출문제!D:G,4,0),"")</f>
        <v/>
      </c>
      <c r="G321" s="32" t="str">
        <f t="shared" si="4"/>
        <v/>
      </c>
    </row>
    <row r="322" spans="2:7" x14ac:dyDescent="0.3">
      <c r="B322" s="13">
        <v>315</v>
      </c>
      <c r="C322" s="14" t="s">
        <v>766</v>
      </c>
      <c r="D322" s="13"/>
      <c r="E322" s="15" t="str">
        <f>IFERROR(VLOOKUP(C322,기출문제!D:G,3,0),"")</f>
        <v/>
      </c>
      <c r="F322" s="31" t="str">
        <f>IFERROR(VLOOKUP(C322,기출문제!D:G,4,0),"")</f>
        <v/>
      </c>
      <c r="G322" s="32" t="str">
        <f t="shared" si="4"/>
        <v/>
      </c>
    </row>
    <row r="323" spans="2:7" x14ac:dyDescent="0.3">
      <c r="B323" s="13">
        <v>316</v>
      </c>
      <c r="C323" s="14" t="s">
        <v>766</v>
      </c>
      <c r="D323" s="13"/>
      <c r="E323" s="15" t="str">
        <f>IFERROR(VLOOKUP(C323,기출문제!D:G,3,0),"")</f>
        <v/>
      </c>
      <c r="F323" s="31" t="str">
        <f>IFERROR(VLOOKUP(C323,기출문제!D:G,4,0),"")</f>
        <v/>
      </c>
      <c r="G323" s="32" t="str">
        <f t="shared" si="4"/>
        <v/>
      </c>
    </row>
    <row r="324" spans="2:7" x14ac:dyDescent="0.3">
      <c r="B324" s="13">
        <v>317</v>
      </c>
      <c r="C324" s="14" t="s">
        <v>766</v>
      </c>
      <c r="D324" s="13"/>
      <c r="E324" s="15" t="str">
        <f>IFERROR(VLOOKUP(C324,기출문제!D:G,3,0),"")</f>
        <v/>
      </c>
      <c r="F324" s="31" t="str">
        <f>IFERROR(VLOOKUP(C324,기출문제!D:G,4,0),"")</f>
        <v/>
      </c>
      <c r="G324" s="32" t="str">
        <f t="shared" si="4"/>
        <v/>
      </c>
    </row>
    <row r="325" spans="2:7" x14ac:dyDescent="0.3">
      <c r="B325" s="13">
        <v>318</v>
      </c>
      <c r="C325" s="14" t="s">
        <v>766</v>
      </c>
      <c r="D325" s="13"/>
      <c r="E325" s="15" t="str">
        <f>IFERROR(VLOOKUP(C325,기출문제!D:G,3,0),"")</f>
        <v/>
      </c>
      <c r="F325" s="31" t="str">
        <f>IFERROR(VLOOKUP(C325,기출문제!D:G,4,0),"")</f>
        <v/>
      </c>
      <c r="G325" s="32" t="str">
        <f t="shared" si="4"/>
        <v/>
      </c>
    </row>
    <row r="326" spans="2:7" x14ac:dyDescent="0.3">
      <c r="B326" s="13">
        <v>319</v>
      </c>
      <c r="C326" s="14" t="s">
        <v>766</v>
      </c>
      <c r="D326" s="13"/>
      <c r="E326" s="15" t="str">
        <f>IFERROR(VLOOKUP(C326,기출문제!D:G,3,0),"")</f>
        <v/>
      </c>
      <c r="F326" s="31" t="str">
        <f>IFERROR(VLOOKUP(C326,기출문제!D:G,4,0),"")</f>
        <v/>
      </c>
      <c r="G326" s="32" t="str">
        <f t="shared" si="4"/>
        <v/>
      </c>
    </row>
    <row r="327" spans="2:7" x14ac:dyDescent="0.3">
      <c r="B327" s="13">
        <v>320</v>
      </c>
      <c r="C327" s="14" t="s">
        <v>766</v>
      </c>
      <c r="D327" s="13"/>
      <c r="E327" s="15" t="str">
        <f>IFERROR(VLOOKUP(C327,기출문제!D:G,3,0),"")</f>
        <v/>
      </c>
      <c r="F327" s="31" t="str">
        <f>IFERROR(VLOOKUP(C327,기출문제!D:G,4,0),"")</f>
        <v/>
      </c>
      <c r="G327" s="32" t="str">
        <f t="shared" si="4"/>
        <v/>
      </c>
    </row>
    <row r="328" spans="2:7" x14ac:dyDescent="0.3">
      <c r="B328" s="13">
        <v>321</v>
      </c>
      <c r="C328" s="14" t="s">
        <v>766</v>
      </c>
      <c r="D328" s="13"/>
      <c r="E328" s="15" t="str">
        <f>IFERROR(VLOOKUP(C328,기출문제!D:G,3,0),"")</f>
        <v/>
      </c>
      <c r="F328" s="31" t="str">
        <f>IFERROR(VLOOKUP(C328,기출문제!D:G,4,0),"")</f>
        <v/>
      </c>
      <c r="G328" s="32" t="str">
        <f t="shared" si="4"/>
        <v/>
      </c>
    </row>
    <row r="329" spans="2:7" x14ac:dyDescent="0.3">
      <c r="B329" s="13">
        <v>322</v>
      </c>
      <c r="C329" s="14" t="s">
        <v>766</v>
      </c>
      <c r="D329" s="13"/>
      <c r="E329" s="15" t="str">
        <f>IFERROR(VLOOKUP(C329,기출문제!D:G,3,0),"")</f>
        <v/>
      </c>
      <c r="F329" s="31" t="str">
        <f>IFERROR(VLOOKUP(C329,기출문제!D:G,4,0),"")</f>
        <v/>
      </c>
      <c r="G329" s="32" t="str">
        <f t="shared" ref="G329:G392" si="5">IF(D329="","",IF(D329=F329,"O", "X"))</f>
        <v/>
      </c>
    </row>
    <row r="330" spans="2:7" x14ac:dyDescent="0.3">
      <c r="B330" s="13">
        <v>323</v>
      </c>
      <c r="C330" s="14" t="s">
        <v>766</v>
      </c>
      <c r="D330" s="13"/>
      <c r="E330" s="15" t="str">
        <f>IFERROR(VLOOKUP(C330,기출문제!D:G,3,0),"")</f>
        <v/>
      </c>
      <c r="F330" s="31" t="str">
        <f>IFERROR(VLOOKUP(C330,기출문제!D:G,4,0),"")</f>
        <v/>
      </c>
      <c r="G330" s="32" t="str">
        <f t="shared" si="5"/>
        <v/>
      </c>
    </row>
    <row r="331" spans="2:7" x14ac:dyDescent="0.3">
      <c r="B331" s="13">
        <v>324</v>
      </c>
      <c r="C331" s="14" t="s">
        <v>766</v>
      </c>
      <c r="D331" s="13"/>
      <c r="E331" s="15" t="str">
        <f>IFERROR(VLOOKUP(C331,기출문제!D:G,3,0),"")</f>
        <v/>
      </c>
      <c r="F331" s="31" t="str">
        <f>IFERROR(VLOOKUP(C331,기출문제!D:G,4,0),"")</f>
        <v/>
      </c>
      <c r="G331" s="32" t="str">
        <f t="shared" si="5"/>
        <v/>
      </c>
    </row>
    <row r="332" spans="2:7" x14ac:dyDescent="0.3">
      <c r="B332" s="13">
        <v>325</v>
      </c>
      <c r="C332" s="14" t="s">
        <v>766</v>
      </c>
      <c r="D332" s="13"/>
      <c r="E332" s="15" t="str">
        <f>IFERROR(VLOOKUP(C332,기출문제!D:G,3,0),"")</f>
        <v/>
      </c>
      <c r="F332" s="31" t="str">
        <f>IFERROR(VLOOKUP(C332,기출문제!D:G,4,0),"")</f>
        <v/>
      </c>
      <c r="G332" s="32" t="str">
        <f t="shared" si="5"/>
        <v/>
      </c>
    </row>
    <row r="333" spans="2:7" x14ac:dyDescent="0.3">
      <c r="B333" s="13">
        <v>326</v>
      </c>
      <c r="C333" s="14" t="s">
        <v>766</v>
      </c>
      <c r="D333" s="13"/>
      <c r="E333" s="15" t="str">
        <f>IFERROR(VLOOKUP(C333,기출문제!D:G,3,0),"")</f>
        <v/>
      </c>
      <c r="F333" s="31" t="str">
        <f>IFERROR(VLOOKUP(C333,기출문제!D:G,4,0),"")</f>
        <v/>
      </c>
      <c r="G333" s="32" t="str">
        <f t="shared" si="5"/>
        <v/>
      </c>
    </row>
    <row r="334" spans="2:7" x14ac:dyDescent="0.3">
      <c r="B334" s="13">
        <v>327</v>
      </c>
      <c r="C334" s="14" t="s">
        <v>766</v>
      </c>
      <c r="D334" s="13"/>
      <c r="E334" s="15" t="str">
        <f>IFERROR(VLOOKUP(C334,기출문제!D:G,3,0),"")</f>
        <v/>
      </c>
      <c r="F334" s="31" t="str">
        <f>IFERROR(VLOOKUP(C334,기출문제!D:G,4,0),"")</f>
        <v/>
      </c>
      <c r="G334" s="32" t="str">
        <f t="shared" si="5"/>
        <v/>
      </c>
    </row>
    <row r="335" spans="2:7" x14ac:dyDescent="0.3">
      <c r="B335" s="13">
        <v>328</v>
      </c>
      <c r="C335" s="14" t="s">
        <v>766</v>
      </c>
      <c r="D335" s="13"/>
      <c r="E335" s="15" t="str">
        <f>IFERROR(VLOOKUP(C335,기출문제!D:G,3,0),"")</f>
        <v/>
      </c>
      <c r="F335" s="31" t="str">
        <f>IFERROR(VLOOKUP(C335,기출문제!D:G,4,0),"")</f>
        <v/>
      </c>
      <c r="G335" s="32" t="str">
        <f t="shared" si="5"/>
        <v/>
      </c>
    </row>
    <row r="336" spans="2:7" x14ac:dyDescent="0.3">
      <c r="B336" s="13">
        <v>329</v>
      </c>
      <c r="C336" s="14" t="s">
        <v>766</v>
      </c>
      <c r="D336" s="13"/>
      <c r="E336" s="15" t="str">
        <f>IFERROR(VLOOKUP(C336,기출문제!D:G,3,0),"")</f>
        <v/>
      </c>
      <c r="F336" s="31" t="str">
        <f>IFERROR(VLOOKUP(C336,기출문제!D:G,4,0),"")</f>
        <v/>
      </c>
      <c r="G336" s="32" t="str">
        <f t="shared" si="5"/>
        <v/>
      </c>
    </row>
    <row r="337" spans="2:7" x14ac:dyDescent="0.3">
      <c r="B337" s="13">
        <v>330</v>
      </c>
      <c r="C337" s="14" t="s">
        <v>766</v>
      </c>
      <c r="D337" s="13"/>
      <c r="E337" s="15" t="str">
        <f>IFERROR(VLOOKUP(C337,기출문제!D:G,3,0),"")</f>
        <v/>
      </c>
      <c r="F337" s="31" t="str">
        <f>IFERROR(VLOOKUP(C337,기출문제!D:G,4,0),"")</f>
        <v/>
      </c>
      <c r="G337" s="32" t="str">
        <f t="shared" si="5"/>
        <v/>
      </c>
    </row>
    <row r="338" spans="2:7" x14ac:dyDescent="0.3">
      <c r="B338" s="13">
        <v>331</v>
      </c>
      <c r="C338" s="14" t="s">
        <v>766</v>
      </c>
      <c r="D338" s="13"/>
      <c r="E338" s="15" t="str">
        <f>IFERROR(VLOOKUP(C338,기출문제!D:G,3,0),"")</f>
        <v/>
      </c>
      <c r="F338" s="31" t="str">
        <f>IFERROR(VLOOKUP(C338,기출문제!D:G,4,0),"")</f>
        <v/>
      </c>
      <c r="G338" s="32" t="str">
        <f t="shared" si="5"/>
        <v/>
      </c>
    </row>
    <row r="339" spans="2:7" x14ac:dyDescent="0.3">
      <c r="B339" s="13">
        <v>332</v>
      </c>
      <c r="C339" s="14" t="s">
        <v>766</v>
      </c>
      <c r="D339" s="13"/>
      <c r="E339" s="15" t="str">
        <f>IFERROR(VLOOKUP(C339,기출문제!D:G,3,0),"")</f>
        <v/>
      </c>
      <c r="F339" s="31" t="str">
        <f>IFERROR(VLOOKUP(C339,기출문제!D:G,4,0),"")</f>
        <v/>
      </c>
      <c r="G339" s="32" t="str">
        <f t="shared" si="5"/>
        <v/>
      </c>
    </row>
    <row r="340" spans="2:7" x14ac:dyDescent="0.3">
      <c r="B340" s="13">
        <v>333</v>
      </c>
      <c r="C340" s="14" t="s">
        <v>766</v>
      </c>
      <c r="D340" s="13"/>
      <c r="E340" s="15" t="str">
        <f>IFERROR(VLOOKUP(C340,기출문제!D:G,3,0),"")</f>
        <v/>
      </c>
      <c r="F340" s="31" t="str">
        <f>IFERROR(VLOOKUP(C340,기출문제!D:G,4,0),"")</f>
        <v/>
      </c>
      <c r="G340" s="32" t="str">
        <f t="shared" si="5"/>
        <v/>
      </c>
    </row>
    <row r="341" spans="2:7" x14ac:dyDescent="0.3">
      <c r="B341" s="13">
        <v>334</v>
      </c>
      <c r="C341" s="14" t="s">
        <v>766</v>
      </c>
      <c r="D341" s="13"/>
      <c r="E341" s="15" t="str">
        <f>IFERROR(VLOOKUP(C341,기출문제!D:G,3,0),"")</f>
        <v/>
      </c>
      <c r="F341" s="31" t="str">
        <f>IFERROR(VLOOKUP(C341,기출문제!D:G,4,0),"")</f>
        <v/>
      </c>
      <c r="G341" s="32" t="str">
        <f t="shared" si="5"/>
        <v/>
      </c>
    </row>
    <row r="342" spans="2:7" x14ac:dyDescent="0.3">
      <c r="B342" s="13">
        <v>335</v>
      </c>
      <c r="C342" s="14" t="s">
        <v>766</v>
      </c>
      <c r="D342" s="13"/>
      <c r="E342" s="15" t="str">
        <f>IFERROR(VLOOKUP(C342,기출문제!D:G,3,0),"")</f>
        <v/>
      </c>
      <c r="F342" s="31" t="str">
        <f>IFERROR(VLOOKUP(C342,기출문제!D:G,4,0),"")</f>
        <v/>
      </c>
      <c r="G342" s="32" t="str">
        <f t="shared" si="5"/>
        <v/>
      </c>
    </row>
    <row r="343" spans="2:7" x14ac:dyDescent="0.3">
      <c r="B343" s="13">
        <v>336</v>
      </c>
      <c r="C343" s="14" t="s">
        <v>766</v>
      </c>
      <c r="D343" s="13"/>
      <c r="E343" s="15" t="str">
        <f>IFERROR(VLOOKUP(C343,기출문제!D:G,3,0),"")</f>
        <v/>
      </c>
      <c r="F343" s="31" t="str">
        <f>IFERROR(VLOOKUP(C343,기출문제!D:G,4,0),"")</f>
        <v/>
      </c>
      <c r="G343" s="32" t="str">
        <f t="shared" si="5"/>
        <v/>
      </c>
    </row>
    <row r="344" spans="2:7" x14ac:dyDescent="0.3">
      <c r="B344" s="13">
        <v>337</v>
      </c>
      <c r="C344" s="14" t="s">
        <v>766</v>
      </c>
      <c r="D344" s="13"/>
      <c r="E344" s="15" t="str">
        <f>IFERROR(VLOOKUP(C344,기출문제!D:G,3,0),"")</f>
        <v/>
      </c>
      <c r="F344" s="31" t="str">
        <f>IFERROR(VLOOKUP(C344,기출문제!D:G,4,0),"")</f>
        <v/>
      </c>
      <c r="G344" s="32" t="str">
        <f t="shared" si="5"/>
        <v/>
      </c>
    </row>
    <row r="345" spans="2:7" x14ac:dyDescent="0.3">
      <c r="B345" s="13">
        <v>338</v>
      </c>
      <c r="C345" s="14" t="s">
        <v>766</v>
      </c>
      <c r="D345" s="13"/>
      <c r="E345" s="15" t="str">
        <f>IFERROR(VLOOKUP(C345,기출문제!D:G,3,0),"")</f>
        <v/>
      </c>
      <c r="F345" s="31" t="str">
        <f>IFERROR(VLOOKUP(C345,기출문제!D:G,4,0),"")</f>
        <v/>
      </c>
      <c r="G345" s="32" t="str">
        <f t="shared" si="5"/>
        <v/>
      </c>
    </row>
    <row r="346" spans="2:7" x14ac:dyDescent="0.3">
      <c r="B346" s="13">
        <v>339</v>
      </c>
      <c r="C346" s="14" t="s">
        <v>766</v>
      </c>
      <c r="D346" s="13"/>
      <c r="E346" s="15" t="str">
        <f>IFERROR(VLOOKUP(C346,기출문제!D:G,3,0),"")</f>
        <v/>
      </c>
      <c r="F346" s="31" t="str">
        <f>IFERROR(VLOOKUP(C346,기출문제!D:G,4,0),"")</f>
        <v/>
      </c>
      <c r="G346" s="32" t="str">
        <f t="shared" si="5"/>
        <v/>
      </c>
    </row>
    <row r="347" spans="2:7" x14ac:dyDescent="0.3">
      <c r="B347" s="13">
        <v>340</v>
      </c>
      <c r="C347" s="14" t="s">
        <v>766</v>
      </c>
      <c r="D347" s="13"/>
      <c r="E347" s="15" t="str">
        <f>IFERROR(VLOOKUP(C347,기출문제!D:G,3,0),"")</f>
        <v/>
      </c>
      <c r="F347" s="31" t="str">
        <f>IFERROR(VLOOKUP(C347,기출문제!D:G,4,0),"")</f>
        <v/>
      </c>
      <c r="G347" s="32" t="str">
        <f t="shared" si="5"/>
        <v/>
      </c>
    </row>
    <row r="348" spans="2:7" x14ac:dyDescent="0.3">
      <c r="B348" s="13">
        <v>341</v>
      </c>
      <c r="C348" s="14" t="s">
        <v>766</v>
      </c>
      <c r="D348" s="13"/>
      <c r="E348" s="15" t="str">
        <f>IFERROR(VLOOKUP(C348,기출문제!D:G,3,0),"")</f>
        <v/>
      </c>
      <c r="F348" s="31" t="str">
        <f>IFERROR(VLOOKUP(C348,기출문제!D:G,4,0),"")</f>
        <v/>
      </c>
      <c r="G348" s="32" t="str">
        <f t="shared" si="5"/>
        <v/>
      </c>
    </row>
    <row r="349" spans="2:7" x14ac:dyDescent="0.3">
      <c r="B349" s="13">
        <v>342</v>
      </c>
      <c r="C349" s="14" t="s">
        <v>766</v>
      </c>
      <c r="D349" s="13"/>
      <c r="E349" s="15" t="str">
        <f>IFERROR(VLOOKUP(C349,기출문제!D:G,3,0),"")</f>
        <v/>
      </c>
      <c r="F349" s="31" t="str">
        <f>IFERROR(VLOOKUP(C349,기출문제!D:G,4,0),"")</f>
        <v/>
      </c>
      <c r="G349" s="32" t="str">
        <f t="shared" si="5"/>
        <v/>
      </c>
    </row>
    <row r="350" spans="2:7" x14ac:dyDescent="0.3">
      <c r="B350" s="13">
        <v>343</v>
      </c>
      <c r="C350" s="14" t="s">
        <v>766</v>
      </c>
      <c r="D350" s="13"/>
      <c r="E350" s="15" t="str">
        <f>IFERROR(VLOOKUP(C350,기출문제!D:G,3,0),"")</f>
        <v/>
      </c>
      <c r="F350" s="31" t="str">
        <f>IFERROR(VLOOKUP(C350,기출문제!D:G,4,0),"")</f>
        <v/>
      </c>
      <c r="G350" s="32" t="str">
        <f t="shared" si="5"/>
        <v/>
      </c>
    </row>
    <row r="351" spans="2:7" x14ac:dyDescent="0.3">
      <c r="B351" s="13">
        <v>344</v>
      </c>
      <c r="C351" s="14" t="s">
        <v>766</v>
      </c>
      <c r="D351" s="13"/>
      <c r="E351" s="15" t="str">
        <f>IFERROR(VLOOKUP(C351,기출문제!D:G,3,0),"")</f>
        <v/>
      </c>
      <c r="F351" s="31" t="str">
        <f>IFERROR(VLOOKUP(C351,기출문제!D:G,4,0),"")</f>
        <v/>
      </c>
      <c r="G351" s="32" t="str">
        <f t="shared" si="5"/>
        <v/>
      </c>
    </row>
    <row r="352" spans="2:7" x14ac:dyDescent="0.3">
      <c r="B352" s="13">
        <v>345</v>
      </c>
      <c r="C352" s="14" t="s">
        <v>766</v>
      </c>
      <c r="D352" s="13"/>
      <c r="E352" s="15" t="str">
        <f>IFERROR(VLOOKUP(C352,기출문제!D:G,3,0),"")</f>
        <v/>
      </c>
      <c r="F352" s="31" t="str">
        <f>IFERROR(VLOOKUP(C352,기출문제!D:G,4,0),"")</f>
        <v/>
      </c>
      <c r="G352" s="32" t="str">
        <f t="shared" si="5"/>
        <v/>
      </c>
    </row>
    <row r="353" spans="2:7" x14ac:dyDescent="0.3">
      <c r="B353" s="13">
        <v>346</v>
      </c>
      <c r="C353" s="14" t="s">
        <v>766</v>
      </c>
      <c r="D353" s="13"/>
      <c r="E353" s="15" t="str">
        <f>IFERROR(VLOOKUP(C353,기출문제!D:G,3,0),"")</f>
        <v/>
      </c>
      <c r="F353" s="31" t="str">
        <f>IFERROR(VLOOKUP(C353,기출문제!D:G,4,0),"")</f>
        <v/>
      </c>
      <c r="G353" s="32" t="str">
        <f t="shared" si="5"/>
        <v/>
      </c>
    </row>
    <row r="354" spans="2:7" x14ac:dyDescent="0.3">
      <c r="B354" s="13">
        <v>347</v>
      </c>
      <c r="C354" s="14" t="s">
        <v>766</v>
      </c>
      <c r="D354" s="13"/>
      <c r="E354" s="15" t="str">
        <f>IFERROR(VLOOKUP(C354,기출문제!D:G,3,0),"")</f>
        <v/>
      </c>
      <c r="F354" s="31" t="str">
        <f>IFERROR(VLOOKUP(C354,기출문제!D:G,4,0),"")</f>
        <v/>
      </c>
      <c r="G354" s="32" t="str">
        <f t="shared" si="5"/>
        <v/>
      </c>
    </row>
    <row r="355" spans="2:7" x14ac:dyDescent="0.3">
      <c r="B355" s="13">
        <v>348</v>
      </c>
      <c r="C355" s="14" t="s">
        <v>766</v>
      </c>
      <c r="D355" s="13"/>
      <c r="E355" s="15" t="str">
        <f>IFERROR(VLOOKUP(C355,기출문제!D:G,3,0),"")</f>
        <v/>
      </c>
      <c r="F355" s="31" t="str">
        <f>IFERROR(VLOOKUP(C355,기출문제!D:G,4,0),"")</f>
        <v/>
      </c>
      <c r="G355" s="32" t="str">
        <f t="shared" si="5"/>
        <v/>
      </c>
    </row>
    <row r="356" spans="2:7" x14ac:dyDescent="0.3">
      <c r="B356" s="13">
        <v>349</v>
      </c>
      <c r="C356" s="14" t="s">
        <v>766</v>
      </c>
      <c r="D356" s="13"/>
      <c r="E356" s="15" t="str">
        <f>IFERROR(VLOOKUP(C356,기출문제!D:G,3,0),"")</f>
        <v/>
      </c>
      <c r="F356" s="31" t="str">
        <f>IFERROR(VLOOKUP(C356,기출문제!D:G,4,0),"")</f>
        <v/>
      </c>
      <c r="G356" s="32" t="str">
        <f t="shared" si="5"/>
        <v/>
      </c>
    </row>
    <row r="357" spans="2:7" x14ac:dyDescent="0.3">
      <c r="B357" s="13">
        <v>350</v>
      </c>
      <c r="C357" s="14" t="s">
        <v>766</v>
      </c>
      <c r="D357" s="13"/>
      <c r="E357" s="15" t="str">
        <f>IFERROR(VLOOKUP(C357,기출문제!D:G,3,0),"")</f>
        <v/>
      </c>
      <c r="F357" s="31" t="str">
        <f>IFERROR(VLOOKUP(C357,기출문제!D:G,4,0),"")</f>
        <v/>
      </c>
      <c r="G357" s="32" t="str">
        <f t="shared" si="5"/>
        <v/>
      </c>
    </row>
    <row r="358" spans="2:7" x14ac:dyDescent="0.3">
      <c r="B358" s="13">
        <v>351</v>
      </c>
      <c r="C358" s="14" t="s">
        <v>766</v>
      </c>
      <c r="D358" s="13"/>
      <c r="E358" s="15" t="str">
        <f>IFERROR(VLOOKUP(C358,기출문제!D:G,3,0),"")</f>
        <v/>
      </c>
      <c r="F358" s="31" t="str">
        <f>IFERROR(VLOOKUP(C358,기출문제!D:G,4,0),"")</f>
        <v/>
      </c>
      <c r="G358" s="32" t="str">
        <f t="shared" si="5"/>
        <v/>
      </c>
    </row>
    <row r="359" spans="2:7" x14ac:dyDescent="0.3">
      <c r="B359" s="13">
        <v>352</v>
      </c>
      <c r="C359" s="14" t="s">
        <v>766</v>
      </c>
      <c r="D359" s="13"/>
      <c r="E359" s="15" t="str">
        <f>IFERROR(VLOOKUP(C359,기출문제!D:G,3,0),"")</f>
        <v/>
      </c>
      <c r="F359" s="31" t="str">
        <f>IFERROR(VLOOKUP(C359,기출문제!D:G,4,0),"")</f>
        <v/>
      </c>
      <c r="G359" s="32" t="str">
        <f t="shared" si="5"/>
        <v/>
      </c>
    </row>
    <row r="360" spans="2:7" x14ac:dyDescent="0.3">
      <c r="B360" s="13">
        <v>353</v>
      </c>
      <c r="C360" s="14" t="s">
        <v>766</v>
      </c>
      <c r="D360" s="13"/>
      <c r="E360" s="15" t="str">
        <f>IFERROR(VLOOKUP(C360,기출문제!D:G,3,0),"")</f>
        <v/>
      </c>
      <c r="F360" s="31" t="str">
        <f>IFERROR(VLOOKUP(C360,기출문제!D:G,4,0),"")</f>
        <v/>
      </c>
      <c r="G360" s="32" t="str">
        <f t="shared" si="5"/>
        <v/>
      </c>
    </row>
    <row r="361" spans="2:7" x14ac:dyDescent="0.3">
      <c r="B361" s="13">
        <v>354</v>
      </c>
      <c r="C361" s="14" t="s">
        <v>766</v>
      </c>
      <c r="D361" s="13"/>
      <c r="E361" s="15" t="str">
        <f>IFERROR(VLOOKUP(C361,기출문제!D:G,3,0),"")</f>
        <v/>
      </c>
      <c r="F361" s="31" t="str">
        <f>IFERROR(VLOOKUP(C361,기출문제!D:G,4,0),"")</f>
        <v/>
      </c>
      <c r="G361" s="32" t="str">
        <f t="shared" si="5"/>
        <v/>
      </c>
    </row>
    <row r="362" spans="2:7" x14ac:dyDescent="0.3">
      <c r="B362" s="13">
        <v>355</v>
      </c>
      <c r="C362" s="14" t="s">
        <v>766</v>
      </c>
      <c r="D362" s="13"/>
      <c r="E362" s="15" t="str">
        <f>IFERROR(VLOOKUP(C362,기출문제!D:G,3,0),"")</f>
        <v/>
      </c>
      <c r="F362" s="31" t="str">
        <f>IFERROR(VLOOKUP(C362,기출문제!D:G,4,0),"")</f>
        <v/>
      </c>
      <c r="G362" s="32" t="str">
        <f t="shared" si="5"/>
        <v/>
      </c>
    </row>
    <row r="363" spans="2:7" x14ac:dyDescent="0.3">
      <c r="B363" s="13">
        <v>356</v>
      </c>
      <c r="C363" s="14" t="s">
        <v>766</v>
      </c>
      <c r="D363" s="13"/>
      <c r="E363" s="15" t="str">
        <f>IFERROR(VLOOKUP(C363,기출문제!D:G,3,0),"")</f>
        <v/>
      </c>
      <c r="F363" s="31" t="str">
        <f>IFERROR(VLOOKUP(C363,기출문제!D:G,4,0),"")</f>
        <v/>
      </c>
      <c r="G363" s="32" t="str">
        <f t="shared" si="5"/>
        <v/>
      </c>
    </row>
    <row r="364" spans="2:7" x14ac:dyDescent="0.3">
      <c r="B364" s="13">
        <v>357</v>
      </c>
      <c r="C364" s="14" t="s">
        <v>766</v>
      </c>
      <c r="D364" s="13"/>
      <c r="E364" s="15" t="str">
        <f>IFERROR(VLOOKUP(C364,기출문제!D:G,3,0),"")</f>
        <v/>
      </c>
      <c r="F364" s="31" t="str">
        <f>IFERROR(VLOOKUP(C364,기출문제!D:G,4,0),"")</f>
        <v/>
      </c>
      <c r="G364" s="32" t="str">
        <f t="shared" si="5"/>
        <v/>
      </c>
    </row>
    <row r="365" spans="2:7" x14ac:dyDescent="0.3">
      <c r="B365" s="13">
        <v>358</v>
      </c>
      <c r="C365" s="14" t="s">
        <v>766</v>
      </c>
      <c r="D365" s="13"/>
      <c r="E365" s="15" t="str">
        <f>IFERROR(VLOOKUP(C365,기출문제!D:G,3,0),"")</f>
        <v/>
      </c>
      <c r="F365" s="31" t="str">
        <f>IFERROR(VLOOKUP(C365,기출문제!D:G,4,0),"")</f>
        <v/>
      </c>
      <c r="G365" s="32" t="str">
        <f t="shared" si="5"/>
        <v/>
      </c>
    </row>
    <row r="366" spans="2:7" x14ac:dyDescent="0.3">
      <c r="B366" s="13">
        <v>359</v>
      </c>
      <c r="C366" s="14" t="s">
        <v>766</v>
      </c>
      <c r="D366" s="13"/>
      <c r="E366" s="15" t="str">
        <f>IFERROR(VLOOKUP(C366,기출문제!D:G,3,0),"")</f>
        <v/>
      </c>
      <c r="F366" s="31" t="str">
        <f>IFERROR(VLOOKUP(C366,기출문제!D:G,4,0),"")</f>
        <v/>
      </c>
      <c r="G366" s="32" t="str">
        <f t="shared" si="5"/>
        <v/>
      </c>
    </row>
    <row r="367" spans="2:7" x14ac:dyDescent="0.3">
      <c r="B367" s="13">
        <v>360</v>
      </c>
      <c r="C367" s="14" t="s">
        <v>766</v>
      </c>
      <c r="D367" s="13"/>
      <c r="E367" s="15" t="str">
        <f>IFERROR(VLOOKUP(C367,기출문제!D:G,3,0),"")</f>
        <v/>
      </c>
      <c r="F367" s="31" t="str">
        <f>IFERROR(VLOOKUP(C367,기출문제!D:G,4,0),"")</f>
        <v/>
      </c>
      <c r="G367" s="32" t="str">
        <f t="shared" si="5"/>
        <v/>
      </c>
    </row>
    <row r="368" spans="2:7" x14ac:dyDescent="0.3">
      <c r="B368" s="13">
        <v>361</v>
      </c>
      <c r="C368" s="14" t="s">
        <v>766</v>
      </c>
      <c r="D368" s="13"/>
      <c r="E368" s="15" t="str">
        <f>IFERROR(VLOOKUP(C368,기출문제!D:G,3,0),"")</f>
        <v/>
      </c>
      <c r="F368" s="31" t="str">
        <f>IFERROR(VLOOKUP(C368,기출문제!D:G,4,0),"")</f>
        <v/>
      </c>
      <c r="G368" s="32" t="str">
        <f t="shared" si="5"/>
        <v/>
      </c>
    </row>
    <row r="369" spans="2:7" x14ac:dyDescent="0.3">
      <c r="B369" s="13">
        <v>362</v>
      </c>
      <c r="C369" s="14" t="s">
        <v>766</v>
      </c>
      <c r="D369" s="13"/>
      <c r="E369" s="15" t="str">
        <f>IFERROR(VLOOKUP(C369,기출문제!D:G,3,0),"")</f>
        <v/>
      </c>
      <c r="F369" s="31" t="str">
        <f>IFERROR(VLOOKUP(C369,기출문제!D:G,4,0),"")</f>
        <v/>
      </c>
      <c r="G369" s="32" t="str">
        <f t="shared" si="5"/>
        <v/>
      </c>
    </row>
    <row r="370" spans="2:7" x14ac:dyDescent="0.3">
      <c r="B370" s="13">
        <v>363</v>
      </c>
      <c r="C370" s="14" t="s">
        <v>766</v>
      </c>
      <c r="D370" s="13"/>
      <c r="E370" s="15" t="str">
        <f>IFERROR(VLOOKUP(C370,기출문제!D:G,3,0),"")</f>
        <v/>
      </c>
      <c r="F370" s="31" t="str">
        <f>IFERROR(VLOOKUP(C370,기출문제!D:G,4,0),"")</f>
        <v/>
      </c>
      <c r="G370" s="32" t="str">
        <f t="shared" si="5"/>
        <v/>
      </c>
    </row>
    <row r="371" spans="2:7" x14ac:dyDescent="0.3">
      <c r="B371" s="13">
        <v>364</v>
      </c>
      <c r="C371" s="14" t="s">
        <v>766</v>
      </c>
      <c r="D371" s="13"/>
      <c r="E371" s="15" t="str">
        <f>IFERROR(VLOOKUP(C371,기출문제!D:G,3,0),"")</f>
        <v/>
      </c>
      <c r="F371" s="31" t="str">
        <f>IFERROR(VLOOKUP(C371,기출문제!D:G,4,0),"")</f>
        <v/>
      </c>
      <c r="G371" s="32" t="str">
        <f t="shared" si="5"/>
        <v/>
      </c>
    </row>
    <row r="372" spans="2:7" x14ac:dyDescent="0.3">
      <c r="B372" s="13">
        <v>365</v>
      </c>
      <c r="C372" s="14" t="s">
        <v>766</v>
      </c>
      <c r="D372" s="13"/>
      <c r="E372" s="15" t="str">
        <f>IFERROR(VLOOKUP(C372,기출문제!D:G,3,0),"")</f>
        <v/>
      </c>
      <c r="F372" s="31" t="str">
        <f>IFERROR(VLOOKUP(C372,기출문제!D:G,4,0),"")</f>
        <v/>
      </c>
      <c r="G372" s="32" t="str">
        <f t="shared" si="5"/>
        <v/>
      </c>
    </row>
    <row r="373" spans="2:7" x14ac:dyDescent="0.3">
      <c r="B373" s="13">
        <v>366</v>
      </c>
      <c r="C373" s="14" t="s">
        <v>766</v>
      </c>
      <c r="D373" s="13"/>
      <c r="E373" s="15" t="str">
        <f>IFERROR(VLOOKUP(C373,기출문제!D:G,3,0),"")</f>
        <v/>
      </c>
      <c r="F373" s="31" t="str">
        <f>IFERROR(VLOOKUP(C373,기출문제!D:G,4,0),"")</f>
        <v/>
      </c>
      <c r="G373" s="32" t="str">
        <f t="shared" si="5"/>
        <v/>
      </c>
    </row>
    <row r="374" spans="2:7" x14ac:dyDescent="0.3">
      <c r="B374" s="13">
        <v>367</v>
      </c>
      <c r="C374" s="14" t="s">
        <v>766</v>
      </c>
      <c r="D374" s="13"/>
      <c r="E374" s="15" t="str">
        <f>IFERROR(VLOOKUP(C374,기출문제!D:G,3,0),"")</f>
        <v/>
      </c>
      <c r="F374" s="31" t="str">
        <f>IFERROR(VLOOKUP(C374,기출문제!D:G,4,0),"")</f>
        <v/>
      </c>
      <c r="G374" s="32" t="str">
        <f t="shared" si="5"/>
        <v/>
      </c>
    </row>
    <row r="375" spans="2:7" x14ac:dyDescent="0.3">
      <c r="B375" s="13">
        <v>368</v>
      </c>
      <c r="C375" s="14" t="s">
        <v>766</v>
      </c>
      <c r="D375" s="13"/>
      <c r="E375" s="15" t="str">
        <f>IFERROR(VLOOKUP(C375,기출문제!D:G,3,0),"")</f>
        <v/>
      </c>
      <c r="F375" s="31" t="str">
        <f>IFERROR(VLOOKUP(C375,기출문제!D:G,4,0),"")</f>
        <v/>
      </c>
      <c r="G375" s="32" t="str">
        <f t="shared" si="5"/>
        <v/>
      </c>
    </row>
    <row r="376" spans="2:7" x14ac:dyDescent="0.3">
      <c r="B376" s="13">
        <v>369</v>
      </c>
      <c r="C376" s="14" t="s">
        <v>766</v>
      </c>
      <c r="D376" s="13"/>
      <c r="E376" s="15" t="str">
        <f>IFERROR(VLOOKUP(C376,기출문제!D:G,3,0),"")</f>
        <v/>
      </c>
      <c r="F376" s="31" t="str">
        <f>IFERROR(VLOOKUP(C376,기출문제!D:G,4,0),"")</f>
        <v/>
      </c>
      <c r="G376" s="32" t="str">
        <f t="shared" si="5"/>
        <v/>
      </c>
    </row>
    <row r="377" spans="2:7" x14ac:dyDescent="0.3">
      <c r="B377" s="13">
        <v>370</v>
      </c>
      <c r="C377" s="14" t="s">
        <v>766</v>
      </c>
      <c r="D377" s="13"/>
      <c r="E377" s="15" t="str">
        <f>IFERROR(VLOOKUP(C377,기출문제!D:G,3,0),"")</f>
        <v/>
      </c>
      <c r="F377" s="31" t="str">
        <f>IFERROR(VLOOKUP(C377,기출문제!D:G,4,0),"")</f>
        <v/>
      </c>
      <c r="G377" s="32" t="str">
        <f t="shared" si="5"/>
        <v/>
      </c>
    </row>
    <row r="378" spans="2:7" x14ac:dyDescent="0.3">
      <c r="B378" s="13">
        <v>371</v>
      </c>
      <c r="C378" s="14" t="s">
        <v>766</v>
      </c>
      <c r="D378" s="13"/>
      <c r="E378" s="15" t="str">
        <f>IFERROR(VLOOKUP(C378,기출문제!D:G,3,0),"")</f>
        <v/>
      </c>
      <c r="F378" s="31" t="str">
        <f>IFERROR(VLOOKUP(C378,기출문제!D:G,4,0),"")</f>
        <v/>
      </c>
      <c r="G378" s="32" t="str">
        <f t="shared" si="5"/>
        <v/>
      </c>
    </row>
    <row r="379" spans="2:7" x14ac:dyDescent="0.3">
      <c r="B379" s="13">
        <v>372</v>
      </c>
      <c r="C379" s="14" t="s">
        <v>766</v>
      </c>
      <c r="D379" s="13"/>
      <c r="E379" s="15" t="str">
        <f>IFERROR(VLOOKUP(C379,기출문제!D:G,3,0),"")</f>
        <v/>
      </c>
      <c r="F379" s="31" t="str">
        <f>IFERROR(VLOOKUP(C379,기출문제!D:G,4,0),"")</f>
        <v/>
      </c>
      <c r="G379" s="32" t="str">
        <f t="shared" si="5"/>
        <v/>
      </c>
    </row>
    <row r="380" spans="2:7" x14ac:dyDescent="0.3">
      <c r="B380" s="13">
        <v>373</v>
      </c>
      <c r="C380" s="14" t="s">
        <v>766</v>
      </c>
      <c r="D380" s="13"/>
      <c r="E380" s="15" t="str">
        <f>IFERROR(VLOOKUP(C380,기출문제!D:G,3,0),"")</f>
        <v/>
      </c>
      <c r="F380" s="31" t="str">
        <f>IFERROR(VLOOKUP(C380,기출문제!D:G,4,0),"")</f>
        <v/>
      </c>
      <c r="G380" s="32" t="str">
        <f t="shared" si="5"/>
        <v/>
      </c>
    </row>
    <row r="381" spans="2:7" x14ac:dyDescent="0.3">
      <c r="B381" s="13">
        <v>374</v>
      </c>
      <c r="C381" s="14" t="s">
        <v>766</v>
      </c>
      <c r="D381" s="13"/>
      <c r="E381" s="15" t="str">
        <f>IFERROR(VLOOKUP(C381,기출문제!D:G,3,0),"")</f>
        <v/>
      </c>
      <c r="F381" s="31" t="str">
        <f>IFERROR(VLOOKUP(C381,기출문제!D:G,4,0),"")</f>
        <v/>
      </c>
      <c r="G381" s="32" t="str">
        <f t="shared" si="5"/>
        <v/>
      </c>
    </row>
    <row r="382" spans="2:7" x14ac:dyDescent="0.3">
      <c r="B382" s="13">
        <v>375</v>
      </c>
      <c r="C382" s="14" t="s">
        <v>766</v>
      </c>
      <c r="D382" s="13"/>
      <c r="E382" s="15" t="str">
        <f>IFERROR(VLOOKUP(C382,기출문제!D:G,3,0),"")</f>
        <v/>
      </c>
      <c r="F382" s="31" t="str">
        <f>IFERROR(VLOOKUP(C382,기출문제!D:G,4,0),"")</f>
        <v/>
      </c>
      <c r="G382" s="32" t="str">
        <f t="shared" si="5"/>
        <v/>
      </c>
    </row>
    <row r="383" spans="2:7" x14ac:dyDescent="0.3">
      <c r="B383" s="13">
        <v>376</v>
      </c>
      <c r="C383" s="14" t="s">
        <v>766</v>
      </c>
      <c r="D383" s="13"/>
      <c r="E383" s="15" t="str">
        <f>IFERROR(VLOOKUP(C383,기출문제!D:G,3,0),"")</f>
        <v/>
      </c>
      <c r="F383" s="31" t="str">
        <f>IFERROR(VLOOKUP(C383,기출문제!D:G,4,0),"")</f>
        <v/>
      </c>
      <c r="G383" s="32" t="str">
        <f t="shared" si="5"/>
        <v/>
      </c>
    </row>
    <row r="384" spans="2:7" x14ac:dyDescent="0.3">
      <c r="B384" s="13">
        <v>377</v>
      </c>
      <c r="C384" s="14" t="s">
        <v>766</v>
      </c>
      <c r="D384" s="13"/>
      <c r="E384" s="15" t="str">
        <f>IFERROR(VLOOKUP(C384,기출문제!D:G,3,0),"")</f>
        <v/>
      </c>
      <c r="F384" s="31" t="str">
        <f>IFERROR(VLOOKUP(C384,기출문제!D:G,4,0),"")</f>
        <v/>
      </c>
      <c r="G384" s="32" t="str">
        <f t="shared" si="5"/>
        <v/>
      </c>
    </row>
    <row r="385" spans="2:7" x14ac:dyDescent="0.3">
      <c r="B385" s="13">
        <v>378</v>
      </c>
      <c r="C385" s="14" t="s">
        <v>766</v>
      </c>
      <c r="D385" s="13"/>
      <c r="E385" s="15" t="str">
        <f>IFERROR(VLOOKUP(C385,기출문제!D:G,3,0),"")</f>
        <v/>
      </c>
      <c r="F385" s="31" t="str">
        <f>IFERROR(VLOOKUP(C385,기출문제!D:G,4,0),"")</f>
        <v/>
      </c>
      <c r="G385" s="32" t="str">
        <f t="shared" si="5"/>
        <v/>
      </c>
    </row>
    <row r="386" spans="2:7" x14ac:dyDescent="0.3">
      <c r="B386" s="13">
        <v>379</v>
      </c>
      <c r="C386" s="14" t="s">
        <v>766</v>
      </c>
      <c r="D386" s="13"/>
      <c r="E386" s="15" t="str">
        <f>IFERROR(VLOOKUP(C386,기출문제!D:G,3,0),"")</f>
        <v/>
      </c>
      <c r="F386" s="31" t="str">
        <f>IFERROR(VLOOKUP(C386,기출문제!D:G,4,0),"")</f>
        <v/>
      </c>
      <c r="G386" s="32" t="str">
        <f t="shared" si="5"/>
        <v/>
      </c>
    </row>
    <row r="387" spans="2:7" x14ac:dyDescent="0.3">
      <c r="B387" s="13">
        <v>380</v>
      </c>
      <c r="C387" s="14" t="s">
        <v>766</v>
      </c>
      <c r="D387" s="13"/>
      <c r="E387" s="15" t="str">
        <f>IFERROR(VLOOKUP(C387,기출문제!D:G,3,0),"")</f>
        <v/>
      </c>
      <c r="F387" s="31" t="str">
        <f>IFERROR(VLOOKUP(C387,기출문제!D:G,4,0),"")</f>
        <v/>
      </c>
      <c r="G387" s="32" t="str">
        <f t="shared" si="5"/>
        <v/>
      </c>
    </row>
    <row r="388" spans="2:7" x14ac:dyDescent="0.3">
      <c r="B388" s="13">
        <v>381</v>
      </c>
      <c r="C388" s="14" t="s">
        <v>766</v>
      </c>
      <c r="D388" s="13"/>
      <c r="E388" s="15" t="str">
        <f>IFERROR(VLOOKUP(C388,기출문제!D:G,3,0),"")</f>
        <v/>
      </c>
      <c r="F388" s="31" t="str">
        <f>IFERROR(VLOOKUP(C388,기출문제!D:G,4,0),"")</f>
        <v/>
      </c>
      <c r="G388" s="32" t="str">
        <f t="shared" si="5"/>
        <v/>
      </c>
    </row>
    <row r="389" spans="2:7" x14ac:dyDescent="0.3">
      <c r="B389" s="13">
        <v>382</v>
      </c>
      <c r="C389" s="14" t="s">
        <v>766</v>
      </c>
      <c r="D389" s="13"/>
      <c r="E389" s="15" t="str">
        <f>IFERROR(VLOOKUP(C389,기출문제!D:G,3,0),"")</f>
        <v/>
      </c>
      <c r="F389" s="31" t="str">
        <f>IFERROR(VLOOKUP(C389,기출문제!D:G,4,0),"")</f>
        <v/>
      </c>
      <c r="G389" s="32" t="str">
        <f t="shared" si="5"/>
        <v/>
      </c>
    </row>
    <row r="390" spans="2:7" x14ac:dyDescent="0.3">
      <c r="B390" s="13">
        <v>383</v>
      </c>
      <c r="C390" s="14" t="s">
        <v>766</v>
      </c>
      <c r="D390" s="13"/>
      <c r="E390" s="15" t="str">
        <f>IFERROR(VLOOKUP(C390,기출문제!D:G,3,0),"")</f>
        <v/>
      </c>
      <c r="F390" s="31" t="str">
        <f>IFERROR(VLOOKUP(C390,기출문제!D:G,4,0),"")</f>
        <v/>
      </c>
      <c r="G390" s="32" t="str">
        <f t="shared" si="5"/>
        <v/>
      </c>
    </row>
    <row r="391" spans="2:7" x14ac:dyDescent="0.3">
      <c r="B391" s="13">
        <v>384</v>
      </c>
      <c r="C391" s="14" t="s">
        <v>766</v>
      </c>
      <c r="D391" s="13"/>
      <c r="E391" s="15" t="str">
        <f>IFERROR(VLOOKUP(C391,기출문제!D:G,3,0),"")</f>
        <v/>
      </c>
      <c r="F391" s="31" t="str">
        <f>IFERROR(VLOOKUP(C391,기출문제!D:G,4,0),"")</f>
        <v/>
      </c>
      <c r="G391" s="32" t="str">
        <f t="shared" si="5"/>
        <v/>
      </c>
    </row>
    <row r="392" spans="2:7" x14ac:dyDescent="0.3">
      <c r="B392" s="13">
        <v>385</v>
      </c>
      <c r="C392" s="14" t="s">
        <v>766</v>
      </c>
      <c r="D392" s="13"/>
      <c r="E392" s="15" t="str">
        <f>IFERROR(VLOOKUP(C392,기출문제!D:G,3,0),"")</f>
        <v/>
      </c>
      <c r="F392" s="31" t="str">
        <f>IFERROR(VLOOKUP(C392,기출문제!D:G,4,0),"")</f>
        <v/>
      </c>
      <c r="G392" s="32" t="str">
        <f t="shared" si="5"/>
        <v/>
      </c>
    </row>
    <row r="393" spans="2:7" x14ac:dyDescent="0.3">
      <c r="B393" s="13">
        <v>386</v>
      </c>
      <c r="C393" s="14" t="s">
        <v>766</v>
      </c>
      <c r="D393" s="13"/>
      <c r="E393" s="15" t="str">
        <f>IFERROR(VLOOKUP(C393,기출문제!D:G,3,0),"")</f>
        <v/>
      </c>
      <c r="F393" s="31" t="str">
        <f>IFERROR(VLOOKUP(C393,기출문제!D:G,4,0),"")</f>
        <v/>
      </c>
      <c r="G393" s="32" t="str">
        <f t="shared" ref="G393:G397" si="6">IF(D393="","",IF(D393=F393,"O", "X"))</f>
        <v/>
      </c>
    </row>
    <row r="394" spans="2:7" x14ac:dyDescent="0.3">
      <c r="B394" s="13">
        <v>387</v>
      </c>
      <c r="C394" s="14" t="s">
        <v>766</v>
      </c>
      <c r="D394" s="13"/>
      <c r="E394" s="15" t="str">
        <f>IFERROR(VLOOKUP(C394,기출문제!D:G,3,0),"")</f>
        <v/>
      </c>
      <c r="F394" s="31" t="str">
        <f>IFERROR(VLOOKUP(C394,기출문제!D:G,4,0),"")</f>
        <v/>
      </c>
      <c r="G394" s="32" t="str">
        <f t="shared" si="6"/>
        <v/>
      </c>
    </row>
    <row r="395" spans="2:7" x14ac:dyDescent="0.3">
      <c r="B395" s="13">
        <v>388</v>
      </c>
      <c r="C395" s="14" t="s">
        <v>766</v>
      </c>
      <c r="D395" s="13"/>
      <c r="E395" s="15" t="str">
        <f>IFERROR(VLOOKUP(C395,기출문제!D:G,3,0),"")</f>
        <v/>
      </c>
      <c r="F395" s="31" t="str">
        <f>IFERROR(VLOOKUP(C395,기출문제!D:G,4,0),"")</f>
        <v/>
      </c>
      <c r="G395" s="32" t="str">
        <f t="shared" si="6"/>
        <v/>
      </c>
    </row>
    <row r="396" spans="2:7" x14ac:dyDescent="0.3">
      <c r="B396" s="13">
        <v>389</v>
      </c>
      <c r="C396" s="14" t="s">
        <v>766</v>
      </c>
      <c r="D396" s="13"/>
      <c r="E396" s="15" t="str">
        <f>IFERROR(VLOOKUP(C396,기출문제!D:G,3,0),"")</f>
        <v/>
      </c>
      <c r="F396" s="31" t="str">
        <f>IFERROR(VLOOKUP(C396,기출문제!D:G,4,0),"")</f>
        <v/>
      </c>
      <c r="G396" s="32" t="str">
        <f t="shared" si="6"/>
        <v/>
      </c>
    </row>
    <row r="397" spans="2:7" x14ac:dyDescent="0.3">
      <c r="B397" s="13">
        <v>390</v>
      </c>
      <c r="C397" s="14" t="s">
        <v>766</v>
      </c>
      <c r="D397" s="13"/>
      <c r="E397" s="15" t="str">
        <f>IFERROR(VLOOKUP(C397,기출문제!D:G,3,0),"")</f>
        <v/>
      </c>
      <c r="F397" s="31" t="str">
        <f>IFERROR(VLOOKUP(C397,기출문제!D:G,4,0),"")</f>
        <v/>
      </c>
      <c r="G397" s="32" t="str">
        <f t="shared" si="6"/>
        <v/>
      </c>
    </row>
  </sheetData>
  <phoneticPr fontId="1" type="noConversion"/>
  <conditionalFormatting sqref="F8:F397">
    <cfRule type="expression" dxfId="3" priority="1">
      <formula>$D8&lt;&gt;""</formula>
    </cfRule>
  </conditionalFormatting>
  <dataValidations count="1">
    <dataValidation type="list" allowBlank="1" showInputMessage="1" showErrorMessage="1" sqref="D3" xr:uid="{B152034E-0487-4677-822D-8160BE7355C7}">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2</xdr:col>
                    <xdr:colOff>876300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7130837-90CA-41C5-9A54-6254A538ED37}">
          <x14:formula1>
            <xm:f>기출문제!$C$4:$C$5000</xm:f>
          </x14:formula1>
          <xm:sqref>D4:D5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5AD05-449A-4DD1-B856-45B31C285DCF}">
  <sheetPr codeName="Sheet20">
    <pageSetUpPr autoPageBreaks="0"/>
  </sheetPr>
  <dimension ref="B2:J397"/>
  <sheetViews>
    <sheetView showGridLines="0" zoomScaleNormal="100" zoomScaleSheetLayoutView="100" workbookViewId="0">
      <pane ySplit="7" topLeftCell="A21" activePane="bottomLeft" state="frozen"/>
      <selection activeCell="N35" sqref="N35"/>
      <selection pane="bottomLeft" activeCell="I21" sqref="I21"/>
    </sheetView>
  </sheetViews>
  <sheetFormatPr defaultColWidth="9" defaultRowHeight="14.25" x14ac:dyDescent="0.3"/>
  <cols>
    <col min="1" max="1" width="1.625" style="25" customWidth="1"/>
    <col min="2" max="2" width="3.625" style="18" customWidth="1"/>
    <col min="3" max="3" width="10.625" style="18" customWidth="1"/>
    <col min="4" max="4" width="5.625" style="18" customWidth="1"/>
    <col min="5" max="5" width="95.625" style="20" customWidth="1"/>
    <col min="6" max="7" width="5.625" style="28" customWidth="1"/>
    <col min="8" max="9" width="9" style="23"/>
    <col min="10" max="16384" width="9" style="25"/>
  </cols>
  <sheetData>
    <row r="2" spans="2:10" x14ac:dyDescent="0.3">
      <c r="C2" s="19" t="s">
        <v>767</v>
      </c>
      <c r="D2" s="13">
        <v>265</v>
      </c>
      <c r="F2" s="21" t="s">
        <v>773</v>
      </c>
      <c r="G2" s="22">
        <f>MAX(B8:B397)-COUNTBLANK(C8:C397)</f>
        <v>265</v>
      </c>
      <c r="J2" s="24"/>
    </row>
    <row r="3" spans="2:10" x14ac:dyDescent="0.3">
      <c r="C3" s="19" t="s">
        <v>768</v>
      </c>
      <c r="D3" s="13" t="s">
        <v>771</v>
      </c>
      <c r="F3" s="21" t="s">
        <v>776</v>
      </c>
      <c r="G3" s="26">
        <f>COUNTIF(G8:G447,"X")</f>
        <v>0</v>
      </c>
      <c r="J3" s="24"/>
    </row>
    <row r="4" spans="2:10" x14ac:dyDescent="0.3">
      <c r="C4" s="19" t="s">
        <v>770</v>
      </c>
      <c r="D4" s="13" t="s">
        <v>840</v>
      </c>
      <c r="F4" s="26" t="s">
        <v>3</v>
      </c>
      <c r="G4" s="26">
        <f>G2-G3</f>
        <v>265</v>
      </c>
      <c r="J4" s="24"/>
    </row>
    <row r="5" spans="2:10" x14ac:dyDescent="0.3">
      <c r="C5" s="19" t="s">
        <v>769</v>
      </c>
      <c r="D5" s="13" t="s">
        <v>841</v>
      </c>
      <c r="F5" s="26" t="s">
        <v>774</v>
      </c>
      <c r="G5" s="27">
        <f>100/G2*G4</f>
        <v>100.00000000000001</v>
      </c>
      <c r="J5" s="24"/>
    </row>
    <row r="6" spans="2:10" x14ac:dyDescent="0.3">
      <c r="J6" s="24"/>
    </row>
    <row r="7" spans="2:10" x14ac:dyDescent="0.3">
      <c r="B7" s="12" t="s">
        <v>0</v>
      </c>
      <c r="C7" s="12" t="s">
        <v>1</v>
      </c>
      <c r="D7" s="12" t="s">
        <v>658</v>
      </c>
      <c r="E7" s="29" t="s">
        <v>2</v>
      </c>
      <c r="F7" s="29" t="s">
        <v>3</v>
      </c>
      <c r="G7" s="29" t="s">
        <v>657</v>
      </c>
      <c r="J7" s="24"/>
    </row>
    <row r="8" spans="2:10" ht="142.5" x14ac:dyDescent="0.3">
      <c r="B8" s="13">
        <v>1</v>
      </c>
      <c r="C8" s="14" t="s">
        <v>693</v>
      </c>
      <c r="D8" s="30"/>
      <c r="E8" s="15" t="str">
        <f>IFERROR(VLOOKUP(C8,기출문제!D:G,3,0),"")</f>
        <v>81. 테일러(F. W. Taylor)의 과학적 관리법에 제시된 원칙으로 옳은 것을 모두 고른 것은?
ㄱ. 작업방식의 과학적 연구 
ㄴ. 과학적 선발 및 훈련
ㄷ. 관리자와 작업자들 간의 협력 
ㄹ. 관리활동의 분업
① ㄱ, ㄴ 
② ㄷ, ㄹ 
③ ㄱ, ㄴ, ㄷ
④ ㄴ, ㄷ, ㄹ 
⑤ ㄱ, ㄴ, ㄷ, ㄹ</v>
      </c>
      <c r="F8" s="31">
        <f>IFERROR(VLOOKUP(C8,기출문제!D:G,4,0),"")</f>
        <v>5</v>
      </c>
      <c r="G8" s="32" t="str">
        <f>IF(D8="","",IF(D8=F8,"O", "X"))</f>
        <v/>
      </c>
    </row>
    <row r="9" spans="2:10" ht="128.25" x14ac:dyDescent="0.3">
      <c r="B9" s="13">
        <v>2</v>
      </c>
      <c r="C9" s="14" t="s">
        <v>842</v>
      </c>
      <c r="D9" s="30"/>
      <c r="E9" s="15" t="str">
        <f>IFERROR(VLOOKUP(C9,기출문제!D:G,3,0),"")</f>
        <v>82. 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
① ㄱ 
② ㄴ 
③ ㄱ, ㄴ 
④ ㄱ, ㄷ 
⑤ ㄱ, ㄴ, ㄷ</v>
      </c>
      <c r="F9" s="31">
        <f>IFERROR(VLOOKUP(C9,기출문제!D:G,4,0),"")</f>
        <v>3</v>
      </c>
      <c r="G9" s="32" t="str">
        <f t="shared" ref="G9:G72" si="0">IF(D9="","",IF(D9=F9,"O", "X"))</f>
        <v/>
      </c>
    </row>
    <row r="10" spans="2:10" ht="85.5" x14ac:dyDescent="0.3">
      <c r="B10" s="13">
        <v>3</v>
      </c>
      <c r="C10" s="14" t="s">
        <v>843</v>
      </c>
      <c r="D10" s="30"/>
      <c r="E10" s="15" t="str">
        <f>IFERROR(VLOOKUP(C10,기출문제!D:G,3,0),"")</f>
        <v>83. 기업 외부의 개인이나 그룹과 접촉하여 외부환경에 관한 중요한 정보를 얻는 활동은?
① 광고 
② 예측활동
③ 공중관계(PR) 
④ 활동영역 변경
⑤ 경계연결(boundary spanning)</v>
      </c>
      <c r="F10" s="31">
        <f>IFERROR(VLOOKUP(C10,기출문제!D:G,4,0),"")</f>
        <v>5</v>
      </c>
      <c r="G10" s="32" t="str">
        <f t="shared" si="0"/>
        <v/>
      </c>
    </row>
    <row r="11" spans="2:10" ht="85.5" x14ac:dyDescent="0.3">
      <c r="B11" s="13">
        <v>4</v>
      </c>
      <c r="C11" s="14" t="s">
        <v>844</v>
      </c>
      <c r="D11" s="30"/>
      <c r="E11" s="15" t="str">
        <f>IFERROR(VLOOKUP(C11,기출문제!D:G,3,0),"")</f>
        <v>84. 조직의 목표를 달성하기 위하여 조직구성원들이 담당해야 할 역할 구조를 설정하는 관리과정의 단계는?
① 계획 
② 조직화 
③ 지휘 
④ 조정 
⑤ 통제</v>
      </c>
      <c r="F11" s="31">
        <f>IFERROR(VLOOKUP(C11,기출문제!D:G,4,0),"")</f>
        <v>2</v>
      </c>
      <c r="G11" s="32" t="str">
        <f t="shared" si="0"/>
        <v/>
      </c>
    </row>
    <row r="12" spans="2:10" ht="142.5" x14ac:dyDescent="0.3">
      <c r="B12" s="13">
        <v>5</v>
      </c>
      <c r="C12" s="14" t="s">
        <v>845</v>
      </c>
      <c r="D12" s="30"/>
      <c r="E12" s="15" t="str">
        <f>IFERROR(VLOOKUP(C12,기출문제!D:G,3,0),"")</f>
        <v>85. 캐롤(B. A. Carroll)이 주장한 기업의 사회적 책임 중 책임성격이 의무성 보다 자발성에 기초하는 것을 모두 고른 것은?
ㄱ. 경제적 책임 
ㄴ. 법적 책임 
ㄷ. 윤리적 책임 
ㄹ. 자선적 책임
① ㄱ, ㄴ 
② ㄴ, ㄷ 
③ ㄷ, ㄹ 
④ ㄱ, ㄴ, ㄹ 
⑤ ㄴ, ㄷ, ㄹ</v>
      </c>
      <c r="F12" s="31">
        <f>IFERROR(VLOOKUP(C12,기출문제!D:G,4,0),"")</f>
        <v>3</v>
      </c>
      <c r="G12" s="32" t="str">
        <f t="shared" si="0"/>
        <v/>
      </c>
    </row>
    <row r="13" spans="2:10" ht="85.5" x14ac:dyDescent="0.3">
      <c r="B13" s="13">
        <v>6</v>
      </c>
      <c r="C13" s="14" t="s">
        <v>846</v>
      </c>
      <c r="D13" s="30"/>
      <c r="E13" s="15" t="str">
        <f>IFERROR(VLOOKUP(C13,기출문제!D:G,3,0),"")</f>
        <v>86. 포터(M. Porter)의 산업구조분석 모형에 관한 설명으로 옳지 않은 것은?
① 산업 내 경쟁이 심할수록 산업의 수익률은 낮아진다.
② 새로운 경쟁자에 대한 진입장벽이 낮을수록 해당 산업의 경쟁이 심하다.
③ 산업 내 대체재가 많을수록 기업의 수익이 많이 창출된다.
④ 구매자의 교섭력은 소비자들이 기업의 제품을 선택하거나 다른 제품을 구매할 수 있는 힘을 의미한다.
⑤ 공급자의 교섭력을 결정하는 요인으로는 공급자의 집중도, 공급물량, 공급자 판매품의 중요도 등이 있다.</v>
      </c>
      <c r="F13" s="31">
        <f>IFERROR(VLOOKUP(C13,기출문제!D:G,4,0),"")</f>
        <v>3</v>
      </c>
      <c r="G13" s="32" t="str">
        <f t="shared" si="0"/>
        <v/>
      </c>
    </row>
    <row r="14" spans="2:10" ht="85.5" x14ac:dyDescent="0.3">
      <c r="B14" s="13">
        <v>7</v>
      </c>
      <c r="C14" s="14" t="s">
        <v>847</v>
      </c>
      <c r="D14" s="30"/>
      <c r="E14" s="15" t="str">
        <f>IFERROR(VLOOKUP(C14,기출문제!D:G,3,0),"")</f>
        <v>87. 효과적인 의사소통을 방해하는 요인 중 발신자와 관련된 요인이 아닌 것은?
① 의사소통 기술의 부족 
② 준거체계의 차이 
③ 의사소통 목적의 결여
④ 신뢰성의 부족 
⑤ 정보의 과부하</v>
      </c>
      <c r="F14" s="31">
        <f>IFERROR(VLOOKUP(C14,기출문제!D:G,4,0),"")</f>
        <v>5</v>
      </c>
      <c r="G14" s="32" t="str">
        <f t="shared" si="0"/>
        <v/>
      </c>
    </row>
    <row r="15" spans="2:10" ht="114" x14ac:dyDescent="0.3">
      <c r="B15" s="13">
        <v>8</v>
      </c>
      <c r="C15" s="14" t="s">
        <v>848</v>
      </c>
      <c r="D15" s="30"/>
      <c r="E15" s="15" t="str">
        <f>IFERROR(VLOOKUP(C15,기출문제!D:G,3,0),"")</f>
        <v>88. 변혁적 리더십의 구성요소 중 다음 내용에 해당하는 것은?
○ 높은 기대치를 전달하고, 노력에 집중할 수 있도록 상징을 사용
○ 미래에 대한 매력적인 비전 제시, 업무의 의미감 부여, 낙관주의와 열정을 표출
① 예외에 의한 관리 
② 영감적 동기부여 
③ 지적 자극
④ 이상적 영향력 
⑤ 개인화된 배려</v>
      </c>
      <c r="F15" s="31">
        <f>IFERROR(VLOOKUP(C15,기출문제!D:G,4,0),"")</f>
        <v>2</v>
      </c>
      <c r="G15" s="32" t="str">
        <f t="shared" si="0"/>
        <v/>
      </c>
    </row>
    <row r="16" spans="2:10" ht="128.25" x14ac:dyDescent="0.3">
      <c r="B16" s="13">
        <v>9</v>
      </c>
      <c r="C16" s="14" t="s">
        <v>849</v>
      </c>
      <c r="D16" s="30"/>
      <c r="E16" s="15" t="str">
        <f>IFERROR(VLOOKUP(C16,기출문제!D:G,3,0),"")</f>
        <v>89. 다음 특성에 부합하는 직무평가 방법으로 옳은 것은?
○ 비계량적 평가
○ 직무 전체를 포괄적으로 평가
○ 직무와 직무를 상호 비교하여 평가
① 서열법 
② 등급법 
③ 점수법 
④ 분류법 
⑤ 요소비교법</v>
      </c>
      <c r="F16" s="31">
        <f>IFERROR(VLOOKUP(C16,기출문제!D:G,4,0),"")</f>
        <v>1</v>
      </c>
      <c r="G16" s="32" t="str">
        <f t="shared" si="0"/>
        <v/>
      </c>
    </row>
    <row r="17" spans="2:7" ht="85.5" x14ac:dyDescent="0.3">
      <c r="B17" s="13">
        <v>10</v>
      </c>
      <c r="C17" s="14" t="s">
        <v>850</v>
      </c>
      <c r="D17" s="30"/>
      <c r="E17" s="15" t="str">
        <f>IFERROR(VLOOKUP(C17,기출문제!D:G,3,0),"")</f>
        <v>90. 기업이 종업원에게 지급하는 임금의 계산 및 지불 방법에 해당하는 것은?
① 임금수준 
② 임금체계 
③ 임금형태 
④ 임금구조 
⑤ 임금결정</v>
      </c>
      <c r="F17" s="31">
        <f>IFERROR(VLOOKUP(C17,기출문제!D:G,4,0),"")</f>
        <v>3</v>
      </c>
      <c r="G17" s="32" t="str">
        <f t="shared" si="0"/>
        <v/>
      </c>
    </row>
    <row r="18" spans="2:7" ht="99.75" x14ac:dyDescent="0.3">
      <c r="B18" s="13">
        <v>11</v>
      </c>
      <c r="C18" s="14" t="s">
        <v>851</v>
      </c>
      <c r="D18" s="30"/>
      <c r="E18" s="15" t="str">
        <f>IFERROR(VLOOKUP(C18,기출문제!D:G,3,0),"")</f>
        <v>91. 고과자가 평가방법을 잘 이해하지 못하거나 피고과자들 간의 차이를 인식하지 못하는 무능력에서 발생할 수 있는 인사고과의 오류는?
① 중심화 경향 
② 논리적 오류 
③ 현혹효과 
④ 상동적 태도 
⑤ 근접오차</v>
      </c>
      <c r="F18" s="31">
        <f>IFERROR(VLOOKUP(C18,기출문제!D:G,4,0),"")</f>
        <v>1</v>
      </c>
      <c r="G18" s="32" t="str">
        <f t="shared" si="0"/>
        <v/>
      </c>
    </row>
    <row r="19" spans="2:7" ht="85.5" x14ac:dyDescent="0.3">
      <c r="B19" s="13">
        <v>12</v>
      </c>
      <c r="C19" s="14" t="s">
        <v>852</v>
      </c>
      <c r="D19" s="30"/>
      <c r="E19" s="15" t="str">
        <f>IFERROR(VLOOKUP(C19,기출문제!D:G,3,0),"")</f>
        <v>92. 산업별 노동조합 또는 교섭권을 위임받은 상급단체와 개별 기업의 사용자 간에 이루어지는 단체교섭 유형은?
① 대각선 교섭 
② 통일적 교섭 
③ 기업별 교섭 
④ 공동교섭 
⑤ 집단교섭</v>
      </c>
      <c r="F19" s="31">
        <f>IFERROR(VLOOKUP(C19,기출문제!D:G,4,0),"")</f>
        <v>1</v>
      </c>
      <c r="G19" s="32" t="str">
        <f t="shared" si="0"/>
        <v/>
      </c>
    </row>
    <row r="20" spans="2:7" ht="128.25" x14ac:dyDescent="0.3">
      <c r="B20" s="13">
        <v>13</v>
      </c>
      <c r="C20" s="14" t="s">
        <v>853</v>
      </c>
      <c r="D20" s="30"/>
      <c r="E20" s="15" t="str">
        <f>IFERROR(VLOOKUP(C20,기출문제!D:G,3,0),"")</f>
        <v>93. 외부 모집과 비교한 내부 모집의 장점을 모두 고른 것은?
ㄱ. 승진기회 확대로 종업원 동기 부여
ㄴ. 지원자에 대한 평가의 정확성 확보
ㄷ. 인력수요에 대한 양적 충족 가능
① ㄱ 
② ㄴ 
③ ㄱ, ㄴ 
④ ㄴ, ㄷ 
⑤ ㄱ, ㄴ, ㄷ</v>
      </c>
      <c r="F20" s="31">
        <f>IFERROR(VLOOKUP(C20,기출문제!D:G,4,0),"")</f>
        <v>3</v>
      </c>
      <c r="G20" s="32" t="str">
        <f t="shared" si="0"/>
        <v/>
      </c>
    </row>
    <row r="21" spans="2:7" ht="128.25" x14ac:dyDescent="0.3">
      <c r="B21" s="13">
        <v>14</v>
      </c>
      <c r="C21" s="14" t="s">
        <v>854</v>
      </c>
      <c r="D21" s="30"/>
      <c r="E21" s="15" t="str">
        <f>IFERROR(VLOOKUP(C21,기출문제!D:G,3,0),"")</f>
        <v>94. 다음과 같은 장점을 지닌 조직구조는?
○ 관리 비용을 절감할 수 있음
○ 작은 기업들도 전 세계의 자원과 전문적인 인력을 활용할 수 있음
○ 창업 초기에 공장이나 설비 등의 막대한 투자없이도 사업이 가능
① 사업별 조직구조 
② 프로세스 조직구조 
③ 매트릭스 조직구조
④ 지역별 조직구조 
⑤ 네트워크 조직구조</v>
      </c>
      <c r="F21" s="31">
        <f>IFERROR(VLOOKUP(C21,기출문제!D:G,4,0),"")</f>
        <v>5</v>
      </c>
      <c r="G21" s="32" t="str">
        <f t="shared" si="0"/>
        <v/>
      </c>
    </row>
    <row r="22" spans="2:7" ht="85.5" x14ac:dyDescent="0.3">
      <c r="B22" s="13">
        <v>15</v>
      </c>
      <c r="C22" s="14" t="s">
        <v>855</v>
      </c>
      <c r="D22" s="30"/>
      <c r="E22" s="15" t="str">
        <f>IFERROR(VLOOKUP(C22,기출문제!D:G,3,0),"")</f>
        <v>95. 페로우(C. Perrow)의 기술분류 유형 중 과업다양성과 분석가능성이 모두 낮은 유형은?
① 일상적 기술 
② 비일상적 기술 
③ 장인기술
④ 공학기술 
⑤ 중개기술</v>
      </c>
      <c r="F22" s="31">
        <f>IFERROR(VLOOKUP(C22,기출문제!D:G,4,0),"")</f>
        <v>3</v>
      </c>
      <c r="G22" s="32" t="str">
        <f t="shared" si="0"/>
        <v/>
      </c>
    </row>
    <row r="23" spans="2:7" ht="99.75" x14ac:dyDescent="0.3">
      <c r="B23" s="13">
        <v>16</v>
      </c>
      <c r="C23" s="14" t="s">
        <v>856</v>
      </c>
      <c r="D23" s="30"/>
      <c r="E23" s="15" t="str">
        <f>IFERROR(VLOOKUP(C23,기출문제!D:G,3,0),"")</f>
        <v>96. 마일즈(R. Miles)와 스노우(C. Snow)의 전략 유형 중 유연성이 높고 분권화된 학습지향 조직구조로 설계하는 것이 적합한 전략은?
① 반응형 전략 
② 저원가 전략 
③ 분석형 전략 
④ 공격형 전략 
⑤ 방어형 전략</v>
      </c>
      <c r="F23" s="31">
        <f>IFERROR(VLOOKUP(C23,기출문제!D:G,4,0),"")</f>
        <v>4</v>
      </c>
      <c r="G23" s="32" t="str">
        <f t="shared" si="0"/>
        <v/>
      </c>
    </row>
    <row r="24" spans="2:7" ht="171" x14ac:dyDescent="0.3">
      <c r="B24" s="13">
        <v>17</v>
      </c>
      <c r="C24" s="14" t="s">
        <v>857</v>
      </c>
      <c r="D24" s="30"/>
      <c r="E24" s="15" t="str">
        <f>IFERROR(VLOOKUP(C24,기출문제!D:G,3,0),"")</f>
        <v>97. 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
① ㄱ, ㄴ, ㄷ 
② ㄱ, ㄴ, ㅁ 
③ ㄱ, ㄴ, ㄹ, ㅁ
④ ㄱ, ㄷ, ㄹ, ㅁ 
⑤ ㄴ, ㄷ, ㄹ, ㅁ</v>
      </c>
      <c r="F24" s="31">
        <f>IFERROR(VLOOKUP(C24,기출문제!D:G,4,0),"")</f>
        <v>4</v>
      </c>
      <c r="G24" s="32" t="str">
        <f t="shared" si="0"/>
        <v/>
      </c>
    </row>
    <row r="25" spans="2:7" ht="85.5" x14ac:dyDescent="0.3">
      <c r="B25" s="13">
        <v>18</v>
      </c>
      <c r="C25" s="14" t="s">
        <v>858</v>
      </c>
      <c r="D25" s="30"/>
      <c r="E25" s="15" t="str">
        <f>IFERROR(VLOOKUP(C25,기출문제!D:G,3,0),"")</f>
        <v>98. 킬만(T. Kilmann)의 갈등관리 유형 중 목적달성을 위해 비협조적으로 자기 관심사만을 만족시키려는 유형은?
① 협력형 
② 수용형 
③ 회피형 
④ 타협형 
⑤ 경쟁형</v>
      </c>
      <c r="F25" s="31">
        <f>IFERROR(VLOOKUP(C25,기출문제!D:G,4,0),"")</f>
        <v>5</v>
      </c>
      <c r="G25" s="32" t="str">
        <f t="shared" si="0"/>
        <v/>
      </c>
    </row>
    <row r="26" spans="2:7" ht="85.5" x14ac:dyDescent="0.3">
      <c r="B26" s="13">
        <v>19</v>
      </c>
      <c r="C26" s="14" t="s">
        <v>859</v>
      </c>
      <c r="D26" s="30"/>
      <c r="E26" s="15" t="str">
        <f>IFERROR(VLOOKUP(C26,기출문제!D:G,3,0),"")</f>
        <v>99. 효과적인 시장세분화가 되기 위한 조건으로 옳지 않은 것은?
① 세분화를 위해 사용되는 변수들이 측정가능해야 한다.
② 세분시장에 속하는 고객들에게 효과적이고 효율적으로 접근할 수 있어야 한다.
③ 세분시장 내 고객들과 기업의 적합성은 가능한 낮아야 한다.
④ 같은 세분시장에 속한 고객들끼리는 최대한 비슷해야 하고 서로 다른 세분시장에 속한 고객들 간에는 이질성이 있어야 한다.
⑤ 세분시장의 규모는 마케팅활동으로 이익이 날 수 있을 정도로 충분히 커야 한다.</v>
      </c>
      <c r="F26" s="31">
        <f>IFERROR(VLOOKUP(C26,기출문제!D:G,4,0),"")</f>
        <v>3</v>
      </c>
      <c r="G26" s="32" t="str">
        <f t="shared" si="0"/>
        <v/>
      </c>
    </row>
    <row r="27" spans="2:7" ht="114" x14ac:dyDescent="0.3">
      <c r="B27" s="13">
        <v>20</v>
      </c>
      <c r="C27" s="14" t="s">
        <v>860</v>
      </c>
      <c r="D27" s="30"/>
      <c r="E27" s="15" t="str">
        <f>IFERROR(VLOOKUP(C27,기출문제!D:G,3,0),"")</f>
        <v>100. 다음에서 설명하는 제품수명주기의 단계는?
○ 고객의 신제품수용이 늘어나 생산량이 급속히 증가하면서 단위당 제품원가, 유통비용, 촉진비용이 하락한다.
○ 지속적인 판매량 증대로 이익이 빠르게 늘어난다.
① 도입기 
② 성장기 
③ 성숙기 
④ 정체기 
⑤ 쇠퇴기</v>
      </c>
      <c r="F27" s="31">
        <f>IFERROR(VLOOKUP(C27,기출문제!D:G,4,0),"")</f>
        <v>2</v>
      </c>
      <c r="G27" s="32" t="str">
        <f t="shared" si="0"/>
        <v/>
      </c>
    </row>
    <row r="28" spans="2:7" ht="85.5" x14ac:dyDescent="0.3">
      <c r="B28" s="13">
        <v>21</v>
      </c>
      <c r="C28" s="14" t="s">
        <v>861</v>
      </c>
      <c r="D28" s="30"/>
      <c r="E28" s="15" t="str">
        <f>IFERROR(VLOOKUP(C28,기출문제!D:G,3,0),"")</f>
        <v>101. 4P 중 가격에 관한 설명으로 옳지 않은 것은?
① 가격은 다른 마케팅믹스 요소들과 달리 상대적으로 쉽게 변경할 수 있다.
② 구매자가 가격이 비싼지 싼지를 판단하는 기준으로 삼는 가격을 준거가격이라 한다.
③ 구매자가 어떤 상품에 대해 지불할 용의가 있는 최저가격을 유보가격이라 한다.
④ 가격변화를 느끼게 만드는 최소의 가격변화 폭을 JND(just noticeable difference)라 한다.
⑤ 구매자들이 가격이 높은 상품일수록 품질도 높다고 믿는 것을 가격-품질 연상이라 한다.</v>
      </c>
      <c r="F28" s="31">
        <f>IFERROR(VLOOKUP(C28,기출문제!D:G,4,0),"")</f>
        <v>3</v>
      </c>
      <c r="G28" s="32" t="str">
        <f t="shared" si="0"/>
        <v/>
      </c>
    </row>
    <row r="29" spans="2:7" ht="142.5" x14ac:dyDescent="0.3">
      <c r="B29" s="13">
        <v>22</v>
      </c>
      <c r="C29" s="14" t="s">
        <v>862</v>
      </c>
      <c r="D29" s="30"/>
      <c r="E29" s="15" t="str">
        <f>IFERROR(VLOOKUP(C29,기출문제!D:G,3,0),"")</f>
        <v>102. 판매촉진의 수단 중 소비자들의 구입가격을 인하시키는 효과를 갖는 가격수단의 유형을 모두 고른 것은?
ㄱ. 할인쿠폰 
ㄴ. 샘플 
ㄷ. 보상판매 
ㄹ. 보너스팩
① ㄱ, ㄴ 
② ㄷ, ㄹ 
③ ㄱ, ㄴ, ㄷ
④ ㄱ, ㄷ, ㄹ 
⑤ ㄱ, ㄴ, ㄷ, ㄹ</v>
      </c>
      <c r="F29" s="31">
        <f>IFERROR(VLOOKUP(C29,기출문제!D:G,4,0),"")</f>
        <v>4</v>
      </c>
      <c r="G29" s="32" t="str">
        <f t="shared" si="0"/>
        <v/>
      </c>
    </row>
    <row r="30" spans="2:7" ht="85.5" x14ac:dyDescent="0.3">
      <c r="B30" s="13">
        <v>23</v>
      </c>
      <c r="C30" s="14" t="s">
        <v>863</v>
      </c>
      <c r="D30" s="30"/>
      <c r="E30" s="15" t="str">
        <f>IFERROR(VLOOKUP(C30,기출문제!D:G,3,0),"")</f>
        <v>103. 브랜드에 관한 설명으로 옳지 않은 것은?
① 브랜드는 제품이나 서비스와 관련된 이름, 상징, 혹은 기호로서 그것에 대해 구매자가 심리적인 의미를 부여하는 것이다.
② 브랜드 자산은 소비자가 브랜드에 부여하는 가치, 즉 브랜드가 창출하는 부가가치를 말한다.
③ 켈러(J. Keller)에 따르면, 브랜드 자산의 원천은 브랜드의 인지도와 브랜드의 이미지이다.
④ 브랜드 이미지는 긍정적이고 독특하며 강력해야 한다.
⑤ 브랜드 개발은 창의적인 광고를 통해 관련 이미지를 만들어내는 것이다.</v>
      </c>
      <c r="F30" s="31">
        <f>IFERROR(VLOOKUP(C30,기출문제!D:G,4,0),"")</f>
        <v>5</v>
      </c>
      <c r="G30" s="32" t="str">
        <f t="shared" si="0"/>
        <v/>
      </c>
    </row>
    <row r="31" spans="2:7" ht="99.75" x14ac:dyDescent="0.3">
      <c r="B31" s="13">
        <v>24</v>
      </c>
      <c r="C31" s="14" t="s">
        <v>864</v>
      </c>
      <c r="D31" s="30"/>
      <c r="E31" s="15" t="str">
        <f>IFERROR(VLOOKUP(C31,기출문제!D:G,3,0),"")</f>
        <v>104. 금년 초에 5,000원의 배당(=d0)을 지급한 A기업의 배당은 매년 영원히 5%로 일정하게 성장할 것으로 예상된다. 요구수익률이 10%일 경우 이 주식의 현재가치는?
① 50,000원 
② 52,500원 
③ 100,000원 
④ 105,000원 
⑤ 110,000원</v>
      </c>
      <c r="F31" s="31">
        <f>IFERROR(VLOOKUP(C31,기출문제!D:G,4,0),"")</f>
        <v>4</v>
      </c>
      <c r="G31" s="32" t="str">
        <f t="shared" si="0"/>
        <v/>
      </c>
    </row>
    <row r="32" spans="2:7" ht="85.5" x14ac:dyDescent="0.3">
      <c r="B32" s="13">
        <v>25</v>
      </c>
      <c r="C32" s="14" t="s">
        <v>865</v>
      </c>
      <c r="D32" s="30"/>
      <c r="E32" s="15" t="str">
        <f>IFERROR(VLOOKUP(C32,기출문제!D:G,3,0),"")</f>
        <v>105. 자본시장선(CML)과 증권시장선(SML)에 관한 설명으로 옳지 않은 것은?
① 증권시장선 보다 아래에 위치하는 주식은 주가가 과대평가 된 주식이다.
② 자본시장선은 개별위험자산의 기대수익률과 체계적 위험(베타) 간의 선형관계를 설명한다.
③ 자본시장선 상에는 비체계적 위험을 가진 포트폴리오가 놓이지 않는다.
④ 동일한 체계적 위험(베타)을 가지고 있는 자산이면 증권시장선 상에서 동일한 위치에 놓인다.
⑤ 균형상태에서 모든 위험자산의 체계적 위험(베타) 대비 초과수익률(기대수익률 [E(ri)] - 무위험수익률 [rf])이 동일하다.</v>
      </c>
      <c r="F32" s="31">
        <f>IFERROR(VLOOKUP(C32,기출문제!D:G,4,0),"")</f>
        <v>2</v>
      </c>
      <c r="G32" s="32" t="str">
        <f t="shared" si="0"/>
        <v/>
      </c>
    </row>
    <row r="33" spans="2:7" ht="85.5" x14ac:dyDescent="0.3">
      <c r="B33" s="13">
        <v>26</v>
      </c>
      <c r="C33" s="14" t="s">
        <v>866</v>
      </c>
      <c r="D33" s="30"/>
      <c r="E33" s="15" t="str">
        <f>IFERROR(VLOOKUP(C33,기출문제!D:G,3,0),"")</f>
        <v>106. 투자안의 경제성 분석방법에 관한 설명으로 옳은 것은?
① 투자형 현금흐름의 투자안에서 내부수익률은 투자수익률을 의미한다.
② 화폐의 시간가치를 고려하는 분석방법은 순현재가치법이 유일하다.
③ 순현재가치법에서는 가치가산의 원칙이 성립하지 않는다.
④ 내부수익률법에서는 재투자수익률을 자본비용으로 가정한다.
⑤ 수익성지수법은 순현재가치법과 항상 동일한 투자선택의 의사결정을 한다.</v>
      </c>
      <c r="F33" s="31">
        <f>IFERROR(VLOOKUP(C33,기출문제!D:G,4,0),"")</f>
        <v>1</v>
      </c>
      <c r="G33" s="32" t="str">
        <f t="shared" si="0"/>
        <v/>
      </c>
    </row>
    <row r="34" spans="2:7" ht="85.5" x14ac:dyDescent="0.3">
      <c r="B34" s="13">
        <v>27</v>
      </c>
      <c r="C34" s="14" t="s">
        <v>867</v>
      </c>
      <c r="D34" s="30"/>
      <c r="E34" s="15" t="str">
        <f>IFERROR(VLOOKUP(C34,기출문제!D:G,3,0),"")</f>
        <v>107. 총자산순이익률(ROA)이 20%, 매출액순이익률이 8%일 때 총자산회전율은?
① 2 
② 2.5 
③ 3 
④ 3.5 
⑤ 4</v>
      </c>
      <c r="F34" s="31">
        <f>IFERROR(VLOOKUP(C34,기출문제!D:G,4,0),"")</f>
        <v>2</v>
      </c>
      <c r="G34" s="32" t="str">
        <f t="shared" si="0"/>
        <v/>
      </c>
    </row>
    <row r="35" spans="2:7" ht="142.5" x14ac:dyDescent="0.3">
      <c r="B35" s="13">
        <v>28</v>
      </c>
      <c r="C35" s="14" t="s">
        <v>868</v>
      </c>
      <c r="D35" s="30"/>
      <c r="E35" s="15" t="str">
        <f>IFERROR(VLOOKUP(C35,기출문제!D:G,3,0),"")</f>
        <v>108. 다음 채권의 듀레이션은? (단, 소수점 셋째 자리에서 반올림한다.)
○ 액면가액 1,000원
○ 액면이자율 연 10%, 매년 말 이자지급
○ 만기 2년
○ 만기수익률 연 12%
① 1.75년 
② 1.83년 
③ 1.87년 
④ 1.91년 
⑤ 2.00년</v>
      </c>
      <c r="F35" s="31">
        <f>IFERROR(VLOOKUP(C35,기출문제!D:G,4,0),"")</f>
        <v>4</v>
      </c>
      <c r="G35" s="32" t="str">
        <f t="shared" si="0"/>
        <v/>
      </c>
    </row>
    <row r="36" spans="2:7" ht="85.5" x14ac:dyDescent="0.3">
      <c r="B36" s="13">
        <v>29</v>
      </c>
      <c r="C36" s="14" t="s">
        <v>869</v>
      </c>
      <c r="D36" s="30"/>
      <c r="E36" s="15" t="str">
        <f>IFERROR(VLOOKUP(C36,기출문제!D:G,3,0),"")</f>
        <v>109. 가치분석/가치공학분석에서 사용하는 브레인스토밍(brainstorming)의 주제로 옳지 않은 것은?
① 불필요한 제품의 특성은 없는가?
② 추가되어야 할 공정은 없는가?
③ 무게를 줄일 수는 없는가?
④ 두 개 이상의 부품을 하나로 결합할 수 없는가?
⑤ 제거되어야 할 비표준화된 부품은 없는가?</v>
      </c>
      <c r="F36" s="31">
        <f>IFERROR(VLOOKUP(C36,기출문제!D:G,4,0),"")</f>
        <v>2</v>
      </c>
      <c r="G36" s="32" t="str">
        <f t="shared" si="0"/>
        <v/>
      </c>
    </row>
    <row r="37" spans="2:7" ht="128.25" x14ac:dyDescent="0.3">
      <c r="B37" s="13">
        <v>30</v>
      </c>
      <c r="C37" s="14" t="s">
        <v>870</v>
      </c>
      <c r="D37" s="30"/>
      <c r="E37" s="15" t="str">
        <f>IFERROR(VLOOKUP(C37,기출문제!D:G,3,0),"")</f>
        <v>110. 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
① 606만개 
② 632만개 
③ 658만개 
④ 744만개 
⑤ 766만개</v>
      </c>
      <c r="F37" s="31">
        <f>IFERROR(VLOOKUP(C37,기출문제!D:G,4,0),"")</f>
        <v>2</v>
      </c>
      <c r="G37" s="32" t="str">
        <f t="shared" si="0"/>
        <v/>
      </c>
    </row>
    <row r="38" spans="2:7" ht="85.5" x14ac:dyDescent="0.3">
      <c r="B38" s="13">
        <v>31</v>
      </c>
      <c r="C38" s="14" t="s">
        <v>871</v>
      </c>
      <c r="D38" s="30"/>
      <c r="E38" s="15" t="str">
        <f>IFERROR(VLOOKUP(C38,기출문제!D:G,3,0),"")</f>
        <v>111. 공급사슬관리의 효율성을 측정하는 지표로 옳은 것은?
① 재고회전율 
② 원자재투입량 
③ 최종고객주문량
④ 수요통제 
⑤ 채찍효과</v>
      </c>
      <c r="F38" s="31">
        <f>IFERROR(VLOOKUP(C38,기출문제!D:G,4,0),"")</f>
        <v>1</v>
      </c>
      <c r="G38" s="32" t="str">
        <f t="shared" si="0"/>
        <v/>
      </c>
    </row>
    <row r="39" spans="2:7" ht="85.5" x14ac:dyDescent="0.3">
      <c r="B39" s="13">
        <v>32</v>
      </c>
      <c r="C39" s="14" t="s">
        <v>872</v>
      </c>
      <c r="D39" s="30"/>
      <c r="E39" s="15" t="str">
        <f>IFERROR(VLOOKUP(C39,기출문제!D:G,3,0),"")</f>
        <v>112. 준비비용이 일정하다고 가정하는 경제적 주문량(EOQ)과는 달리 준비비용을 최대한 줄이고자 하는 시스템은?
① 유연생산시스템(FMS) 
② 자재소요관리시스템(MRP)
③ 컴퓨터통합생산시스템(CIM) 
④ ABC 재고관리시스템
⑤ 적시생산시스템(JIT)</v>
      </c>
      <c r="F39" s="31">
        <f>IFERROR(VLOOKUP(C39,기출문제!D:G,4,0),"")</f>
        <v>5</v>
      </c>
      <c r="G39" s="32" t="str">
        <f t="shared" si="0"/>
        <v/>
      </c>
    </row>
    <row r="40" spans="2:7" ht="85.5" x14ac:dyDescent="0.3">
      <c r="B40" s="13">
        <v>33</v>
      </c>
      <c r="C40" s="14" t="s">
        <v>873</v>
      </c>
      <c r="D40" s="30"/>
      <c r="E40" s="15" t="str">
        <f>IFERROR(VLOOKUP(C40,기출문제!D:G,3,0),"")</f>
        <v>113. 기업에서 생산목표상의 경쟁우선순위에 해당하지 않는 것은?
① 기술 
② 품질 
③ 원가 
④ 시간 
⑤ 유연성</v>
      </c>
      <c r="F40" s="31">
        <f>IFERROR(VLOOKUP(C40,기출문제!D:G,4,0),"")</f>
        <v>1</v>
      </c>
      <c r="G40" s="32" t="str">
        <f t="shared" si="0"/>
        <v/>
      </c>
    </row>
    <row r="41" spans="2:7" ht="85.5" x14ac:dyDescent="0.3">
      <c r="B41" s="13">
        <v>34</v>
      </c>
      <c r="C41" s="14" t="s">
        <v>874</v>
      </c>
      <c r="D41" s="30"/>
      <c r="E41" s="15" t="str">
        <f>IFERROR(VLOOKUP(C41,기출문제!D:G,3,0),"")</f>
        <v>114. 품질문제와 관련하여 발생하는 외부 실패비용에 해당하지 않는 것은?
① 고객불만 비용 
② 보증 비용 
③ 반품 비용
④ 스크랩 비용 
⑤ 제조물책임 비용</v>
      </c>
      <c r="F41" s="31">
        <f>IFERROR(VLOOKUP(C41,기출문제!D:G,4,0),"")</f>
        <v>4</v>
      </c>
      <c r="G41" s="32" t="str">
        <f t="shared" si="0"/>
        <v/>
      </c>
    </row>
    <row r="42" spans="2:7" ht="85.5" x14ac:dyDescent="0.3">
      <c r="B42" s="13">
        <v>35</v>
      </c>
      <c r="C42" s="14" t="s">
        <v>875</v>
      </c>
      <c r="D42" s="30"/>
      <c r="E42" s="15" t="str">
        <f>IFERROR(VLOOKUP(C42,기출문제!D:G,3,0),"")</f>
        <v>115. 회계거래 분개 시 차변에 기록해야 하는 것은?
① 선수금의 증가 
② 미수수익의 증가 
③ 매출의 발생
④ 미지급비용의 증가 
⑤ 매입채무의 증가</v>
      </c>
      <c r="F42" s="31">
        <f>IFERROR(VLOOKUP(C42,기출문제!D:G,4,0),"")</f>
        <v>2</v>
      </c>
      <c r="G42" s="32" t="str">
        <f t="shared" si="0"/>
        <v/>
      </c>
    </row>
    <row r="43" spans="2:7" ht="85.5" x14ac:dyDescent="0.3">
      <c r="B43" s="13">
        <v>36</v>
      </c>
      <c r="C43" s="14" t="s">
        <v>876</v>
      </c>
      <c r="D43" s="30"/>
      <c r="E43" s="15" t="str">
        <f>IFERROR(VLOOKUP(C43,기출문제!D:G,3,0),"")</f>
        <v>116. 재무비율에 관한 설명으로 옳지 않은 것은?
① 자산이용의 효율성을 분석하는 것은 활동성비율이다.
② 이자보상비율은 채권자에게 지급해야 할 고정비용인 이자비용의 안전도를 나타낸다.
③ 유동비율은 유동자산을 유동부채로 나눈 것이다.
④ 자기자본순이익률(ROE)은 주주 및 채권자의 관점에서 본 수익성비율이다.
⑤ 재무비율분석 시 기업 간 회계방법의 차이가 있음을 고려해야 한다.</v>
      </c>
      <c r="F43" s="31">
        <f>IFERROR(VLOOKUP(C43,기출문제!D:G,4,0),"")</f>
        <v>4</v>
      </c>
      <c r="G43" s="32" t="str">
        <f t="shared" si="0"/>
        <v/>
      </c>
    </row>
    <row r="44" spans="2:7" ht="85.5" x14ac:dyDescent="0.3">
      <c r="B44" s="13">
        <v>37</v>
      </c>
      <c r="C44" s="14" t="s">
        <v>877</v>
      </c>
      <c r="D44" s="30"/>
      <c r="E44" s="15" t="str">
        <f>IFERROR(VLOOKUP(C44,기출문제!D:G,3,0),"")</f>
        <v>117. 유형자산의 감가상각에 관한 설명으로 옳은 것은?
① 감가상각누계액은 내용연수 동안 비용처리 할 감가상각비의 총액이다.
② 정액법과 정률법에서는 감가대상금액을 기초로 감가상각비를 산정한다.
③ 정률법은 내용연수 후반부로 갈수록 감가상각비를 많이 인식한다.
④ 회계적 관점에서 감가상각은 자산의 평가과정이라기 보다 원가배분과정이라고 할 수 있다.
⑤ 모든 유형자산은 시간이 경과함에 따라 가치가 감소하므로 가치의 감소를 인식하기 위해 감가상각한다.</v>
      </c>
      <c r="F44" s="31">
        <f>IFERROR(VLOOKUP(C44,기출문제!D:G,4,0),"")</f>
        <v>4</v>
      </c>
      <c r="G44" s="32" t="str">
        <f t="shared" si="0"/>
        <v/>
      </c>
    </row>
    <row r="45" spans="2:7" ht="85.5" x14ac:dyDescent="0.3">
      <c r="B45" s="13">
        <v>38</v>
      </c>
      <c r="C45" s="14" t="s">
        <v>878</v>
      </c>
      <c r="D45" s="30"/>
      <c r="E45" s="15" t="str">
        <f>IFERROR(VLOOKUP(C45,기출문제!D:G,3,0),"")</f>
        <v>118. 유형자산의 취득원가에 포함되는 것은?
① 파손된 유리와 소모품의 대체
② 마모된 자산의 원상복구
③ 건물 취득 후 가입한 보험에 대한 보험료
④ 유형자산 취득 시 발생한 운반비
⑤ 건물의 도색</v>
      </c>
      <c r="F45" s="31">
        <f>IFERROR(VLOOKUP(C45,기출문제!D:G,4,0),"")</f>
        <v>4</v>
      </c>
      <c r="G45" s="32" t="str">
        <f t="shared" si="0"/>
        <v/>
      </c>
    </row>
    <row r="46" spans="2:7" ht="114" x14ac:dyDescent="0.3">
      <c r="B46" s="13">
        <v>39</v>
      </c>
      <c r="C46" s="14" t="s">
        <v>879</v>
      </c>
      <c r="D46" s="30"/>
      <c r="E46" s="15" t="str">
        <f>IFERROR(VLOOKUP(C46,기출문제!D:G,3,0),"")</f>
        <v>119. 다음에서 설명하는 것은?
○ 데이터 소스에서 가까운 네트워크 말단의 서버들에서 일부 데이터 처리를 수행한다.
○ 클라우드 컴퓨팅 시스템을 최적화하는 방법이다.
① 엣지 컴퓨팅 
② 그리드 컴퓨팅 
③ 클라이언트/서버 컴퓨팅
④ 온디멘드 컴퓨팅 
⑤ 엔터프라이즈 컴퓨팅</v>
      </c>
      <c r="F46" s="31">
        <f>IFERROR(VLOOKUP(C46,기출문제!D:G,4,0),"")</f>
        <v>1</v>
      </c>
      <c r="G46" s="32" t="str">
        <f t="shared" si="0"/>
        <v/>
      </c>
    </row>
    <row r="47" spans="2:7" ht="85.5" x14ac:dyDescent="0.3">
      <c r="B47" s="13">
        <v>40</v>
      </c>
      <c r="C47" s="14" t="s">
        <v>880</v>
      </c>
      <c r="D47" s="30"/>
      <c r="E47" s="15" t="str">
        <f>IFERROR(VLOOKUP(C47,기출문제!D:G,3,0),"")</f>
        <v>120. 비정형 텍스트 데이터의 가치와 의미를 찾아내는 빅데이터 분석기법은?
① 에쓰노그라피(ethnography) 분석 
② 포커스그룹(focus group) 인터뷰
③ 텍스트마이닝 
④ 군집 분석
⑤ 소셜네트워크 분석</v>
      </c>
      <c r="F47" s="31">
        <f>IFERROR(VLOOKUP(C47,기출문제!D:G,4,0),"")</f>
        <v>3</v>
      </c>
      <c r="G47" s="32" t="str">
        <f t="shared" si="0"/>
        <v/>
      </c>
    </row>
    <row r="48" spans="2:7" ht="142.5" x14ac:dyDescent="0.3">
      <c r="B48" s="13">
        <v>41</v>
      </c>
      <c r="C48" s="14" t="s">
        <v>5</v>
      </c>
      <c r="D48" s="30"/>
      <c r="E48" s="15" t="str">
        <f>IFERROR(VLOOKUP(C48,기출문제!D:G,3,0),"")</f>
        <v>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v>
      </c>
      <c r="F48" s="31">
        <f>IFERROR(VLOOKUP(C48,기출문제!D:G,4,0),"")</f>
        <v>5</v>
      </c>
      <c r="G48" s="32" t="str">
        <f t="shared" si="0"/>
        <v/>
      </c>
    </row>
    <row r="49" spans="2:7" ht="171" x14ac:dyDescent="0.3">
      <c r="B49" s="13">
        <v>42</v>
      </c>
      <c r="C49" s="14" t="s">
        <v>881</v>
      </c>
      <c r="D49" s="30"/>
      <c r="E49" s="15" t="str">
        <f>IFERROR(VLOOKUP(C49,기출문제!D:G,3,0),"")</f>
        <v>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v>
      </c>
      <c r="F49" s="31">
        <f>IFERROR(VLOOKUP(C49,기출문제!D:G,4,0),"")</f>
        <v>4</v>
      </c>
      <c r="G49" s="32" t="str">
        <f t="shared" si="0"/>
        <v/>
      </c>
    </row>
    <row r="50" spans="2:7" ht="85.5" x14ac:dyDescent="0.3">
      <c r="B50" s="13">
        <v>43</v>
      </c>
      <c r="C50" s="14" t="s">
        <v>882</v>
      </c>
      <c r="D50" s="30"/>
      <c r="E50" s="15" t="str">
        <f>IFERROR(VLOOKUP(C50,기출문제!D:G,3,0),"")</f>
        <v>103. 경영환경을 일반환경과 과업환경으로 구분할 때, 기업에게 직접적인 영향을 주는 과업환경에 해당하는 것은?
① 정치적 환경
② 경제적 환경
③ 기술적 환경
④ 경쟁자
⑤ 사회문화적 환경</v>
      </c>
      <c r="F50" s="31">
        <f>IFERROR(VLOOKUP(C50,기출문제!D:G,4,0),"")</f>
        <v>4</v>
      </c>
      <c r="G50" s="32" t="str">
        <f t="shared" si="0"/>
        <v/>
      </c>
    </row>
    <row r="51" spans="2:7" ht="85.5" x14ac:dyDescent="0.3">
      <c r="B51" s="13">
        <v>44</v>
      </c>
      <c r="C51" s="14" t="s">
        <v>883</v>
      </c>
      <c r="D51" s="30"/>
      <c r="E51" s="15" t="str">
        <f>IFERROR(VLOOKUP(C51,기출문제!D:G,3,0),"")</f>
        <v>104. 민츠버그(H. Mintzberg)의 5가지 조직유형에 해당하지 않는 것은?
① 매트릭스 조직
② 기계적 관료제
③ 전문적 관료제
④ 애드호크라시
⑤ 사업부제 조직</v>
      </c>
      <c r="F51" s="31">
        <f>IFERROR(VLOOKUP(C51,기출문제!D:G,4,0),"")</f>
        <v>1</v>
      </c>
      <c r="G51" s="32" t="str">
        <f t="shared" si="0"/>
        <v/>
      </c>
    </row>
    <row r="52" spans="2:7" ht="142.5" x14ac:dyDescent="0.3">
      <c r="B52" s="13">
        <v>45</v>
      </c>
      <c r="C52" s="14" t="s">
        <v>884</v>
      </c>
      <c r="D52" s="30"/>
      <c r="E52" s="15" t="str">
        <f>IFERROR(VLOOKUP(C52,기출문제!D:G,3,0),"")</f>
        <v>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v>
      </c>
      <c r="F52" s="31">
        <f>IFERROR(VLOOKUP(C52,기출문제!D:G,4,0),"")</f>
        <v>3</v>
      </c>
      <c r="G52" s="32" t="str">
        <f t="shared" si="0"/>
        <v/>
      </c>
    </row>
    <row r="53" spans="2:7" ht="156.75" x14ac:dyDescent="0.3">
      <c r="B53" s="13">
        <v>46</v>
      </c>
      <c r="C53" s="14" t="s">
        <v>885</v>
      </c>
      <c r="D53" s="30"/>
      <c r="E53" s="15" t="str">
        <f>IFERROR(VLOOKUP(C53,기출문제!D:G,3,0),"")</f>
        <v>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v>
      </c>
      <c r="F53" s="31">
        <f>IFERROR(VLOOKUP(C53,기출문제!D:G,4,0),"")</f>
        <v>2</v>
      </c>
      <c r="G53" s="32" t="str">
        <f t="shared" si="0"/>
        <v/>
      </c>
    </row>
    <row r="54" spans="2:7" ht="85.5" x14ac:dyDescent="0.3">
      <c r="B54" s="13">
        <v>47</v>
      </c>
      <c r="C54" s="14" t="s">
        <v>886</v>
      </c>
      <c r="D54" s="30"/>
      <c r="E54" s="15" t="str">
        <f>IFERROR(VLOOKUP(C54,기출문제!D:G,3,0),"")</f>
        <v>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v>
      </c>
      <c r="F54" s="31">
        <f>IFERROR(VLOOKUP(C54,기출문제!D:G,4,0),"")</f>
        <v>5</v>
      </c>
      <c r="G54" s="32" t="str">
        <f t="shared" si="0"/>
        <v/>
      </c>
    </row>
    <row r="55" spans="2:7" ht="85.5" x14ac:dyDescent="0.3">
      <c r="B55" s="13">
        <v>48</v>
      </c>
      <c r="C55" s="14" t="s">
        <v>887</v>
      </c>
      <c r="D55" s="30"/>
      <c r="E55" s="15" t="str">
        <f>IFERROR(VLOOKUP(C55,기출문제!D:G,3,0),"")</f>
        <v>108. 성격의 Big5 모형에 해당하지 않는 것은?
① 정서적 안정성
② 성실성
③ 친화성
④ 모험선호성
⑤ 개방성</v>
      </c>
      <c r="F55" s="31">
        <f>IFERROR(VLOOKUP(C55,기출문제!D:G,4,0),"")</f>
        <v>4</v>
      </c>
      <c r="G55" s="32" t="str">
        <f t="shared" si="0"/>
        <v/>
      </c>
    </row>
    <row r="56" spans="2:7" ht="85.5" x14ac:dyDescent="0.3">
      <c r="B56" s="13">
        <v>49</v>
      </c>
      <c r="C56" s="14" t="s">
        <v>888</v>
      </c>
      <c r="D56" s="30"/>
      <c r="E56" s="15" t="str">
        <f>IFERROR(VLOOKUP(C56,기출문제!D:G,3,0),"")</f>
        <v>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v>
      </c>
      <c r="F56" s="31">
        <f>IFERROR(VLOOKUP(C56,기출문제!D:G,4,0),"")</f>
        <v>3</v>
      </c>
      <c r="G56" s="32" t="str">
        <f t="shared" si="0"/>
        <v/>
      </c>
    </row>
    <row r="57" spans="2:7" ht="156.75" x14ac:dyDescent="0.3">
      <c r="B57" s="13">
        <v>50</v>
      </c>
      <c r="C57" s="14" t="s">
        <v>889</v>
      </c>
      <c r="D57" s="30"/>
      <c r="E57" s="15" t="str">
        <f>IFERROR(VLOOKUP(C57,기출문제!D:G,3,0),"")</f>
        <v>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v>
      </c>
      <c r="F57" s="31">
        <f>IFERROR(VLOOKUP(C57,기출문제!D:G,4,0),"")</f>
        <v>1</v>
      </c>
      <c r="G57" s="32" t="str">
        <f t="shared" si="0"/>
        <v/>
      </c>
    </row>
    <row r="58" spans="2:7" ht="85.5" x14ac:dyDescent="0.3">
      <c r="B58" s="13">
        <v>51</v>
      </c>
      <c r="C58" s="14" t="s">
        <v>890</v>
      </c>
      <c r="D58" s="13"/>
      <c r="E58" s="15" t="str">
        <f>IFERROR(VLOOKUP(C58,기출문제!D:G,3,0),"")</f>
        <v>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v>
      </c>
      <c r="F58" s="31">
        <f>IFERROR(VLOOKUP(C58,기출문제!D:G,4,0),"")</f>
        <v>1</v>
      </c>
      <c r="G58" s="32" t="str">
        <f t="shared" si="0"/>
        <v/>
      </c>
    </row>
    <row r="59" spans="2:7" ht="85.5" x14ac:dyDescent="0.3">
      <c r="B59" s="13">
        <v>52</v>
      </c>
      <c r="C59" s="14" t="s">
        <v>891</v>
      </c>
      <c r="D59" s="13"/>
      <c r="E59" s="15" t="str">
        <f>IFERROR(VLOOKUP(C59,기출문제!D:G,3,0),"")</f>
        <v>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v>
      </c>
      <c r="F59" s="31">
        <f>IFERROR(VLOOKUP(C59,기출문제!D:G,4,0),"")</f>
        <v>5</v>
      </c>
      <c r="G59" s="32" t="str">
        <f t="shared" si="0"/>
        <v/>
      </c>
    </row>
    <row r="60" spans="2:7" ht="85.5" x14ac:dyDescent="0.3">
      <c r="B60" s="13">
        <v>53</v>
      </c>
      <c r="C60" s="14" t="s">
        <v>892</v>
      </c>
      <c r="D60" s="13"/>
      <c r="E60" s="15" t="str">
        <f>IFERROR(VLOOKUP(C60,기출문제!D:G,3,0),"")</f>
        <v>113. 로저스(E. Rogers)의 혁신에 대한 수용자 유형이 아닌 것은?
① 혁신자(innovators)
② 조기수용자(early adopters)
③ 후기수용자(late adopters)
④ 조기다수자(early majority)
⑤ 후기다수자(late majority)</v>
      </c>
      <c r="F60" s="31">
        <f>IFERROR(VLOOKUP(C60,기출문제!D:G,4,0),"")</f>
        <v>3</v>
      </c>
      <c r="G60" s="32" t="str">
        <f t="shared" si="0"/>
        <v/>
      </c>
    </row>
    <row r="61" spans="2:7" ht="128.25" x14ac:dyDescent="0.3">
      <c r="B61" s="13">
        <v>54</v>
      </c>
      <c r="C61" s="14" t="s">
        <v>893</v>
      </c>
      <c r="D61" s="13"/>
      <c r="E61" s="15" t="str">
        <f>IFERROR(VLOOKUP(C61,기출문제!D:G,3,0),"")</f>
        <v>114. (주)한국의 매출 및 매출채권 자료가 다음과 같을 때, 매출채권의 평균회수시간은? (단, 1년은 360일로 가정한다.)
매출액            ￦3,000,000
기초매출채권        150,000
기말매출채권        100,000
① 10일
② 15일
③ 18일
④ 20일
⑤ 24일</v>
      </c>
      <c r="F61" s="31">
        <f>IFERROR(VLOOKUP(C61,기출문제!D:G,4,0),"")</f>
        <v>2</v>
      </c>
      <c r="G61" s="32" t="str">
        <f t="shared" si="0"/>
        <v/>
      </c>
    </row>
    <row r="62" spans="2:7" ht="114" x14ac:dyDescent="0.3">
      <c r="B62" s="13">
        <v>55</v>
      </c>
      <c r="C62" s="14" t="s">
        <v>894</v>
      </c>
      <c r="D62" s="13"/>
      <c r="E62" s="15" t="str">
        <f>IFERROR(VLOOKUP(C62,기출문제!D:G,3,0),"")</f>
        <v>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v>
      </c>
      <c r="F62" s="31">
        <f>IFERROR(VLOOKUP(C62,기출문제!D:G,4,0),"")</f>
        <v>4</v>
      </c>
      <c r="G62" s="32" t="str">
        <f t="shared" si="0"/>
        <v/>
      </c>
    </row>
    <row r="63" spans="2:7" ht="142.5" x14ac:dyDescent="0.3">
      <c r="B63" s="13">
        <v>56</v>
      </c>
      <c r="C63" s="14" t="s">
        <v>895</v>
      </c>
      <c r="D63" s="13"/>
      <c r="E63" s="15" t="str">
        <f>IFERROR(VLOOKUP(C63,기출문제!D:G,3,0),"")</f>
        <v>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v>
      </c>
      <c r="F63" s="31">
        <f>IFERROR(VLOOKUP(C63,기출문제!D:G,4,0),"")</f>
        <v>2</v>
      </c>
      <c r="G63" s="32" t="str">
        <f t="shared" si="0"/>
        <v/>
      </c>
    </row>
    <row r="64" spans="2:7" ht="85.5" x14ac:dyDescent="0.3">
      <c r="B64" s="13">
        <v>57</v>
      </c>
      <c r="C64" s="14" t="s">
        <v>896</v>
      </c>
      <c r="D64" s="13"/>
      <c r="E64" s="15" t="str">
        <f>IFERROR(VLOOKUP(C64,기출문제!D:G,3,0),"")</f>
        <v>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v>
      </c>
      <c r="F64" s="31">
        <f>IFERROR(VLOOKUP(C64,기출문제!D:G,4,0),"")</f>
        <v>4</v>
      </c>
      <c r="G64" s="32" t="str">
        <f t="shared" si="0"/>
        <v/>
      </c>
    </row>
    <row r="65" spans="2:7" ht="99.75" x14ac:dyDescent="0.3">
      <c r="B65" s="13">
        <v>58</v>
      </c>
      <c r="C65" s="14" t="s">
        <v>897</v>
      </c>
      <c r="D65" s="13"/>
      <c r="E65" s="15" t="str">
        <f>IFERROR(VLOOKUP(C65,기출문제!D:G,3,0),"")</f>
        <v>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v>
      </c>
      <c r="F65" s="31">
        <f>IFERROR(VLOOKUP(C65,기출문제!D:G,4,0),"")</f>
        <v>1</v>
      </c>
      <c r="G65" s="32" t="str">
        <f t="shared" si="0"/>
        <v/>
      </c>
    </row>
    <row r="66" spans="2:7" ht="142.5" x14ac:dyDescent="0.3">
      <c r="B66" s="13">
        <v>59</v>
      </c>
      <c r="C66" s="14" t="s">
        <v>898</v>
      </c>
      <c r="D66" s="13"/>
      <c r="E66" s="15" t="str">
        <f>IFERROR(VLOOKUP(C66,기출문제!D:G,3,0),"")</f>
        <v>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v>
      </c>
      <c r="F66" s="31">
        <f>IFERROR(VLOOKUP(C66,기출문제!D:G,4,0),"")</f>
        <v>3</v>
      </c>
      <c r="G66" s="32" t="str">
        <f t="shared" si="0"/>
        <v/>
      </c>
    </row>
    <row r="67" spans="2:7" ht="128.25" x14ac:dyDescent="0.3">
      <c r="B67" s="13">
        <v>60</v>
      </c>
      <c r="C67" s="14" t="s">
        <v>899</v>
      </c>
      <c r="D67" s="13"/>
      <c r="E67" s="15" t="str">
        <f>IFERROR(VLOOKUP(C67,기출문제!D:G,3,0),"")</f>
        <v>120. 다음의 수요예측기법 중 시계열(tiem series) 예측기법에 해당하는 것을 모두 고른 것은?
ㄱ. 이동평균법
ㄴ. 지수평활기법
ㄷ. 델파이 기법
① ㄱ
② ㄴ
③ ㄱ, ㄴ
④ ㄴ, ㄷ
⑤ ㄱ, ㄴ, ㄷ</v>
      </c>
      <c r="F67" s="31">
        <f>IFERROR(VLOOKUP(C67,기출문제!D:G,4,0),"")</f>
        <v>3</v>
      </c>
      <c r="G67" s="32" t="str">
        <f t="shared" si="0"/>
        <v/>
      </c>
    </row>
    <row r="68" spans="2:7" ht="85.5" x14ac:dyDescent="0.3">
      <c r="B68" s="13">
        <v>61</v>
      </c>
      <c r="C68" s="14" t="s">
        <v>900</v>
      </c>
      <c r="D68" s="13"/>
      <c r="E68" s="15" t="str">
        <f>IFERROR(VLOOKUP(C68,기출문제!D:G,3,0),"")</f>
        <v>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v>
      </c>
      <c r="F68" s="31">
        <f>IFERROR(VLOOKUP(C68,기출문제!D:G,4,0),"")</f>
        <v>2</v>
      </c>
      <c r="G68" s="32" t="str">
        <f t="shared" si="0"/>
        <v/>
      </c>
    </row>
    <row r="69" spans="2:7" ht="142.5" x14ac:dyDescent="0.3">
      <c r="B69" s="13">
        <v>62</v>
      </c>
      <c r="C69" s="14" t="s">
        <v>901</v>
      </c>
      <c r="D69" s="13"/>
      <c r="E69" s="15" t="str">
        <f>IFERROR(VLOOKUP(C69,기출문제!D:G,3,0),"")</f>
        <v>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v>
      </c>
      <c r="F69" s="31">
        <f>IFERROR(VLOOKUP(C69,기출문제!D:G,4,0),"")</f>
        <v>3</v>
      </c>
      <c r="G69" s="32" t="str">
        <f t="shared" si="0"/>
        <v/>
      </c>
    </row>
    <row r="70" spans="2:7" ht="85.5" x14ac:dyDescent="0.3">
      <c r="B70" s="13">
        <v>63</v>
      </c>
      <c r="C70" s="14" t="s">
        <v>902</v>
      </c>
      <c r="D70" s="13"/>
      <c r="E70" s="15" t="str">
        <f>IFERROR(VLOOKUP(C70,기출문제!D:G,3,0),"")</f>
        <v>123. 현행 K - IFRS에 의한 재무제표에 해당하지 않는 것은?
① 재무상태변동표
② 포괄손익계산서
③ 자본변동표
④ 현금흐름표
⑤ 주석</v>
      </c>
      <c r="F70" s="31">
        <f>IFERROR(VLOOKUP(C70,기출문제!D:G,4,0),"")</f>
        <v>1</v>
      </c>
      <c r="G70" s="32" t="str">
        <f t="shared" si="0"/>
        <v/>
      </c>
    </row>
    <row r="71" spans="2:7" ht="85.5" x14ac:dyDescent="0.3">
      <c r="B71" s="13">
        <v>64</v>
      </c>
      <c r="C71" s="14" t="s">
        <v>903</v>
      </c>
      <c r="D71" s="13"/>
      <c r="E71" s="15" t="str">
        <f>IFERROR(VLOOKUP(C71,기출문제!D:G,3,0),"")</f>
        <v>124. 일반 사용자의 컴퓨터 시스템 접근을 차단한 후, 접근을 허용하는 조건으로 대가를 요구하는 악성코드는?
① 스니핑(sniffing)
② 랜섬웨어(ransomware)
③ 스팸웨어(spamware)
④ 피싱(phishing)
⑤ 파밍(pharming)</v>
      </c>
      <c r="F71" s="31">
        <f>IFERROR(VLOOKUP(C71,기출문제!D:G,4,0),"")</f>
        <v>2</v>
      </c>
      <c r="G71" s="32" t="str">
        <f t="shared" si="0"/>
        <v/>
      </c>
    </row>
    <row r="72" spans="2:7" ht="114" x14ac:dyDescent="0.3">
      <c r="B72" s="13">
        <v>65</v>
      </c>
      <c r="C72" s="14" t="s">
        <v>904</v>
      </c>
      <c r="D72" s="13"/>
      <c r="E72" s="15" t="str">
        <f>IFERROR(VLOOKUP(C72,기출문제!D:G,3,0),"")</f>
        <v>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v>
      </c>
      <c r="F72" s="31">
        <f>IFERROR(VLOOKUP(C72,기출문제!D:G,4,0),"")</f>
        <v>3</v>
      </c>
      <c r="G72" s="32" t="str">
        <f t="shared" si="0"/>
        <v/>
      </c>
    </row>
    <row r="73" spans="2:7" ht="85.5" x14ac:dyDescent="0.3">
      <c r="B73" s="13">
        <v>66</v>
      </c>
      <c r="C73" s="14" t="s">
        <v>611</v>
      </c>
      <c r="D73" s="13"/>
      <c r="E73" s="15" t="str">
        <f>IFERROR(VLOOKUP(C73,기출문제!D:G,3,0),"")</f>
        <v>101. 프랜차이즈(franchise)에 관한 설명으로 옳지 않은 것은?
① 가맹점은 운영측면에서 개인점포에 비해 자율성이 높다.
② 가맹본부의 사업확장이 용이하다.
③ 가맹점은 인지도가 있는 브랜드와 상품으로 사업을 시작할 수 있다.
④ 가맹점은 가맹본부로부터 경영지도와 지원을 받을 수 있다.
⑤ 가맹점은 프랜차이즈 비용이 부담이 될 수 있다.</v>
      </c>
      <c r="F73" s="31">
        <f>IFERROR(VLOOKUP(C73,기출문제!D:G,4,0),"")</f>
        <v>1</v>
      </c>
      <c r="G73" s="32" t="str">
        <f t="shared" ref="G73:G136" si="1">IF(D73="","",IF(D73=F73,"O", "X"))</f>
        <v/>
      </c>
    </row>
    <row r="74" spans="2:7" ht="85.5" x14ac:dyDescent="0.3">
      <c r="B74" s="13">
        <v>67</v>
      </c>
      <c r="C74" s="14" t="s">
        <v>905</v>
      </c>
      <c r="D74" s="13"/>
      <c r="E74" s="15" t="str">
        <f>IFERROR(VLOOKUP(C74,기출문제!D:G,3,0),"")</f>
        <v>102. 앤소프(H. I. Ansoff)의 제품- 시장 확장전략 중 기존 제품으로 기존 시장의 점유율을 확대해 가는 전략은?
① 원가우위 전략 
② 시장침투 전략 
③ 시장개발 전략
④ 제품개발 전략 
⑤ 다각화 전략</v>
      </c>
      <c r="F74" s="31">
        <f>IFERROR(VLOOKUP(C74,기출문제!D:G,4,0),"")</f>
        <v>2</v>
      </c>
      <c r="G74" s="32" t="str">
        <f t="shared" si="1"/>
        <v/>
      </c>
    </row>
    <row r="75" spans="2:7" ht="85.5" x14ac:dyDescent="0.3">
      <c r="B75" s="13">
        <v>68</v>
      </c>
      <c r="C75" s="14" t="s">
        <v>906</v>
      </c>
      <c r="D75" s="13"/>
      <c r="E75" s="15" t="str">
        <f>IFERROR(VLOOKUP(C75,기출문제!D:G,3,0),"")</f>
        <v>103. 포터(M. Porter)의 산업구조분석 모형에서, 소비자 관점의 사용용도가 유사한 다른 제품을 고려하는 경쟁분석의 요소는?
① 산업내 기존 경쟁업체간 경쟁 
② 잠재적 경쟁자의 진입 가능성
③ 대체재의 위협 
④ 공급자의 교섭력
⑤ 구매자의 교섭력</v>
      </c>
      <c r="F75" s="31">
        <f>IFERROR(VLOOKUP(C75,기출문제!D:G,4,0),"")</f>
        <v>3</v>
      </c>
      <c r="G75" s="32" t="str">
        <f t="shared" si="1"/>
        <v/>
      </c>
    </row>
    <row r="76" spans="2:7" ht="85.5" x14ac:dyDescent="0.3">
      <c r="B76" s="13">
        <v>69</v>
      </c>
      <c r="C76" s="14" t="s">
        <v>907</v>
      </c>
      <c r="D76" s="13"/>
      <c r="E76" s="15" t="str">
        <f>IFERROR(VLOOKUP(C76,기출문제!D:G,3,0),"")</f>
        <v>104. 직무스트레스에 관한 설명으로 옳지 않은 것은?
① 직무스트레스의 잠재적 원인으로는 환경요인, 조직적 요인, 개인적 요인이 존재한다.
② 직무스트레스 원인과 경험된 스트레스 간에 조정변수가 존재한다.
③ 사회적 지지는 직무스트레스의 조정변수이다.
④ 직무스트레스 결과로는 생리적 증상, 심리적 증상, 행동적 증상이 있다.
⑤ 직무스트레스와 직무성과간의 관계는 U자형으로 나타난다.</v>
      </c>
      <c r="F76" s="31">
        <f>IFERROR(VLOOKUP(C76,기출문제!D:G,4,0),"")</f>
        <v>5</v>
      </c>
      <c r="G76" s="32" t="str">
        <f t="shared" si="1"/>
        <v/>
      </c>
    </row>
    <row r="77" spans="2:7" ht="85.5" x14ac:dyDescent="0.3">
      <c r="B77" s="13">
        <v>70</v>
      </c>
      <c r="C77" s="14" t="s">
        <v>908</v>
      </c>
      <c r="D77" s="13"/>
      <c r="E77" s="15" t="str">
        <f>IFERROR(VLOOKUP(C77,기출문제!D:G,3,0),"")</f>
        <v>105. 메이요(E. Mayo)의 호손실험 중 배선작업 실험에 관한 설명으로 옳지 않은 것은?
① 작업자를 둘러싸고 있는 사회적 요인들이 작업능률에 미치는 영향을 파악하였다.
② 생산현장에서 비공식조직을 확인하였다.
③ 비공식조직이 작업능률에 영향을 미치는 것을 발견하였다.
④ 관찰연구를 통해 진행되었다.
⑤ 경제적 욕구의 중요성을 재확인하였다.</v>
      </c>
      <c r="F77" s="31">
        <f>IFERROR(VLOOKUP(C77,기출문제!D:G,4,0),"")</f>
        <v>5</v>
      </c>
      <c r="G77" s="32" t="str">
        <f t="shared" si="1"/>
        <v/>
      </c>
    </row>
    <row r="78" spans="2:7" ht="156.75" x14ac:dyDescent="0.3">
      <c r="B78" s="13">
        <v>71</v>
      </c>
      <c r="C78" s="14" t="s">
        <v>909</v>
      </c>
      <c r="D78" s="13"/>
      <c r="E78" s="15" t="str">
        <f>IFERROR(VLOOKUP(C78,기출문제!D:G,3,0),"")</f>
        <v>106. 조직설계의 상황변수에 해당하는 것을 모두 고른 것은?
ㄱ. 복잡성
ㄴ. 전략
ㄷ. 공식화
ㄹ. 기술
ㅁ. 규모
① ㄱ, ㄴ, ㄷ 
② ㄱ, ㄴ, ㄹ 
③ ㄱ, ㄷ, ㅁ 
④ ㄴ, ㄹ, ㅁ 
⑤ ㄷ, ㄹ, ㅁ</v>
      </c>
      <c r="F78" s="31">
        <f>IFERROR(VLOOKUP(C78,기출문제!D:G,4,0),"")</f>
        <v>4</v>
      </c>
      <c r="G78" s="32" t="str">
        <f t="shared" si="1"/>
        <v/>
      </c>
    </row>
    <row r="79" spans="2:7" ht="142.5" x14ac:dyDescent="0.3">
      <c r="B79" s="13">
        <v>72</v>
      </c>
      <c r="C79" s="14" t="s">
        <v>910</v>
      </c>
      <c r="D79" s="13"/>
      <c r="E79" s="15" t="str">
        <f>IFERROR(VLOOKUP(C79,기출문제!D:G,3,0),"")</f>
        <v>107. 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
① ㄱ, ㄴ 
② ㄱ, ㄷ 
③ ㄴ, ㄷ 
④ ㄴ, ㄹ 
⑤ ㄷ, ㄹ</v>
      </c>
      <c r="F79" s="31">
        <f>IFERROR(VLOOKUP(C79,기출문제!D:G,4,0),"")</f>
        <v>4</v>
      </c>
      <c r="G79" s="32" t="str">
        <f t="shared" si="1"/>
        <v/>
      </c>
    </row>
    <row r="80" spans="2:7" ht="128.25" x14ac:dyDescent="0.3">
      <c r="B80" s="13">
        <v>73</v>
      </c>
      <c r="C80" s="14" t="s">
        <v>911</v>
      </c>
      <c r="D80" s="13"/>
      <c r="E80" s="15" t="str">
        <f>IFERROR(VLOOKUP(C80,기출문제!D:G,3,0),"")</f>
        <v>108. 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
① 자원의존 이론 
② 제도화 이론 
③ 학습조직 이론
④ 조직군 생태학 이론 
⑤ 거래비용 이론</v>
      </c>
      <c r="F80" s="31">
        <f>IFERROR(VLOOKUP(C80,기출문제!D:G,4,0),"")</f>
        <v>4</v>
      </c>
      <c r="G80" s="32" t="str">
        <f t="shared" si="1"/>
        <v/>
      </c>
    </row>
    <row r="81" spans="2:7" ht="85.5" x14ac:dyDescent="0.3">
      <c r="B81" s="13">
        <v>74</v>
      </c>
      <c r="C81" s="14" t="s">
        <v>912</v>
      </c>
      <c r="D81" s="13"/>
      <c r="E81" s="15" t="str">
        <f>IFERROR(VLOOKUP(C81,기출문제!D:G,3,0),"")</f>
        <v>109. 직무분석에 관한 설명으로 옳은 것은?
① 직무의 내용을 체계적으로 정리하여 직무명세서를 작성한다.
② 직무수행자에게 요구되는 자격요건을 정리하여 직무기술서를 작성한다.
③ 직무분석과 인력확보를 연계하는 것은 타당하지 않다.
④ 직무분석은 작업장의 안전사고 예방에 도움이 된다.
⑤ 직무분석은 직무평가 결과를 토대로 실시한다.</v>
      </c>
      <c r="F81" s="31">
        <f>IFERROR(VLOOKUP(C81,기출문제!D:G,4,0),"")</f>
        <v>4</v>
      </c>
      <c r="G81" s="32" t="str">
        <f t="shared" si="1"/>
        <v/>
      </c>
    </row>
    <row r="82" spans="2:7" ht="85.5" x14ac:dyDescent="0.3">
      <c r="B82" s="13">
        <v>75</v>
      </c>
      <c r="C82" s="14" t="s">
        <v>913</v>
      </c>
      <c r="D82" s="13"/>
      <c r="E82" s="15" t="str">
        <f>IFERROR(VLOOKUP(C82,기출문제!D:G,3,0),"")</f>
        <v>110. 스캔론 플랜(Scanlon Plan)에 관한 설명으로 옳지 않은 것은?
① 기업이 창출한 부가가치를 기준으로 성과급을 산정한다.
② 집단성과급제도이다.
③ 생산제품의 판매가치와 인건비의 관계에서 배분액을 결정한다.
④ 실제인건비가 표준인건비보다 적을 때 그 차액을 보너스로 배분한다.
⑤ 산출된 보너스액 중 일정액을 적립한 후 종업원분과 회사분으로 배분한다.</v>
      </c>
      <c r="F82" s="31">
        <f>IFERROR(VLOOKUP(C82,기출문제!D:G,4,0),"")</f>
        <v>1</v>
      </c>
      <c r="G82" s="32" t="str">
        <f t="shared" si="1"/>
        <v/>
      </c>
    </row>
    <row r="83" spans="2:7" ht="85.5" x14ac:dyDescent="0.3">
      <c r="B83" s="13">
        <v>76</v>
      </c>
      <c r="C83" s="14" t="s">
        <v>914</v>
      </c>
      <c r="D83" s="13"/>
      <c r="E83" s="15" t="str">
        <f>IFERROR(VLOOKUP(C83,기출문제!D:G,3,0),"")</f>
        <v>111. 기존 브랜드명을 새로운 제품범주의 신제품에 사용하는 것은?
① 공동 브랜딩(co - branding) 
② 복수 브랜딩(multi - branding)
③ 신규 브랜드(new brand) 
④ 라인 확장(line extension)
⑤ 브랜드 확장(brand extension)</v>
      </c>
      <c r="F83" s="31">
        <f>IFERROR(VLOOKUP(C83,기출문제!D:G,4,0),"")</f>
        <v>5</v>
      </c>
      <c r="G83" s="32" t="str">
        <f t="shared" si="1"/>
        <v/>
      </c>
    </row>
    <row r="84" spans="2:7" ht="85.5" x14ac:dyDescent="0.3">
      <c r="B84" s="13">
        <v>77</v>
      </c>
      <c r="C84" s="14" t="s">
        <v>915</v>
      </c>
      <c r="D84" s="13"/>
      <c r="E84" s="15" t="str">
        <f>IFERROR(VLOOKUP(C84,기출문제!D:G,3,0),"")</f>
        <v>112. 제품의 기본가격을 조정하여 세분시장별로 가격을 달리하는 가격결정이 아닌 것은?
① 고객집단 가격결정 
② 묶음제품 가격결정 
③ 제품형태 가격결정
④ 입지 가격결정 
⑤ 시간 가격결정</v>
      </c>
      <c r="F84" s="31">
        <f>IFERROR(VLOOKUP(C84,기출문제!D:G,4,0),"")</f>
        <v>2</v>
      </c>
      <c r="G84" s="32" t="str">
        <f t="shared" si="1"/>
        <v/>
      </c>
    </row>
    <row r="85" spans="2:7" ht="85.5" x14ac:dyDescent="0.3">
      <c r="B85" s="13">
        <v>78</v>
      </c>
      <c r="C85" s="14" t="s">
        <v>916</v>
      </c>
      <c r="D85" s="13"/>
      <c r="E85" s="15" t="str">
        <f>IFERROR(VLOOKUP(C85,기출문제!D:G,3,0),"")</f>
        <v>113. 새로운 마케팅 기회를 확보하기 위해 동일한 유통경로 단계에 있는 둘 이상의 기업이 제휴하는 시스템은?
① 혁신 마케팅시스템 
② 수평적 마케팅시스템
③ 계약형 수직적 마케팅시스템 
④ 관리형 수직적 마케팅시스템
⑤ 기업형 수직적 마케팅시스템</v>
      </c>
      <c r="F85" s="31">
        <f>IFERROR(VLOOKUP(C85,기출문제!D:G,4,0),"")</f>
        <v>2</v>
      </c>
      <c r="G85" s="32" t="str">
        <f t="shared" si="1"/>
        <v/>
      </c>
    </row>
    <row r="86" spans="2:7" ht="142.5" x14ac:dyDescent="0.3">
      <c r="B86" s="13">
        <v>79</v>
      </c>
      <c r="C86" s="14" t="s">
        <v>917</v>
      </c>
      <c r="D86" s="13"/>
      <c r="E86" s="15" t="str">
        <f>IFERROR(VLOOKUP(C86,기출문제!D:G,3,0),"")</f>
        <v>114. 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
① ㄱ, ㄴ 
② ㄱ, ㄷ 
③ ㄱ, ㄹ 
④ ㄴ, ㄷ 
⑤ ㄷ, ㄹ</v>
      </c>
      <c r="F86" s="31">
        <f>IFERROR(VLOOKUP(C86,기출문제!D:G,4,0),"")</f>
        <v>2</v>
      </c>
      <c r="G86" s="32" t="str">
        <f t="shared" si="1"/>
        <v/>
      </c>
    </row>
    <row r="87" spans="2:7" ht="85.5" x14ac:dyDescent="0.3">
      <c r="B87" s="13">
        <v>80</v>
      </c>
      <c r="C87" s="14" t="s">
        <v>918</v>
      </c>
      <c r="D87" s="13"/>
      <c r="E87" s="15" t="str">
        <f>IFERROR(VLOOKUP(C87,기출문제!D:G,3,0),"")</f>
        <v>115. 재무상태표의 자산 항목에 해당하지 않는 것은?
① 미수금 
② 단기대여금 
③ 선급금 
④ 이익준비금 
⑤ 선급비용</v>
      </c>
      <c r="F87" s="31">
        <f>IFERROR(VLOOKUP(C87,기출문제!D:G,4,0),"")</f>
        <v>4</v>
      </c>
      <c r="G87" s="32" t="str">
        <f t="shared" si="1"/>
        <v/>
      </c>
    </row>
    <row r="88" spans="2:7" ht="85.5" x14ac:dyDescent="0.3">
      <c r="B88" s="13">
        <v>81</v>
      </c>
      <c r="C88" s="14" t="s">
        <v>919</v>
      </c>
      <c r="D88" s="13"/>
      <c r="E88" s="15" t="str">
        <f>IFERROR(VLOOKUP(C88,기출문제!D:G,3,0),"")</f>
        <v>116. 투자안의 경제성 평가 방법에 관한 설명으로 옳은 것은?
① 회계적이익률법의 회계적이익률은 연평균 영업이익을 연평균 매출액으로 나누어 산출한다.
② 회수기간법은 회수기간 이후의 현금흐름을 고려한다.
③ 순현재가치법은 재투자수익률을 내부수익률로 가정한다.
④ 내부수익률법에서 개별투자안의 경우 내부수익률이 0보다 크면 경제성이 있다.
⑤ 수익성지수법에서 개별투자안의 경우 수익성 지수가 1보다 크면 경제성이 있다.</v>
      </c>
      <c r="F88" s="31">
        <f>IFERROR(VLOOKUP(C88,기출문제!D:G,4,0),"")</f>
        <v>5</v>
      </c>
      <c r="G88" s="32" t="str">
        <f t="shared" si="1"/>
        <v/>
      </c>
    </row>
    <row r="89" spans="2:7" ht="99.75" x14ac:dyDescent="0.3">
      <c r="B89" s="13">
        <v>82</v>
      </c>
      <c r="C89" s="14" t="s">
        <v>920</v>
      </c>
      <c r="D89" s="13"/>
      <c r="E89" s="15" t="str">
        <f>IFERROR(VLOOKUP(C89,기출문제!D:G,3,0),"")</f>
        <v>117. A주식에 대한 분산은 0.06이고, B주식에 대한 분산은 0.08이다. A주식의 수익률과 B주식의 수익률간의 상관계수가 0인 경우, 총 투자자금 중 A주식과 B주식에 절반씩 투자한 포트폴리오의 분산은?
① 0.025 
② 0.035 
③ 0.045 
④ 0.055 
⑤ 0.065</v>
      </c>
      <c r="F89" s="31">
        <f>IFERROR(VLOOKUP(C89,기출문제!D:G,4,0),"")</f>
        <v>2</v>
      </c>
      <c r="G89" s="32" t="str">
        <f t="shared" si="1"/>
        <v/>
      </c>
    </row>
    <row r="90" spans="2:7" ht="85.5" x14ac:dyDescent="0.3">
      <c r="B90" s="13">
        <v>83</v>
      </c>
      <c r="C90" s="14" t="s">
        <v>921</v>
      </c>
      <c r="D90" s="13"/>
      <c r="E90" s="15" t="str">
        <f>IFERROR(VLOOKUP(C90,기출문제!D:G,3,0),"")</f>
        <v>118. 경제적 주문량(EOQ)에 관한 설명으로 옳지 않은 것은?
① 연간 재고유지비용과 연간 주문비용의 합이 최소화되는 주문량을 결정하는 것이다.
② 연간 재고유지비용과 연간 주문비용이 같아지는 지점에서 결정된다.
③ 연간 주문비용이 감소하면 경제적 주문량이 감소한다.
④ 연간 재고유지비용이 감소하면 경제적 주문량이 감소한다.
⑤ 연간 수요량이 증가하면 경제적 주문량이 증가한다.</v>
      </c>
      <c r="F90" s="31">
        <f>IFERROR(VLOOKUP(C90,기출문제!D:G,4,0),"")</f>
        <v>4</v>
      </c>
      <c r="G90" s="32" t="str">
        <f t="shared" si="1"/>
        <v/>
      </c>
    </row>
    <row r="91" spans="2:7" ht="85.5" x14ac:dyDescent="0.3">
      <c r="B91" s="13">
        <v>84</v>
      </c>
      <c r="C91" s="14" t="s">
        <v>922</v>
      </c>
      <c r="D91" s="13"/>
      <c r="E91" s="15" t="str">
        <f>IFERROR(VLOOKUP(C91,기출문제!D:G,3,0),"")</f>
        <v>119. 생산 프로세스에서 낭비를 제거하여 부가가치를 극대화하기 위한 것은?
① 린(lean) 생산 
② 자재소요계획(MRP)
③ 장인생산(craft production) 
④ 대량고객화(mass customization)
⑤ 오프쇼오링(off - shoring)</v>
      </c>
      <c r="F91" s="31">
        <f>IFERROR(VLOOKUP(C91,기출문제!D:G,4,0),"")</f>
        <v>1</v>
      </c>
      <c r="G91" s="32" t="str">
        <f t="shared" si="1"/>
        <v/>
      </c>
    </row>
    <row r="92" spans="2:7" ht="156.75" x14ac:dyDescent="0.3">
      <c r="B92" s="13">
        <v>85</v>
      </c>
      <c r="C92" s="14" t="s">
        <v>923</v>
      </c>
      <c r="D92" s="13"/>
      <c r="E92" s="15" t="str">
        <f>IFERROR(VLOOKUP(C92,기출문제!D:G,3,0),"")</f>
        <v>120. (주)한국의 4개월간 제품 실제 수요량과 예측치가 다음과 같다고 할 때, 평균절대오차(MAD)는?
월(t) 실제 수요량(  ) 예측치(  )
1월   200개             225개
2월   240개             220개
3월   300개             285개
4월   270개             290개
① 2.5 
② 10 
③ 20 
④ 412.5 
⑤ 1650</v>
      </c>
      <c r="F92" s="31">
        <f>IFERROR(VLOOKUP(C92,기출문제!D:G,4,0),"")</f>
        <v>3</v>
      </c>
      <c r="G92" s="32" t="str">
        <f t="shared" si="1"/>
        <v/>
      </c>
    </row>
    <row r="93" spans="2:7" ht="85.5" x14ac:dyDescent="0.3">
      <c r="B93" s="13">
        <v>86</v>
      </c>
      <c r="C93" s="14" t="s">
        <v>924</v>
      </c>
      <c r="D93" s="13"/>
      <c r="E93" s="15" t="str">
        <f>IFERROR(VLOOKUP(C93,기출문제!D:G,3,0),"")</f>
        <v>121. 서비스 품질평가에 사용되는 SERVQUAL 모형의 서비스 차원이 아닌 것은?
① 유형성(tangibles) 
② 신뢰성(reliability) 
③ 반응성(responsiveness)
④ 공감성(empathy) 
⑤ 소멸성(perishability)</v>
      </c>
      <c r="F93" s="31">
        <f>IFERROR(VLOOKUP(C93,기출문제!D:G,4,0),"")</f>
        <v>5</v>
      </c>
      <c r="G93" s="32" t="str">
        <f t="shared" si="1"/>
        <v/>
      </c>
    </row>
    <row r="94" spans="2:7" ht="142.5" x14ac:dyDescent="0.3">
      <c r="B94" s="13">
        <v>87</v>
      </c>
      <c r="C94" s="14" t="s">
        <v>925</v>
      </c>
      <c r="D94" s="13"/>
      <c r="E94" s="15" t="str">
        <f>IFERROR(VLOOKUP(C94,기출문제!D:G,3,0),"")</f>
        <v>122. 다음의 주어진 자료를 이용하여 산출한 기말자본액은?
&lt;자료&gt;
기초자산 : 380,000원, 기초부채 : 180,000원
당기 중 유상증자 : 80,000원, 당기 중 현금배당 : 40,000원
당기순이익 : 100,000원
① 260,000원 
② 300,000원 
③ 340,000원 
④ 380,000원 
⑤ 420,000원</v>
      </c>
      <c r="F94" s="31">
        <f>IFERROR(VLOOKUP(C94,기출문제!D:G,4,0),"")</f>
        <v>3</v>
      </c>
      <c r="G94" s="32" t="str">
        <f t="shared" si="1"/>
        <v/>
      </c>
    </row>
    <row r="95" spans="2:7" ht="85.5" x14ac:dyDescent="0.3">
      <c r="B95" s="13">
        <v>88</v>
      </c>
      <c r="C95" s="14" t="s">
        <v>926</v>
      </c>
      <c r="D95" s="13"/>
      <c r="E95" s="15" t="str">
        <f>IFERROR(VLOOKUP(C95,기출문제!D:G,3,0),"")</f>
        <v>123. 회계거래 분개에 관한 설명으로 옳은 것은?
① 매입채무의 증가는 차변에 기록한다. 
② 장기대여금의 증가는 대변에 기록한다.
③ 자본금의 감소는 차변에 기록한다. 
④ 임대료 수익의 발생은 차변에 기록한다.
⑤ 급여의 지급은 대변에 기록한다.</v>
      </c>
      <c r="F95" s="31">
        <f>IFERROR(VLOOKUP(C95,기출문제!D:G,4,0),"")</f>
        <v>3</v>
      </c>
      <c r="G95" s="32" t="str">
        <f t="shared" si="1"/>
        <v/>
      </c>
    </row>
    <row r="96" spans="2:7" ht="85.5" x14ac:dyDescent="0.3">
      <c r="B96" s="13">
        <v>89</v>
      </c>
      <c r="C96" s="14" t="s">
        <v>927</v>
      </c>
      <c r="D96" s="13"/>
      <c r="E96" s="15" t="str">
        <f>IFERROR(VLOOKUP(C96,기출문제!D:G,3,0),"")</f>
        <v>124. 컴퓨터, 저장장치, 애플리케이션, 서비스 등과 같은 컴퓨팅 자원의 공유된 풀(pool)을 인터넷으로 접근할 수 있게 해주는 것은?
① 클라이언트/서버 컴퓨팅(client/server computing)
② 엔터프라이즈 컴퓨팅(enterprise computing)
③ 온프레미스 컴퓨팅(on - premise computing)
④ 그린 컴퓨팅(green computing)
⑤ 클라우드 컴퓨팅(cloud computing)</v>
      </c>
      <c r="F96" s="31">
        <f>IFERROR(VLOOKUP(C96,기출문제!D:G,4,0),"")</f>
        <v>5</v>
      </c>
      <c r="G96" s="32" t="str">
        <f t="shared" si="1"/>
        <v/>
      </c>
    </row>
    <row r="97" spans="2:7" ht="85.5" x14ac:dyDescent="0.3">
      <c r="B97" s="13">
        <v>90</v>
      </c>
      <c r="C97" s="14" t="s">
        <v>928</v>
      </c>
      <c r="D97" s="13"/>
      <c r="E97" s="15" t="str">
        <f>IFERROR(VLOOKUP(C97,기출문제!D:G,3,0),"")</f>
        <v>125. 특정기업의 이메일로 위장한 메일을 불특정 다수에게 발송하여 권한 없이 데이터를 획득하는 방식은?
① 파밍(pharming)
② 스니핑(sniffing)
③ 피싱(phishing)
④ 서비스 거부 공격(denial - of - service attack)
⑤ 웜(worm)</v>
      </c>
      <c r="F97" s="31">
        <f>IFERROR(VLOOKUP(C97,기출문제!D:G,4,0),"")</f>
        <v>3</v>
      </c>
      <c r="G97" s="32" t="str">
        <f t="shared" si="1"/>
        <v/>
      </c>
    </row>
    <row r="98" spans="2:7" ht="85.5" x14ac:dyDescent="0.3">
      <c r="B98" s="13">
        <v>91</v>
      </c>
      <c r="C98" s="14" t="s">
        <v>50</v>
      </c>
      <c r="D98" s="13"/>
      <c r="E98" s="15" t="str">
        <f>IFERROR(VLOOKUP(C98,기출문제!D:G,3,0),"")</f>
        <v>101. 페이욜(H. Fayol)의 일반적 관리원칙에 해당하지 않는 것은?
① 지휘의 통일성
② 직무의 분업화
③ 보상의 공정성
④ 조직의 분권화
⑤ 권한과 책임의 일치</v>
      </c>
      <c r="F98" s="31">
        <f>IFERROR(VLOOKUP(C98,기출문제!D:G,4,0),"")</f>
        <v>4</v>
      </c>
      <c r="G98" s="32" t="str">
        <f t="shared" si="1"/>
        <v/>
      </c>
    </row>
    <row r="99" spans="2:7" ht="128.25" x14ac:dyDescent="0.3">
      <c r="B99" s="13">
        <v>92</v>
      </c>
      <c r="C99" s="14" t="s">
        <v>929</v>
      </c>
      <c r="D99" s="13"/>
      <c r="E99" s="15" t="str">
        <f>IFERROR(VLOOKUP(C99,기출문제!D:G,3,0),"")</f>
        <v>102. 다음의 특성에 해당되는 기업집중 형태는?
○ 주식 소유, 금융적 방법 등에 의한 결합
○ 외형상으로 독립성이 유지되지만 실질적으로는 종속관계
○ 모회사와 자회사 형태로 존재
① 카르텔(cartel)
② 콤비나트(combinat)
③ 트러스트(trust)
④ 콘체른(concern)
⑤ 디베스티처(divestiture)</v>
      </c>
      <c r="F99" s="31">
        <f>IFERROR(VLOOKUP(C99,기출문제!D:G,4,0),"")</f>
        <v>4</v>
      </c>
      <c r="G99" s="32" t="str">
        <f t="shared" si="1"/>
        <v/>
      </c>
    </row>
    <row r="100" spans="2:7" ht="85.5" x14ac:dyDescent="0.3">
      <c r="B100" s="13">
        <v>93</v>
      </c>
      <c r="C100" s="14" t="s">
        <v>930</v>
      </c>
      <c r="D100" s="13"/>
      <c r="E100" s="15" t="str">
        <f>IFERROR(VLOOKUP(C100,기출문제!D:G,3,0),"")</f>
        <v>103. 캐롤(B. A. Carrol)의 피라미드 모형에서 제시된 기업의 사회적 책임의 단계로 옳은 것은?
① 경제적 책임 → 법적 책임 → 윤리적 책임 → 자선적 책임
② 경제적 책임 → 윤리적 책임 → 법적 책임 → 자선적 책임
③ 경제적 책임 → 자선적 책임 → 윤리적 책임 → 법적 책임
④ 경제적 책임 → 법적 책임 → 자선적 책임 → 윤리적 책임
⑤ 경제적 책임 → 윤리적 책임 → 자선적 책임 → 법적 책임</v>
      </c>
      <c r="F100" s="31">
        <f>IFERROR(VLOOKUP(C100,기출문제!D:G,4,0),"")</f>
        <v>1</v>
      </c>
      <c r="G100" s="32" t="str">
        <f t="shared" si="1"/>
        <v/>
      </c>
    </row>
    <row r="101" spans="2:7" ht="85.5" x14ac:dyDescent="0.3">
      <c r="B101" s="13">
        <v>94</v>
      </c>
      <c r="C101" s="14" t="s">
        <v>931</v>
      </c>
      <c r="D101" s="13"/>
      <c r="E101" s="15" t="str">
        <f>IFERROR(VLOOKUP(C101,기출문제!D:G,3,0),"")</f>
        <v>104. GE/ 맥킨지 매트릭스(GE/McKinsey matrix)에서 전략적 사업부를 분류하기 위한 두 기준은? 
① 산업매력도 - 사업단위 위치(경쟁력)
② 시장성장률 - 시장점유율
③ 산업매력도 - 시장성장률
④ 사업단위 위치(경쟁력) - 시장점유율
⑤ 시장점유율 - 가격경쟁력</v>
      </c>
      <c r="F101" s="31">
        <f>IFERROR(VLOOKUP(C101,기출문제!D:G,4,0),"")</f>
        <v>1</v>
      </c>
      <c r="G101" s="32" t="str">
        <f t="shared" si="1"/>
        <v/>
      </c>
    </row>
    <row r="102" spans="2:7" ht="85.5" x14ac:dyDescent="0.3">
      <c r="B102" s="13">
        <v>95</v>
      </c>
      <c r="C102" s="14" t="s">
        <v>932</v>
      </c>
      <c r="D102" s="13"/>
      <c r="E102" s="15" t="str">
        <f>IFERROR(VLOOKUP(C102,기출문제!D:G,3,0),"")</f>
        <v>105. 허츠버그(F. Herzberg)의 2요인이론에서 위생요인에 해당하는 것은? 
① 성취감
② 도전감
③ 임금
④ 성장가능성
⑤ 직무내용</v>
      </c>
      <c r="F102" s="31">
        <f>IFERROR(VLOOKUP(C102,기출문제!D:G,4,0),"")</f>
        <v>3</v>
      </c>
      <c r="G102" s="32" t="str">
        <f t="shared" si="1"/>
        <v/>
      </c>
    </row>
    <row r="103" spans="2:7" ht="85.5" x14ac:dyDescent="0.3">
      <c r="B103" s="13">
        <v>96</v>
      </c>
      <c r="C103" s="14" t="s">
        <v>933</v>
      </c>
      <c r="D103" s="13"/>
      <c r="E103" s="15" t="str">
        <f>IFERROR(VLOOKUP(C103,기출문제!D:G,3,0),"")</f>
        <v>106. 전통적 직무설계와 관련 없는 것은?
① 분업
② 과학적 관리
③ 전문화
④ 표준화
⑤ 직무순환</v>
      </c>
      <c r="F103" s="31">
        <f>IFERROR(VLOOKUP(C103,기출문제!D:G,4,0),"")</f>
        <v>5</v>
      </c>
      <c r="G103" s="32" t="str">
        <f t="shared" si="1"/>
        <v/>
      </c>
    </row>
    <row r="104" spans="2:7" ht="85.5" x14ac:dyDescent="0.3">
      <c r="B104" s="13">
        <v>97</v>
      </c>
      <c r="C104" s="14" t="s">
        <v>934</v>
      </c>
      <c r="D104" s="13"/>
      <c r="E104" s="15" t="str">
        <f>IFERROR(VLOOKUP(C104,기출문제!D:G,3,0),"")</f>
        <v>107. 인사평가의 분배적 오류에 해당하는 것은?
① 후광효과
② 상동적 태도
③ 관대화 경향
④ 대비오류
⑤ 확증편향</v>
      </c>
      <c r="F104" s="31">
        <f>IFERROR(VLOOKUP(C104,기출문제!D:G,4,0),"")</f>
        <v>3</v>
      </c>
      <c r="G104" s="32" t="str">
        <f t="shared" si="1"/>
        <v/>
      </c>
    </row>
    <row r="105" spans="2:7" ht="99.75" x14ac:dyDescent="0.3">
      <c r="B105" s="13">
        <v>98</v>
      </c>
      <c r="C105" s="14" t="s">
        <v>935</v>
      </c>
      <c r="D105" s="13"/>
      <c r="E105" s="15" t="str">
        <f>IFERROR(VLOOKUP(C105,기출문제!D:G,3,0),"")</f>
        <v>108. 교육참가자들이 소규모 집단을 구성하여 팀워크로 경영상의 실제 문제를 해결하도록 하여 문제해결과정에 대한 성찰을 통해 학습하게 하는 교육방식은?
① Team Learning
② Organizational Learning
③ Problem Based Learning
④ Blended Learning
⑤ Action Learning</v>
      </c>
      <c r="F105" s="31">
        <f>IFERROR(VLOOKUP(C105,기출문제!D:G,4,0),"")</f>
        <v>5</v>
      </c>
      <c r="G105" s="32" t="str">
        <f t="shared" si="1"/>
        <v/>
      </c>
    </row>
    <row r="106" spans="2:7" ht="85.5" x14ac:dyDescent="0.3">
      <c r="B106" s="13">
        <v>99</v>
      </c>
      <c r="C106" s="14" t="s">
        <v>936</v>
      </c>
      <c r="D106" s="13"/>
      <c r="E106" s="15" t="str">
        <f>IFERROR(VLOOKUP(C106,기출문제!D:G,3,0),"")</f>
        <v>109. 마키아벨리즘(Machiavellism)에 관한 설명으로 옳지 않은 것은?
① 마키아벨리즘은 자신의 이익을 위해 타인을 이용하고 조작하려는 성향이다.
② 마키아벨리즘이 높은 사람은 감정적 거리를 잘 유지한다.
③ 마키아벨리즘이 높은 사람은 남을 잘 설득하며 자신도 잘 설득된다.
④ 마키아벨리즘이 높은 사람은 최소한의 규정과 재량권이 있을 때 높은 성과를 보이는 경향이 있다.
⑤ 마키아벨리즘이 높은 사람은 목적이 수단을 정당화시킬 수 있다고 믿는 경향이 있다.</v>
      </c>
      <c r="F106" s="31">
        <f>IFERROR(VLOOKUP(C106,기출문제!D:G,4,0),"")</f>
        <v>3</v>
      </c>
      <c r="G106" s="32" t="str">
        <f t="shared" si="1"/>
        <v/>
      </c>
    </row>
    <row r="107" spans="2:7" ht="156.75" x14ac:dyDescent="0.3">
      <c r="B107" s="13">
        <v>100</v>
      </c>
      <c r="C107" s="14" t="s">
        <v>937</v>
      </c>
      <c r="D107" s="13"/>
      <c r="E107" s="15" t="str">
        <f>IFERROR(VLOOKUP(C107,기출문제!D:G,3,0),"")</f>
        <v>110. 조직으로부터 나오는 권력을 모두 고른 것은?
ㄱ. 보상적 권력
ㄴ. 전문적 권력
ㄷ. 합법적 권력
ㄹ. 준거적 권력
ㅁ. 강제적 권력
① ㄱ, ㄴ, ㄷ
② ㄱ, ㄴ, ㄹ
③ ㄱ, ㄷ, ㅁ
④ ㄴ, ㄹ, ㅁ
⑤ ㄷ, ㄹ, ㅁ</v>
      </c>
      <c r="F107" s="31">
        <f>IFERROR(VLOOKUP(C107,기출문제!D:G,4,0),"")</f>
        <v>3</v>
      </c>
      <c r="G107" s="32" t="str">
        <f t="shared" si="1"/>
        <v/>
      </c>
    </row>
    <row r="108" spans="2:7" ht="85.5" x14ac:dyDescent="0.3">
      <c r="B108" s="13">
        <v>101</v>
      </c>
      <c r="C108" s="14" t="s">
        <v>938</v>
      </c>
      <c r="D108" s="13"/>
      <c r="E108" s="15" t="str">
        <f>IFERROR(VLOOKUP(C108,기출문제!D:G,3,0),"")</f>
        <v>111. 직무특성모형(Job Characteristics Model)의 핵심직무차원에 포함되지 않는 것은?
① 성장욕구 강도(Growth Need Strength)
② 과업정체성(Task Identity)
③ 과업중요성(Task Significance)
④ 자율성(Autonomy)
⑤ 피드백(Feedback)</v>
      </c>
      <c r="F108" s="31">
        <f>IFERROR(VLOOKUP(C108,기출문제!D:G,4,0),"")</f>
        <v>1</v>
      </c>
      <c r="G108" s="32" t="str">
        <f t="shared" si="1"/>
        <v/>
      </c>
    </row>
    <row r="109" spans="2:7" ht="128.25" x14ac:dyDescent="0.3">
      <c r="B109" s="13">
        <v>102</v>
      </c>
      <c r="C109" s="14" t="s">
        <v>939</v>
      </c>
      <c r="D109" s="13"/>
      <c r="E109" s="15" t="str">
        <f>IFERROR(VLOOKUP(C109,기출문제!D:G,3,0),"")</f>
        <v>112. 다음 설명에 해당하는 의사결정기법은?
○ 자유롭게 아이디어를 제시할 수 있다.
○ 타인이 제시한 아이디어에 대해 비판은 금지된다.
○ 아이디어의 질보다 양을 강조한다.
① 브레인스토밍(Brainstorming)
② 명목집단법(Nominal Group Technique)
③ 델파이법(Delphi Technique)
④ 지명반론자법(Devil's Advocacy)
⑤ 프리모텀법(Premortem)</v>
      </c>
      <c r="F109" s="31">
        <f>IFERROR(VLOOKUP(C109,기출문제!D:G,4,0),"")</f>
        <v>1</v>
      </c>
      <c r="G109" s="32" t="str">
        <f t="shared" si="1"/>
        <v/>
      </c>
    </row>
    <row r="110" spans="2:7" ht="85.5" x14ac:dyDescent="0.3">
      <c r="B110" s="13">
        <v>103</v>
      </c>
      <c r="C110" s="14" t="s">
        <v>940</v>
      </c>
      <c r="D110" s="13"/>
      <c r="E110" s="15" t="str">
        <f>IFERROR(VLOOKUP(C110,기출문제!D:G,3,0),"")</f>
        <v>113. 선매품(Shopping Goods)에 관한 설명으로 옳은 것은? 
① 소비자가 필요하다고 느낄 때 수시로 구매하는 경향을 보인다.
② 소비자는 가격, 품질, 스타일 등 다양한 정보를 수집하여 신중하게 비교하는 경향을 보인다.
③ 소비자는 잘 알지 못하거나 알고 있어도 능동적으로 구매하려 하지 않는다.
④ 일상생활에서 빈번히 구매하는 저관여 제품들이 많다.
⑤ 독특한 특징을 지니거나 브랜드 차별성을 지니는 제품들이 많다.</v>
      </c>
      <c r="F110" s="31">
        <f>IFERROR(VLOOKUP(C110,기출문제!D:G,4,0),"")</f>
        <v>2</v>
      </c>
      <c r="G110" s="32" t="str">
        <f t="shared" si="1"/>
        <v/>
      </c>
    </row>
    <row r="111" spans="2:7" ht="142.5" x14ac:dyDescent="0.3">
      <c r="B111" s="13">
        <v>104</v>
      </c>
      <c r="C111" s="14" t="s">
        <v>941</v>
      </c>
      <c r="D111" s="13"/>
      <c r="E111" s="15" t="str">
        <f>IFERROR(VLOOKUP(C111,기출문제!D:G,3,0),"")</f>
        <v>114. 브랜드(Brand) 요소를 모두 고른 것은?
ㄱ. 징글(Jingle)
ㄴ. 케릭터(Character)
ㄷ. 슬로건(Slogan)
ㄹ. 심볼(Symbol)
① ㄱ, ㄴ
② ㄷ, ㄹ
③ ㄱ, ㄴ, ㄷ
④ ㄴ, ㄷ, ㄹ
⑤ ㄱ, ㄴ, ㄷ, ㄹ</v>
      </c>
      <c r="F111" s="31">
        <f>IFERROR(VLOOKUP(C111,기출문제!D:G,4,0),"")</f>
        <v>5</v>
      </c>
      <c r="G111" s="32" t="str">
        <f t="shared" si="1"/>
        <v/>
      </c>
    </row>
    <row r="112" spans="2:7" ht="85.5" x14ac:dyDescent="0.3">
      <c r="B112" s="13">
        <v>105</v>
      </c>
      <c r="C112" s="14" t="s">
        <v>942</v>
      </c>
      <c r="D112" s="13"/>
      <c r="E112" s="15" t="str">
        <f>IFERROR(VLOOKUP(C112,기출문제!D:G,3,0),"")</f>
        <v>115. 서비스의 특성으로 옳지 않은 것은? 
① 무형성
② 비분리성
③ 반응성
④ 소멸성
⑤ 변동성(이질성)</v>
      </c>
      <c r="F112" s="31">
        <f>IFERROR(VLOOKUP(C112,기출문제!D:G,4,0),"")</f>
        <v>3</v>
      </c>
      <c r="G112" s="32" t="str">
        <f t="shared" si="1"/>
        <v/>
      </c>
    </row>
    <row r="113" spans="2:7" ht="156.75" x14ac:dyDescent="0.3">
      <c r="B113" s="13">
        <v>106</v>
      </c>
      <c r="C113" s="14" t="s">
        <v>943</v>
      </c>
      <c r="D113" s="13"/>
      <c r="E113" s="15" t="str">
        <f>IFERROR(VLOOKUP(C113,기출문제!D:G,3,0),"")</f>
        <v>116. 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
① A, B, C
② A, C, B
③ B, A, C
④ C, A, B
⑤ C, B, A</v>
      </c>
      <c r="F113" s="31">
        <f>IFERROR(VLOOKUP(C113,기출문제!D:G,4,0),"")</f>
        <v>2</v>
      </c>
      <c r="G113" s="32" t="str">
        <f t="shared" si="1"/>
        <v/>
      </c>
    </row>
    <row r="114" spans="2:7" ht="85.5" x14ac:dyDescent="0.3">
      <c r="B114" s="13">
        <v>107</v>
      </c>
      <c r="C114" s="14" t="s">
        <v>944</v>
      </c>
      <c r="D114" s="13"/>
      <c r="E114" s="15" t="str">
        <f>IFERROR(VLOOKUP(C114,기출문제!D:G,3,0),"")</f>
        <v>117. 증권시장선(SML)과 자본시장선(CML)에 관한 설명으로 옳지 않은 것은?
① 증권시장선의 기울기는 표준편차로 측정된 위험 1단위에 대한 균형가격을 의미한다.
② 증권시장선 아래에 위치한 자산은 과대평가된 자산이다.
③ 자본시장선은 효율적 자산의 기대수익률과 표준편차의 선형관계를 나타낸다.
④ 자본시장선에 위치한 위험자산은 무위험자산과 시장포트폴리오의 결합으로 구성된 자산이다.
⑤ 자본시장선에 위치한 위험자산과 시장포트폴리오의 상관계수는 1이다.</v>
      </c>
      <c r="F114" s="31">
        <f>IFERROR(VLOOKUP(C114,기출문제!D:G,4,0),"")</f>
        <v>1</v>
      </c>
      <c r="G114" s="32" t="str">
        <f t="shared" si="1"/>
        <v/>
      </c>
    </row>
    <row r="115" spans="2:7" ht="99.75" x14ac:dyDescent="0.3">
      <c r="B115" s="13">
        <v>108</v>
      </c>
      <c r="C115" s="14" t="s">
        <v>945</v>
      </c>
      <c r="D115" s="13"/>
      <c r="E115" s="15" t="str">
        <f>IFERROR(VLOOKUP(C115,기출문제!D:G,3,0),"")</f>
        <v>118. 올해 말(t=1)에 예상되는 A사 보통주의 주당 배당금은 1,000원이며, 이후 배당금은 매년 10%씩 영구히 증가할 것으로 기대된다. 현재(t=0) A사 보통주의 주가(내재가치)가 10,000원이라고 할 경우 이 주식의 자본비용은?
① 10%
② 15%
③ 20%
④ 25%
⑤ 30%</v>
      </c>
      <c r="F115" s="31">
        <f>IFERROR(VLOOKUP(C115,기출문제!D:G,4,0),"")</f>
        <v>3</v>
      </c>
      <c r="G115" s="32" t="str">
        <f t="shared" si="1"/>
        <v/>
      </c>
    </row>
    <row r="116" spans="2:7" ht="99.75" x14ac:dyDescent="0.3">
      <c r="B116" s="13">
        <v>109</v>
      </c>
      <c r="C116" s="14" t="s">
        <v>946</v>
      </c>
      <c r="D116" s="13"/>
      <c r="E116" s="15" t="str">
        <f>IFERROR(VLOOKUP(C116,기출문제!D:G,3,0),"")</f>
        <v>119. 주식 A와 B의 기대수익률은 각각 10%, 20%이다, 총 투자자금 중 40%를 주식 A에, 60%를 주식 B에 투자하여 구성한 포트폴리오 P의 기대수익률은?
① 15%
② 16%
③ 17%
④ 18%
⑤ 19%</v>
      </c>
      <c r="F116" s="31">
        <f>IFERROR(VLOOKUP(C116,기출문제!D:G,4,0),"")</f>
        <v>2</v>
      </c>
      <c r="G116" s="32" t="str">
        <f t="shared" si="1"/>
        <v/>
      </c>
    </row>
    <row r="117" spans="2:7" ht="85.5" x14ac:dyDescent="0.3">
      <c r="B117" s="13">
        <v>110</v>
      </c>
      <c r="C117" s="14" t="s">
        <v>947</v>
      </c>
      <c r="D117" s="13"/>
      <c r="E117" s="15" t="str">
        <f>IFERROR(VLOOKUP(C117,기출문제!D:G,3,0),"")</f>
        <v>120. 식스시그마의 성공적 수행을 위한 5단계 활동으로 옳은 순서는?
① 계획 → 분석 → 측정 → 개선 → 평가
② 계획 → 분석 → 측정 → 평가 → 개선
③ 계획 → 측정 → 평가 → 통제 → 개선
④ 정의 → 측정 → 분석 → 개선 → 통제
⑤ 정의 → 측정 → 평가 → 통제 → 개선</v>
      </c>
      <c r="F117" s="31">
        <f>IFERROR(VLOOKUP(C117,기출문제!D:G,4,0),"")</f>
        <v>4</v>
      </c>
      <c r="G117" s="32" t="str">
        <f t="shared" si="1"/>
        <v/>
      </c>
    </row>
    <row r="118" spans="2:7" ht="99.75" x14ac:dyDescent="0.3">
      <c r="B118" s="13">
        <v>111</v>
      </c>
      <c r="C118" s="14" t="s">
        <v>948</v>
      </c>
      <c r="D118" s="13"/>
      <c r="E118" s="15" t="str">
        <f>IFERROR(VLOOKUP(C118,기출문제!D:G,3,0),"")</f>
        <v>121. 공급자에서 기업 내 변환과정과 유통망을 거쳐 최종 고객에 이르기까지 자재, 제품, 서비스 및 정보의 흐름을 전체 시스템 관점에서 설계하고 관리하는 것은?
① EOQ
② MRP
③ TQM
④ SCM
⑤ FMS</v>
      </c>
      <c r="F118" s="31">
        <f>IFERROR(VLOOKUP(C118,기출문제!D:G,4,0),"")</f>
        <v>4</v>
      </c>
      <c r="G118" s="32" t="str">
        <f t="shared" si="1"/>
        <v/>
      </c>
    </row>
    <row r="119" spans="2:7" ht="85.5" x14ac:dyDescent="0.3">
      <c r="B119" s="13">
        <v>112</v>
      </c>
      <c r="C119" s="14" t="s">
        <v>949</v>
      </c>
      <c r="D119" s="13"/>
      <c r="E119" s="15" t="str">
        <f>IFERROR(VLOOKUP(C119,기출문제!D:G,3,0),"")</f>
        <v>122. 공장을 신축하고자 1억원의 토지를 현금으로 취득한 거래가 재무제표 요소에 미치는 영향은?
① 자본의 감소, 자산의 감소
② 자산의 증가, 자산의 감소
③ 자산의 증가, 자본의 증가
④ 자산의 증가, 부채의 증가
⑤ 비용의 증가, 자산의 감소</v>
      </c>
      <c r="F119" s="31">
        <f>IFERROR(VLOOKUP(C119,기출문제!D:G,4,0),"")</f>
        <v>2</v>
      </c>
      <c r="G119" s="32" t="str">
        <f t="shared" si="1"/>
        <v/>
      </c>
    </row>
    <row r="120" spans="2:7" ht="142.5" x14ac:dyDescent="0.3">
      <c r="B120" s="13">
        <v>113</v>
      </c>
      <c r="C120" s="14" t="s">
        <v>950</v>
      </c>
      <c r="D120" s="13"/>
      <c r="E120" s="15" t="str">
        <f>IFERROR(VLOOKUP(C120,기출문제!D:G,3,0),"")</f>
        <v>123. 유형자산에 해당하는 항목을 모두 고른 것은?
ㄱ. 특허권
ㄴ. 건물
ㄷ. 비품
ㄹ. 라이선스
① ㄱ, ㄴ
② ㄴ, ㄷ
③ ㄱ, ㄴ, ㄷ
④ ㄴ, ㄷ, ㄹ
⑤ ㄱ, ㄴ, ㄷ, ㄹ</v>
      </c>
      <c r="F120" s="31">
        <f>IFERROR(VLOOKUP(C120,기출문제!D:G,4,0),"")</f>
        <v>2</v>
      </c>
      <c r="G120" s="32" t="str">
        <f t="shared" si="1"/>
        <v/>
      </c>
    </row>
    <row r="121" spans="2:7" ht="85.5" x14ac:dyDescent="0.3">
      <c r="B121" s="13">
        <v>114</v>
      </c>
      <c r="C121" s="14" t="s">
        <v>951</v>
      </c>
      <c r="D121" s="13"/>
      <c r="E121" s="15" t="str">
        <f>IFERROR(VLOOKUP(C121,기출문제!D:G,3,0),"")</f>
        <v>124. 재무상태표의 부채에 해당하지 않는 것은?
① 매입채무
② 선급비용
③ 선수금
④ 사채
⑤ 예수금</v>
      </c>
      <c r="F121" s="31">
        <f>IFERROR(VLOOKUP(C121,기출문제!D:G,4,0),"")</f>
        <v>2</v>
      </c>
      <c r="G121" s="32" t="str">
        <f t="shared" si="1"/>
        <v/>
      </c>
    </row>
    <row r="122" spans="2:7" ht="85.5" x14ac:dyDescent="0.3">
      <c r="B122" s="13">
        <v>115</v>
      </c>
      <c r="C122" s="14" t="s">
        <v>952</v>
      </c>
      <c r="D122" s="13"/>
      <c r="E122" s="15" t="str">
        <f>IFERROR(VLOOKUP(C122,기출문제!D:G,3,0),"")</f>
        <v>125. 급여계산, 고객주문처리, 재고관리 등 일상적이고 반복적인 과업을 주로 수행하는 정보시스템은?
① EIS
② DSS
③ ES
④ SIS
⑤ TPS</v>
      </c>
      <c r="F122" s="31">
        <f>IFERROR(VLOOKUP(C122,기출문제!D:G,4,0),"")</f>
        <v>5</v>
      </c>
      <c r="G122" s="32" t="str">
        <f t="shared" si="1"/>
        <v/>
      </c>
    </row>
    <row r="123" spans="2:7" ht="156.75" x14ac:dyDescent="0.3">
      <c r="B123" s="13">
        <v>116</v>
      </c>
      <c r="C123" s="14" t="s">
        <v>96</v>
      </c>
      <c r="D123" s="13"/>
      <c r="E123" s="15" t="str">
        <f>IFERROR(VLOOKUP(C123,기출문제!D:G,3,0),"")</f>
        <v>101. 페로우(C. Perrow)가 제시한 기술 분류 기준으로 옳은 것을 모두 고른 것은?
ㄱ. 기술복잡성
ㄴ. 과업다양성
ㄷ. 상호의존성
ㄹ. 과업정체성
ㅁ. 문제분석 가능성
① ㄱ, ㄴ
② ㄴ, ㄹ
③ ㄴ, ㅁ
④ ㄷ, ㅁ
⑤ ㄱ, ㄷ, ㄹ</v>
      </c>
      <c r="F123" s="31">
        <f>IFERROR(VLOOKUP(C123,기출문제!D:G,4,0),"")</f>
        <v>3</v>
      </c>
      <c r="G123" s="32" t="str">
        <f t="shared" si="1"/>
        <v/>
      </c>
    </row>
    <row r="124" spans="2:7" ht="85.5" x14ac:dyDescent="0.3">
      <c r="B124" s="13">
        <v>117</v>
      </c>
      <c r="C124" s="14" t="s">
        <v>953</v>
      </c>
      <c r="D124" s="13"/>
      <c r="E124" s="15" t="str">
        <f>IFERROR(VLOOKUP(C124,기출문제!D:G,3,0),"")</f>
        <v>102. (주)한국은 정부의 대규모 사업에 참여하면서 다수 기업과 공동출자를 하고자 한다. 이 전략 유형에 해당하는 것은?
① 우회전략(Turnaround Strategy)
② 집중전략(Concentration Strategy)
③ 프랜차이징(Franchsing)
④ 컨소시엄(Consortium)
⑤ 포획전략(Captive Strategy)</v>
      </c>
      <c r="F124" s="31">
        <f>IFERROR(VLOOKUP(C124,기출문제!D:G,4,0),"")</f>
        <v>4</v>
      </c>
      <c r="G124" s="32" t="str">
        <f t="shared" si="1"/>
        <v/>
      </c>
    </row>
    <row r="125" spans="2:7" ht="85.5" x14ac:dyDescent="0.3">
      <c r="B125" s="13">
        <v>118</v>
      </c>
      <c r="C125" s="14" t="s">
        <v>954</v>
      </c>
      <c r="D125" s="13"/>
      <c r="E125" s="15" t="str">
        <f>IFERROR(VLOOKUP(C125,기출문제!D:G,3,0),"")</f>
        <v>103. 매트릭스 조직의 장점에 해당하지 않는 것은?
① 구성원들 간 갈등해결 용이
② 환경 불확실성에 신속한 대응
③ 인적자원의 유연한 활용
④ 제품 다양성 확보
⑤ 구성원들의 역량향상 기회 제공</v>
      </c>
      <c r="F125" s="31">
        <f>IFERROR(VLOOKUP(C125,기출문제!D:G,4,0),"")</f>
        <v>1</v>
      </c>
      <c r="G125" s="32" t="str">
        <f t="shared" si="1"/>
        <v/>
      </c>
    </row>
    <row r="126" spans="2:7" ht="85.5" x14ac:dyDescent="0.3">
      <c r="B126" s="13">
        <v>119</v>
      </c>
      <c r="C126" s="14" t="s">
        <v>955</v>
      </c>
      <c r="D126" s="13"/>
      <c r="E126" s="15" t="str">
        <f>IFERROR(VLOOKUP(C126,기출문제!D:G,3,0),"")</f>
        <v>104. 사용자가 노동조합의 정당한 활동을 방해하는 것은?
① 태업
② 단체교섭
③ 부당노동행위
④ 노동쟁의
⑤ 준법투쟁</v>
      </c>
      <c r="F126" s="31">
        <f>IFERROR(VLOOKUP(C126,기출문제!D:G,4,0),"")</f>
        <v>3</v>
      </c>
      <c r="G126" s="32" t="str">
        <f t="shared" si="1"/>
        <v/>
      </c>
    </row>
    <row r="127" spans="2:7" ht="85.5" x14ac:dyDescent="0.3">
      <c r="B127" s="13">
        <v>120</v>
      </c>
      <c r="C127" s="14" t="s">
        <v>956</v>
      </c>
      <c r="D127" s="13"/>
      <c r="E127" s="15" t="str">
        <f>IFERROR(VLOOKUP(C127,기출문제!D:G,3,0),"")</f>
        <v>105. 하우스(R. House)가 제시한 경로-목표이론의 리더십 유형에 해당하지 않는 것은?
① 권한위임적 리더십
② 지시적 리더십
③ 지원적 리더십
④ 성취지향적 리더십
⑤ 참가적 리더십</v>
      </c>
      <c r="F127" s="31">
        <f>IFERROR(VLOOKUP(C127,기출문제!D:G,4,0),"")</f>
        <v>1</v>
      </c>
      <c r="G127" s="32" t="str">
        <f t="shared" si="1"/>
        <v/>
      </c>
    </row>
    <row r="128" spans="2:7" ht="85.5" x14ac:dyDescent="0.3">
      <c r="B128" s="13">
        <v>121</v>
      </c>
      <c r="C128" s="14" t="s">
        <v>957</v>
      </c>
      <c r="D128" s="13"/>
      <c r="E128" s="15" t="str">
        <f>IFERROR(VLOOKUP(C128,기출문제!D:G,3,0),"")</f>
        <v>106. 구성원들 간 의사소통이 강력한 특정 리더에게 집중되는 유형은?
① 원형
② Y자형
③ 수레바퀴형
④ 사슬형
⑤ 전체연결형</v>
      </c>
      <c r="F128" s="31">
        <f>IFERROR(VLOOKUP(C128,기출문제!D:G,4,0),"")</f>
        <v>3</v>
      </c>
      <c r="G128" s="32" t="str">
        <f t="shared" si="1"/>
        <v/>
      </c>
    </row>
    <row r="129" spans="2:7" ht="85.5" x14ac:dyDescent="0.3">
      <c r="B129" s="13">
        <v>122</v>
      </c>
      <c r="C129" s="14" t="s">
        <v>958</v>
      </c>
      <c r="D129" s="13"/>
      <c r="E129" s="15" t="str">
        <f>IFERROR(VLOOKUP(C129,기출문제!D:G,3,0),"")</f>
        <v>107. 기업의 사회적 책임 중에서 제1의 책임에 해당하는 것은?
① 법적 책임
② 경제적 책임
③ 윤리적 책임
④ 자선적 책임
⑤ 환경적 책임</v>
      </c>
      <c r="F129" s="31">
        <f>IFERROR(VLOOKUP(C129,기출문제!D:G,4,0),"")</f>
        <v>2</v>
      </c>
      <c r="G129" s="32" t="str">
        <f t="shared" si="1"/>
        <v/>
      </c>
    </row>
    <row r="130" spans="2:7" ht="85.5" x14ac:dyDescent="0.3">
      <c r="B130" s="13">
        <v>123</v>
      </c>
      <c r="C130" s="14" t="s">
        <v>959</v>
      </c>
      <c r="D130" s="13"/>
      <c r="E130" s="15" t="str">
        <f>IFERROR(VLOOKUP(C130,기출문제!D:G,3,0),"")</f>
        <v>108. 파스칼(R. Pascale)과 피터스(T. Peters)의 조직문화 7S 중 다른 요소들을 연결시켜 주는 핵심적인 요소는?
① 전략(Strategy)
② 관리기술(Skill)
③ 공유가치(Shared Value)
④ 관리시스템(System)
⑤ 구성원(Staff)</v>
      </c>
      <c r="F130" s="31">
        <f>IFERROR(VLOOKUP(C130,기출문제!D:G,4,0),"")</f>
        <v>3</v>
      </c>
      <c r="G130" s="32" t="str">
        <f t="shared" si="1"/>
        <v/>
      </c>
    </row>
    <row r="131" spans="2:7" ht="85.5" x14ac:dyDescent="0.3">
      <c r="B131" s="13">
        <v>124</v>
      </c>
      <c r="C131" s="14" t="s">
        <v>960</v>
      </c>
      <c r="D131" s="13"/>
      <c r="E131" s="15" t="str">
        <f>IFERROR(VLOOKUP(C131,기출문제!D:G,3,0),"")</f>
        <v>109. 브룸(V. Vroom)이 제시한 기대이론의 작동순서로 올바른 것은?
① 기대감 → 수단성 → 유의성
② 기대감 → 유의성 → 수단성
③ 수단성 → 유의성 → 기대감
④ 유의성 → 수단성 → 기대감
⑤ 유의성 → 기대감 → 수단성</v>
      </c>
      <c r="F131" s="31">
        <f>IFERROR(VLOOKUP(C131,기출문제!D:G,4,0),"")</f>
        <v>1</v>
      </c>
      <c r="G131" s="32" t="str">
        <f t="shared" si="1"/>
        <v/>
      </c>
    </row>
    <row r="132" spans="2:7" ht="85.5" x14ac:dyDescent="0.3">
      <c r="B132" s="13">
        <v>125</v>
      </c>
      <c r="C132" s="14" t="s">
        <v>961</v>
      </c>
      <c r="D132" s="13"/>
      <c r="E132" s="15" t="str">
        <f>IFERROR(VLOOKUP(C132,기출문제!D:G,3,0),"")</f>
        <v>110. MBO에서 목표설정 시 SMART 원칙으로 옳지 않은 것은?
① 구체적(Specific)이어야 한다.
② 측정가능(Measurable)하여야 한다.
③ 조직목표와의 일치성(Aligned with Organizational Goals)이 있어야 한다.
④ 현실적이며 결과지향적(Realistic and Result-Oriented)이어야 한다.
⑤ 훈련가능(Trainable)하여야 한다.</v>
      </c>
      <c r="F132" s="31">
        <f>IFERROR(VLOOKUP(C132,기출문제!D:G,4,0),"")</f>
        <v>5</v>
      </c>
      <c r="G132" s="32" t="str">
        <f t="shared" si="1"/>
        <v/>
      </c>
    </row>
    <row r="133" spans="2:7" ht="85.5" x14ac:dyDescent="0.3">
      <c r="B133" s="13">
        <v>126</v>
      </c>
      <c r="C133" s="14" t="s">
        <v>962</v>
      </c>
      <c r="D133" s="13"/>
      <c r="E133" s="15" t="str">
        <f>IFERROR(VLOOKUP(C133,기출문제!D:G,3,0),"")</f>
        <v>111. (주)한국은 10,000원에 상당하는 두루마리 화장지 가격을 9,990원으로 책정하였다. 이러한 가격결정 방법은?
① 단수가격
② 명성가격
③ 총화가격
④ 촉진가격
⑤ 관습가격</v>
      </c>
      <c r="F133" s="31">
        <f>IFERROR(VLOOKUP(C133,기출문제!D:G,4,0),"")</f>
        <v>1</v>
      </c>
      <c r="G133" s="32" t="str">
        <f t="shared" si="1"/>
        <v/>
      </c>
    </row>
    <row r="134" spans="2:7" ht="85.5" x14ac:dyDescent="0.3">
      <c r="B134" s="13">
        <v>127</v>
      </c>
      <c r="C134" s="14" t="s">
        <v>963</v>
      </c>
      <c r="D134" s="13"/>
      <c r="E134" s="15" t="str">
        <f>IFERROR(VLOOKUP(C134,기출문제!D:G,3,0),"")</f>
        <v>112. 마약퇴치 운동과 같이 불건전한 수요를 파괴시키는 데 활용되는 마케팅은?
① 동시화 마케팅(Synchro Marketing)
② 재마케팅(Remarketing)
③ 디마케팅(Demarketing)
④ 대항 마케팅(Counter Marketing)
⑤ 터보 마케팅(Turbo Marketing)</v>
      </c>
      <c r="F134" s="31">
        <f>IFERROR(VLOOKUP(C134,기출문제!D:G,4,0),"")</f>
        <v>4</v>
      </c>
      <c r="G134" s="32" t="str">
        <f t="shared" si="1"/>
        <v/>
      </c>
    </row>
    <row r="135" spans="2:7" ht="85.5" x14ac:dyDescent="0.3">
      <c r="B135" s="13">
        <v>128</v>
      </c>
      <c r="C135" s="14" t="s">
        <v>964</v>
      </c>
      <c r="D135" s="13"/>
      <c r="E135" s="15" t="str">
        <f>IFERROR(VLOOKUP(C135,기출문제!D:G,3,0),"")</f>
        <v>113. 마케팅 전략에 관한 설명으로 옳은 것은?
① 마케팅 비용을 절감하기 위해 차별화 마케팅 전략을 도입한다.
② 제품전문화 전략은 표적시장 선정전략의 일종이다.
③ 포지셔닝은 전체 시장을 목표로 하는 마케팅전략이다.
④ 제품의 확장속성이란 판매자가 제공하거나 구매자가 추구하는 본질적 편익을 말한다.
⑤ 시장세분화 전제조건으로서의 실질성이란 세분시장의 구매력 등이 측정가능해야 함을 의미한다.</v>
      </c>
      <c r="F135" s="31">
        <f>IFERROR(VLOOKUP(C135,기출문제!D:G,4,0),"")</f>
        <v>2</v>
      </c>
      <c r="G135" s="32" t="str">
        <f t="shared" si="1"/>
        <v/>
      </c>
    </row>
    <row r="136" spans="2:7" ht="85.5" x14ac:dyDescent="0.3">
      <c r="B136" s="13">
        <v>129</v>
      </c>
      <c r="C136" s="14" t="s">
        <v>965</v>
      </c>
      <c r="D136" s="13"/>
      <c r="E136" s="15" t="str">
        <f>IFERROR(VLOOKUP(C136,기출문제!D:G,3,0),"")</f>
        <v>114. 포터(M. Porter)의 가치사슬(Value Chain)모델에서 주요활동(Primary Activities)에 해당하는 것은?
① 인적자원관리
② 서비스
③ 기술개발
④ 기획・재무
⑤ 법률자문</v>
      </c>
      <c r="F136" s="31">
        <f>IFERROR(VLOOKUP(C136,기출문제!D:G,4,0),"")</f>
        <v>2</v>
      </c>
      <c r="G136" s="32" t="str">
        <f t="shared" si="1"/>
        <v/>
      </c>
    </row>
    <row r="137" spans="2:7" ht="142.5" x14ac:dyDescent="0.3">
      <c r="B137" s="13">
        <v>130</v>
      </c>
      <c r="C137" s="14" t="s">
        <v>966</v>
      </c>
      <c r="D137" s="13"/>
      <c r="E137" s="15" t="str">
        <f>IFERROR(VLOOKUP(C137,기출문제!D:G,3,0),"")</f>
        <v>115. 경영정보시스템 용어에 관한 설명으로 옳지 않은 것은?
① 비즈니스 프로세스 리엔지니어링(Business Process Reengineering)은 새로운 방식으로 최대한의 이득을 얻기 위해 기존의 비즈니스 프로세스를 변경하는 것이다.
② 비즈니스 인텔리전스(Business Intelligence)는 사용자가 정보에 기반하여 보다 나은 비즈니스 의사결정을 돕기 위한 응용프로그램, 기술 및 데이터 분석 등을 포함하는 시스템이다.
③ 의사결정지원시스템(Decision Support System)은 컴퓨터를 이용하여 의사결정자가 효과적인 의사결정을 할 수 있도록 지원하는 시스템이다.
④ 위키스(Wikis)는 사용자들이 웹페이지 내용을 쉽게 추가・편집할 수 있는 웹사이트의 일종이다.
⑤ 자율컴퓨팅(Autonomous Computing)은 지리적으로 분산된 네트워크 환경에서 수많은 컴퓨터와 데이터베이스 등을 고속 네트워크로 연결하여 공유할 수 있도록 한다.</v>
      </c>
      <c r="F137" s="31">
        <f>IFERROR(VLOOKUP(C137,기출문제!D:G,4,0),"")</f>
        <v>5</v>
      </c>
      <c r="G137" s="32" t="str">
        <f t="shared" ref="G137:G200" si="2">IF(D137="","",IF(D137=F137,"O", "X"))</f>
        <v/>
      </c>
    </row>
    <row r="138" spans="2:7" ht="99.75" x14ac:dyDescent="0.3">
      <c r="B138" s="13">
        <v>131</v>
      </c>
      <c r="C138" s="14" t="s">
        <v>967</v>
      </c>
      <c r="D138" s="13"/>
      <c r="E138" s="15" t="str">
        <f>IFERROR(VLOOKUP(C138,기출문제!D:G,3,0),"")</f>
        <v>116. 품질의 산포가 우연원인에 의한 것인지, 이상원인에 의한 것인지를 밝혀주는 역할을 하며, 제조공정의 상태를 파악하기 위해 공정관리에 이용되는 것은?
① 파레토도
② 관리도
③ 산포도
④ 특성요인도
⑤ 히스토그램</v>
      </c>
      <c r="F138" s="31">
        <f>IFERROR(VLOOKUP(C138,기출문제!D:G,4,0),"")</f>
        <v>2</v>
      </c>
      <c r="G138" s="32" t="str">
        <f t="shared" si="2"/>
        <v/>
      </c>
    </row>
    <row r="139" spans="2:7" ht="199.5" x14ac:dyDescent="0.3">
      <c r="B139" s="13">
        <v>132</v>
      </c>
      <c r="C139" s="14" t="s">
        <v>968</v>
      </c>
      <c r="D139" s="13"/>
      <c r="E139" s="15" t="str">
        <f>IFERROR(VLOOKUP(C139,기출문제!D:G,3,0),"")</f>
        <v>117. (주)한국의 연도별 제품 판매량은 다음과 같다. 과거 3년간의 데이터를 바탕으로 단순이동평균법을 적용하였을 때 2020년도의 수요예측량은?
연도       판매량(개)
2014       2,260
2015       2,090
2016       2,110
2017       2,150
2018       2,310
2019       2,410
① 2,270
② 2,280
③ 2,290
④ 2,300
⑤ 2,310</v>
      </c>
      <c r="F139" s="31">
        <f>IFERROR(VLOOKUP(C139,기출문제!D:G,4,0),"")</f>
        <v>3</v>
      </c>
      <c r="G139" s="32" t="str">
        <f t="shared" si="2"/>
        <v/>
      </c>
    </row>
    <row r="140" spans="2:7" ht="85.5" x14ac:dyDescent="0.3">
      <c r="B140" s="13">
        <v>133</v>
      </c>
      <c r="C140" s="14" t="s">
        <v>969</v>
      </c>
      <c r="D140" s="13"/>
      <c r="E140" s="15" t="str">
        <f>IFERROR(VLOOKUP(C140,기출문제!D:G,3,0),"")</f>
        <v>118. 선물거래에 관한 설명으로 옳지 않은 것은?
① 조직화된 공식시장에서 거래가 이루어진다.
② 다수의 불특정 참가자가 자유롭게 시장에 참여한다.
③ 거래대상, 거래단위 등의 거래조건이 표준화되어 있다.
④ 계약의 이행을 보증하려는 제도적 장치로 일일정산, 증거금 등이 있다.
⑤ 반대매매를 통한 중도청산이 어려워 만기일에 실물의 인수・인도가 이루어진다.</v>
      </c>
      <c r="F140" s="31">
        <f>IFERROR(VLOOKUP(C140,기출문제!D:G,4,0),"")</f>
        <v>5</v>
      </c>
      <c r="G140" s="32" t="str">
        <f t="shared" si="2"/>
        <v/>
      </c>
    </row>
    <row r="141" spans="2:7" ht="114" x14ac:dyDescent="0.3">
      <c r="B141" s="13">
        <v>134</v>
      </c>
      <c r="C141" s="14" t="s">
        <v>970</v>
      </c>
      <c r="D141" s="13"/>
      <c r="E141" s="15" t="str">
        <f>IFERROR(VLOOKUP(C141,기출문제!D:G,3,0),"")</f>
        <v>119. 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
① 순현가법
② 수익성지수법
③ 회수기간법
④ 내부수익률법
⑤ 평균회계이익률법</v>
      </c>
      <c r="F141" s="31">
        <f>IFERROR(VLOOKUP(C141,기출문제!D:G,4,0),"")</f>
        <v>4</v>
      </c>
      <c r="G141" s="32" t="str">
        <f t="shared" si="2"/>
        <v/>
      </c>
    </row>
    <row r="142" spans="2:7" ht="85.5" x14ac:dyDescent="0.3">
      <c r="B142" s="13">
        <v>135</v>
      </c>
      <c r="C142" s="14" t="s">
        <v>971</v>
      </c>
      <c r="D142" s="13"/>
      <c r="E142" s="15" t="str">
        <f>IFERROR(VLOOKUP(C142,기출문제!D:G,3,0),"")</f>
        <v>120. (주)한국의 총자산이 40억원, 비유동자산이 25억원, 유동부채가 10억원인 경우 유동비율은?
① 50%
② 70%
③ 100%
④ 150%
⑤ 200%</v>
      </c>
      <c r="F142" s="31">
        <f>IFERROR(VLOOKUP(C142,기출문제!D:G,4,0),"")</f>
        <v>4</v>
      </c>
      <c r="G142" s="32" t="str">
        <f t="shared" si="2"/>
        <v/>
      </c>
    </row>
    <row r="143" spans="2:7" ht="85.5" x14ac:dyDescent="0.3">
      <c r="B143" s="13">
        <v>136</v>
      </c>
      <c r="C143" s="14" t="s">
        <v>972</v>
      </c>
      <c r="D143" s="13"/>
      <c r="E143" s="15" t="str">
        <f>IFERROR(VLOOKUP(C143,기출문제!D:G,3,0),"")</f>
        <v>121. 자본항목의 분류가 다른 것은?
① 주식할인발행차금
② 감자차손
③ 자기주식
④ 미교부주식배당금
⑤ 자기주식처분이익</v>
      </c>
      <c r="F143" s="31">
        <f>IFERROR(VLOOKUP(C143,기출문제!D:G,4,0),"")</f>
        <v>5</v>
      </c>
      <c r="G143" s="32" t="str">
        <f t="shared" si="2"/>
        <v/>
      </c>
    </row>
    <row r="144" spans="2:7" ht="85.5" x14ac:dyDescent="0.3">
      <c r="B144" s="13">
        <v>137</v>
      </c>
      <c r="C144" s="14" t="s">
        <v>973</v>
      </c>
      <c r="D144" s="13"/>
      <c r="E144" s="15" t="str">
        <f>IFERROR(VLOOKUP(C144,기출문제!D:G,3,0),"")</f>
        <v>122. 부채에 관한 설명으로 옳지 않은 것은?
① 매입채무는 일반적인 상거래에서 발생한 외상매입금과 지급어음을 말한다.
② 예수금은 거래처나 종업원을 대신하여 납부기관에 납부할 때 소멸하는 부채이다.
③ 미지급금은 비유동자산의 취득 등 일반적인 상거래 이외에서 발생한 채무를 말한다.
④ 장기차입금의 상환기일이 결산일로부터 1년 이내에 도래하는 경우 유동성장기차입금으로 대체하고 유동부채로 분류한다.
⑤ 매입채무, 차입금, 선수금, 사채 등은 금융부채에 속한다.</v>
      </c>
      <c r="F144" s="31">
        <f>IFERROR(VLOOKUP(C144,기출문제!D:G,4,0),"")</f>
        <v>5</v>
      </c>
      <c r="G144" s="32" t="str">
        <f t="shared" si="2"/>
        <v/>
      </c>
    </row>
    <row r="145" spans="2:7" ht="156.75" x14ac:dyDescent="0.3">
      <c r="B145" s="13">
        <v>138</v>
      </c>
      <c r="C145" s="14" t="s">
        <v>974</v>
      </c>
      <c r="D145" s="13"/>
      <c r="E145" s="15" t="str">
        <f>IFERROR(VLOOKUP(C145,기출문제!D:G,3,0),"")</f>
        <v>123. 재무상태표와 관련되는 것을 모두 고른 것은?
ㄱ. 수익・비용대응의 원칙
ㄴ. 일정시점의 재무상태
ㄷ. 유동성배열법
ㄹ. 일정기간의 경영성과
ㅁ. 자산, 부채 및 자본
① ㄱ, ㄴ
② ㄱ, ㄹ
③ ㄴ, ㄷ, ㄹ
④ ㄴ, ㄷ, ㅁ
⑤ ㄷ, ㄹ, ㅁ</v>
      </c>
      <c r="F145" s="31">
        <f>IFERROR(VLOOKUP(C145,기출문제!D:G,4,0),"")</f>
        <v>4</v>
      </c>
      <c r="G145" s="32" t="str">
        <f t="shared" si="2"/>
        <v/>
      </c>
    </row>
    <row r="146" spans="2:7" ht="85.5" x14ac:dyDescent="0.3">
      <c r="B146" s="13">
        <v>139</v>
      </c>
      <c r="C146" s="14" t="s">
        <v>975</v>
      </c>
      <c r="D146" s="13"/>
      <c r="E146" s="15" t="str">
        <f>IFERROR(VLOOKUP(C146,기출문제!D:G,3,0),"")</f>
        <v>124. 전자(상)거래의 유형에 관한 설명으로 옳은 것은?
① B2E는 기업과 직원 간 전자(상)거래를 말한다.
② B2C는 소비자와 소비자 간 전자(상)거래를 말한다.
③ B2B는 기업 내 전자(상)거래를 말한다.
④ C2C는 기업과 소비자 간 전자(상)거래를 말한다.
⑤ C2G는 기업 간 전자(상)거래를 말한다.</v>
      </c>
      <c r="F146" s="31">
        <f>IFERROR(VLOOKUP(C146,기출문제!D:G,4,0),"")</f>
        <v>1</v>
      </c>
      <c r="G146" s="32" t="str">
        <f t="shared" si="2"/>
        <v/>
      </c>
    </row>
    <row r="147" spans="2:7" ht="99.75" x14ac:dyDescent="0.3">
      <c r="B147" s="13">
        <v>140</v>
      </c>
      <c r="C147" s="14" t="s">
        <v>976</v>
      </c>
      <c r="D147" s="13"/>
      <c r="E147" s="15" t="str">
        <f>IFERROR(VLOOKUP(C147,기출문제!D:G,3,0),"")</f>
        <v>125. 기업이 미래 의사결정 및 예측을 위하여 보유하고 있는 고객, 거래, 상품 등의 데이터와 각종 외부 데이터를 분석하여 숨겨진 패턴이나 규칙을 발견하는 것은?
① 데이터 관리(Data Management)
② 데이터 무결성(Data Integrity)
③ 데이터 마이닝(Data Mining)
④ 데이터 정제(Data Cleaning)
⑤ 데이터 마트(Data Mart)</v>
      </c>
      <c r="F147" s="31">
        <f>IFERROR(VLOOKUP(C147,기출문제!D:G,4,0),"")</f>
        <v>3</v>
      </c>
      <c r="G147" s="32" t="str">
        <f t="shared" si="2"/>
        <v/>
      </c>
    </row>
    <row r="148" spans="2:7" ht="85.5" x14ac:dyDescent="0.3">
      <c r="B148" s="13">
        <v>141</v>
      </c>
      <c r="C148" s="14" t="s">
        <v>138</v>
      </c>
      <c r="D148" s="13"/>
      <c r="E148" s="15" t="str">
        <f>IFERROR(VLOOKUP(C148,기출문제!D:G,3,0),"")</f>
        <v>101. 테일러(F. W. Taylor)의 과학적 관리법에 관한 설명으로 옳지 않은 것은?
① 시간 및 동작 연구
② 기능적 직장제도
③ 집단중심의 보상
④ 과업에 적합한 종업원 선발과 훈련 강조
⑤ 고임금 저노무비 지향</v>
      </c>
      <c r="F148" s="31">
        <f>IFERROR(VLOOKUP(C148,기출문제!D:G,4,0),"")</f>
        <v>3</v>
      </c>
      <c r="G148" s="32" t="str">
        <f t="shared" si="2"/>
        <v/>
      </c>
    </row>
    <row r="149" spans="2:7" ht="85.5" x14ac:dyDescent="0.3">
      <c r="B149" s="13">
        <v>142</v>
      </c>
      <c r="C149" s="14" t="s">
        <v>781</v>
      </c>
      <c r="D149" s="13"/>
      <c r="E149" s="15" t="str">
        <f>IFERROR(VLOOKUP(C149,기출문제!D:G,3,0),"")</f>
        <v>102. 매슬로우(A. H. Maslow)의 욕구단계이론에 관한 설명으로 옳지 않은 것은?
① 최하위 단계의 욕구는 생리적 욕구이다.
② 최상위 단계의 욕구는 자아실현 욕구이다.
③ 욕구계층을 5단계로 설명하고 있다.
④ 다른 사람으로부터 인정과 존경을 받고자 하는 욕구는 성장욕구에 속한다.
⑤ 하위단계의 욕구가 충족되어야 상위단계의 욕구를 충족시키기 위한 동기부여가 된다.</v>
      </c>
      <c r="F149" s="31">
        <f>IFERROR(VLOOKUP(C149,기출문제!D:G,4,0),"")</f>
        <v>4</v>
      </c>
      <c r="G149" s="32" t="str">
        <f t="shared" si="2"/>
        <v/>
      </c>
    </row>
    <row r="150" spans="2:7" ht="85.5" x14ac:dyDescent="0.3">
      <c r="B150" s="13">
        <v>143</v>
      </c>
      <c r="C150" s="14" t="s">
        <v>782</v>
      </c>
      <c r="D150" s="13"/>
      <c r="E150" s="15" t="str">
        <f>IFERROR(VLOOKUP(C150,기출문제!D:G,3,0),"")</f>
        <v>103. 균형성과표(Balanced Score Card)에 해당하지 않는 것은?
① 고객 관점
② 내부 프로세스 관점
③ 사회적 책임 관점
④ 학습과 성장 관점
⑤ 재무 관점</v>
      </c>
      <c r="F150" s="31">
        <f>IFERROR(VLOOKUP(C150,기출문제!D:G,4,0),"")</f>
        <v>3</v>
      </c>
      <c r="G150" s="32" t="str">
        <f t="shared" si="2"/>
        <v/>
      </c>
    </row>
    <row r="151" spans="2:7" ht="85.5" x14ac:dyDescent="0.3">
      <c r="B151" s="13">
        <v>144</v>
      </c>
      <c r="C151" s="14" t="s">
        <v>783</v>
      </c>
      <c r="D151" s="13"/>
      <c r="E151" s="15" t="str">
        <f>IFERROR(VLOOKUP(C151,기출문제!D:G,3,0),"")</f>
        <v>104. 강화계획(schedules of reinforcement)에서 불규칙한 횟수의 바람직한 행동 후 강화요인을 제공하는 기법은?
① 고정간격법
② 변동간격법
③ 고정비율법
④ 변동비율법
⑤ 연속강화법</v>
      </c>
      <c r="F151" s="31">
        <f>IFERROR(VLOOKUP(C151,기출문제!D:G,4,0),"")</f>
        <v>4</v>
      </c>
      <c r="G151" s="32" t="str">
        <f t="shared" si="2"/>
        <v/>
      </c>
    </row>
    <row r="152" spans="2:7" ht="85.5" x14ac:dyDescent="0.3">
      <c r="B152" s="13">
        <v>145</v>
      </c>
      <c r="C152" s="14" t="s">
        <v>784</v>
      </c>
      <c r="D152" s="13"/>
      <c r="E152" s="15" t="str">
        <f>IFERROR(VLOOKUP(C152,기출문제!D:G,3,0),"")</f>
        <v>105. 아담스(J. S. Adams)의 공정성이론에서 조직구성원들이 개인적 불공정성을 시정(是正)하기 위한 방법에 해당하지 않는 것은?
① 투입의 변경
② 산출의 변경
③ 투입과 산출의 인지적 왜곡
④ 장(場) 이탈
⑤ 준거인물 유지</v>
      </c>
      <c r="F152" s="31">
        <f>IFERROR(VLOOKUP(C152,기출문제!D:G,4,0),"")</f>
        <v>5</v>
      </c>
      <c r="G152" s="32" t="str">
        <f t="shared" si="2"/>
        <v/>
      </c>
    </row>
    <row r="153" spans="2:7" ht="85.5" x14ac:dyDescent="0.3">
      <c r="B153" s="13">
        <v>146</v>
      </c>
      <c r="C153" s="14" t="s">
        <v>785</v>
      </c>
      <c r="D153" s="13"/>
      <c r="E153" s="15" t="str">
        <f>IFERROR(VLOOKUP(C153,기출문제!D:G,3,0),"")</f>
        <v>106. 직무급의 특징에 관한 설명으로 옳지 않은 것은?
① 직무의 상대적 가치에 따라 개별임금이 결정된다.
② 능력주의 인사풍토 조성에 유리하다.
③ 인건비의 효율성이 증대된다.
④ 동일노동 동일임금 실현이 가능해진다.
⑤ 시행 절차가 간단하고 적용이 용이하다.</v>
      </c>
      <c r="F153" s="31">
        <f>IFERROR(VLOOKUP(C153,기출문제!D:G,4,0),"")</f>
        <v>5</v>
      </c>
      <c r="G153" s="32" t="str">
        <f t="shared" si="2"/>
        <v/>
      </c>
    </row>
    <row r="154" spans="2:7" ht="85.5" x14ac:dyDescent="0.3">
      <c r="B154" s="13">
        <v>147</v>
      </c>
      <c r="C154" s="14" t="s">
        <v>786</v>
      </c>
      <c r="D154" s="13"/>
      <c r="E154" s="15" t="str">
        <f>IFERROR(VLOOKUP(C154,기출문제!D:G,3,0),"")</f>
        <v>107. 노동조합의 조직형태에 관한 설명으로 옳지 않은 것은?
① 직종별 노동조합은 동종 근로자 집단으로 조직되어 단결이 강화되고 단체교섭과 임금협상이 용이하다.
② 일반노동조합은 숙련근로자들의 최저생활조건을 확보하기 위한 조직으로 초기에 발달한 형태이다.
③ 기업별 노동조합은 조합원들이 동일기업에 종사하고 있으므로 근로조건을 획일적으로 적용하기가 용이하다.
④ 산업별 노동조합은 기업과 직종을 초월한 거대한 조직으로서 정책활동 등에 의해 압력단체로서의 지위를 가진다.
⑤ 연합체 조직은 각 지역이나 기업 또는 직종별 단위조합이 단체의 자격으로 지역적 내지 전국적 조직의 구성원이 되는 형태이다.</v>
      </c>
      <c r="F154" s="31">
        <f>IFERROR(VLOOKUP(C154,기출문제!D:G,4,0),"")</f>
        <v>2</v>
      </c>
      <c r="G154" s="32" t="str">
        <f t="shared" si="2"/>
        <v/>
      </c>
    </row>
    <row r="155" spans="2:7" ht="128.25" x14ac:dyDescent="0.3">
      <c r="B155" s="13">
        <v>148</v>
      </c>
      <c r="C155" s="14" t="s">
        <v>787</v>
      </c>
      <c r="D155" s="13"/>
      <c r="E155" s="15" t="str">
        <f>IFERROR(VLOOKUP(C155,기출문제!D:G,3,0),"")</f>
        <v>108. 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
① ㄱ. 감정적 요소 ㄴ. 인지적 요소 ㄷ. 행동적 요소
② ㄱ. 감정적 요소 ㄴ. 행동적 요소 ㄷ. 인지적 요소
③ ㄱ. 인지적 요소 ㄴ. 행동적 요소 ㄷ. 감정적 요소
④ ㄱ. 인지적 요소 ㄴ. 감정적 요소 ㄷ. 행동적 요소
⑤ ㄱ. 행동적 요소 ㄴ. 감정적 요소 ㄷ. 인지적 요소</v>
      </c>
      <c r="F155" s="31">
        <f>IFERROR(VLOOKUP(C155,기출문제!D:G,4,0),"")</f>
        <v>4</v>
      </c>
      <c r="G155" s="32" t="str">
        <f t="shared" si="2"/>
        <v/>
      </c>
    </row>
    <row r="156" spans="2:7" ht="156.75" x14ac:dyDescent="0.3">
      <c r="B156" s="13">
        <v>149</v>
      </c>
      <c r="C156" s="14" t="s">
        <v>788</v>
      </c>
      <c r="D156" s="13"/>
      <c r="E156" s="15" t="str">
        <f>IFERROR(VLOOKUP(C156,기출문제!D:G,3,0),"")</f>
        <v>109. 프렌치와 레이븐(French &amp; Raven)의 권력원천 분류에 따라 개인적 원천의 권력에 해당하는 것을 모두 고른 것은?
ㄱ. 강제적 권력
ㄴ. 준거적 권력
ㄷ. 전문적 권력
ㄹ. 합법적 권력
ㅁ. 보상적 권력
① ㄱ, ㄴ
② ㄴ, ㄷ
③ ㄷ, ㄹ
④ ㄹ, ㅁ
⑤ ㄱ, ㄴ, ㅁ</v>
      </c>
      <c r="F156" s="31">
        <f>IFERROR(VLOOKUP(C156,기출문제!D:G,4,0),"")</f>
        <v>2</v>
      </c>
      <c r="G156" s="32" t="str">
        <f t="shared" si="2"/>
        <v/>
      </c>
    </row>
    <row r="157" spans="2:7" ht="85.5" x14ac:dyDescent="0.3">
      <c r="B157" s="13">
        <v>150</v>
      </c>
      <c r="C157" s="14" t="s">
        <v>789</v>
      </c>
      <c r="D157" s="13"/>
      <c r="E157" s="15" t="str">
        <f>IFERROR(VLOOKUP(C157,기출문제!D:G,3,0),"")</f>
        <v>110. 모집 방법 중 사내공모제(job posting system)의 특징에 관한 설명으로 옳지 않은 것은?
① 종업원의 상위직급 승진 기회가 제한된다.
② 외부 인력의 영입이 차단되어 조직이 정체될 가능성이 있다.
③ 지원자의 소속부서 상사와의 인간관계가 훼손될 수 있다.
④ 특정부서의 선발 시 연고주의를 고집할 경우 조직 내 파벌이 조성될 수 있다.
⑤ 선발과정에서 여러번 탈락되었을 때 지원자의 심리적 위축감이 고조된다.</v>
      </c>
      <c r="F157" s="31">
        <f>IFERROR(VLOOKUP(C157,기출문제!D:G,4,0),"")</f>
        <v>1</v>
      </c>
      <c r="G157" s="32" t="str">
        <f t="shared" si="2"/>
        <v/>
      </c>
    </row>
    <row r="158" spans="2:7" ht="85.5" x14ac:dyDescent="0.3">
      <c r="B158" s="13">
        <v>151</v>
      </c>
      <c r="C158" s="14" t="s">
        <v>790</v>
      </c>
      <c r="D158" s="13"/>
      <c r="E158" s="15" t="str">
        <f>IFERROR(VLOOKUP(C158,기출문제!D:G,3,0),"")</f>
        <v>111. 인사고과의 오류 중 피고과자가 속한 사회적 집단에 대한 평가에 기초하여 판단하는 것은?
① 상동적 오류(stereotyping errors)
② 논리적 오류(logical errors)
③ 대비오류(contrast errors)
④ 근접오류(proximity errors)
⑤ 후광효과(halo effect)</v>
      </c>
      <c r="F158" s="31">
        <f>IFERROR(VLOOKUP(C158,기출문제!D:G,4,0),"")</f>
        <v>1</v>
      </c>
      <c r="G158" s="32" t="str">
        <f t="shared" si="2"/>
        <v/>
      </c>
    </row>
    <row r="159" spans="2:7" ht="85.5" x14ac:dyDescent="0.3">
      <c r="B159" s="13">
        <v>152</v>
      </c>
      <c r="C159" s="14" t="s">
        <v>791</v>
      </c>
      <c r="D159" s="13"/>
      <c r="E159" s="15" t="str">
        <f>IFERROR(VLOOKUP(C159,기출문제!D:G,3,0),"")</f>
        <v>112. 집단의사결정의 특징에 관한 설명으로 옳지 않은 것은?
① 구성원으로부터 다양한 정보를 얻을 수 있다.
② 의사결정에 참여한 구성원들의 교육효과가 높게 나타난다.
③ 구성원의 합의에 의한 것이므로 수용도와 응집력이 높아진다.
④ 서로의 의견에 비판없이 동의하는 경향이 있다.
⑤ 차선책을 채택하는 오류가 발생하지 않는다.</v>
      </c>
      <c r="F159" s="31">
        <f>IFERROR(VLOOKUP(C159,기출문제!D:G,4,0),"")</f>
        <v>5</v>
      </c>
      <c r="G159" s="32" t="str">
        <f t="shared" si="2"/>
        <v/>
      </c>
    </row>
    <row r="160" spans="2:7" ht="85.5" x14ac:dyDescent="0.3">
      <c r="B160" s="13">
        <v>153</v>
      </c>
      <c r="C160" s="14" t="s">
        <v>792</v>
      </c>
      <c r="D160" s="13"/>
      <c r="E160" s="15" t="str">
        <f>IFERROR(VLOOKUP(C160,기출문제!D:G,3,0),"")</f>
        <v>113. 생산성을 높이고, 유통을 효율화 시키는 등 주로 원가절감에 관심을 갖는 마케팅 개념은?
① 판매 개념
② 생산 개념
③ 관계마케팅 개념
④ 통합마케팅 개념
⑤ 내부마케팅 개념</v>
      </c>
      <c r="F160" s="31">
        <f>IFERROR(VLOOKUP(C160,기출문제!D:G,4,0),"")</f>
        <v>2</v>
      </c>
      <c r="G160" s="32" t="str">
        <f t="shared" si="2"/>
        <v/>
      </c>
    </row>
    <row r="161" spans="2:7" ht="85.5" x14ac:dyDescent="0.3">
      <c r="B161" s="13">
        <v>154</v>
      </c>
      <c r="C161" s="14" t="s">
        <v>793</v>
      </c>
      <c r="D161" s="13"/>
      <c r="E161" s="15" t="str">
        <f>IFERROR(VLOOKUP(C161,기출문제!D:G,3,0),"")</f>
        <v>114. 수요가 공급을 초과할 때 수요를 감소시키는 것을 목적으로 하는 마케팅관리 기법은?
① 전환적 마케팅(conversional marketing)
② 동시화 마케팅(synchro marketing)
③ 자극적 마케팅(stimulative marketing)
④ 개발적 마케팅(developmental marketing)
⑤ 디마케팅(demarketing)</v>
      </c>
      <c r="F161" s="31">
        <f>IFERROR(VLOOKUP(C161,기출문제!D:G,4,0),"")</f>
        <v>5</v>
      </c>
      <c r="G161" s="32" t="str">
        <f t="shared" si="2"/>
        <v/>
      </c>
    </row>
    <row r="162" spans="2:7" ht="85.5" x14ac:dyDescent="0.3">
      <c r="B162" s="13">
        <v>155</v>
      </c>
      <c r="C162" s="14" t="s">
        <v>794</v>
      </c>
      <c r="D162" s="13"/>
      <c r="E162" s="15" t="str">
        <f>IFERROR(VLOOKUP(C162,기출문제!D:G,3,0),"")</f>
        <v>115. 수직적 마케팅시스템(Vertical Marketing System) 중 소유권의 정도와 통제력이 강한 유형에 해당하는 것은?
① 계약형 VMS
② 기업형 VMS
③ 관리형 VMS
④ 협력형 VMS
⑤ 혼합형 VMS</v>
      </c>
      <c r="F162" s="31">
        <f>IFERROR(VLOOKUP(C162,기출문제!D:G,4,0),"")</f>
        <v>2</v>
      </c>
      <c r="G162" s="32" t="str">
        <f t="shared" si="2"/>
        <v/>
      </c>
    </row>
    <row r="163" spans="2:7" ht="85.5" x14ac:dyDescent="0.3">
      <c r="B163" s="13">
        <v>156</v>
      </c>
      <c r="C163" s="14" t="s">
        <v>795</v>
      </c>
      <c r="D163" s="13"/>
      <c r="E163" s="15" t="str">
        <f>IFERROR(VLOOKUP(C163,기출문제!D:G,3,0),"")</f>
        <v>116. 소비자 심리에 근거한 가격결정 방법으로 옳지 않은 것은?
① 종속가격(captive pricing)
② 단수가격(odd pricing)
③ 준거가격(reference pricing)
④ 긍지가격(prestige pricing)
⑤ 관습가격(customary pricing)</v>
      </c>
      <c r="F163" s="31">
        <f>IFERROR(VLOOKUP(C163,기출문제!D:G,4,0),"")</f>
        <v>1</v>
      </c>
      <c r="G163" s="32" t="str">
        <f t="shared" si="2"/>
        <v/>
      </c>
    </row>
    <row r="164" spans="2:7" ht="85.5" x14ac:dyDescent="0.3">
      <c r="B164" s="13">
        <v>157</v>
      </c>
      <c r="C164" s="14" t="s">
        <v>796</v>
      </c>
      <c r="D164" s="13"/>
      <c r="E164" s="15" t="str">
        <f>IFERROR(VLOOKUP(C164,기출문제!D:G,3,0),"")</f>
        <v>117. (주)한국의 유동자산은 1,200,000원이고, 유동비율과 당좌비율은 각각 200%와 150%이다. (주)한국의 재고자산은?
① 300,000원
② 600,000원
③ 900,000원
④ 1,800,000원
⑤ 2,400,000원</v>
      </c>
      <c r="F164" s="31">
        <f>IFERROR(VLOOKUP(C164,기출문제!D:G,4,0),"")</f>
        <v>1</v>
      </c>
      <c r="G164" s="32" t="str">
        <f t="shared" si="2"/>
        <v/>
      </c>
    </row>
    <row r="165" spans="2:7" ht="156.75" x14ac:dyDescent="0.3">
      <c r="B165" s="13">
        <v>158</v>
      </c>
      <c r="C165" s="14" t="s">
        <v>797</v>
      </c>
      <c r="D165" s="13"/>
      <c r="E165" s="15" t="str">
        <f>IFERROR(VLOOKUP(C165,기출문제!D:G,3,0),"")</f>
        <v>118. 투자안의 경제성분석방법 중 화폐의 시간가치를 고려한 방법을 모두 고른 것은?
ㄱ. 회수기간법
ㄴ. 수익성지수법
ㄷ. 회계적이익률법
ㄹ. 순현재가치법
ㅁ. 내부수익률법
① ㄱ, ㄴ
② ㄱ, ㄹ
③ ㄴ, ㄷ
④ ㄴ, ㄹ, ㅁ
⑤ ㄷ, ㄹ, ㅁ</v>
      </c>
      <c r="F165" s="31">
        <f>IFERROR(VLOOKUP(C165,기출문제!D:G,4,0),"")</f>
        <v>4</v>
      </c>
      <c r="G165" s="32" t="str">
        <f t="shared" si="2"/>
        <v/>
      </c>
    </row>
    <row r="166" spans="2:7" ht="99.75" x14ac:dyDescent="0.3">
      <c r="B166" s="13">
        <v>159</v>
      </c>
      <c r="C166" s="14" t="s">
        <v>798</v>
      </c>
      <c r="D166" s="13"/>
      <c r="E166" s="15" t="str">
        <f>IFERROR(VLOOKUP(C166,기출문제!D:G,3,0),"")</f>
        <v>119. (주)한국의 자기자본 시장가치와 타인자본 시장가치는 각각 5억원이다. 자기자본 비용은 16%이고, 세전타인자본비용은 12%이다. 법인세율이 50%일 때 (주)한국의 가중평균자본비용(WACC)은?
① 6%
② 8%
③ 11%
④ 13%
⑤ 15%</v>
      </c>
      <c r="F166" s="31">
        <f>IFERROR(VLOOKUP(C166,기출문제!D:G,4,0),"")</f>
        <v>3</v>
      </c>
      <c r="G166" s="32" t="str">
        <f t="shared" si="2"/>
        <v/>
      </c>
    </row>
    <row r="167" spans="2:7" ht="99.75" x14ac:dyDescent="0.3">
      <c r="B167" s="13">
        <v>160</v>
      </c>
      <c r="C167" s="14" t="s">
        <v>799</v>
      </c>
      <c r="D167" s="13"/>
      <c r="E167" s="15" t="str">
        <f>IFERROR(VLOOKUP(C167,기출문제!D:G,3,0),"")</f>
        <v>120. (주)한국의 A부품에 대한 연간수요는 4,000개이며, A부품 구입가격은 단위당 8,000원이다. 1회당 주문비용은 4,000원이고, 단위당 연간 재고유지비용은 구입가격의 10%일 때 A부품의 경제적 주문량(EOQ)은?
① 100개
② 200개
③ 300개
④ 400개
⑤ 600개</v>
      </c>
      <c r="F167" s="31">
        <f>IFERROR(VLOOKUP(C167,기출문제!D:G,4,0),"")</f>
        <v>2</v>
      </c>
      <c r="G167" s="32" t="str">
        <f t="shared" si="2"/>
        <v/>
      </c>
    </row>
    <row r="168" spans="2:7" ht="85.5" x14ac:dyDescent="0.3">
      <c r="B168" s="13">
        <v>161</v>
      </c>
      <c r="C168" s="14" t="s">
        <v>800</v>
      </c>
      <c r="D168" s="13"/>
      <c r="E168" s="15" t="str">
        <f>IFERROR(VLOOKUP(C168,기출문제!D:G,3,0),"")</f>
        <v>121. 수요예측기법 중 인과형 예측기법(causal forecasting methods)에 해당하는 것은?
① 델파이법
② 패널동의법
③ 회귀분석법
④ 판매원 의견종합법
⑤ 자료유추법</v>
      </c>
      <c r="F168" s="31">
        <f>IFERROR(VLOOKUP(C168,기출문제!D:G,4,0),"")</f>
        <v>3</v>
      </c>
      <c r="G168" s="32" t="str">
        <f t="shared" si="2"/>
        <v/>
      </c>
    </row>
    <row r="169" spans="2:7" ht="85.5" x14ac:dyDescent="0.3">
      <c r="B169" s="13">
        <v>162</v>
      </c>
      <c r="C169" s="14" t="s">
        <v>801</v>
      </c>
      <c r="D169" s="13"/>
      <c r="E169" s="15" t="str">
        <f>IFERROR(VLOOKUP(C169,기출문제!D:G,3,0),"")</f>
        <v>122. 포괄손익계산서의 계정에 해당하지 않는 것은?
① 감가상각비
② 광고비
③ 매출원가
④ 자기주식처분이익
⑤ 유형자산처분이익</v>
      </c>
      <c r="F169" s="31">
        <f>IFERROR(VLOOKUP(C169,기출문제!D:G,4,0),"")</f>
        <v>4</v>
      </c>
      <c r="G169" s="32" t="str">
        <f t="shared" si="2"/>
        <v/>
      </c>
    </row>
    <row r="170" spans="2:7" ht="99.75" x14ac:dyDescent="0.3">
      <c r="B170" s="13">
        <v>163</v>
      </c>
      <c r="C170" s="14" t="s">
        <v>802</v>
      </c>
      <c r="D170" s="13"/>
      <c r="E170" s="15" t="str">
        <f>IFERROR(VLOOKUP(C170,기출문제!D:G,3,0),"")</f>
        <v>123. (주)한국(결산일: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
① 처분이익 20,000원
② 처분손실 20,000원
③ 처분이익 100,000원
④ 처분손실 100,000원
⑤ 처분손실 300,000원</v>
      </c>
      <c r="F170" s="31">
        <f>IFERROR(VLOOKUP(C170,기출문제!D:G,4,0),"")</f>
        <v>1</v>
      </c>
      <c r="G170" s="32" t="str">
        <f t="shared" si="2"/>
        <v/>
      </c>
    </row>
    <row r="171" spans="2:7" ht="85.5" x14ac:dyDescent="0.3">
      <c r="B171" s="13">
        <v>164</v>
      </c>
      <c r="C171" s="14" t="s">
        <v>803</v>
      </c>
      <c r="D171" s="13"/>
      <c r="E171" s="15" t="str">
        <f>IFERROR(VLOOKUP(C171,기출문제!D:G,3,0),"")</f>
        <v>124. 다음 중 자본잉여금에 해당하는 항목은?
① 미교부주식배당금
② 법정적립금
③ 임의적립금
④ 미처분이익잉여금
⑤ 주식발행초과금</v>
      </c>
      <c r="F171" s="31">
        <f>IFERROR(VLOOKUP(C171,기출문제!D:G,4,0),"")</f>
        <v>5</v>
      </c>
      <c r="G171" s="32" t="str">
        <f t="shared" si="2"/>
        <v/>
      </c>
    </row>
    <row r="172" spans="2:7" ht="85.5" x14ac:dyDescent="0.3">
      <c r="B172" s="13">
        <v>165</v>
      </c>
      <c r="C172" s="14" t="s">
        <v>804</v>
      </c>
      <c r="D172" s="13"/>
      <c r="E172" s="15" t="str">
        <f>IFERROR(VLOOKUP(C172,기출문제!D:G,3,0),"")</f>
        <v>125. 스마트폰에 신용카드 등의 금융정보를 담아 10 ~ 15 cm의 근거리에서 결제를 가능하게 하는 무선통신기술은?
① 블루투스(Bluetooth)
② GPS(Global Positioning System)
③ NFC(Near Field Communication)
④ IoT(Internet of Things)
⑤ 텔레매틱스(Telematics)</v>
      </c>
      <c r="F172" s="31">
        <f>IFERROR(VLOOKUP(C172,기출문제!D:G,4,0),"")</f>
        <v>3</v>
      </c>
      <c r="G172" s="32" t="str">
        <f t="shared" si="2"/>
        <v/>
      </c>
    </row>
    <row r="173" spans="2:7" ht="85.5" x14ac:dyDescent="0.3">
      <c r="B173" s="13">
        <v>166</v>
      </c>
      <c r="C173" s="14" t="s">
        <v>188</v>
      </c>
      <c r="D173" s="13"/>
      <c r="E173" s="15" t="str">
        <f>IFERROR(VLOOKUP(C173,기출문제!D:G,3,0),"")</f>
        <v>101. 동종 또는 유사업종의 기업들이 법적, 경제적 독립성을 유지하면서 협정을 통해 수평적으로 결합하는 형태는?
① 지주회사(Holding Company)
② 카르텔(Cartel)
③ 컨글로메리트(Conglomerate)
④ 트러스트(Trust)
⑤ 콘체른(Concern)</v>
      </c>
      <c r="F173" s="31">
        <f>IFERROR(VLOOKUP(C173,기출문제!D:G,4,0),"")</f>
        <v>2</v>
      </c>
      <c r="G173" s="32" t="str">
        <f t="shared" si="2"/>
        <v/>
      </c>
    </row>
    <row r="174" spans="2:7" ht="85.5" x14ac:dyDescent="0.3">
      <c r="B174" s="13">
        <v>167</v>
      </c>
      <c r="C174" s="14" t="s">
        <v>806</v>
      </c>
      <c r="D174" s="13"/>
      <c r="E174" s="15" t="str">
        <f>IFERROR(VLOOKUP(C174,기출문제!D:G,3,0),"")</f>
        <v>102. 포터(M. Porter)의 경쟁전략 유형에 해당하는 것은?
① 차별화(Differentitaion) 전략
② 블루오션(Blue Ocean) 전략
③ 방어자(Defender) 전략
④ 반응자(Reactor) 전략
⑤ 분석자(Analyzer) 전략</v>
      </c>
      <c r="F174" s="31">
        <f>IFERROR(VLOOKUP(C174,기출문제!D:G,4,0),"")</f>
        <v>1</v>
      </c>
      <c r="G174" s="32" t="str">
        <f t="shared" si="2"/>
        <v/>
      </c>
    </row>
    <row r="175" spans="2:7" ht="128.25" x14ac:dyDescent="0.3">
      <c r="B175" s="13">
        <v>168</v>
      </c>
      <c r="C175" s="14" t="s">
        <v>807</v>
      </c>
      <c r="D175" s="13"/>
      <c r="E175" s="15" t="str">
        <f>IFERROR(VLOOKUP(C175,기출문제!D:G,3,0),"")</f>
        <v>103. 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
① 기대이론
② 공정성이론
③ 욕구단계이론
④ 목표설정이론
⑤ 인지적평가이론</v>
      </c>
      <c r="F175" s="31">
        <f>IFERROR(VLOOKUP(C175,기출문제!D:G,4,0),"")</f>
        <v>2</v>
      </c>
      <c r="G175" s="32" t="str">
        <f t="shared" si="2"/>
        <v/>
      </c>
    </row>
    <row r="176" spans="2:7" ht="85.5" x14ac:dyDescent="0.3">
      <c r="B176" s="13">
        <v>169</v>
      </c>
      <c r="C176" s="14" t="s">
        <v>808</v>
      </c>
      <c r="D176" s="13"/>
      <c r="E176" s="15" t="str">
        <f>IFERROR(VLOOKUP(C176,기출문제!D:G,3,0),"")</f>
        <v>104. 평가센터법(Assessment Center)에 관한 설명으로 옳지 않은 것은?
① 평가에 대한 신뢰성이 양호하다.
② 승진에 대한 의사결정에 유용하다.
③ 교육훈련에 대한 타당성이 높다.
④ 평가센터에 초대받지 못한 종업원의 심리적 저항이 예상된다.
⑤ 다른 평가기법에 비해 상대적으로 비용과 시간이 적게 소요된다.</v>
      </c>
      <c r="F176" s="31">
        <f>IFERROR(VLOOKUP(C176,기출문제!D:G,4,0),"")</f>
        <v>5</v>
      </c>
      <c r="G176" s="32" t="str">
        <f t="shared" si="2"/>
        <v/>
      </c>
    </row>
    <row r="177" spans="2:7" ht="85.5" x14ac:dyDescent="0.3">
      <c r="B177" s="13">
        <v>170</v>
      </c>
      <c r="C177" s="14" t="s">
        <v>809</v>
      </c>
      <c r="D177" s="13"/>
      <c r="E177" s="15" t="str">
        <f>IFERROR(VLOOKUP(C177,기출문제!D:G,3,0),"")</f>
        <v>105. 최저임금제의 필요성으로 옳지 않은 것은?
① 계약자유 원칙의 한계 보완
② 저임금 노동자 보호
③ 임금인하 경쟁 방지
④ 유효수요 창출
⑤ 소비자 부담 완화</v>
      </c>
      <c r="F177" s="31">
        <f>IFERROR(VLOOKUP(C177,기출문제!D:G,4,0),"")</f>
        <v>5</v>
      </c>
      <c r="G177" s="32" t="str">
        <f t="shared" si="2"/>
        <v/>
      </c>
    </row>
    <row r="178" spans="2:7" ht="99.75" x14ac:dyDescent="0.3">
      <c r="B178" s="13">
        <v>171</v>
      </c>
      <c r="C178" s="14" t="s">
        <v>810</v>
      </c>
      <c r="D178" s="13"/>
      <c r="E178" s="15" t="str">
        <f>IFERROR(VLOOKUP(C178,기출문제!D:G,3,0),"")</f>
        <v>106. 인사평가방법중 피평가자의 능력, 태도, 작업, 성과 등에 관련된 표준행동들을 제시하고 평가자가 해당 서술문을 대조하여 평가하는 방법은?
① 서열법
② 평정척도법
③ 체크리스트법
④ 중요사건기술법
⑤ 목표관리법</v>
      </c>
      <c r="F178" s="31">
        <f>IFERROR(VLOOKUP(C178,기출문제!D:G,4,0),"")</f>
        <v>3</v>
      </c>
      <c r="G178" s="32" t="str">
        <f t="shared" si="2"/>
        <v/>
      </c>
    </row>
    <row r="179" spans="2:7" ht="85.5" x14ac:dyDescent="0.3">
      <c r="B179" s="13">
        <v>172</v>
      </c>
      <c r="C179" s="14" t="s">
        <v>811</v>
      </c>
      <c r="D179" s="13"/>
      <c r="E179" s="15" t="str">
        <f>IFERROR(VLOOKUP(C179,기출문제!D:G,3,0),"")</f>
        <v>107. 교육훈련 필요성을 파악하기 위한 일반적인 분석방법이 아닌 것은?
① 전문가 자문법
② 역할연기법
③ 자료조사법
④ 면접법
⑤ 델파이기법</v>
      </c>
      <c r="F179" s="31">
        <f>IFERROR(VLOOKUP(C179,기출문제!D:G,4,0),"")</f>
        <v>2</v>
      </c>
      <c r="G179" s="32" t="str">
        <f t="shared" si="2"/>
        <v/>
      </c>
    </row>
    <row r="180" spans="2:7" ht="99.75" x14ac:dyDescent="0.3">
      <c r="B180" s="13">
        <v>173</v>
      </c>
      <c r="C180" s="14" t="s">
        <v>812</v>
      </c>
      <c r="D180" s="13"/>
      <c r="E180" s="15" t="str">
        <f>IFERROR(VLOOKUP(C180,기출문제!D:G,3,0),"")</f>
        <v>108. 맥그리거(D. McGregor)의 X - Y이론은 인간에 대한 기본 가정에 따라 동기부여방식이 달라진다는 것이다. Y이론에 해당하는 가정 또는 동기부여방식이 아닌 것은?
① 문제해결을 위한 창조적 능력 보유
② 직무수행에 대한 분명한 지시
③ 조직목표 달성을 위한 자기 통제
④ 성취감과 자아실현 추구
⑤ 노동에 대한 자연스러운 수용</v>
      </c>
      <c r="F180" s="31">
        <f>IFERROR(VLOOKUP(C180,기출문제!D:G,4,0),"")</f>
        <v>2</v>
      </c>
      <c r="G180" s="32" t="str">
        <f t="shared" si="2"/>
        <v/>
      </c>
    </row>
    <row r="181" spans="2:7" ht="85.5" x14ac:dyDescent="0.3">
      <c r="B181" s="13">
        <v>174</v>
      </c>
      <c r="C181" s="14" t="s">
        <v>813</v>
      </c>
      <c r="D181" s="13"/>
      <c r="E181" s="15" t="str">
        <f>IFERROR(VLOOKUP(C181,기출문제!D:G,3,0),"")</f>
        <v>109. 서번트 리더의 특성으로 옳지 않은 것은?
① 부하의 성장을 위해 헌신한다.
② 부하의 감정에 공감하고 이해하려고 노력한다.
③ 권력이나 지시보다는 설득으로 부하를 대한다.
④ 조직의 구성원들에게 공동체 정신을 심어준다.
⑤ 비전 달성을 위해 위험감수 등 비범한 행동을 보인다.</v>
      </c>
      <c r="F181" s="31">
        <f>IFERROR(VLOOKUP(C181,기출문제!D:G,4,0),"")</f>
        <v>5</v>
      </c>
      <c r="G181" s="32" t="str">
        <f t="shared" si="2"/>
        <v/>
      </c>
    </row>
    <row r="182" spans="2:7" ht="128.25" x14ac:dyDescent="0.3">
      <c r="B182" s="13">
        <v>175</v>
      </c>
      <c r="C182" s="14" t="s">
        <v>814</v>
      </c>
      <c r="D182" s="13"/>
      <c r="E182" s="15" t="str">
        <f>IFERROR(VLOOKUP(C182,기출문제!D:G,3,0),"")</f>
        <v>110. 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
① 연봉제
② 개인성과급제
③ 임금피크제
④ 럭커 플랜
⑤ 스캔론 플랜</v>
      </c>
      <c r="F182" s="31">
        <f>IFERROR(VLOOKUP(C182,기출문제!D:G,4,0),"")</f>
        <v>4</v>
      </c>
      <c r="G182" s="32" t="str">
        <f t="shared" si="2"/>
        <v/>
      </c>
    </row>
    <row r="183" spans="2:7" ht="142.5" x14ac:dyDescent="0.3">
      <c r="B183" s="13">
        <v>176</v>
      </c>
      <c r="C183" s="14" t="s">
        <v>815</v>
      </c>
      <c r="D183" s="13"/>
      <c r="E183" s="15" t="str">
        <f>IFERROR(VLOOKUP(C183,기출문제!D:G,3,0),"")</f>
        <v>111. 다음에서 설명하는 소비재는?
○ 특정 브랜드에 대한 고객 충성도가 높다.
○ 제품마다 고유한 특성을 지니고 있다.
○ 브랜드마다 차이가 크다.
○ 구매 시 많은 시간과 노력을 필요로 한다.
① 편의품(Convenience Goods)
② 선매품(Shopping Goods)
③ 전문품(Specialty Goods)
④ 자본재(Captical Items)
⑤ 원자재(Raw Materials)</v>
      </c>
      <c r="F183" s="31">
        <f>IFERROR(VLOOKUP(C183,기출문제!D:G,4,0),"")</f>
        <v>3</v>
      </c>
      <c r="G183" s="32" t="str">
        <f t="shared" si="2"/>
        <v/>
      </c>
    </row>
    <row r="184" spans="2:7" ht="85.5" x14ac:dyDescent="0.3">
      <c r="B184" s="13">
        <v>177</v>
      </c>
      <c r="C184" s="14" t="s">
        <v>816</v>
      </c>
      <c r="D184" s="13"/>
      <c r="E184" s="15" t="str">
        <f>IFERROR(VLOOKUP(C184,기출문제!D:G,3,0),"")</f>
        <v>112. 신제품 가격결정방법 중 초기고가전략(Skimming Pricing)을 채택하기 어려운 이유는?
① 수요의 가격탄력성이 높은 경우
② 생산 및 마케팅 비용이 높은 경우
③ 경쟁자의 시장진입이 어려운 경우
④ 제품의 혁신성이 큰 경우
⑤ 독보적인 기술이 있는 경우</v>
      </c>
      <c r="F184" s="31">
        <f>IFERROR(VLOOKUP(C184,기출문제!D:G,4,0),"")</f>
        <v>1</v>
      </c>
      <c r="G184" s="32" t="str">
        <f t="shared" si="2"/>
        <v/>
      </c>
    </row>
    <row r="185" spans="2:7" ht="85.5" x14ac:dyDescent="0.3">
      <c r="B185" s="13">
        <v>178</v>
      </c>
      <c r="C185" s="14" t="s">
        <v>817</v>
      </c>
      <c r="D185" s="13"/>
      <c r="E185" s="15" t="str">
        <f>IFERROR(VLOOKUP(C185,기출문제!D:G,3,0),"")</f>
        <v>113. 효과적인 시장세분화를 위한 요건으로 옳지 않은 것은?
① 측정가능성
② 충분한 시장 규모
③ 접근가능성
④ 세분시장 간의 동질성
⑤ 실행가능성</v>
      </c>
      <c r="F185" s="31">
        <f>IFERROR(VLOOKUP(C185,기출문제!D:G,4,0),"")</f>
        <v>4</v>
      </c>
      <c r="G185" s="32" t="str">
        <f t="shared" si="2"/>
        <v/>
      </c>
    </row>
    <row r="186" spans="2:7" ht="85.5" x14ac:dyDescent="0.3">
      <c r="B186" s="13">
        <v>179</v>
      </c>
      <c r="C186" s="14" t="s">
        <v>818</v>
      </c>
      <c r="D186" s="13"/>
      <c r="E186" s="15" t="str">
        <f>IFERROR(VLOOKUP(C186,기출문제!D:G,3,0),"")</f>
        <v>114. 촉진믹스(Promotion Mix) 활동에 해당되지 않는 것은?
① 옥외광고
② 방문판매
③ 홍보
④ 가격할인
⑤ 개방적 유통</v>
      </c>
      <c r="F186" s="31">
        <f>IFERROR(VLOOKUP(C186,기출문제!D:G,4,0),"")</f>
        <v>5</v>
      </c>
      <c r="G186" s="32" t="str">
        <f t="shared" si="2"/>
        <v/>
      </c>
    </row>
    <row r="187" spans="2:7" ht="99.75" x14ac:dyDescent="0.3">
      <c r="B187" s="13">
        <v>180</v>
      </c>
      <c r="C187" s="14" t="s">
        <v>819</v>
      </c>
      <c r="D187" s="13"/>
      <c r="E187" s="15" t="str">
        <f>IFERROR(VLOOKUP(C187,기출문제!D:G,3,0),"")</f>
        <v>115. A기업은 액면가액 10,000원, 만기 2년, 액면이자율 연 3%인 채권을 발행하였다. 시장이자율이 연 2%라면, 이 채권의 이론가격은? (단, 가격은 소수점 첫째 자리에서 반올림한다.)
① 9,194원
② 9,594원
③ 10,194원
④ 10,594원
⑤ 10,994원</v>
      </c>
      <c r="F187" s="31">
        <f>IFERROR(VLOOKUP(C187,기출문제!D:G,4,0),"")</f>
        <v>3</v>
      </c>
      <c r="G187" s="32" t="str">
        <f t="shared" si="2"/>
        <v/>
      </c>
    </row>
    <row r="188" spans="2:7" ht="99.75" x14ac:dyDescent="0.3">
      <c r="B188" s="13">
        <v>181</v>
      </c>
      <c r="C188" s="14" t="s">
        <v>820</v>
      </c>
      <c r="D188" s="13"/>
      <c r="E188" s="15" t="str">
        <f>IFERROR(VLOOKUP(C188,기출문제!D:G,3,0),"")</f>
        <v>116. 자본예산은 투자로 인한 수익이 1년 이상에 걸쳐 장기적으로 실현될 투자결정에 관한 일련의 과정을 말한다. 투자안의 평가방법에 해당하지 않는 것은?
① 유동성분석법
② 수익성지수법
③ 순현재가치법
④ 내부수익률법
⑤ 회수기간법</v>
      </c>
      <c r="F188" s="31">
        <f>IFERROR(VLOOKUP(C188,기출문제!D:G,4,0),"")</f>
        <v>1</v>
      </c>
      <c r="G188" s="32" t="str">
        <f t="shared" si="2"/>
        <v/>
      </c>
    </row>
    <row r="189" spans="2:7" ht="114" x14ac:dyDescent="0.3">
      <c r="B189" s="13">
        <v>182</v>
      </c>
      <c r="C189" s="14" t="s">
        <v>821</v>
      </c>
      <c r="D189" s="13"/>
      <c r="E189" s="15" t="str">
        <f>IFERROR(VLOOKUP(C189,기출문제!D:G,3,0),"")</f>
        <v>117. 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
① 90,910원
② 173,550원
③ 182,640원
④ 235,500원
⑤ 256,190원</v>
      </c>
      <c r="F189" s="31">
        <f>IFERROR(VLOOKUP(C189,기출문제!D:G,4,0),"")</f>
        <v>4</v>
      </c>
      <c r="G189" s="32" t="str">
        <f t="shared" si="2"/>
        <v/>
      </c>
    </row>
    <row r="190" spans="2:7" ht="99.75" x14ac:dyDescent="0.3">
      <c r="B190" s="13">
        <v>183</v>
      </c>
      <c r="C190" s="14" t="s">
        <v>822</v>
      </c>
      <c r="D190" s="13"/>
      <c r="E190" s="15" t="str">
        <f>IFERROR(VLOOKUP(C190,기출문제!D:G,3,0),"")</f>
        <v>118. 최종품목 또는 완제품의 주생산일정계획(Master Production Schedule)을 기반으로 제품생산에 필요한 각종 원자재, 부품, 중간조립품의 주문량과 주문시기를 결정하는 재고관리방법은?
① 자재소요계획(MRP)
② 적시(JIT) 생산시스템
③ 린(Lean) 생산
④ 공급사슬관리(SCM)
⑤ 칸반(Kanban) 시스템</v>
      </c>
      <c r="F190" s="31">
        <f>IFERROR(VLOOKUP(C190,기출문제!D:G,4,0),"")</f>
        <v>1</v>
      </c>
      <c r="G190" s="32" t="str">
        <f t="shared" si="2"/>
        <v/>
      </c>
    </row>
    <row r="191" spans="2:7" ht="99.75" x14ac:dyDescent="0.3">
      <c r="B191" s="13">
        <v>184</v>
      </c>
      <c r="C191" s="14" t="s">
        <v>823</v>
      </c>
      <c r="D191" s="13"/>
      <c r="E191" s="15" t="str">
        <f>IFERROR(VLOOKUP(C191,기출문제!D:G,3,0),"")</f>
        <v>119. 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
① 50대, 5회
② 50대, 10회
③ 100대, 5회
④ 100대, 7회
⑤ 250대, 2회</v>
      </c>
      <c r="F191" s="31">
        <f>IFERROR(VLOOKUP(C191,기출문제!D:G,4,0),"")</f>
        <v>3</v>
      </c>
      <c r="G191" s="32" t="str">
        <f t="shared" si="2"/>
        <v/>
      </c>
    </row>
    <row r="192" spans="2:7" ht="85.5" x14ac:dyDescent="0.3">
      <c r="B192" s="13">
        <v>185</v>
      </c>
      <c r="C192" s="14" t="s">
        <v>824</v>
      </c>
      <c r="D192" s="13"/>
      <c r="E192" s="15" t="str">
        <f>IFERROR(VLOOKUP(C192,기출문제!D:G,3,0),"")</f>
        <v>120. 재고품목을 가치나 상대적 중요도에 따라 차별화하여 관리하는 ABC 재고관리에 관한 설명으로 옳은 것은?
① A등급은 재고가치가 낮은 품목들이 속한다.
② A등급 품목은 로트 크기를 크게 유지한다.
③ C등급 품목은 재고유지비가 높다.
④ ABC등급 분석을 위해 롱테일(Long Tail)법칙을 활용한다.
⑤ 가격, 사용량 등을 기준으로 등급을 구분한다.</v>
      </c>
      <c r="F192" s="31">
        <f>IFERROR(VLOOKUP(C192,기출문제!D:G,4,0),"")</f>
        <v>5</v>
      </c>
      <c r="G192" s="32" t="str">
        <f t="shared" si="2"/>
        <v/>
      </c>
    </row>
    <row r="193" spans="2:7" ht="114" x14ac:dyDescent="0.3">
      <c r="B193" s="13">
        <v>186</v>
      </c>
      <c r="C193" s="14" t="s">
        <v>825</v>
      </c>
      <c r="D193" s="13"/>
      <c r="E193" s="15" t="str">
        <f>IFERROR(VLOOKUP(C193,기출문제!D:G,3,0),"")</f>
        <v>121. 시산표는 재무상태표 구성요소와 포괄손익계산서 구성요소를 한 곳에 집계한 표이다. 다음 시산표 등식에서 ( )에 들어갈 항목으로 옳은 것은?
○ 자산 + 비용 = 부채 + ( ) + 수익
① 매출액
② 자본
③ 법인세
④ 미지급금
⑤ 감가상각비</v>
      </c>
      <c r="F193" s="31">
        <f>IFERROR(VLOOKUP(C193,기출문제!D:G,4,0),"")</f>
        <v>2</v>
      </c>
      <c r="G193" s="32" t="str">
        <f t="shared" si="2"/>
        <v/>
      </c>
    </row>
    <row r="194" spans="2:7" ht="142.5" x14ac:dyDescent="0.3">
      <c r="B194" s="13">
        <v>187</v>
      </c>
      <c r="C194" s="14" t="s">
        <v>826</v>
      </c>
      <c r="D194" s="13"/>
      <c r="E194" s="15" t="str">
        <f>IFERROR(VLOOKUP(C194,기출문제!D:G,3,0),"")</f>
        <v>122. 당좌자산에 해당하는 것을 모두 고른 것은?
ㄱ. 현금
ㄴ. 보통예금
ㄷ. 투자부동산
ㄹ. 단기금융상품
① ㄱ, ㄴ
② ㄷ, ㄹ
③ ㄱ, ㄴ, ㄹ
④ ㄴ, ㄷ, ㄹ
⑤ ㄱ, ㄴ, ㄷ, ㄹ</v>
      </c>
      <c r="F194" s="31">
        <f>IFERROR(VLOOKUP(C194,기출문제!D:G,4,0),"")</f>
        <v>3</v>
      </c>
      <c r="G194" s="32" t="str">
        <f t="shared" si="2"/>
        <v/>
      </c>
    </row>
    <row r="195" spans="2:7" ht="85.5" x14ac:dyDescent="0.3">
      <c r="B195" s="13">
        <v>188</v>
      </c>
      <c r="C195" s="14" t="s">
        <v>827</v>
      </c>
      <c r="D195" s="13"/>
      <c r="E195" s="15" t="str">
        <f>IFERROR(VLOOKUP(C195,기출문제!D:G,3,0),"")</f>
        <v>123. 재무상태표의 항목에 해당되지 않는 것은?
① 차입금
② 이익잉여금
③ 매출채권
④ 판매비
⑤ 재고자산</v>
      </c>
      <c r="F195" s="31">
        <f>IFERROR(VLOOKUP(C195,기출문제!D:G,4,0),"")</f>
        <v>4</v>
      </c>
      <c r="G195" s="32" t="str">
        <f t="shared" si="2"/>
        <v/>
      </c>
    </row>
    <row r="196" spans="2:7" ht="99.75" x14ac:dyDescent="0.3">
      <c r="B196" s="13">
        <v>189</v>
      </c>
      <c r="C196" s="14" t="s">
        <v>828</v>
      </c>
      <c r="D196" s="13"/>
      <c r="E196" s="15" t="str">
        <f>IFERROR(VLOOKUP(C196,기출문제!D:G,3,0),"")</f>
        <v>124. 네트워크 붕괴를 목적으로 다수의 잘못된 통신이나 서비스 요청을 특정 네트워크 또는 웹 서버에 보내는 방식을 의미하는 것은?
① 스푸핑(Spoofing)
② 스니핑(Sniffing)
③ 서비스 거부 공격(Denial - of - Service Attack)
④ 신원도용(Identity Theft)
⑤ 피싱(Phishing)</v>
      </c>
      <c r="F196" s="31">
        <f>IFERROR(VLOOKUP(C196,기출문제!D:G,4,0),"")</f>
        <v>3</v>
      </c>
      <c r="G196" s="32" t="str">
        <f t="shared" si="2"/>
        <v/>
      </c>
    </row>
    <row r="197" spans="2:7" ht="114" x14ac:dyDescent="0.3">
      <c r="B197" s="13">
        <v>190</v>
      </c>
      <c r="C197" s="14" t="s">
        <v>829</v>
      </c>
      <c r="D197" s="13"/>
      <c r="E197" s="15" t="str">
        <f>IFERROR(VLOOKUP(C197,기출문제!D:G,3,0),"")</f>
        <v>125. 다음에서 설명하는 것은?
○ 지리적으로 분산된 네트워크 환경에서 수 많은 컴퓨터와 저장장치, 데이터베이스 시스템 등과 같은 자원들을 고속 네트워크로 연결하여 그 자원을 공유할 수 있도록 하는 방식
① 전문가 시스템(Expert System)
② 그린 컴퓨팅(Green Computing)
③ 사물인터넷(Internet of Things)
④ 그리드 컴퓨팅(Grid Computing)
⑤ 인트라넷(Intranet)</v>
      </c>
      <c r="F197" s="31">
        <f>IFERROR(VLOOKUP(C197,기출문제!D:G,4,0),"")</f>
        <v>4</v>
      </c>
      <c r="G197" s="32" t="str">
        <f t="shared" si="2"/>
        <v/>
      </c>
    </row>
    <row r="198" spans="2:7" ht="85.5" x14ac:dyDescent="0.3">
      <c r="B198" s="13">
        <v>191</v>
      </c>
      <c r="C198" s="14" t="s">
        <v>232</v>
      </c>
      <c r="D198" s="13"/>
      <c r="E198" s="15" t="str">
        <f>IFERROR(VLOOKUP(C198,기출문제!D:G,3,0),"")</f>
        <v>101. 제품/시장 매트릭스(product/market matrix)에서 신제품을 가지고 신시장에 진출하는 성장전략은?
① 다각화 전략
② 제품개발 전략
③ 집중화 전략
④ 시장침투 전략
⑤ 시장개발 전략</v>
      </c>
      <c r="F198" s="31">
        <f>IFERROR(VLOOKUP(C198,기출문제!D:G,4,0),"")</f>
        <v>1</v>
      </c>
      <c r="G198" s="32" t="str">
        <f t="shared" si="2"/>
        <v/>
      </c>
    </row>
    <row r="199" spans="2:7" ht="85.5" x14ac:dyDescent="0.3">
      <c r="B199" s="13">
        <v>192</v>
      </c>
      <c r="C199" s="14" t="s">
        <v>977</v>
      </c>
      <c r="D199" s="13"/>
      <c r="E199" s="15" t="str">
        <f>IFERROR(VLOOKUP(C199,기출문제!D:G,3,0),"")</f>
        <v>102. 경영이론의 주창자와 그 내용이 옳지 않은 것은?
① 테일러(Taylor): 차별적 성과급제
② 메이요(Mayo): 비공식 조직의 중시
③ 페이욜(Fayol): 권한과 책임의 원칙
④ 포드(Ford): 고임금 고가격의 원칙
⑤ 베버(Weber): 규칙과 절차의 중시</v>
      </c>
      <c r="F199" s="31">
        <f>IFERROR(VLOOKUP(C199,기출문제!D:G,4,0),"")</f>
        <v>4</v>
      </c>
      <c r="G199" s="32" t="str">
        <f t="shared" si="2"/>
        <v/>
      </c>
    </row>
    <row r="200" spans="2:7" ht="85.5" x14ac:dyDescent="0.3">
      <c r="B200" s="13">
        <v>193</v>
      </c>
      <c r="C200" s="14" t="s">
        <v>978</v>
      </c>
      <c r="D200" s="13"/>
      <c r="E200" s="15" t="str">
        <f>IFERROR(VLOOKUP(C200,기출문제!D:G,3,0),"")</f>
        <v>103. 생산수량과 일정을 토대로 필요한 자재조달 계획을 수립하는 관리시스템은?
① CIM
② FMS
③ MRP
④ SCM
⑤ TQM</v>
      </c>
      <c r="F200" s="31">
        <f>IFERROR(VLOOKUP(C200,기출문제!D:G,4,0),"")</f>
        <v>3</v>
      </c>
      <c r="G200" s="32" t="str">
        <f t="shared" si="2"/>
        <v/>
      </c>
    </row>
    <row r="201" spans="2:7" ht="128.25" x14ac:dyDescent="0.3">
      <c r="B201" s="13">
        <v>194</v>
      </c>
      <c r="C201" s="14" t="s">
        <v>979</v>
      </c>
      <c r="D201" s="13"/>
      <c r="E201" s="15" t="str">
        <f>IFERROR(VLOOKUP(C201,기출문제!D:G,3,0),"")</f>
        <v>104. 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
① 제도화이론
② 자원의존이론
③ 조직군생태학이론
④ 거래비용이론
⑤ 학습조직이론</v>
      </c>
      <c r="F201" s="31">
        <f>IFERROR(VLOOKUP(C201,기출문제!D:G,4,0),"")</f>
        <v>2</v>
      </c>
      <c r="G201" s="32" t="str">
        <f t="shared" ref="G201:G264" si="3">IF(D201="","",IF(D201=F201,"O", "X"))</f>
        <v/>
      </c>
    </row>
    <row r="202" spans="2:7" ht="128.25" x14ac:dyDescent="0.3">
      <c r="B202" s="13">
        <v>195</v>
      </c>
      <c r="C202" s="14" t="s">
        <v>980</v>
      </c>
      <c r="D202" s="13"/>
      <c r="E202" s="15" t="str">
        <f>IFERROR(VLOOKUP(C202,기출문제!D:G,3,0),"")</f>
        <v>105. 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
① 직무순환
② 직무전문화
③ 직무특성화
④ 수평적 직무확대
⑤ 직무충실화</v>
      </c>
      <c r="F202" s="31">
        <f>IFERROR(VLOOKUP(C202,기출문제!D:G,4,0),"")</f>
        <v>5</v>
      </c>
      <c r="G202" s="32" t="str">
        <f t="shared" si="3"/>
        <v/>
      </c>
    </row>
    <row r="203" spans="2:7" ht="142.5" x14ac:dyDescent="0.3">
      <c r="B203" s="13">
        <v>196</v>
      </c>
      <c r="C203" s="14" t="s">
        <v>981</v>
      </c>
      <c r="D203" s="13"/>
      <c r="E203" s="15" t="str">
        <f>IFERROR(VLOOKUP(C203,기출문제!D:G,3,0),"")</f>
        <v>106. 호손실험(Hawthorne experiment)의 순서가 바르게 나열된 것은?
ㄱ. 면접실험
ㄴ. 조명실험
ㄷ. 배전기 전선작업실 관찰
ㄹ. 계전기 조립실험
① ㄱ → ㄴ → ㄷ → ㄹ
② ㄱ → ㄹ → ㄷ → ㄴ
③ ㄴ → ㄹ → ㄱ → ㄷ
④ ㄴ → ㄹ → ㄷ → ㄱ
⑤ ㄹ → ㄱ → ㄷ → ㄴ</v>
      </c>
      <c r="F203" s="31">
        <f>IFERROR(VLOOKUP(C203,기출문제!D:G,4,0),"")</f>
        <v>3</v>
      </c>
      <c r="G203" s="32" t="str">
        <f t="shared" si="3"/>
        <v/>
      </c>
    </row>
    <row r="204" spans="2:7" ht="85.5" x14ac:dyDescent="0.3">
      <c r="B204" s="13">
        <v>197</v>
      </c>
      <c r="C204" s="14" t="s">
        <v>982</v>
      </c>
      <c r="D204" s="13"/>
      <c r="E204" s="15" t="str">
        <f>IFERROR(VLOOKUP(C204,기출문제!D:G,3,0),"")</f>
        <v>107. 기대이론에서 동기부여를 유발하는 요인에 관한 설명으로 옳지 않은 것은?
① 수단성이 높아야 동기부여가 된다.
② 기대가 높아야 동기부여가 된다.
③ 조직에 대한 신뢰가 클수록 수단성이 높아진다.
④ 가치관에 부합되는 보상이 주어질수록 유의성이 높아진다.
⑤ 종업원들은 주어진 보상에 대하여 동일한 유의성을 갖는다.</v>
      </c>
      <c r="F204" s="31">
        <f>IFERROR(VLOOKUP(C204,기출문제!D:G,4,0),"")</f>
        <v>5</v>
      </c>
      <c r="G204" s="32" t="str">
        <f t="shared" si="3"/>
        <v/>
      </c>
    </row>
    <row r="205" spans="2:7" ht="85.5" x14ac:dyDescent="0.3">
      <c r="B205" s="13">
        <v>198</v>
      </c>
      <c r="C205" s="14" t="s">
        <v>983</v>
      </c>
      <c r="D205" s="13"/>
      <c r="E205" s="15" t="str">
        <f>IFERROR(VLOOKUP(C205,기출문제!D:G,3,0),"")</f>
        <v>108. 리더십에 관한 설명으로 옳지 않은 것은?
① 거래적 리더십은 리더와 종업원 사이의 교환이나 거래관계를 통해 발휘된다.
② 서번트 리더십은 목표달성이라는 결과보다 구성원에 대한 서비스에 초점을 둔다.
③ 카리스마적 리더십은 비전달성을 위해 위험감수 등 비범한 행동을 보인다.
④ 변혁적 리더십은 장기비전을 제시하고 구성원들의 가치관 변화와 조직몰입을 증가시킨다.
⑤ 슈퍼 리더십은 리더가 종업원들을 관리하고 통제할 수 있는 힘과 기술을 가지도록 하는데 초점을 둔다.</v>
      </c>
      <c r="F205" s="31">
        <f>IFERROR(VLOOKUP(C205,기출문제!D:G,4,0),"")</f>
        <v>5</v>
      </c>
      <c r="G205" s="32" t="str">
        <f t="shared" si="3"/>
        <v/>
      </c>
    </row>
    <row r="206" spans="2:7" ht="85.5" x14ac:dyDescent="0.3">
      <c r="B206" s="13">
        <v>199</v>
      </c>
      <c r="C206" s="14" t="s">
        <v>984</v>
      </c>
      <c r="D206" s="13"/>
      <c r="E206" s="15" t="str">
        <f>IFERROR(VLOOKUP(C206,기출문제!D:G,3,0),"")</f>
        <v>109. 질적 인력수요 예측기법에 해당하지 않는 것은?
① 브레인스토밍법
② 명목집단법
③ 시나리오 기법
④ 자격요건 분석법
⑤ 노동과학적 기법</v>
      </c>
      <c r="F206" s="31">
        <f>IFERROR(VLOOKUP(C206,기출문제!D:G,4,0),"")</f>
        <v>5</v>
      </c>
      <c r="G206" s="32" t="str">
        <f t="shared" si="3"/>
        <v/>
      </c>
    </row>
    <row r="207" spans="2:7" ht="85.5" x14ac:dyDescent="0.3">
      <c r="B207" s="13">
        <v>200</v>
      </c>
      <c r="C207" s="14" t="s">
        <v>985</v>
      </c>
      <c r="D207" s="13"/>
      <c r="E207" s="15" t="str">
        <f>IFERROR(VLOOKUP(C207,기출문제!D:G,3,0),"")</f>
        <v>110. 종업원 선발을 위한 면접에 관한 설명으로 옳은 것은?
① 비구조화 면접은 표준화된 질문지를 사용한다.
② 집단 면접의 경우 맥락효과(context effect)가 발생할 수 있다.
③ 면접의 신뢰성과 타당성을 높이기 위해 면접내용 개발 단계에서 면접관이나 경영진을 배제한다.
④ 위원회 면접은 한명의 면접자가 여러 명의 피면접자를 평가하는 방식이다.
⑤ 스트레스 면접은 여러 시기에 걸쳐 여러 사람이 면접하는 방식이다.</v>
      </c>
      <c r="F207" s="31">
        <f>IFERROR(VLOOKUP(C207,기출문제!D:G,4,0),"")</f>
        <v>2</v>
      </c>
      <c r="G207" s="32" t="str">
        <f t="shared" si="3"/>
        <v/>
      </c>
    </row>
    <row r="208" spans="2:7" ht="85.5" x14ac:dyDescent="0.3">
      <c r="B208" s="13">
        <v>201</v>
      </c>
      <c r="C208" s="14" t="s">
        <v>986</v>
      </c>
      <c r="D208" s="13"/>
      <c r="E208" s="15" t="str">
        <f>IFERROR(VLOOKUP(C208,기출문제!D:G,3,0),"")</f>
        <v>111. 노사관계에 관한 설명으로 옳지 않은 것은?
① 좁은 의미의 노사관계는 집단적 노사관계를 의미한다.
② 메인트넌스 숍(maintenance shop)은 조합원이 아닌 종업원에게도 노동조합비를 징수하는 제도이다.
③ 우리나라 노동조합의 조직형태는 기업별 노조가 대부분이다.
④ 사용자는 노동조합의 파업에 대응하여 직장을 폐쇄할 수 있다.
⑤ 채용이후 자동적으로 노동조합에 가입하는 제도는 유니온 숍(union shop)이다.</v>
      </c>
      <c r="F208" s="31">
        <f>IFERROR(VLOOKUP(C208,기출문제!D:G,4,0),"")</f>
        <v>2</v>
      </c>
      <c r="G208" s="32" t="str">
        <f t="shared" si="3"/>
        <v/>
      </c>
    </row>
    <row r="209" spans="2:7" ht="85.5" x14ac:dyDescent="0.3">
      <c r="B209" s="13">
        <v>202</v>
      </c>
      <c r="C209" s="14" t="s">
        <v>987</v>
      </c>
      <c r="D209" s="13"/>
      <c r="E209" s="15" t="str">
        <f>IFERROR(VLOOKUP(C209,기출문제!D:G,3,0),"")</f>
        <v>112. 시장세분화에 관한 설명으로 옳지 않은 것은?
① 세분화된 시장 내에서는 이질성이 극대화 되도록 해야 한다.
② 효과적인 시장세분화를 위해서는 시장의 규모가 측정 가능해야 한다.
③ 나이, 성별, 소득은 인구통계학적 세분화 기준에 속한다.
④ 제품사용 상황, 추구편익은 행동적 세분화 기준에 속한다.
⑤ 라이프스타일, 성격은 심리도식적 세분화 기준에 속한다.</v>
      </c>
      <c r="F209" s="31">
        <f>IFERROR(VLOOKUP(C209,기출문제!D:G,4,0),"")</f>
        <v>1</v>
      </c>
      <c r="G209" s="32" t="str">
        <f t="shared" si="3"/>
        <v/>
      </c>
    </row>
    <row r="210" spans="2:7" ht="85.5" x14ac:dyDescent="0.3">
      <c r="B210" s="13">
        <v>203</v>
      </c>
      <c r="C210" s="14" t="s">
        <v>988</v>
      </c>
      <c r="D210" s="13"/>
      <c r="E210" s="15" t="str">
        <f>IFERROR(VLOOKUP(C210,기출문제!D:G,3,0),"")</f>
        <v>113. A 사가 프린터를 저렴하게 판매한 후, 그 프린터의 토너를 비싼 가격으로 결정하는 방법은?
① 종속제품 가격결정(captive product pricing)
② 묶음 가격결정(bundle pricing)
③ 단수 가격결정(odd pricing)
④ 침투 가격결정(penetration pricing)
⑤ 스키밍 가격결정(skimming pricing)</v>
      </c>
      <c r="F210" s="31">
        <f>IFERROR(VLOOKUP(C210,기출문제!D:G,4,0),"")</f>
        <v>1</v>
      </c>
      <c r="G210" s="32" t="str">
        <f t="shared" si="3"/>
        <v/>
      </c>
    </row>
    <row r="211" spans="2:7" ht="85.5" x14ac:dyDescent="0.3">
      <c r="B211" s="13">
        <v>204</v>
      </c>
      <c r="C211" s="14" t="s">
        <v>989</v>
      </c>
      <c r="D211" s="13"/>
      <c r="E211" s="15" t="str">
        <f>IFERROR(VLOOKUP(C211,기출문제!D:G,3,0),"")</f>
        <v>114. 제품 구성요소 중 유형제품(tangible product)에 해당하는 것은?
① 보증(guarantee)
② 상표명(brand name)
③ 대금결제방식(payment)
④ 배달(delivery)
⑤ 애프터 서비스(after service)</v>
      </c>
      <c r="F211" s="31">
        <f>IFERROR(VLOOKUP(C211,기출문제!D:G,4,0),"")</f>
        <v>2</v>
      </c>
      <c r="G211" s="32" t="str">
        <f t="shared" si="3"/>
        <v/>
      </c>
    </row>
    <row r="212" spans="2:7" ht="128.25" x14ac:dyDescent="0.3">
      <c r="B212" s="13">
        <v>205</v>
      </c>
      <c r="C212" s="14" t="s">
        <v>990</v>
      </c>
      <c r="D212" s="13"/>
      <c r="E212" s="15" t="str">
        <f>IFERROR(VLOOKUP(C212,기출문제!D:G,3,0),"")</f>
        <v>115. 다음에서 증권시장선(SML)을 이용하여 A 주식의 균형기대수익률을 구한 값은?
○ 무위험이자율: 5%
○ 시장포트폴리오 기대수익률: 10%
○ A 주식의 베타: 1.2
① 5%
② 7%
③ 9%
④ 11%
⑤ 13%</v>
      </c>
      <c r="F212" s="31">
        <f>IFERROR(VLOOKUP(C212,기출문제!D:G,4,0),"")</f>
        <v>4</v>
      </c>
      <c r="G212" s="32" t="str">
        <f t="shared" si="3"/>
        <v/>
      </c>
    </row>
    <row r="213" spans="2:7" ht="85.5" x14ac:dyDescent="0.3">
      <c r="B213" s="13">
        <v>206</v>
      </c>
      <c r="C213" s="14" t="s">
        <v>991</v>
      </c>
      <c r="D213" s="13"/>
      <c r="E213" s="15" t="str">
        <f>IFERROR(VLOOKUP(C213,기출문제!D:G,3,0),"")</f>
        <v>116. 자본자산가격결정모형(CAPM)의 가정으로 옳지 않은 것은?
① 투자자는 위험회피형 투자자이며 기대효용 극대화를 추구한다.
② 무위험자산이 존재하며, 무위험이자율로 무제한 차입 또는 대출이 가능하다.
③ 세금과 거래비용이 존재하는 불완전 자본시장이다.
④ 투자자는 평균 - 분산 기준에 따라 포트폴리오를 선택한다.
⑤ 모든 투자자는 투자대상의 미래 수익률의 확률분포에 대하여 동질적 예측을 한다.</v>
      </c>
      <c r="F213" s="31">
        <f>IFERROR(VLOOKUP(C213,기출문제!D:G,4,0),"")</f>
        <v>3</v>
      </c>
      <c r="G213" s="32" t="str">
        <f t="shared" si="3"/>
        <v/>
      </c>
    </row>
    <row r="214" spans="2:7" ht="142.5" x14ac:dyDescent="0.3">
      <c r="B214" s="13">
        <v>207</v>
      </c>
      <c r="C214" s="14" t="s">
        <v>670</v>
      </c>
      <c r="D214" s="13"/>
      <c r="E214" s="15" t="str">
        <f>IFERROR(VLOOKUP(C214,기출문제!D:G,3,0),"")</f>
        <v>117. 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
① ㄱ, ㄴ
② ㄴ, ㄷ
③ ㄱ, ㄹ
④ ㄷ, ㄹ
⑤ ㄴ, ㄷ, ㄹ</v>
      </c>
      <c r="F214" s="31">
        <f>IFERROR(VLOOKUP(C214,기출문제!D:G,4,0),"")</f>
        <v>3</v>
      </c>
      <c r="G214" s="32" t="str">
        <f t="shared" si="3"/>
        <v/>
      </c>
    </row>
    <row r="215" spans="2:7" ht="85.5" x14ac:dyDescent="0.3">
      <c r="B215" s="13">
        <v>208</v>
      </c>
      <c r="C215" s="14" t="s">
        <v>992</v>
      </c>
      <c r="D215" s="13"/>
      <c r="E215" s="15" t="str">
        <f>IFERROR(VLOOKUP(C215,기출문제!D:G,3,0),"")</f>
        <v>118. 유동비율 = (A) / 유동부채 × 100, 자기자본순이익률(ROE) = (1 + 부채비율) × (B)일 때, 각각 옳게 짝지어진 것은?
① A: 유동자산, B: 총자본순이익률
② A: 유동자산, B: 매출액순이익률
③ A: 유동자산, B: 총자본회전율
④ A: 유형자산, B: 총자본회전율
⑤ A: 유형자산, B: 매출액영업이익률</v>
      </c>
      <c r="F215" s="31">
        <f>IFERROR(VLOOKUP(C215,기출문제!D:G,4,0),"")</f>
        <v>1</v>
      </c>
      <c r="G215" s="32" t="str">
        <f t="shared" si="3"/>
        <v/>
      </c>
    </row>
    <row r="216" spans="2:7" ht="85.5" x14ac:dyDescent="0.3">
      <c r="B216" s="13">
        <v>209</v>
      </c>
      <c r="C216" s="14" t="s">
        <v>993</v>
      </c>
      <c r="D216" s="13"/>
      <c r="E216" s="15" t="str">
        <f>IFERROR(VLOOKUP(C216,기출문제!D:G,3,0),"")</f>
        <v>119. 회계감사의 감사의견에 포함되지 않는 것은?
① 적정 의견
② 부적정 의견
③ 한정 의견
④ 불한정 의견
⑤ 의견 거절</v>
      </c>
      <c r="F216" s="31">
        <f>IFERROR(VLOOKUP(C216,기출문제!D:G,4,0),"")</f>
        <v>4</v>
      </c>
      <c r="G216" s="32" t="str">
        <f t="shared" si="3"/>
        <v/>
      </c>
    </row>
    <row r="217" spans="2:7" ht="85.5" x14ac:dyDescent="0.3">
      <c r="B217" s="13">
        <v>210</v>
      </c>
      <c r="C217" s="14" t="s">
        <v>994</v>
      </c>
      <c r="D217" s="13"/>
      <c r="E217" s="15" t="str">
        <f>IFERROR(VLOOKUP(C217,기출문제!D:G,3,0),"")</f>
        <v>120. 자본 항목에 해당하는 것은?
① 이익잉여금
② 사채
③ 영업권
④ 미수수익
⑤ 선수수익</v>
      </c>
      <c r="F217" s="31">
        <f>IFERROR(VLOOKUP(C217,기출문제!D:G,4,0),"")</f>
        <v>1</v>
      </c>
      <c r="G217" s="32" t="str">
        <f t="shared" si="3"/>
        <v/>
      </c>
    </row>
    <row r="218" spans="2:7" ht="114" x14ac:dyDescent="0.3">
      <c r="B218" s="13">
        <v>211</v>
      </c>
      <c r="C218" s="14" t="s">
        <v>995</v>
      </c>
      <c r="D218" s="13"/>
      <c r="E218" s="15" t="str">
        <f>IFERROR(VLOOKUP(C218,기출문제!D:G,3,0),"")</f>
        <v>21. 최근 3개월 자료로 가중이동평균법을 적용할 때, 5월의 예측생산량은? (단, 가중치는 0.5, 0.3, 0.2를 적용한다.)
○ 구분                  1월    2월    3월    4월
○ 제품생산량(개)   90만  70만  90만  110만
① 87만개
② 90만개
③ 93만개
④ 96만개
⑤ 99만개</v>
      </c>
      <c r="F218" s="31">
        <f>IFERROR(VLOOKUP(C218,기출문제!D:G,4,0),"")</f>
        <v>4</v>
      </c>
      <c r="G218" s="32" t="str">
        <f t="shared" si="3"/>
        <v/>
      </c>
    </row>
    <row r="219" spans="2:7" ht="114" x14ac:dyDescent="0.3">
      <c r="B219" s="13">
        <v>212</v>
      </c>
      <c r="C219" s="14" t="s">
        <v>996</v>
      </c>
      <c r="D219" s="13"/>
      <c r="E219" s="15" t="str">
        <f>IFERROR(VLOOKUP(C219,기출문제!D:G,3,0),"")</f>
        <v>122. 다음이 설명하는 기법은?
○ 비구조적인 문제를 다루는데 유용하다.
○ 경험을 체계화하고 정형화하여 해결책을 발견한다.
① 팀 빌딩
② 휴리스틱
③ 군집분석
④ 회귀분석
⑤ 선형계획법</v>
      </c>
      <c r="F219" s="31">
        <f>IFERROR(VLOOKUP(C219,기출문제!D:G,4,0),"")</f>
        <v>2</v>
      </c>
      <c r="G219" s="32" t="str">
        <f t="shared" si="3"/>
        <v/>
      </c>
    </row>
    <row r="220" spans="2:7" ht="85.5" x14ac:dyDescent="0.3">
      <c r="B220" s="13">
        <v>213</v>
      </c>
      <c r="C220" s="14" t="s">
        <v>997</v>
      </c>
      <c r="D220" s="13"/>
      <c r="E220" s="15" t="str">
        <f>IFERROR(VLOOKUP(C220,기출문제!D:G,3,0),"")</f>
        <v>123. 전사적 자원관리(ERP) 도입의 효과가 아닌 것은?
① 신기술 수용 및 활용
② 사업장 및 업무통합
③ 고객 이미지 개선
④ 정보 적시 제공
⑤ 업무프로세스 복잡화</v>
      </c>
      <c r="F220" s="31">
        <f>IFERROR(VLOOKUP(C220,기출문제!D:G,4,0),"")</f>
        <v>5</v>
      </c>
      <c r="G220" s="32" t="str">
        <f t="shared" si="3"/>
        <v/>
      </c>
    </row>
    <row r="221" spans="2:7" ht="85.5" x14ac:dyDescent="0.3">
      <c r="B221" s="13">
        <v>214</v>
      </c>
      <c r="C221" s="14" t="s">
        <v>998</v>
      </c>
      <c r="D221" s="13"/>
      <c r="E221" s="15" t="str">
        <f>IFERROR(VLOOKUP(C221,기출문제!D:G,3,0),"")</f>
        <v>124. 모바일 비즈니스의 특성으로 옳지 않은 것은?
① 편재성
② 접근성
③ 고정성
④ 편리성
⑤ 접속성</v>
      </c>
      <c r="F221" s="31">
        <f>IFERROR(VLOOKUP(C221,기출문제!D:G,4,0),"")</f>
        <v>3</v>
      </c>
      <c r="G221" s="32" t="str">
        <f t="shared" si="3"/>
        <v/>
      </c>
    </row>
    <row r="222" spans="2:7" ht="142.5" x14ac:dyDescent="0.3">
      <c r="B222" s="13">
        <v>215</v>
      </c>
      <c r="C222" s="14" t="s">
        <v>999</v>
      </c>
      <c r="D222" s="13"/>
      <c r="E222" s="15" t="str">
        <f>IFERROR(VLOOKUP(C222,기출문제!D:G,3,0),"")</f>
        <v>125. 빅데이터(big data)의 기본적 특성(3V)으로 옳은 것을 모두 고른 것은?
ㄱ. 거대한 양(Volume)
ㄴ. 모호성(Vagueness)
ㄷ. 다양한 형태(Variety)
ㄹ. 생성 속도(Velocity)
① ㄱ, ㄴ
② ㄴ, ㄷ
③ ㄱ, ㄴ, ㄹ
④ ㄱ, ㄷ, ㄹ
⑤ ㄴ, ㄷ, ㄹ</v>
      </c>
      <c r="F222" s="31">
        <f>IFERROR(VLOOKUP(C222,기출문제!D:G,4,0),"")</f>
        <v>4</v>
      </c>
      <c r="G222" s="32" t="str">
        <f t="shared" si="3"/>
        <v/>
      </c>
    </row>
    <row r="223" spans="2:7" ht="85.5" x14ac:dyDescent="0.3">
      <c r="B223" s="13">
        <v>216</v>
      </c>
      <c r="C223" s="14" t="s">
        <v>276</v>
      </c>
      <c r="D223" s="13"/>
      <c r="E223" s="15" t="str">
        <f>IFERROR(VLOOKUP(C223,기출문제!D:G,3,0),"")</f>
        <v>101. 막스 베버(Max Weber)가 제시한 관료제이론의 주요 내용이 아닌 것은?
① 규정에 따른 직무배정과 직무수행
② 능력과 과업에 따른 선발과 승진
③ 상황적합적 관리
④ 계층에 의한 관리
⑤ 규칙과 문서에 의한 관리</v>
      </c>
      <c r="F223" s="31">
        <f>IFERROR(VLOOKUP(C223,기출문제!D:G,4,0),"")</f>
        <v>3</v>
      </c>
      <c r="G223" s="32" t="str">
        <f t="shared" si="3"/>
        <v/>
      </c>
    </row>
    <row r="224" spans="2:7" ht="85.5" x14ac:dyDescent="0.3">
      <c r="B224" s="13">
        <v>217</v>
      </c>
      <c r="C224" s="14" t="s">
        <v>1000</v>
      </c>
      <c r="D224" s="13"/>
      <c r="E224" s="15" t="str">
        <f>IFERROR(VLOOKUP(C224,기출문제!D:G,3,0),"")</f>
        <v>102. 매슬로우(A. H. Maslow)가 제시한 욕구단계이론의 내용이 아닌 것은?
① 권한위임에 대한 욕구
② 신체적 안전에 대한 욕구
③ 소속감이나 애정에 대한 욕구
④ 의식주에 대한 욕구
⑤ 존경받고 싶은 욕구</v>
      </c>
      <c r="F224" s="31">
        <f>IFERROR(VLOOKUP(C224,기출문제!D:G,4,0),"")</f>
        <v>1</v>
      </c>
      <c r="G224" s="32" t="str">
        <f t="shared" si="3"/>
        <v/>
      </c>
    </row>
    <row r="225" spans="2:7" ht="114" x14ac:dyDescent="0.3">
      <c r="B225" s="13">
        <v>218</v>
      </c>
      <c r="C225" s="14" t="s">
        <v>1001</v>
      </c>
      <c r="D225" s="13"/>
      <c r="E225" s="15" t="str">
        <f>IFERROR(VLOOKUP(C225,기출문제!D:G,3,0),"")</f>
        <v>103. 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
① 학습조직(Learning Organization)
② 다운사이징(Downsizing)
③ 리스트럭처링(Restructuring)
④ 리엔지니어링(Reengineering)
⑤ 6시그마(Six Sigma)</v>
      </c>
      <c r="F225" s="31">
        <f>IFERROR(VLOOKUP(C225,기출문제!D:G,4,0),"")</f>
        <v>5</v>
      </c>
      <c r="G225" s="32" t="str">
        <f t="shared" si="3"/>
        <v/>
      </c>
    </row>
    <row r="226" spans="2:7" ht="85.5" x14ac:dyDescent="0.3">
      <c r="B226" s="13">
        <v>219</v>
      </c>
      <c r="C226" s="14" t="s">
        <v>1002</v>
      </c>
      <c r="D226" s="13"/>
      <c r="E226" s="15" t="str">
        <f>IFERROR(VLOOKUP(C226,기출문제!D:G,3,0),"")</f>
        <v>104. 브릭스(BRICs)로 일컬어지는 신흥경제권 국가가 아닌 것은?
① 인도
② 캐나다
③ 러시아
④ 브라질
⑤ 중국</v>
      </c>
      <c r="F226" s="31">
        <f>IFERROR(VLOOKUP(C226,기출문제!D:G,4,0),"")</f>
        <v>2</v>
      </c>
      <c r="G226" s="32" t="str">
        <f t="shared" si="3"/>
        <v/>
      </c>
    </row>
    <row r="227" spans="2:7" ht="85.5" x14ac:dyDescent="0.3">
      <c r="B227" s="13">
        <v>220</v>
      </c>
      <c r="C227" s="14" t="s">
        <v>1003</v>
      </c>
      <c r="D227" s="13"/>
      <c r="E227" s="15" t="str">
        <f>IFERROR(VLOOKUP(C227,기출문제!D:G,3,0),"")</f>
        <v>105. 임금수준의 관리에 관한 설명으로 옳지 않은 것은?
① 대외적 공정성을 확보하기 위해서는 노동시장의 임금수준 파악이 필요하다.
② 기업의 임금 지불능력을 파악하는 기준으로 생산성과 수익성을 들 수 있다.
③ 임금수준 결정 시 선도전략은 유능한 종업원을 유인하는 효과가 크다.
④ 임금수준의 관리는 적정성의 원칙을 지향한다.
⑤ 임금수준의 하한선은 기업의 지불능력에 의하여 결정된다.</v>
      </c>
      <c r="F227" s="31">
        <f>IFERROR(VLOOKUP(C227,기출문제!D:G,4,0),"")</f>
        <v>5</v>
      </c>
      <c r="G227" s="32" t="str">
        <f t="shared" si="3"/>
        <v/>
      </c>
    </row>
    <row r="228" spans="2:7" ht="156.75" x14ac:dyDescent="0.3">
      <c r="B228" s="13">
        <v>221</v>
      </c>
      <c r="C228" s="14" t="s">
        <v>1004</v>
      </c>
      <c r="D228" s="13"/>
      <c r="E228" s="15" t="str">
        <f>IFERROR(VLOOKUP(C228,기출문제!D:G,3,0),"")</f>
        <v>106. 허츠버그(F. Herzberg)의 2요인이론에서 동기요인을 모두 고른 것은?
ㄱ. 상사와의 관계
ㄴ. 성취
ㄷ. 회사 정책 및 관리방침
ㄹ. 작업조건
ㅁ. 인정
① ㄱ, ㄴ
② ㄱ, ㅁ
③ ㄴ, ㄷ
④ ㄴ, ㅁ
⑤ ㄹ, ㅁ</v>
      </c>
      <c r="F228" s="31">
        <f>IFERROR(VLOOKUP(C228,기출문제!D:G,4,0),"")</f>
        <v>4</v>
      </c>
      <c r="G228" s="32" t="str">
        <f t="shared" si="3"/>
        <v/>
      </c>
    </row>
    <row r="229" spans="2:7" ht="114" x14ac:dyDescent="0.3">
      <c r="B229" s="13">
        <v>222</v>
      </c>
      <c r="C229" s="14" t="s">
        <v>1005</v>
      </c>
      <c r="D229" s="13"/>
      <c r="E229" s="15" t="str">
        <f>IFERROR(VLOOKUP(C229,기출문제!D:G,3,0),"")</f>
        <v>107. 다음 설명에 해당하는 인사평가기법은?
○ 평가자가 피평가자의 일상 작업생활에 대한 관찰 등을 통해 특별히 효과적이거나 비효과적인 행동, 업적 등을 기록하고 이를 평가시점에 정리하여 평가하는 기법
① 서열법
② 평정척도법
③ 체크리스트법
④ 중요사건기술법
⑤ 강제선택서술법</v>
      </c>
      <c r="F229" s="31">
        <f>IFERROR(VLOOKUP(C229,기출문제!D:G,4,0),"")</f>
        <v>4</v>
      </c>
      <c r="G229" s="32" t="str">
        <f t="shared" si="3"/>
        <v/>
      </c>
    </row>
    <row r="230" spans="2:7" ht="114" x14ac:dyDescent="0.3">
      <c r="B230" s="13">
        <v>223</v>
      </c>
      <c r="C230" s="14" t="s">
        <v>1006</v>
      </c>
      <c r="D230" s="13"/>
      <c r="E230" s="15" t="str">
        <f>IFERROR(VLOOKUP(C230,기출문제!D:G,3,0),"")</f>
        <v>108. 다음 설명에 해당하는 것은?
○ 전환배치 시 해당 종업원의 '능력(적성)-직무-시간' 이라는 세 가지 측면을 모두 고려하여 이들 간의 적합성을 극대화시켜야 된다는 원칙
① 연공주의
② 균형주의
③ 상향이동주의
④ 인재육성주의
⑤ 적재적소적시주의</v>
      </c>
      <c r="F230" s="31">
        <f>IFERROR(VLOOKUP(C230,기출문제!D:G,4,0),"")</f>
        <v>5</v>
      </c>
      <c r="G230" s="32" t="str">
        <f t="shared" si="3"/>
        <v/>
      </c>
    </row>
    <row r="231" spans="2:7" ht="85.5" x14ac:dyDescent="0.3">
      <c r="B231" s="13">
        <v>224</v>
      </c>
      <c r="C231" s="14" t="s">
        <v>1007</v>
      </c>
      <c r="D231" s="13"/>
      <c r="E231" s="15" t="str">
        <f>IFERROR(VLOOKUP(C231,기출문제!D:G,3,0),"")</f>
        <v>109. 인간관계론에 해당하는 내용은?
① 기획업무와 집행업무를 분리시킴으로써 계획과 통제의 개념 확립
② 시간 및 동작 연구를 통하여 표준 과업량 설정
③ 자연발생적으로 형성된 비공식 조직의 존재 인식
④ 과업에 적합한 근로자 선발 및 교육훈련 방법 고안
⑤ 전문기능별 책임자가 작업에 대한 분업적 지도 수행</v>
      </c>
      <c r="F231" s="31">
        <f>IFERROR(VLOOKUP(C231,기출문제!D:G,4,0),"")</f>
        <v>3</v>
      </c>
      <c r="G231" s="32" t="str">
        <f t="shared" si="3"/>
        <v/>
      </c>
    </row>
    <row r="232" spans="2:7" ht="85.5" x14ac:dyDescent="0.3">
      <c r="B232" s="13">
        <v>225</v>
      </c>
      <c r="C232" s="14" t="s">
        <v>1008</v>
      </c>
      <c r="D232" s="13"/>
      <c r="E232" s="15" t="str">
        <f>IFERROR(VLOOKUP(C232,기출문제!D:G,3,0),"")</f>
        <v>110. 직무기술서에 포함되는 사항이 아닌 것은?
① 요구되는 지식
② 작업 조건
③ 직무수행의 절차
④ 수행되는 과업
⑤ 직무수행의 방법</v>
      </c>
      <c r="F232" s="31">
        <f>IFERROR(VLOOKUP(C232,기출문제!D:G,4,0),"")</f>
        <v>1</v>
      </c>
      <c r="G232" s="32" t="str">
        <f t="shared" si="3"/>
        <v/>
      </c>
    </row>
    <row r="233" spans="2:7" ht="85.5" x14ac:dyDescent="0.3">
      <c r="B233" s="13">
        <v>226</v>
      </c>
      <c r="C233" s="14" t="s">
        <v>1009</v>
      </c>
      <c r="D233" s="13"/>
      <c r="E233" s="15" t="str">
        <f>IFERROR(VLOOKUP(C233,기출문제!D:G,3,0),"")</f>
        <v>111. 프렌치(J.R.P. French)와 레이븐(B. Raven)이 구분한 5가지 권력 유형이 아닌 것은?
① 합법적 권력
② 기회적 권력
③ 강제적 권력
④ 보상적 권력
⑤ 준거적 권력</v>
      </c>
      <c r="F233" s="31">
        <f>IFERROR(VLOOKUP(C233,기출문제!D:G,4,0),"")</f>
        <v>2</v>
      </c>
      <c r="G233" s="32" t="str">
        <f t="shared" si="3"/>
        <v/>
      </c>
    </row>
    <row r="234" spans="2:7" ht="99.75" x14ac:dyDescent="0.3">
      <c r="B234" s="13">
        <v>227</v>
      </c>
      <c r="C234" s="14" t="s">
        <v>1010</v>
      </c>
      <c r="D234" s="13"/>
      <c r="E234" s="15" t="str">
        <f>IFERROR(VLOOKUP(C234,기출문제!D:G,3,0),"")</f>
        <v>112. 다음 설명에 해당하는 지각 오류는?
○ 어떤 대상(개인)으로부터 얻은 일부 정보가 다른 부분의 여러 정보들을 해석할 때 영향을 미치는 것
① 자존적 편견
② 후광효과
③ 투사
④ 통제의 환상
⑤ 대조효과</v>
      </c>
      <c r="F234" s="31">
        <f>IFERROR(VLOOKUP(C234,기출문제!D:G,4,0),"")</f>
        <v>2</v>
      </c>
      <c r="G234" s="32" t="str">
        <f t="shared" si="3"/>
        <v/>
      </c>
    </row>
    <row r="235" spans="2:7" ht="85.5" x14ac:dyDescent="0.3">
      <c r="B235" s="13">
        <v>228</v>
      </c>
      <c r="C235" s="14" t="s">
        <v>1011</v>
      </c>
      <c r="D235" s="13"/>
      <c r="E235" s="15" t="str">
        <f>IFERROR(VLOOKUP(C235,기출문제!D:G,3,0),"")</f>
        <v>113. 보스턴 컨설팅 그룹(BCG)의 사업 포트폴리오 매트릭스에 관한 설명으로 옳은 것은?
① 산업의 매력도와 사업의 강점을 기준으로 분류한다.
② 물음표(Question Mark)에 속해 있는 사업단위는 투자가 필요하나 성장가능성은 낮다.
③ 개(Dog)에 속해 있는 사업단위는 확대전략이 필수적이다.
④ 별(Star)에 속해 있는 사업단위는 철수나 매각이 필수적이다.
⑤ 자금젖소(Cash Cow)에 속해 있는 사업단위는 수익이 높고 안정적이다.</v>
      </c>
      <c r="F235" s="31">
        <f>IFERROR(VLOOKUP(C235,기출문제!D:G,4,0),"")</f>
        <v>5</v>
      </c>
      <c r="G235" s="32" t="str">
        <f t="shared" si="3"/>
        <v/>
      </c>
    </row>
    <row r="236" spans="2:7" ht="85.5" x14ac:dyDescent="0.3">
      <c r="B236" s="13">
        <v>229</v>
      </c>
      <c r="C236" s="14" t="s">
        <v>1012</v>
      </c>
      <c r="D236" s="13"/>
      <c r="E236" s="15" t="str">
        <f>IFERROR(VLOOKUP(C236,기출문제!D:G,3,0),"")</f>
        <v>114. 마케팅 커뮤티케이션 활동인 촉진믹스(Promotion Mix)의 구성요소와 관련이 없는 것은?
① 선별적 유통점포 개설
② 구매시점 진열
③ PR(Public Relastions)
④ 광고
⑤ 인적판매</v>
      </c>
      <c r="F236" s="31">
        <f>IFERROR(VLOOKUP(C236,기출문제!D:G,4,0),"")</f>
        <v>1</v>
      </c>
      <c r="G236" s="32" t="str">
        <f t="shared" si="3"/>
        <v/>
      </c>
    </row>
    <row r="237" spans="2:7" ht="85.5" x14ac:dyDescent="0.3">
      <c r="B237" s="13">
        <v>230</v>
      </c>
      <c r="C237" s="14" t="s">
        <v>1013</v>
      </c>
      <c r="D237" s="13"/>
      <c r="E237" s="15" t="str">
        <f>IFERROR(VLOOKUP(C237,기출문제!D:G,3,0),"")</f>
        <v>115. 소비자들의 구매의사 결정과정을 순서대로 바르게 나열한 것은?
① 정보탐색 → 필요인식 → 대안평가 → 구매 → 구매 후 행동
② 정보탐색 → 필요인식 → 구매 → 대안평가 → 구매 후 행동
③ 정보탐색 → 대안평가 → 필요인식 → 구매 → 구매 후 행동
④ 필요인식 → 정보탐색 → 대안평가 → 구매 → 구매 후 행동
⑤ 대안평가 → 정보탐색 → 필요인식 → 구매 → 구매 후 행동</v>
      </c>
      <c r="F237" s="31">
        <f>IFERROR(VLOOKUP(C237,기출문제!D:G,4,0),"")</f>
        <v>4</v>
      </c>
      <c r="G237" s="32" t="str">
        <f t="shared" si="3"/>
        <v/>
      </c>
    </row>
    <row r="238" spans="2:7" ht="85.5" x14ac:dyDescent="0.3">
      <c r="B238" s="13">
        <v>231</v>
      </c>
      <c r="C238" s="14" t="s">
        <v>1014</v>
      </c>
      <c r="D238" s="13"/>
      <c r="E238" s="15" t="str">
        <f>IFERROR(VLOOKUP(C238,기출문제!D:G,3,0),"")</f>
        <v>116. 제품구매에 대한 심리적 불편을 겪게 되는 인지부조화(Cognitive Dissonance)에 관한 설명으로 옳은 것은?
① 반품이나 환불이 가능할 때 많이 발생한다.
② 구매제품의 만족수준에 정비례하여 발생한다.
③ 고관여 제품에서 많이 발생한다.
④ 제품구매 전에 경험하는 긴장감과 걱정의 감정을 뜻한다.
⑤ 사후서비스(A/S)가 좋을수록 많이 발생한다.</v>
      </c>
      <c r="F238" s="31">
        <f>IFERROR(VLOOKUP(C238,기출문제!D:G,4,0),"")</f>
        <v>3</v>
      </c>
      <c r="G238" s="32" t="str">
        <f t="shared" si="3"/>
        <v/>
      </c>
    </row>
    <row r="239" spans="2:7" ht="85.5" x14ac:dyDescent="0.3">
      <c r="B239" s="13">
        <v>232</v>
      </c>
      <c r="C239" s="14" t="s">
        <v>1015</v>
      </c>
      <c r="D239" s="13"/>
      <c r="E239" s="15" t="str">
        <f>IFERROR(VLOOKUP(C239,기출문제!D:G,3,0),"")</f>
        <v>117. 총자산회전율의 산식은?
① 매출액/매출채권
② 매출액/총자산
③ 순이익/자기자본
④ 총자산/매출액
⑤ 자기자본/순이기</v>
      </c>
      <c r="F239" s="31">
        <f>IFERROR(VLOOKUP(C239,기출문제!D:G,4,0),"")</f>
        <v>2</v>
      </c>
      <c r="G239" s="32" t="str">
        <f t="shared" si="3"/>
        <v/>
      </c>
    </row>
    <row r="240" spans="2:7" ht="85.5" x14ac:dyDescent="0.3">
      <c r="B240" s="13">
        <v>233</v>
      </c>
      <c r="C240" s="14" t="s">
        <v>1016</v>
      </c>
      <c r="D240" s="13"/>
      <c r="E240" s="15" t="str">
        <f>IFERROR(VLOOKUP(C240,기출문제!D:G,3,0),"")</f>
        <v>118. 주식에 관한 설명으로 옳지 않은 것은?
① 기업의 이익 중 일부를 주주에게 분배하는 것을 배당이라 한다.
② 기업은 발행한 보통주에 대한 상환의무를 갖지 않는다.
③ 주식은 자금조달이 필요한 경우 추가로 발행될 수 있다.
④ 모든 주식은 채권과 달리 액면가가 없다.
⑤ 주주는 투자한 금액 내에서 유한책임을 진다.</v>
      </c>
      <c r="F240" s="31">
        <f>IFERROR(VLOOKUP(C240,기출문제!D:G,4,0),"")</f>
        <v>4</v>
      </c>
      <c r="G240" s="32" t="str">
        <f t="shared" si="3"/>
        <v/>
      </c>
    </row>
    <row r="241" spans="2:7" ht="85.5" x14ac:dyDescent="0.3">
      <c r="B241" s="13">
        <v>234</v>
      </c>
      <c r="C241" s="14" t="s">
        <v>1017</v>
      </c>
      <c r="D241" s="13"/>
      <c r="E241" s="15" t="str">
        <f>IFERROR(VLOOKUP(C241,기출문제!D:G,3,0),"")</f>
        <v>119. 생산시스템 설계에 해당하는 것은?
① 일정관리
② 시설입지
③ 재고관리
④ 품질관리
⑤ 수요예측</v>
      </c>
      <c r="F241" s="31">
        <f>IFERROR(VLOOKUP(C241,기출문제!D:G,4,0),"")</f>
        <v>2</v>
      </c>
      <c r="G241" s="32" t="str">
        <f t="shared" si="3"/>
        <v/>
      </c>
    </row>
    <row r="242" spans="2:7" ht="85.5" x14ac:dyDescent="0.3">
      <c r="B242" s="13">
        <v>235</v>
      </c>
      <c r="C242" s="14" t="s">
        <v>1018</v>
      </c>
      <c r="D242" s="13"/>
      <c r="E242" s="15" t="str">
        <f>IFERROR(VLOOKUP(C242,기출문제!D:G,3,0),"")</f>
        <v>120. 해리스(F. W. Harris)가 제시한 EOQ(경제적 주문량) 모형의 가정으로 옳은 것은?
① 단일품목만을 대상으로 한다.
② 조달기간은 분기 단위로 변동한다.
③ 수량할인이 적용된다.
④ 연간수요량은 알 수 없다.
⑤ 주문비용은 주문량에 정비례한다.</v>
      </c>
      <c r="F242" s="31">
        <f>IFERROR(VLOOKUP(C242,기출문제!D:G,4,0),"")</f>
        <v>1</v>
      </c>
      <c r="G242" s="32" t="str">
        <f t="shared" si="3"/>
        <v/>
      </c>
    </row>
    <row r="243" spans="2:7" ht="142.5" x14ac:dyDescent="0.3">
      <c r="B243" s="13">
        <v>236</v>
      </c>
      <c r="C243" s="14" t="s">
        <v>1019</v>
      </c>
      <c r="D243" s="13"/>
      <c r="E243" s="15" t="str">
        <f>IFERROR(VLOOKUP(C243,기출문제!D:G,3,0),"")</f>
        <v>121. 다음자료를 이용하여 당기순이익을 구하면? (단, 회계기간은 1월 1일부터 12월 31일까지이다.)
○ 영업이익     :  300,000원
○ 이자비용     :    10,000원
○ 영업외수익  :    50,000원
○ 법인세비용  :    15,000원
① 275,000원
② 290,000원
③ 325,000원
④ 335,000원
⑤ 340,000원</v>
      </c>
      <c r="F243" s="31">
        <f>IFERROR(VLOOKUP(C243,기출문제!D:G,4,0),"")</f>
        <v>3</v>
      </c>
      <c r="G243" s="32" t="str">
        <f t="shared" si="3"/>
        <v/>
      </c>
    </row>
    <row r="244" spans="2:7" ht="128.25" x14ac:dyDescent="0.3">
      <c r="B244" s="13">
        <v>237</v>
      </c>
      <c r="C244" s="14" t="s">
        <v>1020</v>
      </c>
      <c r="D244" s="13"/>
      <c r="E244" s="15" t="str">
        <f>IFERROR(VLOOKUP(C244,기출문제!D:G,3,0),"")</f>
        <v>122. 다음과 같은 조건에서 손익분기점에 도달하기 위한 팬매수량(단위)은?
○ 단위당 판매가격   :        20,000원
○ 단위당 변동기      :        14,000원
○ 총고정비              : 48,000,000원
① 5,000
② 6,000
③ 7,000
④ 8,000
⑤ 9,000</v>
      </c>
      <c r="F244" s="31">
        <f>IFERROR(VLOOKUP(C244,기출문제!D:G,4,0),"")</f>
        <v>4</v>
      </c>
      <c r="G244" s="32" t="str">
        <f t="shared" si="3"/>
        <v/>
      </c>
    </row>
    <row r="245" spans="2:7" ht="85.5" x14ac:dyDescent="0.3">
      <c r="B245" s="13">
        <v>238</v>
      </c>
      <c r="C245" s="14" t="s">
        <v>1021</v>
      </c>
      <c r="D245" s="13"/>
      <c r="E245" s="15" t="str">
        <f>IFERROR(VLOOKUP(C245,기출문제!D:G,3,0),"")</f>
        <v>123. 경영정보시스템의 분석 및 설계 과정에서 수행하는 작업이 아닌 것은?
① 입력 자료의 내용, 양식, 형태, 분량 분석
② 출력물의 양식, 내용, 분량, 출력주기 정의
③ 시스템 테스트를 위한 테이터 준비, 시스템 수정
④ 자료가 출력되기 위해 필요한 수식연산, 비교연산, 논리연산 설계
⑤ 데이터베이스 구조 및 특성, 자료처리 분량 및 속도, 레코드 및 파일 구조 명세화</v>
      </c>
      <c r="F245" s="31">
        <f>IFERROR(VLOOKUP(C245,기출문제!D:G,4,0),"")</f>
        <v>3</v>
      </c>
      <c r="G245" s="32" t="str">
        <f t="shared" si="3"/>
        <v/>
      </c>
    </row>
    <row r="246" spans="2:7" ht="85.5" x14ac:dyDescent="0.3">
      <c r="B246" s="13">
        <v>239</v>
      </c>
      <c r="C246" s="14" t="s">
        <v>1022</v>
      </c>
      <c r="D246" s="13"/>
      <c r="E246" s="15" t="str">
        <f>IFERROR(VLOOKUP(C246,기출문제!D:G,3,0),"")</f>
        <v>124. 빅데이터 기술에 관한 설명으로 옳지 않은 것은?
① 관계형 데이터베이스인 NoSQL, Hbase 등을 분석에 활용한다.
② 구조화되지 않은 데이터도 분석 대상으로 한다.
③ 많은 양의 정보를 처리한다.
④ 빠르게 변화하거나 증가하는 데이터도 분석이 가능하다.
⑤ 제조업, 금융업, 유통업 등 다양한 분야에 활용된다.</v>
      </c>
      <c r="F246" s="31">
        <f>IFERROR(VLOOKUP(C246,기출문제!D:G,4,0),"")</f>
        <v>1</v>
      </c>
      <c r="G246" s="32" t="str">
        <f t="shared" si="3"/>
        <v/>
      </c>
    </row>
    <row r="247" spans="2:7" ht="99.75" x14ac:dyDescent="0.3">
      <c r="B247" s="13">
        <v>240</v>
      </c>
      <c r="C247" s="14" t="s">
        <v>1023</v>
      </c>
      <c r="D247" s="13"/>
      <c r="E247" s="15" t="str">
        <f>IFERROR(VLOOKUP(C247,기출문제!D:G,3,0),"")</f>
        <v>125. 다음에서 설명하는 것은?
○ 기업의 자재, 회계, 구매, 생산, 판매, 인사 등 모든 업무의 흐름을 효율적으로 지원하기 위한 통합정보 시스템
① CRM
② SCM
③ DSS
④ KMS
⑤ ERP</v>
      </c>
      <c r="F247" s="31">
        <f>IFERROR(VLOOKUP(C247,기출문제!D:G,4,0),"")</f>
        <v>5</v>
      </c>
      <c r="G247" s="32" t="str">
        <f t="shared" si="3"/>
        <v/>
      </c>
    </row>
    <row r="248" spans="2:7" ht="85.5" x14ac:dyDescent="0.3">
      <c r="B248" s="13">
        <v>241</v>
      </c>
      <c r="C248" s="14" t="s">
        <v>318</v>
      </c>
      <c r="D248" s="13"/>
      <c r="E248" s="15" t="str">
        <f>IFERROR(VLOOKUP(C248,기출문제!D:G,3,0),"")</f>
        <v>101. 포터(M. Porter)의 가치사슬모델에서 주요 활동에 해당하지 않는 것은?
① 운영・제조
② 입고・출고
③ 고객서비스
④ 영업・마케팅
⑤ 인적자원관리</v>
      </c>
      <c r="F248" s="31">
        <f>IFERROR(VLOOKUP(C248,기출문제!D:G,4,0),"")</f>
        <v>5</v>
      </c>
      <c r="G248" s="32" t="str">
        <f t="shared" si="3"/>
        <v/>
      </c>
    </row>
    <row r="249" spans="2:7" ht="85.5" x14ac:dyDescent="0.3">
      <c r="B249" s="13">
        <v>242</v>
      </c>
      <c r="C249" s="14" t="s">
        <v>1024</v>
      </c>
      <c r="D249" s="13"/>
      <c r="E249" s="15" t="str">
        <f>IFERROR(VLOOKUP(C249,기출문제!D:G,3,0),"")</f>
        <v>102. BCG의 성장-점유율 매트릭스에서 시장성장률은 낮고 상대적 시장점유율이 높은 영역은?
① Dog
② Star
③ Cash Cow
④ Problem Child
⑤ Question Mark</v>
      </c>
      <c r="F249" s="31">
        <f>IFERROR(VLOOKUP(C249,기출문제!D:G,4,0),"")</f>
        <v>3</v>
      </c>
      <c r="G249" s="32" t="str">
        <f t="shared" si="3"/>
        <v/>
      </c>
    </row>
    <row r="250" spans="2:7" ht="85.5" x14ac:dyDescent="0.3">
      <c r="B250" s="13">
        <v>243</v>
      </c>
      <c r="C250" s="14" t="s">
        <v>1025</v>
      </c>
      <c r="D250" s="13"/>
      <c r="E250" s="15" t="str">
        <f>IFERROR(VLOOKUP(C250,기출문제!D:G,3,0),"")</f>
        <v>103. 테일러(F. Taylor)의 과학적 관리의 특징으로 옳지 않은 것은?
① 과업관리
② 작업지도표 제도
③ 차별적 성과급제
④ 기능식 직장제도
⑤ 컨베이어 시스템</v>
      </c>
      <c r="F250" s="31">
        <f>IFERROR(VLOOKUP(C250,기출문제!D:G,4,0),"")</f>
        <v>5</v>
      </c>
      <c r="G250" s="32" t="str">
        <f t="shared" si="3"/>
        <v/>
      </c>
    </row>
    <row r="251" spans="2:7" ht="85.5" x14ac:dyDescent="0.3">
      <c r="B251" s="13">
        <v>244</v>
      </c>
      <c r="C251" s="14" t="s">
        <v>1026</v>
      </c>
      <c r="D251" s="13"/>
      <c r="E251" s="15" t="str">
        <f>IFERROR(VLOOKUP(C251,기출문제!D:G,3,0),"")</f>
        <v>104. 임금관리에 관한 설명으로 옳지 않은 것은?
① 임금체계는 공정성이 중요한 관심사이다.
② 연공급은 근속연수를 기준으로 임금을 차등화하는 제도이다.
③ 직무급은 직무의 표준화와 전문화가 선행되어야 한다.
④ 직능급은 동일 직무를 수행하면 동일 임금을 지급한다.
⑤ 임금수준을 결정하는 주요 요인에는 기업의 지불능력과 생산성 등이 있다.</v>
      </c>
      <c r="F251" s="31">
        <f>IFERROR(VLOOKUP(C251,기출문제!D:G,4,0),"")</f>
        <v>4</v>
      </c>
      <c r="G251" s="32" t="str">
        <f t="shared" si="3"/>
        <v/>
      </c>
    </row>
    <row r="252" spans="2:7" ht="85.5" x14ac:dyDescent="0.3">
      <c r="B252" s="13">
        <v>245</v>
      </c>
      <c r="C252" s="14" t="s">
        <v>1027</v>
      </c>
      <c r="D252" s="13"/>
      <c r="E252" s="15" t="str">
        <f>IFERROR(VLOOKUP(C252,기출문제!D:G,3,0),"")</f>
        <v>105. 수단성(instrumentality) 및 유의성(valence)을 포함한 동기부여이론은?
① 기대이론(expectancy theory)
② 2요인이론(two factor theory)
③ 강화이론(reinforcement theory)
④ 목표설정이론(goal setting theory)
⑤ 인지평가이론(cognitive evaluation theory)</v>
      </c>
      <c r="F252" s="31">
        <f>IFERROR(VLOOKUP(C252,기출문제!D:G,4,0),"")</f>
        <v>1</v>
      </c>
      <c r="G252" s="32" t="str">
        <f t="shared" si="3"/>
        <v/>
      </c>
    </row>
    <row r="253" spans="2:7" ht="85.5" x14ac:dyDescent="0.3">
      <c r="B253" s="13">
        <v>246</v>
      </c>
      <c r="C253" s="14" t="s">
        <v>1028</v>
      </c>
      <c r="D253" s="13"/>
      <c r="E253" s="15" t="str">
        <f>IFERROR(VLOOKUP(C253,기출문제!D:G,3,0),"")</f>
        <v>106. 델파이기법에 관한 설명으로 옳지 않은 것은?
① 전문가들을 두 그룹으로 나누어 진행한다.
② 많은 전문가들의 의견을 취합하여 재조정 과정을 거친다.
③ 의사결정 및 의견개진 과정에서 타인의 압력이 배제된다.
④ 전문가들을 공식적으로 소집하여 한 장소에 모이게 할 필요가 없다.
⑤ 미래의 불확실성에 대한 의사결정 및 장기예측에 좋은 방법이다.</v>
      </c>
      <c r="F253" s="31">
        <f>IFERROR(VLOOKUP(C253,기출문제!D:G,4,0),"")</f>
        <v>1</v>
      </c>
      <c r="G253" s="32" t="str">
        <f t="shared" si="3"/>
        <v/>
      </c>
    </row>
    <row r="254" spans="2:7" ht="85.5" x14ac:dyDescent="0.3">
      <c r="B254" s="13">
        <v>247</v>
      </c>
      <c r="C254" s="14" t="s">
        <v>1029</v>
      </c>
      <c r="D254" s="13"/>
      <c r="E254" s="15" t="str">
        <f>IFERROR(VLOOKUP(C254,기출문제!D:G,3,0),"")</f>
        <v>107. 선발시험 합격자들의 시험성적과 입사 후 일정 기간이 지나서 이들이 달성한 직무성과와의 상관관계를 측정하는 지표는?
① 신뢰도
② 대비효과
③ 현재타당도
④ 내용타당도
⑤ 예측타당도</v>
      </c>
      <c r="F254" s="31">
        <f>IFERROR(VLOOKUP(C254,기출문제!D:G,4,0),"")</f>
        <v>5</v>
      </c>
      <c r="G254" s="32" t="str">
        <f t="shared" si="3"/>
        <v/>
      </c>
    </row>
    <row r="255" spans="2:7" ht="85.5" x14ac:dyDescent="0.3">
      <c r="B255" s="13">
        <v>248</v>
      </c>
      <c r="C255" s="14" t="s">
        <v>1030</v>
      </c>
      <c r="D255" s="13"/>
      <c r="E255" s="15" t="str">
        <f>IFERROR(VLOOKUP(C255,기출문제!D:G,3,0),"")</f>
        <v>108. Big 5 모델에서 제시하는 다섯 가지 성격요소가 아닌 것은?
① 개방성(openness)
② 객관성(objectivity)
③ 외향성(extraversion)
④ 성실성(conscientiousness)
⑤ 정서적 안정성(emotional stability)</v>
      </c>
      <c r="F255" s="31">
        <f>IFERROR(VLOOKUP(C255,기출문제!D:G,4,0),"")</f>
        <v>2</v>
      </c>
      <c r="G255" s="32" t="str">
        <f t="shared" si="3"/>
        <v/>
      </c>
    </row>
    <row r="256" spans="2:7" ht="85.5" x14ac:dyDescent="0.3">
      <c r="B256" s="13">
        <v>249</v>
      </c>
      <c r="C256" s="14" t="s">
        <v>1031</v>
      </c>
      <c r="D256" s="13"/>
      <c r="E256" s="15" t="str">
        <f>IFERROR(VLOOKUP(C256,기출문제!D:G,3,0),"")</f>
        <v>109. Communication에서 전달된 메시지를 자신에게 주는 의미로 변환시키는 사고 과정은?
① 잡음(noise)
② 해독(decoding)
③ 반응(response)
④ 부호화(encoding)
⑤ 피드백(feedback)</v>
      </c>
      <c r="F256" s="31">
        <f>IFERROR(VLOOKUP(C256,기출문제!D:G,4,0),"")</f>
        <v>2</v>
      </c>
      <c r="G256" s="32" t="str">
        <f t="shared" si="3"/>
        <v/>
      </c>
    </row>
    <row r="257" spans="2:7" ht="114" x14ac:dyDescent="0.3">
      <c r="B257" s="13">
        <v>250</v>
      </c>
      <c r="C257" s="14" t="s">
        <v>1032</v>
      </c>
      <c r="D257" s="13"/>
      <c r="E257" s="15" t="str">
        <f>IFERROR(VLOOKUP(C257,기출문제!D:G,3,0),"")</f>
        <v>110. 다음 주장에 해당하는 이론은?
ㄱ. 조직의 생존을 위해 이해관계자들로부터 정당성을 얻는 것이 중요하다.
ㄴ. 동일 산업내의 조직형태 및 경영관행 등이 유사성을 보이는 것은 조직들이 서로 모방하기 때문이다.
① 대리인이론
② 제도화이론
③ 자원의존이론
④ 조직군생태학이론
⑤ 협력적네트워크이론</v>
      </c>
      <c r="F257" s="31">
        <f>IFERROR(VLOOKUP(C257,기출문제!D:G,4,0),"")</f>
        <v>2</v>
      </c>
      <c r="G257" s="32" t="str">
        <f t="shared" si="3"/>
        <v/>
      </c>
    </row>
    <row r="258" spans="2:7" ht="85.5" x14ac:dyDescent="0.3">
      <c r="B258" s="13">
        <v>251</v>
      </c>
      <c r="C258" s="14" t="s">
        <v>1033</v>
      </c>
      <c r="D258" s="13"/>
      <c r="E258" s="15" t="str">
        <f>IFERROR(VLOOKUP(C258,기출문제!D:G,3,0),"")</f>
        <v>111. 조합원 및 비조합원 모두에게 조합비를 징수하는 shop제도는?
① open shop
② closed shop
③ agency shop
④ preferential shop
⑤ maintenance shop</v>
      </c>
      <c r="F258" s="31">
        <f>IFERROR(VLOOKUP(C258,기출문제!D:G,4,0),"")</f>
        <v>3</v>
      </c>
      <c r="G258" s="32" t="str">
        <f t="shared" si="3"/>
        <v/>
      </c>
    </row>
    <row r="259" spans="2:7" ht="85.5" x14ac:dyDescent="0.3">
      <c r="B259" s="13">
        <v>252</v>
      </c>
      <c r="C259" s="14" t="s">
        <v>1034</v>
      </c>
      <c r="D259" s="13"/>
      <c r="E259" s="15" t="str">
        <f>IFERROR(VLOOKUP(C259,기출문제!D:G,3,0),"")</f>
        <v>112. 표적시장에 관한 설명으로 옳지 않은 것은?
① 단일표적시장에는 집중적 마케팅전략을 구사한다.
② 다수표적시장에는 순환적 마케팅전략을 구사한다.
③ 통합표적시장에는 역세분화 마케팅전략을 구사한다.
④ 인적, 물적, 기술적 자원이 부족한 기업은 보통 집중적 마케팅전략을 구사한다.
⑤ 세분시장 평가 시에는 세분시장의 매력도, 기업의 목표와 자원 등을 고려해야 한다.</v>
      </c>
      <c r="F259" s="31">
        <f>IFERROR(VLOOKUP(C259,기출문제!D:G,4,0),"")</f>
        <v>2</v>
      </c>
      <c r="G259" s="32" t="str">
        <f t="shared" si="3"/>
        <v/>
      </c>
    </row>
    <row r="260" spans="2:7" ht="85.5" x14ac:dyDescent="0.3">
      <c r="B260" s="13">
        <v>253</v>
      </c>
      <c r="C260" s="14" t="s">
        <v>1035</v>
      </c>
      <c r="D260" s="13"/>
      <c r="E260" s="15" t="str">
        <f>IFERROR(VLOOKUP(C260,기출문제!D:G,3,0),"")</f>
        <v>113. 전형적인 제품수명주기(PLC)에 관한 설명으로 옳지 않은 것은?
① 도입기, 성장기, 성숙기, 쇠퇴기의 4단계로 나누어진다.
② 성장기에는 제품선호형 광고에서 정보제공형 광고로 전환한다.
③ 도입기에는 제품인지도를 높이기 위해 광고비가 많이 소요된다.
④ 성숙기에는 제품의 매출성장률이 점차적으로 둔화되기 시작한다.
⑤ 쇠퇴기에는 제품에 대해 유지전략, 수확전략, 철수전략 등을 고려할 수 있다.</v>
      </c>
      <c r="F260" s="31">
        <f>IFERROR(VLOOKUP(C260,기출문제!D:G,4,0),"")</f>
        <v>2</v>
      </c>
      <c r="G260" s="32" t="str">
        <f t="shared" si="3"/>
        <v/>
      </c>
    </row>
    <row r="261" spans="2:7" ht="99.75" x14ac:dyDescent="0.3">
      <c r="B261" s="13">
        <v>254</v>
      </c>
      <c r="C261" s="14" t="s">
        <v>1036</v>
      </c>
      <c r="D261" s="13"/>
      <c r="E261" s="15" t="str">
        <f>IFERROR(VLOOKUP(C261,기출문제!D:G,3,0),"")</f>
        <v>114. 통합적 마케팅 커뮤니케이션에 관한 설명 중 옳지 않은 것은?
① 강화광고는 기존 사용자에게 브랜드에 대한 확신과 만족도를 높여 준다.
② 가족 브랜딩(family branding)은 개별 브랜딩과는 달리 한 제품을 촉진하면 나머지 제품도 촉진된다는 이점이 있다.
③ 촉진에서 풀(pull) 정책은 제품에 대한 강한 수요를 유발할 목적으로 광고나 판매촉진 등을 활용하는 정책이다.
④ PR은 조직의 이해관계자들에게 호의적인 인상을 심어주기 위하여 홍보, 후원, 이벤트, 웹사이트 등을 사용하는 커뮤니케이션 방법이다.
⑤ 버즈(buzz) 마케팅은 소비자에게 메시지를 빨리 전파할 수 있게 이메일이나 모바일을 통하여 메시지를 공유한다.</v>
      </c>
      <c r="F261" s="31">
        <f>IFERROR(VLOOKUP(C261,기출문제!D:G,4,0),"")</f>
        <v>5</v>
      </c>
      <c r="G261" s="32" t="str">
        <f t="shared" si="3"/>
        <v/>
      </c>
    </row>
    <row r="262" spans="2:7" ht="85.5" x14ac:dyDescent="0.3">
      <c r="B262" s="13">
        <v>255</v>
      </c>
      <c r="C262" s="14" t="s">
        <v>1037</v>
      </c>
      <c r="D262" s="13"/>
      <c r="E262" s="15" t="str">
        <f>IFERROR(VLOOKUP(C262,기출문제!D:G,3,0),"")</f>
        <v>115. 투자안의 순현가를 0으로 만드는 수익률(할인율)은?
① 초과수익률
② 실질수익률
③ 경상수익률
④ 내부수익률
⑤ 명목수익률</v>
      </c>
      <c r="F262" s="31">
        <f>IFERROR(VLOOKUP(C262,기출문제!D:G,4,0),"")</f>
        <v>4</v>
      </c>
      <c r="G262" s="32" t="str">
        <f t="shared" si="3"/>
        <v/>
      </c>
    </row>
    <row r="263" spans="2:7" ht="85.5" x14ac:dyDescent="0.3">
      <c r="B263" s="13">
        <v>256</v>
      </c>
      <c r="C263" s="14" t="s">
        <v>1038</v>
      </c>
      <c r="D263" s="13"/>
      <c r="E263" s="15" t="str">
        <f>IFERROR(VLOOKUP(C263,기출문제!D:G,3,0),"")</f>
        <v>116. 매출액순이익률이 2%이고 총자본회전율이 5인 기업의 총자본순이익률은?
① 1%
② 2.5%
③ 5%
④ 7%
⑤ 10%</v>
      </c>
      <c r="F263" s="31">
        <f>IFERROR(VLOOKUP(C263,기출문제!D:G,4,0),"")</f>
        <v>5</v>
      </c>
      <c r="G263" s="32" t="str">
        <f t="shared" si="3"/>
        <v/>
      </c>
    </row>
    <row r="264" spans="2:7" ht="85.5" x14ac:dyDescent="0.3">
      <c r="B264" s="13">
        <v>257</v>
      </c>
      <c r="C264" s="14" t="s">
        <v>1039</v>
      </c>
      <c r="D264" s="13"/>
      <c r="E264" s="15" t="str">
        <f>IFERROR(VLOOKUP(C264,기출문제!D:G,3,0),"")</f>
        <v>117. 매년 말 200만원을 영원히 지급받는 영구연금의 현재가치는? (단, 연간이자율은 10%)
① 1,400만원
② 1,600만원
③ 1,800만원
④ 2,000만원
⑤ 2,200만원</v>
      </c>
      <c r="F264" s="31">
        <f>IFERROR(VLOOKUP(C264,기출문제!D:G,4,0),"")</f>
        <v>4</v>
      </c>
      <c r="G264" s="32" t="str">
        <f t="shared" si="3"/>
        <v/>
      </c>
    </row>
    <row r="265" spans="2:7" ht="99.75" x14ac:dyDescent="0.3">
      <c r="B265" s="13">
        <v>258</v>
      </c>
      <c r="C265" s="14" t="s">
        <v>1040</v>
      </c>
      <c r="D265" s="13"/>
      <c r="E265" s="15" t="str">
        <f>IFERROR(VLOOKUP(C265,기출문제!D:G,3,0),"")</f>
        <v>118. A기업은 1년간 400개의 부품을 사용한다. 부품가격은 개당 1,000원, 주문비용은 회당 10,000원, 단위당 연간 재고유지비용은 부품가격의 20%라면 이 부품의 경제적 주문량(EOQ)은?
① 100개
② 150개
③ 200개
④ 250개
⑤ 300개</v>
      </c>
      <c r="F265" s="31">
        <f>IFERROR(VLOOKUP(C265,기출문제!D:G,4,0),"")</f>
        <v>3</v>
      </c>
      <c r="G265" s="32" t="str">
        <f t="shared" ref="G265:G328" si="4">IF(D265="","",IF(D265=F265,"O", "X"))</f>
        <v/>
      </c>
    </row>
    <row r="266" spans="2:7" ht="85.5" x14ac:dyDescent="0.3">
      <c r="B266" s="13">
        <v>259</v>
      </c>
      <c r="C266" s="14" t="s">
        <v>1041</v>
      </c>
      <c r="D266" s="13"/>
      <c r="E266" s="15" t="str">
        <f>IFERROR(VLOOKUP(C266,기출문제!D:G,3,0),"")</f>
        <v>119. 생산관리의 전형적인 목표(과업)로 옳지 않은 것은?
① 촉진강화
② 품질향상
③ 원가절감
④ 납기준수
⑤ 유연성제고</v>
      </c>
      <c r="F266" s="31">
        <f>IFERROR(VLOOKUP(C266,기출문제!D:G,4,0),"")</f>
        <v>1</v>
      </c>
      <c r="G266" s="32" t="str">
        <f t="shared" si="4"/>
        <v/>
      </c>
    </row>
    <row r="267" spans="2:7" ht="85.5" x14ac:dyDescent="0.3">
      <c r="B267" s="13">
        <v>260</v>
      </c>
      <c r="C267" s="14" t="s">
        <v>1042</v>
      </c>
      <c r="D267" s="13"/>
      <c r="E267" s="15" t="str">
        <f>IFERROR(VLOOKUP(C267,기출문제!D:G,3,0),"")</f>
        <v>120. JIT(Just-in-time) 시스템의 특징으로 옳지 않은 것은?
① 푸쉬(push) 방식이다.
② 필요한 만큼의 자재만을 생산한다.
③ 공급자와 긴밀한 관계를 유지한다.
④ 가능한 한 소량 로트(lot) 크기를 사용하여 재고를 관리한다.
⑤ 생산지시와 자재이동을 가시적으로 통제하기 위한 방법으로 간판(Kanban)을 사용한다.</v>
      </c>
      <c r="F267" s="31">
        <f>IFERROR(VLOOKUP(C267,기출문제!D:G,4,0),"")</f>
        <v>1</v>
      </c>
      <c r="G267" s="32" t="str">
        <f t="shared" si="4"/>
        <v/>
      </c>
    </row>
    <row r="268" spans="2:7" ht="85.5" x14ac:dyDescent="0.3">
      <c r="B268" s="13">
        <v>261</v>
      </c>
      <c r="C268" s="14" t="s">
        <v>1043</v>
      </c>
      <c r="D268" s="13"/>
      <c r="E268" s="15" t="str">
        <f>IFERROR(VLOOKUP(C268,기출문제!D:G,3,0),"")</f>
        <v>121. 내용연수를 기준으로 초기에 비용을 많이 계상하는 감가상각방법은?
① 정액법
② 정률법
③ 선입선출법
④ 후입선출법
⑤ 저가법</v>
      </c>
      <c r="F268" s="31">
        <f>IFERROR(VLOOKUP(C268,기출문제!D:G,4,0),"")</f>
        <v>2</v>
      </c>
      <c r="G268" s="32" t="str">
        <f t="shared" si="4"/>
        <v/>
      </c>
    </row>
    <row r="269" spans="2:7" ht="85.5" x14ac:dyDescent="0.3">
      <c r="B269" s="13">
        <v>262</v>
      </c>
      <c r="C269" s="14" t="s">
        <v>1044</v>
      </c>
      <c r="D269" s="13"/>
      <c r="E269" s="15" t="str">
        <f>IFERROR(VLOOKUP(C269,기출문제!D:G,3,0),"")</f>
        <v>122. 액면가액 5,000원인 주식 100주를 발행하여 회사를 설립할 경우 올바른 분개는?
① (차) 현금 500,000 / (대) 부채 500,000
② (차) 자본금 500,000 / (대) 부채 500,000
③ (차) 자본금 500,000 / (대) 현금 500,000
④ (차) 현금 500,000 / (대) 자본금 500,000
⑤ (차) 부채 500,000 / (대) 자본금 500,000</v>
      </c>
      <c r="F269" s="31">
        <f>IFERROR(VLOOKUP(C269,기출문제!D:G,4,0),"")</f>
        <v>4</v>
      </c>
      <c r="G269" s="32" t="str">
        <f t="shared" si="4"/>
        <v/>
      </c>
    </row>
    <row r="270" spans="2:7" ht="85.5" x14ac:dyDescent="0.3">
      <c r="B270" s="13">
        <v>263</v>
      </c>
      <c r="C270" s="14" t="s">
        <v>1045</v>
      </c>
      <c r="D270" s="13"/>
      <c r="E270" s="15" t="str">
        <f>IFERROR(VLOOKUP(C270,기출문제!D:G,3,0),"")</f>
        <v>123. 재무상태표에서 비유동자산에 해당하는 계정과목은?
① 영업권
② 매입채무
③ 매출채권
④ 자기주식
⑤ 법정적립금</v>
      </c>
      <c r="F270" s="31">
        <f>IFERROR(VLOOKUP(C270,기출문제!D:G,4,0),"")</f>
        <v>1</v>
      </c>
      <c r="G270" s="32" t="str">
        <f t="shared" si="4"/>
        <v/>
      </c>
    </row>
    <row r="271" spans="2:7" ht="99.75" x14ac:dyDescent="0.3">
      <c r="B271" s="13">
        <v>264</v>
      </c>
      <c r="C271" s="14" t="s">
        <v>1046</v>
      </c>
      <c r="D271" s="13"/>
      <c r="E271" s="15" t="str">
        <f>IFERROR(VLOOKUP(C271,기출문제!D:G,3,0),"")</f>
        <v>124. 데이터 중복을 최소화하고 무결성을 극대화하며, 최상의 성능을 달성할 수 있도록 관계형 데이터베이스를 분석하고 효율화하는 과정을 지칭하는 용어는?
① 통합화(integration)
② 최적화(optimization)
③ 정규화(normalization)
④ 집중화(centralization)
⑤ 표준화(standardization)</v>
      </c>
      <c r="F271" s="31">
        <f>IFERROR(VLOOKUP(C271,기출문제!D:G,4,0),"")</f>
        <v>3</v>
      </c>
      <c r="G271" s="32" t="str">
        <f t="shared" si="4"/>
        <v/>
      </c>
    </row>
    <row r="272" spans="2:7" ht="99.75" x14ac:dyDescent="0.3">
      <c r="B272" s="13">
        <v>265</v>
      </c>
      <c r="C272" s="14" t="s">
        <v>1047</v>
      </c>
      <c r="D272" s="13"/>
      <c r="E272" s="15" t="str">
        <f>IFERROR(VLOOKUP(C272,기출문제!D:G,3,0),"")</f>
        <v>125. USB는 컴퓨터와 주변장치(키보드, 마우스, 메모리스틱 등)를 연결하는 장치이다. 여기서, USB는 U=Universal, S=Serial, B=( )의 약자이다. 괄호 안에 들어갈 단어는?
① Bit
② Bus
③ Box
④ Boot
⑤ Base</v>
      </c>
      <c r="F272" s="31">
        <f>IFERROR(VLOOKUP(C272,기출문제!D:G,4,0),"")</f>
        <v>2</v>
      </c>
      <c r="G272" s="32" t="str">
        <f t="shared" si="4"/>
        <v/>
      </c>
    </row>
    <row r="273" spans="2:7" x14ac:dyDescent="0.3">
      <c r="B273" s="13">
        <v>266</v>
      </c>
      <c r="C273" s="14" t="s">
        <v>766</v>
      </c>
      <c r="D273" s="13"/>
      <c r="E273" s="15" t="str">
        <f>IFERROR(VLOOKUP(C273,기출문제!D:G,3,0),"")</f>
        <v/>
      </c>
      <c r="F273" s="31" t="str">
        <f>IFERROR(VLOOKUP(C273,기출문제!D:G,4,0),"")</f>
        <v/>
      </c>
      <c r="G273" s="32" t="str">
        <f t="shared" si="4"/>
        <v/>
      </c>
    </row>
    <row r="274" spans="2:7" x14ac:dyDescent="0.3">
      <c r="B274" s="13">
        <v>267</v>
      </c>
      <c r="C274" s="14" t="s">
        <v>766</v>
      </c>
      <c r="D274" s="13"/>
      <c r="E274" s="15" t="str">
        <f>IFERROR(VLOOKUP(C274,기출문제!D:G,3,0),"")</f>
        <v/>
      </c>
      <c r="F274" s="31" t="str">
        <f>IFERROR(VLOOKUP(C274,기출문제!D:G,4,0),"")</f>
        <v/>
      </c>
      <c r="G274" s="32" t="str">
        <f t="shared" si="4"/>
        <v/>
      </c>
    </row>
    <row r="275" spans="2:7" x14ac:dyDescent="0.3">
      <c r="B275" s="13">
        <v>268</v>
      </c>
      <c r="C275" s="14" t="s">
        <v>766</v>
      </c>
      <c r="D275" s="13"/>
      <c r="E275" s="15" t="str">
        <f>IFERROR(VLOOKUP(C275,기출문제!D:G,3,0),"")</f>
        <v/>
      </c>
      <c r="F275" s="31" t="str">
        <f>IFERROR(VLOOKUP(C275,기출문제!D:G,4,0),"")</f>
        <v/>
      </c>
      <c r="G275" s="32" t="str">
        <f t="shared" si="4"/>
        <v/>
      </c>
    </row>
    <row r="276" spans="2:7" x14ac:dyDescent="0.3">
      <c r="B276" s="13">
        <v>269</v>
      </c>
      <c r="C276" s="14" t="s">
        <v>766</v>
      </c>
      <c r="D276" s="13"/>
      <c r="E276" s="15" t="str">
        <f>IFERROR(VLOOKUP(C276,기출문제!D:G,3,0),"")</f>
        <v/>
      </c>
      <c r="F276" s="31" t="str">
        <f>IFERROR(VLOOKUP(C276,기출문제!D:G,4,0),"")</f>
        <v/>
      </c>
      <c r="G276" s="32" t="str">
        <f t="shared" si="4"/>
        <v/>
      </c>
    </row>
    <row r="277" spans="2:7" x14ac:dyDescent="0.3">
      <c r="B277" s="13">
        <v>270</v>
      </c>
      <c r="C277" s="14" t="s">
        <v>766</v>
      </c>
      <c r="D277" s="13"/>
      <c r="E277" s="15" t="str">
        <f>IFERROR(VLOOKUP(C277,기출문제!D:G,3,0),"")</f>
        <v/>
      </c>
      <c r="F277" s="31" t="str">
        <f>IFERROR(VLOOKUP(C277,기출문제!D:G,4,0),"")</f>
        <v/>
      </c>
      <c r="G277" s="32" t="str">
        <f t="shared" si="4"/>
        <v/>
      </c>
    </row>
    <row r="278" spans="2:7" x14ac:dyDescent="0.3">
      <c r="B278" s="13">
        <v>271</v>
      </c>
      <c r="C278" s="14" t="s">
        <v>766</v>
      </c>
      <c r="D278" s="13"/>
      <c r="E278" s="15" t="str">
        <f>IFERROR(VLOOKUP(C278,기출문제!D:G,3,0),"")</f>
        <v/>
      </c>
      <c r="F278" s="31" t="str">
        <f>IFERROR(VLOOKUP(C278,기출문제!D:G,4,0),"")</f>
        <v/>
      </c>
      <c r="G278" s="32" t="str">
        <f t="shared" si="4"/>
        <v/>
      </c>
    </row>
    <row r="279" spans="2:7" x14ac:dyDescent="0.3">
      <c r="B279" s="13">
        <v>272</v>
      </c>
      <c r="C279" s="14" t="s">
        <v>766</v>
      </c>
      <c r="D279" s="13"/>
      <c r="E279" s="15" t="str">
        <f>IFERROR(VLOOKUP(C279,기출문제!D:G,3,0),"")</f>
        <v/>
      </c>
      <c r="F279" s="31" t="str">
        <f>IFERROR(VLOOKUP(C279,기출문제!D:G,4,0),"")</f>
        <v/>
      </c>
      <c r="G279" s="32" t="str">
        <f t="shared" si="4"/>
        <v/>
      </c>
    </row>
    <row r="280" spans="2:7" x14ac:dyDescent="0.3">
      <c r="B280" s="13">
        <v>273</v>
      </c>
      <c r="C280" s="14" t="s">
        <v>766</v>
      </c>
      <c r="D280" s="13"/>
      <c r="E280" s="15" t="str">
        <f>IFERROR(VLOOKUP(C280,기출문제!D:G,3,0),"")</f>
        <v/>
      </c>
      <c r="F280" s="31" t="str">
        <f>IFERROR(VLOOKUP(C280,기출문제!D:G,4,0),"")</f>
        <v/>
      </c>
      <c r="G280" s="32" t="str">
        <f t="shared" si="4"/>
        <v/>
      </c>
    </row>
    <row r="281" spans="2:7" x14ac:dyDescent="0.3">
      <c r="B281" s="13">
        <v>274</v>
      </c>
      <c r="C281" s="14" t="s">
        <v>766</v>
      </c>
      <c r="D281" s="13"/>
      <c r="E281" s="15" t="str">
        <f>IFERROR(VLOOKUP(C281,기출문제!D:G,3,0),"")</f>
        <v/>
      </c>
      <c r="F281" s="31" t="str">
        <f>IFERROR(VLOOKUP(C281,기출문제!D:G,4,0),"")</f>
        <v/>
      </c>
      <c r="G281" s="32" t="str">
        <f t="shared" si="4"/>
        <v/>
      </c>
    </row>
    <row r="282" spans="2:7" x14ac:dyDescent="0.3">
      <c r="B282" s="13">
        <v>275</v>
      </c>
      <c r="C282" s="14" t="s">
        <v>766</v>
      </c>
      <c r="D282" s="13"/>
      <c r="E282" s="15" t="str">
        <f>IFERROR(VLOOKUP(C282,기출문제!D:G,3,0),"")</f>
        <v/>
      </c>
      <c r="F282" s="31" t="str">
        <f>IFERROR(VLOOKUP(C282,기출문제!D:G,4,0),"")</f>
        <v/>
      </c>
      <c r="G282" s="32" t="str">
        <f t="shared" si="4"/>
        <v/>
      </c>
    </row>
    <row r="283" spans="2:7" x14ac:dyDescent="0.3">
      <c r="B283" s="13">
        <v>276</v>
      </c>
      <c r="C283" s="14" t="s">
        <v>766</v>
      </c>
      <c r="D283" s="13"/>
      <c r="E283" s="15" t="str">
        <f>IFERROR(VLOOKUP(C283,기출문제!D:G,3,0),"")</f>
        <v/>
      </c>
      <c r="F283" s="31" t="str">
        <f>IFERROR(VLOOKUP(C283,기출문제!D:G,4,0),"")</f>
        <v/>
      </c>
      <c r="G283" s="32" t="str">
        <f t="shared" si="4"/>
        <v/>
      </c>
    </row>
    <row r="284" spans="2:7" x14ac:dyDescent="0.3">
      <c r="B284" s="13">
        <v>277</v>
      </c>
      <c r="C284" s="14" t="s">
        <v>766</v>
      </c>
      <c r="D284" s="13"/>
      <c r="E284" s="15" t="str">
        <f>IFERROR(VLOOKUP(C284,기출문제!D:G,3,0),"")</f>
        <v/>
      </c>
      <c r="F284" s="31" t="str">
        <f>IFERROR(VLOOKUP(C284,기출문제!D:G,4,0),"")</f>
        <v/>
      </c>
      <c r="G284" s="32" t="str">
        <f t="shared" si="4"/>
        <v/>
      </c>
    </row>
    <row r="285" spans="2:7" x14ac:dyDescent="0.3">
      <c r="B285" s="13">
        <v>278</v>
      </c>
      <c r="C285" s="14" t="s">
        <v>766</v>
      </c>
      <c r="D285" s="13"/>
      <c r="E285" s="15" t="str">
        <f>IFERROR(VLOOKUP(C285,기출문제!D:G,3,0),"")</f>
        <v/>
      </c>
      <c r="F285" s="31" t="str">
        <f>IFERROR(VLOOKUP(C285,기출문제!D:G,4,0),"")</f>
        <v/>
      </c>
      <c r="G285" s="32" t="str">
        <f t="shared" si="4"/>
        <v/>
      </c>
    </row>
    <row r="286" spans="2:7" x14ac:dyDescent="0.3">
      <c r="B286" s="13">
        <v>279</v>
      </c>
      <c r="C286" s="14" t="s">
        <v>766</v>
      </c>
      <c r="D286" s="13"/>
      <c r="E286" s="15" t="str">
        <f>IFERROR(VLOOKUP(C286,기출문제!D:G,3,0),"")</f>
        <v/>
      </c>
      <c r="F286" s="31" t="str">
        <f>IFERROR(VLOOKUP(C286,기출문제!D:G,4,0),"")</f>
        <v/>
      </c>
      <c r="G286" s="32" t="str">
        <f t="shared" si="4"/>
        <v/>
      </c>
    </row>
    <row r="287" spans="2:7" x14ac:dyDescent="0.3">
      <c r="B287" s="13">
        <v>280</v>
      </c>
      <c r="C287" s="14" t="s">
        <v>766</v>
      </c>
      <c r="D287" s="13"/>
      <c r="E287" s="15" t="str">
        <f>IFERROR(VLOOKUP(C287,기출문제!D:G,3,0),"")</f>
        <v/>
      </c>
      <c r="F287" s="31" t="str">
        <f>IFERROR(VLOOKUP(C287,기출문제!D:G,4,0),"")</f>
        <v/>
      </c>
      <c r="G287" s="32" t="str">
        <f t="shared" si="4"/>
        <v/>
      </c>
    </row>
    <row r="288" spans="2:7" x14ac:dyDescent="0.3">
      <c r="B288" s="13">
        <v>281</v>
      </c>
      <c r="C288" s="14" t="s">
        <v>766</v>
      </c>
      <c r="D288" s="13"/>
      <c r="E288" s="15" t="str">
        <f>IFERROR(VLOOKUP(C288,기출문제!D:G,3,0),"")</f>
        <v/>
      </c>
      <c r="F288" s="31" t="str">
        <f>IFERROR(VLOOKUP(C288,기출문제!D:G,4,0),"")</f>
        <v/>
      </c>
      <c r="G288" s="32" t="str">
        <f t="shared" si="4"/>
        <v/>
      </c>
    </row>
    <row r="289" spans="2:7" x14ac:dyDescent="0.3">
      <c r="B289" s="13">
        <v>282</v>
      </c>
      <c r="C289" s="14" t="s">
        <v>766</v>
      </c>
      <c r="D289" s="13"/>
      <c r="E289" s="15" t="str">
        <f>IFERROR(VLOOKUP(C289,기출문제!D:G,3,0),"")</f>
        <v/>
      </c>
      <c r="F289" s="31" t="str">
        <f>IFERROR(VLOOKUP(C289,기출문제!D:G,4,0),"")</f>
        <v/>
      </c>
      <c r="G289" s="32" t="str">
        <f t="shared" si="4"/>
        <v/>
      </c>
    </row>
    <row r="290" spans="2:7" x14ac:dyDescent="0.3">
      <c r="B290" s="13">
        <v>283</v>
      </c>
      <c r="C290" s="14" t="s">
        <v>766</v>
      </c>
      <c r="D290" s="13"/>
      <c r="E290" s="15" t="str">
        <f>IFERROR(VLOOKUP(C290,기출문제!D:G,3,0),"")</f>
        <v/>
      </c>
      <c r="F290" s="31" t="str">
        <f>IFERROR(VLOOKUP(C290,기출문제!D:G,4,0),"")</f>
        <v/>
      </c>
      <c r="G290" s="32" t="str">
        <f t="shared" si="4"/>
        <v/>
      </c>
    </row>
    <row r="291" spans="2:7" x14ac:dyDescent="0.3">
      <c r="B291" s="13">
        <v>284</v>
      </c>
      <c r="C291" s="14" t="s">
        <v>766</v>
      </c>
      <c r="D291" s="13"/>
      <c r="E291" s="15" t="str">
        <f>IFERROR(VLOOKUP(C291,기출문제!D:G,3,0),"")</f>
        <v/>
      </c>
      <c r="F291" s="31" t="str">
        <f>IFERROR(VLOOKUP(C291,기출문제!D:G,4,0),"")</f>
        <v/>
      </c>
      <c r="G291" s="32" t="str">
        <f t="shared" si="4"/>
        <v/>
      </c>
    </row>
    <row r="292" spans="2:7" x14ac:dyDescent="0.3">
      <c r="B292" s="13">
        <v>285</v>
      </c>
      <c r="C292" s="14" t="s">
        <v>766</v>
      </c>
      <c r="D292" s="13"/>
      <c r="E292" s="15" t="str">
        <f>IFERROR(VLOOKUP(C292,기출문제!D:G,3,0),"")</f>
        <v/>
      </c>
      <c r="F292" s="31" t="str">
        <f>IFERROR(VLOOKUP(C292,기출문제!D:G,4,0),"")</f>
        <v/>
      </c>
      <c r="G292" s="32" t="str">
        <f t="shared" si="4"/>
        <v/>
      </c>
    </row>
    <row r="293" spans="2:7" x14ac:dyDescent="0.3">
      <c r="B293" s="13">
        <v>286</v>
      </c>
      <c r="C293" s="14" t="s">
        <v>766</v>
      </c>
      <c r="D293" s="13"/>
      <c r="E293" s="15" t="str">
        <f>IFERROR(VLOOKUP(C293,기출문제!D:G,3,0),"")</f>
        <v/>
      </c>
      <c r="F293" s="31" t="str">
        <f>IFERROR(VLOOKUP(C293,기출문제!D:G,4,0),"")</f>
        <v/>
      </c>
      <c r="G293" s="32" t="str">
        <f t="shared" si="4"/>
        <v/>
      </c>
    </row>
    <row r="294" spans="2:7" x14ac:dyDescent="0.3">
      <c r="B294" s="13">
        <v>287</v>
      </c>
      <c r="C294" s="14" t="s">
        <v>766</v>
      </c>
      <c r="D294" s="13"/>
      <c r="E294" s="15" t="str">
        <f>IFERROR(VLOOKUP(C294,기출문제!D:G,3,0),"")</f>
        <v/>
      </c>
      <c r="F294" s="31" t="str">
        <f>IFERROR(VLOOKUP(C294,기출문제!D:G,4,0),"")</f>
        <v/>
      </c>
      <c r="G294" s="32" t="str">
        <f t="shared" si="4"/>
        <v/>
      </c>
    </row>
    <row r="295" spans="2:7" x14ac:dyDescent="0.3">
      <c r="B295" s="13">
        <v>288</v>
      </c>
      <c r="C295" s="14" t="s">
        <v>766</v>
      </c>
      <c r="D295" s="13"/>
      <c r="E295" s="15" t="str">
        <f>IFERROR(VLOOKUP(C295,기출문제!D:G,3,0),"")</f>
        <v/>
      </c>
      <c r="F295" s="31" t="str">
        <f>IFERROR(VLOOKUP(C295,기출문제!D:G,4,0),"")</f>
        <v/>
      </c>
      <c r="G295" s="32" t="str">
        <f t="shared" si="4"/>
        <v/>
      </c>
    </row>
    <row r="296" spans="2:7" x14ac:dyDescent="0.3">
      <c r="B296" s="13">
        <v>289</v>
      </c>
      <c r="C296" s="14" t="s">
        <v>766</v>
      </c>
      <c r="D296" s="13"/>
      <c r="E296" s="15" t="str">
        <f>IFERROR(VLOOKUP(C296,기출문제!D:G,3,0),"")</f>
        <v/>
      </c>
      <c r="F296" s="31" t="str">
        <f>IFERROR(VLOOKUP(C296,기출문제!D:G,4,0),"")</f>
        <v/>
      </c>
      <c r="G296" s="32" t="str">
        <f t="shared" si="4"/>
        <v/>
      </c>
    </row>
    <row r="297" spans="2:7" x14ac:dyDescent="0.3">
      <c r="B297" s="13">
        <v>290</v>
      </c>
      <c r="C297" s="14" t="s">
        <v>766</v>
      </c>
      <c r="D297" s="13"/>
      <c r="E297" s="15" t="str">
        <f>IFERROR(VLOOKUP(C297,기출문제!D:G,3,0),"")</f>
        <v/>
      </c>
      <c r="F297" s="31" t="str">
        <f>IFERROR(VLOOKUP(C297,기출문제!D:G,4,0),"")</f>
        <v/>
      </c>
      <c r="G297" s="32" t="str">
        <f t="shared" si="4"/>
        <v/>
      </c>
    </row>
    <row r="298" spans="2:7" x14ac:dyDescent="0.3">
      <c r="B298" s="13">
        <v>291</v>
      </c>
      <c r="C298" s="14" t="s">
        <v>766</v>
      </c>
      <c r="D298" s="13"/>
      <c r="E298" s="15" t="str">
        <f>IFERROR(VLOOKUP(C298,기출문제!D:G,3,0),"")</f>
        <v/>
      </c>
      <c r="F298" s="31" t="str">
        <f>IFERROR(VLOOKUP(C298,기출문제!D:G,4,0),"")</f>
        <v/>
      </c>
      <c r="G298" s="32" t="str">
        <f t="shared" si="4"/>
        <v/>
      </c>
    </row>
    <row r="299" spans="2:7" x14ac:dyDescent="0.3">
      <c r="B299" s="13">
        <v>292</v>
      </c>
      <c r="C299" s="14" t="s">
        <v>766</v>
      </c>
      <c r="D299" s="13"/>
      <c r="E299" s="15" t="str">
        <f>IFERROR(VLOOKUP(C299,기출문제!D:G,3,0),"")</f>
        <v/>
      </c>
      <c r="F299" s="31" t="str">
        <f>IFERROR(VLOOKUP(C299,기출문제!D:G,4,0),"")</f>
        <v/>
      </c>
      <c r="G299" s="32" t="str">
        <f t="shared" si="4"/>
        <v/>
      </c>
    </row>
    <row r="300" spans="2:7" x14ac:dyDescent="0.3">
      <c r="B300" s="13">
        <v>293</v>
      </c>
      <c r="C300" s="14" t="s">
        <v>766</v>
      </c>
      <c r="D300" s="13"/>
      <c r="E300" s="15" t="str">
        <f>IFERROR(VLOOKUP(C300,기출문제!D:G,3,0),"")</f>
        <v/>
      </c>
      <c r="F300" s="31" t="str">
        <f>IFERROR(VLOOKUP(C300,기출문제!D:G,4,0),"")</f>
        <v/>
      </c>
      <c r="G300" s="32" t="str">
        <f t="shared" si="4"/>
        <v/>
      </c>
    </row>
    <row r="301" spans="2:7" x14ac:dyDescent="0.3">
      <c r="B301" s="13">
        <v>294</v>
      </c>
      <c r="C301" s="14" t="s">
        <v>766</v>
      </c>
      <c r="D301" s="13"/>
      <c r="E301" s="15" t="str">
        <f>IFERROR(VLOOKUP(C301,기출문제!D:G,3,0),"")</f>
        <v/>
      </c>
      <c r="F301" s="31" t="str">
        <f>IFERROR(VLOOKUP(C301,기출문제!D:G,4,0),"")</f>
        <v/>
      </c>
      <c r="G301" s="32" t="str">
        <f t="shared" si="4"/>
        <v/>
      </c>
    </row>
    <row r="302" spans="2:7" x14ac:dyDescent="0.3">
      <c r="B302" s="13">
        <v>295</v>
      </c>
      <c r="C302" s="14" t="s">
        <v>766</v>
      </c>
      <c r="D302" s="13"/>
      <c r="E302" s="15" t="str">
        <f>IFERROR(VLOOKUP(C302,기출문제!D:G,3,0),"")</f>
        <v/>
      </c>
      <c r="F302" s="31" t="str">
        <f>IFERROR(VLOOKUP(C302,기출문제!D:G,4,0),"")</f>
        <v/>
      </c>
      <c r="G302" s="32" t="str">
        <f t="shared" si="4"/>
        <v/>
      </c>
    </row>
    <row r="303" spans="2:7" x14ac:dyDescent="0.3">
      <c r="B303" s="13">
        <v>296</v>
      </c>
      <c r="C303" s="14" t="s">
        <v>766</v>
      </c>
      <c r="D303" s="13"/>
      <c r="E303" s="15" t="str">
        <f>IFERROR(VLOOKUP(C303,기출문제!D:G,3,0),"")</f>
        <v/>
      </c>
      <c r="F303" s="31" t="str">
        <f>IFERROR(VLOOKUP(C303,기출문제!D:G,4,0),"")</f>
        <v/>
      </c>
      <c r="G303" s="32" t="str">
        <f t="shared" si="4"/>
        <v/>
      </c>
    </row>
    <row r="304" spans="2:7" x14ac:dyDescent="0.3">
      <c r="B304" s="13">
        <v>297</v>
      </c>
      <c r="C304" s="14" t="s">
        <v>766</v>
      </c>
      <c r="D304" s="13"/>
      <c r="E304" s="15" t="str">
        <f>IFERROR(VLOOKUP(C304,기출문제!D:G,3,0),"")</f>
        <v/>
      </c>
      <c r="F304" s="31" t="str">
        <f>IFERROR(VLOOKUP(C304,기출문제!D:G,4,0),"")</f>
        <v/>
      </c>
      <c r="G304" s="32" t="str">
        <f t="shared" si="4"/>
        <v/>
      </c>
    </row>
    <row r="305" spans="2:7" x14ac:dyDescent="0.3">
      <c r="B305" s="13">
        <v>298</v>
      </c>
      <c r="C305" s="14" t="s">
        <v>766</v>
      </c>
      <c r="D305" s="13"/>
      <c r="E305" s="15" t="str">
        <f>IFERROR(VLOOKUP(C305,기출문제!D:G,3,0),"")</f>
        <v/>
      </c>
      <c r="F305" s="31" t="str">
        <f>IFERROR(VLOOKUP(C305,기출문제!D:G,4,0),"")</f>
        <v/>
      </c>
      <c r="G305" s="32" t="str">
        <f t="shared" si="4"/>
        <v/>
      </c>
    </row>
    <row r="306" spans="2:7" x14ac:dyDescent="0.3">
      <c r="B306" s="13">
        <v>299</v>
      </c>
      <c r="C306" s="14" t="s">
        <v>766</v>
      </c>
      <c r="D306" s="13"/>
      <c r="E306" s="15" t="str">
        <f>IFERROR(VLOOKUP(C306,기출문제!D:G,3,0),"")</f>
        <v/>
      </c>
      <c r="F306" s="31" t="str">
        <f>IFERROR(VLOOKUP(C306,기출문제!D:G,4,0),"")</f>
        <v/>
      </c>
      <c r="G306" s="32" t="str">
        <f t="shared" si="4"/>
        <v/>
      </c>
    </row>
    <row r="307" spans="2:7" x14ac:dyDescent="0.3">
      <c r="B307" s="13">
        <v>300</v>
      </c>
      <c r="C307" s="14" t="s">
        <v>766</v>
      </c>
      <c r="D307" s="13"/>
      <c r="E307" s="15" t="str">
        <f>IFERROR(VLOOKUP(C307,기출문제!D:G,3,0),"")</f>
        <v/>
      </c>
      <c r="F307" s="31" t="str">
        <f>IFERROR(VLOOKUP(C307,기출문제!D:G,4,0),"")</f>
        <v/>
      </c>
      <c r="G307" s="32" t="str">
        <f t="shared" si="4"/>
        <v/>
      </c>
    </row>
    <row r="308" spans="2:7" x14ac:dyDescent="0.3">
      <c r="B308" s="13">
        <v>301</v>
      </c>
      <c r="C308" s="14" t="s">
        <v>766</v>
      </c>
      <c r="D308" s="13"/>
      <c r="E308" s="15" t="str">
        <f>IFERROR(VLOOKUP(C308,기출문제!D:G,3,0),"")</f>
        <v/>
      </c>
      <c r="F308" s="31" t="str">
        <f>IFERROR(VLOOKUP(C308,기출문제!D:G,4,0),"")</f>
        <v/>
      </c>
      <c r="G308" s="32" t="str">
        <f t="shared" si="4"/>
        <v/>
      </c>
    </row>
    <row r="309" spans="2:7" x14ac:dyDescent="0.3">
      <c r="B309" s="13">
        <v>302</v>
      </c>
      <c r="C309" s="14" t="s">
        <v>766</v>
      </c>
      <c r="D309" s="13"/>
      <c r="E309" s="15" t="str">
        <f>IFERROR(VLOOKUP(C309,기출문제!D:G,3,0),"")</f>
        <v/>
      </c>
      <c r="F309" s="31" t="str">
        <f>IFERROR(VLOOKUP(C309,기출문제!D:G,4,0),"")</f>
        <v/>
      </c>
      <c r="G309" s="32" t="str">
        <f t="shared" si="4"/>
        <v/>
      </c>
    </row>
    <row r="310" spans="2:7" x14ac:dyDescent="0.3">
      <c r="B310" s="13">
        <v>303</v>
      </c>
      <c r="C310" s="14" t="s">
        <v>766</v>
      </c>
      <c r="D310" s="13"/>
      <c r="E310" s="15" t="str">
        <f>IFERROR(VLOOKUP(C310,기출문제!D:G,3,0),"")</f>
        <v/>
      </c>
      <c r="F310" s="31" t="str">
        <f>IFERROR(VLOOKUP(C310,기출문제!D:G,4,0),"")</f>
        <v/>
      </c>
      <c r="G310" s="32" t="str">
        <f t="shared" si="4"/>
        <v/>
      </c>
    </row>
    <row r="311" spans="2:7" x14ac:dyDescent="0.3">
      <c r="B311" s="13">
        <v>304</v>
      </c>
      <c r="C311" s="14" t="s">
        <v>766</v>
      </c>
      <c r="D311" s="13"/>
      <c r="E311" s="15" t="str">
        <f>IFERROR(VLOOKUP(C311,기출문제!D:G,3,0),"")</f>
        <v/>
      </c>
      <c r="F311" s="31" t="str">
        <f>IFERROR(VLOOKUP(C311,기출문제!D:G,4,0),"")</f>
        <v/>
      </c>
      <c r="G311" s="32" t="str">
        <f t="shared" si="4"/>
        <v/>
      </c>
    </row>
    <row r="312" spans="2:7" x14ac:dyDescent="0.3">
      <c r="B312" s="13">
        <v>305</v>
      </c>
      <c r="C312" s="14" t="s">
        <v>766</v>
      </c>
      <c r="D312" s="13"/>
      <c r="E312" s="15" t="str">
        <f>IFERROR(VLOOKUP(C312,기출문제!D:G,3,0),"")</f>
        <v/>
      </c>
      <c r="F312" s="31" t="str">
        <f>IFERROR(VLOOKUP(C312,기출문제!D:G,4,0),"")</f>
        <v/>
      </c>
      <c r="G312" s="32" t="str">
        <f t="shared" si="4"/>
        <v/>
      </c>
    </row>
    <row r="313" spans="2:7" x14ac:dyDescent="0.3">
      <c r="B313" s="13">
        <v>306</v>
      </c>
      <c r="C313" s="14" t="s">
        <v>766</v>
      </c>
      <c r="D313" s="13"/>
      <c r="E313" s="15" t="str">
        <f>IFERROR(VLOOKUP(C313,기출문제!D:G,3,0),"")</f>
        <v/>
      </c>
      <c r="F313" s="31" t="str">
        <f>IFERROR(VLOOKUP(C313,기출문제!D:G,4,0),"")</f>
        <v/>
      </c>
      <c r="G313" s="32" t="str">
        <f t="shared" si="4"/>
        <v/>
      </c>
    </row>
    <row r="314" spans="2:7" x14ac:dyDescent="0.3">
      <c r="B314" s="13">
        <v>307</v>
      </c>
      <c r="C314" s="14" t="s">
        <v>766</v>
      </c>
      <c r="D314" s="13"/>
      <c r="E314" s="15" t="str">
        <f>IFERROR(VLOOKUP(C314,기출문제!D:G,3,0),"")</f>
        <v/>
      </c>
      <c r="F314" s="31" t="str">
        <f>IFERROR(VLOOKUP(C314,기출문제!D:G,4,0),"")</f>
        <v/>
      </c>
      <c r="G314" s="32" t="str">
        <f t="shared" si="4"/>
        <v/>
      </c>
    </row>
    <row r="315" spans="2:7" x14ac:dyDescent="0.3">
      <c r="B315" s="13">
        <v>308</v>
      </c>
      <c r="C315" s="14" t="s">
        <v>766</v>
      </c>
      <c r="D315" s="13"/>
      <c r="E315" s="15" t="str">
        <f>IFERROR(VLOOKUP(C315,기출문제!D:G,3,0),"")</f>
        <v/>
      </c>
      <c r="F315" s="31" t="str">
        <f>IFERROR(VLOOKUP(C315,기출문제!D:G,4,0),"")</f>
        <v/>
      </c>
      <c r="G315" s="32" t="str">
        <f t="shared" si="4"/>
        <v/>
      </c>
    </row>
    <row r="316" spans="2:7" x14ac:dyDescent="0.3">
      <c r="B316" s="13">
        <v>309</v>
      </c>
      <c r="C316" s="14" t="s">
        <v>766</v>
      </c>
      <c r="D316" s="13"/>
      <c r="E316" s="15" t="str">
        <f>IFERROR(VLOOKUP(C316,기출문제!D:G,3,0),"")</f>
        <v/>
      </c>
      <c r="F316" s="31" t="str">
        <f>IFERROR(VLOOKUP(C316,기출문제!D:G,4,0),"")</f>
        <v/>
      </c>
      <c r="G316" s="32" t="str">
        <f t="shared" si="4"/>
        <v/>
      </c>
    </row>
    <row r="317" spans="2:7" x14ac:dyDescent="0.3">
      <c r="B317" s="13">
        <v>310</v>
      </c>
      <c r="C317" s="14" t="s">
        <v>766</v>
      </c>
      <c r="D317" s="13"/>
      <c r="E317" s="15" t="str">
        <f>IFERROR(VLOOKUP(C317,기출문제!D:G,3,0),"")</f>
        <v/>
      </c>
      <c r="F317" s="31" t="str">
        <f>IFERROR(VLOOKUP(C317,기출문제!D:G,4,0),"")</f>
        <v/>
      </c>
      <c r="G317" s="32" t="str">
        <f t="shared" si="4"/>
        <v/>
      </c>
    </row>
    <row r="318" spans="2:7" x14ac:dyDescent="0.3">
      <c r="B318" s="13">
        <v>311</v>
      </c>
      <c r="C318" s="14" t="s">
        <v>766</v>
      </c>
      <c r="D318" s="13"/>
      <c r="E318" s="15" t="str">
        <f>IFERROR(VLOOKUP(C318,기출문제!D:G,3,0),"")</f>
        <v/>
      </c>
      <c r="F318" s="31" t="str">
        <f>IFERROR(VLOOKUP(C318,기출문제!D:G,4,0),"")</f>
        <v/>
      </c>
      <c r="G318" s="32" t="str">
        <f t="shared" si="4"/>
        <v/>
      </c>
    </row>
    <row r="319" spans="2:7" x14ac:dyDescent="0.3">
      <c r="B319" s="13">
        <v>312</v>
      </c>
      <c r="C319" s="14" t="s">
        <v>766</v>
      </c>
      <c r="D319" s="13"/>
      <c r="E319" s="15" t="str">
        <f>IFERROR(VLOOKUP(C319,기출문제!D:G,3,0),"")</f>
        <v/>
      </c>
      <c r="F319" s="31" t="str">
        <f>IFERROR(VLOOKUP(C319,기출문제!D:G,4,0),"")</f>
        <v/>
      </c>
      <c r="G319" s="32" t="str">
        <f t="shared" si="4"/>
        <v/>
      </c>
    </row>
    <row r="320" spans="2:7" x14ac:dyDescent="0.3">
      <c r="B320" s="13">
        <v>313</v>
      </c>
      <c r="C320" s="14" t="s">
        <v>766</v>
      </c>
      <c r="D320" s="13"/>
      <c r="E320" s="15" t="str">
        <f>IFERROR(VLOOKUP(C320,기출문제!D:G,3,0),"")</f>
        <v/>
      </c>
      <c r="F320" s="31" t="str">
        <f>IFERROR(VLOOKUP(C320,기출문제!D:G,4,0),"")</f>
        <v/>
      </c>
      <c r="G320" s="32" t="str">
        <f t="shared" si="4"/>
        <v/>
      </c>
    </row>
    <row r="321" spans="2:7" x14ac:dyDescent="0.3">
      <c r="B321" s="13">
        <v>314</v>
      </c>
      <c r="C321" s="14" t="s">
        <v>766</v>
      </c>
      <c r="D321" s="13"/>
      <c r="E321" s="15" t="str">
        <f>IFERROR(VLOOKUP(C321,기출문제!D:G,3,0),"")</f>
        <v/>
      </c>
      <c r="F321" s="31" t="str">
        <f>IFERROR(VLOOKUP(C321,기출문제!D:G,4,0),"")</f>
        <v/>
      </c>
      <c r="G321" s="32" t="str">
        <f t="shared" si="4"/>
        <v/>
      </c>
    </row>
    <row r="322" spans="2:7" x14ac:dyDescent="0.3">
      <c r="B322" s="13">
        <v>315</v>
      </c>
      <c r="C322" s="14" t="s">
        <v>766</v>
      </c>
      <c r="D322" s="13"/>
      <c r="E322" s="15" t="str">
        <f>IFERROR(VLOOKUP(C322,기출문제!D:G,3,0),"")</f>
        <v/>
      </c>
      <c r="F322" s="31" t="str">
        <f>IFERROR(VLOOKUP(C322,기출문제!D:G,4,0),"")</f>
        <v/>
      </c>
      <c r="G322" s="32" t="str">
        <f t="shared" si="4"/>
        <v/>
      </c>
    </row>
    <row r="323" spans="2:7" x14ac:dyDescent="0.3">
      <c r="B323" s="13">
        <v>316</v>
      </c>
      <c r="C323" s="14" t="s">
        <v>766</v>
      </c>
      <c r="D323" s="13"/>
      <c r="E323" s="15" t="str">
        <f>IFERROR(VLOOKUP(C323,기출문제!D:G,3,0),"")</f>
        <v/>
      </c>
      <c r="F323" s="31" t="str">
        <f>IFERROR(VLOOKUP(C323,기출문제!D:G,4,0),"")</f>
        <v/>
      </c>
      <c r="G323" s="32" t="str">
        <f t="shared" si="4"/>
        <v/>
      </c>
    </row>
    <row r="324" spans="2:7" x14ac:dyDescent="0.3">
      <c r="B324" s="13">
        <v>317</v>
      </c>
      <c r="C324" s="14" t="s">
        <v>766</v>
      </c>
      <c r="D324" s="13"/>
      <c r="E324" s="15" t="str">
        <f>IFERROR(VLOOKUP(C324,기출문제!D:G,3,0),"")</f>
        <v/>
      </c>
      <c r="F324" s="31" t="str">
        <f>IFERROR(VLOOKUP(C324,기출문제!D:G,4,0),"")</f>
        <v/>
      </c>
      <c r="G324" s="32" t="str">
        <f t="shared" si="4"/>
        <v/>
      </c>
    </row>
    <row r="325" spans="2:7" x14ac:dyDescent="0.3">
      <c r="B325" s="13">
        <v>318</v>
      </c>
      <c r="C325" s="14" t="s">
        <v>766</v>
      </c>
      <c r="D325" s="13"/>
      <c r="E325" s="15" t="str">
        <f>IFERROR(VLOOKUP(C325,기출문제!D:G,3,0),"")</f>
        <v/>
      </c>
      <c r="F325" s="31" t="str">
        <f>IFERROR(VLOOKUP(C325,기출문제!D:G,4,0),"")</f>
        <v/>
      </c>
      <c r="G325" s="32" t="str">
        <f t="shared" si="4"/>
        <v/>
      </c>
    </row>
    <row r="326" spans="2:7" x14ac:dyDescent="0.3">
      <c r="B326" s="13">
        <v>319</v>
      </c>
      <c r="C326" s="14" t="s">
        <v>766</v>
      </c>
      <c r="D326" s="13"/>
      <c r="E326" s="15" t="str">
        <f>IFERROR(VLOOKUP(C326,기출문제!D:G,3,0),"")</f>
        <v/>
      </c>
      <c r="F326" s="31" t="str">
        <f>IFERROR(VLOOKUP(C326,기출문제!D:G,4,0),"")</f>
        <v/>
      </c>
      <c r="G326" s="32" t="str">
        <f t="shared" si="4"/>
        <v/>
      </c>
    </row>
    <row r="327" spans="2:7" x14ac:dyDescent="0.3">
      <c r="B327" s="13">
        <v>320</v>
      </c>
      <c r="C327" s="14" t="s">
        <v>766</v>
      </c>
      <c r="D327" s="13"/>
      <c r="E327" s="15" t="str">
        <f>IFERROR(VLOOKUP(C327,기출문제!D:G,3,0),"")</f>
        <v/>
      </c>
      <c r="F327" s="31" t="str">
        <f>IFERROR(VLOOKUP(C327,기출문제!D:G,4,0),"")</f>
        <v/>
      </c>
      <c r="G327" s="32" t="str">
        <f t="shared" si="4"/>
        <v/>
      </c>
    </row>
    <row r="328" spans="2:7" x14ac:dyDescent="0.3">
      <c r="B328" s="13">
        <v>321</v>
      </c>
      <c r="C328" s="14" t="s">
        <v>766</v>
      </c>
      <c r="D328" s="13"/>
      <c r="E328" s="15" t="str">
        <f>IFERROR(VLOOKUP(C328,기출문제!D:G,3,0),"")</f>
        <v/>
      </c>
      <c r="F328" s="31" t="str">
        <f>IFERROR(VLOOKUP(C328,기출문제!D:G,4,0),"")</f>
        <v/>
      </c>
      <c r="G328" s="32" t="str">
        <f t="shared" si="4"/>
        <v/>
      </c>
    </row>
    <row r="329" spans="2:7" x14ac:dyDescent="0.3">
      <c r="B329" s="13">
        <v>322</v>
      </c>
      <c r="C329" s="14" t="s">
        <v>766</v>
      </c>
      <c r="D329" s="13"/>
      <c r="E329" s="15" t="str">
        <f>IFERROR(VLOOKUP(C329,기출문제!D:G,3,0),"")</f>
        <v/>
      </c>
      <c r="F329" s="31" t="str">
        <f>IFERROR(VLOOKUP(C329,기출문제!D:G,4,0),"")</f>
        <v/>
      </c>
      <c r="G329" s="32" t="str">
        <f t="shared" ref="G329:G392" si="5">IF(D329="","",IF(D329=F329,"O", "X"))</f>
        <v/>
      </c>
    </row>
    <row r="330" spans="2:7" x14ac:dyDescent="0.3">
      <c r="B330" s="13">
        <v>323</v>
      </c>
      <c r="C330" s="14" t="s">
        <v>766</v>
      </c>
      <c r="D330" s="13"/>
      <c r="E330" s="15" t="str">
        <f>IFERROR(VLOOKUP(C330,기출문제!D:G,3,0),"")</f>
        <v/>
      </c>
      <c r="F330" s="31" t="str">
        <f>IFERROR(VLOOKUP(C330,기출문제!D:G,4,0),"")</f>
        <v/>
      </c>
      <c r="G330" s="32" t="str">
        <f t="shared" si="5"/>
        <v/>
      </c>
    </row>
    <row r="331" spans="2:7" x14ac:dyDescent="0.3">
      <c r="B331" s="13">
        <v>324</v>
      </c>
      <c r="C331" s="14" t="s">
        <v>766</v>
      </c>
      <c r="D331" s="13"/>
      <c r="E331" s="15" t="str">
        <f>IFERROR(VLOOKUP(C331,기출문제!D:G,3,0),"")</f>
        <v/>
      </c>
      <c r="F331" s="31" t="str">
        <f>IFERROR(VLOOKUP(C331,기출문제!D:G,4,0),"")</f>
        <v/>
      </c>
      <c r="G331" s="32" t="str">
        <f t="shared" si="5"/>
        <v/>
      </c>
    </row>
    <row r="332" spans="2:7" x14ac:dyDescent="0.3">
      <c r="B332" s="13">
        <v>325</v>
      </c>
      <c r="C332" s="14" t="s">
        <v>766</v>
      </c>
      <c r="D332" s="13"/>
      <c r="E332" s="15" t="str">
        <f>IFERROR(VLOOKUP(C332,기출문제!D:G,3,0),"")</f>
        <v/>
      </c>
      <c r="F332" s="31" t="str">
        <f>IFERROR(VLOOKUP(C332,기출문제!D:G,4,0),"")</f>
        <v/>
      </c>
      <c r="G332" s="32" t="str">
        <f t="shared" si="5"/>
        <v/>
      </c>
    </row>
    <row r="333" spans="2:7" x14ac:dyDescent="0.3">
      <c r="B333" s="13">
        <v>326</v>
      </c>
      <c r="C333" s="14" t="s">
        <v>766</v>
      </c>
      <c r="D333" s="13"/>
      <c r="E333" s="15" t="str">
        <f>IFERROR(VLOOKUP(C333,기출문제!D:G,3,0),"")</f>
        <v/>
      </c>
      <c r="F333" s="31" t="str">
        <f>IFERROR(VLOOKUP(C333,기출문제!D:G,4,0),"")</f>
        <v/>
      </c>
      <c r="G333" s="32" t="str">
        <f t="shared" si="5"/>
        <v/>
      </c>
    </row>
    <row r="334" spans="2:7" x14ac:dyDescent="0.3">
      <c r="B334" s="13">
        <v>327</v>
      </c>
      <c r="C334" s="14" t="s">
        <v>766</v>
      </c>
      <c r="D334" s="13"/>
      <c r="E334" s="15" t="str">
        <f>IFERROR(VLOOKUP(C334,기출문제!D:G,3,0),"")</f>
        <v/>
      </c>
      <c r="F334" s="31" t="str">
        <f>IFERROR(VLOOKUP(C334,기출문제!D:G,4,0),"")</f>
        <v/>
      </c>
      <c r="G334" s="32" t="str">
        <f t="shared" si="5"/>
        <v/>
      </c>
    </row>
    <row r="335" spans="2:7" x14ac:dyDescent="0.3">
      <c r="B335" s="13">
        <v>328</v>
      </c>
      <c r="C335" s="14" t="s">
        <v>766</v>
      </c>
      <c r="D335" s="13"/>
      <c r="E335" s="15" t="str">
        <f>IFERROR(VLOOKUP(C335,기출문제!D:G,3,0),"")</f>
        <v/>
      </c>
      <c r="F335" s="31" t="str">
        <f>IFERROR(VLOOKUP(C335,기출문제!D:G,4,0),"")</f>
        <v/>
      </c>
      <c r="G335" s="32" t="str">
        <f t="shared" si="5"/>
        <v/>
      </c>
    </row>
    <row r="336" spans="2:7" x14ac:dyDescent="0.3">
      <c r="B336" s="13">
        <v>329</v>
      </c>
      <c r="C336" s="14" t="s">
        <v>766</v>
      </c>
      <c r="D336" s="13"/>
      <c r="E336" s="15" t="str">
        <f>IFERROR(VLOOKUP(C336,기출문제!D:G,3,0),"")</f>
        <v/>
      </c>
      <c r="F336" s="31" t="str">
        <f>IFERROR(VLOOKUP(C336,기출문제!D:G,4,0),"")</f>
        <v/>
      </c>
      <c r="G336" s="32" t="str">
        <f t="shared" si="5"/>
        <v/>
      </c>
    </row>
    <row r="337" spans="2:7" x14ac:dyDescent="0.3">
      <c r="B337" s="13">
        <v>330</v>
      </c>
      <c r="C337" s="14" t="s">
        <v>766</v>
      </c>
      <c r="D337" s="13"/>
      <c r="E337" s="15" t="str">
        <f>IFERROR(VLOOKUP(C337,기출문제!D:G,3,0),"")</f>
        <v/>
      </c>
      <c r="F337" s="31" t="str">
        <f>IFERROR(VLOOKUP(C337,기출문제!D:G,4,0),"")</f>
        <v/>
      </c>
      <c r="G337" s="32" t="str">
        <f t="shared" si="5"/>
        <v/>
      </c>
    </row>
    <row r="338" spans="2:7" x14ac:dyDescent="0.3">
      <c r="B338" s="13">
        <v>331</v>
      </c>
      <c r="C338" s="14" t="s">
        <v>766</v>
      </c>
      <c r="D338" s="13"/>
      <c r="E338" s="15" t="str">
        <f>IFERROR(VLOOKUP(C338,기출문제!D:G,3,0),"")</f>
        <v/>
      </c>
      <c r="F338" s="31" t="str">
        <f>IFERROR(VLOOKUP(C338,기출문제!D:G,4,0),"")</f>
        <v/>
      </c>
      <c r="G338" s="32" t="str">
        <f t="shared" si="5"/>
        <v/>
      </c>
    </row>
    <row r="339" spans="2:7" x14ac:dyDescent="0.3">
      <c r="B339" s="13">
        <v>332</v>
      </c>
      <c r="C339" s="14" t="s">
        <v>766</v>
      </c>
      <c r="D339" s="13"/>
      <c r="E339" s="15" t="str">
        <f>IFERROR(VLOOKUP(C339,기출문제!D:G,3,0),"")</f>
        <v/>
      </c>
      <c r="F339" s="31" t="str">
        <f>IFERROR(VLOOKUP(C339,기출문제!D:G,4,0),"")</f>
        <v/>
      </c>
      <c r="G339" s="32" t="str">
        <f t="shared" si="5"/>
        <v/>
      </c>
    </row>
    <row r="340" spans="2:7" x14ac:dyDescent="0.3">
      <c r="B340" s="13">
        <v>333</v>
      </c>
      <c r="C340" s="14" t="s">
        <v>766</v>
      </c>
      <c r="D340" s="13"/>
      <c r="E340" s="15" t="str">
        <f>IFERROR(VLOOKUP(C340,기출문제!D:G,3,0),"")</f>
        <v/>
      </c>
      <c r="F340" s="31" t="str">
        <f>IFERROR(VLOOKUP(C340,기출문제!D:G,4,0),"")</f>
        <v/>
      </c>
      <c r="G340" s="32" t="str">
        <f t="shared" si="5"/>
        <v/>
      </c>
    </row>
    <row r="341" spans="2:7" x14ac:dyDescent="0.3">
      <c r="B341" s="13">
        <v>334</v>
      </c>
      <c r="C341" s="14" t="s">
        <v>766</v>
      </c>
      <c r="D341" s="13"/>
      <c r="E341" s="15" t="str">
        <f>IFERROR(VLOOKUP(C341,기출문제!D:G,3,0),"")</f>
        <v/>
      </c>
      <c r="F341" s="31" t="str">
        <f>IFERROR(VLOOKUP(C341,기출문제!D:G,4,0),"")</f>
        <v/>
      </c>
      <c r="G341" s="32" t="str">
        <f t="shared" si="5"/>
        <v/>
      </c>
    </row>
    <row r="342" spans="2:7" x14ac:dyDescent="0.3">
      <c r="B342" s="13">
        <v>335</v>
      </c>
      <c r="C342" s="14" t="s">
        <v>766</v>
      </c>
      <c r="D342" s="13"/>
      <c r="E342" s="15" t="str">
        <f>IFERROR(VLOOKUP(C342,기출문제!D:G,3,0),"")</f>
        <v/>
      </c>
      <c r="F342" s="31" t="str">
        <f>IFERROR(VLOOKUP(C342,기출문제!D:G,4,0),"")</f>
        <v/>
      </c>
      <c r="G342" s="32" t="str">
        <f t="shared" si="5"/>
        <v/>
      </c>
    </row>
    <row r="343" spans="2:7" x14ac:dyDescent="0.3">
      <c r="B343" s="13">
        <v>336</v>
      </c>
      <c r="C343" s="14" t="s">
        <v>766</v>
      </c>
      <c r="D343" s="13"/>
      <c r="E343" s="15" t="str">
        <f>IFERROR(VLOOKUP(C343,기출문제!D:G,3,0),"")</f>
        <v/>
      </c>
      <c r="F343" s="31" t="str">
        <f>IFERROR(VLOOKUP(C343,기출문제!D:G,4,0),"")</f>
        <v/>
      </c>
      <c r="G343" s="32" t="str">
        <f t="shared" si="5"/>
        <v/>
      </c>
    </row>
    <row r="344" spans="2:7" x14ac:dyDescent="0.3">
      <c r="B344" s="13">
        <v>337</v>
      </c>
      <c r="C344" s="14" t="s">
        <v>766</v>
      </c>
      <c r="D344" s="13"/>
      <c r="E344" s="15" t="str">
        <f>IFERROR(VLOOKUP(C344,기출문제!D:G,3,0),"")</f>
        <v/>
      </c>
      <c r="F344" s="31" t="str">
        <f>IFERROR(VLOOKUP(C344,기출문제!D:G,4,0),"")</f>
        <v/>
      </c>
      <c r="G344" s="32" t="str">
        <f t="shared" si="5"/>
        <v/>
      </c>
    </row>
    <row r="345" spans="2:7" x14ac:dyDescent="0.3">
      <c r="B345" s="13">
        <v>338</v>
      </c>
      <c r="C345" s="14" t="s">
        <v>766</v>
      </c>
      <c r="D345" s="13"/>
      <c r="E345" s="15" t="str">
        <f>IFERROR(VLOOKUP(C345,기출문제!D:G,3,0),"")</f>
        <v/>
      </c>
      <c r="F345" s="31" t="str">
        <f>IFERROR(VLOOKUP(C345,기출문제!D:G,4,0),"")</f>
        <v/>
      </c>
      <c r="G345" s="32" t="str">
        <f t="shared" si="5"/>
        <v/>
      </c>
    </row>
    <row r="346" spans="2:7" x14ac:dyDescent="0.3">
      <c r="B346" s="13">
        <v>339</v>
      </c>
      <c r="C346" s="14" t="s">
        <v>766</v>
      </c>
      <c r="D346" s="13"/>
      <c r="E346" s="15" t="str">
        <f>IFERROR(VLOOKUP(C346,기출문제!D:G,3,0),"")</f>
        <v/>
      </c>
      <c r="F346" s="31" t="str">
        <f>IFERROR(VLOOKUP(C346,기출문제!D:G,4,0),"")</f>
        <v/>
      </c>
      <c r="G346" s="32" t="str">
        <f t="shared" si="5"/>
        <v/>
      </c>
    </row>
    <row r="347" spans="2:7" x14ac:dyDescent="0.3">
      <c r="B347" s="13">
        <v>340</v>
      </c>
      <c r="C347" s="14" t="s">
        <v>766</v>
      </c>
      <c r="D347" s="13"/>
      <c r="E347" s="15" t="str">
        <f>IFERROR(VLOOKUP(C347,기출문제!D:G,3,0),"")</f>
        <v/>
      </c>
      <c r="F347" s="31" t="str">
        <f>IFERROR(VLOOKUP(C347,기출문제!D:G,4,0),"")</f>
        <v/>
      </c>
      <c r="G347" s="32" t="str">
        <f t="shared" si="5"/>
        <v/>
      </c>
    </row>
    <row r="348" spans="2:7" x14ac:dyDescent="0.3">
      <c r="B348" s="13">
        <v>341</v>
      </c>
      <c r="C348" s="14" t="s">
        <v>766</v>
      </c>
      <c r="D348" s="13"/>
      <c r="E348" s="15" t="str">
        <f>IFERROR(VLOOKUP(C348,기출문제!D:G,3,0),"")</f>
        <v/>
      </c>
      <c r="F348" s="31" t="str">
        <f>IFERROR(VLOOKUP(C348,기출문제!D:G,4,0),"")</f>
        <v/>
      </c>
      <c r="G348" s="32" t="str">
        <f t="shared" si="5"/>
        <v/>
      </c>
    </row>
    <row r="349" spans="2:7" x14ac:dyDescent="0.3">
      <c r="B349" s="13">
        <v>342</v>
      </c>
      <c r="C349" s="14" t="s">
        <v>766</v>
      </c>
      <c r="D349" s="13"/>
      <c r="E349" s="15" t="str">
        <f>IFERROR(VLOOKUP(C349,기출문제!D:G,3,0),"")</f>
        <v/>
      </c>
      <c r="F349" s="31" t="str">
        <f>IFERROR(VLOOKUP(C349,기출문제!D:G,4,0),"")</f>
        <v/>
      </c>
      <c r="G349" s="32" t="str">
        <f t="shared" si="5"/>
        <v/>
      </c>
    </row>
    <row r="350" spans="2:7" x14ac:dyDescent="0.3">
      <c r="B350" s="13">
        <v>343</v>
      </c>
      <c r="C350" s="14" t="s">
        <v>766</v>
      </c>
      <c r="D350" s="13"/>
      <c r="E350" s="15" t="str">
        <f>IFERROR(VLOOKUP(C350,기출문제!D:G,3,0),"")</f>
        <v/>
      </c>
      <c r="F350" s="31" t="str">
        <f>IFERROR(VLOOKUP(C350,기출문제!D:G,4,0),"")</f>
        <v/>
      </c>
      <c r="G350" s="32" t="str">
        <f t="shared" si="5"/>
        <v/>
      </c>
    </row>
    <row r="351" spans="2:7" x14ac:dyDescent="0.3">
      <c r="B351" s="13">
        <v>344</v>
      </c>
      <c r="C351" s="14" t="s">
        <v>766</v>
      </c>
      <c r="D351" s="13"/>
      <c r="E351" s="15" t="str">
        <f>IFERROR(VLOOKUP(C351,기출문제!D:G,3,0),"")</f>
        <v/>
      </c>
      <c r="F351" s="31" t="str">
        <f>IFERROR(VLOOKUP(C351,기출문제!D:G,4,0),"")</f>
        <v/>
      </c>
      <c r="G351" s="32" t="str">
        <f t="shared" si="5"/>
        <v/>
      </c>
    </row>
    <row r="352" spans="2:7" x14ac:dyDescent="0.3">
      <c r="B352" s="13">
        <v>345</v>
      </c>
      <c r="C352" s="14" t="s">
        <v>766</v>
      </c>
      <c r="D352" s="13"/>
      <c r="E352" s="15" t="str">
        <f>IFERROR(VLOOKUP(C352,기출문제!D:G,3,0),"")</f>
        <v/>
      </c>
      <c r="F352" s="31" t="str">
        <f>IFERROR(VLOOKUP(C352,기출문제!D:G,4,0),"")</f>
        <v/>
      </c>
      <c r="G352" s="32" t="str">
        <f t="shared" si="5"/>
        <v/>
      </c>
    </row>
    <row r="353" spans="2:7" x14ac:dyDescent="0.3">
      <c r="B353" s="13">
        <v>346</v>
      </c>
      <c r="C353" s="14" t="s">
        <v>766</v>
      </c>
      <c r="D353" s="13"/>
      <c r="E353" s="15" t="str">
        <f>IFERROR(VLOOKUP(C353,기출문제!D:G,3,0),"")</f>
        <v/>
      </c>
      <c r="F353" s="31" t="str">
        <f>IFERROR(VLOOKUP(C353,기출문제!D:G,4,0),"")</f>
        <v/>
      </c>
      <c r="G353" s="32" t="str">
        <f t="shared" si="5"/>
        <v/>
      </c>
    </row>
    <row r="354" spans="2:7" x14ac:dyDescent="0.3">
      <c r="B354" s="13">
        <v>347</v>
      </c>
      <c r="C354" s="14" t="s">
        <v>766</v>
      </c>
      <c r="D354" s="13"/>
      <c r="E354" s="15" t="str">
        <f>IFERROR(VLOOKUP(C354,기출문제!D:G,3,0),"")</f>
        <v/>
      </c>
      <c r="F354" s="31" t="str">
        <f>IFERROR(VLOOKUP(C354,기출문제!D:G,4,0),"")</f>
        <v/>
      </c>
      <c r="G354" s="32" t="str">
        <f t="shared" si="5"/>
        <v/>
      </c>
    </row>
    <row r="355" spans="2:7" x14ac:dyDescent="0.3">
      <c r="B355" s="13">
        <v>348</v>
      </c>
      <c r="C355" s="14" t="s">
        <v>766</v>
      </c>
      <c r="D355" s="13"/>
      <c r="E355" s="15" t="str">
        <f>IFERROR(VLOOKUP(C355,기출문제!D:G,3,0),"")</f>
        <v/>
      </c>
      <c r="F355" s="31" t="str">
        <f>IFERROR(VLOOKUP(C355,기출문제!D:G,4,0),"")</f>
        <v/>
      </c>
      <c r="G355" s="32" t="str">
        <f t="shared" si="5"/>
        <v/>
      </c>
    </row>
    <row r="356" spans="2:7" x14ac:dyDescent="0.3">
      <c r="B356" s="13">
        <v>349</v>
      </c>
      <c r="C356" s="14" t="s">
        <v>766</v>
      </c>
      <c r="D356" s="13"/>
      <c r="E356" s="15" t="str">
        <f>IFERROR(VLOOKUP(C356,기출문제!D:G,3,0),"")</f>
        <v/>
      </c>
      <c r="F356" s="31" t="str">
        <f>IFERROR(VLOOKUP(C356,기출문제!D:G,4,0),"")</f>
        <v/>
      </c>
      <c r="G356" s="32" t="str">
        <f t="shared" si="5"/>
        <v/>
      </c>
    </row>
    <row r="357" spans="2:7" x14ac:dyDescent="0.3">
      <c r="B357" s="13">
        <v>350</v>
      </c>
      <c r="C357" s="14" t="s">
        <v>766</v>
      </c>
      <c r="D357" s="13"/>
      <c r="E357" s="15" t="str">
        <f>IFERROR(VLOOKUP(C357,기출문제!D:G,3,0),"")</f>
        <v/>
      </c>
      <c r="F357" s="31" t="str">
        <f>IFERROR(VLOOKUP(C357,기출문제!D:G,4,0),"")</f>
        <v/>
      </c>
      <c r="G357" s="32" t="str">
        <f t="shared" si="5"/>
        <v/>
      </c>
    </row>
    <row r="358" spans="2:7" x14ac:dyDescent="0.3">
      <c r="B358" s="13">
        <v>351</v>
      </c>
      <c r="C358" s="14" t="s">
        <v>766</v>
      </c>
      <c r="D358" s="13"/>
      <c r="E358" s="15" t="str">
        <f>IFERROR(VLOOKUP(C358,기출문제!D:G,3,0),"")</f>
        <v/>
      </c>
      <c r="F358" s="31" t="str">
        <f>IFERROR(VLOOKUP(C358,기출문제!D:G,4,0),"")</f>
        <v/>
      </c>
      <c r="G358" s="32" t="str">
        <f t="shared" si="5"/>
        <v/>
      </c>
    </row>
    <row r="359" spans="2:7" x14ac:dyDescent="0.3">
      <c r="B359" s="13">
        <v>352</v>
      </c>
      <c r="C359" s="14" t="s">
        <v>766</v>
      </c>
      <c r="D359" s="13"/>
      <c r="E359" s="15" t="str">
        <f>IFERROR(VLOOKUP(C359,기출문제!D:G,3,0),"")</f>
        <v/>
      </c>
      <c r="F359" s="31" t="str">
        <f>IFERROR(VLOOKUP(C359,기출문제!D:G,4,0),"")</f>
        <v/>
      </c>
      <c r="G359" s="32" t="str">
        <f t="shared" si="5"/>
        <v/>
      </c>
    </row>
    <row r="360" spans="2:7" x14ac:dyDescent="0.3">
      <c r="B360" s="13">
        <v>353</v>
      </c>
      <c r="C360" s="14" t="s">
        <v>766</v>
      </c>
      <c r="D360" s="13"/>
      <c r="E360" s="15" t="str">
        <f>IFERROR(VLOOKUP(C360,기출문제!D:G,3,0),"")</f>
        <v/>
      </c>
      <c r="F360" s="31" t="str">
        <f>IFERROR(VLOOKUP(C360,기출문제!D:G,4,0),"")</f>
        <v/>
      </c>
      <c r="G360" s="32" t="str">
        <f t="shared" si="5"/>
        <v/>
      </c>
    </row>
    <row r="361" spans="2:7" x14ac:dyDescent="0.3">
      <c r="B361" s="13">
        <v>354</v>
      </c>
      <c r="C361" s="14" t="s">
        <v>766</v>
      </c>
      <c r="D361" s="13"/>
      <c r="E361" s="15" t="str">
        <f>IFERROR(VLOOKUP(C361,기출문제!D:G,3,0),"")</f>
        <v/>
      </c>
      <c r="F361" s="31" t="str">
        <f>IFERROR(VLOOKUP(C361,기출문제!D:G,4,0),"")</f>
        <v/>
      </c>
      <c r="G361" s="32" t="str">
        <f t="shared" si="5"/>
        <v/>
      </c>
    </row>
    <row r="362" spans="2:7" x14ac:dyDescent="0.3">
      <c r="B362" s="13">
        <v>355</v>
      </c>
      <c r="C362" s="14" t="s">
        <v>766</v>
      </c>
      <c r="D362" s="13"/>
      <c r="E362" s="15" t="str">
        <f>IFERROR(VLOOKUP(C362,기출문제!D:G,3,0),"")</f>
        <v/>
      </c>
      <c r="F362" s="31" t="str">
        <f>IFERROR(VLOOKUP(C362,기출문제!D:G,4,0),"")</f>
        <v/>
      </c>
      <c r="G362" s="32" t="str">
        <f t="shared" si="5"/>
        <v/>
      </c>
    </row>
    <row r="363" spans="2:7" x14ac:dyDescent="0.3">
      <c r="B363" s="13">
        <v>356</v>
      </c>
      <c r="C363" s="14" t="s">
        <v>766</v>
      </c>
      <c r="D363" s="13"/>
      <c r="E363" s="15" t="str">
        <f>IFERROR(VLOOKUP(C363,기출문제!D:G,3,0),"")</f>
        <v/>
      </c>
      <c r="F363" s="31" t="str">
        <f>IFERROR(VLOOKUP(C363,기출문제!D:G,4,0),"")</f>
        <v/>
      </c>
      <c r="G363" s="32" t="str">
        <f t="shared" si="5"/>
        <v/>
      </c>
    </row>
    <row r="364" spans="2:7" x14ac:dyDescent="0.3">
      <c r="B364" s="13">
        <v>357</v>
      </c>
      <c r="C364" s="14" t="s">
        <v>766</v>
      </c>
      <c r="D364" s="13"/>
      <c r="E364" s="15" t="str">
        <f>IFERROR(VLOOKUP(C364,기출문제!D:G,3,0),"")</f>
        <v/>
      </c>
      <c r="F364" s="31" t="str">
        <f>IFERROR(VLOOKUP(C364,기출문제!D:G,4,0),"")</f>
        <v/>
      </c>
      <c r="G364" s="32" t="str">
        <f t="shared" si="5"/>
        <v/>
      </c>
    </row>
    <row r="365" spans="2:7" x14ac:dyDescent="0.3">
      <c r="B365" s="13">
        <v>358</v>
      </c>
      <c r="C365" s="14" t="s">
        <v>766</v>
      </c>
      <c r="D365" s="13"/>
      <c r="E365" s="15" t="str">
        <f>IFERROR(VLOOKUP(C365,기출문제!D:G,3,0),"")</f>
        <v/>
      </c>
      <c r="F365" s="31" t="str">
        <f>IFERROR(VLOOKUP(C365,기출문제!D:G,4,0),"")</f>
        <v/>
      </c>
      <c r="G365" s="32" t="str">
        <f t="shared" si="5"/>
        <v/>
      </c>
    </row>
    <row r="366" spans="2:7" x14ac:dyDescent="0.3">
      <c r="B366" s="13">
        <v>359</v>
      </c>
      <c r="C366" s="14" t="s">
        <v>766</v>
      </c>
      <c r="D366" s="13"/>
      <c r="E366" s="15" t="str">
        <f>IFERROR(VLOOKUP(C366,기출문제!D:G,3,0),"")</f>
        <v/>
      </c>
      <c r="F366" s="31" t="str">
        <f>IFERROR(VLOOKUP(C366,기출문제!D:G,4,0),"")</f>
        <v/>
      </c>
      <c r="G366" s="32" t="str">
        <f t="shared" si="5"/>
        <v/>
      </c>
    </row>
    <row r="367" spans="2:7" x14ac:dyDescent="0.3">
      <c r="B367" s="13">
        <v>360</v>
      </c>
      <c r="C367" s="14" t="s">
        <v>766</v>
      </c>
      <c r="D367" s="13"/>
      <c r="E367" s="15" t="str">
        <f>IFERROR(VLOOKUP(C367,기출문제!D:G,3,0),"")</f>
        <v/>
      </c>
      <c r="F367" s="31" t="str">
        <f>IFERROR(VLOOKUP(C367,기출문제!D:G,4,0),"")</f>
        <v/>
      </c>
      <c r="G367" s="32" t="str">
        <f t="shared" si="5"/>
        <v/>
      </c>
    </row>
    <row r="368" spans="2:7" x14ac:dyDescent="0.3">
      <c r="B368" s="13">
        <v>361</v>
      </c>
      <c r="C368" s="14" t="s">
        <v>766</v>
      </c>
      <c r="D368" s="13"/>
      <c r="E368" s="15" t="str">
        <f>IFERROR(VLOOKUP(C368,기출문제!D:G,3,0),"")</f>
        <v/>
      </c>
      <c r="F368" s="31" t="str">
        <f>IFERROR(VLOOKUP(C368,기출문제!D:G,4,0),"")</f>
        <v/>
      </c>
      <c r="G368" s="32" t="str">
        <f t="shared" si="5"/>
        <v/>
      </c>
    </row>
    <row r="369" spans="2:7" x14ac:dyDescent="0.3">
      <c r="B369" s="13">
        <v>362</v>
      </c>
      <c r="C369" s="14" t="s">
        <v>766</v>
      </c>
      <c r="D369" s="13"/>
      <c r="E369" s="15" t="str">
        <f>IFERROR(VLOOKUP(C369,기출문제!D:G,3,0),"")</f>
        <v/>
      </c>
      <c r="F369" s="31" t="str">
        <f>IFERROR(VLOOKUP(C369,기출문제!D:G,4,0),"")</f>
        <v/>
      </c>
      <c r="G369" s="32" t="str">
        <f t="shared" si="5"/>
        <v/>
      </c>
    </row>
    <row r="370" spans="2:7" x14ac:dyDescent="0.3">
      <c r="B370" s="13">
        <v>363</v>
      </c>
      <c r="C370" s="14" t="s">
        <v>766</v>
      </c>
      <c r="D370" s="13"/>
      <c r="E370" s="15" t="str">
        <f>IFERROR(VLOOKUP(C370,기출문제!D:G,3,0),"")</f>
        <v/>
      </c>
      <c r="F370" s="31" t="str">
        <f>IFERROR(VLOOKUP(C370,기출문제!D:G,4,0),"")</f>
        <v/>
      </c>
      <c r="G370" s="32" t="str">
        <f t="shared" si="5"/>
        <v/>
      </c>
    </row>
    <row r="371" spans="2:7" x14ac:dyDescent="0.3">
      <c r="B371" s="13">
        <v>364</v>
      </c>
      <c r="C371" s="14" t="s">
        <v>766</v>
      </c>
      <c r="D371" s="13"/>
      <c r="E371" s="15" t="str">
        <f>IFERROR(VLOOKUP(C371,기출문제!D:G,3,0),"")</f>
        <v/>
      </c>
      <c r="F371" s="31" t="str">
        <f>IFERROR(VLOOKUP(C371,기출문제!D:G,4,0),"")</f>
        <v/>
      </c>
      <c r="G371" s="32" t="str">
        <f t="shared" si="5"/>
        <v/>
      </c>
    </row>
    <row r="372" spans="2:7" x14ac:dyDescent="0.3">
      <c r="B372" s="13">
        <v>365</v>
      </c>
      <c r="C372" s="14" t="s">
        <v>766</v>
      </c>
      <c r="D372" s="13"/>
      <c r="E372" s="15" t="str">
        <f>IFERROR(VLOOKUP(C372,기출문제!D:G,3,0),"")</f>
        <v/>
      </c>
      <c r="F372" s="31" t="str">
        <f>IFERROR(VLOOKUP(C372,기출문제!D:G,4,0),"")</f>
        <v/>
      </c>
      <c r="G372" s="32" t="str">
        <f t="shared" si="5"/>
        <v/>
      </c>
    </row>
    <row r="373" spans="2:7" x14ac:dyDescent="0.3">
      <c r="B373" s="13">
        <v>366</v>
      </c>
      <c r="C373" s="14" t="s">
        <v>766</v>
      </c>
      <c r="D373" s="13"/>
      <c r="E373" s="15" t="str">
        <f>IFERROR(VLOOKUP(C373,기출문제!D:G,3,0),"")</f>
        <v/>
      </c>
      <c r="F373" s="31" t="str">
        <f>IFERROR(VLOOKUP(C373,기출문제!D:G,4,0),"")</f>
        <v/>
      </c>
      <c r="G373" s="32" t="str">
        <f t="shared" si="5"/>
        <v/>
      </c>
    </row>
    <row r="374" spans="2:7" x14ac:dyDescent="0.3">
      <c r="B374" s="13">
        <v>367</v>
      </c>
      <c r="C374" s="14" t="s">
        <v>766</v>
      </c>
      <c r="D374" s="13"/>
      <c r="E374" s="15" t="str">
        <f>IFERROR(VLOOKUP(C374,기출문제!D:G,3,0),"")</f>
        <v/>
      </c>
      <c r="F374" s="31" t="str">
        <f>IFERROR(VLOOKUP(C374,기출문제!D:G,4,0),"")</f>
        <v/>
      </c>
      <c r="G374" s="32" t="str">
        <f t="shared" si="5"/>
        <v/>
      </c>
    </row>
    <row r="375" spans="2:7" x14ac:dyDescent="0.3">
      <c r="B375" s="13">
        <v>368</v>
      </c>
      <c r="C375" s="14" t="s">
        <v>766</v>
      </c>
      <c r="D375" s="13"/>
      <c r="E375" s="15" t="str">
        <f>IFERROR(VLOOKUP(C375,기출문제!D:G,3,0),"")</f>
        <v/>
      </c>
      <c r="F375" s="31" t="str">
        <f>IFERROR(VLOOKUP(C375,기출문제!D:G,4,0),"")</f>
        <v/>
      </c>
      <c r="G375" s="32" t="str">
        <f t="shared" si="5"/>
        <v/>
      </c>
    </row>
    <row r="376" spans="2:7" x14ac:dyDescent="0.3">
      <c r="B376" s="13">
        <v>369</v>
      </c>
      <c r="C376" s="14" t="s">
        <v>766</v>
      </c>
      <c r="D376" s="13"/>
      <c r="E376" s="15" t="str">
        <f>IFERROR(VLOOKUP(C376,기출문제!D:G,3,0),"")</f>
        <v/>
      </c>
      <c r="F376" s="31" t="str">
        <f>IFERROR(VLOOKUP(C376,기출문제!D:G,4,0),"")</f>
        <v/>
      </c>
      <c r="G376" s="32" t="str">
        <f t="shared" si="5"/>
        <v/>
      </c>
    </row>
    <row r="377" spans="2:7" x14ac:dyDescent="0.3">
      <c r="B377" s="13">
        <v>370</v>
      </c>
      <c r="C377" s="14" t="s">
        <v>766</v>
      </c>
      <c r="D377" s="13"/>
      <c r="E377" s="15" t="str">
        <f>IFERROR(VLOOKUP(C377,기출문제!D:G,3,0),"")</f>
        <v/>
      </c>
      <c r="F377" s="31" t="str">
        <f>IFERROR(VLOOKUP(C377,기출문제!D:G,4,0),"")</f>
        <v/>
      </c>
      <c r="G377" s="32" t="str">
        <f t="shared" si="5"/>
        <v/>
      </c>
    </row>
    <row r="378" spans="2:7" x14ac:dyDescent="0.3">
      <c r="B378" s="13">
        <v>371</v>
      </c>
      <c r="C378" s="14" t="s">
        <v>766</v>
      </c>
      <c r="D378" s="13"/>
      <c r="E378" s="15" t="str">
        <f>IFERROR(VLOOKUP(C378,기출문제!D:G,3,0),"")</f>
        <v/>
      </c>
      <c r="F378" s="31" t="str">
        <f>IFERROR(VLOOKUP(C378,기출문제!D:G,4,0),"")</f>
        <v/>
      </c>
      <c r="G378" s="32" t="str">
        <f t="shared" si="5"/>
        <v/>
      </c>
    </row>
    <row r="379" spans="2:7" x14ac:dyDescent="0.3">
      <c r="B379" s="13">
        <v>372</v>
      </c>
      <c r="C379" s="14" t="s">
        <v>766</v>
      </c>
      <c r="D379" s="13"/>
      <c r="E379" s="15" t="str">
        <f>IFERROR(VLOOKUP(C379,기출문제!D:G,3,0),"")</f>
        <v/>
      </c>
      <c r="F379" s="31" t="str">
        <f>IFERROR(VLOOKUP(C379,기출문제!D:G,4,0),"")</f>
        <v/>
      </c>
      <c r="G379" s="32" t="str">
        <f t="shared" si="5"/>
        <v/>
      </c>
    </row>
    <row r="380" spans="2:7" x14ac:dyDescent="0.3">
      <c r="B380" s="13">
        <v>373</v>
      </c>
      <c r="C380" s="14" t="s">
        <v>766</v>
      </c>
      <c r="D380" s="13"/>
      <c r="E380" s="15" t="str">
        <f>IFERROR(VLOOKUP(C380,기출문제!D:G,3,0),"")</f>
        <v/>
      </c>
      <c r="F380" s="31" t="str">
        <f>IFERROR(VLOOKUP(C380,기출문제!D:G,4,0),"")</f>
        <v/>
      </c>
      <c r="G380" s="32" t="str">
        <f t="shared" si="5"/>
        <v/>
      </c>
    </row>
    <row r="381" spans="2:7" x14ac:dyDescent="0.3">
      <c r="B381" s="13">
        <v>374</v>
      </c>
      <c r="C381" s="14" t="s">
        <v>766</v>
      </c>
      <c r="D381" s="13"/>
      <c r="E381" s="15" t="str">
        <f>IFERROR(VLOOKUP(C381,기출문제!D:G,3,0),"")</f>
        <v/>
      </c>
      <c r="F381" s="31" t="str">
        <f>IFERROR(VLOOKUP(C381,기출문제!D:G,4,0),"")</f>
        <v/>
      </c>
      <c r="G381" s="32" t="str">
        <f t="shared" si="5"/>
        <v/>
      </c>
    </row>
    <row r="382" spans="2:7" x14ac:dyDescent="0.3">
      <c r="B382" s="13">
        <v>375</v>
      </c>
      <c r="C382" s="14" t="s">
        <v>766</v>
      </c>
      <c r="D382" s="13"/>
      <c r="E382" s="15" t="str">
        <f>IFERROR(VLOOKUP(C382,기출문제!D:G,3,0),"")</f>
        <v/>
      </c>
      <c r="F382" s="31" t="str">
        <f>IFERROR(VLOOKUP(C382,기출문제!D:G,4,0),"")</f>
        <v/>
      </c>
      <c r="G382" s="32" t="str">
        <f t="shared" si="5"/>
        <v/>
      </c>
    </row>
    <row r="383" spans="2:7" x14ac:dyDescent="0.3">
      <c r="B383" s="13">
        <v>376</v>
      </c>
      <c r="C383" s="14" t="s">
        <v>766</v>
      </c>
      <c r="D383" s="13"/>
      <c r="E383" s="15" t="str">
        <f>IFERROR(VLOOKUP(C383,기출문제!D:G,3,0),"")</f>
        <v/>
      </c>
      <c r="F383" s="31" t="str">
        <f>IFERROR(VLOOKUP(C383,기출문제!D:G,4,0),"")</f>
        <v/>
      </c>
      <c r="G383" s="32" t="str">
        <f t="shared" si="5"/>
        <v/>
      </c>
    </row>
    <row r="384" spans="2:7" x14ac:dyDescent="0.3">
      <c r="B384" s="13">
        <v>377</v>
      </c>
      <c r="C384" s="14" t="s">
        <v>766</v>
      </c>
      <c r="D384" s="13"/>
      <c r="E384" s="15" t="str">
        <f>IFERROR(VLOOKUP(C384,기출문제!D:G,3,0),"")</f>
        <v/>
      </c>
      <c r="F384" s="31" t="str">
        <f>IFERROR(VLOOKUP(C384,기출문제!D:G,4,0),"")</f>
        <v/>
      </c>
      <c r="G384" s="32" t="str">
        <f t="shared" si="5"/>
        <v/>
      </c>
    </row>
    <row r="385" spans="2:7" x14ac:dyDescent="0.3">
      <c r="B385" s="13">
        <v>378</v>
      </c>
      <c r="C385" s="14" t="s">
        <v>766</v>
      </c>
      <c r="D385" s="13"/>
      <c r="E385" s="15" t="str">
        <f>IFERROR(VLOOKUP(C385,기출문제!D:G,3,0),"")</f>
        <v/>
      </c>
      <c r="F385" s="31" t="str">
        <f>IFERROR(VLOOKUP(C385,기출문제!D:G,4,0),"")</f>
        <v/>
      </c>
      <c r="G385" s="32" t="str">
        <f t="shared" si="5"/>
        <v/>
      </c>
    </row>
    <row r="386" spans="2:7" x14ac:dyDescent="0.3">
      <c r="B386" s="13">
        <v>379</v>
      </c>
      <c r="C386" s="14" t="s">
        <v>766</v>
      </c>
      <c r="D386" s="13"/>
      <c r="E386" s="15" t="str">
        <f>IFERROR(VLOOKUP(C386,기출문제!D:G,3,0),"")</f>
        <v/>
      </c>
      <c r="F386" s="31" t="str">
        <f>IFERROR(VLOOKUP(C386,기출문제!D:G,4,0),"")</f>
        <v/>
      </c>
      <c r="G386" s="32" t="str">
        <f t="shared" si="5"/>
        <v/>
      </c>
    </row>
    <row r="387" spans="2:7" x14ac:dyDescent="0.3">
      <c r="B387" s="13">
        <v>380</v>
      </c>
      <c r="C387" s="14" t="s">
        <v>766</v>
      </c>
      <c r="D387" s="13"/>
      <c r="E387" s="15" t="str">
        <f>IFERROR(VLOOKUP(C387,기출문제!D:G,3,0),"")</f>
        <v/>
      </c>
      <c r="F387" s="31" t="str">
        <f>IFERROR(VLOOKUP(C387,기출문제!D:G,4,0),"")</f>
        <v/>
      </c>
      <c r="G387" s="32" t="str">
        <f t="shared" si="5"/>
        <v/>
      </c>
    </row>
    <row r="388" spans="2:7" x14ac:dyDescent="0.3">
      <c r="B388" s="13">
        <v>381</v>
      </c>
      <c r="C388" s="14" t="s">
        <v>766</v>
      </c>
      <c r="D388" s="13"/>
      <c r="E388" s="15" t="str">
        <f>IFERROR(VLOOKUP(C388,기출문제!D:G,3,0),"")</f>
        <v/>
      </c>
      <c r="F388" s="31" t="str">
        <f>IFERROR(VLOOKUP(C388,기출문제!D:G,4,0),"")</f>
        <v/>
      </c>
      <c r="G388" s="32" t="str">
        <f t="shared" si="5"/>
        <v/>
      </c>
    </row>
    <row r="389" spans="2:7" x14ac:dyDescent="0.3">
      <c r="B389" s="13">
        <v>382</v>
      </c>
      <c r="C389" s="14" t="s">
        <v>766</v>
      </c>
      <c r="D389" s="13"/>
      <c r="E389" s="15" t="str">
        <f>IFERROR(VLOOKUP(C389,기출문제!D:G,3,0),"")</f>
        <v/>
      </c>
      <c r="F389" s="31" t="str">
        <f>IFERROR(VLOOKUP(C389,기출문제!D:G,4,0),"")</f>
        <v/>
      </c>
      <c r="G389" s="32" t="str">
        <f t="shared" si="5"/>
        <v/>
      </c>
    </row>
    <row r="390" spans="2:7" x14ac:dyDescent="0.3">
      <c r="B390" s="13">
        <v>383</v>
      </c>
      <c r="C390" s="14" t="s">
        <v>766</v>
      </c>
      <c r="D390" s="13"/>
      <c r="E390" s="15" t="str">
        <f>IFERROR(VLOOKUP(C390,기출문제!D:G,3,0),"")</f>
        <v/>
      </c>
      <c r="F390" s="31" t="str">
        <f>IFERROR(VLOOKUP(C390,기출문제!D:G,4,0),"")</f>
        <v/>
      </c>
      <c r="G390" s="32" t="str">
        <f t="shared" si="5"/>
        <v/>
      </c>
    </row>
    <row r="391" spans="2:7" x14ac:dyDescent="0.3">
      <c r="B391" s="13">
        <v>384</v>
      </c>
      <c r="C391" s="14" t="s">
        <v>766</v>
      </c>
      <c r="D391" s="13"/>
      <c r="E391" s="15" t="str">
        <f>IFERROR(VLOOKUP(C391,기출문제!D:G,3,0),"")</f>
        <v/>
      </c>
      <c r="F391" s="31" t="str">
        <f>IFERROR(VLOOKUP(C391,기출문제!D:G,4,0),"")</f>
        <v/>
      </c>
      <c r="G391" s="32" t="str">
        <f t="shared" si="5"/>
        <v/>
      </c>
    </row>
    <row r="392" spans="2:7" x14ac:dyDescent="0.3">
      <c r="B392" s="13">
        <v>385</v>
      </c>
      <c r="C392" s="14" t="s">
        <v>766</v>
      </c>
      <c r="D392" s="13"/>
      <c r="E392" s="15" t="str">
        <f>IFERROR(VLOOKUP(C392,기출문제!D:G,3,0),"")</f>
        <v/>
      </c>
      <c r="F392" s="31" t="str">
        <f>IFERROR(VLOOKUP(C392,기출문제!D:G,4,0),"")</f>
        <v/>
      </c>
      <c r="G392" s="32" t="str">
        <f t="shared" si="5"/>
        <v/>
      </c>
    </row>
    <row r="393" spans="2:7" x14ac:dyDescent="0.3">
      <c r="B393" s="13">
        <v>386</v>
      </c>
      <c r="C393" s="14" t="s">
        <v>766</v>
      </c>
      <c r="D393" s="13"/>
      <c r="E393" s="15" t="str">
        <f>IFERROR(VLOOKUP(C393,기출문제!D:G,3,0),"")</f>
        <v/>
      </c>
      <c r="F393" s="31" t="str">
        <f>IFERROR(VLOOKUP(C393,기출문제!D:G,4,0),"")</f>
        <v/>
      </c>
      <c r="G393" s="32" t="str">
        <f t="shared" ref="G393:G397" si="6">IF(D393="","",IF(D393=F393,"O", "X"))</f>
        <v/>
      </c>
    </row>
    <row r="394" spans="2:7" x14ac:dyDescent="0.3">
      <c r="B394" s="13">
        <v>387</v>
      </c>
      <c r="C394" s="14" t="s">
        <v>766</v>
      </c>
      <c r="D394" s="13"/>
      <c r="E394" s="15" t="str">
        <f>IFERROR(VLOOKUP(C394,기출문제!D:G,3,0),"")</f>
        <v/>
      </c>
      <c r="F394" s="31" t="str">
        <f>IFERROR(VLOOKUP(C394,기출문제!D:G,4,0),"")</f>
        <v/>
      </c>
      <c r="G394" s="32" t="str">
        <f t="shared" si="6"/>
        <v/>
      </c>
    </row>
    <row r="395" spans="2:7" x14ac:dyDescent="0.3">
      <c r="B395" s="13">
        <v>388</v>
      </c>
      <c r="C395" s="14" t="s">
        <v>766</v>
      </c>
      <c r="D395" s="13"/>
      <c r="E395" s="15" t="str">
        <f>IFERROR(VLOOKUP(C395,기출문제!D:G,3,0),"")</f>
        <v/>
      </c>
      <c r="F395" s="31" t="str">
        <f>IFERROR(VLOOKUP(C395,기출문제!D:G,4,0),"")</f>
        <v/>
      </c>
      <c r="G395" s="32" t="str">
        <f t="shared" si="6"/>
        <v/>
      </c>
    </row>
    <row r="396" spans="2:7" x14ac:dyDescent="0.3">
      <c r="B396" s="13">
        <v>389</v>
      </c>
      <c r="C396" s="14" t="s">
        <v>766</v>
      </c>
      <c r="D396" s="13"/>
      <c r="E396" s="15" t="str">
        <f>IFERROR(VLOOKUP(C396,기출문제!D:G,3,0),"")</f>
        <v/>
      </c>
      <c r="F396" s="31" t="str">
        <f>IFERROR(VLOOKUP(C396,기출문제!D:G,4,0),"")</f>
        <v/>
      </c>
      <c r="G396" s="32" t="str">
        <f t="shared" si="6"/>
        <v/>
      </c>
    </row>
    <row r="397" spans="2:7" x14ac:dyDescent="0.3">
      <c r="B397" s="13">
        <v>390</v>
      </c>
      <c r="C397" s="14" t="s">
        <v>766</v>
      </c>
      <c r="D397" s="13"/>
      <c r="E397" s="15" t="str">
        <f>IFERROR(VLOOKUP(C397,기출문제!D:G,3,0),"")</f>
        <v/>
      </c>
      <c r="F397" s="31" t="str">
        <f>IFERROR(VLOOKUP(C397,기출문제!D:G,4,0),"")</f>
        <v/>
      </c>
      <c r="G397" s="32" t="str">
        <f t="shared" si="6"/>
        <v/>
      </c>
    </row>
  </sheetData>
  <phoneticPr fontId="1" type="noConversion"/>
  <conditionalFormatting sqref="F8:F397">
    <cfRule type="expression" dxfId="2" priority="1">
      <formula>$D8&lt;&gt;""</formula>
    </cfRule>
  </conditionalFormatting>
  <dataValidations count="1">
    <dataValidation type="list" allowBlank="1" showInputMessage="1" showErrorMessage="1" sqref="D3" xr:uid="{5BB8C622-D800-4C05-9A12-7307E66E4BDD}">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2</xdr:col>
                    <xdr:colOff>876300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E245869-C1EB-43AD-9519-D957A510C34D}">
          <x14:formula1>
            <xm:f>기출문제!$C$4:$C$5000</xm:f>
          </x14:formula1>
          <xm:sqref>D4:D5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A931F-1D2E-402B-BC41-F1C9B9F1B83A}">
  <sheetPr codeName="Sheet21">
    <pageSetUpPr autoPageBreaks="0"/>
  </sheetPr>
  <dimension ref="B2:J397"/>
  <sheetViews>
    <sheetView showGridLines="0" zoomScaleNormal="100" zoomScaleSheetLayoutView="100" workbookViewId="0">
      <pane ySplit="7" topLeftCell="A21" activePane="bottomLeft" state="frozen"/>
      <selection activeCell="N35" sqref="N35"/>
      <selection pane="bottomLeft" activeCell="I21" sqref="I21"/>
    </sheetView>
  </sheetViews>
  <sheetFormatPr defaultColWidth="9" defaultRowHeight="14.25" x14ac:dyDescent="0.3"/>
  <cols>
    <col min="1" max="1" width="1.625" style="25" customWidth="1"/>
    <col min="2" max="2" width="3.625" style="18" customWidth="1"/>
    <col min="3" max="3" width="10.625" style="18" customWidth="1"/>
    <col min="4" max="4" width="5.625" style="18" customWidth="1"/>
    <col min="5" max="5" width="95.625" style="20" customWidth="1"/>
    <col min="6" max="7" width="5.625" style="28" customWidth="1"/>
    <col min="8" max="9" width="9" style="23"/>
    <col min="10" max="16384" width="9" style="25"/>
  </cols>
  <sheetData>
    <row r="2" spans="2:10" x14ac:dyDescent="0.3">
      <c r="C2" s="19" t="s">
        <v>767</v>
      </c>
      <c r="D2" s="13">
        <v>265</v>
      </c>
      <c r="F2" s="21" t="s">
        <v>773</v>
      </c>
      <c r="G2" s="22">
        <f>MAX(B8:B397)-COUNTBLANK(C8:C397)</f>
        <v>265</v>
      </c>
      <c r="J2" s="24"/>
    </row>
    <row r="3" spans="2:10" x14ac:dyDescent="0.3">
      <c r="C3" s="19" t="s">
        <v>768</v>
      </c>
      <c r="D3" s="13" t="s">
        <v>771</v>
      </c>
      <c r="F3" s="21" t="s">
        <v>776</v>
      </c>
      <c r="G3" s="26">
        <f>COUNTIF(G8:G447,"X")</f>
        <v>0</v>
      </c>
      <c r="J3" s="24"/>
    </row>
    <row r="4" spans="2:10" x14ac:dyDescent="0.3">
      <c r="C4" s="19" t="s">
        <v>770</v>
      </c>
      <c r="D4" s="13" t="s">
        <v>840</v>
      </c>
      <c r="F4" s="26" t="s">
        <v>3</v>
      </c>
      <c r="G4" s="26">
        <f>G2-G3</f>
        <v>265</v>
      </c>
      <c r="J4" s="24"/>
    </row>
    <row r="5" spans="2:10" x14ac:dyDescent="0.3">
      <c r="C5" s="19" t="s">
        <v>769</v>
      </c>
      <c r="D5" s="13" t="s">
        <v>841</v>
      </c>
      <c r="F5" s="26" t="s">
        <v>774</v>
      </c>
      <c r="G5" s="27">
        <f>100/G2*G4</f>
        <v>100.00000000000001</v>
      </c>
      <c r="J5" s="24"/>
    </row>
    <row r="6" spans="2:10" x14ac:dyDescent="0.3">
      <c r="J6" s="24"/>
    </row>
    <row r="7" spans="2:10" x14ac:dyDescent="0.3">
      <c r="B7" s="12" t="s">
        <v>0</v>
      </c>
      <c r="C7" s="12" t="s">
        <v>1</v>
      </c>
      <c r="D7" s="12" t="s">
        <v>658</v>
      </c>
      <c r="E7" s="29" t="s">
        <v>2</v>
      </c>
      <c r="F7" s="29" t="s">
        <v>3</v>
      </c>
      <c r="G7" s="29" t="s">
        <v>657</v>
      </c>
      <c r="J7" s="24"/>
    </row>
    <row r="8" spans="2:10" ht="142.5" x14ac:dyDescent="0.3">
      <c r="B8" s="13">
        <v>1</v>
      </c>
      <c r="C8" s="14" t="s">
        <v>693</v>
      </c>
      <c r="D8" s="30"/>
      <c r="E8" s="15" t="str">
        <f>IFERROR(VLOOKUP(C8,기출문제!D:G,3,0),"")</f>
        <v>81. 테일러(F. W. Taylor)의 과학적 관리법에 제시된 원칙으로 옳은 것을 모두 고른 것은?
ㄱ. 작업방식의 과학적 연구 
ㄴ. 과학적 선발 및 훈련
ㄷ. 관리자와 작업자들 간의 협력 
ㄹ. 관리활동의 분업
① ㄱ, ㄴ 
② ㄷ, ㄹ 
③ ㄱ, ㄴ, ㄷ
④ ㄴ, ㄷ, ㄹ 
⑤ ㄱ, ㄴ, ㄷ, ㄹ</v>
      </c>
      <c r="F8" s="31">
        <f>IFERROR(VLOOKUP(C8,기출문제!D:G,4,0),"")</f>
        <v>5</v>
      </c>
      <c r="G8" s="32" t="str">
        <f>IF(D8="","",IF(D8=F8,"O", "X"))</f>
        <v/>
      </c>
    </row>
    <row r="9" spans="2:10" ht="128.25" x14ac:dyDescent="0.3">
      <c r="B9" s="13">
        <v>2</v>
      </c>
      <c r="C9" s="14" t="s">
        <v>842</v>
      </c>
      <c r="D9" s="30"/>
      <c r="E9" s="15" t="str">
        <f>IFERROR(VLOOKUP(C9,기출문제!D:G,3,0),"")</f>
        <v>82. 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
① ㄱ 
② ㄴ 
③ ㄱ, ㄴ 
④ ㄱ, ㄷ 
⑤ ㄱ, ㄴ, ㄷ</v>
      </c>
      <c r="F9" s="31">
        <f>IFERROR(VLOOKUP(C9,기출문제!D:G,4,0),"")</f>
        <v>3</v>
      </c>
      <c r="G9" s="32" t="str">
        <f t="shared" ref="G9:G72" si="0">IF(D9="","",IF(D9=F9,"O", "X"))</f>
        <v/>
      </c>
    </row>
    <row r="10" spans="2:10" ht="85.5" x14ac:dyDescent="0.3">
      <c r="B10" s="13">
        <v>3</v>
      </c>
      <c r="C10" s="14" t="s">
        <v>843</v>
      </c>
      <c r="D10" s="30"/>
      <c r="E10" s="15" t="str">
        <f>IFERROR(VLOOKUP(C10,기출문제!D:G,3,0),"")</f>
        <v>83. 기업 외부의 개인이나 그룹과 접촉하여 외부환경에 관한 중요한 정보를 얻는 활동은?
① 광고 
② 예측활동
③ 공중관계(PR) 
④ 활동영역 변경
⑤ 경계연결(boundary spanning)</v>
      </c>
      <c r="F10" s="31">
        <f>IFERROR(VLOOKUP(C10,기출문제!D:G,4,0),"")</f>
        <v>5</v>
      </c>
      <c r="G10" s="32" t="str">
        <f t="shared" si="0"/>
        <v/>
      </c>
    </row>
    <row r="11" spans="2:10" ht="85.5" x14ac:dyDescent="0.3">
      <c r="B11" s="13">
        <v>4</v>
      </c>
      <c r="C11" s="14" t="s">
        <v>844</v>
      </c>
      <c r="D11" s="30"/>
      <c r="E11" s="15" t="str">
        <f>IFERROR(VLOOKUP(C11,기출문제!D:G,3,0),"")</f>
        <v>84. 조직의 목표를 달성하기 위하여 조직구성원들이 담당해야 할 역할 구조를 설정하는 관리과정의 단계는?
① 계획 
② 조직화 
③ 지휘 
④ 조정 
⑤ 통제</v>
      </c>
      <c r="F11" s="31">
        <f>IFERROR(VLOOKUP(C11,기출문제!D:G,4,0),"")</f>
        <v>2</v>
      </c>
      <c r="G11" s="32" t="str">
        <f t="shared" si="0"/>
        <v/>
      </c>
    </row>
    <row r="12" spans="2:10" ht="142.5" x14ac:dyDescent="0.3">
      <c r="B12" s="13">
        <v>5</v>
      </c>
      <c r="C12" s="14" t="s">
        <v>845</v>
      </c>
      <c r="D12" s="30"/>
      <c r="E12" s="15" t="str">
        <f>IFERROR(VLOOKUP(C12,기출문제!D:G,3,0),"")</f>
        <v>85. 캐롤(B. A. Carroll)이 주장한 기업의 사회적 책임 중 책임성격이 의무성 보다 자발성에 기초하는 것을 모두 고른 것은?
ㄱ. 경제적 책임 
ㄴ. 법적 책임 
ㄷ. 윤리적 책임 
ㄹ. 자선적 책임
① ㄱ, ㄴ 
② ㄴ, ㄷ 
③ ㄷ, ㄹ 
④ ㄱ, ㄴ, ㄹ 
⑤ ㄴ, ㄷ, ㄹ</v>
      </c>
      <c r="F12" s="31">
        <f>IFERROR(VLOOKUP(C12,기출문제!D:G,4,0),"")</f>
        <v>3</v>
      </c>
      <c r="G12" s="32" t="str">
        <f t="shared" si="0"/>
        <v/>
      </c>
    </row>
    <row r="13" spans="2:10" ht="85.5" x14ac:dyDescent="0.3">
      <c r="B13" s="13">
        <v>6</v>
      </c>
      <c r="C13" s="14" t="s">
        <v>846</v>
      </c>
      <c r="D13" s="30"/>
      <c r="E13" s="15" t="str">
        <f>IFERROR(VLOOKUP(C13,기출문제!D:G,3,0),"")</f>
        <v>86. 포터(M. Porter)의 산업구조분석 모형에 관한 설명으로 옳지 않은 것은?
① 산업 내 경쟁이 심할수록 산업의 수익률은 낮아진다.
② 새로운 경쟁자에 대한 진입장벽이 낮을수록 해당 산업의 경쟁이 심하다.
③ 산업 내 대체재가 많을수록 기업의 수익이 많이 창출된다.
④ 구매자의 교섭력은 소비자들이 기업의 제품을 선택하거나 다른 제품을 구매할 수 있는 힘을 의미한다.
⑤ 공급자의 교섭력을 결정하는 요인으로는 공급자의 집중도, 공급물량, 공급자 판매품의 중요도 등이 있다.</v>
      </c>
      <c r="F13" s="31">
        <f>IFERROR(VLOOKUP(C13,기출문제!D:G,4,0),"")</f>
        <v>3</v>
      </c>
      <c r="G13" s="32" t="str">
        <f t="shared" si="0"/>
        <v/>
      </c>
    </row>
    <row r="14" spans="2:10" ht="85.5" x14ac:dyDescent="0.3">
      <c r="B14" s="13">
        <v>7</v>
      </c>
      <c r="C14" s="14" t="s">
        <v>847</v>
      </c>
      <c r="D14" s="30"/>
      <c r="E14" s="15" t="str">
        <f>IFERROR(VLOOKUP(C14,기출문제!D:G,3,0),"")</f>
        <v>87. 효과적인 의사소통을 방해하는 요인 중 발신자와 관련된 요인이 아닌 것은?
① 의사소통 기술의 부족 
② 준거체계의 차이 
③ 의사소통 목적의 결여
④ 신뢰성의 부족 
⑤ 정보의 과부하</v>
      </c>
      <c r="F14" s="31">
        <f>IFERROR(VLOOKUP(C14,기출문제!D:G,4,0),"")</f>
        <v>5</v>
      </c>
      <c r="G14" s="32" t="str">
        <f t="shared" si="0"/>
        <v/>
      </c>
    </row>
    <row r="15" spans="2:10" ht="114" x14ac:dyDescent="0.3">
      <c r="B15" s="13">
        <v>8</v>
      </c>
      <c r="C15" s="14" t="s">
        <v>848</v>
      </c>
      <c r="D15" s="30"/>
      <c r="E15" s="15" t="str">
        <f>IFERROR(VLOOKUP(C15,기출문제!D:G,3,0),"")</f>
        <v>88. 변혁적 리더십의 구성요소 중 다음 내용에 해당하는 것은?
○ 높은 기대치를 전달하고, 노력에 집중할 수 있도록 상징을 사용
○ 미래에 대한 매력적인 비전 제시, 업무의 의미감 부여, 낙관주의와 열정을 표출
① 예외에 의한 관리 
② 영감적 동기부여 
③ 지적 자극
④ 이상적 영향력 
⑤ 개인화된 배려</v>
      </c>
      <c r="F15" s="31">
        <f>IFERROR(VLOOKUP(C15,기출문제!D:G,4,0),"")</f>
        <v>2</v>
      </c>
      <c r="G15" s="32" t="str">
        <f t="shared" si="0"/>
        <v/>
      </c>
    </row>
    <row r="16" spans="2:10" ht="128.25" x14ac:dyDescent="0.3">
      <c r="B16" s="13">
        <v>9</v>
      </c>
      <c r="C16" s="14" t="s">
        <v>849</v>
      </c>
      <c r="D16" s="30"/>
      <c r="E16" s="15" t="str">
        <f>IFERROR(VLOOKUP(C16,기출문제!D:G,3,0),"")</f>
        <v>89. 다음 특성에 부합하는 직무평가 방법으로 옳은 것은?
○ 비계량적 평가
○ 직무 전체를 포괄적으로 평가
○ 직무와 직무를 상호 비교하여 평가
① 서열법 
② 등급법 
③ 점수법 
④ 분류법 
⑤ 요소비교법</v>
      </c>
      <c r="F16" s="31">
        <f>IFERROR(VLOOKUP(C16,기출문제!D:G,4,0),"")</f>
        <v>1</v>
      </c>
      <c r="G16" s="32" t="str">
        <f t="shared" si="0"/>
        <v/>
      </c>
    </row>
    <row r="17" spans="2:7" ht="85.5" x14ac:dyDescent="0.3">
      <c r="B17" s="13">
        <v>10</v>
      </c>
      <c r="C17" s="14" t="s">
        <v>850</v>
      </c>
      <c r="D17" s="30"/>
      <c r="E17" s="15" t="str">
        <f>IFERROR(VLOOKUP(C17,기출문제!D:G,3,0),"")</f>
        <v>90. 기업이 종업원에게 지급하는 임금의 계산 및 지불 방법에 해당하는 것은?
① 임금수준 
② 임금체계 
③ 임금형태 
④ 임금구조 
⑤ 임금결정</v>
      </c>
      <c r="F17" s="31">
        <f>IFERROR(VLOOKUP(C17,기출문제!D:G,4,0),"")</f>
        <v>3</v>
      </c>
      <c r="G17" s="32" t="str">
        <f t="shared" si="0"/>
        <v/>
      </c>
    </row>
    <row r="18" spans="2:7" ht="99.75" x14ac:dyDescent="0.3">
      <c r="B18" s="13">
        <v>11</v>
      </c>
      <c r="C18" s="14" t="s">
        <v>851</v>
      </c>
      <c r="D18" s="30"/>
      <c r="E18" s="15" t="str">
        <f>IFERROR(VLOOKUP(C18,기출문제!D:G,3,0),"")</f>
        <v>91. 고과자가 평가방법을 잘 이해하지 못하거나 피고과자들 간의 차이를 인식하지 못하는 무능력에서 발생할 수 있는 인사고과의 오류는?
① 중심화 경향 
② 논리적 오류 
③ 현혹효과 
④ 상동적 태도 
⑤ 근접오차</v>
      </c>
      <c r="F18" s="31">
        <f>IFERROR(VLOOKUP(C18,기출문제!D:G,4,0),"")</f>
        <v>1</v>
      </c>
      <c r="G18" s="32" t="str">
        <f t="shared" si="0"/>
        <v/>
      </c>
    </row>
    <row r="19" spans="2:7" ht="85.5" x14ac:dyDescent="0.3">
      <c r="B19" s="13">
        <v>12</v>
      </c>
      <c r="C19" s="14" t="s">
        <v>852</v>
      </c>
      <c r="D19" s="30"/>
      <c r="E19" s="15" t="str">
        <f>IFERROR(VLOOKUP(C19,기출문제!D:G,3,0),"")</f>
        <v>92. 산업별 노동조합 또는 교섭권을 위임받은 상급단체와 개별 기업의 사용자 간에 이루어지는 단체교섭 유형은?
① 대각선 교섭 
② 통일적 교섭 
③ 기업별 교섭 
④ 공동교섭 
⑤ 집단교섭</v>
      </c>
      <c r="F19" s="31">
        <f>IFERROR(VLOOKUP(C19,기출문제!D:G,4,0),"")</f>
        <v>1</v>
      </c>
      <c r="G19" s="32" t="str">
        <f t="shared" si="0"/>
        <v/>
      </c>
    </row>
    <row r="20" spans="2:7" ht="128.25" x14ac:dyDescent="0.3">
      <c r="B20" s="13">
        <v>13</v>
      </c>
      <c r="C20" s="14" t="s">
        <v>853</v>
      </c>
      <c r="D20" s="30"/>
      <c r="E20" s="15" t="str">
        <f>IFERROR(VLOOKUP(C20,기출문제!D:G,3,0),"")</f>
        <v>93. 외부 모집과 비교한 내부 모집의 장점을 모두 고른 것은?
ㄱ. 승진기회 확대로 종업원 동기 부여
ㄴ. 지원자에 대한 평가의 정확성 확보
ㄷ. 인력수요에 대한 양적 충족 가능
① ㄱ 
② ㄴ 
③ ㄱ, ㄴ 
④ ㄴ, ㄷ 
⑤ ㄱ, ㄴ, ㄷ</v>
      </c>
      <c r="F20" s="31">
        <f>IFERROR(VLOOKUP(C20,기출문제!D:G,4,0),"")</f>
        <v>3</v>
      </c>
      <c r="G20" s="32" t="str">
        <f t="shared" si="0"/>
        <v/>
      </c>
    </row>
    <row r="21" spans="2:7" ht="128.25" x14ac:dyDescent="0.3">
      <c r="B21" s="13">
        <v>14</v>
      </c>
      <c r="C21" s="14" t="s">
        <v>854</v>
      </c>
      <c r="D21" s="30"/>
      <c r="E21" s="15" t="str">
        <f>IFERROR(VLOOKUP(C21,기출문제!D:G,3,0),"")</f>
        <v>94. 다음과 같은 장점을 지닌 조직구조는?
○ 관리 비용을 절감할 수 있음
○ 작은 기업들도 전 세계의 자원과 전문적인 인력을 활용할 수 있음
○ 창업 초기에 공장이나 설비 등의 막대한 투자없이도 사업이 가능
① 사업별 조직구조 
② 프로세스 조직구조 
③ 매트릭스 조직구조
④ 지역별 조직구조 
⑤ 네트워크 조직구조</v>
      </c>
      <c r="F21" s="31">
        <f>IFERROR(VLOOKUP(C21,기출문제!D:G,4,0),"")</f>
        <v>5</v>
      </c>
      <c r="G21" s="32" t="str">
        <f t="shared" si="0"/>
        <v/>
      </c>
    </row>
    <row r="22" spans="2:7" ht="85.5" x14ac:dyDescent="0.3">
      <c r="B22" s="13">
        <v>15</v>
      </c>
      <c r="C22" s="14" t="s">
        <v>855</v>
      </c>
      <c r="D22" s="30"/>
      <c r="E22" s="15" t="str">
        <f>IFERROR(VLOOKUP(C22,기출문제!D:G,3,0),"")</f>
        <v>95. 페로우(C. Perrow)의 기술분류 유형 중 과업다양성과 분석가능성이 모두 낮은 유형은?
① 일상적 기술 
② 비일상적 기술 
③ 장인기술
④ 공학기술 
⑤ 중개기술</v>
      </c>
      <c r="F22" s="31">
        <f>IFERROR(VLOOKUP(C22,기출문제!D:G,4,0),"")</f>
        <v>3</v>
      </c>
      <c r="G22" s="32" t="str">
        <f t="shared" si="0"/>
        <v/>
      </c>
    </row>
    <row r="23" spans="2:7" ht="99.75" x14ac:dyDescent="0.3">
      <c r="B23" s="13">
        <v>16</v>
      </c>
      <c r="C23" s="14" t="s">
        <v>856</v>
      </c>
      <c r="D23" s="30"/>
      <c r="E23" s="15" t="str">
        <f>IFERROR(VLOOKUP(C23,기출문제!D:G,3,0),"")</f>
        <v>96. 마일즈(R. Miles)와 스노우(C. Snow)의 전략 유형 중 유연성이 높고 분권화된 학습지향 조직구조로 설계하는 것이 적합한 전략은?
① 반응형 전략 
② 저원가 전략 
③ 분석형 전략 
④ 공격형 전략 
⑤ 방어형 전략</v>
      </c>
      <c r="F23" s="31">
        <f>IFERROR(VLOOKUP(C23,기출문제!D:G,4,0),"")</f>
        <v>4</v>
      </c>
      <c r="G23" s="32" t="str">
        <f t="shared" si="0"/>
        <v/>
      </c>
    </row>
    <row r="24" spans="2:7" ht="171" x14ac:dyDescent="0.3">
      <c r="B24" s="13">
        <v>17</v>
      </c>
      <c r="C24" s="14" t="s">
        <v>857</v>
      </c>
      <c r="D24" s="30"/>
      <c r="E24" s="15" t="str">
        <f>IFERROR(VLOOKUP(C24,기출문제!D:G,3,0),"")</f>
        <v>97. 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
① ㄱ, ㄴ, ㄷ 
② ㄱ, ㄴ, ㅁ 
③ ㄱ, ㄴ, ㄹ, ㅁ
④ ㄱ, ㄷ, ㄹ, ㅁ 
⑤ ㄴ, ㄷ, ㄹ, ㅁ</v>
      </c>
      <c r="F24" s="31">
        <f>IFERROR(VLOOKUP(C24,기출문제!D:G,4,0),"")</f>
        <v>4</v>
      </c>
      <c r="G24" s="32" t="str">
        <f t="shared" si="0"/>
        <v/>
      </c>
    </row>
    <row r="25" spans="2:7" ht="85.5" x14ac:dyDescent="0.3">
      <c r="B25" s="13">
        <v>18</v>
      </c>
      <c r="C25" s="14" t="s">
        <v>858</v>
      </c>
      <c r="D25" s="30"/>
      <c r="E25" s="15" t="str">
        <f>IFERROR(VLOOKUP(C25,기출문제!D:G,3,0),"")</f>
        <v>98. 킬만(T. Kilmann)의 갈등관리 유형 중 목적달성을 위해 비협조적으로 자기 관심사만을 만족시키려는 유형은?
① 협력형 
② 수용형 
③ 회피형 
④ 타협형 
⑤ 경쟁형</v>
      </c>
      <c r="F25" s="31">
        <f>IFERROR(VLOOKUP(C25,기출문제!D:G,4,0),"")</f>
        <v>5</v>
      </c>
      <c r="G25" s="32" t="str">
        <f t="shared" si="0"/>
        <v/>
      </c>
    </row>
    <row r="26" spans="2:7" ht="85.5" x14ac:dyDescent="0.3">
      <c r="B26" s="13">
        <v>19</v>
      </c>
      <c r="C26" s="14" t="s">
        <v>859</v>
      </c>
      <c r="D26" s="30"/>
      <c r="E26" s="15" t="str">
        <f>IFERROR(VLOOKUP(C26,기출문제!D:G,3,0),"")</f>
        <v>99. 효과적인 시장세분화가 되기 위한 조건으로 옳지 않은 것은?
① 세분화를 위해 사용되는 변수들이 측정가능해야 한다.
② 세분시장에 속하는 고객들에게 효과적이고 효율적으로 접근할 수 있어야 한다.
③ 세분시장 내 고객들과 기업의 적합성은 가능한 낮아야 한다.
④ 같은 세분시장에 속한 고객들끼리는 최대한 비슷해야 하고 서로 다른 세분시장에 속한 고객들 간에는 이질성이 있어야 한다.
⑤ 세분시장의 규모는 마케팅활동으로 이익이 날 수 있을 정도로 충분히 커야 한다.</v>
      </c>
      <c r="F26" s="31">
        <f>IFERROR(VLOOKUP(C26,기출문제!D:G,4,0),"")</f>
        <v>3</v>
      </c>
      <c r="G26" s="32" t="str">
        <f t="shared" si="0"/>
        <v/>
      </c>
    </row>
    <row r="27" spans="2:7" ht="114" x14ac:dyDescent="0.3">
      <c r="B27" s="13">
        <v>20</v>
      </c>
      <c r="C27" s="14" t="s">
        <v>860</v>
      </c>
      <c r="D27" s="30"/>
      <c r="E27" s="15" t="str">
        <f>IFERROR(VLOOKUP(C27,기출문제!D:G,3,0),"")</f>
        <v>100. 다음에서 설명하는 제품수명주기의 단계는?
○ 고객의 신제품수용이 늘어나 생산량이 급속히 증가하면서 단위당 제품원가, 유통비용, 촉진비용이 하락한다.
○ 지속적인 판매량 증대로 이익이 빠르게 늘어난다.
① 도입기 
② 성장기 
③ 성숙기 
④ 정체기 
⑤ 쇠퇴기</v>
      </c>
      <c r="F27" s="31">
        <f>IFERROR(VLOOKUP(C27,기출문제!D:G,4,0),"")</f>
        <v>2</v>
      </c>
      <c r="G27" s="32" t="str">
        <f t="shared" si="0"/>
        <v/>
      </c>
    </row>
    <row r="28" spans="2:7" ht="85.5" x14ac:dyDescent="0.3">
      <c r="B28" s="13">
        <v>21</v>
      </c>
      <c r="C28" s="14" t="s">
        <v>861</v>
      </c>
      <c r="D28" s="30"/>
      <c r="E28" s="15" t="str">
        <f>IFERROR(VLOOKUP(C28,기출문제!D:G,3,0),"")</f>
        <v>101. 4P 중 가격에 관한 설명으로 옳지 않은 것은?
① 가격은 다른 마케팅믹스 요소들과 달리 상대적으로 쉽게 변경할 수 있다.
② 구매자가 가격이 비싼지 싼지를 판단하는 기준으로 삼는 가격을 준거가격이라 한다.
③ 구매자가 어떤 상품에 대해 지불할 용의가 있는 최저가격을 유보가격이라 한다.
④ 가격변화를 느끼게 만드는 최소의 가격변화 폭을 JND(just noticeable difference)라 한다.
⑤ 구매자들이 가격이 높은 상품일수록 품질도 높다고 믿는 것을 가격-품질 연상이라 한다.</v>
      </c>
      <c r="F28" s="31">
        <f>IFERROR(VLOOKUP(C28,기출문제!D:G,4,0),"")</f>
        <v>3</v>
      </c>
      <c r="G28" s="32" t="str">
        <f t="shared" si="0"/>
        <v/>
      </c>
    </row>
    <row r="29" spans="2:7" ht="142.5" x14ac:dyDescent="0.3">
      <c r="B29" s="13">
        <v>22</v>
      </c>
      <c r="C29" s="14" t="s">
        <v>862</v>
      </c>
      <c r="D29" s="30"/>
      <c r="E29" s="15" t="str">
        <f>IFERROR(VLOOKUP(C29,기출문제!D:G,3,0),"")</f>
        <v>102. 판매촉진의 수단 중 소비자들의 구입가격을 인하시키는 효과를 갖는 가격수단의 유형을 모두 고른 것은?
ㄱ. 할인쿠폰 
ㄴ. 샘플 
ㄷ. 보상판매 
ㄹ. 보너스팩
① ㄱ, ㄴ 
② ㄷ, ㄹ 
③ ㄱ, ㄴ, ㄷ
④ ㄱ, ㄷ, ㄹ 
⑤ ㄱ, ㄴ, ㄷ, ㄹ</v>
      </c>
      <c r="F29" s="31">
        <f>IFERROR(VLOOKUP(C29,기출문제!D:G,4,0),"")</f>
        <v>4</v>
      </c>
      <c r="G29" s="32" t="str">
        <f t="shared" si="0"/>
        <v/>
      </c>
    </row>
    <row r="30" spans="2:7" ht="85.5" x14ac:dyDescent="0.3">
      <c r="B30" s="13">
        <v>23</v>
      </c>
      <c r="C30" s="14" t="s">
        <v>863</v>
      </c>
      <c r="D30" s="30"/>
      <c r="E30" s="15" t="str">
        <f>IFERROR(VLOOKUP(C30,기출문제!D:G,3,0),"")</f>
        <v>103. 브랜드에 관한 설명으로 옳지 않은 것은?
① 브랜드는 제품이나 서비스와 관련된 이름, 상징, 혹은 기호로서 그것에 대해 구매자가 심리적인 의미를 부여하는 것이다.
② 브랜드 자산은 소비자가 브랜드에 부여하는 가치, 즉 브랜드가 창출하는 부가가치를 말한다.
③ 켈러(J. Keller)에 따르면, 브랜드 자산의 원천은 브랜드의 인지도와 브랜드의 이미지이다.
④ 브랜드 이미지는 긍정적이고 독특하며 강력해야 한다.
⑤ 브랜드 개발은 창의적인 광고를 통해 관련 이미지를 만들어내는 것이다.</v>
      </c>
      <c r="F30" s="31">
        <f>IFERROR(VLOOKUP(C30,기출문제!D:G,4,0),"")</f>
        <v>5</v>
      </c>
      <c r="G30" s="32" t="str">
        <f t="shared" si="0"/>
        <v/>
      </c>
    </row>
    <row r="31" spans="2:7" ht="99.75" x14ac:dyDescent="0.3">
      <c r="B31" s="13">
        <v>24</v>
      </c>
      <c r="C31" s="14" t="s">
        <v>864</v>
      </c>
      <c r="D31" s="30"/>
      <c r="E31" s="15" t="str">
        <f>IFERROR(VLOOKUP(C31,기출문제!D:G,3,0),"")</f>
        <v>104. 금년 초에 5,000원의 배당(=d0)을 지급한 A기업의 배당은 매년 영원히 5%로 일정하게 성장할 것으로 예상된다. 요구수익률이 10%일 경우 이 주식의 현재가치는?
① 50,000원 
② 52,500원 
③ 100,000원 
④ 105,000원 
⑤ 110,000원</v>
      </c>
      <c r="F31" s="31">
        <f>IFERROR(VLOOKUP(C31,기출문제!D:G,4,0),"")</f>
        <v>4</v>
      </c>
      <c r="G31" s="32" t="str">
        <f t="shared" si="0"/>
        <v/>
      </c>
    </row>
    <row r="32" spans="2:7" ht="85.5" x14ac:dyDescent="0.3">
      <c r="B32" s="13">
        <v>25</v>
      </c>
      <c r="C32" s="14" t="s">
        <v>865</v>
      </c>
      <c r="D32" s="30"/>
      <c r="E32" s="15" t="str">
        <f>IFERROR(VLOOKUP(C32,기출문제!D:G,3,0),"")</f>
        <v>105. 자본시장선(CML)과 증권시장선(SML)에 관한 설명으로 옳지 않은 것은?
① 증권시장선 보다 아래에 위치하는 주식은 주가가 과대평가 된 주식이다.
② 자본시장선은 개별위험자산의 기대수익률과 체계적 위험(베타) 간의 선형관계를 설명한다.
③ 자본시장선 상에는 비체계적 위험을 가진 포트폴리오가 놓이지 않는다.
④ 동일한 체계적 위험(베타)을 가지고 있는 자산이면 증권시장선 상에서 동일한 위치에 놓인다.
⑤ 균형상태에서 모든 위험자산의 체계적 위험(베타) 대비 초과수익률(기대수익률 [E(ri)] - 무위험수익률 [rf])이 동일하다.</v>
      </c>
      <c r="F32" s="31">
        <f>IFERROR(VLOOKUP(C32,기출문제!D:G,4,0),"")</f>
        <v>2</v>
      </c>
      <c r="G32" s="32" t="str">
        <f t="shared" si="0"/>
        <v/>
      </c>
    </row>
    <row r="33" spans="2:7" ht="85.5" x14ac:dyDescent="0.3">
      <c r="B33" s="13">
        <v>26</v>
      </c>
      <c r="C33" s="14" t="s">
        <v>866</v>
      </c>
      <c r="D33" s="30"/>
      <c r="E33" s="15" t="str">
        <f>IFERROR(VLOOKUP(C33,기출문제!D:G,3,0),"")</f>
        <v>106. 투자안의 경제성 분석방법에 관한 설명으로 옳은 것은?
① 투자형 현금흐름의 투자안에서 내부수익률은 투자수익률을 의미한다.
② 화폐의 시간가치를 고려하는 분석방법은 순현재가치법이 유일하다.
③ 순현재가치법에서는 가치가산의 원칙이 성립하지 않는다.
④ 내부수익률법에서는 재투자수익률을 자본비용으로 가정한다.
⑤ 수익성지수법은 순현재가치법과 항상 동일한 투자선택의 의사결정을 한다.</v>
      </c>
      <c r="F33" s="31">
        <f>IFERROR(VLOOKUP(C33,기출문제!D:G,4,0),"")</f>
        <v>1</v>
      </c>
      <c r="G33" s="32" t="str">
        <f t="shared" si="0"/>
        <v/>
      </c>
    </row>
    <row r="34" spans="2:7" ht="85.5" x14ac:dyDescent="0.3">
      <c r="B34" s="13">
        <v>27</v>
      </c>
      <c r="C34" s="14" t="s">
        <v>867</v>
      </c>
      <c r="D34" s="30"/>
      <c r="E34" s="15" t="str">
        <f>IFERROR(VLOOKUP(C34,기출문제!D:G,3,0),"")</f>
        <v>107. 총자산순이익률(ROA)이 20%, 매출액순이익률이 8%일 때 총자산회전율은?
① 2 
② 2.5 
③ 3 
④ 3.5 
⑤ 4</v>
      </c>
      <c r="F34" s="31">
        <f>IFERROR(VLOOKUP(C34,기출문제!D:G,4,0),"")</f>
        <v>2</v>
      </c>
      <c r="G34" s="32" t="str">
        <f t="shared" si="0"/>
        <v/>
      </c>
    </row>
    <row r="35" spans="2:7" ht="142.5" x14ac:dyDescent="0.3">
      <c r="B35" s="13">
        <v>28</v>
      </c>
      <c r="C35" s="14" t="s">
        <v>868</v>
      </c>
      <c r="D35" s="30"/>
      <c r="E35" s="15" t="str">
        <f>IFERROR(VLOOKUP(C35,기출문제!D:G,3,0),"")</f>
        <v>108. 다음 채권의 듀레이션은? (단, 소수점 셋째 자리에서 반올림한다.)
○ 액면가액 1,000원
○ 액면이자율 연 10%, 매년 말 이자지급
○ 만기 2년
○ 만기수익률 연 12%
① 1.75년 
② 1.83년 
③ 1.87년 
④ 1.91년 
⑤ 2.00년</v>
      </c>
      <c r="F35" s="31">
        <f>IFERROR(VLOOKUP(C35,기출문제!D:G,4,0),"")</f>
        <v>4</v>
      </c>
      <c r="G35" s="32" t="str">
        <f t="shared" si="0"/>
        <v/>
      </c>
    </row>
    <row r="36" spans="2:7" ht="85.5" x14ac:dyDescent="0.3">
      <c r="B36" s="13">
        <v>29</v>
      </c>
      <c r="C36" s="14" t="s">
        <v>869</v>
      </c>
      <c r="D36" s="30"/>
      <c r="E36" s="15" t="str">
        <f>IFERROR(VLOOKUP(C36,기출문제!D:G,3,0),"")</f>
        <v>109. 가치분석/가치공학분석에서 사용하는 브레인스토밍(brainstorming)의 주제로 옳지 않은 것은?
① 불필요한 제품의 특성은 없는가?
② 추가되어야 할 공정은 없는가?
③ 무게를 줄일 수는 없는가?
④ 두 개 이상의 부품을 하나로 결합할 수 없는가?
⑤ 제거되어야 할 비표준화된 부품은 없는가?</v>
      </c>
      <c r="F36" s="31">
        <f>IFERROR(VLOOKUP(C36,기출문제!D:G,4,0),"")</f>
        <v>2</v>
      </c>
      <c r="G36" s="32" t="str">
        <f t="shared" si="0"/>
        <v/>
      </c>
    </row>
    <row r="37" spans="2:7" ht="128.25" x14ac:dyDescent="0.3">
      <c r="B37" s="13">
        <v>30</v>
      </c>
      <c r="C37" s="14" t="s">
        <v>870</v>
      </c>
      <c r="D37" s="30"/>
      <c r="E37" s="15" t="str">
        <f>IFERROR(VLOOKUP(C37,기출문제!D:G,3,0),"")</f>
        <v>110. 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
① 606만개 
② 632만개 
③ 658만개 
④ 744만개 
⑤ 766만개</v>
      </c>
      <c r="F37" s="31">
        <f>IFERROR(VLOOKUP(C37,기출문제!D:G,4,0),"")</f>
        <v>2</v>
      </c>
      <c r="G37" s="32" t="str">
        <f t="shared" si="0"/>
        <v/>
      </c>
    </row>
    <row r="38" spans="2:7" ht="85.5" x14ac:dyDescent="0.3">
      <c r="B38" s="13">
        <v>31</v>
      </c>
      <c r="C38" s="14" t="s">
        <v>871</v>
      </c>
      <c r="D38" s="30"/>
      <c r="E38" s="15" t="str">
        <f>IFERROR(VLOOKUP(C38,기출문제!D:G,3,0),"")</f>
        <v>111. 공급사슬관리의 효율성을 측정하는 지표로 옳은 것은?
① 재고회전율 
② 원자재투입량 
③ 최종고객주문량
④ 수요통제 
⑤ 채찍효과</v>
      </c>
      <c r="F38" s="31">
        <f>IFERROR(VLOOKUP(C38,기출문제!D:G,4,0),"")</f>
        <v>1</v>
      </c>
      <c r="G38" s="32" t="str">
        <f t="shared" si="0"/>
        <v/>
      </c>
    </row>
    <row r="39" spans="2:7" ht="85.5" x14ac:dyDescent="0.3">
      <c r="B39" s="13">
        <v>32</v>
      </c>
      <c r="C39" s="14" t="s">
        <v>872</v>
      </c>
      <c r="D39" s="30"/>
      <c r="E39" s="15" t="str">
        <f>IFERROR(VLOOKUP(C39,기출문제!D:G,3,0),"")</f>
        <v>112. 준비비용이 일정하다고 가정하는 경제적 주문량(EOQ)과는 달리 준비비용을 최대한 줄이고자 하는 시스템은?
① 유연생산시스템(FMS) 
② 자재소요관리시스템(MRP)
③ 컴퓨터통합생산시스템(CIM) 
④ ABC 재고관리시스템
⑤ 적시생산시스템(JIT)</v>
      </c>
      <c r="F39" s="31">
        <f>IFERROR(VLOOKUP(C39,기출문제!D:G,4,0),"")</f>
        <v>5</v>
      </c>
      <c r="G39" s="32" t="str">
        <f t="shared" si="0"/>
        <v/>
      </c>
    </row>
    <row r="40" spans="2:7" ht="85.5" x14ac:dyDescent="0.3">
      <c r="B40" s="13">
        <v>33</v>
      </c>
      <c r="C40" s="14" t="s">
        <v>873</v>
      </c>
      <c r="D40" s="30"/>
      <c r="E40" s="15" t="str">
        <f>IFERROR(VLOOKUP(C40,기출문제!D:G,3,0),"")</f>
        <v>113. 기업에서 생산목표상의 경쟁우선순위에 해당하지 않는 것은?
① 기술 
② 품질 
③ 원가 
④ 시간 
⑤ 유연성</v>
      </c>
      <c r="F40" s="31">
        <f>IFERROR(VLOOKUP(C40,기출문제!D:G,4,0),"")</f>
        <v>1</v>
      </c>
      <c r="G40" s="32" t="str">
        <f t="shared" si="0"/>
        <v/>
      </c>
    </row>
    <row r="41" spans="2:7" ht="85.5" x14ac:dyDescent="0.3">
      <c r="B41" s="13">
        <v>34</v>
      </c>
      <c r="C41" s="14" t="s">
        <v>874</v>
      </c>
      <c r="D41" s="30"/>
      <c r="E41" s="15" t="str">
        <f>IFERROR(VLOOKUP(C41,기출문제!D:G,3,0),"")</f>
        <v>114. 품질문제와 관련하여 발생하는 외부 실패비용에 해당하지 않는 것은?
① 고객불만 비용 
② 보증 비용 
③ 반품 비용
④ 스크랩 비용 
⑤ 제조물책임 비용</v>
      </c>
      <c r="F41" s="31">
        <f>IFERROR(VLOOKUP(C41,기출문제!D:G,4,0),"")</f>
        <v>4</v>
      </c>
      <c r="G41" s="32" t="str">
        <f t="shared" si="0"/>
        <v/>
      </c>
    </row>
    <row r="42" spans="2:7" ht="85.5" x14ac:dyDescent="0.3">
      <c r="B42" s="13">
        <v>35</v>
      </c>
      <c r="C42" s="14" t="s">
        <v>875</v>
      </c>
      <c r="D42" s="30"/>
      <c r="E42" s="15" t="str">
        <f>IFERROR(VLOOKUP(C42,기출문제!D:G,3,0),"")</f>
        <v>115. 회계거래 분개 시 차변에 기록해야 하는 것은?
① 선수금의 증가 
② 미수수익의 증가 
③ 매출의 발생
④ 미지급비용의 증가 
⑤ 매입채무의 증가</v>
      </c>
      <c r="F42" s="31">
        <f>IFERROR(VLOOKUP(C42,기출문제!D:G,4,0),"")</f>
        <v>2</v>
      </c>
      <c r="G42" s="32" t="str">
        <f t="shared" si="0"/>
        <v/>
      </c>
    </row>
    <row r="43" spans="2:7" ht="85.5" x14ac:dyDescent="0.3">
      <c r="B43" s="13">
        <v>36</v>
      </c>
      <c r="C43" s="14" t="s">
        <v>876</v>
      </c>
      <c r="D43" s="30"/>
      <c r="E43" s="15" t="str">
        <f>IFERROR(VLOOKUP(C43,기출문제!D:G,3,0),"")</f>
        <v>116. 재무비율에 관한 설명으로 옳지 않은 것은?
① 자산이용의 효율성을 분석하는 것은 활동성비율이다.
② 이자보상비율은 채권자에게 지급해야 할 고정비용인 이자비용의 안전도를 나타낸다.
③ 유동비율은 유동자산을 유동부채로 나눈 것이다.
④ 자기자본순이익률(ROE)은 주주 및 채권자의 관점에서 본 수익성비율이다.
⑤ 재무비율분석 시 기업 간 회계방법의 차이가 있음을 고려해야 한다.</v>
      </c>
      <c r="F43" s="31">
        <f>IFERROR(VLOOKUP(C43,기출문제!D:G,4,0),"")</f>
        <v>4</v>
      </c>
      <c r="G43" s="32" t="str">
        <f t="shared" si="0"/>
        <v/>
      </c>
    </row>
    <row r="44" spans="2:7" ht="85.5" x14ac:dyDescent="0.3">
      <c r="B44" s="13">
        <v>37</v>
      </c>
      <c r="C44" s="14" t="s">
        <v>877</v>
      </c>
      <c r="D44" s="30"/>
      <c r="E44" s="15" t="str">
        <f>IFERROR(VLOOKUP(C44,기출문제!D:G,3,0),"")</f>
        <v>117. 유형자산의 감가상각에 관한 설명으로 옳은 것은?
① 감가상각누계액은 내용연수 동안 비용처리 할 감가상각비의 총액이다.
② 정액법과 정률법에서는 감가대상금액을 기초로 감가상각비를 산정한다.
③ 정률법은 내용연수 후반부로 갈수록 감가상각비를 많이 인식한다.
④ 회계적 관점에서 감가상각은 자산의 평가과정이라기 보다 원가배분과정이라고 할 수 있다.
⑤ 모든 유형자산은 시간이 경과함에 따라 가치가 감소하므로 가치의 감소를 인식하기 위해 감가상각한다.</v>
      </c>
      <c r="F44" s="31">
        <f>IFERROR(VLOOKUP(C44,기출문제!D:G,4,0),"")</f>
        <v>4</v>
      </c>
      <c r="G44" s="32" t="str">
        <f t="shared" si="0"/>
        <v/>
      </c>
    </row>
    <row r="45" spans="2:7" ht="85.5" x14ac:dyDescent="0.3">
      <c r="B45" s="13">
        <v>38</v>
      </c>
      <c r="C45" s="14" t="s">
        <v>878</v>
      </c>
      <c r="D45" s="30"/>
      <c r="E45" s="15" t="str">
        <f>IFERROR(VLOOKUP(C45,기출문제!D:G,3,0),"")</f>
        <v>118. 유형자산의 취득원가에 포함되는 것은?
① 파손된 유리와 소모품의 대체
② 마모된 자산의 원상복구
③ 건물 취득 후 가입한 보험에 대한 보험료
④ 유형자산 취득 시 발생한 운반비
⑤ 건물의 도색</v>
      </c>
      <c r="F45" s="31">
        <f>IFERROR(VLOOKUP(C45,기출문제!D:G,4,0),"")</f>
        <v>4</v>
      </c>
      <c r="G45" s="32" t="str">
        <f t="shared" si="0"/>
        <v/>
      </c>
    </row>
    <row r="46" spans="2:7" ht="114" x14ac:dyDescent="0.3">
      <c r="B46" s="13">
        <v>39</v>
      </c>
      <c r="C46" s="14" t="s">
        <v>879</v>
      </c>
      <c r="D46" s="30"/>
      <c r="E46" s="15" t="str">
        <f>IFERROR(VLOOKUP(C46,기출문제!D:G,3,0),"")</f>
        <v>119. 다음에서 설명하는 것은?
○ 데이터 소스에서 가까운 네트워크 말단의 서버들에서 일부 데이터 처리를 수행한다.
○ 클라우드 컴퓨팅 시스템을 최적화하는 방법이다.
① 엣지 컴퓨팅 
② 그리드 컴퓨팅 
③ 클라이언트/서버 컴퓨팅
④ 온디멘드 컴퓨팅 
⑤ 엔터프라이즈 컴퓨팅</v>
      </c>
      <c r="F46" s="31">
        <f>IFERROR(VLOOKUP(C46,기출문제!D:G,4,0),"")</f>
        <v>1</v>
      </c>
      <c r="G46" s="32" t="str">
        <f t="shared" si="0"/>
        <v/>
      </c>
    </row>
    <row r="47" spans="2:7" ht="85.5" x14ac:dyDescent="0.3">
      <c r="B47" s="13">
        <v>40</v>
      </c>
      <c r="C47" s="14" t="s">
        <v>880</v>
      </c>
      <c r="D47" s="30"/>
      <c r="E47" s="15" t="str">
        <f>IFERROR(VLOOKUP(C47,기출문제!D:G,3,0),"")</f>
        <v>120. 비정형 텍스트 데이터의 가치와 의미를 찾아내는 빅데이터 분석기법은?
① 에쓰노그라피(ethnography) 분석 
② 포커스그룹(focus group) 인터뷰
③ 텍스트마이닝 
④ 군집 분석
⑤ 소셜네트워크 분석</v>
      </c>
      <c r="F47" s="31">
        <f>IFERROR(VLOOKUP(C47,기출문제!D:G,4,0),"")</f>
        <v>3</v>
      </c>
      <c r="G47" s="32" t="str">
        <f t="shared" si="0"/>
        <v/>
      </c>
    </row>
    <row r="48" spans="2:7" ht="142.5" x14ac:dyDescent="0.3">
      <c r="B48" s="13">
        <v>41</v>
      </c>
      <c r="C48" s="14" t="s">
        <v>5</v>
      </c>
      <c r="D48" s="30"/>
      <c r="E48" s="15" t="str">
        <f>IFERROR(VLOOKUP(C48,기출문제!D:G,3,0),"")</f>
        <v>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v>
      </c>
      <c r="F48" s="31">
        <f>IFERROR(VLOOKUP(C48,기출문제!D:G,4,0),"")</f>
        <v>5</v>
      </c>
      <c r="G48" s="32" t="str">
        <f t="shared" si="0"/>
        <v/>
      </c>
    </row>
    <row r="49" spans="2:7" ht="171" x14ac:dyDescent="0.3">
      <c r="B49" s="13">
        <v>42</v>
      </c>
      <c r="C49" s="14" t="s">
        <v>881</v>
      </c>
      <c r="D49" s="30"/>
      <c r="E49" s="15" t="str">
        <f>IFERROR(VLOOKUP(C49,기출문제!D:G,3,0),"")</f>
        <v>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v>
      </c>
      <c r="F49" s="31">
        <f>IFERROR(VLOOKUP(C49,기출문제!D:G,4,0),"")</f>
        <v>4</v>
      </c>
      <c r="G49" s="32" t="str">
        <f t="shared" si="0"/>
        <v/>
      </c>
    </row>
    <row r="50" spans="2:7" ht="85.5" x14ac:dyDescent="0.3">
      <c r="B50" s="13">
        <v>43</v>
      </c>
      <c r="C50" s="14" t="s">
        <v>882</v>
      </c>
      <c r="D50" s="30"/>
      <c r="E50" s="15" t="str">
        <f>IFERROR(VLOOKUP(C50,기출문제!D:G,3,0),"")</f>
        <v>103. 경영환경을 일반환경과 과업환경으로 구분할 때, 기업에게 직접적인 영향을 주는 과업환경에 해당하는 것은?
① 정치적 환경
② 경제적 환경
③ 기술적 환경
④ 경쟁자
⑤ 사회문화적 환경</v>
      </c>
      <c r="F50" s="31">
        <f>IFERROR(VLOOKUP(C50,기출문제!D:G,4,0),"")</f>
        <v>4</v>
      </c>
      <c r="G50" s="32" t="str">
        <f t="shared" si="0"/>
        <v/>
      </c>
    </row>
    <row r="51" spans="2:7" ht="85.5" x14ac:dyDescent="0.3">
      <c r="B51" s="13">
        <v>44</v>
      </c>
      <c r="C51" s="14" t="s">
        <v>883</v>
      </c>
      <c r="D51" s="30"/>
      <c r="E51" s="15" t="str">
        <f>IFERROR(VLOOKUP(C51,기출문제!D:G,3,0),"")</f>
        <v>104. 민츠버그(H. Mintzberg)의 5가지 조직유형에 해당하지 않는 것은?
① 매트릭스 조직
② 기계적 관료제
③ 전문적 관료제
④ 애드호크라시
⑤ 사업부제 조직</v>
      </c>
      <c r="F51" s="31">
        <f>IFERROR(VLOOKUP(C51,기출문제!D:G,4,0),"")</f>
        <v>1</v>
      </c>
      <c r="G51" s="32" t="str">
        <f t="shared" si="0"/>
        <v/>
      </c>
    </row>
    <row r="52" spans="2:7" ht="142.5" x14ac:dyDescent="0.3">
      <c r="B52" s="13">
        <v>45</v>
      </c>
      <c r="C52" s="14" t="s">
        <v>884</v>
      </c>
      <c r="D52" s="30"/>
      <c r="E52" s="15" t="str">
        <f>IFERROR(VLOOKUP(C52,기출문제!D:G,3,0),"")</f>
        <v>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v>
      </c>
      <c r="F52" s="31">
        <f>IFERROR(VLOOKUP(C52,기출문제!D:G,4,0),"")</f>
        <v>3</v>
      </c>
      <c r="G52" s="32" t="str">
        <f t="shared" si="0"/>
        <v/>
      </c>
    </row>
    <row r="53" spans="2:7" ht="156.75" x14ac:dyDescent="0.3">
      <c r="B53" s="13">
        <v>46</v>
      </c>
      <c r="C53" s="14" t="s">
        <v>885</v>
      </c>
      <c r="D53" s="30"/>
      <c r="E53" s="15" t="str">
        <f>IFERROR(VLOOKUP(C53,기출문제!D:G,3,0),"")</f>
        <v>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v>
      </c>
      <c r="F53" s="31">
        <f>IFERROR(VLOOKUP(C53,기출문제!D:G,4,0),"")</f>
        <v>2</v>
      </c>
      <c r="G53" s="32" t="str">
        <f t="shared" si="0"/>
        <v/>
      </c>
    </row>
    <row r="54" spans="2:7" ht="85.5" x14ac:dyDescent="0.3">
      <c r="B54" s="13">
        <v>47</v>
      </c>
      <c r="C54" s="14" t="s">
        <v>886</v>
      </c>
      <c r="D54" s="30"/>
      <c r="E54" s="15" t="str">
        <f>IFERROR(VLOOKUP(C54,기출문제!D:G,3,0),"")</f>
        <v>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v>
      </c>
      <c r="F54" s="31">
        <f>IFERROR(VLOOKUP(C54,기출문제!D:G,4,0),"")</f>
        <v>5</v>
      </c>
      <c r="G54" s="32" t="str">
        <f t="shared" si="0"/>
        <v/>
      </c>
    </row>
    <row r="55" spans="2:7" ht="85.5" x14ac:dyDescent="0.3">
      <c r="B55" s="13">
        <v>48</v>
      </c>
      <c r="C55" s="14" t="s">
        <v>887</v>
      </c>
      <c r="D55" s="30"/>
      <c r="E55" s="15" t="str">
        <f>IFERROR(VLOOKUP(C55,기출문제!D:G,3,0),"")</f>
        <v>108. 성격의 Big5 모형에 해당하지 않는 것은?
① 정서적 안정성
② 성실성
③ 친화성
④ 모험선호성
⑤ 개방성</v>
      </c>
      <c r="F55" s="31">
        <f>IFERROR(VLOOKUP(C55,기출문제!D:G,4,0),"")</f>
        <v>4</v>
      </c>
      <c r="G55" s="32" t="str">
        <f t="shared" si="0"/>
        <v/>
      </c>
    </row>
    <row r="56" spans="2:7" ht="85.5" x14ac:dyDescent="0.3">
      <c r="B56" s="13">
        <v>49</v>
      </c>
      <c r="C56" s="14" t="s">
        <v>888</v>
      </c>
      <c r="D56" s="30"/>
      <c r="E56" s="15" t="str">
        <f>IFERROR(VLOOKUP(C56,기출문제!D:G,3,0),"")</f>
        <v>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v>
      </c>
      <c r="F56" s="31">
        <f>IFERROR(VLOOKUP(C56,기출문제!D:G,4,0),"")</f>
        <v>3</v>
      </c>
      <c r="G56" s="32" t="str">
        <f t="shared" si="0"/>
        <v/>
      </c>
    </row>
    <row r="57" spans="2:7" ht="156.75" x14ac:dyDescent="0.3">
      <c r="B57" s="13">
        <v>50</v>
      </c>
      <c r="C57" s="14" t="s">
        <v>889</v>
      </c>
      <c r="D57" s="30"/>
      <c r="E57" s="15" t="str">
        <f>IFERROR(VLOOKUP(C57,기출문제!D:G,3,0),"")</f>
        <v>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v>
      </c>
      <c r="F57" s="31">
        <f>IFERROR(VLOOKUP(C57,기출문제!D:G,4,0),"")</f>
        <v>1</v>
      </c>
      <c r="G57" s="32" t="str">
        <f t="shared" si="0"/>
        <v/>
      </c>
    </row>
    <row r="58" spans="2:7" ht="85.5" x14ac:dyDescent="0.3">
      <c r="B58" s="13">
        <v>51</v>
      </c>
      <c r="C58" s="14" t="s">
        <v>890</v>
      </c>
      <c r="D58" s="13"/>
      <c r="E58" s="15" t="str">
        <f>IFERROR(VLOOKUP(C58,기출문제!D:G,3,0),"")</f>
        <v>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v>
      </c>
      <c r="F58" s="31">
        <f>IFERROR(VLOOKUP(C58,기출문제!D:G,4,0),"")</f>
        <v>1</v>
      </c>
      <c r="G58" s="32" t="str">
        <f t="shared" si="0"/>
        <v/>
      </c>
    </row>
    <row r="59" spans="2:7" ht="85.5" x14ac:dyDescent="0.3">
      <c r="B59" s="13">
        <v>52</v>
      </c>
      <c r="C59" s="14" t="s">
        <v>891</v>
      </c>
      <c r="D59" s="13"/>
      <c r="E59" s="15" t="str">
        <f>IFERROR(VLOOKUP(C59,기출문제!D:G,3,0),"")</f>
        <v>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v>
      </c>
      <c r="F59" s="31">
        <f>IFERROR(VLOOKUP(C59,기출문제!D:G,4,0),"")</f>
        <v>5</v>
      </c>
      <c r="G59" s="32" t="str">
        <f t="shared" si="0"/>
        <v/>
      </c>
    </row>
    <row r="60" spans="2:7" ht="85.5" x14ac:dyDescent="0.3">
      <c r="B60" s="13">
        <v>53</v>
      </c>
      <c r="C60" s="14" t="s">
        <v>892</v>
      </c>
      <c r="D60" s="13"/>
      <c r="E60" s="15" t="str">
        <f>IFERROR(VLOOKUP(C60,기출문제!D:G,3,0),"")</f>
        <v>113. 로저스(E. Rogers)의 혁신에 대한 수용자 유형이 아닌 것은?
① 혁신자(innovators)
② 조기수용자(early adopters)
③ 후기수용자(late adopters)
④ 조기다수자(early majority)
⑤ 후기다수자(late majority)</v>
      </c>
      <c r="F60" s="31">
        <f>IFERROR(VLOOKUP(C60,기출문제!D:G,4,0),"")</f>
        <v>3</v>
      </c>
      <c r="G60" s="32" t="str">
        <f t="shared" si="0"/>
        <v/>
      </c>
    </row>
    <row r="61" spans="2:7" ht="128.25" x14ac:dyDescent="0.3">
      <c r="B61" s="13">
        <v>54</v>
      </c>
      <c r="C61" s="14" t="s">
        <v>893</v>
      </c>
      <c r="D61" s="13"/>
      <c r="E61" s="15" t="str">
        <f>IFERROR(VLOOKUP(C61,기출문제!D:G,3,0),"")</f>
        <v>114. (주)한국의 매출 및 매출채권 자료가 다음과 같을 때, 매출채권의 평균회수시간은? (단, 1년은 360일로 가정한다.)
매출액            ￦3,000,000
기초매출채권        150,000
기말매출채권        100,000
① 10일
② 15일
③ 18일
④ 20일
⑤ 24일</v>
      </c>
      <c r="F61" s="31">
        <f>IFERROR(VLOOKUP(C61,기출문제!D:G,4,0),"")</f>
        <v>2</v>
      </c>
      <c r="G61" s="32" t="str">
        <f t="shared" si="0"/>
        <v/>
      </c>
    </row>
    <row r="62" spans="2:7" ht="114" x14ac:dyDescent="0.3">
      <c r="B62" s="13">
        <v>55</v>
      </c>
      <c r="C62" s="14" t="s">
        <v>894</v>
      </c>
      <c r="D62" s="13"/>
      <c r="E62" s="15" t="str">
        <f>IFERROR(VLOOKUP(C62,기출문제!D:G,3,0),"")</f>
        <v>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v>
      </c>
      <c r="F62" s="31">
        <f>IFERROR(VLOOKUP(C62,기출문제!D:G,4,0),"")</f>
        <v>4</v>
      </c>
      <c r="G62" s="32" t="str">
        <f t="shared" si="0"/>
        <v/>
      </c>
    </row>
    <row r="63" spans="2:7" ht="142.5" x14ac:dyDescent="0.3">
      <c r="B63" s="13">
        <v>56</v>
      </c>
      <c r="C63" s="14" t="s">
        <v>895</v>
      </c>
      <c r="D63" s="13"/>
      <c r="E63" s="15" t="str">
        <f>IFERROR(VLOOKUP(C63,기출문제!D:G,3,0),"")</f>
        <v>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v>
      </c>
      <c r="F63" s="31">
        <f>IFERROR(VLOOKUP(C63,기출문제!D:G,4,0),"")</f>
        <v>2</v>
      </c>
      <c r="G63" s="32" t="str">
        <f t="shared" si="0"/>
        <v/>
      </c>
    </row>
    <row r="64" spans="2:7" ht="85.5" x14ac:dyDescent="0.3">
      <c r="B64" s="13">
        <v>57</v>
      </c>
      <c r="C64" s="14" t="s">
        <v>896</v>
      </c>
      <c r="D64" s="13"/>
      <c r="E64" s="15" t="str">
        <f>IFERROR(VLOOKUP(C64,기출문제!D:G,3,0),"")</f>
        <v>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v>
      </c>
      <c r="F64" s="31">
        <f>IFERROR(VLOOKUP(C64,기출문제!D:G,4,0),"")</f>
        <v>4</v>
      </c>
      <c r="G64" s="32" t="str">
        <f t="shared" si="0"/>
        <v/>
      </c>
    </row>
    <row r="65" spans="2:7" ht="99.75" x14ac:dyDescent="0.3">
      <c r="B65" s="13">
        <v>58</v>
      </c>
      <c r="C65" s="14" t="s">
        <v>897</v>
      </c>
      <c r="D65" s="13"/>
      <c r="E65" s="15" t="str">
        <f>IFERROR(VLOOKUP(C65,기출문제!D:G,3,0),"")</f>
        <v>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v>
      </c>
      <c r="F65" s="31">
        <f>IFERROR(VLOOKUP(C65,기출문제!D:G,4,0),"")</f>
        <v>1</v>
      </c>
      <c r="G65" s="32" t="str">
        <f t="shared" si="0"/>
        <v/>
      </c>
    </row>
    <row r="66" spans="2:7" ht="142.5" x14ac:dyDescent="0.3">
      <c r="B66" s="13">
        <v>59</v>
      </c>
      <c r="C66" s="14" t="s">
        <v>898</v>
      </c>
      <c r="D66" s="13"/>
      <c r="E66" s="15" t="str">
        <f>IFERROR(VLOOKUP(C66,기출문제!D:G,3,0),"")</f>
        <v>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v>
      </c>
      <c r="F66" s="31">
        <f>IFERROR(VLOOKUP(C66,기출문제!D:G,4,0),"")</f>
        <v>3</v>
      </c>
      <c r="G66" s="32" t="str">
        <f t="shared" si="0"/>
        <v/>
      </c>
    </row>
    <row r="67" spans="2:7" ht="128.25" x14ac:dyDescent="0.3">
      <c r="B67" s="13">
        <v>60</v>
      </c>
      <c r="C67" s="14" t="s">
        <v>899</v>
      </c>
      <c r="D67" s="13"/>
      <c r="E67" s="15" t="str">
        <f>IFERROR(VLOOKUP(C67,기출문제!D:G,3,0),"")</f>
        <v>120. 다음의 수요예측기법 중 시계열(tiem series) 예측기법에 해당하는 것을 모두 고른 것은?
ㄱ. 이동평균법
ㄴ. 지수평활기법
ㄷ. 델파이 기법
① ㄱ
② ㄴ
③ ㄱ, ㄴ
④ ㄴ, ㄷ
⑤ ㄱ, ㄴ, ㄷ</v>
      </c>
      <c r="F67" s="31">
        <f>IFERROR(VLOOKUP(C67,기출문제!D:G,4,0),"")</f>
        <v>3</v>
      </c>
      <c r="G67" s="32" t="str">
        <f t="shared" si="0"/>
        <v/>
      </c>
    </row>
    <row r="68" spans="2:7" ht="85.5" x14ac:dyDescent="0.3">
      <c r="B68" s="13">
        <v>61</v>
      </c>
      <c r="C68" s="14" t="s">
        <v>900</v>
      </c>
      <c r="D68" s="13"/>
      <c r="E68" s="15" t="str">
        <f>IFERROR(VLOOKUP(C68,기출문제!D:G,3,0),"")</f>
        <v>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v>
      </c>
      <c r="F68" s="31">
        <f>IFERROR(VLOOKUP(C68,기출문제!D:G,4,0),"")</f>
        <v>2</v>
      </c>
      <c r="G68" s="32" t="str">
        <f t="shared" si="0"/>
        <v/>
      </c>
    </row>
    <row r="69" spans="2:7" ht="142.5" x14ac:dyDescent="0.3">
      <c r="B69" s="13">
        <v>62</v>
      </c>
      <c r="C69" s="14" t="s">
        <v>901</v>
      </c>
      <c r="D69" s="13"/>
      <c r="E69" s="15" t="str">
        <f>IFERROR(VLOOKUP(C69,기출문제!D:G,3,0),"")</f>
        <v>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v>
      </c>
      <c r="F69" s="31">
        <f>IFERROR(VLOOKUP(C69,기출문제!D:G,4,0),"")</f>
        <v>3</v>
      </c>
      <c r="G69" s="32" t="str">
        <f t="shared" si="0"/>
        <v/>
      </c>
    </row>
    <row r="70" spans="2:7" ht="85.5" x14ac:dyDescent="0.3">
      <c r="B70" s="13">
        <v>63</v>
      </c>
      <c r="C70" s="14" t="s">
        <v>902</v>
      </c>
      <c r="D70" s="13"/>
      <c r="E70" s="15" t="str">
        <f>IFERROR(VLOOKUP(C70,기출문제!D:G,3,0),"")</f>
        <v>123. 현행 K - IFRS에 의한 재무제표에 해당하지 않는 것은?
① 재무상태변동표
② 포괄손익계산서
③ 자본변동표
④ 현금흐름표
⑤ 주석</v>
      </c>
      <c r="F70" s="31">
        <f>IFERROR(VLOOKUP(C70,기출문제!D:G,4,0),"")</f>
        <v>1</v>
      </c>
      <c r="G70" s="32" t="str">
        <f t="shared" si="0"/>
        <v/>
      </c>
    </row>
    <row r="71" spans="2:7" ht="85.5" x14ac:dyDescent="0.3">
      <c r="B71" s="13">
        <v>64</v>
      </c>
      <c r="C71" s="14" t="s">
        <v>903</v>
      </c>
      <c r="D71" s="13"/>
      <c r="E71" s="15" t="str">
        <f>IFERROR(VLOOKUP(C71,기출문제!D:G,3,0),"")</f>
        <v>124. 일반 사용자의 컴퓨터 시스템 접근을 차단한 후, 접근을 허용하는 조건으로 대가를 요구하는 악성코드는?
① 스니핑(sniffing)
② 랜섬웨어(ransomware)
③ 스팸웨어(spamware)
④ 피싱(phishing)
⑤ 파밍(pharming)</v>
      </c>
      <c r="F71" s="31">
        <f>IFERROR(VLOOKUP(C71,기출문제!D:G,4,0),"")</f>
        <v>2</v>
      </c>
      <c r="G71" s="32" t="str">
        <f t="shared" si="0"/>
        <v/>
      </c>
    </row>
    <row r="72" spans="2:7" ht="114" x14ac:dyDescent="0.3">
      <c r="B72" s="13">
        <v>65</v>
      </c>
      <c r="C72" s="14" t="s">
        <v>904</v>
      </c>
      <c r="D72" s="13"/>
      <c r="E72" s="15" t="str">
        <f>IFERROR(VLOOKUP(C72,기출문제!D:G,3,0),"")</f>
        <v>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v>
      </c>
      <c r="F72" s="31">
        <f>IFERROR(VLOOKUP(C72,기출문제!D:G,4,0),"")</f>
        <v>3</v>
      </c>
      <c r="G72" s="32" t="str">
        <f t="shared" si="0"/>
        <v/>
      </c>
    </row>
    <row r="73" spans="2:7" ht="85.5" x14ac:dyDescent="0.3">
      <c r="B73" s="13">
        <v>66</v>
      </c>
      <c r="C73" s="14" t="s">
        <v>611</v>
      </c>
      <c r="D73" s="13"/>
      <c r="E73" s="15" t="str">
        <f>IFERROR(VLOOKUP(C73,기출문제!D:G,3,0),"")</f>
        <v>101. 프랜차이즈(franchise)에 관한 설명으로 옳지 않은 것은?
① 가맹점은 운영측면에서 개인점포에 비해 자율성이 높다.
② 가맹본부의 사업확장이 용이하다.
③ 가맹점은 인지도가 있는 브랜드와 상품으로 사업을 시작할 수 있다.
④ 가맹점은 가맹본부로부터 경영지도와 지원을 받을 수 있다.
⑤ 가맹점은 프랜차이즈 비용이 부담이 될 수 있다.</v>
      </c>
      <c r="F73" s="31">
        <f>IFERROR(VLOOKUP(C73,기출문제!D:G,4,0),"")</f>
        <v>1</v>
      </c>
      <c r="G73" s="32" t="str">
        <f t="shared" ref="G73:G136" si="1">IF(D73="","",IF(D73=F73,"O", "X"))</f>
        <v/>
      </c>
    </row>
    <row r="74" spans="2:7" ht="85.5" x14ac:dyDescent="0.3">
      <c r="B74" s="13">
        <v>67</v>
      </c>
      <c r="C74" s="14" t="s">
        <v>905</v>
      </c>
      <c r="D74" s="13"/>
      <c r="E74" s="15" t="str">
        <f>IFERROR(VLOOKUP(C74,기출문제!D:G,3,0),"")</f>
        <v>102. 앤소프(H. I. Ansoff)의 제품- 시장 확장전략 중 기존 제품으로 기존 시장의 점유율을 확대해 가는 전략은?
① 원가우위 전략 
② 시장침투 전략 
③ 시장개발 전략
④ 제품개발 전략 
⑤ 다각화 전략</v>
      </c>
      <c r="F74" s="31">
        <f>IFERROR(VLOOKUP(C74,기출문제!D:G,4,0),"")</f>
        <v>2</v>
      </c>
      <c r="G74" s="32" t="str">
        <f t="shared" si="1"/>
        <v/>
      </c>
    </row>
    <row r="75" spans="2:7" ht="85.5" x14ac:dyDescent="0.3">
      <c r="B75" s="13">
        <v>68</v>
      </c>
      <c r="C75" s="14" t="s">
        <v>906</v>
      </c>
      <c r="D75" s="13"/>
      <c r="E75" s="15" t="str">
        <f>IFERROR(VLOOKUP(C75,기출문제!D:G,3,0),"")</f>
        <v>103. 포터(M. Porter)의 산업구조분석 모형에서, 소비자 관점의 사용용도가 유사한 다른 제품을 고려하는 경쟁분석의 요소는?
① 산업내 기존 경쟁업체간 경쟁 
② 잠재적 경쟁자의 진입 가능성
③ 대체재의 위협 
④ 공급자의 교섭력
⑤ 구매자의 교섭력</v>
      </c>
      <c r="F75" s="31">
        <f>IFERROR(VLOOKUP(C75,기출문제!D:G,4,0),"")</f>
        <v>3</v>
      </c>
      <c r="G75" s="32" t="str">
        <f t="shared" si="1"/>
        <v/>
      </c>
    </row>
    <row r="76" spans="2:7" ht="85.5" x14ac:dyDescent="0.3">
      <c r="B76" s="13">
        <v>69</v>
      </c>
      <c r="C76" s="14" t="s">
        <v>907</v>
      </c>
      <c r="D76" s="13"/>
      <c r="E76" s="15" t="str">
        <f>IFERROR(VLOOKUP(C76,기출문제!D:G,3,0),"")</f>
        <v>104. 직무스트레스에 관한 설명으로 옳지 않은 것은?
① 직무스트레스의 잠재적 원인으로는 환경요인, 조직적 요인, 개인적 요인이 존재한다.
② 직무스트레스 원인과 경험된 스트레스 간에 조정변수가 존재한다.
③ 사회적 지지는 직무스트레스의 조정변수이다.
④ 직무스트레스 결과로는 생리적 증상, 심리적 증상, 행동적 증상이 있다.
⑤ 직무스트레스와 직무성과간의 관계는 U자형으로 나타난다.</v>
      </c>
      <c r="F76" s="31">
        <f>IFERROR(VLOOKUP(C76,기출문제!D:G,4,0),"")</f>
        <v>5</v>
      </c>
      <c r="G76" s="32" t="str">
        <f t="shared" si="1"/>
        <v/>
      </c>
    </row>
    <row r="77" spans="2:7" ht="85.5" x14ac:dyDescent="0.3">
      <c r="B77" s="13">
        <v>70</v>
      </c>
      <c r="C77" s="14" t="s">
        <v>908</v>
      </c>
      <c r="D77" s="13"/>
      <c r="E77" s="15" t="str">
        <f>IFERROR(VLOOKUP(C77,기출문제!D:G,3,0),"")</f>
        <v>105. 메이요(E. Mayo)의 호손실험 중 배선작업 실험에 관한 설명으로 옳지 않은 것은?
① 작업자를 둘러싸고 있는 사회적 요인들이 작업능률에 미치는 영향을 파악하였다.
② 생산현장에서 비공식조직을 확인하였다.
③ 비공식조직이 작업능률에 영향을 미치는 것을 발견하였다.
④ 관찰연구를 통해 진행되었다.
⑤ 경제적 욕구의 중요성을 재확인하였다.</v>
      </c>
      <c r="F77" s="31">
        <f>IFERROR(VLOOKUP(C77,기출문제!D:G,4,0),"")</f>
        <v>5</v>
      </c>
      <c r="G77" s="32" t="str">
        <f t="shared" si="1"/>
        <v/>
      </c>
    </row>
    <row r="78" spans="2:7" ht="156.75" x14ac:dyDescent="0.3">
      <c r="B78" s="13">
        <v>71</v>
      </c>
      <c r="C78" s="14" t="s">
        <v>909</v>
      </c>
      <c r="D78" s="13"/>
      <c r="E78" s="15" t="str">
        <f>IFERROR(VLOOKUP(C78,기출문제!D:G,3,0),"")</f>
        <v>106. 조직설계의 상황변수에 해당하는 것을 모두 고른 것은?
ㄱ. 복잡성
ㄴ. 전략
ㄷ. 공식화
ㄹ. 기술
ㅁ. 규모
① ㄱ, ㄴ, ㄷ 
② ㄱ, ㄴ, ㄹ 
③ ㄱ, ㄷ, ㅁ 
④ ㄴ, ㄹ, ㅁ 
⑤ ㄷ, ㄹ, ㅁ</v>
      </c>
      <c r="F78" s="31">
        <f>IFERROR(VLOOKUP(C78,기출문제!D:G,4,0),"")</f>
        <v>4</v>
      </c>
      <c r="G78" s="32" t="str">
        <f t="shared" si="1"/>
        <v/>
      </c>
    </row>
    <row r="79" spans="2:7" ht="142.5" x14ac:dyDescent="0.3">
      <c r="B79" s="13">
        <v>72</v>
      </c>
      <c r="C79" s="14" t="s">
        <v>910</v>
      </c>
      <c r="D79" s="13"/>
      <c r="E79" s="15" t="str">
        <f>IFERROR(VLOOKUP(C79,기출문제!D:G,3,0),"")</f>
        <v>107. 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
① ㄱ, ㄴ 
② ㄱ, ㄷ 
③ ㄴ, ㄷ 
④ ㄴ, ㄹ 
⑤ ㄷ, ㄹ</v>
      </c>
      <c r="F79" s="31">
        <f>IFERROR(VLOOKUP(C79,기출문제!D:G,4,0),"")</f>
        <v>4</v>
      </c>
      <c r="G79" s="32" t="str">
        <f t="shared" si="1"/>
        <v/>
      </c>
    </row>
    <row r="80" spans="2:7" ht="128.25" x14ac:dyDescent="0.3">
      <c r="B80" s="13">
        <v>73</v>
      </c>
      <c r="C80" s="14" t="s">
        <v>911</v>
      </c>
      <c r="D80" s="13"/>
      <c r="E80" s="15" t="str">
        <f>IFERROR(VLOOKUP(C80,기출문제!D:G,3,0),"")</f>
        <v>108. 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
① 자원의존 이론 
② 제도화 이론 
③ 학습조직 이론
④ 조직군 생태학 이론 
⑤ 거래비용 이론</v>
      </c>
      <c r="F80" s="31">
        <f>IFERROR(VLOOKUP(C80,기출문제!D:G,4,0),"")</f>
        <v>4</v>
      </c>
      <c r="G80" s="32" t="str">
        <f t="shared" si="1"/>
        <v/>
      </c>
    </row>
    <row r="81" spans="2:7" ht="85.5" x14ac:dyDescent="0.3">
      <c r="B81" s="13">
        <v>74</v>
      </c>
      <c r="C81" s="14" t="s">
        <v>912</v>
      </c>
      <c r="D81" s="13"/>
      <c r="E81" s="15" t="str">
        <f>IFERROR(VLOOKUP(C81,기출문제!D:G,3,0),"")</f>
        <v>109. 직무분석에 관한 설명으로 옳은 것은?
① 직무의 내용을 체계적으로 정리하여 직무명세서를 작성한다.
② 직무수행자에게 요구되는 자격요건을 정리하여 직무기술서를 작성한다.
③ 직무분석과 인력확보를 연계하는 것은 타당하지 않다.
④ 직무분석은 작업장의 안전사고 예방에 도움이 된다.
⑤ 직무분석은 직무평가 결과를 토대로 실시한다.</v>
      </c>
      <c r="F81" s="31">
        <f>IFERROR(VLOOKUP(C81,기출문제!D:G,4,0),"")</f>
        <v>4</v>
      </c>
      <c r="G81" s="32" t="str">
        <f t="shared" si="1"/>
        <v/>
      </c>
    </row>
    <row r="82" spans="2:7" ht="85.5" x14ac:dyDescent="0.3">
      <c r="B82" s="13">
        <v>75</v>
      </c>
      <c r="C82" s="14" t="s">
        <v>913</v>
      </c>
      <c r="D82" s="13"/>
      <c r="E82" s="15" t="str">
        <f>IFERROR(VLOOKUP(C82,기출문제!D:G,3,0),"")</f>
        <v>110. 스캔론 플랜(Scanlon Plan)에 관한 설명으로 옳지 않은 것은?
① 기업이 창출한 부가가치를 기준으로 성과급을 산정한다.
② 집단성과급제도이다.
③ 생산제품의 판매가치와 인건비의 관계에서 배분액을 결정한다.
④ 실제인건비가 표준인건비보다 적을 때 그 차액을 보너스로 배분한다.
⑤ 산출된 보너스액 중 일정액을 적립한 후 종업원분과 회사분으로 배분한다.</v>
      </c>
      <c r="F82" s="31">
        <f>IFERROR(VLOOKUP(C82,기출문제!D:G,4,0),"")</f>
        <v>1</v>
      </c>
      <c r="G82" s="32" t="str">
        <f t="shared" si="1"/>
        <v/>
      </c>
    </row>
    <row r="83" spans="2:7" ht="85.5" x14ac:dyDescent="0.3">
      <c r="B83" s="13">
        <v>76</v>
      </c>
      <c r="C83" s="14" t="s">
        <v>914</v>
      </c>
      <c r="D83" s="13"/>
      <c r="E83" s="15" t="str">
        <f>IFERROR(VLOOKUP(C83,기출문제!D:G,3,0),"")</f>
        <v>111. 기존 브랜드명을 새로운 제품범주의 신제품에 사용하는 것은?
① 공동 브랜딩(co - branding) 
② 복수 브랜딩(multi - branding)
③ 신규 브랜드(new brand) 
④ 라인 확장(line extension)
⑤ 브랜드 확장(brand extension)</v>
      </c>
      <c r="F83" s="31">
        <f>IFERROR(VLOOKUP(C83,기출문제!D:G,4,0),"")</f>
        <v>5</v>
      </c>
      <c r="G83" s="32" t="str">
        <f t="shared" si="1"/>
        <v/>
      </c>
    </row>
    <row r="84" spans="2:7" ht="85.5" x14ac:dyDescent="0.3">
      <c r="B84" s="13">
        <v>77</v>
      </c>
      <c r="C84" s="14" t="s">
        <v>915</v>
      </c>
      <c r="D84" s="13"/>
      <c r="E84" s="15" t="str">
        <f>IFERROR(VLOOKUP(C84,기출문제!D:G,3,0),"")</f>
        <v>112. 제품의 기본가격을 조정하여 세분시장별로 가격을 달리하는 가격결정이 아닌 것은?
① 고객집단 가격결정 
② 묶음제품 가격결정 
③ 제품형태 가격결정
④ 입지 가격결정 
⑤ 시간 가격결정</v>
      </c>
      <c r="F84" s="31">
        <f>IFERROR(VLOOKUP(C84,기출문제!D:G,4,0),"")</f>
        <v>2</v>
      </c>
      <c r="G84" s="32" t="str">
        <f t="shared" si="1"/>
        <v/>
      </c>
    </row>
    <row r="85" spans="2:7" ht="85.5" x14ac:dyDescent="0.3">
      <c r="B85" s="13">
        <v>78</v>
      </c>
      <c r="C85" s="14" t="s">
        <v>916</v>
      </c>
      <c r="D85" s="13"/>
      <c r="E85" s="15" t="str">
        <f>IFERROR(VLOOKUP(C85,기출문제!D:G,3,0),"")</f>
        <v>113. 새로운 마케팅 기회를 확보하기 위해 동일한 유통경로 단계에 있는 둘 이상의 기업이 제휴하는 시스템은?
① 혁신 마케팅시스템 
② 수평적 마케팅시스템
③ 계약형 수직적 마케팅시스템 
④ 관리형 수직적 마케팅시스템
⑤ 기업형 수직적 마케팅시스템</v>
      </c>
      <c r="F85" s="31">
        <f>IFERROR(VLOOKUP(C85,기출문제!D:G,4,0),"")</f>
        <v>2</v>
      </c>
      <c r="G85" s="32" t="str">
        <f t="shared" si="1"/>
        <v/>
      </c>
    </row>
    <row r="86" spans="2:7" ht="142.5" x14ac:dyDescent="0.3">
      <c r="B86" s="13">
        <v>79</v>
      </c>
      <c r="C86" s="14" t="s">
        <v>917</v>
      </c>
      <c r="D86" s="13"/>
      <c r="E86" s="15" t="str">
        <f>IFERROR(VLOOKUP(C86,기출문제!D:G,3,0),"")</f>
        <v>114. 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
① ㄱ, ㄴ 
② ㄱ, ㄷ 
③ ㄱ, ㄹ 
④ ㄴ, ㄷ 
⑤ ㄷ, ㄹ</v>
      </c>
      <c r="F86" s="31">
        <f>IFERROR(VLOOKUP(C86,기출문제!D:G,4,0),"")</f>
        <v>2</v>
      </c>
      <c r="G86" s="32" t="str">
        <f t="shared" si="1"/>
        <v/>
      </c>
    </row>
    <row r="87" spans="2:7" ht="85.5" x14ac:dyDescent="0.3">
      <c r="B87" s="13">
        <v>80</v>
      </c>
      <c r="C87" s="14" t="s">
        <v>918</v>
      </c>
      <c r="D87" s="13"/>
      <c r="E87" s="15" t="str">
        <f>IFERROR(VLOOKUP(C87,기출문제!D:G,3,0),"")</f>
        <v>115. 재무상태표의 자산 항목에 해당하지 않는 것은?
① 미수금 
② 단기대여금 
③ 선급금 
④ 이익준비금 
⑤ 선급비용</v>
      </c>
      <c r="F87" s="31">
        <f>IFERROR(VLOOKUP(C87,기출문제!D:G,4,0),"")</f>
        <v>4</v>
      </c>
      <c r="G87" s="32" t="str">
        <f t="shared" si="1"/>
        <v/>
      </c>
    </row>
    <row r="88" spans="2:7" ht="85.5" x14ac:dyDescent="0.3">
      <c r="B88" s="13">
        <v>81</v>
      </c>
      <c r="C88" s="14" t="s">
        <v>919</v>
      </c>
      <c r="D88" s="13"/>
      <c r="E88" s="15" t="str">
        <f>IFERROR(VLOOKUP(C88,기출문제!D:G,3,0),"")</f>
        <v>116. 투자안의 경제성 평가 방법에 관한 설명으로 옳은 것은?
① 회계적이익률법의 회계적이익률은 연평균 영업이익을 연평균 매출액으로 나누어 산출한다.
② 회수기간법은 회수기간 이후의 현금흐름을 고려한다.
③ 순현재가치법은 재투자수익률을 내부수익률로 가정한다.
④ 내부수익률법에서 개별투자안의 경우 내부수익률이 0보다 크면 경제성이 있다.
⑤ 수익성지수법에서 개별투자안의 경우 수익성 지수가 1보다 크면 경제성이 있다.</v>
      </c>
      <c r="F88" s="31">
        <f>IFERROR(VLOOKUP(C88,기출문제!D:G,4,0),"")</f>
        <v>5</v>
      </c>
      <c r="G88" s="32" t="str">
        <f t="shared" si="1"/>
        <v/>
      </c>
    </row>
    <row r="89" spans="2:7" ht="99.75" x14ac:dyDescent="0.3">
      <c r="B89" s="13">
        <v>82</v>
      </c>
      <c r="C89" s="14" t="s">
        <v>920</v>
      </c>
      <c r="D89" s="13"/>
      <c r="E89" s="15" t="str">
        <f>IFERROR(VLOOKUP(C89,기출문제!D:G,3,0),"")</f>
        <v>117. A주식에 대한 분산은 0.06이고, B주식에 대한 분산은 0.08이다. A주식의 수익률과 B주식의 수익률간의 상관계수가 0인 경우, 총 투자자금 중 A주식과 B주식에 절반씩 투자한 포트폴리오의 분산은?
① 0.025 
② 0.035 
③ 0.045 
④ 0.055 
⑤ 0.065</v>
      </c>
      <c r="F89" s="31">
        <f>IFERROR(VLOOKUP(C89,기출문제!D:G,4,0),"")</f>
        <v>2</v>
      </c>
      <c r="G89" s="32" t="str">
        <f t="shared" si="1"/>
        <v/>
      </c>
    </row>
    <row r="90" spans="2:7" ht="85.5" x14ac:dyDescent="0.3">
      <c r="B90" s="13">
        <v>83</v>
      </c>
      <c r="C90" s="14" t="s">
        <v>921</v>
      </c>
      <c r="D90" s="13"/>
      <c r="E90" s="15" t="str">
        <f>IFERROR(VLOOKUP(C90,기출문제!D:G,3,0),"")</f>
        <v>118. 경제적 주문량(EOQ)에 관한 설명으로 옳지 않은 것은?
① 연간 재고유지비용과 연간 주문비용의 합이 최소화되는 주문량을 결정하는 것이다.
② 연간 재고유지비용과 연간 주문비용이 같아지는 지점에서 결정된다.
③ 연간 주문비용이 감소하면 경제적 주문량이 감소한다.
④ 연간 재고유지비용이 감소하면 경제적 주문량이 감소한다.
⑤ 연간 수요량이 증가하면 경제적 주문량이 증가한다.</v>
      </c>
      <c r="F90" s="31">
        <f>IFERROR(VLOOKUP(C90,기출문제!D:G,4,0),"")</f>
        <v>4</v>
      </c>
      <c r="G90" s="32" t="str">
        <f t="shared" si="1"/>
        <v/>
      </c>
    </row>
    <row r="91" spans="2:7" ht="85.5" x14ac:dyDescent="0.3">
      <c r="B91" s="13">
        <v>84</v>
      </c>
      <c r="C91" s="14" t="s">
        <v>922</v>
      </c>
      <c r="D91" s="13"/>
      <c r="E91" s="15" t="str">
        <f>IFERROR(VLOOKUP(C91,기출문제!D:G,3,0),"")</f>
        <v>119. 생산 프로세스에서 낭비를 제거하여 부가가치를 극대화하기 위한 것은?
① 린(lean) 생산 
② 자재소요계획(MRP)
③ 장인생산(craft production) 
④ 대량고객화(mass customization)
⑤ 오프쇼오링(off - shoring)</v>
      </c>
      <c r="F91" s="31">
        <f>IFERROR(VLOOKUP(C91,기출문제!D:G,4,0),"")</f>
        <v>1</v>
      </c>
      <c r="G91" s="32" t="str">
        <f t="shared" si="1"/>
        <v/>
      </c>
    </row>
    <row r="92" spans="2:7" ht="156.75" x14ac:dyDescent="0.3">
      <c r="B92" s="13">
        <v>85</v>
      </c>
      <c r="C92" s="14" t="s">
        <v>923</v>
      </c>
      <c r="D92" s="13"/>
      <c r="E92" s="15" t="str">
        <f>IFERROR(VLOOKUP(C92,기출문제!D:G,3,0),"")</f>
        <v>120. (주)한국의 4개월간 제품 실제 수요량과 예측치가 다음과 같다고 할 때, 평균절대오차(MAD)는?
월(t) 실제 수요량(  ) 예측치(  )
1월   200개             225개
2월   240개             220개
3월   300개             285개
4월   270개             290개
① 2.5 
② 10 
③ 20 
④ 412.5 
⑤ 1650</v>
      </c>
      <c r="F92" s="31">
        <f>IFERROR(VLOOKUP(C92,기출문제!D:G,4,0),"")</f>
        <v>3</v>
      </c>
      <c r="G92" s="32" t="str">
        <f t="shared" si="1"/>
        <v/>
      </c>
    </row>
    <row r="93" spans="2:7" ht="85.5" x14ac:dyDescent="0.3">
      <c r="B93" s="13">
        <v>86</v>
      </c>
      <c r="C93" s="14" t="s">
        <v>924</v>
      </c>
      <c r="D93" s="13"/>
      <c r="E93" s="15" t="str">
        <f>IFERROR(VLOOKUP(C93,기출문제!D:G,3,0),"")</f>
        <v>121. 서비스 품질평가에 사용되는 SERVQUAL 모형의 서비스 차원이 아닌 것은?
① 유형성(tangibles) 
② 신뢰성(reliability) 
③ 반응성(responsiveness)
④ 공감성(empathy) 
⑤ 소멸성(perishability)</v>
      </c>
      <c r="F93" s="31">
        <f>IFERROR(VLOOKUP(C93,기출문제!D:G,4,0),"")</f>
        <v>5</v>
      </c>
      <c r="G93" s="32" t="str">
        <f t="shared" si="1"/>
        <v/>
      </c>
    </row>
    <row r="94" spans="2:7" ht="142.5" x14ac:dyDescent="0.3">
      <c r="B94" s="13">
        <v>87</v>
      </c>
      <c r="C94" s="14" t="s">
        <v>925</v>
      </c>
      <c r="D94" s="13"/>
      <c r="E94" s="15" t="str">
        <f>IFERROR(VLOOKUP(C94,기출문제!D:G,3,0),"")</f>
        <v>122. 다음의 주어진 자료를 이용하여 산출한 기말자본액은?
&lt;자료&gt;
기초자산 : 380,000원, 기초부채 : 180,000원
당기 중 유상증자 : 80,000원, 당기 중 현금배당 : 40,000원
당기순이익 : 100,000원
① 260,000원 
② 300,000원 
③ 340,000원 
④ 380,000원 
⑤ 420,000원</v>
      </c>
      <c r="F94" s="31">
        <f>IFERROR(VLOOKUP(C94,기출문제!D:G,4,0),"")</f>
        <v>3</v>
      </c>
      <c r="G94" s="32" t="str">
        <f t="shared" si="1"/>
        <v/>
      </c>
    </row>
    <row r="95" spans="2:7" ht="85.5" x14ac:dyDescent="0.3">
      <c r="B95" s="13">
        <v>88</v>
      </c>
      <c r="C95" s="14" t="s">
        <v>926</v>
      </c>
      <c r="D95" s="13"/>
      <c r="E95" s="15" t="str">
        <f>IFERROR(VLOOKUP(C95,기출문제!D:G,3,0),"")</f>
        <v>123. 회계거래 분개에 관한 설명으로 옳은 것은?
① 매입채무의 증가는 차변에 기록한다. 
② 장기대여금의 증가는 대변에 기록한다.
③ 자본금의 감소는 차변에 기록한다. 
④ 임대료 수익의 발생은 차변에 기록한다.
⑤ 급여의 지급은 대변에 기록한다.</v>
      </c>
      <c r="F95" s="31">
        <f>IFERROR(VLOOKUP(C95,기출문제!D:G,4,0),"")</f>
        <v>3</v>
      </c>
      <c r="G95" s="32" t="str">
        <f t="shared" si="1"/>
        <v/>
      </c>
    </row>
    <row r="96" spans="2:7" ht="85.5" x14ac:dyDescent="0.3">
      <c r="B96" s="13">
        <v>89</v>
      </c>
      <c r="C96" s="14" t="s">
        <v>927</v>
      </c>
      <c r="D96" s="13"/>
      <c r="E96" s="15" t="str">
        <f>IFERROR(VLOOKUP(C96,기출문제!D:G,3,0),"")</f>
        <v>124. 컴퓨터, 저장장치, 애플리케이션, 서비스 등과 같은 컴퓨팅 자원의 공유된 풀(pool)을 인터넷으로 접근할 수 있게 해주는 것은?
① 클라이언트/서버 컴퓨팅(client/server computing)
② 엔터프라이즈 컴퓨팅(enterprise computing)
③ 온프레미스 컴퓨팅(on - premise computing)
④ 그린 컴퓨팅(green computing)
⑤ 클라우드 컴퓨팅(cloud computing)</v>
      </c>
      <c r="F96" s="31">
        <f>IFERROR(VLOOKUP(C96,기출문제!D:G,4,0),"")</f>
        <v>5</v>
      </c>
      <c r="G96" s="32" t="str">
        <f t="shared" si="1"/>
        <v/>
      </c>
    </row>
    <row r="97" spans="2:7" ht="85.5" x14ac:dyDescent="0.3">
      <c r="B97" s="13">
        <v>90</v>
      </c>
      <c r="C97" s="14" t="s">
        <v>928</v>
      </c>
      <c r="D97" s="13"/>
      <c r="E97" s="15" t="str">
        <f>IFERROR(VLOOKUP(C97,기출문제!D:G,3,0),"")</f>
        <v>125. 특정기업의 이메일로 위장한 메일을 불특정 다수에게 발송하여 권한 없이 데이터를 획득하는 방식은?
① 파밍(pharming)
② 스니핑(sniffing)
③ 피싱(phishing)
④ 서비스 거부 공격(denial - of - service attack)
⑤ 웜(worm)</v>
      </c>
      <c r="F97" s="31">
        <f>IFERROR(VLOOKUP(C97,기출문제!D:G,4,0),"")</f>
        <v>3</v>
      </c>
      <c r="G97" s="32" t="str">
        <f t="shared" si="1"/>
        <v/>
      </c>
    </row>
    <row r="98" spans="2:7" ht="85.5" x14ac:dyDescent="0.3">
      <c r="B98" s="13">
        <v>91</v>
      </c>
      <c r="C98" s="14" t="s">
        <v>50</v>
      </c>
      <c r="D98" s="13"/>
      <c r="E98" s="15" t="str">
        <f>IFERROR(VLOOKUP(C98,기출문제!D:G,3,0),"")</f>
        <v>101. 페이욜(H. Fayol)의 일반적 관리원칙에 해당하지 않는 것은?
① 지휘의 통일성
② 직무의 분업화
③ 보상의 공정성
④ 조직의 분권화
⑤ 권한과 책임의 일치</v>
      </c>
      <c r="F98" s="31">
        <f>IFERROR(VLOOKUP(C98,기출문제!D:G,4,0),"")</f>
        <v>4</v>
      </c>
      <c r="G98" s="32" t="str">
        <f t="shared" si="1"/>
        <v/>
      </c>
    </row>
    <row r="99" spans="2:7" ht="128.25" x14ac:dyDescent="0.3">
      <c r="B99" s="13">
        <v>92</v>
      </c>
      <c r="C99" s="14" t="s">
        <v>929</v>
      </c>
      <c r="D99" s="13"/>
      <c r="E99" s="15" t="str">
        <f>IFERROR(VLOOKUP(C99,기출문제!D:G,3,0),"")</f>
        <v>102. 다음의 특성에 해당되는 기업집중 형태는?
○ 주식 소유, 금융적 방법 등에 의한 결합
○ 외형상으로 독립성이 유지되지만 실질적으로는 종속관계
○ 모회사와 자회사 형태로 존재
① 카르텔(cartel)
② 콤비나트(combinat)
③ 트러스트(trust)
④ 콘체른(concern)
⑤ 디베스티처(divestiture)</v>
      </c>
      <c r="F99" s="31">
        <f>IFERROR(VLOOKUP(C99,기출문제!D:G,4,0),"")</f>
        <v>4</v>
      </c>
      <c r="G99" s="32" t="str">
        <f t="shared" si="1"/>
        <v/>
      </c>
    </row>
    <row r="100" spans="2:7" ht="85.5" x14ac:dyDescent="0.3">
      <c r="B100" s="13">
        <v>93</v>
      </c>
      <c r="C100" s="14" t="s">
        <v>930</v>
      </c>
      <c r="D100" s="13"/>
      <c r="E100" s="15" t="str">
        <f>IFERROR(VLOOKUP(C100,기출문제!D:G,3,0),"")</f>
        <v>103. 캐롤(B. A. Carrol)의 피라미드 모형에서 제시된 기업의 사회적 책임의 단계로 옳은 것은?
① 경제적 책임 → 법적 책임 → 윤리적 책임 → 자선적 책임
② 경제적 책임 → 윤리적 책임 → 법적 책임 → 자선적 책임
③ 경제적 책임 → 자선적 책임 → 윤리적 책임 → 법적 책임
④ 경제적 책임 → 법적 책임 → 자선적 책임 → 윤리적 책임
⑤ 경제적 책임 → 윤리적 책임 → 자선적 책임 → 법적 책임</v>
      </c>
      <c r="F100" s="31">
        <f>IFERROR(VLOOKUP(C100,기출문제!D:G,4,0),"")</f>
        <v>1</v>
      </c>
      <c r="G100" s="32" t="str">
        <f t="shared" si="1"/>
        <v/>
      </c>
    </row>
    <row r="101" spans="2:7" ht="85.5" x14ac:dyDescent="0.3">
      <c r="B101" s="13">
        <v>94</v>
      </c>
      <c r="C101" s="14" t="s">
        <v>931</v>
      </c>
      <c r="D101" s="13"/>
      <c r="E101" s="15" t="str">
        <f>IFERROR(VLOOKUP(C101,기출문제!D:G,3,0),"")</f>
        <v>104. GE/ 맥킨지 매트릭스(GE/McKinsey matrix)에서 전략적 사업부를 분류하기 위한 두 기준은? 
① 산업매력도 - 사업단위 위치(경쟁력)
② 시장성장률 - 시장점유율
③ 산업매력도 - 시장성장률
④ 사업단위 위치(경쟁력) - 시장점유율
⑤ 시장점유율 - 가격경쟁력</v>
      </c>
      <c r="F101" s="31">
        <f>IFERROR(VLOOKUP(C101,기출문제!D:G,4,0),"")</f>
        <v>1</v>
      </c>
      <c r="G101" s="32" t="str">
        <f t="shared" si="1"/>
        <v/>
      </c>
    </row>
    <row r="102" spans="2:7" ht="85.5" x14ac:dyDescent="0.3">
      <c r="B102" s="13">
        <v>95</v>
      </c>
      <c r="C102" s="14" t="s">
        <v>932</v>
      </c>
      <c r="D102" s="13"/>
      <c r="E102" s="15" t="str">
        <f>IFERROR(VLOOKUP(C102,기출문제!D:G,3,0),"")</f>
        <v>105. 허츠버그(F. Herzberg)의 2요인이론에서 위생요인에 해당하는 것은? 
① 성취감
② 도전감
③ 임금
④ 성장가능성
⑤ 직무내용</v>
      </c>
      <c r="F102" s="31">
        <f>IFERROR(VLOOKUP(C102,기출문제!D:G,4,0),"")</f>
        <v>3</v>
      </c>
      <c r="G102" s="32" t="str">
        <f t="shared" si="1"/>
        <v/>
      </c>
    </row>
    <row r="103" spans="2:7" ht="85.5" x14ac:dyDescent="0.3">
      <c r="B103" s="13">
        <v>96</v>
      </c>
      <c r="C103" s="14" t="s">
        <v>933</v>
      </c>
      <c r="D103" s="13"/>
      <c r="E103" s="15" t="str">
        <f>IFERROR(VLOOKUP(C103,기출문제!D:G,3,0),"")</f>
        <v>106. 전통적 직무설계와 관련 없는 것은?
① 분업
② 과학적 관리
③ 전문화
④ 표준화
⑤ 직무순환</v>
      </c>
      <c r="F103" s="31">
        <f>IFERROR(VLOOKUP(C103,기출문제!D:G,4,0),"")</f>
        <v>5</v>
      </c>
      <c r="G103" s="32" t="str">
        <f t="shared" si="1"/>
        <v/>
      </c>
    </row>
    <row r="104" spans="2:7" ht="85.5" x14ac:dyDescent="0.3">
      <c r="B104" s="13">
        <v>97</v>
      </c>
      <c r="C104" s="14" t="s">
        <v>934</v>
      </c>
      <c r="D104" s="13"/>
      <c r="E104" s="15" t="str">
        <f>IFERROR(VLOOKUP(C104,기출문제!D:G,3,0),"")</f>
        <v>107. 인사평가의 분배적 오류에 해당하는 것은?
① 후광효과
② 상동적 태도
③ 관대화 경향
④ 대비오류
⑤ 확증편향</v>
      </c>
      <c r="F104" s="31">
        <f>IFERROR(VLOOKUP(C104,기출문제!D:G,4,0),"")</f>
        <v>3</v>
      </c>
      <c r="G104" s="32" t="str">
        <f t="shared" si="1"/>
        <v/>
      </c>
    </row>
    <row r="105" spans="2:7" ht="99.75" x14ac:dyDescent="0.3">
      <c r="B105" s="13">
        <v>98</v>
      </c>
      <c r="C105" s="14" t="s">
        <v>935</v>
      </c>
      <c r="D105" s="13"/>
      <c r="E105" s="15" t="str">
        <f>IFERROR(VLOOKUP(C105,기출문제!D:G,3,0),"")</f>
        <v>108. 교육참가자들이 소규모 집단을 구성하여 팀워크로 경영상의 실제 문제를 해결하도록 하여 문제해결과정에 대한 성찰을 통해 학습하게 하는 교육방식은?
① Team Learning
② Organizational Learning
③ Problem Based Learning
④ Blended Learning
⑤ Action Learning</v>
      </c>
      <c r="F105" s="31">
        <f>IFERROR(VLOOKUP(C105,기출문제!D:G,4,0),"")</f>
        <v>5</v>
      </c>
      <c r="G105" s="32" t="str">
        <f t="shared" si="1"/>
        <v/>
      </c>
    </row>
    <row r="106" spans="2:7" ht="85.5" x14ac:dyDescent="0.3">
      <c r="B106" s="13">
        <v>99</v>
      </c>
      <c r="C106" s="14" t="s">
        <v>936</v>
      </c>
      <c r="D106" s="13"/>
      <c r="E106" s="15" t="str">
        <f>IFERROR(VLOOKUP(C106,기출문제!D:G,3,0),"")</f>
        <v>109. 마키아벨리즘(Machiavellism)에 관한 설명으로 옳지 않은 것은?
① 마키아벨리즘은 자신의 이익을 위해 타인을 이용하고 조작하려는 성향이다.
② 마키아벨리즘이 높은 사람은 감정적 거리를 잘 유지한다.
③ 마키아벨리즘이 높은 사람은 남을 잘 설득하며 자신도 잘 설득된다.
④ 마키아벨리즘이 높은 사람은 최소한의 규정과 재량권이 있을 때 높은 성과를 보이는 경향이 있다.
⑤ 마키아벨리즘이 높은 사람은 목적이 수단을 정당화시킬 수 있다고 믿는 경향이 있다.</v>
      </c>
      <c r="F106" s="31">
        <f>IFERROR(VLOOKUP(C106,기출문제!D:G,4,0),"")</f>
        <v>3</v>
      </c>
      <c r="G106" s="32" t="str">
        <f t="shared" si="1"/>
        <v/>
      </c>
    </row>
    <row r="107" spans="2:7" ht="156.75" x14ac:dyDescent="0.3">
      <c r="B107" s="13">
        <v>100</v>
      </c>
      <c r="C107" s="14" t="s">
        <v>937</v>
      </c>
      <c r="D107" s="13"/>
      <c r="E107" s="15" t="str">
        <f>IFERROR(VLOOKUP(C107,기출문제!D:G,3,0),"")</f>
        <v>110. 조직으로부터 나오는 권력을 모두 고른 것은?
ㄱ. 보상적 권력
ㄴ. 전문적 권력
ㄷ. 합법적 권력
ㄹ. 준거적 권력
ㅁ. 강제적 권력
① ㄱ, ㄴ, ㄷ
② ㄱ, ㄴ, ㄹ
③ ㄱ, ㄷ, ㅁ
④ ㄴ, ㄹ, ㅁ
⑤ ㄷ, ㄹ, ㅁ</v>
      </c>
      <c r="F107" s="31">
        <f>IFERROR(VLOOKUP(C107,기출문제!D:G,4,0),"")</f>
        <v>3</v>
      </c>
      <c r="G107" s="32" t="str">
        <f t="shared" si="1"/>
        <v/>
      </c>
    </row>
    <row r="108" spans="2:7" ht="85.5" x14ac:dyDescent="0.3">
      <c r="B108" s="13">
        <v>101</v>
      </c>
      <c r="C108" s="14" t="s">
        <v>938</v>
      </c>
      <c r="D108" s="13"/>
      <c r="E108" s="15" t="str">
        <f>IFERROR(VLOOKUP(C108,기출문제!D:G,3,0),"")</f>
        <v>111. 직무특성모형(Job Characteristics Model)의 핵심직무차원에 포함되지 않는 것은?
① 성장욕구 강도(Growth Need Strength)
② 과업정체성(Task Identity)
③ 과업중요성(Task Significance)
④ 자율성(Autonomy)
⑤ 피드백(Feedback)</v>
      </c>
      <c r="F108" s="31">
        <f>IFERROR(VLOOKUP(C108,기출문제!D:G,4,0),"")</f>
        <v>1</v>
      </c>
      <c r="G108" s="32" t="str">
        <f t="shared" si="1"/>
        <v/>
      </c>
    </row>
    <row r="109" spans="2:7" ht="128.25" x14ac:dyDescent="0.3">
      <c r="B109" s="13">
        <v>102</v>
      </c>
      <c r="C109" s="14" t="s">
        <v>939</v>
      </c>
      <c r="D109" s="13"/>
      <c r="E109" s="15" t="str">
        <f>IFERROR(VLOOKUP(C109,기출문제!D:G,3,0),"")</f>
        <v>112. 다음 설명에 해당하는 의사결정기법은?
○ 자유롭게 아이디어를 제시할 수 있다.
○ 타인이 제시한 아이디어에 대해 비판은 금지된다.
○ 아이디어의 질보다 양을 강조한다.
① 브레인스토밍(Brainstorming)
② 명목집단법(Nominal Group Technique)
③ 델파이법(Delphi Technique)
④ 지명반론자법(Devil's Advocacy)
⑤ 프리모텀법(Premortem)</v>
      </c>
      <c r="F109" s="31">
        <f>IFERROR(VLOOKUP(C109,기출문제!D:G,4,0),"")</f>
        <v>1</v>
      </c>
      <c r="G109" s="32" t="str">
        <f t="shared" si="1"/>
        <v/>
      </c>
    </row>
    <row r="110" spans="2:7" ht="85.5" x14ac:dyDescent="0.3">
      <c r="B110" s="13">
        <v>103</v>
      </c>
      <c r="C110" s="14" t="s">
        <v>940</v>
      </c>
      <c r="D110" s="13"/>
      <c r="E110" s="15" t="str">
        <f>IFERROR(VLOOKUP(C110,기출문제!D:G,3,0),"")</f>
        <v>113. 선매품(Shopping Goods)에 관한 설명으로 옳은 것은? 
① 소비자가 필요하다고 느낄 때 수시로 구매하는 경향을 보인다.
② 소비자는 가격, 품질, 스타일 등 다양한 정보를 수집하여 신중하게 비교하는 경향을 보인다.
③ 소비자는 잘 알지 못하거나 알고 있어도 능동적으로 구매하려 하지 않는다.
④ 일상생활에서 빈번히 구매하는 저관여 제품들이 많다.
⑤ 독특한 특징을 지니거나 브랜드 차별성을 지니는 제품들이 많다.</v>
      </c>
      <c r="F110" s="31">
        <f>IFERROR(VLOOKUP(C110,기출문제!D:G,4,0),"")</f>
        <v>2</v>
      </c>
      <c r="G110" s="32" t="str">
        <f t="shared" si="1"/>
        <v/>
      </c>
    </row>
    <row r="111" spans="2:7" ht="142.5" x14ac:dyDescent="0.3">
      <c r="B111" s="13">
        <v>104</v>
      </c>
      <c r="C111" s="14" t="s">
        <v>941</v>
      </c>
      <c r="D111" s="13"/>
      <c r="E111" s="15" t="str">
        <f>IFERROR(VLOOKUP(C111,기출문제!D:G,3,0),"")</f>
        <v>114. 브랜드(Brand) 요소를 모두 고른 것은?
ㄱ. 징글(Jingle)
ㄴ. 케릭터(Character)
ㄷ. 슬로건(Slogan)
ㄹ. 심볼(Symbol)
① ㄱ, ㄴ
② ㄷ, ㄹ
③ ㄱ, ㄴ, ㄷ
④ ㄴ, ㄷ, ㄹ
⑤ ㄱ, ㄴ, ㄷ, ㄹ</v>
      </c>
      <c r="F111" s="31">
        <f>IFERROR(VLOOKUP(C111,기출문제!D:G,4,0),"")</f>
        <v>5</v>
      </c>
      <c r="G111" s="32" t="str">
        <f t="shared" si="1"/>
        <v/>
      </c>
    </row>
    <row r="112" spans="2:7" ht="85.5" x14ac:dyDescent="0.3">
      <c r="B112" s="13">
        <v>105</v>
      </c>
      <c r="C112" s="14" t="s">
        <v>942</v>
      </c>
      <c r="D112" s="13"/>
      <c r="E112" s="15" t="str">
        <f>IFERROR(VLOOKUP(C112,기출문제!D:G,3,0),"")</f>
        <v>115. 서비스의 특성으로 옳지 않은 것은? 
① 무형성
② 비분리성
③ 반응성
④ 소멸성
⑤ 변동성(이질성)</v>
      </c>
      <c r="F112" s="31">
        <f>IFERROR(VLOOKUP(C112,기출문제!D:G,4,0),"")</f>
        <v>3</v>
      </c>
      <c r="G112" s="32" t="str">
        <f t="shared" si="1"/>
        <v/>
      </c>
    </row>
    <row r="113" spans="2:7" ht="156.75" x14ac:dyDescent="0.3">
      <c r="B113" s="13">
        <v>106</v>
      </c>
      <c r="C113" s="14" t="s">
        <v>943</v>
      </c>
      <c r="D113" s="13"/>
      <c r="E113" s="15" t="str">
        <f>IFERROR(VLOOKUP(C113,기출문제!D:G,3,0),"")</f>
        <v>116. 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
① A, B, C
② A, C, B
③ B, A, C
④ C, A, B
⑤ C, B, A</v>
      </c>
      <c r="F113" s="31">
        <f>IFERROR(VLOOKUP(C113,기출문제!D:G,4,0),"")</f>
        <v>2</v>
      </c>
      <c r="G113" s="32" t="str">
        <f t="shared" si="1"/>
        <v/>
      </c>
    </row>
    <row r="114" spans="2:7" ht="85.5" x14ac:dyDescent="0.3">
      <c r="B114" s="13">
        <v>107</v>
      </c>
      <c r="C114" s="14" t="s">
        <v>944</v>
      </c>
      <c r="D114" s="13"/>
      <c r="E114" s="15" t="str">
        <f>IFERROR(VLOOKUP(C114,기출문제!D:G,3,0),"")</f>
        <v>117. 증권시장선(SML)과 자본시장선(CML)에 관한 설명으로 옳지 않은 것은?
① 증권시장선의 기울기는 표준편차로 측정된 위험 1단위에 대한 균형가격을 의미한다.
② 증권시장선 아래에 위치한 자산은 과대평가된 자산이다.
③ 자본시장선은 효율적 자산의 기대수익률과 표준편차의 선형관계를 나타낸다.
④ 자본시장선에 위치한 위험자산은 무위험자산과 시장포트폴리오의 결합으로 구성된 자산이다.
⑤ 자본시장선에 위치한 위험자산과 시장포트폴리오의 상관계수는 1이다.</v>
      </c>
      <c r="F114" s="31">
        <f>IFERROR(VLOOKUP(C114,기출문제!D:G,4,0),"")</f>
        <v>1</v>
      </c>
      <c r="G114" s="32" t="str">
        <f t="shared" si="1"/>
        <v/>
      </c>
    </row>
    <row r="115" spans="2:7" ht="99.75" x14ac:dyDescent="0.3">
      <c r="B115" s="13">
        <v>108</v>
      </c>
      <c r="C115" s="14" t="s">
        <v>945</v>
      </c>
      <c r="D115" s="13"/>
      <c r="E115" s="15" t="str">
        <f>IFERROR(VLOOKUP(C115,기출문제!D:G,3,0),"")</f>
        <v>118. 올해 말(t=1)에 예상되는 A사 보통주의 주당 배당금은 1,000원이며, 이후 배당금은 매년 10%씩 영구히 증가할 것으로 기대된다. 현재(t=0) A사 보통주의 주가(내재가치)가 10,000원이라고 할 경우 이 주식의 자본비용은?
① 10%
② 15%
③ 20%
④ 25%
⑤ 30%</v>
      </c>
      <c r="F115" s="31">
        <f>IFERROR(VLOOKUP(C115,기출문제!D:G,4,0),"")</f>
        <v>3</v>
      </c>
      <c r="G115" s="32" t="str">
        <f t="shared" si="1"/>
        <v/>
      </c>
    </row>
    <row r="116" spans="2:7" ht="99.75" x14ac:dyDescent="0.3">
      <c r="B116" s="13">
        <v>109</v>
      </c>
      <c r="C116" s="14" t="s">
        <v>946</v>
      </c>
      <c r="D116" s="13"/>
      <c r="E116" s="15" t="str">
        <f>IFERROR(VLOOKUP(C116,기출문제!D:G,3,0),"")</f>
        <v>119. 주식 A와 B의 기대수익률은 각각 10%, 20%이다, 총 투자자금 중 40%를 주식 A에, 60%를 주식 B에 투자하여 구성한 포트폴리오 P의 기대수익률은?
① 15%
② 16%
③ 17%
④ 18%
⑤ 19%</v>
      </c>
      <c r="F116" s="31">
        <f>IFERROR(VLOOKUP(C116,기출문제!D:G,4,0),"")</f>
        <v>2</v>
      </c>
      <c r="G116" s="32" t="str">
        <f t="shared" si="1"/>
        <v/>
      </c>
    </row>
    <row r="117" spans="2:7" ht="85.5" x14ac:dyDescent="0.3">
      <c r="B117" s="13">
        <v>110</v>
      </c>
      <c r="C117" s="14" t="s">
        <v>947</v>
      </c>
      <c r="D117" s="13"/>
      <c r="E117" s="15" t="str">
        <f>IFERROR(VLOOKUP(C117,기출문제!D:G,3,0),"")</f>
        <v>120. 식스시그마의 성공적 수행을 위한 5단계 활동으로 옳은 순서는?
① 계획 → 분석 → 측정 → 개선 → 평가
② 계획 → 분석 → 측정 → 평가 → 개선
③ 계획 → 측정 → 평가 → 통제 → 개선
④ 정의 → 측정 → 분석 → 개선 → 통제
⑤ 정의 → 측정 → 평가 → 통제 → 개선</v>
      </c>
      <c r="F117" s="31">
        <f>IFERROR(VLOOKUP(C117,기출문제!D:G,4,0),"")</f>
        <v>4</v>
      </c>
      <c r="G117" s="32" t="str">
        <f t="shared" si="1"/>
        <v/>
      </c>
    </row>
    <row r="118" spans="2:7" ht="99.75" x14ac:dyDescent="0.3">
      <c r="B118" s="13">
        <v>111</v>
      </c>
      <c r="C118" s="14" t="s">
        <v>948</v>
      </c>
      <c r="D118" s="13"/>
      <c r="E118" s="15" t="str">
        <f>IFERROR(VLOOKUP(C118,기출문제!D:G,3,0),"")</f>
        <v>121. 공급자에서 기업 내 변환과정과 유통망을 거쳐 최종 고객에 이르기까지 자재, 제품, 서비스 및 정보의 흐름을 전체 시스템 관점에서 설계하고 관리하는 것은?
① EOQ
② MRP
③ TQM
④ SCM
⑤ FMS</v>
      </c>
      <c r="F118" s="31">
        <f>IFERROR(VLOOKUP(C118,기출문제!D:G,4,0),"")</f>
        <v>4</v>
      </c>
      <c r="G118" s="32" t="str">
        <f t="shared" si="1"/>
        <v/>
      </c>
    </row>
    <row r="119" spans="2:7" ht="85.5" x14ac:dyDescent="0.3">
      <c r="B119" s="13">
        <v>112</v>
      </c>
      <c r="C119" s="14" t="s">
        <v>949</v>
      </c>
      <c r="D119" s="13"/>
      <c r="E119" s="15" t="str">
        <f>IFERROR(VLOOKUP(C119,기출문제!D:G,3,0),"")</f>
        <v>122. 공장을 신축하고자 1억원의 토지를 현금으로 취득한 거래가 재무제표 요소에 미치는 영향은?
① 자본의 감소, 자산의 감소
② 자산의 증가, 자산의 감소
③ 자산의 증가, 자본의 증가
④ 자산의 증가, 부채의 증가
⑤ 비용의 증가, 자산의 감소</v>
      </c>
      <c r="F119" s="31">
        <f>IFERROR(VLOOKUP(C119,기출문제!D:G,4,0),"")</f>
        <v>2</v>
      </c>
      <c r="G119" s="32" t="str">
        <f t="shared" si="1"/>
        <v/>
      </c>
    </row>
    <row r="120" spans="2:7" ht="142.5" x14ac:dyDescent="0.3">
      <c r="B120" s="13">
        <v>113</v>
      </c>
      <c r="C120" s="14" t="s">
        <v>950</v>
      </c>
      <c r="D120" s="13"/>
      <c r="E120" s="15" t="str">
        <f>IFERROR(VLOOKUP(C120,기출문제!D:G,3,0),"")</f>
        <v>123. 유형자산에 해당하는 항목을 모두 고른 것은?
ㄱ. 특허권
ㄴ. 건물
ㄷ. 비품
ㄹ. 라이선스
① ㄱ, ㄴ
② ㄴ, ㄷ
③ ㄱ, ㄴ, ㄷ
④ ㄴ, ㄷ, ㄹ
⑤ ㄱ, ㄴ, ㄷ, ㄹ</v>
      </c>
      <c r="F120" s="31">
        <f>IFERROR(VLOOKUP(C120,기출문제!D:G,4,0),"")</f>
        <v>2</v>
      </c>
      <c r="G120" s="32" t="str">
        <f t="shared" si="1"/>
        <v/>
      </c>
    </row>
    <row r="121" spans="2:7" ht="85.5" x14ac:dyDescent="0.3">
      <c r="B121" s="13">
        <v>114</v>
      </c>
      <c r="C121" s="14" t="s">
        <v>951</v>
      </c>
      <c r="D121" s="13"/>
      <c r="E121" s="15" t="str">
        <f>IFERROR(VLOOKUP(C121,기출문제!D:G,3,0),"")</f>
        <v>124. 재무상태표의 부채에 해당하지 않는 것은?
① 매입채무
② 선급비용
③ 선수금
④ 사채
⑤ 예수금</v>
      </c>
      <c r="F121" s="31">
        <f>IFERROR(VLOOKUP(C121,기출문제!D:G,4,0),"")</f>
        <v>2</v>
      </c>
      <c r="G121" s="32" t="str">
        <f t="shared" si="1"/>
        <v/>
      </c>
    </row>
    <row r="122" spans="2:7" ht="85.5" x14ac:dyDescent="0.3">
      <c r="B122" s="13">
        <v>115</v>
      </c>
      <c r="C122" s="14" t="s">
        <v>952</v>
      </c>
      <c r="D122" s="13"/>
      <c r="E122" s="15" t="str">
        <f>IFERROR(VLOOKUP(C122,기출문제!D:G,3,0),"")</f>
        <v>125. 급여계산, 고객주문처리, 재고관리 등 일상적이고 반복적인 과업을 주로 수행하는 정보시스템은?
① EIS
② DSS
③ ES
④ SIS
⑤ TPS</v>
      </c>
      <c r="F122" s="31">
        <f>IFERROR(VLOOKUP(C122,기출문제!D:G,4,0),"")</f>
        <v>5</v>
      </c>
      <c r="G122" s="32" t="str">
        <f t="shared" si="1"/>
        <v/>
      </c>
    </row>
    <row r="123" spans="2:7" ht="156.75" x14ac:dyDescent="0.3">
      <c r="B123" s="13">
        <v>116</v>
      </c>
      <c r="C123" s="14" t="s">
        <v>96</v>
      </c>
      <c r="D123" s="13"/>
      <c r="E123" s="15" t="str">
        <f>IFERROR(VLOOKUP(C123,기출문제!D:G,3,0),"")</f>
        <v>101. 페로우(C. Perrow)가 제시한 기술 분류 기준으로 옳은 것을 모두 고른 것은?
ㄱ. 기술복잡성
ㄴ. 과업다양성
ㄷ. 상호의존성
ㄹ. 과업정체성
ㅁ. 문제분석 가능성
① ㄱ, ㄴ
② ㄴ, ㄹ
③ ㄴ, ㅁ
④ ㄷ, ㅁ
⑤ ㄱ, ㄷ, ㄹ</v>
      </c>
      <c r="F123" s="31">
        <f>IFERROR(VLOOKUP(C123,기출문제!D:G,4,0),"")</f>
        <v>3</v>
      </c>
      <c r="G123" s="32" t="str">
        <f t="shared" si="1"/>
        <v/>
      </c>
    </row>
    <row r="124" spans="2:7" ht="85.5" x14ac:dyDescent="0.3">
      <c r="B124" s="13">
        <v>117</v>
      </c>
      <c r="C124" s="14" t="s">
        <v>953</v>
      </c>
      <c r="D124" s="13"/>
      <c r="E124" s="15" t="str">
        <f>IFERROR(VLOOKUP(C124,기출문제!D:G,3,0),"")</f>
        <v>102. (주)한국은 정부의 대규모 사업에 참여하면서 다수 기업과 공동출자를 하고자 한다. 이 전략 유형에 해당하는 것은?
① 우회전략(Turnaround Strategy)
② 집중전략(Concentration Strategy)
③ 프랜차이징(Franchsing)
④ 컨소시엄(Consortium)
⑤ 포획전략(Captive Strategy)</v>
      </c>
      <c r="F124" s="31">
        <f>IFERROR(VLOOKUP(C124,기출문제!D:G,4,0),"")</f>
        <v>4</v>
      </c>
      <c r="G124" s="32" t="str">
        <f t="shared" si="1"/>
        <v/>
      </c>
    </row>
    <row r="125" spans="2:7" ht="85.5" x14ac:dyDescent="0.3">
      <c r="B125" s="13">
        <v>118</v>
      </c>
      <c r="C125" s="14" t="s">
        <v>954</v>
      </c>
      <c r="D125" s="13"/>
      <c r="E125" s="15" t="str">
        <f>IFERROR(VLOOKUP(C125,기출문제!D:G,3,0),"")</f>
        <v>103. 매트릭스 조직의 장점에 해당하지 않는 것은?
① 구성원들 간 갈등해결 용이
② 환경 불확실성에 신속한 대응
③ 인적자원의 유연한 활용
④ 제품 다양성 확보
⑤ 구성원들의 역량향상 기회 제공</v>
      </c>
      <c r="F125" s="31">
        <f>IFERROR(VLOOKUP(C125,기출문제!D:G,4,0),"")</f>
        <v>1</v>
      </c>
      <c r="G125" s="32" t="str">
        <f t="shared" si="1"/>
        <v/>
      </c>
    </row>
    <row r="126" spans="2:7" ht="85.5" x14ac:dyDescent="0.3">
      <c r="B126" s="13">
        <v>119</v>
      </c>
      <c r="C126" s="14" t="s">
        <v>955</v>
      </c>
      <c r="D126" s="13"/>
      <c r="E126" s="15" t="str">
        <f>IFERROR(VLOOKUP(C126,기출문제!D:G,3,0),"")</f>
        <v>104. 사용자가 노동조합의 정당한 활동을 방해하는 것은?
① 태업
② 단체교섭
③ 부당노동행위
④ 노동쟁의
⑤ 준법투쟁</v>
      </c>
      <c r="F126" s="31">
        <f>IFERROR(VLOOKUP(C126,기출문제!D:G,4,0),"")</f>
        <v>3</v>
      </c>
      <c r="G126" s="32" t="str">
        <f t="shared" si="1"/>
        <v/>
      </c>
    </row>
    <row r="127" spans="2:7" ht="85.5" x14ac:dyDescent="0.3">
      <c r="B127" s="13">
        <v>120</v>
      </c>
      <c r="C127" s="14" t="s">
        <v>956</v>
      </c>
      <c r="D127" s="13"/>
      <c r="E127" s="15" t="str">
        <f>IFERROR(VLOOKUP(C127,기출문제!D:G,3,0),"")</f>
        <v>105. 하우스(R. House)가 제시한 경로-목표이론의 리더십 유형에 해당하지 않는 것은?
① 권한위임적 리더십
② 지시적 리더십
③ 지원적 리더십
④ 성취지향적 리더십
⑤ 참가적 리더십</v>
      </c>
      <c r="F127" s="31">
        <f>IFERROR(VLOOKUP(C127,기출문제!D:G,4,0),"")</f>
        <v>1</v>
      </c>
      <c r="G127" s="32" t="str">
        <f t="shared" si="1"/>
        <v/>
      </c>
    </row>
    <row r="128" spans="2:7" ht="85.5" x14ac:dyDescent="0.3">
      <c r="B128" s="13">
        <v>121</v>
      </c>
      <c r="C128" s="14" t="s">
        <v>957</v>
      </c>
      <c r="D128" s="13"/>
      <c r="E128" s="15" t="str">
        <f>IFERROR(VLOOKUP(C128,기출문제!D:G,3,0),"")</f>
        <v>106. 구성원들 간 의사소통이 강력한 특정 리더에게 집중되는 유형은?
① 원형
② Y자형
③ 수레바퀴형
④ 사슬형
⑤ 전체연결형</v>
      </c>
      <c r="F128" s="31">
        <f>IFERROR(VLOOKUP(C128,기출문제!D:G,4,0),"")</f>
        <v>3</v>
      </c>
      <c r="G128" s="32" t="str">
        <f t="shared" si="1"/>
        <v/>
      </c>
    </row>
    <row r="129" spans="2:7" ht="85.5" x14ac:dyDescent="0.3">
      <c r="B129" s="13">
        <v>122</v>
      </c>
      <c r="C129" s="14" t="s">
        <v>958</v>
      </c>
      <c r="D129" s="13"/>
      <c r="E129" s="15" t="str">
        <f>IFERROR(VLOOKUP(C129,기출문제!D:G,3,0),"")</f>
        <v>107. 기업의 사회적 책임 중에서 제1의 책임에 해당하는 것은?
① 법적 책임
② 경제적 책임
③ 윤리적 책임
④ 자선적 책임
⑤ 환경적 책임</v>
      </c>
      <c r="F129" s="31">
        <f>IFERROR(VLOOKUP(C129,기출문제!D:G,4,0),"")</f>
        <v>2</v>
      </c>
      <c r="G129" s="32" t="str">
        <f t="shared" si="1"/>
        <v/>
      </c>
    </row>
    <row r="130" spans="2:7" ht="85.5" x14ac:dyDescent="0.3">
      <c r="B130" s="13">
        <v>123</v>
      </c>
      <c r="C130" s="14" t="s">
        <v>959</v>
      </c>
      <c r="D130" s="13"/>
      <c r="E130" s="15" t="str">
        <f>IFERROR(VLOOKUP(C130,기출문제!D:G,3,0),"")</f>
        <v>108. 파스칼(R. Pascale)과 피터스(T. Peters)의 조직문화 7S 중 다른 요소들을 연결시켜 주는 핵심적인 요소는?
① 전략(Strategy)
② 관리기술(Skill)
③ 공유가치(Shared Value)
④ 관리시스템(System)
⑤ 구성원(Staff)</v>
      </c>
      <c r="F130" s="31">
        <f>IFERROR(VLOOKUP(C130,기출문제!D:G,4,0),"")</f>
        <v>3</v>
      </c>
      <c r="G130" s="32" t="str">
        <f t="shared" si="1"/>
        <v/>
      </c>
    </row>
    <row r="131" spans="2:7" ht="85.5" x14ac:dyDescent="0.3">
      <c r="B131" s="13">
        <v>124</v>
      </c>
      <c r="C131" s="14" t="s">
        <v>960</v>
      </c>
      <c r="D131" s="13"/>
      <c r="E131" s="15" t="str">
        <f>IFERROR(VLOOKUP(C131,기출문제!D:G,3,0),"")</f>
        <v>109. 브룸(V. Vroom)이 제시한 기대이론의 작동순서로 올바른 것은?
① 기대감 → 수단성 → 유의성
② 기대감 → 유의성 → 수단성
③ 수단성 → 유의성 → 기대감
④ 유의성 → 수단성 → 기대감
⑤ 유의성 → 기대감 → 수단성</v>
      </c>
      <c r="F131" s="31">
        <f>IFERROR(VLOOKUP(C131,기출문제!D:G,4,0),"")</f>
        <v>1</v>
      </c>
      <c r="G131" s="32" t="str">
        <f t="shared" si="1"/>
        <v/>
      </c>
    </row>
    <row r="132" spans="2:7" ht="85.5" x14ac:dyDescent="0.3">
      <c r="B132" s="13">
        <v>125</v>
      </c>
      <c r="C132" s="14" t="s">
        <v>961</v>
      </c>
      <c r="D132" s="13"/>
      <c r="E132" s="15" t="str">
        <f>IFERROR(VLOOKUP(C132,기출문제!D:G,3,0),"")</f>
        <v>110. MBO에서 목표설정 시 SMART 원칙으로 옳지 않은 것은?
① 구체적(Specific)이어야 한다.
② 측정가능(Measurable)하여야 한다.
③ 조직목표와의 일치성(Aligned with Organizational Goals)이 있어야 한다.
④ 현실적이며 결과지향적(Realistic and Result-Oriented)이어야 한다.
⑤ 훈련가능(Trainable)하여야 한다.</v>
      </c>
      <c r="F132" s="31">
        <f>IFERROR(VLOOKUP(C132,기출문제!D:G,4,0),"")</f>
        <v>5</v>
      </c>
      <c r="G132" s="32" t="str">
        <f t="shared" si="1"/>
        <v/>
      </c>
    </row>
    <row r="133" spans="2:7" ht="85.5" x14ac:dyDescent="0.3">
      <c r="B133" s="13">
        <v>126</v>
      </c>
      <c r="C133" s="14" t="s">
        <v>962</v>
      </c>
      <c r="D133" s="13"/>
      <c r="E133" s="15" t="str">
        <f>IFERROR(VLOOKUP(C133,기출문제!D:G,3,0),"")</f>
        <v>111. (주)한국은 10,000원에 상당하는 두루마리 화장지 가격을 9,990원으로 책정하였다. 이러한 가격결정 방법은?
① 단수가격
② 명성가격
③ 총화가격
④ 촉진가격
⑤ 관습가격</v>
      </c>
      <c r="F133" s="31">
        <f>IFERROR(VLOOKUP(C133,기출문제!D:G,4,0),"")</f>
        <v>1</v>
      </c>
      <c r="G133" s="32" t="str">
        <f t="shared" si="1"/>
        <v/>
      </c>
    </row>
    <row r="134" spans="2:7" ht="85.5" x14ac:dyDescent="0.3">
      <c r="B134" s="13">
        <v>127</v>
      </c>
      <c r="C134" s="14" t="s">
        <v>963</v>
      </c>
      <c r="D134" s="13"/>
      <c r="E134" s="15" t="str">
        <f>IFERROR(VLOOKUP(C134,기출문제!D:G,3,0),"")</f>
        <v>112. 마약퇴치 운동과 같이 불건전한 수요를 파괴시키는 데 활용되는 마케팅은?
① 동시화 마케팅(Synchro Marketing)
② 재마케팅(Remarketing)
③ 디마케팅(Demarketing)
④ 대항 마케팅(Counter Marketing)
⑤ 터보 마케팅(Turbo Marketing)</v>
      </c>
      <c r="F134" s="31">
        <f>IFERROR(VLOOKUP(C134,기출문제!D:G,4,0),"")</f>
        <v>4</v>
      </c>
      <c r="G134" s="32" t="str">
        <f t="shared" si="1"/>
        <v/>
      </c>
    </row>
    <row r="135" spans="2:7" ht="85.5" x14ac:dyDescent="0.3">
      <c r="B135" s="13">
        <v>128</v>
      </c>
      <c r="C135" s="14" t="s">
        <v>964</v>
      </c>
      <c r="D135" s="13"/>
      <c r="E135" s="15" t="str">
        <f>IFERROR(VLOOKUP(C135,기출문제!D:G,3,0),"")</f>
        <v>113. 마케팅 전략에 관한 설명으로 옳은 것은?
① 마케팅 비용을 절감하기 위해 차별화 마케팅 전략을 도입한다.
② 제품전문화 전략은 표적시장 선정전략의 일종이다.
③ 포지셔닝은 전체 시장을 목표로 하는 마케팅전략이다.
④ 제품의 확장속성이란 판매자가 제공하거나 구매자가 추구하는 본질적 편익을 말한다.
⑤ 시장세분화 전제조건으로서의 실질성이란 세분시장의 구매력 등이 측정가능해야 함을 의미한다.</v>
      </c>
      <c r="F135" s="31">
        <f>IFERROR(VLOOKUP(C135,기출문제!D:G,4,0),"")</f>
        <v>2</v>
      </c>
      <c r="G135" s="32" t="str">
        <f t="shared" si="1"/>
        <v/>
      </c>
    </row>
    <row r="136" spans="2:7" ht="85.5" x14ac:dyDescent="0.3">
      <c r="B136" s="13">
        <v>129</v>
      </c>
      <c r="C136" s="14" t="s">
        <v>965</v>
      </c>
      <c r="D136" s="13"/>
      <c r="E136" s="15" t="str">
        <f>IFERROR(VLOOKUP(C136,기출문제!D:G,3,0),"")</f>
        <v>114. 포터(M. Porter)의 가치사슬(Value Chain)모델에서 주요활동(Primary Activities)에 해당하는 것은?
① 인적자원관리
② 서비스
③ 기술개발
④ 기획・재무
⑤ 법률자문</v>
      </c>
      <c r="F136" s="31">
        <f>IFERROR(VLOOKUP(C136,기출문제!D:G,4,0),"")</f>
        <v>2</v>
      </c>
      <c r="G136" s="32" t="str">
        <f t="shared" si="1"/>
        <v/>
      </c>
    </row>
    <row r="137" spans="2:7" ht="142.5" x14ac:dyDescent="0.3">
      <c r="B137" s="13">
        <v>130</v>
      </c>
      <c r="C137" s="14" t="s">
        <v>966</v>
      </c>
      <c r="D137" s="13"/>
      <c r="E137" s="15" t="str">
        <f>IFERROR(VLOOKUP(C137,기출문제!D:G,3,0),"")</f>
        <v>115. 경영정보시스템 용어에 관한 설명으로 옳지 않은 것은?
① 비즈니스 프로세스 리엔지니어링(Business Process Reengineering)은 새로운 방식으로 최대한의 이득을 얻기 위해 기존의 비즈니스 프로세스를 변경하는 것이다.
② 비즈니스 인텔리전스(Business Intelligence)는 사용자가 정보에 기반하여 보다 나은 비즈니스 의사결정을 돕기 위한 응용프로그램, 기술 및 데이터 분석 등을 포함하는 시스템이다.
③ 의사결정지원시스템(Decision Support System)은 컴퓨터를 이용하여 의사결정자가 효과적인 의사결정을 할 수 있도록 지원하는 시스템이다.
④ 위키스(Wikis)는 사용자들이 웹페이지 내용을 쉽게 추가・편집할 수 있는 웹사이트의 일종이다.
⑤ 자율컴퓨팅(Autonomous Computing)은 지리적으로 분산된 네트워크 환경에서 수많은 컴퓨터와 데이터베이스 등을 고속 네트워크로 연결하여 공유할 수 있도록 한다.</v>
      </c>
      <c r="F137" s="31">
        <f>IFERROR(VLOOKUP(C137,기출문제!D:G,4,0),"")</f>
        <v>5</v>
      </c>
      <c r="G137" s="32" t="str">
        <f t="shared" ref="G137:G200" si="2">IF(D137="","",IF(D137=F137,"O", "X"))</f>
        <v/>
      </c>
    </row>
    <row r="138" spans="2:7" ht="99.75" x14ac:dyDescent="0.3">
      <c r="B138" s="13">
        <v>131</v>
      </c>
      <c r="C138" s="14" t="s">
        <v>967</v>
      </c>
      <c r="D138" s="13"/>
      <c r="E138" s="15" t="str">
        <f>IFERROR(VLOOKUP(C138,기출문제!D:G,3,0),"")</f>
        <v>116. 품질의 산포가 우연원인에 의한 것인지, 이상원인에 의한 것인지를 밝혀주는 역할을 하며, 제조공정의 상태를 파악하기 위해 공정관리에 이용되는 것은?
① 파레토도
② 관리도
③ 산포도
④ 특성요인도
⑤ 히스토그램</v>
      </c>
      <c r="F138" s="31">
        <f>IFERROR(VLOOKUP(C138,기출문제!D:G,4,0),"")</f>
        <v>2</v>
      </c>
      <c r="G138" s="32" t="str">
        <f t="shared" si="2"/>
        <v/>
      </c>
    </row>
    <row r="139" spans="2:7" ht="199.5" x14ac:dyDescent="0.3">
      <c r="B139" s="13">
        <v>132</v>
      </c>
      <c r="C139" s="14" t="s">
        <v>968</v>
      </c>
      <c r="D139" s="13"/>
      <c r="E139" s="15" t="str">
        <f>IFERROR(VLOOKUP(C139,기출문제!D:G,3,0),"")</f>
        <v>117. (주)한국의 연도별 제품 판매량은 다음과 같다. 과거 3년간의 데이터를 바탕으로 단순이동평균법을 적용하였을 때 2020년도의 수요예측량은?
연도       판매량(개)
2014       2,260
2015       2,090
2016       2,110
2017       2,150
2018       2,310
2019       2,410
① 2,270
② 2,280
③ 2,290
④ 2,300
⑤ 2,310</v>
      </c>
      <c r="F139" s="31">
        <f>IFERROR(VLOOKUP(C139,기출문제!D:G,4,0),"")</f>
        <v>3</v>
      </c>
      <c r="G139" s="32" t="str">
        <f t="shared" si="2"/>
        <v/>
      </c>
    </row>
    <row r="140" spans="2:7" ht="85.5" x14ac:dyDescent="0.3">
      <c r="B140" s="13">
        <v>133</v>
      </c>
      <c r="C140" s="14" t="s">
        <v>969</v>
      </c>
      <c r="D140" s="13"/>
      <c r="E140" s="15" t="str">
        <f>IFERROR(VLOOKUP(C140,기출문제!D:G,3,0),"")</f>
        <v>118. 선물거래에 관한 설명으로 옳지 않은 것은?
① 조직화된 공식시장에서 거래가 이루어진다.
② 다수의 불특정 참가자가 자유롭게 시장에 참여한다.
③ 거래대상, 거래단위 등의 거래조건이 표준화되어 있다.
④ 계약의 이행을 보증하려는 제도적 장치로 일일정산, 증거금 등이 있다.
⑤ 반대매매를 통한 중도청산이 어려워 만기일에 실물의 인수・인도가 이루어진다.</v>
      </c>
      <c r="F140" s="31">
        <f>IFERROR(VLOOKUP(C140,기출문제!D:G,4,0),"")</f>
        <v>5</v>
      </c>
      <c r="G140" s="32" t="str">
        <f t="shared" si="2"/>
        <v/>
      </c>
    </row>
    <row r="141" spans="2:7" ht="114" x14ac:dyDescent="0.3">
      <c r="B141" s="13">
        <v>134</v>
      </c>
      <c r="C141" s="14" t="s">
        <v>970</v>
      </c>
      <c r="D141" s="13"/>
      <c r="E141" s="15" t="str">
        <f>IFERROR(VLOOKUP(C141,기출문제!D:G,3,0),"")</f>
        <v>119. 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
① 순현가법
② 수익성지수법
③ 회수기간법
④ 내부수익률법
⑤ 평균회계이익률법</v>
      </c>
      <c r="F141" s="31">
        <f>IFERROR(VLOOKUP(C141,기출문제!D:G,4,0),"")</f>
        <v>4</v>
      </c>
      <c r="G141" s="32" t="str">
        <f t="shared" si="2"/>
        <v/>
      </c>
    </row>
    <row r="142" spans="2:7" ht="85.5" x14ac:dyDescent="0.3">
      <c r="B142" s="13">
        <v>135</v>
      </c>
      <c r="C142" s="14" t="s">
        <v>971</v>
      </c>
      <c r="D142" s="13"/>
      <c r="E142" s="15" t="str">
        <f>IFERROR(VLOOKUP(C142,기출문제!D:G,3,0),"")</f>
        <v>120. (주)한국의 총자산이 40억원, 비유동자산이 25억원, 유동부채가 10억원인 경우 유동비율은?
① 50%
② 70%
③ 100%
④ 150%
⑤ 200%</v>
      </c>
      <c r="F142" s="31">
        <f>IFERROR(VLOOKUP(C142,기출문제!D:G,4,0),"")</f>
        <v>4</v>
      </c>
      <c r="G142" s="32" t="str">
        <f t="shared" si="2"/>
        <v/>
      </c>
    </row>
    <row r="143" spans="2:7" ht="85.5" x14ac:dyDescent="0.3">
      <c r="B143" s="13">
        <v>136</v>
      </c>
      <c r="C143" s="14" t="s">
        <v>972</v>
      </c>
      <c r="D143" s="13"/>
      <c r="E143" s="15" t="str">
        <f>IFERROR(VLOOKUP(C143,기출문제!D:G,3,0),"")</f>
        <v>121. 자본항목의 분류가 다른 것은?
① 주식할인발행차금
② 감자차손
③ 자기주식
④ 미교부주식배당금
⑤ 자기주식처분이익</v>
      </c>
      <c r="F143" s="31">
        <f>IFERROR(VLOOKUP(C143,기출문제!D:G,4,0),"")</f>
        <v>5</v>
      </c>
      <c r="G143" s="32" t="str">
        <f t="shared" si="2"/>
        <v/>
      </c>
    </row>
    <row r="144" spans="2:7" ht="85.5" x14ac:dyDescent="0.3">
      <c r="B144" s="13">
        <v>137</v>
      </c>
      <c r="C144" s="14" t="s">
        <v>973</v>
      </c>
      <c r="D144" s="13"/>
      <c r="E144" s="15" t="str">
        <f>IFERROR(VLOOKUP(C144,기출문제!D:G,3,0),"")</f>
        <v>122. 부채에 관한 설명으로 옳지 않은 것은?
① 매입채무는 일반적인 상거래에서 발생한 외상매입금과 지급어음을 말한다.
② 예수금은 거래처나 종업원을 대신하여 납부기관에 납부할 때 소멸하는 부채이다.
③ 미지급금은 비유동자산의 취득 등 일반적인 상거래 이외에서 발생한 채무를 말한다.
④ 장기차입금의 상환기일이 결산일로부터 1년 이내에 도래하는 경우 유동성장기차입금으로 대체하고 유동부채로 분류한다.
⑤ 매입채무, 차입금, 선수금, 사채 등은 금융부채에 속한다.</v>
      </c>
      <c r="F144" s="31">
        <f>IFERROR(VLOOKUP(C144,기출문제!D:G,4,0),"")</f>
        <v>5</v>
      </c>
      <c r="G144" s="32" t="str">
        <f t="shared" si="2"/>
        <v/>
      </c>
    </row>
    <row r="145" spans="2:7" ht="156.75" x14ac:dyDescent="0.3">
      <c r="B145" s="13">
        <v>138</v>
      </c>
      <c r="C145" s="14" t="s">
        <v>974</v>
      </c>
      <c r="D145" s="13"/>
      <c r="E145" s="15" t="str">
        <f>IFERROR(VLOOKUP(C145,기출문제!D:G,3,0),"")</f>
        <v>123. 재무상태표와 관련되는 것을 모두 고른 것은?
ㄱ. 수익・비용대응의 원칙
ㄴ. 일정시점의 재무상태
ㄷ. 유동성배열법
ㄹ. 일정기간의 경영성과
ㅁ. 자산, 부채 및 자본
① ㄱ, ㄴ
② ㄱ, ㄹ
③ ㄴ, ㄷ, ㄹ
④ ㄴ, ㄷ, ㅁ
⑤ ㄷ, ㄹ, ㅁ</v>
      </c>
      <c r="F145" s="31">
        <f>IFERROR(VLOOKUP(C145,기출문제!D:G,4,0),"")</f>
        <v>4</v>
      </c>
      <c r="G145" s="32" t="str">
        <f t="shared" si="2"/>
        <v/>
      </c>
    </row>
    <row r="146" spans="2:7" ht="85.5" x14ac:dyDescent="0.3">
      <c r="B146" s="13">
        <v>139</v>
      </c>
      <c r="C146" s="14" t="s">
        <v>975</v>
      </c>
      <c r="D146" s="13"/>
      <c r="E146" s="15" t="str">
        <f>IFERROR(VLOOKUP(C146,기출문제!D:G,3,0),"")</f>
        <v>124. 전자(상)거래의 유형에 관한 설명으로 옳은 것은?
① B2E는 기업과 직원 간 전자(상)거래를 말한다.
② B2C는 소비자와 소비자 간 전자(상)거래를 말한다.
③ B2B는 기업 내 전자(상)거래를 말한다.
④ C2C는 기업과 소비자 간 전자(상)거래를 말한다.
⑤ C2G는 기업 간 전자(상)거래를 말한다.</v>
      </c>
      <c r="F146" s="31">
        <f>IFERROR(VLOOKUP(C146,기출문제!D:G,4,0),"")</f>
        <v>1</v>
      </c>
      <c r="G146" s="32" t="str">
        <f t="shared" si="2"/>
        <v/>
      </c>
    </row>
    <row r="147" spans="2:7" ht="99.75" x14ac:dyDescent="0.3">
      <c r="B147" s="13">
        <v>140</v>
      </c>
      <c r="C147" s="14" t="s">
        <v>976</v>
      </c>
      <c r="D147" s="13"/>
      <c r="E147" s="15" t="str">
        <f>IFERROR(VLOOKUP(C147,기출문제!D:G,3,0),"")</f>
        <v>125. 기업이 미래 의사결정 및 예측을 위하여 보유하고 있는 고객, 거래, 상품 등의 데이터와 각종 외부 데이터를 분석하여 숨겨진 패턴이나 규칙을 발견하는 것은?
① 데이터 관리(Data Management)
② 데이터 무결성(Data Integrity)
③ 데이터 마이닝(Data Mining)
④ 데이터 정제(Data Cleaning)
⑤ 데이터 마트(Data Mart)</v>
      </c>
      <c r="F147" s="31">
        <f>IFERROR(VLOOKUP(C147,기출문제!D:G,4,0),"")</f>
        <v>3</v>
      </c>
      <c r="G147" s="32" t="str">
        <f t="shared" si="2"/>
        <v/>
      </c>
    </row>
    <row r="148" spans="2:7" ht="85.5" x14ac:dyDescent="0.3">
      <c r="B148" s="13">
        <v>141</v>
      </c>
      <c r="C148" s="14" t="s">
        <v>138</v>
      </c>
      <c r="D148" s="13"/>
      <c r="E148" s="15" t="str">
        <f>IFERROR(VLOOKUP(C148,기출문제!D:G,3,0),"")</f>
        <v>101. 테일러(F. W. Taylor)의 과학적 관리법에 관한 설명으로 옳지 않은 것은?
① 시간 및 동작 연구
② 기능적 직장제도
③ 집단중심의 보상
④ 과업에 적합한 종업원 선발과 훈련 강조
⑤ 고임금 저노무비 지향</v>
      </c>
      <c r="F148" s="31">
        <f>IFERROR(VLOOKUP(C148,기출문제!D:G,4,0),"")</f>
        <v>3</v>
      </c>
      <c r="G148" s="32" t="str">
        <f t="shared" si="2"/>
        <v/>
      </c>
    </row>
    <row r="149" spans="2:7" ht="85.5" x14ac:dyDescent="0.3">
      <c r="B149" s="13">
        <v>142</v>
      </c>
      <c r="C149" s="14" t="s">
        <v>781</v>
      </c>
      <c r="D149" s="13"/>
      <c r="E149" s="15" t="str">
        <f>IFERROR(VLOOKUP(C149,기출문제!D:G,3,0),"")</f>
        <v>102. 매슬로우(A. H. Maslow)의 욕구단계이론에 관한 설명으로 옳지 않은 것은?
① 최하위 단계의 욕구는 생리적 욕구이다.
② 최상위 단계의 욕구는 자아실현 욕구이다.
③ 욕구계층을 5단계로 설명하고 있다.
④ 다른 사람으로부터 인정과 존경을 받고자 하는 욕구는 성장욕구에 속한다.
⑤ 하위단계의 욕구가 충족되어야 상위단계의 욕구를 충족시키기 위한 동기부여가 된다.</v>
      </c>
      <c r="F149" s="31">
        <f>IFERROR(VLOOKUP(C149,기출문제!D:G,4,0),"")</f>
        <v>4</v>
      </c>
      <c r="G149" s="32" t="str">
        <f t="shared" si="2"/>
        <v/>
      </c>
    </row>
    <row r="150" spans="2:7" ht="85.5" x14ac:dyDescent="0.3">
      <c r="B150" s="13">
        <v>143</v>
      </c>
      <c r="C150" s="14" t="s">
        <v>782</v>
      </c>
      <c r="D150" s="13"/>
      <c r="E150" s="15" t="str">
        <f>IFERROR(VLOOKUP(C150,기출문제!D:G,3,0),"")</f>
        <v>103. 균형성과표(Balanced Score Card)에 해당하지 않는 것은?
① 고객 관점
② 내부 프로세스 관점
③ 사회적 책임 관점
④ 학습과 성장 관점
⑤ 재무 관점</v>
      </c>
      <c r="F150" s="31">
        <f>IFERROR(VLOOKUP(C150,기출문제!D:G,4,0),"")</f>
        <v>3</v>
      </c>
      <c r="G150" s="32" t="str">
        <f t="shared" si="2"/>
        <v/>
      </c>
    </row>
    <row r="151" spans="2:7" ht="85.5" x14ac:dyDescent="0.3">
      <c r="B151" s="13">
        <v>144</v>
      </c>
      <c r="C151" s="14" t="s">
        <v>783</v>
      </c>
      <c r="D151" s="13"/>
      <c r="E151" s="15" t="str">
        <f>IFERROR(VLOOKUP(C151,기출문제!D:G,3,0),"")</f>
        <v>104. 강화계획(schedules of reinforcement)에서 불규칙한 횟수의 바람직한 행동 후 강화요인을 제공하는 기법은?
① 고정간격법
② 변동간격법
③ 고정비율법
④ 변동비율법
⑤ 연속강화법</v>
      </c>
      <c r="F151" s="31">
        <f>IFERROR(VLOOKUP(C151,기출문제!D:G,4,0),"")</f>
        <v>4</v>
      </c>
      <c r="G151" s="32" t="str">
        <f t="shared" si="2"/>
        <v/>
      </c>
    </row>
    <row r="152" spans="2:7" ht="85.5" x14ac:dyDescent="0.3">
      <c r="B152" s="13">
        <v>145</v>
      </c>
      <c r="C152" s="14" t="s">
        <v>784</v>
      </c>
      <c r="D152" s="13"/>
      <c r="E152" s="15" t="str">
        <f>IFERROR(VLOOKUP(C152,기출문제!D:G,3,0),"")</f>
        <v>105. 아담스(J. S. Adams)의 공정성이론에서 조직구성원들이 개인적 불공정성을 시정(是正)하기 위한 방법에 해당하지 않는 것은?
① 투입의 변경
② 산출의 변경
③ 투입과 산출의 인지적 왜곡
④ 장(場) 이탈
⑤ 준거인물 유지</v>
      </c>
      <c r="F152" s="31">
        <f>IFERROR(VLOOKUP(C152,기출문제!D:G,4,0),"")</f>
        <v>5</v>
      </c>
      <c r="G152" s="32" t="str">
        <f t="shared" si="2"/>
        <v/>
      </c>
    </row>
    <row r="153" spans="2:7" ht="85.5" x14ac:dyDescent="0.3">
      <c r="B153" s="13">
        <v>146</v>
      </c>
      <c r="C153" s="14" t="s">
        <v>785</v>
      </c>
      <c r="D153" s="13"/>
      <c r="E153" s="15" t="str">
        <f>IFERROR(VLOOKUP(C153,기출문제!D:G,3,0),"")</f>
        <v>106. 직무급의 특징에 관한 설명으로 옳지 않은 것은?
① 직무의 상대적 가치에 따라 개별임금이 결정된다.
② 능력주의 인사풍토 조성에 유리하다.
③ 인건비의 효율성이 증대된다.
④ 동일노동 동일임금 실현이 가능해진다.
⑤ 시행 절차가 간단하고 적용이 용이하다.</v>
      </c>
      <c r="F153" s="31">
        <f>IFERROR(VLOOKUP(C153,기출문제!D:G,4,0),"")</f>
        <v>5</v>
      </c>
      <c r="G153" s="32" t="str">
        <f t="shared" si="2"/>
        <v/>
      </c>
    </row>
    <row r="154" spans="2:7" ht="85.5" x14ac:dyDescent="0.3">
      <c r="B154" s="13">
        <v>147</v>
      </c>
      <c r="C154" s="14" t="s">
        <v>786</v>
      </c>
      <c r="D154" s="13"/>
      <c r="E154" s="15" t="str">
        <f>IFERROR(VLOOKUP(C154,기출문제!D:G,3,0),"")</f>
        <v>107. 노동조합의 조직형태에 관한 설명으로 옳지 않은 것은?
① 직종별 노동조합은 동종 근로자 집단으로 조직되어 단결이 강화되고 단체교섭과 임금협상이 용이하다.
② 일반노동조합은 숙련근로자들의 최저생활조건을 확보하기 위한 조직으로 초기에 발달한 형태이다.
③ 기업별 노동조합은 조합원들이 동일기업에 종사하고 있으므로 근로조건을 획일적으로 적용하기가 용이하다.
④ 산업별 노동조합은 기업과 직종을 초월한 거대한 조직으로서 정책활동 등에 의해 압력단체로서의 지위를 가진다.
⑤ 연합체 조직은 각 지역이나 기업 또는 직종별 단위조합이 단체의 자격으로 지역적 내지 전국적 조직의 구성원이 되는 형태이다.</v>
      </c>
      <c r="F154" s="31">
        <f>IFERROR(VLOOKUP(C154,기출문제!D:G,4,0),"")</f>
        <v>2</v>
      </c>
      <c r="G154" s="32" t="str">
        <f t="shared" si="2"/>
        <v/>
      </c>
    </row>
    <row r="155" spans="2:7" ht="128.25" x14ac:dyDescent="0.3">
      <c r="B155" s="13">
        <v>148</v>
      </c>
      <c r="C155" s="14" t="s">
        <v>787</v>
      </c>
      <c r="D155" s="13"/>
      <c r="E155" s="15" t="str">
        <f>IFERROR(VLOOKUP(C155,기출문제!D:G,3,0),"")</f>
        <v>108. 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
① ㄱ. 감정적 요소 ㄴ. 인지적 요소 ㄷ. 행동적 요소
② ㄱ. 감정적 요소 ㄴ. 행동적 요소 ㄷ. 인지적 요소
③ ㄱ. 인지적 요소 ㄴ. 행동적 요소 ㄷ. 감정적 요소
④ ㄱ. 인지적 요소 ㄴ. 감정적 요소 ㄷ. 행동적 요소
⑤ ㄱ. 행동적 요소 ㄴ. 감정적 요소 ㄷ. 인지적 요소</v>
      </c>
      <c r="F155" s="31">
        <f>IFERROR(VLOOKUP(C155,기출문제!D:G,4,0),"")</f>
        <v>4</v>
      </c>
      <c r="G155" s="32" t="str">
        <f t="shared" si="2"/>
        <v/>
      </c>
    </row>
    <row r="156" spans="2:7" ht="156.75" x14ac:dyDescent="0.3">
      <c r="B156" s="13">
        <v>149</v>
      </c>
      <c r="C156" s="14" t="s">
        <v>788</v>
      </c>
      <c r="D156" s="13"/>
      <c r="E156" s="15" t="str">
        <f>IFERROR(VLOOKUP(C156,기출문제!D:G,3,0),"")</f>
        <v>109. 프렌치와 레이븐(French &amp; Raven)의 권력원천 분류에 따라 개인적 원천의 권력에 해당하는 것을 모두 고른 것은?
ㄱ. 강제적 권력
ㄴ. 준거적 권력
ㄷ. 전문적 권력
ㄹ. 합법적 권력
ㅁ. 보상적 권력
① ㄱ, ㄴ
② ㄴ, ㄷ
③ ㄷ, ㄹ
④ ㄹ, ㅁ
⑤ ㄱ, ㄴ, ㅁ</v>
      </c>
      <c r="F156" s="31">
        <f>IFERROR(VLOOKUP(C156,기출문제!D:G,4,0),"")</f>
        <v>2</v>
      </c>
      <c r="G156" s="32" t="str">
        <f t="shared" si="2"/>
        <v/>
      </c>
    </row>
    <row r="157" spans="2:7" ht="85.5" x14ac:dyDescent="0.3">
      <c r="B157" s="13">
        <v>150</v>
      </c>
      <c r="C157" s="14" t="s">
        <v>789</v>
      </c>
      <c r="D157" s="13"/>
      <c r="E157" s="15" t="str">
        <f>IFERROR(VLOOKUP(C157,기출문제!D:G,3,0),"")</f>
        <v>110. 모집 방법 중 사내공모제(job posting system)의 특징에 관한 설명으로 옳지 않은 것은?
① 종업원의 상위직급 승진 기회가 제한된다.
② 외부 인력의 영입이 차단되어 조직이 정체될 가능성이 있다.
③ 지원자의 소속부서 상사와의 인간관계가 훼손될 수 있다.
④ 특정부서의 선발 시 연고주의를 고집할 경우 조직 내 파벌이 조성될 수 있다.
⑤ 선발과정에서 여러번 탈락되었을 때 지원자의 심리적 위축감이 고조된다.</v>
      </c>
      <c r="F157" s="31">
        <f>IFERROR(VLOOKUP(C157,기출문제!D:G,4,0),"")</f>
        <v>1</v>
      </c>
      <c r="G157" s="32" t="str">
        <f t="shared" si="2"/>
        <v/>
      </c>
    </row>
    <row r="158" spans="2:7" ht="85.5" x14ac:dyDescent="0.3">
      <c r="B158" s="13">
        <v>151</v>
      </c>
      <c r="C158" s="14" t="s">
        <v>790</v>
      </c>
      <c r="D158" s="13"/>
      <c r="E158" s="15" t="str">
        <f>IFERROR(VLOOKUP(C158,기출문제!D:G,3,0),"")</f>
        <v>111. 인사고과의 오류 중 피고과자가 속한 사회적 집단에 대한 평가에 기초하여 판단하는 것은?
① 상동적 오류(stereotyping errors)
② 논리적 오류(logical errors)
③ 대비오류(contrast errors)
④ 근접오류(proximity errors)
⑤ 후광효과(halo effect)</v>
      </c>
      <c r="F158" s="31">
        <f>IFERROR(VLOOKUP(C158,기출문제!D:G,4,0),"")</f>
        <v>1</v>
      </c>
      <c r="G158" s="32" t="str">
        <f t="shared" si="2"/>
        <v/>
      </c>
    </row>
    <row r="159" spans="2:7" ht="85.5" x14ac:dyDescent="0.3">
      <c r="B159" s="13">
        <v>152</v>
      </c>
      <c r="C159" s="14" t="s">
        <v>791</v>
      </c>
      <c r="D159" s="13"/>
      <c r="E159" s="15" t="str">
        <f>IFERROR(VLOOKUP(C159,기출문제!D:G,3,0),"")</f>
        <v>112. 집단의사결정의 특징에 관한 설명으로 옳지 않은 것은?
① 구성원으로부터 다양한 정보를 얻을 수 있다.
② 의사결정에 참여한 구성원들의 교육효과가 높게 나타난다.
③ 구성원의 합의에 의한 것이므로 수용도와 응집력이 높아진다.
④ 서로의 의견에 비판없이 동의하는 경향이 있다.
⑤ 차선책을 채택하는 오류가 발생하지 않는다.</v>
      </c>
      <c r="F159" s="31">
        <f>IFERROR(VLOOKUP(C159,기출문제!D:G,4,0),"")</f>
        <v>5</v>
      </c>
      <c r="G159" s="32" t="str">
        <f t="shared" si="2"/>
        <v/>
      </c>
    </row>
    <row r="160" spans="2:7" ht="85.5" x14ac:dyDescent="0.3">
      <c r="B160" s="13">
        <v>153</v>
      </c>
      <c r="C160" s="14" t="s">
        <v>792</v>
      </c>
      <c r="D160" s="13"/>
      <c r="E160" s="15" t="str">
        <f>IFERROR(VLOOKUP(C160,기출문제!D:G,3,0),"")</f>
        <v>113. 생산성을 높이고, 유통을 효율화 시키는 등 주로 원가절감에 관심을 갖는 마케팅 개념은?
① 판매 개념
② 생산 개념
③ 관계마케팅 개념
④ 통합마케팅 개념
⑤ 내부마케팅 개념</v>
      </c>
      <c r="F160" s="31">
        <f>IFERROR(VLOOKUP(C160,기출문제!D:G,4,0),"")</f>
        <v>2</v>
      </c>
      <c r="G160" s="32" t="str">
        <f t="shared" si="2"/>
        <v/>
      </c>
    </row>
    <row r="161" spans="2:7" ht="85.5" x14ac:dyDescent="0.3">
      <c r="B161" s="13">
        <v>154</v>
      </c>
      <c r="C161" s="14" t="s">
        <v>793</v>
      </c>
      <c r="D161" s="13"/>
      <c r="E161" s="15" t="str">
        <f>IFERROR(VLOOKUP(C161,기출문제!D:G,3,0),"")</f>
        <v>114. 수요가 공급을 초과할 때 수요를 감소시키는 것을 목적으로 하는 마케팅관리 기법은?
① 전환적 마케팅(conversional marketing)
② 동시화 마케팅(synchro marketing)
③ 자극적 마케팅(stimulative marketing)
④ 개발적 마케팅(developmental marketing)
⑤ 디마케팅(demarketing)</v>
      </c>
      <c r="F161" s="31">
        <f>IFERROR(VLOOKUP(C161,기출문제!D:G,4,0),"")</f>
        <v>5</v>
      </c>
      <c r="G161" s="32" t="str">
        <f t="shared" si="2"/>
        <v/>
      </c>
    </row>
    <row r="162" spans="2:7" ht="85.5" x14ac:dyDescent="0.3">
      <c r="B162" s="13">
        <v>155</v>
      </c>
      <c r="C162" s="14" t="s">
        <v>794</v>
      </c>
      <c r="D162" s="13"/>
      <c r="E162" s="15" t="str">
        <f>IFERROR(VLOOKUP(C162,기출문제!D:G,3,0),"")</f>
        <v>115. 수직적 마케팅시스템(Vertical Marketing System) 중 소유권의 정도와 통제력이 강한 유형에 해당하는 것은?
① 계약형 VMS
② 기업형 VMS
③ 관리형 VMS
④ 협력형 VMS
⑤ 혼합형 VMS</v>
      </c>
      <c r="F162" s="31">
        <f>IFERROR(VLOOKUP(C162,기출문제!D:G,4,0),"")</f>
        <v>2</v>
      </c>
      <c r="G162" s="32" t="str">
        <f t="shared" si="2"/>
        <v/>
      </c>
    </row>
    <row r="163" spans="2:7" ht="85.5" x14ac:dyDescent="0.3">
      <c r="B163" s="13">
        <v>156</v>
      </c>
      <c r="C163" s="14" t="s">
        <v>795</v>
      </c>
      <c r="D163" s="13"/>
      <c r="E163" s="15" t="str">
        <f>IFERROR(VLOOKUP(C163,기출문제!D:G,3,0),"")</f>
        <v>116. 소비자 심리에 근거한 가격결정 방법으로 옳지 않은 것은?
① 종속가격(captive pricing)
② 단수가격(odd pricing)
③ 준거가격(reference pricing)
④ 긍지가격(prestige pricing)
⑤ 관습가격(customary pricing)</v>
      </c>
      <c r="F163" s="31">
        <f>IFERROR(VLOOKUP(C163,기출문제!D:G,4,0),"")</f>
        <v>1</v>
      </c>
      <c r="G163" s="32" t="str">
        <f t="shared" si="2"/>
        <v/>
      </c>
    </row>
    <row r="164" spans="2:7" ht="85.5" x14ac:dyDescent="0.3">
      <c r="B164" s="13">
        <v>157</v>
      </c>
      <c r="C164" s="14" t="s">
        <v>796</v>
      </c>
      <c r="D164" s="13"/>
      <c r="E164" s="15" t="str">
        <f>IFERROR(VLOOKUP(C164,기출문제!D:G,3,0),"")</f>
        <v>117. (주)한국의 유동자산은 1,200,000원이고, 유동비율과 당좌비율은 각각 200%와 150%이다. (주)한국의 재고자산은?
① 300,000원
② 600,000원
③ 900,000원
④ 1,800,000원
⑤ 2,400,000원</v>
      </c>
      <c r="F164" s="31">
        <f>IFERROR(VLOOKUP(C164,기출문제!D:G,4,0),"")</f>
        <v>1</v>
      </c>
      <c r="G164" s="32" t="str">
        <f t="shared" si="2"/>
        <v/>
      </c>
    </row>
    <row r="165" spans="2:7" ht="156.75" x14ac:dyDescent="0.3">
      <c r="B165" s="13">
        <v>158</v>
      </c>
      <c r="C165" s="14" t="s">
        <v>797</v>
      </c>
      <c r="D165" s="13"/>
      <c r="E165" s="15" t="str">
        <f>IFERROR(VLOOKUP(C165,기출문제!D:G,3,0),"")</f>
        <v>118. 투자안의 경제성분석방법 중 화폐의 시간가치를 고려한 방법을 모두 고른 것은?
ㄱ. 회수기간법
ㄴ. 수익성지수법
ㄷ. 회계적이익률법
ㄹ. 순현재가치법
ㅁ. 내부수익률법
① ㄱ, ㄴ
② ㄱ, ㄹ
③ ㄴ, ㄷ
④ ㄴ, ㄹ, ㅁ
⑤ ㄷ, ㄹ, ㅁ</v>
      </c>
      <c r="F165" s="31">
        <f>IFERROR(VLOOKUP(C165,기출문제!D:G,4,0),"")</f>
        <v>4</v>
      </c>
      <c r="G165" s="32" t="str">
        <f t="shared" si="2"/>
        <v/>
      </c>
    </row>
    <row r="166" spans="2:7" ht="99.75" x14ac:dyDescent="0.3">
      <c r="B166" s="13">
        <v>159</v>
      </c>
      <c r="C166" s="14" t="s">
        <v>798</v>
      </c>
      <c r="D166" s="13"/>
      <c r="E166" s="15" t="str">
        <f>IFERROR(VLOOKUP(C166,기출문제!D:G,3,0),"")</f>
        <v>119. (주)한국의 자기자본 시장가치와 타인자본 시장가치는 각각 5억원이다. 자기자본 비용은 16%이고, 세전타인자본비용은 12%이다. 법인세율이 50%일 때 (주)한국의 가중평균자본비용(WACC)은?
① 6%
② 8%
③ 11%
④ 13%
⑤ 15%</v>
      </c>
      <c r="F166" s="31">
        <f>IFERROR(VLOOKUP(C166,기출문제!D:G,4,0),"")</f>
        <v>3</v>
      </c>
      <c r="G166" s="32" t="str">
        <f t="shared" si="2"/>
        <v/>
      </c>
    </row>
    <row r="167" spans="2:7" ht="99.75" x14ac:dyDescent="0.3">
      <c r="B167" s="13">
        <v>160</v>
      </c>
      <c r="C167" s="14" t="s">
        <v>799</v>
      </c>
      <c r="D167" s="13"/>
      <c r="E167" s="15" t="str">
        <f>IFERROR(VLOOKUP(C167,기출문제!D:G,3,0),"")</f>
        <v>120. (주)한국의 A부품에 대한 연간수요는 4,000개이며, A부품 구입가격은 단위당 8,000원이다. 1회당 주문비용은 4,000원이고, 단위당 연간 재고유지비용은 구입가격의 10%일 때 A부품의 경제적 주문량(EOQ)은?
① 100개
② 200개
③ 300개
④ 400개
⑤ 600개</v>
      </c>
      <c r="F167" s="31">
        <f>IFERROR(VLOOKUP(C167,기출문제!D:G,4,0),"")</f>
        <v>2</v>
      </c>
      <c r="G167" s="32" t="str">
        <f t="shared" si="2"/>
        <v/>
      </c>
    </row>
    <row r="168" spans="2:7" ht="85.5" x14ac:dyDescent="0.3">
      <c r="B168" s="13">
        <v>161</v>
      </c>
      <c r="C168" s="14" t="s">
        <v>800</v>
      </c>
      <c r="D168" s="13"/>
      <c r="E168" s="15" t="str">
        <f>IFERROR(VLOOKUP(C168,기출문제!D:G,3,0),"")</f>
        <v>121. 수요예측기법 중 인과형 예측기법(causal forecasting methods)에 해당하는 것은?
① 델파이법
② 패널동의법
③ 회귀분석법
④ 판매원 의견종합법
⑤ 자료유추법</v>
      </c>
      <c r="F168" s="31">
        <f>IFERROR(VLOOKUP(C168,기출문제!D:G,4,0),"")</f>
        <v>3</v>
      </c>
      <c r="G168" s="32" t="str">
        <f t="shared" si="2"/>
        <v/>
      </c>
    </row>
    <row r="169" spans="2:7" ht="85.5" x14ac:dyDescent="0.3">
      <c r="B169" s="13">
        <v>162</v>
      </c>
      <c r="C169" s="14" t="s">
        <v>801</v>
      </c>
      <c r="D169" s="13"/>
      <c r="E169" s="15" t="str">
        <f>IFERROR(VLOOKUP(C169,기출문제!D:G,3,0),"")</f>
        <v>122. 포괄손익계산서의 계정에 해당하지 않는 것은?
① 감가상각비
② 광고비
③ 매출원가
④ 자기주식처분이익
⑤ 유형자산처분이익</v>
      </c>
      <c r="F169" s="31">
        <f>IFERROR(VLOOKUP(C169,기출문제!D:G,4,0),"")</f>
        <v>4</v>
      </c>
      <c r="G169" s="32" t="str">
        <f t="shared" si="2"/>
        <v/>
      </c>
    </row>
    <row r="170" spans="2:7" ht="99.75" x14ac:dyDescent="0.3">
      <c r="B170" s="13">
        <v>163</v>
      </c>
      <c r="C170" s="14" t="s">
        <v>802</v>
      </c>
      <c r="D170" s="13"/>
      <c r="E170" s="15" t="str">
        <f>IFERROR(VLOOKUP(C170,기출문제!D:G,3,0),"")</f>
        <v>123. (주)한국(결산일: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
① 처분이익 20,000원
② 처분손실 20,000원
③ 처분이익 100,000원
④ 처분손실 100,000원
⑤ 처분손실 300,000원</v>
      </c>
      <c r="F170" s="31">
        <f>IFERROR(VLOOKUP(C170,기출문제!D:G,4,0),"")</f>
        <v>1</v>
      </c>
      <c r="G170" s="32" t="str">
        <f t="shared" si="2"/>
        <v/>
      </c>
    </row>
    <row r="171" spans="2:7" ht="85.5" x14ac:dyDescent="0.3">
      <c r="B171" s="13">
        <v>164</v>
      </c>
      <c r="C171" s="14" t="s">
        <v>803</v>
      </c>
      <c r="D171" s="13"/>
      <c r="E171" s="15" t="str">
        <f>IFERROR(VLOOKUP(C171,기출문제!D:G,3,0),"")</f>
        <v>124. 다음 중 자본잉여금에 해당하는 항목은?
① 미교부주식배당금
② 법정적립금
③ 임의적립금
④ 미처분이익잉여금
⑤ 주식발행초과금</v>
      </c>
      <c r="F171" s="31">
        <f>IFERROR(VLOOKUP(C171,기출문제!D:G,4,0),"")</f>
        <v>5</v>
      </c>
      <c r="G171" s="32" t="str">
        <f t="shared" si="2"/>
        <v/>
      </c>
    </row>
    <row r="172" spans="2:7" ht="85.5" x14ac:dyDescent="0.3">
      <c r="B172" s="13">
        <v>165</v>
      </c>
      <c r="C172" s="14" t="s">
        <v>804</v>
      </c>
      <c r="D172" s="13"/>
      <c r="E172" s="15" t="str">
        <f>IFERROR(VLOOKUP(C172,기출문제!D:G,3,0),"")</f>
        <v>125. 스마트폰에 신용카드 등의 금융정보를 담아 10 ~ 15 cm의 근거리에서 결제를 가능하게 하는 무선통신기술은?
① 블루투스(Bluetooth)
② GPS(Global Positioning System)
③ NFC(Near Field Communication)
④ IoT(Internet of Things)
⑤ 텔레매틱스(Telematics)</v>
      </c>
      <c r="F172" s="31">
        <f>IFERROR(VLOOKUP(C172,기출문제!D:G,4,0),"")</f>
        <v>3</v>
      </c>
      <c r="G172" s="32" t="str">
        <f t="shared" si="2"/>
        <v/>
      </c>
    </row>
    <row r="173" spans="2:7" ht="85.5" x14ac:dyDescent="0.3">
      <c r="B173" s="13">
        <v>166</v>
      </c>
      <c r="C173" s="14" t="s">
        <v>188</v>
      </c>
      <c r="D173" s="13"/>
      <c r="E173" s="15" t="str">
        <f>IFERROR(VLOOKUP(C173,기출문제!D:G,3,0),"")</f>
        <v>101. 동종 또는 유사업종의 기업들이 법적, 경제적 독립성을 유지하면서 협정을 통해 수평적으로 결합하는 형태는?
① 지주회사(Holding Company)
② 카르텔(Cartel)
③ 컨글로메리트(Conglomerate)
④ 트러스트(Trust)
⑤ 콘체른(Concern)</v>
      </c>
      <c r="F173" s="31">
        <f>IFERROR(VLOOKUP(C173,기출문제!D:G,4,0),"")</f>
        <v>2</v>
      </c>
      <c r="G173" s="32" t="str">
        <f t="shared" si="2"/>
        <v/>
      </c>
    </row>
    <row r="174" spans="2:7" ht="85.5" x14ac:dyDescent="0.3">
      <c r="B174" s="13">
        <v>167</v>
      </c>
      <c r="C174" s="14" t="s">
        <v>806</v>
      </c>
      <c r="D174" s="13"/>
      <c r="E174" s="15" t="str">
        <f>IFERROR(VLOOKUP(C174,기출문제!D:G,3,0),"")</f>
        <v>102. 포터(M. Porter)의 경쟁전략 유형에 해당하는 것은?
① 차별화(Differentitaion) 전략
② 블루오션(Blue Ocean) 전략
③ 방어자(Defender) 전략
④ 반응자(Reactor) 전략
⑤ 분석자(Analyzer) 전략</v>
      </c>
      <c r="F174" s="31">
        <f>IFERROR(VLOOKUP(C174,기출문제!D:G,4,0),"")</f>
        <v>1</v>
      </c>
      <c r="G174" s="32" t="str">
        <f t="shared" si="2"/>
        <v/>
      </c>
    </row>
    <row r="175" spans="2:7" ht="128.25" x14ac:dyDescent="0.3">
      <c r="B175" s="13">
        <v>168</v>
      </c>
      <c r="C175" s="14" t="s">
        <v>807</v>
      </c>
      <c r="D175" s="13"/>
      <c r="E175" s="15" t="str">
        <f>IFERROR(VLOOKUP(C175,기출문제!D:G,3,0),"")</f>
        <v>103. 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
① 기대이론
② 공정성이론
③ 욕구단계이론
④ 목표설정이론
⑤ 인지적평가이론</v>
      </c>
      <c r="F175" s="31">
        <f>IFERROR(VLOOKUP(C175,기출문제!D:G,4,0),"")</f>
        <v>2</v>
      </c>
      <c r="G175" s="32" t="str">
        <f t="shared" si="2"/>
        <v/>
      </c>
    </row>
    <row r="176" spans="2:7" ht="85.5" x14ac:dyDescent="0.3">
      <c r="B176" s="13">
        <v>169</v>
      </c>
      <c r="C176" s="14" t="s">
        <v>808</v>
      </c>
      <c r="D176" s="13"/>
      <c r="E176" s="15" t="str">
        <f>IFERROR(VLOOKUP(C176,기출문제!D:G,3,0),"")</f>
        <v>104. 평가센터법(Assessment Center)에 관한 설명으로 옳지 않은 것은?
① 평가에 대한 신뢰성이 양호하다.
② 승진에 대한 의사결정에 유용하다.
③ 교육훈련에 대한 타당성이 높다.
④ 평가센터에 초대받지 못한 종업원의 심리적 저항이 예상된다.
⑤ 다른 평가기법에 비해 상대적으로 비용과 시간이 적게 소요된다.</v>
      </c>
      <c r="F176" s="31">
        <f>IFERROR(VLOOKUP(C176,기출문제!D:G,4,0),"")</f>
        <v>5</v>
      </c>
      <c r="G176" s="32" t="str">
        <f t="shared" si="2"/>
        <v/>
      </c>
    </row>
    <row r="177" spans="2:7" ht="85.5" x14ac:dyDescent="0.3">
      <c r="B177" s="13">
        <v>170</v>
      </c>
      <c r="C177" s="14" t="s">
        <v>809</v>
      </c>
      <c r="D177" s="13"/>
      <c r="E177" s="15" t="str">
        <f>IFERROR(VLOOKUP(C177,기출문제!D:G,3,0),"")</f>
        <v>105. 최저임금제의 필요성으로 옳지 않은 것은?
① 계약자유 원칙의 한계 보완
② 저임금 노동자 보호
③ 임금인하 경쟁 방지
④ 유효수요 창출
⑤ 소비자 부담 완화</v>
      </c>
      <c r="F177" s="31">
        <f>IFERROR(VLOOKUP(C177,기출문제!D:G,4,0),"")</f>
        <v>5</v>
      </c>
      <c r="G177" s="32" t="str">
        <f t="shared" si="2"/>
        <v/>
      </c>
    </row>
    <row r="178" spans="2:7" ht="99.75" x14ac:dyDescent="0.3">
      <c r="B178" s="13">
        <v>171</v>
      </c>
      <c r="C178" s="14" t="s">
        <v>810</v>
      </c>
      <c r="D178" s="13"/>
      <c r="E178" s="15" t="str">
        <f>IFERROR(VLOOKUP(C178,기출문제!D:G,3,0),"")</f>
        <v>106. 인사평가방법중 피평가자의 능력, 태도, 작업, 성과 등에 관련된 표준행동들을 제시하고 평가자가 해당 서술문을 대조하여 평가하는 방법은?
① 서열법
② 평정척도법
③ 체크리스트법
④ 중요사건기술법
⑤ 목표관리법</v>
      </c>
      <c r="F178" s="31">
        <f>IFERROR(VLOOKUP(C178,기출문제!D:G,4,0),"")</f>
        <v>3</v>
      </c>
      <c r="G178" s="32" t="str">
        <f t="shared" si="2"/>
        <v/>
      </c>
    </row>
    <row r="179" spans="2:7" ht="85.5" x14ac:dyDescent="0.3">
      <c r="B179" s="13">
        <v>172</v>
      </c>
      <c r="C179" s="14" t="s">
        <v>811</v>
      </c>
      <c r="D179" s="13"/>
      <c r="E179" s="15" t="str">
        <f>IFERROR(VLOOKUP(C179,기출문제!D:G,3,0),"")</f>
        <v>107. 교육훈련 필요성을 파악하기 위한 일반적인 분석방법이 아닌 것은?
① 전문가 자문법
② 역할연기법
③ 자료조사법
④ 면접법
⑤ 델파이기법</v>
      </c>
      <c r="F179" s="31">
        <f>IFERROR(VLOOKUP(C179,기출문제!D:G,4,0),"")</f>
        <v>2</v>
      </c>
      <c r="G179" s="32" t="str">
        <f t="shared" si="2"/>
        <v/>
      </c>
    </row>
    <row r="180" spans="2:7" ht="99.75" x14ac:dyDescent="0.3">
      <c r="B180" s="13">
        <v>173</v>
      </c>
      <c r="C180" s="14" t="s">
        <v>812</v>
      </c>
      <c r="D180" s="13"/>
      <c r="E180" s="15" t="str">
        <f>IFERROR(VLOOKUP(C180,기출문제!D:G,3,0),"")</f>
        <v>108. 맥그리거(D. McGregor)의 X - Y이론은 인간에 대한 기본 가정에 따라 동기부여방식이 달라진다는 것이다. Y이론에 해당하는 가정 또는 동기부여방식이 아닌 것은?
① 문제해결을 위한 창조적 능력 보유
② 직무수행에 대한 분명한 지시
③ 조직목표 달성을 위한 자기 통제
④ 성취감과 자아실현 추구
⑤ 노동에 대한 자연스러운 수용</v>
      </c>
      <c r="F180" s="31">
        <f>IFERROR(VLOOKUP(C180,기출문제!D:G,4,0),"")</f>
        <v>2</v>
      </c>
      <c r="G180" s="32" t="str">
        <f t="shared" si="2"/>
        <v/>
      </c>
    </row>
    <row r="181" spans="2:7" ht="85.5" x14ac:dyDescent="0.3">
      <c r="B181" s="13">
        <v>174</v>
      </c>
      <c r="C181" s="14" t="s">
        <v>813</v>
      </c>
      <c r="D181" s="13"/>
      <c r="E181" s="15" t="str">
        <f>IFERROR(VLOOKUP(C181,기출문제!D:G,3,0),"")</f>
        <v>109. 서번트 리더의 특성으로 옳지 않은 것은?
① 부하의 성장을 위해 헌신한다.
② 부하의 감정에 공감하고 이해하려고 노력한다.
③ 권력이나 지시보다는 설득으로 부하를 대한다.
④ 조직의 구성원들에게 공동체 정신을 심어준다.
⑤ 비전 달성을 위해 위험감수 등 비범한 행동을 보인다.</v>
      </c>
      <c r="F181" s="31">
        <f>IFERROR(VLOOKUP(C181,기출문제!D:G,4,0),"")</f>
        <v>5</v>
      </c>
      <c r="G181" s="32" t="str">
        <f t="shared" si="2"/>
        <v/>
      </c>
    </row>
    <row r="182" spans="2:7" ht="128.25" x14ac:dyDescent="0.3">
      <c r="B182" s="13">
        <v>175</v>
      </c>
      <c r="C182" s="14" t="s">
        <v>814</v>
      </c>
      <c r="D182" s="13"/>
      <c r="E182" s="15" t="str">
        <f>IFERROR(VLOOKUP(C182,기출문제!D:G,3,0),"")</f>
        <v>110. 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
① 연봉제
② 개인성과급제
③ 임금피크제
④ 럭커 플랜
⑤ 스캔론 플랜</v>
      </c>
      <c r="F182" s="31">
        <f>IFERROR(VLOOKUP(C182,기출문제!D:G,4,0),"")</f>
        <v>4</v>
      </c>
      <c r="G182" s="32" t="str">
        <f t="shared" si="2"/>
        <v/>
      </c>
    </row>
    <row r="183" spans="2:7" ht="142.5" x14ac:dyDescent="0.3">
      <c r="B183" s="13">
        <v>176</v>
      </c>
      <c r="C183" s="14" t="s">
        <v>815</v>
      </c>
      <c r="D183" s="13"/>
      <c r="E183" s="15" t="str">
        <f>IFERROR(VLOOKUP(C183,기출문제!D:G,3,0),"")</f>
        <v>111. 다음에서 설명하는 소비재는?
○ 특정 브랜드에 대한 고객 충성도가 높다.
○ 제품마다 고유한 특성을 지니고 있다.
○ 브랜드마다 차이가 크다.
○ 구매 시 많은 시간과 노력을 필요로 한다.
① 편의품(Convenience Goods)
② 선매품(Shopping Goods)
③ 전문품(Specialty Goods)
④ 자본재(Captical Items)
⑤ 원자재(Raw Materials)</v>
      </c>
      <c r="F183" s="31">
        <f>IFERROR(VLOOKUP(C183,기출문제!D:G,4,0),"")</f>
        <v>3</v>
      </c>
      <c r="G183" s="32" t="str">
        <f t="shared" si="2"/>
        <v/>
      </c>
    </row>
    <row r="184" spans="2:7" ht="85.5" x14ac:dyDescent="0.3">
      <c r="B184" s="13">
        <v>177</v>
      </c>
      <c r="C184" s="14" t="s">
        <v>816</v>
      </c>
      <c r="D184" s="13"/>
      <c r="E184" s="15" t="str">
        <f>IFERROR(VLOOKUP(C184,기출문제!D:G,3,0),"")</f>
        <v>112. 신제품 가격결정방법 중 초기고가전략(Skimming Pricing)을 채택하기 어려운 이유는?
① 수요의 가격탄력성이 높은 경우
② 생산 및 마케팅 비용이 높은 경우
③ 경쟁자의 시장진입이 어려운 경우
④ 제품의 혁신성이 큰 경우
⑤ 독보적인 기술이 있는 경우</v>
      </c>
      <c r="F184" s="31">
        <f>IFERROR(VLOOKUP(C184,기출문제!D:G,4,0),"")</f>
        <v>1</v>
      </c>
      <c r="G184" s="32" t="str">
        <f t="shared" si="2"/>
        <v/>
      </c>
    </row>
    <row r="185" spans="2:7" ht="85.5" x14ac:dyDescent="0.3">
      <c r="B185" s="13">
        <v>178</v>
      </c>
      <c r="C185" s="14" t="s">
        <v>817</v>
      </c>
      <c r="D185" s="13"/>
      <c r="E185" s="15" t="str">
        <f>IFERROR(VLOOKUP(C185,기출문제!D:G,3,0),"")</f>
        <v>113. 효과적인 시장세분화를 위한 요건으로 옳지 않은 것은?
① 측정가능성
② 충분한 시장 규모
③ 접근가능성
④ 세분시장 간의 동질성
⑤ 실행가능성</v>
      </c>
      <c r="F185" s="31">
        <f>IFERROR(VLOOKUP(C185,기출문제!D:G,4,0),"")</f>
        <v>4</v>
      </c>
      <c r="G185" s="32" t="str">
        <f t="shared" si="2"/>
        <v/>
      </c>
    </row>
    <row r="186" spans="2:7" ht="85.5" x14ac:dyDescent="0.3">
      <c r="B186" s="13">
        <v>179</v>
      </c>
      <c r="C186" s="14" t="s">
        <v>818</v>
      </c>
      <c r="D186" s="13"/>
      <c r="E186" s="15" t="str">
        <f>IFERROR(VLOOKUP(C186,기출문제!D:G,3,0),"")</f>
        <v>114. 촉진믹스(Promotion Mix) 활동에 해당되지 않는 것은?
① 옥외광고
② 방문판매
③ 홍보
④ 가격할인
⑤ 개방적 유통</v>
      </c>
      <c r="F186" s="31">
        <f>IFERROR(VLOOKUP(C186,기출문제!D:G,4,0),"")</f>
        <v>5</v>
      </c>
      <c r="G186" s="32" t="str">
        <f t="shared" si="2"/>
        <v/>
      </c>
    </row>
    <row r="187" spans="2:7" ht="99.75" x14ac:dyDescent="0.3">
      <c r="B187" s="13">
        <v>180</v>
      </c>
      <c r="C187" s="14" t="s">
        <v>819</v>
      </c>
      <c r="D187" s="13"/>
      <c r="E187" s="15" t="str">
        <f>IFERROR(VLOOKUP(C187,기출문제!D:G,3,0),"")</f>
        <v>115. A기업은 액면가액 10,000원, 만기 2년, 액면이자율 연 3%인 채권을 발행하였다. 시장이자율이 연 2%라면, 이 채권의 이론가격은? (단, 가격은 소수점 첫째 자리에서 반올림한다.)
① 9,194원
② 9,594원
③ 10,194원
④ 10,594원
⑤ 10,994원</v>
      </c>
      <c r="F187" s="31">
        <f>IFERROR(VLOOKUP(C187,기출문제!D:G,4,0),"")</f>
        <v>3</v>
      </c>
      <c r="G187" s="32" t="str">
        <f t="shared" si="2"/>
        <v/>
      </c>
    </row>
    <row r="188" spans="2:7" ht="99.75" x14ac:dyDescent="0.3">
      <c r="B188" s="13">
        <v>181</v>
      </c>
      <c r="C188" s="14" t="s">
        <v>820</v>
      </c>
      <c r="D188" s="13"/>
      <c r="E188" s="15" t="str">
        <f>IFERROR(VLOOKUP(C188,기출문제!D:G,3,0),"")</f>
        <v>116. 자본예산은 투자로 인한 수익이 1년 이상에 걸쳐 장기적으로 실현될 투자결정에 관한 일련의 과정을 말한다. 투자안의 평가방법에 해당하지 않는 것은?
① 유동성분석법
② 수익성지수법
③ 순현재가치법
④ 내부수익률법
⑤ 회수기간법</v>
      </c>
      <c r="F188" s="31">
        <f>IFERROR(VLOOKUP(C188,기출문제!D:G,4,0),"")</f>
        <v>1</v>
      </c>
      <c r="G188" s="32" t="str">
        <f t="shared" si="2"/>
        <v/>
      </c>
    </row>
    <row r="189" spans="2:7" ht="114" x14ac:dyDescent="0.3">
      <c r="B189" s="13">
        <v>182</v>
      </c>
      <c r="C189" s="14" t="s">
        <v>821</v>
      </c>
      <c r="D189" s="13"/>
      <c r="E189" s="15" t="str">
        <f>IFERROR(VLOOKUP(C189,기출문제!D:G,3,0),"")</f>
        <v>117. 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
① 90,910원
② 173,550원
③ 182,640원
④ 235,500원
⑤ 256,190원</v>
      </c>
      <c r="F189" s="31">
        <f>IFERROR(VLOOKUP(C189,기출문제!D:G,4,0),"")</f>
        <v>4</v>
      </c>
      <c r="G189" s="32" t="str">
        <f t="shared" si="2"/>
        <v/>
      </c>
    </row>
    <row r="190" spans="2:7" ht="99.75" x14ac:dyDescent="0.3">
      <c r="B190" s="13">
        <v>183</v>
      </c>
      <c r="C190" s="14" t="s">
        <v>822</v>
      </c>
      <c r="D190" s="13"/>
      <c r="E190" s="15" t="str">
        <f>IFERROR(VLOOKUP(C190,기출문제!D:G,3,0),"")</f>
        <v>118. 최종품목 또는 완제품의 주생산일정계획(Master Production Schedule)을 기반으로 제품생산에 필요한 각종 원자재, 부품, 중간조립품의 주문량과 주문시기를 결정하는 재고관리방법은?
① 자재소요계획(MRP)
② 적시(JIT) 생산시스템
③ 린(Lean) 생산
④ 공급사슬관리(SCM)
⑤ 칸반(Kanban) 시스템</v>
      </c>
      <c r="F190" s="31">
        <f>IFERROR(VLOOKUP(C190,기출문제!D:G,4,0),"")</f>
        <v>1</v>
      </c>
      <c r="G190" s="32" t="str">
        <f t="shared" si="2"/>
        <v/>
      </c>
    </row>
    <row r="191" spans="2:7" ht="99.75" x14ac:dyDescent="0.3">
      <c r="B191" s="13">
        <v>184</v>
      </c>
      <c r="C191" s="14" t="s">
        <v>823</v>
      </c>
      <c r="D191" s="13"/>
      <c r="E191" s="15" t="str">
        <f>IFERROR(VLOOKUP(C191,기출문제!D:G,3,0),"")</f>
        <v>119. 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
① 50대, 5회
② 50대, 10회
③ 100대, 5회
④ 100대, 7회
⑤ 250대, 2회</v>
      </c>
      <c r="F191" s="31">
        <f>IFERROR(VLOOKUP(C191,기출문제!D:G,4,0),"")</f>
        <v>3</v>
      </c>
      <c r="G191" s="32" t="str">
        <f t="shared" si="2"/>
        <v/>
      </c>
    </row>
    <row r="192" spans="2:7" ht="85.5" x14ac:dyDescent="0.3">
      <c r="B192" s="13">
        <v>185</v>
      </c>
      <c r="C192" s="14" t="s">
        <v>824</v>
      </c>
      <c r="D192" s="13"/>
      <c r="E192" s="15" t="str">
        <f>IFERROR(VLOOKUP(C192,기출문제!D:G,3,0),"")</f>
        <v>120. 재고품목을 가치나 상대적 중요도에 따라 차별화하여 관리하는 ABC 재고관리에 관한 설명으로 옳은 것은?
① A등급은 재고가치가 낮은 품목들이 속한다.
② A등급 품목은 로트 크기를 크게 유지한다.
③ C등급 품목은 재고유지비가 높다.
④ ABC등급 분석을 위해 롱테일(Long Tail)법칙을 활용한다.
⑤ 가격, 사용량 등을 기준으로 등급을 구분한다.</v>
      </c>
      <c r="F192" s="31">
        <f>IFERROR(VLOOKUP(C192,기출문제!D:G,4,0),"")</f>
        <v>5</v>
      </c>
      <c r="G192" s="32" t="str">
        <f t="shared" si="2"/>
        <v/>
      </c>
    </row>
    <row r="193" spans="2:7" ht="114" x14ac:dyDescent="0.3">
      <c r="B193" s="13">
        <v>186</v>
      </c>
      <c r="C193" s="14" t="s">
        <v>825</v>
      </c>
      <c r="D193" s="13"/>
      <c r="E193" s="15" t="str">
        <f>IFERROR(VLOOKUP(C193,기출문제!D:G,3,0),"")</f>
        <v>121. 시산표는 재무상태표 구성요소와 포괄손익계산서 구성요소를 한 곳에 집계한 표이다. 다음 시산표 등식에서 ( )에 들어갈 항목으로 옳은 것은?
○ 자산 + 비용 = 부채 + ( ) + 수익
① 매출액
② 자본
③ 법인세
④ 미지급금
⑤ 감가상각비</v>
      </c>
      <c r="F193" s="31">
        <f>IFERROR(VLOOKUP(C193,기출문제!D:G,4,0),"")</f>
        <v>2</v>
      </c>
      <c r="G193" s="32" t="str">
        <f t="shared" si="2"/>
        <v/>
      </c>
    </row>
    <row r="194" spans="2:7" ht="142.5" x14ac:dyDescent="0.3">
      <c r="B194" s="13">
        <v>187</v>
      </c>
      <c r="C194" s="14" t="s">
        <v>826</v>
      </c>
      <c r="D194" s="13"/>
      <c r="E194" s="15" t="str">
        <f>IFERROR(VLOOKUP(C194,기출문제!D:G,3,0),"")</f>
        <v>122. 당좌자산에 해당하는 것을 모두 고른 것은?
ㄱ. 현금
ㄴ. 보통예금
ㄷ. 투자부동산
ㄹ. 단기금융상품
① ㄱ, ㄴ
② ㄷ, ㄹ
③ ㄱ, ㄴ, ㄹ
④ ㄴ, ㄷ, ㄹ
⑤ ㄱ, ㄴ, ㄷ, ㄹ</v>
      </c>
      <c r="F194" s="31">
        <f>IFERROR(VLOOKUP(C194,기출문제!D:G,4,0),"")</f>
        <v>3</v>
      </c>
      <c r="G194" s="32" t="str">
        <f t="shared" si="2"/>
        <v/>
      </c>
    </row>
    <row r="195" spans="2:7" ht="85.5" x14ac:dyDescent="0.3">
      <c r="B195" s="13">
        <v>188</v>
      </c>
      <c r="C195" s="14" t="s">
        <v>827</v>
      </c>
      <c r="D195" s="13"/>
      <c r="E195" s="15" t="str">
        <f>IFERROR(VLOOKUP(C195,기출문제!D:G,3,0),"")</f>
        <v>123. 재무상태표의 항목에 해당되지 않는 것은?
① 차입금
② 이익잉여금
③ 매출채권
④ 판매비
⑤ 재고자산</v>
      </c>
      <c r="F195" s="31">
        <f>IFERROR(VLOOKUP(C195,기출문제!D:G,4,0),"")</f>
        <v>4</v>
      </c>
      <c r="G195" s="32" t="str">
        <f t="shared" si="2"/>
        <v/>
      </c>
    </row>
    <row r="196" spans="2:7" ht="99.75" x14ac:dyDescent="0.3">
      <c r="B196" s="13">
        <v>189</v>
      </c>
      <c r="C196" s="14" t="s">
        <v>828</v>
      </c>
      <c r="D196" s="13"/>
      <c r="E196" s="15" t="str">
        <f>IFERROR(VLOOKUP(C196,기출문제!D:G,3,0),"")</f>
        <v>124. 네트워크 붕괴를 목적으로 다수의 잘못된 통신이나 서비스 요청을 특정 네트워크 또는 웹 서버에 보내는 방식을 의미하는 것은?
① 스푸핑(Spoofing)
② 스니핑(Sniffing)
③ 서비스 거부 공격(Denial - of - Service Attack)
④ 신원도용(Identity Theft)
⑤ 피싱(Phishing)</v>
      </c>
      <c r="F196" s="31">
        <f>IFERROR(VLOOKUP(C196,기출문제!D:G,4,0),"")</f>
        <v>3</v>
      </c>
      <c r="G196" s="32" t="str">
        <f t="shared" si="2"/>
        <v/>
      </c>
    </row>
    <row r="197" spans="2:7" ht="114" x14ac:dyDescent="0.3">
      <c r="B197" s="13">
        <v>190</v>
      </c>
      <c r="C197" s="14" t="s">
        <v>829</v>
      </c>
      <c r="D197" s="13"/>
      <c r="E197" s="15" t="str">
        <f>IFERROR(VLOOKUP(C197,기출문제!D:G,3,0),"")</f>
        <v>125. 다음에서 설명하는 것은?
○ 지리적으로 분산된 네트워크 환경에서 수 많은 컴퓨터와 저장장치, 데이터베이스 시스템 등과 같은 자원들을 고속 네트워크로 연결하여 그 자원을 공유할 수 있도록 하는 방식
① 전문가 시스템(Expert System)
② 그린 컴퓨팅(Green Computing)
③ 사물인터넷(Internet of Things)
④ 그리드 컴퓨팅(Grid Computing)
⑤ 인트라넷(Intranet)</v>
      </c>
      <c r="F197" s="31">
        <f>IFERROR(VLOOKUP(C197,기출문제!D:G,4,0),"")</f>
        <v>4</v>
      </c>
      <c r="G197" s="32" t="str">
        <f t="shared" si="2"/>
        <v/>
      </c>
    </row>
    <row r="198" spans="2:7" ht="85.5" x14ac:dyDescent="0.3">
      <c r="B198" s="13">
        <v>191</v>
      </c>
      <c r="C198" s="14" t="s">
        <v>232</v>
      </c>
      <c r="D198" s="13"/>
      <c r="E198" s="15" t="str">
        <f>IFERROR(VLOOKUP(C198,기출문제!D:G,3,0),"")</f>
        <v>101. 제품/시장 매트릭스(product/market matrix)에서 신제품을 가지고 신시장에 진출하는 성장전략은?
① 다각화 전략
② 제품개발 전략
③ 집중화 전략
④ 시장침투 전략
⑤ 시장개발 전략</v>
      </c>
      <c r="F198" s="31">
        <f>IFERROR(VLOOKUP(C198,기출문제!D:G,4,0),"")</f>
        <v>1</v>
      </c>
      <c r="G198" s="32" t="str">
        <f t="shared" si="2"/>
        <v/>
      </c>
    </row>
    <row r="199" spans="2:7" ht="85.5" x14ac:dyDescent="0.3">
      <c r="B199" s="13">
        <v>192</v>
      </c>
      <c r="C199" s="14" t="s">
        <v>977</v>
      </c>
      <c r="D199" s="13"/>
      <c r="E199" s="15" t="str">
        <f>IFERROR(VLOOKUP(C199,기출문제!D:G,3,0),"")</f>
        <v>102. 경영이론의 주창자와 그 내용이 옳지 않은 것은?
① 테일러(Taylor): 차별적 성과급제
② 메이요(Mayo): 비공식 조직의 중시
③ 페이욜(Fayol): 권한과 책임의 원칙
④ 포드(Ford): 고임금 고가격의 원칙
⑤ 베버(Weber): 규칙과 절차의 중시</v>
      </c>
      <c r="F199" s="31">
        <f>IFERROR(VLOOKUP(C199,기출문제!D:G,4,0),"")</f>
        <v>4</v>
      </c>
      <c r="G199" s="32" t="str">
        <f t="shared" si="2"/>
        <v/>
      </c>
    </row>
    <row r="200" spans="2:7" ht="85.5" x14ac:dyDescent="0.3">
      <c r="B200" s="13">
        <v>193</v>
      </c>
      <c r="C200" s="14" t="s">
        <v>978</v>
      </c>
      <c r="D200" s="13"/>
      <c r="E200" s="15" t="str">
        <f>IFERROR(VLOOKUP(C200,기출문제!D:G,3,0),"")</f>
        <v>103. 생산수량과 일정을 토대로 필요한 자재조달 계획을 수립하는 관리시스템은?
① CIM
② FMS
③ MRP
④ SCM
⑤ TQM</v>
      </c>
      <c r="F200" s="31">
        <f>IFERROR(VLOOKUP(C200,기출문제!D:G,4,0),"")</f>
        <v>3</v>
      </c>
      <c r="G200" s="32" t="str">
        <f t="shared" si="2"/>
        <v/>
      </c>
    </row>
    <row r="201" spans="2:7" ht="128.25" x14ac:dyDescent="0.3">
      <c r="B201" s="13">
        <v>194</v>
      </c>
      <c r="C201" s="14" t="s">
        <v>979</v>
      </c>
      <c r="D201" s="13"/>
      <c r="E201" s="15" t="str">
        <f>IFERROR(VLOOKUP(C201,기출문제!D:G,3,0),"")</f>
        <v>104. 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
① 제도화이론
② 자원의존이론
③ 조직군생태학이론
④ 거래비용이론
⑤ 학습조직이론</v>
      </c>
      <c r="F201" s="31">
        <f>IFERROR(VLOOKUP(C201,기출문제!D:G,4,0),"")</f>
        <v>2</v>
      </c>
      <c r="G201" s="32" t="str">
        <f t="shared" ref="G201:G264" si="3">IF(D201="","",IF(D201=F201,"O", "X"))</f>
        <v/>
      </c>
    </row>
    <row r="202" spans="2:7" ht="128.25" x14ac:dyDescent="0.3">
      <c r="B202" s="13">
        <v>195</v>
      </c>
      <c r="C202" s="14" t="s">
        <v>980</v>
      </c>
      <c r="D202" s="13"/>
      <c r="E202" s="15" t="str">
        <f>IFERROR(VLOOKUP(C202,기출문제!D:G,3,0),"")</f>
        <v>105. 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
① 직무순환
② 직무전문화
③ 직무특성화
④ 수평적 직무확대
⑤ 직무충실화</v>
      </c>
      <c r="F202" s="31">
        <f>IFERROR(VLOOKUP(C202,기출문제!D:G,4,0),"")</f>
        <v>5</v>
      </c>
      <c r="G202" s="32" t="str">
        <f t="shared" si="3"/>
        <v/>
      </c>
    </row>
    <row r="203" spans="2:7" ht="142.5" x14ac:dyDescent="0.3">
      <c r="B203" s="13">
        <v>196</v>
      </c>
      <c r="C203" s="14" t="s">
        <v>981</v>
      </c>
      <c r="D203" s="13"/>
      <c r="E203" s="15" t="str">
        <f>IFERROR(VLOOKUP(C203,기출문제!D:G,3,0),"")</f>
        <v>106. 호손실험(Hawthorne experiment)의 순서가 바르게 나열된 것은?
ㄱ. 면접실험
ㄴ. 조명실험
ㄷ. 배전기 전선작업실 관찰
ㄹ. 계전기 조립실험
① ㄱ → ㄴ → ㄷ → ㄹ
② ㄱ → ㄹ → ㄷ → ㄴ
③ ㄴ → ㄹ → ㄱ → ㄷ
④ ㄴ → ㄹ → ㄷ → ㄱ
⑤ ㄹ → ㄱ → ㄷ → ㄴ</v>
      </c>
      <c r="F203" s="31">
        <f>IFERROR(VLOOKUP(C203,기출문제!D:G,4,0),"")</f>
        <v>3</v>
      </c>
      <c r="G203" s="32" t="str">
        <f t="shared" si="3"/>
        <v/>
      </c>
    </row>
    <row r="204" spans="2:7" ht="85.5" x14ac:dyDescent="0.3">
      <c r="B204" s="13">
        <v>197</v>
      </c>
      <c r="C204" s="14" t="s">
        <v>982</v>
      </c>
      <c r="D204" s="13"/>
      <c r="E204" s="15" t="str">
        <f>IFERROR(VLOOKUP(C204,기출문제!D:G,3,0),"")</f>
        <v>107. 기대이론에서 동기부여를 유발하는 요인에 관한 설명으로 옳지 않은 것은?
① 수단성이 높아야 동기부여가 된다.
② 기대가 높아야 동기부여가 된다.
③ 조직에 대한 신뢰가 클수록 수단성이 높아진다.
④ 가치관에 부합되는 보상이 주어질수록 유의성이 높아진다.
⑤ 종업원들은 주어진 보상에 대하여 동일한 유의성을 갖는다.</v>
      </c>
      <c r="F204" s="31">
        <f>IFERROR(VLOOKUP(C204,기출문제!D:G,4,0),"")</f>
        <v>5</v>
      </c>
      <c r="G204" s="32" t="str">
        <f t="shared" si="3"/>
        <v/>
      </c>
    </row>
    <row r="205" spans="2:7" ht="85.5" x14ac:dyDescent="0.3">
      <c r="B205" s="13">
        <v>198</v>
      </c>
      <c r="C205" s="14" t="s">
        <v>983</v>
      </c>
      <c r="D205" s="13"/>
      <c r="E205" s="15" t="str">
        <f>IFERROR(VLOOKUP(C205,기출문제!D:G,3,0),"")</f>
        <v>108. 리더십에 관한 설명으로 옳지 않은 것은?
① 거래적 리더십은 리더와 종업원 사이의 교환이나 거래관계를 통해 발휘된다.
② 서번트 리더십은 목표달성이라는 결과보다 구성원에 대한 서비스에 초점을 둔다.
③ 카리스마적 리더십은 비전달성을 위해 위험감수 등 비범한 행동을 보인다.
④ 변혁적 리더십은 장기비전을 제시하고 구성원들의 가치관 변화와 조직몰입을 증가시킨다.
⑤ 슈퍼 리더십은 리더가 종업원들을 관리하고 통제할 수 있는 힘과 기술을 가지도록 하는데 초점을 둔다.</v>
      </c>
      <c r="F205" s="31">
        <f>IFERROR(VLOOKUP(C205,기출문제!D:G,4,0),"")</f>
        <v>5</v>
      </c>
      <c r="G205" s="32" t="str">
        <f t="shared" si="3"/>
        <v/>
      </c>
    </row>
    <row r="206" spans="2:7" ht="85.5" x14ac:dyDescent="0.3">
      <c r="B206" s="13">
        <v>199</v>
      </c>
      <c r="C206" s="14" t="s">
        <v>984</v>
      </c>
      <c r="D206" s="13"/>
      <c r="E206" s="15" t="str">
        <f>IFERROR(VLOOKUP(C206,기출문제!D:G,3,0),"")</f>
        <v>109. 질적 인력수요 예측기법에 해당하지 않는 것은?
① 브레인스토밍법
② 명목집단법
③ 시나리오 기법
④ 자격요건 분석법
⑤ 노동과학적 기법</v>
      </c>
      <c r="F206" s="31">
        <f>IFERROR(VLOOKUP(C206,기출문제!D:G,4,0),"")</f>
        <v>5</v>
      </c>
      <c r="G206" s="32" t="str">
        <f t="shared" si="3"/>
        <v/>
      </c>
    </row>
    <row r="207" spans="2:7" ht="85.5" x14ac:dyDescent="0.3">
      <c r="B207" s="13">
        <v>200</v>
      </c>
      <c r="C207" s="14" t="s">
        <v>985</v>
      </c>
      <c r="D207" s="13"/>
      <c r="E207" s="15" t="str">
        <f>IFERROR(VLOOKUP(C207,기출문제!D:G,3,0),"")</f>
        <v>110. 종업원 선발을 위한 면접에 관한 설명으로 옳은 것은?
① 비구조화 면접은 표준화된 질문지를 사용한다.
② 집단 면접의 경우 맥락효과(context effect)가 발생할 수 있다.
③ 면접의 신뢰성과 타당성을 높이기 위해 면접내용 개발 단계에서 면접관이나 경영진을 배제한다.
④ 위원회 면접은 한명의 면접자가 여러 명의 피면접자를 평가하는 방식이다.
⑤ 스트레스 면접은 여러 시기에 걸쳐 여러 사람이 면접하는 방식이다.</v>
      </c>
      <c r="F207" s="31">
        <f>IFERROR(VLOOKUP(C207,기출문제!D:G,4,0),"")</f>
        <v>2</v>
      </c>
      <c r="G207" s="32" t="str">
        <f t="shared" si="3"/>
        <v/>
      </c>
    </row>
    <row r="208" spans="2:7" ht="85.5" x14ac:dyDescent="0.3">
      <c r="B208" s="13">
        <v>201</v>
      </c>
      <c r="C208" s="14" t="s">
        <v>986</v>
      </c>
      <c r="D208" s="13"/>
      <c r="E208" s="15" t="str">
        <f>IFERROR(VLOOKUP(C208,기출문제!D:G,3,0),"")</f>
        <v>111. 노사관계에 관한 설명으로 옳지 않은 것은?
① 좁은 의미의 노사관계는 집단적 노사관계를 의미한다.
② 메인트넌스 숍(maintenance shop)은 조합원이 아닌 종업원에게도 노동조합비를 징수하는 제도이다.
③ 우리나라 노동조합의 조직형태는 기업별 노조가 대부분이다.
④ 사용자는 노동조합의 파업에 대응하여 직장을 폐쇄할 수 있다.
⑤ 채용이후 자동적으로 노동조합에 가입하는 제도는 유니온 숍(union shop)이다.</v>
      </c>
      <c r="F208" s="31">
        <f>IFERROR(VLOOKUP(C208,기출문제!D:G,4,0),"")</f>
        <v>2</v>
      </c>
      <c r="G208" s="32" t="str">
        <f t="shared" si="3"/>
        <v/>
      </c>
    </row>
    <row r="209" spans="2:7" ht="85.5" x14ac:dyDescent="0.3">
      <c r="B209" s="13">
        <v>202</v>
      </c>
      <c r="C209" s="14" t="s">
        <v>987</v>
      </c>
      <c r="D209" s="13"/>
      <c r="E209" s="15" t="str">
        <f>IFERROR(VLOOKUP(C209,기출문제!D:G,3,0),"")</f>
        <v>112. 시장세분화에 관한 설명으로 옳지 않은 것은?
① 세분화된 시장 내에서는 이질성이 극대화 되도록 해야 한다.
② 효과적인 시장세분화를 위해서는 시장의 규모가 측정 가능해야 한다.
③ 나이, 성별, 소득은 인구통계학적 세분화 기준에 속한다.
④ 제품사용 상황, 추구편익은 행동적 세분화 기준에 속한다.
⑤ 라이프스타일, 성격은 심리도식적 세분화 기준에 속한다.</v>
      </c>
      <c r="F209" s="31">
        <f>IFERROR(VLOOKUP(C209,기출문제!D:G,4,0),"")</f>
        <v>1</v>
      </c>
      <c r="G209" s="32" t="str">
        <f t="shared" si="3"/>
        <v/>
      </c>
    </row>
    <row r="210" spans="2:7" ht="85.5" x14ac:dyDescent="0.3">
      <c r="B210" s="13">
        <v>203</v>
      </c>
      <c r="C210" s="14" t="s">
        <v>988</v>
      </c>
      <c r="D210" s="13"/>
      <c r="E210" s="15" t="str">
        <f>IFERROR(VLOOKUP(C210,기출문제!D:G,3,0),"")</f>
        <v>113. A 사가 프린터를 저렴하게 판매한 후, 그 프린터의 토너를 비싼 가격으로 결정하는 방법은?
① 종속제품 가격결정(captive product pricing)
② 묶음 가격결정(bundle pricing)
③ 단수 가격결정(odd pricing)
④ 침투 가격결정(penetration pricing)
⑤ 스키밍 가격결정(skimming pricing)</v>
      </c>
      <c r="F210" s="31">
        <f>IFERROR(VLOOKUP(C210,기출문제!D:G,4,0),"")</f>
        <v>1</v>
      </c>
      <c r="G210" s="32" t="str">
        <f t="shared" si="3"/>
        <v/>
      </c>
    </row>
    <row r="211" spans="2:7" ht="85.5" x14ac:dyDescent="0.3">
      <c r="B211" s="13">
        <v>204</v>
      </c>
      <c r="C211" s="14" t="s">
        <v>989</v>
      </c>
      <c r="D211" s="13"/>
      <c r="E211" s="15" t="str">
        <f>IFERROR(VLOOKUP(C211,기출문제!D:G,3,0),"")</f>
        <v>114. 제품 구성요소 중 유형제품(tangible product)에 해당하는 것은?
① 보증(guarantee)
② 상표명(brand name)
③ 대금결제방식(payment)
④ 배달(delivery)
⑤ 애프터 서비스(after service)</v>
      </c>
      <c r="F211" s="31">
        <f>IFERROR(VLOOKUP(C211,기출문제!D:G,4,0),"")</f>
        <v>2</v>
      </c>
      <c r="G211" s="32" t="str">
        <f t="shared" si="3"/>
        <v/>
      </c>
    </row>
    <row r="212" spans="2:7" ht="128.25" x14ac:dyDescent="0.3">
      <c r="B212" s="13">
        <v>205</v>
      </c>
      <c r="C212" s="14" t="s">
        <v>990</v>
      </c>
      <c r="D212" s="13"/>
      <c r="E212" s="15" t="str">
        <f>IFERROR(VLOOKUP(C212,기출문제!D:G,3,0),"")</f>
        <v>115. 다음에서 증권시장선(SML)을 이용하여 A 주식의 균형기대수익률을 구한 값은?
○ 무위험이자율: 5%
○ 시장포트폴리오 기대수익률: 10%
○ A 주식의 베타: 1.2
① 5%
② 7%
③ 9%
④ 11%
⑤ 13%</v>
      </c>
      <c r="F212" s="31">
        <f>IFERROR(VLOOKUP(C212,기출문제!D:G,4,0),"")</f>
        <v>4</v>
      </c>
      <c r="G212" s="32" t="str">
        <f t="shared" si="3"/>
        <v/>
      </c>
    </row>
    <row r="213" spans="2:7" ht="85.5" x14ac:dyDescent="0.3">
      <c r="B213" s="13">
        <v>206</v>
      </c>
      <c r="C213" s="14" t="s">
        <v>991</v>
      </c>
      <c r="D213" s="13"/>
      <c r="E213" s="15" t="str">
        <f>IFERROR(VLOOKUP(C213,기출문제!D:G,3,0),"")</f>
        <v>116. 자본자산가격결정모형(CAPM)의 가정으로 옳지 않은 것은?
① 투자자는 위험회피형 투자자이며 기대효용 극대화를 추구한다.
② 무위험자산이 존재하며, 무위험이자율로 무제한 차입 또는 대출이 가능하다.
③ 세금과 거래비용이 존재하는 불완전 자본시장이다.
④ 투자자는 평균 - 분산 기준에 따라 포트폴리오를 선택한다.
⑤ 모든 투자자는 투자대상의 미래 수익률의 확률분포에 대하여 동질적 예측을 한다.</v>
      </c>
      <c r="F213" s="31">
        <f>IFERROR(VLOOKUP(C213,기출문제!D:G,4,0),"")</f>
        <v>3</v>
      </c>
      <c r="G213" s="32" t="str">
        <f t="shared" si="3"/>
        <v/>
      </c>
    </row>
    <row r="214" spans="2:7" ht="142.5" x14ac:dyDescent="0.3">
      <c r="B214" s="13">
        <v>207</v>
      </c>
      <c r="C214" s="14" t="s">
        <v>670</v>
      </c>
      <c r="D214" s="13"/>
      <c r="E214" s="15" t="str">
        <f>IFERROR(VLOOKUP(C214,기출문제!D:G,3,0),"")</f>
        <v>117. 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
① ㄱ, ㄴ
② ㄴ, ㄷ
③ ㄱ, ㄹ
④ ㄷ, ㄹ
⑤ ㄴ, ㄷ, ㄹ</v>
      </c>
      <c r="F214" s="31">
        <f>IFERROR(VLOOKUP(C214,기출문제!D:G,4,0),"")</f>
        <v>3</v>
      </c>
      <c r="G214" s="32" t="str">
        <f t="shared" si="3"/>
        <v/>
      </c>
    </row>
    <row r="215" spans="2:7" ht="85.5" x14ac:dyDescent="0.3">
      <c r="B215" s="13">
        <v>208</v>
      </c>
      <c r="C215" s="14" t="s">
        <v>992</v>
      </c>
      <c r="D215" s="13"/>
      <c r="E215" s="15" t="str">
        <f>IFERROR(VLOOKUP(C215,기출문제!D:G,3,0),"")</f>
        <v>118. 유동비율 = (A) / 유동부채 × 100, 자기자본순이익률(ROE) = (1 + 부채비율) × (B)일 때, 각각 옳게 짝지어진 것은?
① A: 유동자산, B: 총자본순이익률
② A: 유동자산, B: 매출액순이익률
③ A: 유동자산, B: 총자본회전율
④ A: 유형자산, B: 총자본회전율
⑤ A: 유형자산, B: 매출액영업이익률</v>
      </c>
      <c r="F215" s="31">
        <f>IFERROR(VLOOKUP(C215,기출문제!D:G,4,0),"")</f>
        <v>1</v>
      </c>
      <c r="G215" s="32" t="str">
        <f t="shared" si="3"/>
        <v/>
      </c>
    </row>
    <row r="216" spans="2:7" ht="85.5" x14ac:dyDescent="0.3">
      <c r="B216" s="13">
        <v>209</v>
      </c>
      <c r="C216" s="14" t="s">
        <v>993</v>
      </c>
      <c r="D216" s="13"/>
      <c r="E216" s="15" t="str">
        <f>IFERROR(VLOOKUP(C216,기출문제!D:G,3,0),"")</f>
        <v>119. 회계감사의 감사의견에 포함되지 않는 것은?
① 적정 의견
② 부적정 의견
③ 한정 의견
④ 불한정 의견
⑤ 의견 거절</v>
      </c>
      <c r="F216" s="31">
        <f>IFERROR(VLOOKUP(C216,기출문제!D:G,4,0),"")</f>
        <v>4</v>
      </c>
      <c r="G216" s="32" t="str">
        <f t="shared" si="3"/>
        <v/>
      </c>
    </row>
    <row r="217" spans="2:7" ht="85.5" x14ac:dyDescent="0.3">
      <c r="B217" s="13">
        <v>210</v>
      </c>
      <c r="C217" s="14" t="s">
        <v>994</v>
      </c>
      <c r="D217" s="13"/>
      <c r="E217" s="15" t="str">
        <f>IFERROR(VLOOKUP(C217,기출문제!D:G,3,0),"")</f>
        <v>120. 자본 항목에 해당하는 것은?
① 이익잉여금
② 사채
③ 영업권
④ 미수수익
⑤ 선수수익</v>
      </c>
      <c r="F217" s="31">
        <f>IFERROR(VLOOKUP(C217,기출문제!D:G,4,0),"")</f>
        <v>1</v>
      </c>
      <c r="G217" s="32" t="str">
        <f t="shared" si="3"/>
        <v/>
      </c>
    </row>
    <row r="218" spans="2:7" ht="114" x14ac:dyDescent="0.3">
      <c r="B218" s="13">
        <v>211</v>
      </c>
      <c r="C218" s="14" t="s">
        <v>995</v>
      </c>
      <c r="D218" s="13"/>
      <c r="E218" s="15" t="str">
        <f>IFERROR(VLOOKUP(C218,기출문제!D:G,3,0),"")</f>
        <v>21. 최근 3개월 자료로 가중이동평균법을 적용할 때, 5월의 예측생산량은? (단, 가중치는 0.5, 0.3, 0.2를 적용한다.)
○ 구분                  1월    2월    3월    4월
○ 제품생산량(개)   90만  70만  90만  110만
① 87만개
② 90만개
③ 93만개
④ 96만개
⑤ 99만개</v>
      </c>
      <c r="F218" s="31">
        <f>IFERROR(VLOOKUP(C218,기출문제!D:G,4,0),"")</f>
        <v>4</v>
      </c>
      <c r="G218" s="32" t="str">
        <f t="shared" si="3"/>
        <v/>
      </c>
    </row>
    <row r="219" spans="2:7" ht="114" x14ac:dyDescent="0.3">
      <c r="B219" s="13">
        <v>212</v>
      </c>
      <c r="C219" s="14" t="s">
        <v>996</v>
      </c>
      <c r="D219" s="13"/>
      <c r="E219" s="15" t="str">
        <f>IFERROR(VLOOKUP(C219,기출문제!D:G,3,0),"")</f>
        <v>122. 다음이 설명하는 기법은?
○ 비구조적인 문제를 다루는데 유용하다.
○ 경험을 체계화하고 정형화하여 해결책을 발견한다.
① 팀 빌딩
② 휴리스틱
③ 군집분석
④ 회귀분석
⑤ 선형계획법</v>
      </c>
      <c r="F219" s="31">
        <f>IFERROR(VLOOKUP(C219,기출문제!D:G,4,0),"")</f>
        <v>2</v>
      </c>
      <c r="G219" s="32" t="str">
        <f t="shared" si="3"/>
        <v/>
      </c>
    </row>
    <row r="220" spans="2:7" ht="85.5" x14ac:dyDescent="0.3">
      <c r="B220" s="13">
        <v>213</v>
      </c>
      <c r="C220" s="14" t="s">
        <v>997</v>
      </c>
      <c r="D220" s="13"/>
      <c r="E220" s="15" t="str">
        <f>IFERROR(VLOOKUP(C220,기출문제!D:G,3,0),"")</f>
        <v>123. 전사적 자원관리(ERP) 도입의 효과가 아닌 것은?
① 신기술 수용 및 활용
② 사업장 및 업무통합
③ 고객 이미지 개선
④ 정보 적시 제공
⑤ 업무프로세스 복잡화</v>
      </c>
      <c r="F220" s="31">
        <f>IFERROR(VLOOKUP(C220,기출문제!D:G,4,0),"")</f>
        <v>5</v>
      </c>
      <c r="G220" s="32" t="str">
        <f t="shared" si="3"/>
        <v/>
      </c>
    </row>
    <row r="221" spans="2:7" ht="85.5" x14ac:dyDescent="0.3">
      <c r="B221" s="13">
        <v>214</v>
      </c>
      <c r="C221" s="14" t="s">
        <v>998</v>
      </c>
      <c r="D221" s="13"/>
      <c r="E221" s="15" t="str">
        <f>IFERROR(VLOOKUP(C221,기출문제!D:G,3,0),"")</f>
        <v>124. 모바일 비즈니스의 특성으로 옳지 않은 것은?
① 편재성
② 접근성
③ 고정성
④ 편리성
⑤ 접속성</v>
      </c>
      <c r="F221" s="31">
        <f>IFERROR(VLOOKUP(C221,기출문제!D:G,4,0),"")</f>
        <v>3</v>
      </c>
      <c r="G221" s="32" t="str">
        <f t="shared" si="3"/>
        <v/>
      </c>
    </row>
    <row r="222" spans="2:7" ht="142.5" x14ac:dyDescent="0.3">
      <c r="B222" s="13">
        <v>215</v>
      </c>
      <c r="C222" s="14" t="s">
        <v>999</v>
      </c>
      <c r="D222" s="13"/>
      <c r="E222" s="15" t="str">
        <f>IFERROR(VLOOKUP(C222,기출문제!D:G,3,0),"")</f>
        <v>125. 빅데이터(big data)의 기본적 특성(3V)으로 옳은 것을 모두 고른 것은?
ㄱ. 거대한 양(Volume)
ㄴ. 모호성(Vagueness)
ㄷ. 다양한 형태(Variety)
ㄹ. 생성 속도(Velocity)
① ㄱ, ㄴ
② ㄴ, ㄷ
③ ㄱ, ㄴ, ㄹ
④ ㄱ, ㄷ, ㄹ
⑤ ㄴ, ㄷ, ㄹ</v>
      </c>
      <c r="F222" s="31">
        <f>IFERROR(VLOOKUP(C222,기출문제!D:G,4,0),"")</f>
        <v>4</v>
      </c>
      <c r="G222" s="32" t="str">
        <f t="shared" si="3"/>
        <v/>
      </c>
    </row>
    <row r="223" spans="2:7" ht="85.5" x14ac:dyDescent="0.3">
      <c r="B223" s="13">
        <v>216</v>
      </c>
      <c r="C223" s="14" t="s">
        <v>276</v>
      </c>
      <c r="D223" s="13"/>
      <c r="E223" s="15" t="str">
        <f>IFERROR(VLOOKUP(C223,기출문제!D:G,3,0),"")</f>
        <v>101. 막스 베버(Max Weber)가 제시한 관료제이론의 주요 내용이 아닌 것은?
① 규정에 따른 직무배정과 직무수행
② 능력과 과업에 따른 선발과 승진
③ 상황적합적 관리
④ 계층에 의한 관리
⑤ 규칙과 문서에 의한 관리</v>
      </c>
      <c r="F223" s="31">
        <f>IFERROR(VLOOKUP(C223,기출문제!D:G,4,0),"")</f>
        <v>3</v>
      </c>
      <c r="G223" s="32" t="str">
        <f t="shared" si="3"/>
        <v/>
      </c>
    </row>
    <row r="224" spans="2:7" ht="85.5" x14ac:dyDescent="0.3">
      <c r="B224" s="13">
        <v>217</v>
      </c>
      <c r="C224" s="14" t="s">
        <v>1000</v>
      </c>
      <c r="D224" s="13"/>
      <c r="E224" s="15" t="str">
        <f>IFERROR(VLOOKUP(C224,기출문제!D:G,3,0),"")</f>
        <v>102. 매슬로우(A. H. Maslow)가 제시한 욕구단계이론의 내용이 아닌 것은?
① 권한위임에 대한 욕구
② 신체적 안전에 대한 욕구
③ 소속감이나 애정에 대한 욕구
④ 의식주에 대한 욕구
⑤ 존경받고 싶은 욕구</v>
      </c>
      <c r="F224" s="31">
        <f>IFERROR(VLOOKUP(C224,기출문제!D:G,4,0),"")</f>
        <v>1</v>
      </c>
      <c r="G224" s="32" t="str">
        <f t="shared" si="3"/>
        <v/>
      </c>
    </row>
    <row r="225" spans="2:7" ht="114" x14ac:dyDescent="0.3">
      <c r="B225" s="13">
        <v>218</v>
      </c>
      <c r="C225" s="14" t="s">
        <v>1001</v>
      </c>
      <c r="D225" s="13"/>
      <c r="E225" s="15" t="str">
        <f>IFERROR(VLOOKUP(C225,기출문제!D:G,3,0),"")</f>
        <v>103. 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
① 학습조직(Learning Organization)
② 다운사이징(Downsizing)
③ 리스트럭처링(Restructuring)
④ 리엔지니어링(Reengineering)
⑤ 6시그마(Six Sigma)</v>
      </c>
      <c r="F225" s="31">
        <f>IFERROR(VLOOKUP(C225,기출문제!D:G,4,0),"")</f>
        <v>5</v>
      </c>
      <c r="G225" s="32" t="str">
        <f t="shared" si="3"/>
        <v/>
      </c>
    </row>
    <row r="226" spans="2:7" ht="85.5" x14ac:dyDescent="0.3">
      <c r="B226" s="13">
        <v>219</v>
      </c>
      <c r="C226" s="14" t="s">
        <v>1002</v>
      </c>
      <c r="D226" s="13"/>
      <c r="E226" s="15" t="str">
        <f>IFERROR(VLOOKUP(C226,기출문제!D:G,3,0),"")</f>
        <v>104. 브릭스(BRICs)로 일컬어지는 신흥경제권 국가가 아닌 것은?
① 인도
② 캐나다
③ 러시아
④ 브라질
⑤ 중국</v>
      </c>
      <c r="F226" s="31">
        <f>IFERROR(VLOOKUP(C226,기출문제!D:G,4,0),"")</f>
        <v>2</v>
      </c>
      <c r="G226" s="32" t="str">
        <f t="shared" si="3"/>
        <v/>
      </c>
    </row>
    <row r="227" spans="2:7" ht="85.5" x14ac:dyDescent="0.3">
      <c r="B227" s="13">
        <v>220</v>
      </c>
      <c r="C227" s="14" t="s">
        <v>1003</v>
      </c>
      <c r="D227" s="13"/>
      <c r="E227" s="15" t="str">
        <f>IFERROR(VLOOKUP(C227,기출문제!D:G,3,0),"")</f>
        <v>105. 임금수준의 관리에 관한 설명으로 옳지 않은 것은?
① 대외적 공정성을 확보하기 위해서는 노동시장의 임금수준 파악이 필요하다.
② 기업의 임금 지불능력을 파악하는 기준으로 생산성과 수익성을 들 수 있다.
③ 임금수준 결정 시 선도전략은 유능한 종업원을 유인하는 효과가 크다.
④ 임금수준의 관리는 적정성의 원칙을 지향한다.
⑤ 임금수준의 하한선은 기업의 지불능력에 의하여 결정된다.</v>
      </c>
      <c r="F227" s="31">
        <f>IFERROR(VLOOKUP(C227,기출문제!D:G,4,0),"")</f>
        <v>5</v>
      </c>
      <c r="G227" s="32" t="str">
        <f t="shared" si="3"/>
        <v/>
      </c>
    </row>
    <row r="228" spans="2:7" ht="156.75" x14ac:dyDescent="0.3">
      <c r="B228" s="13">
        <v>221</v>
      </c>
      <c r="C228" s="14" t="s">
        <v>1004</v>
      </c>
      <c r="D228" s="13"/>
      <c r="E228" s="15" t="str">
        <f>IFERROR(VLOOKUP(C228,기출문제!D:G,3,0),"")</f>
        <v>106. 허츠버그(F. Herzberg)의 2요인이론에서 동기요인을 모두 고른 것은?
ㄱ. 상사와의 관계
ㄴ. 성취
ㄷ. 회사 정책 및 관리방침
ㄹ. 작업조건
ㅁ. 인정
① ㄱ, ㄴ
② ㄱ, ㅁ
③ ㄴ, ㄷ
④ ㄴ, ㅁ
⑤ ㄹ, ㅁ</v>
      </c>
      <c r="F228" s="31">
        <f>IFERROR(VLOOKUP(C228,기출문제!D:G,4,0),"")</f>
        <v>4</v>
      </c>
      <c r="G228" s="32" t="str">
        <f t="shared" si="3"/>
        <v/>
      </c>
    </row>
    <row r="229" spans="2:7" ht="114" x14ac:dyDescent="0.3">
      <c r="B229" s="13">
        <v>222</v>
      </c>
      <c r="C229" s="14" t="s">
        <v>1005</v>
      </c>
      <c r="D229" s="13"/>
      <c r="E229" s="15" t="str">
        <f>IFERROR(VLOOKUP(C229,기출문제!D:G,3,0),"")</f>
        <v>107. 다음 설명에 해당하는 인사평가기법은?
○ 평가자가 피평가자의 일상 작업생활에 대한 관찰 등을 통해 특별히 효과적이거나 비효과적인 행동, 업적 등을 기록하고 이를 평가시점에 정리하여 평가하는 기법
① 서열법
② 평정척도법
③ 체크리스트법
④ 중요사건기술법
⑤ 강제선택서술법</v>
      </c>
      <c r="F229" s="31">
        <f>IFERROR(VLOOKUP(C229,기출문제!D:G,4,0),"")</f>
        <v>4</v>
      </c>
      <c r="G229" s="32" t="str">
        <f t="shared" si="3"/>
        <v/>
      </c>
    </row>
    <row r="230" spans="2:7" ht="114" x14ac:dyDescent="0.3">
      <c r="B230" s="13">
        <v>223</v>
      </c>
      <c r="C230" s="14" t="s">
        <v>1006</v>
      </c>
      <c r="D230" s="13"/>
      <c r="E230" s="15" t="str">
        <f>IFERROR(VLOOKUP(C230,기출문제!D:G,3,0),"")</f>
        <v>108. 다음 설명에 해당하는 것은?
○ 전환배치 시 해당 종업원의 '능력(적성)-직무-시간' 이라는 세 가지 측면을 모두 고려하여 이들 간의 적합성을 극대화시켜야 된다는 원칙
① 연공주의
② 균형주의
③ 상향이동주의
④ 인재육성주의
⑤ 적재적소적시주의</v>
      </c>
      <c r="F230" s="31">
        <f>IFERROR(VLOOKUP(C230,기출문제!D:G,4,0),"")</f>
        <v>5</v>
      </c>
      <c r="G230" s="32" t="str">
        <f t="shared" si="3"/>
        <v/>
      </c>
    </row>
    <row r="231" spans="2:7" ht="85.5" x14ac:dyDescent="0.3">
      <c r="B231" s="13">
        <v>224</v>
      </c>
      <c r="C231" s="14" t="s">
        <v>1007</v>
      </c>
      <c r="D231" s="13"/>
      <c r="E231" s="15" t="str">
        <f>IFERROR(VLOOKUP(C231,기출문제!D:G,3,0),"")</f>
        <v>109. 인간관계론에 해당하는 내용은?
① 기획업무와 집행업무를 분리시킴으로써 계획과 통제의 개념 확립
② 시간 및 동작 연구를 통하여 표준 과업량 설정
③ 자연발생적으로 형성된 비공식 조직의 존재 인식
④ 과업에 적합한 근로자 선발 및 교육훈련 방법 고안
⑤ 전문기능별 책임자가 작업에 대한 분업적 지도 수행</v>
      </c>
      <c r="F231" s="31">
        <f>IFERROR(VLOOKUP(C231,기출문제!D:G,4,0),"")</f>
        <v>3</v>
      </c>
      <c r="G231" s="32" t="str">
        <f t="shared" si="3"/>
        <v/>
      </c>
    </row>
    <row r="232" spans="2:7" ht="85.5" x14ac:dyDescent="0.3">
      <c r="B232" s="13">
        <v>225</v>
      </c>
      <c r="C232" s="14" t="s">
        <v>1008</v>
      </c>
      <c r="D232" s="13"/>
      <c r="E232" s="15" t="str">
        <f>IFERROR(VLOOKUP(C232,기출문제!D:G,3,0),"")</f>
        <v>110. 직무기술서에 포함되는 사항이 아닌 것은?
① 요구되는 지식
② 작업 조건
③ 직무수행의 절차
④ 수행되는 과업
⑤ 직무수행의 방법</v>
      </c>
      <c r="F232" s="31">
        <f>IFERROR(VLOOKUP(C232,기출문제!D:G,4,0),"")</f>
        <v>1</v>
      </c>
      <c r="G232" s="32" t="str">
        <f t="shared" si="3"/>
        <v/>
      </c>
    </row>
    <row r="233" spans="2:7" ht="85.5" x14ac:dyDescent="0.3">
      <c r="B233" s="13">
        <v>226</v>
      </c>
      <c r="C233" s="14" t="s">
        <v>1009</v>
      </c>
      <c r="D233" s="13"/>
      <c r="E233" s="15" t="str">
        <f>IFERROR(VLOOKUP(C233,기출문제!D:G,3,0),"")</f>
        <v>111. 프렌치(J.R.P. French)와 레이븐(B. Raven)이 구분한 5가지 권력 유형이 아닌 것은?
① 합법적 권력
② 기회적 권력
③ 강제적 권력
④ 보상적 권력
⑤ 준거적 권력</v>
      </c>
      <c r="F233" s="31">
        <f>IFERROR(VLOOKUP(C233,기출문제!D:G,4,0),"")</f>
        <v>2</v>
      </c>
      <c r="G233" s="32" t="str">
        <f t="shared" si="3"/>
        <v/>
      </c>
    </row>
    <row r="234" spans="2:7" ht="99.75" x14ac:dyDescent="0.3">
      <c r="B234" s="13">
        <v>227</v>
      </c>
      <c r="C234" s="14" t="s">
        <v>1010</v>
      </c>
      <c r="D234" s="13"/>
      <c r="E234" s="15" t="str">
        <f>IFERROR(VLOOKUP(C234,기출문제!D:G,3,0),"")</f>
        <v>112. 다음 설명에 해당하는 지각 오류는?
○ 어떤 대상(개인)으로부터 얻은 일부 정보가 다른 부분의 여러 정보들을 해석할 때 영향을 미치는 것
① 자존적 편견
② 후광효과
③ 투사
④ 통제의 환상
⑤ 대조효과</v>
      </c>
      <c r="F234" s="31">
        <f>IFERROR(VLOOKUP(C234,기출문제!D:G,4,0),"")</f>
        <v>2</v>
      </c>
      <c r="G234" s="32" t="str">
        <f t="shared" si="3"/>
        <v/>
      </c>
    </row>
    <row r="235" spans="2:7" ht="85.5" x14ac:dyDescent="0.3">
      <c r="B235" s="13">
        <v>228</v>
      </c>
      <c r="C235" s="14" t="s">
        <v>1011</v>
      </c>
      <c r="D235" s="13"/>
      <c r="E235" s="15" t="str">
        <f>IFERROR(VLOOKUP(C235,기출문제!D:G,3,0),"")</f>
        <v>113. 보스턴 컨설팅 그룹(BCG)의 사업 포트폴리오 매트릭스에 관한 설명으로 옳은 것은?
① 산업의 매력도와 사업의 강점을 기준으로 분류한다.
② 물음표(Question Mark)에 속해 있는 사업단위는 투자가 필요하나 성장가능성은 낮다.
③ 개(Dog)에 속해 있는 사업단위는 확대전략이 필수적이다.
④ 별(Star)에 속해 있는 사업단위는 철수나 매각이 필수적이다.
⑤ 자금젖소(Cash Cow)에 속해 있는 사업단위는 수익이 높고 안정적이다.</v>
      </c>
      <c r="F235" s="31">
        <f>IFERROR(VLOOKUP(C235,기출문제!D:G,4,0),"")</f>
        <v>5</v>
      </c>
      <c r="G235" s="32" t="str">
        <f t="shared" si="3"/>
        <v/>
      </c>
    </row>
    <row r="236" spans="2:7" ht="85.5" x14ac:dyDescent="0.3">
      <c r="B236" s="13">
        <v>229</v>
      </c>
      <c r="C236" s="14" t="s">
        <v>1012</v>
      </c>
      <c r="D236" s="13"/>
      <c r="E236" s="15" t="str">
        <f>IFERROR(VLOOKUP(C236,기출문제!D:G,3,0),"")</f>
        <v>114. 마케팅 커뮤티케이션 활동인 촉진믹스(Promotion Mix)의 구성요소와 관련이 없는 것은?
① 선별적 유통점포 개설
② 구매시점 진열
③ PR(Public Relastions)
④ 광고
⑤ 인적판매</v>
      </c>
      <c r="F236" s="31">
        <f>IFERROR(VLOOKUP(C236,기출문제!D:G,4,0),"")</f>
        <v>1</v>
      </c>
      <c r="G236" s="32" t="str">
        <f t="shared" si="3"/>
        <v/>
      </c>
    </row>
    <row r="237" spans="2:7" ht="85.5" x14ac:dyDescent="0.3">
      <c r="B237" s="13">
        <v>230</v>
      </c>
      <c r="C237" s="14" t="s">
        <v>1013</v>
      </c>
      <c r="D237" s="13"/>
      <c r="E237" s="15" t="str">
        <f>IFERROR(VLOOKUP(C237,기출문제!D:G,3,0),"")</f>
        <v>115. 소비자들의 구매의사 결정과정을 순서대로 바르게 나열한 것은?
① 정보탐색 → 필요인식 → 대안평가 → 구매 → 구매 후 행동
② 정보탐색 → 필요인식 → 구매 → 대안평가 → 구매 후 행동
③ 정보탐색 → 대안평가 → 필요인식 → 구매 → 구매 후 행동
④ 필요인식 → 정보탐색 → 대안평가 → 구매 → 구매 후 행동
⑤ 대안평가 → 정보탐색 → 필요인식 → 구매 → 구매 후 행동</v>
      </c>
      <c r="F237" s="31">
        <f>IFERROR(VLOOKUP(C237,기출문제!D:G,4,0),"")</f>
        <v>4</v>
      </c>
      <c r="G237" s="32" t="str">
        <f t="shared" si="3"/>
        <v/>
      </c>
    </row>
    <row r="238" spans="2:7" ht="85.5" x14ac:dyDescent="0.3">
      <c r="B238" s="13">
        <v>231</v>
      </c>
      <c r="C238" s="14" t="s">
        <v>1014</v>
      </c>
      <c r="D238" s="13"/>
      <c r="E238" s="15" t="str">
        <f>IFERROR(VLOOKUP(C238,기출문제!D:G,3,0),"")</f>
        <v>116. 제품구매에 대한 심리적 불편을 겪게 되는 인지부조화(Cognitive Dissonance)에 관한 설명으로 옳은 것은?
① 반품이나 환불이 가능할 때 많이 발생한다.
② 구매제품의 만족수준에 정비례하여 발생한다.
③ 고관여 제품에서 많이 발생한다.
④ 제품구매 전에 경험하는 긴장감과 걱정의 감정을 뜻한다.
⑤ 사후서비스(A/S)가 좋을수록 많이 발생한다.</v>
      </c>
      <c r="F238" s="31">
        <f>IFERROR(VLOOKUP(C238,기출문제!D:G,4,0),"")</f>
        <v>3</v>
      </c>
      <c r="G238" s="32" t="str">
        <f t="shared" si="3"/>
        <v/>
      </c>
    </row>
    <row r="239" spans="2:7" ht="85.5" x14ac:dyDescent="0.3">
      <c r="B239" s="13">
        <v>232</v>
      </c>
      <c r="C239" s="14" t="s">
        <v>1015</v>
      </c>
      <c r="D239" s="13"/>
      <c r="E239" s="15" t="str">
        <f>IFERROR(VLOOKUP(C239,기출문제!D:G,3,0),"")</f>
        <v>117. 총자산회전율의 산식은?
① 매출액/매출채권
② 매출액/총자산
③ 순이익/자기자본
④ 총자산/매출액
⑤ 자기자본/순이기</v>
      </c>
      <c r="F239" s="31">
        <f>IFERROR(VLOOKUP(C239,기출문제!D:G,4,0),"")</f>
        <v>2</v>
      </c>
      <c r="G239" s="32" t="str">
        <f t="shared" si="3"/>
        <v/>
      </c>
    </row>
    <row r="240" spans="2:7" ht="85.5" x14ac:dyDescent="0.3">
      <c r="B240" s="13">
        <v>233</v>
      </c>
      <c r="C240" s="14" t="s">
        <v>1016</v>
      </c>
      <c r="D240" s="13"/>
      <c r="E240" s="15" t="str">
        <f>IFERROR(VLOOKUP(C240,기출문제!D:G,3,0),"")</f>
        <v>118. 주식에 관한 설명으로 옳지 않은 것은?
① 기업의 이익 중 일부를 주주에게 분배하는 것을 배당이라 한다.
② 기업은 발행한 보통주에 대한 상환의무를 갖지 않는다.
③ 주식은 자금조달이 필요한 경우 추가로 발행될 수 있다.
④ 모든 주식은 채권과 달리 액면가가 없다.
⑤ 주주는 투자한 금액 내에서 유한책임을 진다.</v>
      </c>
      <c r="F240" s="31">
        <f>IFERROR(VLOOKUP(C240,기출문제!D:G,4,0),"")</f>
        <v>4</v>
      </c>
      <c r="G240" s="32" t="str">
        <f t="shared" si="3"/>
        <v/>
      </c>
    </row>
    <row r="241" spans="2:7" ht="85.5" x14ac:dyDescent="0.3">
      <c r="B241" s="13">
        <v>234</v>
      </c>
      <c r="C241" s="14" t="s">
        <v>1017</v>
      </c>
      <c r="D241" s="13"/>
      <c r="E241" s="15" t="str">
        <f>IFERROR(VLOOKUP(C241,기출문제!D:G,3,0),"")</f>
        <v>119. 생산시스템 설계에 해당하는 것은?
① 일정관리
② 시설입지
③ 재고관리
④ 품질관리
⑤ 수요예측</v>
      </c>
      <c r="F241" s="31">
        <f>IFERROR(VLOOKUP(C241,기출문제!D:G,4,0),"")</f>
        <v>2</v>
      </c>
      <c r="G241" s="32" t="str">
        <f t="shared" si="3"/>
        <v/>
      </c>
    </row>
    <row r="242" spans="2:7" ht="85.5" x14ac:dyDescent="0.3">
      <c r="B242" s="13">
        <v>235</v>
      </c>
      <c r="C242" s="14" t="s">
        <v>1018</v>
      </c>
      <c r="D242" s="13"/>
      <c r="E242" s="15" t="str">
        <f>IFERROR(VLOOKUP(C242,기출문제!D:G,3,0),"")</f>
        <v>120. 해리스(F. W. Harris)가 제시한 EOQ(경제적 주문량) 모형의 가정으로 옳은 것은?
① 단일품목만을 대상으로 한다.
② 조달기간은 분기 단위로 변동한다.
③ 수량할인이 적용된다.
④ 연간수요량은 알 수 없다.
⑤ 주문비용은 주문량에 정비례한다.</v>
      </c>
      <c r="F242" s="31">
        <f>IFERROR(VLOOKUP(C242,기출문제!D:G,4,0),"")</f>
        <v>1</v>
      </c>
      <c r="G242" s="32" t="str">
        <f t="shared" si="3"/>
        <v/>
      </c>
    </row>
    <row r="243" spans="2:7" ht="142.5" x14ac:dyDescent="0.3">
      <c r="B243" s="13">
        <v>236</v>
      </c>
      <c r="C243" s="14" t="s">
        <v>1019</v>
      </c>
      <c r="D243" s="13"/>
      <c r="E243" s="15" t="str">
        <f>IFERROR(VLOOKUP(C243,기출문제!D:G,3,0),"")</f>
        <v>121. 다음자료를 이용하여 당기순이익을 구하면? (단, 회계기간은 1월 1일부터 12월 31일까지이다.)
○ 영업이익     :  300,000원
○ 이자비용     :    10,000원
○ 영업외수익  :    50,000원
○ 법인세비용  :    15,000원
① 275,000원
② 290,000원
③ 325,000원
④ 335,000원
⑤ 340,000원</v>
      </c>
      <c r="F243" s="31">
        <f>IFERROR(VLOOKUP(C243,기출문제!D:G,4,0),"")</f>
        <v>3</v>
      </c>
      <c r="G243" s="32" t="str">
        <f t="shared" si="3"/>
        <v/>
      </c>
    </row>
    <row r="244" spans="2:7" ht="128.25" x14ac:dyDescent="0.3">
      <c r="B244" s="13">
        <v>237</v>
      </c>
      <c r="C244" s="14" t="s">
        <v>1020</v>
      </c>
      <c r="D244" s="13"/>
      <c r="E244" s="15" t="str">
        <f>IFERROR(VLOOKUP(C244,기출문제!D:G,3,0),"")</f>
        <v>122. 다음과 같은 조건에서 손익분기점에 도달하기 위한 팬매수량(단위)은?
○ 단위당 판매가격   :        20,000원
○ 단위당 변동기      :        14,000원
○ 총고정비              : 48,000,000원
① 5,000
② 6,000
③ 7,000
④ 8,000
⑤ 9,000</v>
      </c>
      <c r="F244" s="31">
        <f>IFERROR(VLOOKUP(C244,기출문제!D:G,4,0),"")</f>
        <v>4</v>
      </c>
      <c r="G244" s="32" t="str">
        <f t="shared" si="3"/>
        <v/>
      </c>
    </row>
    <row r="245" spans="2:7" ht="85.5" x14ac:dyDescent="0.3">
      <c r="B245" s="13">
        <v>238</v>
      </c>
      <c r="C245" s="14" t="s">
        <v>1021</v>
      </c>
      <c r="D245" s="13"/>
      <c r="E245" s="15" t="str">
        <f>IFERROR(VLOOKUP(C245,기출문제!D:G,3,0),"")</f>
        <v>123. 경영정보시스템의 분석 및 설계 과정에서 수행하는 작업이 아닌 것은?
① 입력 자료의 내용, 양식, 형태, 분량 분석
② 출력물의 양식, 내용, 분량, 출력주기 정의
③ 시스템 테스트를 위한 테이터 준비, 시스템 수정
④ 자료가 출력되기 위해 필요한 수식연산, 비교연산, 논리연산 설계
⑤ 데이터베이스 구조 및 특성, 자료처리 분량 및 속도, 레코드 및 파일 구조 명세화</v>
      </c>
      <c r="F245" s="31">
        <f>IFERROR(VLOOKUP(C245,기출문제!D:G,4,0),"")</f>
        <v>3</v>
      </c>
      <c r="G245" s="32" t="str">
        <f t="shared" si="3"/>
        <v/>
      </c>
    </row>
    <row r="246" spans="2:7" ht="85.5" x14ac:dyDescent="0.3">
      <c r="B246" s="13">
        <v>239</v>
      </c>
      <c r="C246" s="14" t="s">
        <v>1022</v>
      </c>
      <c r="D246" s="13"/>
      <c r="E246" s="15" t="str">
        <f>IFERROR(VLOOKUP(C246,기출문제!D:G,3,0),"")</f>
        <v>124. 빅데이터 기술에 관한 설명으로 옳지 않은 것은?
① 관계형 데이터베이스인 NoSQL, Hbase 등을 분석에 활용한다.
② 구조화되지 않은 데이터도 분석 대상으로 한다.
③ 많은 양의 정보를 처리한다.
④ 빠르게 변화하거나 증가하는 데이터도 분석이 가능하다.
⑤ 제조업, 금융업, 유통업 등 다양한 분야에 활용된다.</v>
      </c>
      <c r="F246" s="31">
        <f>IFERROR(VLOOKUP(C246,기출문제!D:G,4,0),"")</f>
        <v>1</v>
      </c>
      <c r="G246" s="32" t="str">
        <f t="shared" si="3"/>
        <v/>
      </c>
    </row>
    <row r="247" spans="2:7" ht="99.75" x14ac:dyDescent="0.3">
      <c r="B247" s="13">
        <v>240</v>
      </c>
      <c r="C247" s="14" t="s">
        <v>1023</v>
      </c>
      <c r="D247" s="13"/>
      <c r="E247" s="15" t="str">
        <f>IFERROR(VLOOKUP(C247,기출문제!D:G,3,0),"")</f>
        <v>125. 다음에서 설명하는 것은?
○ 기업의 자재, 회계, 구매, 생산, 판매, 인사 등 모든 업무의 흐름을 효율적으로 지원하기 위한 통합정보 시스템
① CRM
② SCM
③ DSS
④ KMS
⑤ ERP</v>
      </c>
      <c r="F247" s="31">
        <f>IFERROR(VLOOKUP(C247,기출문제!D:G,4,0),"")</f>
        <v>5</v>
      </c>
      <c r="G247" s="32" t="str">
        <f t="shared" si="3"/>
        <v/>
      </c>
    </row>
    <row r="248" spans="2:7" ht="85.5" x14ac:dyDescent="0.3">
      <c r="B248" s="13">
        <v>241</v>
      </c>
      <c r="C248" s="14" t="s">
        <v>318</v>
      </c>
      <c r="D248" s="13"/>
      <c r="E248" s="15" t="str">
        <f>IFERROR(VLOOKUP(C248,기출문제!D:G,3,0),"")</f>
        <v>101. 포터(M. Porter)의 가치사슬모델에서 주요 활동에 해당하지 않는 것은?
① 운영・제조
② 입고・출고
③ 고객서비스
④ 영업・마케팅
⑤ 인적자원관리</v>
      </c>
      <c r="F248" s="31">
        <f>IFERROR(VLOOKUP(C248,기출문제!D:G,4,0),"")</f>
        <v>5</v>
      </c>
      <c r="G248" s="32" t="str">
        <f t="shared" si="3"/>
        <v/>
      </c>
    </row>
    <row r="249" spans="2:7" ht="85.5" x14ac:dyDescent="0.3">
      <c r="B249" s="13">
        <v>242</v>
      </c>
      <c r="C249" s="14" t="s">
        <v>1024</v>
      </c>
      <c r="D249" s="13"/>
      <c r="E249" s="15" t="str">
        <f>IFERROR(VLOOKUP(C249,기출문제!D:G,3,0),"")</f>
        <v>102. BCG의 성장-점유율 매트릭스에서 시장성장률은 낮고 상대적 시장점유율이 높은 영역은?
① Dog
② Star
③ Cash Cow
④ Problem Child
⑤ Question Mark</v>
      </c>
      <c r="F249" s="31">
        <f>IFERROR(VLOOKUP(C249,기출문제!D:G,4,0),"")</f>
        <v>3</v>
      </c>
      <c r="G249" s="32" t="str">
        <f t="shared" si="3"/>
        <v/>
      </c>
    </row>
    <row r="250" spans="2:7" ht="85.5" x14ac:dyDescent="0.3">
      <c r="B250" s="13">
        <v>243</v>
      </c>
      <c r="C250" s="14" t="s">
        <v>1025</v>
      </c>
      <c r="D250" s="13"/>
      <c r="E250" s="15" t="str">
        <f>IFERROR(VLOOKUP(C250,기출문제!D:G,3,0),"")</f>
        <v>103. 테일러(F. Taylor)의 과학적 관리의 특징으로 옳지 않은 것은?
① 과업관리
② 작업지도표 제도
③ 차별적 성과급제
④ 기능식 직장제도
⑤ 컨베이어 시스템</v>
      </c>
      <c r="F250" s="31">
        <f>IFERROR(VLOOKUP(C250,기출문제!D:G,4,0),"")</f>
        <v>5</v>
      </c>
      <c r="G250" s="32" t="str">
        <f t="shared" si="3"/>
        <v/>
      </c>
    </row>
    <row r="251" spans="2:7" ht="85.5" x14ac:dyDescent="0.3">
      <c r="B251" s="13">
        <v>244</v>
      </c>
      <c r="C251" s="14" t="s">
        <v>1026</v>
      </c>
      <c r="D251" s="13"/>
      <c r="E251" s="15" t="str">
        <f>IFERROR(VLOOKUP(C251,기출문제!D:G,3,0),"")</f>
        <v>104. 임금관리에 관한 설명으로 옳지 않은 것은?
① 임금체계는 공정성이 중요한 관심사이다.
② 연공급은 근속연수를 기준으로 임금을 차등화하는 제도이다.
③ 직무급은 직무의 표준화와 전문화가 선행되어야 한다.
④ 직능급은 동일 직무를 수행하면 동일 임금을 지급한다.
⑤ 임금수준을 결정하는 주요 요인에는 기업의 지불능력과 생산성 등이 있다.</v>
      </c>
      <c r="F251" s="31">
        <f>IFERROR(VLOOKUP(C251,기출문제!D:G,4,0),"")</f>
        <v>4</v>
      </c>
      <c r="G251" s="32" t="str">
        <f t="shared" si="3"/>
        <v/>
      </c>
    </row>
    <row r="252" spans="2:7" ht="85.5" x14ac:dyDescent="0.3">
      <c r="B252" s="13">
        <v>245</v>
      </c>
      <c r="C252" s="14" t="s">
        <v>1027</v>
      </c>
      <c r="D252" s="13"/>
      <c r="E252" s="15" t="str">
        <f>IFERROR(VLOOKUP(C252,기출문제!D:G,3,0),"")</f>
        <v>105. 수단성(instrumentality) 및 유의성(valence)을 포함한 동기부여이론은?
① 기대이론(expectancy theory)
② 2요인이론(two factor theory)
③ 강화이론(reinforcement theory)
④ 목표설정이론(goal setting theory)
⑤ 인지평가이론(cognitive evaluation theory)</v>
      </c>
      <c r="F252" s="31">
        <f>IFERROR(VLOOKUP(C252,기출문제!D:G,4,0),"")</f>
        <v>1</v>
      </c>
      <c r="G252" s="32" t="str">
        <f t="shared" si="3"/>
        <v/>
      </c>
    </row>
    <row r="253" spans="2:7" ht="85.5" x14ac:dyDescent="0.3">
      <c r="B253" s="13">
        <v>246</v>
      </c>
      <c r="C253" s="14" t="s">
        <v>1028</v>
      </c>
      <c r="D253" s="13"/>
      <c r="E253" s="15" t="str">
        <f>IFERROR(VLOOKUP(C253,기출문제!D:G,3,0),"")</f>
        <v>106. 델파이기법에 관한 설명으로 옳지 않은 것은?
① 전문가들을 두 그룹으로 나누어 진행한다.
② 많은 전문가들의 의견을 취합하여 재조정 과정을 거친다.
③ 의사결정 및 의견개진 과정에서 타인의 압력이 배제된다.
④ 전문가들을 공식적으로 소집하여 한 장소에 모이게 할 필요가 없다.
⑤ 미래의 불확실성에 대한 의사결정 및 장기예측에 좋은 방법이다.</v>
      </c>
      <c r="F253" s="31">
        <f>IFERROR(VLOOKUP(C253,기출문제!D:G,4,0),"")</f>
        <v>1</v>
      </c>
      <c r="G253" s="32" t="str">
        <f t="shared" si="3"/>
        <v/>
      </c>
    </row>
    <row r="254" spans="2:7" ht="85.5" x14ac:dyDescent="0.3">
      <c r="B254" s="13">
        <v>247</v>
      </c>
      <c r="C254" s="14" t="s">
        <v>1029</v>
      </c>
      <c r="D254" s="13"/>
      <c r="E254" s="15" t="str">
        <f>IFERROR(VLOOKUP(C254,기출문제!D:G,3,0),"")</f>
        <v>107. 선발시험 합격자들의 시험성적과 입사 후 일정 기간이 지나서 이들이 달성한 직무성과와의 상관관계를 측정하는 지표는?
① 신뢰도
② 대비효과
③ 현재타당도
④ 내용타당도
⑤ 예측타당도</v>
      </c>
      <c r="F254" s="31">
        <f>IFERROR(VLOOKUP(C254,기출문제!D:G,4,0),"")</f>
        <v>5</v>
      </c>
      <c r="G254" s="32" t="str">
        <f t="shared" si="3"/>
        <v/>
      </c>
    </row>
    <row r="255" spans="2:7" ht="85.5" x14ac:dyDescent="0.3">
      <c r="B255" s="13">
        <v>248</v>
      </c>
      <c r="C255" s="14" t="s">
        <v>1030</v>
      </c>
      <c r="D255" s="13"/>
      <c r="E255" s="15" t="str">
        <f>IFERROR(VLOOKUP(C255,기출문제!D:G,3,0),"")</f>
        <v>108. Big 5 모델에서 제시하는 다섯 가지 성격요소가 아닌 것은?
① 개방성(openness)
② 객관성(objectivity)
③ 외향성(extraversion)
④ 성실성(conscientiousness)
⑤ 정서적 안정성(emotional stability)</v>
      </c>
      <c r="F255" s="31">
        <f>IFERROR(VLOOKUP(C255,기출문제!D:G,4,0),"")</f>
        <v>2</v>
      </c>
      <c r="G255" s="32" t="str">
        <f t="shared" si="3"/>
        <v/>
      </c>
    </row>
    <row r="256" spans="2:7" ht="85.5" x14ac:dyDescent="0.3">
      <c r="B256" s="13">
        <v>249</v>
      </c>
      <c r="C256" s="14" t="s">
        <v>1031</v>
      </c>
      <c r="D256" s="13"/>
      <c r="E256" s="15" t="str">
        <f>IFERROR(VLOOKUP(C256,기출문제!D:G,3,0),"")</f>
        <v>109. Communication에서 전달된 메시지를 자신에게 주는 의미로 변환시키는 사고 과정은?
① 잡음(noise)
② 해독(decoding)
③ 반응(response)
④ 부호화(encoding)
⑤ 피드백(feedback)</v>
      </c>
      <c r="F256" s="31">
        <f>IFERROR(VLOOKUP(C256,기출문제!D:G,4,0),"")</f>
        <v>2</v>
      </c>
      <c r="G256" s="32" t="str">
        <f t="shared" si="3"/>
        <v/>
      </c>
    </row>
    <row r="257" spans="2:7" ht="114" x14ac:dyDescent="0.3">
      <c r="B257" s="13">
        <v>250</v>
      </c>
      <c r="C257" s="14" t="s">
        <v>1032</v>
      </c>
      <c r="D257" s="13"/>
      <c r="E257" s="15" t="str">
        <f>IFERROR(VLOOKUP(C257,기출문제!D:G,3,0),"")</f>
        <v>110. 다음 주장에 해당하는 이론은?
ㄱ. 조직의 생존을 위해 이해관계자들로부터 정당성을 얻는 것이 중요하다.
ㄴ. 동일 산업내의 조직형태 및 경영관행 등이 유사성을 보이는 것은 조직들이 서로 모방하기 때문이다.
① 대리인이론
② 제도화이론
③ 자원의존이론
④ 조직군생태학이론
⑤ 협력적네트워크이론</v>
      </c>
      <c r="F257" s="31">
        <f>IFERROR(VLOOKUP(C257,기출문제!D:G,4,0),"")</f>
        <v>2</v>
      </c>
      <c r="G257" s="32" t="str">
        <f t="shared" si="3"/>
        <v/>
      </c>
    </row>
    <row r="258" spans="2:7" ht="85.5" x14ac:dyDescent="0.3">
      <c r="B258" s="13">
        <v>251</v>
      </c>
      <c r="C258" s="14" t="s">
        <v>1033</v>
      </c>
      <c r="D258" s="13"/>
      <c r="E258" s="15" t="str">
        <f>IFERROR(VLOOKUP(C258,기출문제!D:G,3,0),"")</f>
        <v>111. 조합원 및 비조합원 모두에게 조합비를 징수하는 shop제도는?
① open shop
② closed shop
③ agency shop
④ preferential shop
⑤ maintenance shop</v>
      </c>
      <c r="F258" s="31">
        <f>IFERROR(VLOOKUP(C258,기출문제!D:G,4,0),"")</f>
        <v>3</v>
      </c>
      <c r="G258" s="32" t="str">
        <f t="shared" si="3"/>
        <v/>
      </c>
    </row>
    <row r="259" spans="2:7" ht="85.5" x14ac:dyDescent="0.3">
      <c r="B259" s="13">
        <v>252</v>
      </c>
      <c r="C259" s="14" t="s">
        <v>1034</v>
      </c>
      <c r="D259" s="13"/>
      <c r="E259" s="15" t="str">
        <f>IFERROR(VLOOKUP(C259,기출문제!D:G,3,0),"")</f>
        <v>112. 표적시장에 관한 설명으로 옳지 않은 것은?
① 단일표적시장에는 집중적 마케팅전략을 구사한다.
② 다수표적시장에는 순환적 마케팅전략을 구사한다.
③ 통합표적시장에는 역세분화 마케팅전략을 구사한다.
④ 인적, 물적, 기술적 자원이 부족한 기업은 보통 집중적 마케팅전략을 구사한다.
⑤ 세분시장 평가 시에는 세분시장의 매력도, 기업의 목표와 자원 등을 고려해야 한다.</v>
      </c>
      <c r="F259" s="31">
        <f>IFERROR(VLOOKUP(C259,기출문제!D:G,4,0),"")</f>
        <v>2</v>
      </c>
      <c r="G259" s="32" t="str">
        <f t="shared" si="3"/>
        <v/>
      </c>
    </row>
    <row r="260" spans="2:7" ht="85.5" x14ac:dyDescent="0.3">
      <c r="B260" s="13">
        <v>253</v>
      </c>
      <c r="C260" s="14" t="s">
        <v>1035</v>
      </c>
      <c r="D260" s="13"/>
      <c r="E260" s="15" t="str">
        <f>IFERROR(VLOOKUP(C260,기출문제!D:G,3,0),"")</f>
        <v>113. 전형적인 제품수명주기(PLC)에 관한 설명으로 옳지 않은 것은?
① 도입기, 성장기, 성숙기, 쇠퇴기의 4단계로 나누어진다.
② 성장기에는 제품선호형 광고에서 정보제공형 광고로 전환한다.
③ 도입기에는 제품인지도를 높이기 위해 광고비가 많이 소요된다.
④ 성숙기에는 제품의 매출성장률이 점차적으로 둔화되기 시작한다.
⑤ 쇠퇴기에는 제품에 대해 유지전략, 수확전략, 철수전략 등을 고려할 수 있다.</v>
      </c>
      <c r="F260" s="31">
        <f>IFERROR(VLOOKUP(C260,기출문제!D:G,4,0),"")</f>
        <v>2</v>
      </c>
      <c r="G260" s="32" t="str">
        <f t="shared" si="3"/>
        <v/>
      </c>
    </row>
    <row r="261" spans="2:7" ht="99.75" x14ac:dyDescent="0.3">
      <c r="B261" s="13">
        <v>254</v>
      </c>
      <c r="C261" s="14" t="s">
        <v>1036</v>
      </c>
      <c r="D261" s="13"/>
      <c r="E261" s="15" t="str">
        <f>IFERROR(VLOOKUP(C261,기출문제!D:G,3,0),"")</f>
        <v>114. 통합적 마케팅 커뮤니케이션에 관한 설명 중 옳지 않은 것은?
① 강화광고는 기존 사용자에게 브랜드에 대한 확신과 만족도를 높여 준다.
② 가족 브랜딩(family branding)은 개별 브랜딩과는 달리 한 제품을 촉진하면 나머지 제품도 촉진된다는 이점이 있다.
③ 촉진에서 풀(pull) 정책은 제품에 대한 강한 수요를 유발할 목적으로 광고나 판매촉진 등을 활용하는 정책이다.
④ PR은 조직의 이해관계자들에게 호의적인 인상을 심어주기 위하여 홍보, 후원, 이벤트, 웹사이트 등을 사용하는 커뮤니케이션 방법이다.
⑤ 버즈(buzz) 마케팅은 소비자에게 메시지를 빨리 전파할 수 있게 이메일이나 모바일을 통하여 메시지를 공유한다.</v>
      </c>
      <c r="F261" s="31">
        <f>IFERROR(VLOOKUP(C261,기출문제!D:G,4,0),"")</f>
        <v>5</v>
      </c>
      <c r="G261" s="32" t="str">
        <f t="shared" si="3"/>
        <v/>
      </c>
    </row>
    <row r="262" spans="2:7" ht="85.5" x14ac:dyDescent="0.3">
      <c r="B262" s="13">
        <v>255</v>
      </c>
      <c r="C262" s="14" t="s">
        <v>1037</v>
      </c>
      <c r="D262" s="13"/>
      <c r="E262" s="15" t="str">
        <f>IFERROR(VLOOKUP(C262,기출문제!D:G,3,0),"")</f>
        <v>115. 투자안의 순현가를 0으로 만드는 수익률(할인율)은?
① 초과수익률
② 실질수익률
③ 경상수익률
④ 내부수익률
⑤ 명목수익률</v>
      </c>
      <c r="F262" s="31">
        <f>IFERROR(VLOOKUP(C262,기출문제!D:G,4,0),"")</f>
        <v>4</v>
      </c>
      <c r="G262" s="32" t="str">
        <f t="shared" si="3"/>
        <v/>
      </c>
    </row>
    <row r="263" spans="2:7" ht="85.5" x14ac:dyDescent="0.3">
      <c r="B263" s="13">
        <v>256</v>
      </c>
      <c r="C263" s="14" t="s">
        <v>1038</v>
      </c>
      <c r="D263" s="13"/>
      <c r="E263" s="15" t="str">
        <f>IFERROR(VLOOKUP(C263,기출문제!D:G,3,0),"")</f>
        <v>116. 매출액순이익률이 2%이고 총자본회전율이 5인 기업의 총자본순이익률은?
① 1%
② 2.5%
③ 5%
④ 7%
⑤ 10%</v>
      </c>
      <c r="F263" s="31">
        <f>IFERROR(VLOOKUP(C263,기출문제!D:G,4,0),"")</f>
        <v>5</v>
      </c>
      <c r="G263" s="32" t="str">
        <f t="shared" si="3"/>
        <v/>
      </c>
    </row>
    <row r="264" spans="2:7" ht="85.5" x14ac:dyDescent="0.3">
      <c r="B264" s="13">
        <v>257</v>
      </c>
      <c r="C264" s="14" t="s">
        <v>1039</v>
      </c>
      <c r="D264" s="13"/>
      <c r="E264" s="15" t="str">
        <f>IFERROR(VLOOKUP(C264,기출문제!D:G,3,0),"")</f>
        <v>117. 매년 말 200만원을 영원히 지급받는 영구연금의 현재가치는? (단, 연간이자율은 10%)
① 1,400만원
② 1,600만원
③ 1,800만원
④ 2,000만원
⑤ 2,200만원</v>
      </c>
      <c r="F264" s="31">
        <f>IFERROR(VLOOKUP(C264,기출문제!D:G,4,0),"")</f>
        <v>4</v>
      </c>
      <c r="G264" s="32" t="str">
        <f t="shared" si="3"/>
        <v/>
      </c>
    </row>
    <row r="265" spans="2:7" ht="99.75" x14ac:dyDescent="0.3">
      <c r="B265" s="13">
        <v>258</v>
      </c>
      <c r="C265" s="14" t="s">
        <v>1040</v>
      </c>
      <c r="D265" s="13"/>
      <c r="E265" s="15" t="str">
        <f>IFERROR(VLOOKUP(C265,기출문제!D:G,3,0),"")</f>
        <v>118. A기업은 1년간 400개의 부품을 사용한다. 부품가격은 개당 1,000원, 주문비용은 회당 10,000원, 단위당 연간 재고유지비용은 부품가격의 20%라면 이 부품의 경제적 주문량(EOQ)은?
① 100개
② 150개
③ 200개
④ 250개
⑤ 300개</v>
      </c>
      <c r="F265" s="31">
        <f>IFERROR(VLOOKUP(C265,기출문제!D:G,4,0),"")</f>
        <v>3</v>
      </c>
      <c r="G265" s="32" t="str">
        <f t="shared" ref="G265:G328" si="4">IF(D265="","",IF(D265=F265,"O", "X"))</f>
        <v/>
      </c>
    </row>
    <row r="266" spans="2:7" ht="85.5" x14ac:dyDescent="0.3">
      <c r="B266" s="13">
        <v>259</v>
      </c>
      <c r="C266" s="14" t="s">
        <v>1041</v>
      </c>
      <c r="D266" s="13"/>
      <c r="E266" s="15" t="str">
        <f>IFERROR(VLOOKUP(C266,기출문제!D:G,3,0),"")</f>
        <v>119. 생산관리의 전형적인 목표(과업)로 옳지 않은 것은?
① 촉진강화
② 품질향상
③ 원가절감
④ 납기준수
⑤ 유연성제고</v>
      </c>
      <c r="F266" s="31">
        <f>IFERROR(VLOOKUP(C266,기출문제!D:G,4,0),"")</f>
        <v>1</v>
      </c>
      <c r="G266" s="32" t="str">
        <f t="shared" si="4"/>
        <v/>
      </c>
    </row>
    <row r="267" spans="2:7" ht="85.5" x14ac:dyDescent="0.3">
      <c r="B267" s="13">
        <v>260</v>
      </c>
      <c r="C267" s="14" t="s">
        <v>1042</v>
      </c>
      <c r="D267" s="13"/>
      <c r="E267" s="15" t="str">
        <f>IFERROR(VLOOKUP(C267,기출문제!D:G,3,0),"")</f>
        <v>120. JIT(Just-in-time) 시스템의 특징으로 옳지 않은 것은?
① 푸쉬(push) 방식이다.
② 필요한 만큼의 자재만을 생산한다.
③ 공급자와 긴밀한 관계를 유지한다.
④ 가능한 한 소량 로트(lot) 크기를 사용하여 재고를 관리한다.
⑤ 생산지시와 자재이동을 가시적으로 통제하기 위한 방법으로 간판(Kanban)을 사용한다.</v>
      </c>
      <c r="F267" s="31">
        <f>IFERROR(VLOOKUP(C267,기출문제!D:G,4,0),"")</f>
        <v>1</v>
      </c>
      <c r="G267" s="32" t="str">
        <f t="shared" si="4"/>
        <v/>
      </c>
    </row>
    <row r="268" spans="2:7" ht="85.5" x14ac:dyDescent="0.3">
      <c r="B268" s="13">
        <v>261</v>
      </c>
      <c r="C268" s="14" t="s">
        <v>1043</v>
      </c>
      <c r="D268" s="13"/>
      <c r="E268" s="15" t="str">
        <f>IFERROR(VLOOKUP(C268,기출문제!D:G,3,0),"")</f>
        <v>121. 내용연수를 기준으로 초기에 비용을 많이 계상하는 감가상각방법은?
① 정액법
② 정률법
③ 선입선출법
④ 후입선출법
⑤ 저가법</v>
      </c>
      <c r="F268" s="31">
        <f>IFERROR(VLOOKUP(C268,기출문제!D:G,4,0),"")</f>
        <v>2</v>
      </c>
      <c r="G268" s="32" t="str">
        <f t="shared" si="4"/>
        <v/>
      </c>
    </row>
    <row r="269" spans="2:7" ht="85.5" x14ac:dyDescent="0.3">
      <c r="B269" s="13">
        <v>262</v>
      </c>
      <c r="C269" s="14" t="s">
        <v>1044</v>
      </c>
      <c r="D269" s="13"/>
      <c r="E269" s="15" t="str">
        <f>IFERROR(VLOOKUP(C269,기출문제!D:G,3,0),"")</f>
        <v>122. 액면가액 5,000원인 주식 100주를 발행하여 회사를 설립할 경우 올바른 분개는?
① (차) 현금 500,000 / (대) 부채 500,000
② (차) 자본금 500,000 / (대) 부채 500,000
③ (차) 자본금 500,000 / (대) 현금 500,000
④ (차) 현금 500,000 / (대) 자본금 500,000
⑤ (차) 부채 500,000 / (대) 자본금 500,000</v>
      </c>
      <c r="F269" s="31">
        <f>IFERROR(VLOOKUP(C269,기출문제!D:G,4,0),"")</f>
        <v>4</v>
      </c>
      <c r="G269" s="32" t="str">
        <f t="shared" si="4"/>
        <v/>
      </c>
    </row>
    <row r="270" spans="2:7" ht="85.5" x14ac:dyDescent="0.3">
      <c r="B270" s="13">
        <v>263</v>
      </c>
      <c r="C270" s="14" t="s">
        <v>1045</v>
      </c>
      <c r="D270" s="13"/>
      <c r="E270" s="15" t="str">
        <f>IFERROR(VLOOKUP(C270,기출문제!D:G,3,0),"")</f>
        <v>123. 재무상태표에서 비유동자산에 해당하는 계정과목은?
① 영업권
② 매입채무
③ 매출채권
④ 자기주식
⑤ 법정적립금</v>
      </c>
      <c r="F270" s="31">
        <f>IFERROR(VLOOKUP(C270,기출문제!D:G,4,0),"")</f>
        <v>1</v>
      </c>
      <c r="G270" s="32" t="str">
        <f t="shared" si="4"/>
        <v/>
      </c>
    </row>
    <row r="271" spans="2:7" ht="99.75" x14ac:dyDescent="0.3">
      <c r="B271" s="13">
        <v>264</v>
      </c>
      <c r="C271" s="14" t="s">
        <v>1046</v>
      </c>
      <c r="D271" s="13"/>
      <c r="E271" s="15" t="str">
        <f>IFERROR(VLOOKUP(C271,기출문제!D:G,3,0),"")</f>
        <v>124. 데이터 중복을 최소화하고 무결성을 극대화하며, 최상의 성능을 달성할 수 있도록 관계형 데이터베이스를 분석하고 효율화하는 과정을 지칭하는 용어는?
① 통합화(integration)
② 최적화(optimization)
③ 정규화(normalization)
④ 집중화(centralization)
⑤ 표준화(standardization)</v>
      </c>
      <c r="F271" s="31">
        <f>IFERROR(VLOOKUP(C271,기출문제!D:G,4,0),"")</f>
        <v>3</v>
      </c>
      <c r="G271" s="32" t="str">
        <f t="shared" si="4"/>
        <v/>
      </c>
    </row>
    <row r="272" spans="2:7" ht="99.75" x14ac:dyDescent="0.3">
      <c r="B272" s="13">
        <v>265</v>
      </c>
      <c r="C272" s="14" t="s">
        <v>1047</v>
      </c>
      <c r="D272" s="13"/>
      <c r="E272" s="15" t="str">
        <f>IFERROR(VLOOKUP(C272,기출문제!D:G,3,0),"")</f>
        <v>125. USB는 컴퓨터와 주변장치(키보드, 마우스, 메모리스틱 등)를 연결하는 장치이다. 여기서, USB는 U=Universal, S=Serial, B=( )의 약자이다. 괄호 안에 들어갈 단어는?
① Bit
② Bus
③ Box
④ Boot
⑤ Base</v>
      </c>
      <c r="F272" s="31">
        <f>IFERROR(VLOOKUP(C272,기출문제!D:G,4,0),"")</f>
        <v>2</v>
      </c>
      <c r="G272" s="32" t="str">
        <f t="shared" si="4"/>
        <v/>
      </c>
    </row>
    <row r="273" spans="2:7" x14ac:dyDescent="0.3">
      <c r="B273" s="13">
        <v>266</v>
      </c>
      <c r="C273" s="14" t="s">
        <v>766</v>
      </c>
      <c r="D273" s="13"/>
      <c r="E273" s="15" t="str">
        <f>IFERROR(VLOOKUP(C273,기출문제!D:G,3,0),"")</f>
        <v/>
      </c>
      <c r="F273" s="31" t="str">
        <f>IFERROR(VLOOKUP(C273,기출문제!D:G,4,0),"")</f>
        <v/>
      </c>
      <c r="G273" s="32" t="str">
        <f t="shared" si="4"/>
        <v/>
      </c>
    </row>
    <row r="274" spans="2:7" x14ac:dyDescent="0.3">
      <c r="B274" s="13">
        <v>267</v>
      </c>
      <c r="C274" s="14" t="s">
        <v>766</v>
      </c>
      <c r="D274" s="13"/>
      <c r="E274" s="15" t="str">
        <f>IFERROR(VLOOKUP(C274,기출문제!D:G,3,0),"")</f>
        <v/>
      </c>
      <c r="F274" s="31" t="str">
        <f>IFERROR(VLOOKUP(C274,기출문제!D:G,4,0),"")</f>
        <v/>
      </c>
      <c r="G274" s="32" t="str">
        <f t="shared" si="4"/>
        <v/>
      </c>
    </row>
    <row r="275" spans="2:7" x14ac:dyDescent="0.3">
      <c r="B275" s="13">
        <v>268</v>
      </c>
      <c r="C275" s="14" t="s">
        <v>766</v>
      </c>
      <c r="D275" s="13"/>
      <c r="E275" s="15" t="str">
        <f>IFERROR(VLOOKUP(C275,기출문제!D:G,3,0),"")</f>
        <v/>
      </c>
      <c r="F275" s="31" t="str">
        <f>IFERROR(VLOOKUP(C275,기출문제!D:G,4,0),"")</f>
        <v/>
      </c>
      <c r="G275" s="32" t="str">
        <f t="shared" si="4"/>
        <v/>
      </c>
    </row>
    <row r="276" spans="2:7" x14ac:dyDescent="0.3">
      <c r="B276" s="13">
        <v>269</v>
      </c>
      <c r="C276" s="14" t="s">
        <v>766</v>
      </c>
      <c r="D276" s="13"/>
      <c r="E276" s="15" t="str">
        <f>IFERROR(VLOOKUP(C276,기출문제!D:G,3,0),"")</f>
        <v/>
      </c>
      <c r="F276" s="31" t="str">
        <f>IFERROR(VLOOKUP(C276,기출문제!D:G,4,0),"")</f>
        <v/>
      </c>
      <c r="G276" s="32" t="str">
        <f t="shared" si="4"/>
        <v/>
      </c>
    </row>
    <row r="277" spans="2:7" x14ac:dyDescent="0.3">
      <c r="B277" s="13">
        <v>270</v>
      </c>
      <c r="C277" s="14" t="s">
        <v>766</v>
      </c>
      <c r="D277" s="13"/>
      <c r="E277" s="15" t="str">
        <f>IFERROR(VLOOKUP(C277,기출문제!D:G,3,0),"")</f>
        <v/>
      </c>
      <c r="F277" s="31" t="str">
        <f>IFERROR(VLOOKUP(C277,기출문제!D:G,4,0),"")</f>
        <v/>
      </c>
      <c r="G277" s="32" t="str">
        <f t="shared" si="4"/>
        <v/>
      </c>
    </row>
    <row r="278" spans="2:7" x14ac:dyDescent="0.3">
      <c r="B278" s="13">
        <v>271</v>
      </c>
      <c r="C278" s="14" t="s">
        <v>766</v>
      </c>
      <c r="D278" s="13"/>
      <c r="E278" s="15" t="str">
        <f>IFERROR(VLOOKUP(C278,기출문제!D:G,3,0),"")</f>
        <v/>
      </c>
      <c r="F278" s="31" t="str">
        <f>IFERROR(VLOOKUP(C278,기출문제!D:G,4,0),"")</f>
        <v/>
      </c>
      <c r="G278" s="32" t="str">
        <f t="shared" si="4"/>
        <v/>
      </c>
    </row>
    <row r="279" spans="2:7" x14ac:dyDescent="0.3">
      <c r="B279" s="13">
        <v>272</v>
      </c>
      <c r="C279" s="14" t="s">
        <v>766</v>
      </c>
      <c r="D279" s="13"/>
      <c r="E279" s="15" t="str">
        <f>IFERROR(VLOOKUP(C279,기출문제!D:G,3,0),"")</f>
        <v/>
      </c>
      <c r="F279" s="31" t="str">
        <f>IFERROR(VLOOKUP(C279,기출문제!D:G,4,0),"")</f>
        <v/>
      </c>
      <c r="G279" s="32" t="str">
        <f t="shared" si="4"/>
        <v/>
      </c>
    </row>
    <row r="280" spans="2:7" x14ac:dyDescent="0.3">
      <c r="B280" s="13">
        <v>273</v>
      </c>
      <c r="C280" s="14" t="s">
        <v>766</v>
      </c>
      <c r="D280" s="13"/>
      <c r="E280" s="15" t="str">
        <f>IFERROR(VLOOKUP(C280,기출문제!D:G,3,0),"")</f>
        <v/>
      </c>
      <c r="F280" s="31" t="str">
        <f>IFERROR(VLOOKUP(C280,기출문제!D:G,4,0),"")</f>
        <v/>
      </c>
      <c r="G280" s="32" t="str">
        <f t="shared" si="4"/>
        <v/>
      </c>
    </row>
    <row r="281" spans="2:7" x14ac:dyDescent="0.3">
      <c r="B281" s="13">
        <v>274</v>
      </c>
      <c r="C281" s="14" t="s">
        <v>766</v>
      </c>
      <c r="D281" s="13"/>
      <c r="E281" s="15" t="str">
        <f>IFERROR(VLOOKUP(C281,기출문제!D:G,3,0),"")</f>
        <v/>
      </c>
      <c r="F281" s="31" t="str">
        <f>IFERROR(VLOOKUP(C281,기출문제!D:G,4,0),"")</f>
        <v/>
      </c>
      <c r="G281" s="32" t="str">
        <f t="shared" si="4"/>
        <v/>
      </c>
    </row>
    <row r="282" spans="2:7" x14ac:dyDescent="0.3">
      <c r="B282" s="13">
        <v>275</v>
      </c>
      <c r="C282" s="14" t="s">
        <v>766</v>
      </c>
      <c r="D282" s="13"/>
      <c r="E282" s="15" t="str">
        <f>IFERROR(VLOOKUP(C282,기출문제!D:G,3,0),"")</f>
        <v/>
      </c>
      <c r="F282" s="31" t="str">
        <f>IFERROR(VLOOKUP(C282,기출문제!D:G,4,0),"")</f>
        <v/>
      </c>
      <c r="G282" s="32" t="str">
        <f t="shared" si="4"/>
        <v/>
      </c>
    </row>
    <row r="283" spans="2:7" x14ac:dyDescent="0.3">
      <c r="B283" s="13">
        <v>276</v>
      </c>
      <c r="C283" s="14" t="s">
        <v>766</v>
      </c>
      <c r="D283" s="13"/>
      <c r="E283" s="15" t="str">
        <f>IFERROR(VLOOKUP(C283,기출문제!D:G,3,0),"")</f>
        <v/>
      </c>
      <c r="F283" s="31" t="str">
        <f>IFERROR(VLOOKUP(C283,기출문제!D:G,4,0),"")</f>
        <v/>
      </c>
      <c r="G283" s="32" t="str">
        <f t="shared" si="4"/>
        <v/>
      </c>
    </row>
    <row r="284" spans="2:7" x14ac:dyDescent="0.3">
      <c r="B284" s="13">
        <v>277</v>
      </c>
      <c r="C284" s="14" t="s">
        <v>766</v>
      </c>
      <c r="D284" s="13"/>
      <c r="E284" s="15" t="str">
        <f>IFERROR(VLOOKUP(C284,기출문제!D:G,3,0),"")</f>
        <v/>
      </c>
      <c r="F284" s="31" t="str">
        <f>IFERROR(VLOOKUP(C284,기출문제!D:G,4,0),"")</f>
        <v/>
      </c>
      <c r="G284" s="32" t="str">
        <f t="shared" si="4"/>
        <v/>
      </c>
    </row>
    <row r="285" spans="2:7" x14ac:dyDescent="0.3">
      <c r="B285" s="13">
        <v>278</v>
      </c>
      <c r="C285" s="14" t="s">
        <v>766</v>
      </c>
      <c r="D285" s="13"/>
      <c r="E285" s="15" t="str">
        <f>IFERROR(VLOOKUP(C285,기출문제!D:G,3,0),"")</f>
        <v/>
      </c>
      <c r="F285" s="31" t="str">
        <f>IFERROR(VLOOKUP(C285,기출문제!D:G,4,0),"")</f>
        <v/>
      </c>
      <c r="G285" s="32" t="str">
        <f t="shared" si="4"/>
        <v/>
      </c>
    </row>
    <row r="286" spans="2:7" x14ac:dyDescent="0.3">
      <c r="B286" s="13">
        <v>279</v>
      </c>
      <c r="C286" s="14" t="s">
        <v>766</v>
      </c>
      <c r="D286" s="13"/>
      <c r="E286" s="15" t="str">
        <f>IFERROR(VLOOKUP(C286,기출문제!D:G,3,0),"")</f>
        <v/>
      </c>
      <c r="F286" s="31" t="str">
        <f>IFERROR(VLOOKUP(C286,기출문제!D:G,4,0),"")</f>
        <v/>
      </c>
      <c r="G286" s="32" t="str">
        <f t="shared" si="4"/>
        <v/>
      </c>
    </row>
    <row r="287" spans="2:7" x14ac:dyDescent="0.3">
      <c r="B287" s="13">
        <v>280</v>
      </c>
      <c r="C287" s="14" t="s">
        <v>766</v>
      </c>
      <c r="D287" s="13"/>
      <c r="E287" s="15" t="str">
        <f>IFERROR(VLOOKUP(C287,기출문제!D:G,3,0),"")</f>
        <v/>
      </c>
      <c r="F287" s="31" t="str">
        <f>IFERROR(VLOOKUP(C287,기출문제!D:G,4,0),"")</f>
        <v/>
      </c>
      <c r="G287" s="32" t="str">
        <f t="shared" si="4"/>
        <v/>
      </c>
    </row>
    <row r="288" spans="2:7" x14ac:dyDescent="0.3">
      <c r="B288" s="13">
        <v>281</v>
      </c>
      <c r="C288" s="14" t="s">
        <v>766</v>
      </c>
      <c r="D288" s="13"/>
      <c r="E288" s="15" t="str">
        <f>IFERROR(VLOOKUP(C288,기출문제!D:G,3,0),"")</f>
        <v/>
      </c>
      <c r="F288" s="31" t="str">
        <f>IFERROR(VLOOKUP(C288,기출문제!D:G,4,0),"")</f>
        <v/>
      </c>
      <c r="G288" s="32" t="str">
        <f t="shared" si="4"/>
        <v/>
      </c>
    </row>
    <row r="289" spans="2:7" x14ac:dyDescent="0.3">
      <c r="B289" s="13">
        <v>282</v>
      </c>
      <c r="C289" s="14" t="s">
        <v>766</v>
      </c>
      <c r="D289" s="13"/>
      <c r="E289" s="15" t="str">
        <f>IFERROR(VLOOKUP(C289,기출문제!D:G,3,0),"")</f>
        <v/>
      </c>
      <c r="F289" s="31" t="str">
        <f>IFERROR(VLOOKUP(C289,기출문제!D:G,4,0),"")</f>
        <v/>
      </c>
      <c r="G289" s="32" t="str">
        <f t="shared" si="4"/>
        <v/>
      </c>
    </row>
    <row r="290" spans="2:7" x14ac:dyDescent="0.3">
      <c r="B290" s="13">
        <v>283</v>
      </c>
      <c r="C290" s="14" t="s">
        <v>766</v>
      </c>
      <c r="D290" s="13"/>
      <c r="E290" s="15" t="str">
        <f>IFERROR(VLOOKUP(C290,기출문제!D:G,3,0),"")</f>
        <v/>
      </c>
      <c r="F290" s="31" t="str">
        <f>IFERROR(VLOOKUP(C290,기출문제!D:G,4,0),"")</f>
        <v/>
      </c>
      <c r="G290" s="32" t="str">
        <f t="shared" si="4"/>
        <v/>
      </c>
    </row>
    <row r="291" spans="2:7" x14ac:dyDescent="0.3">
      <c r="B291" s="13">
        <v>284</v>
      </c>
      <c r="C291" s="14" t="s">
        <v>766</v>
      </c>
      <c r="D291" s="13"/>
      <c r="E291" s="15" t="str">
        <f>IFERROR(VLOOKUP(C291,기출문제!D:G,3,0),"")</f>
        <v/>
      </c>
      <c r="F291" s="31" t="str">
        <f>IFERROR(VLOOKUP(C291,기출문제!D:G,4,0),"")</f>
        <v/>
      </c>
      <c r="G291" s="32" t="str">
        <f t="shared" si="4"/>
        <v/>
      </c>
    </row>
    <row r="292" spans="2:7" x14ac:dyDescent="0.3">
      <c r="B292" s="13">
        <v>285</v>
      </c>
      <c r="C292" s="14" t="s">
        <v>766</v>
      </c>
      <c r="D292" s="13"/>
      <c r="E292" s="15" t="str">
        <f>IFERROR(VLOOKUP(C292,기출문제!D:G,3,0),"")</f>
        <v/>
      </c>
      <c r="F292" s="31" t="str">
        <f>IFERROR(VLOOKUP(C292,기출문제!D:G,4,0),"")</f>
        <v/>
      </c>
      <c r="G292" s="32" t="str">
        <f t="shared" si="4"/>
        <v/>
      </c>
    </row>
    <row r="293" spans="2:7" x14ac:dyDescent="0.3">
      <c r="B293" s="13">
        <v>286</v>
      </c>
      <c r="C293" s="14" t="s">
        <v>766</v>
      </c>
      <c r="D293" s="13"/>
      <c r="E293" s="15" t="str">
        <f>IFERROR(VLOOKUP(C293,기출문제!D:G,3,0),"")</f>
        <v/>
      </c>
      <c r="F293" s="31" t="str">
        <f>IFERROR(VLOOKUP(C293,기출문제!D:G,4,0),"")</f>
        <v/>
      </c>
      <c r="G293" s="32" t="str">
        <f t="shared" si="4"/>
        <v/>
      </c>
    </row>
    <row r="294" spans="2:7" x14ac:dyDescent="0.3">
      <c r="B294" s="13">
        <v>287</v>
      </c>
      <c r="C294" s="14" t="s">
        <v>766</v>
      </c>
      <c r="D294" s="13"/>
      <c r="E294" s="15" t="str">
        <f>IFERROR(VLOOKUP(C294,기출문제!D:G,3,0),"")</f>
        <v/>
      </c>
      <c r="F294" s="31" t="str">
        <f>IFERROR(VLOOKUP(C294,기출문제!D:G,4,0),"")</f>
        <v/>
      </c>
      <c r="G294" s="32" t="str">
        <f t="shared" si="4"/>
        <v/>
      </c>
    </row>
    <row r="295" spans="2:7" x14ac:dyDescent="0.3">
      <c r="B295" s="13">
        <v>288</v>
      </c>
      <c r="C295" s="14" t="s">
        <v>766</v>
      </c>
      <c r="D295" s="13"/>
      <c r="E295" s="15" t="str">
        <f>IFERROR(VLOOKUP(C295,기출문제!D:G,3,0),"")</f>
        <v/>
      </c>
      <c r="F295" s="31" t="str">
        <f>IFERROR(VLOOKUP(C295,기출문제!D:G,4,0),"")</f>
        <v/>
      </c>
      <c r="G295" s="32" t="str">
        <f t="shared" si="4"/>
        <v/>
      </c>
    </row>
    <row r="296" spans="2:7" x14ac:dyDescent="0.3">
      <c r="B296" s="13">
        <v>289</v>
      </c>
      <c r="C296" s="14" t="s">
        <v>766</v>
      </c>
      <c r="D296" s="13"/>
      <c r="E296" s="15" t="str">
        <f>IFERROR(VLOOKUP(C296,기출문제!D:G,3,0),"")</f>
        <v/>
      </c>
      <c r="F296" s="31" t="str">
        <f>IFERROR(VLOOKUP(C296,기출문제!D:G,4,0),"")</f>
        <v/>
      </c>
      <c r="G296" s="32" t="str">
        <f t="shared" si="4"/>
        <v/>
      </c>
    </row>
    <row r="297" spans="2:7" x14ac:dyDescent="0.3">
      <c r="B297" s="13">
        <v>290</v>
      </c>
      <c r="C297" s="14" t="s">
        <v>766</v>
      </c>
      <c r="D297" s="13"/>
      <c r="E297" s="15" t="str">
        <f>IFERROR(VLOOKUP(C297,기출문제!D:G,3,0),"")</f>
        <v/>
      </c>
      <c r="F297" s="31" t="str">
        <f>IFERROR(VLOOKUP(C297,기출문제!D:G,4,0),"")</f>
        <v/>
      </c>
      <c r="G297" s="32" t="str">
        <f t="shared" si="4"/>
        <v/>
      </c>
    </row>
    <row r="298" spans="2:7" x14ac:dyDescent="0.3">
      <c r="B298" s="13">
        <v>291</v>
      </c>
      <c r="C298" s="14" t="s">
        <v>766</v>
      </c>
      <c r="D298" s="13"/>
      <c r="E298" s="15" t="str">
        <f>IFERROR(VLOOKUP(C298,기출문제!D:G,3,0),"")</f>
        <v/>
      </c>
      <c r="F298" s="31" t="str">
        <f>IFERROR(VLOOKUP(C298,기출문제!D:G,4,0),"")</f>
        <v/>
      </c>
      <c r="G298" s="32" t="str">
        <f t="shared" si="4"/>
        <v/>
      </c>
    </row>
    <row r="299" spans="2:7" x14ac:dyDescent="0.3">
      <c r="B299" s="13">
        <v>292</v>
      </c>
      <c r="C299" s="14" t="s">
        <v>766</v>
      </c>
      <c r="D299" s="13"/>
      <c r="E299" s="15" t="str">
        <f>IFERROR(VLOOKUP(C299,기출문제!D:G,3,0),"")</f>
        <v/>
      </c>
      <c r="F299" s="31" t="str">
        <f>IFERROR(VLOOKUP(C299,기출문제!D:G,4,0),"")</f>
        <v/>
      </c>
      <c r="G299" s="32" t="str">
        <f t="shared" si="4"/>
        <v/>
      </c>
    </row>
    <row r="300" spans="2:7" x14ac:dyDescent="0.3">
      <c r="B300" s="13">
        <v>293</v>
      </c>
      <c r="C300" s="14" t="s">
        <v>766</v>
      </c>
      <c r="D300" s="13"/>
      <c r="E300" s="15" t="str">
        <f>IFERROR(VLOOKUP(C300,기출문제!D:G,3,0),"")</f>
        <v/>
      </c>
      <c r="F300" s="31" t="str">
        <f>IFERROR(VLOOKUP(C300,기출문제!D:G,4,0),"")</f>
        <v/>
      </c>
      <c r="G300" s="32" t="str">
        <f t="shared" si="4"/>
        <v/>
      </c>
    </row>
    <row r="301" spans="2:7" x14ac:dyDescent="0.3">
      <c r="B301" s="13">
        <v>294</v>
      </c>
      <c r="C301" s="14" t="s">
        <v>766</v>
      </c>
      <c r="D301" s="13"/>
      <c r="E301" s="15" t="str">
        <f>IFERROR(VLOOKUP(C301,기출문제!D:G,3,0),"")</f>
        <v/>
      </c>
      <c r="F301" s="31" t="str">
        <f>IFERROR(VLOOKUP(C301,기출문제!D:G,4,0),"")</f>
        <v/>
      </c>
      <c r="G301" s="32" t="str">
        <f t="shared" si="4"/>
        <v/>
      </c>
    </row>
    <row r="302" spans="2:7" x14ac:dyDescent="0.3">
      <c r="B302" s="13">
        <v>295</v>
      </c>
      <c r="C302" s="14" t="s">
        <v>766</v>
      </c>
      <c r="D302" s="13"/>
      <c r="E302" s="15" t="str">
        <f>IFERROR(VLOOKUP(C302,기출문제!D:G,3,0),"")</f>
        <v/>
      </c>
      <c r="F302" s="31" t="str">
        <f>IFERROR(VLOOKUP(C302,기출문제!D:G,4,0),"")</f>
        <v/>
      </c>
      <c r="G302" s="32" t="str">
        <f t="shared" si="4"/>
        <v/>
      </c>
    </row>
    <row r="303" spans="2:7" x14ac:dyDescent="0.3">
      <c r="B303" s="13">
        <v>296</v>
      </c>
      <c r="C303" s="14" t="s">
        <v>766</v>
      </c>
      <c r="D303" s="13"/>
      <c r="E303" s="15" t="str">
        <f>IFERROR(VLOOKUP(C303,기출문제!D:G,3,0),"")</f>
        <v/>
      </c>
      <c r="F303" s="31" t="str">
        <f>IFERROR(VLOOKUP(C303,기출문제!D:G,4,0),"")</f>
        <v/>
      </c>
      <c r="G303" s="32" t="str">
        <f t="shared" si="4"/>
        <v/>
      </c>
    </row>
    <row r="304" spans="2:7" x14ac:dyDescent="0.3">
      <c r="B304" s="13">
        <v>297</v>
      </c>
      <c r="C304" s="14" t="s">
        <v>766</v>
      </c>
      <c r="D304" s="13"/>
      <c r="E304" s="15" t="str">
        <f>IFERROR(VLOOKUP(C304,기출문제!D:G,3,0),"")</f>
        <v/>
      </c>
      <c r="F304" s="31" t="str">
        <f>IFERROR(VLOOKUP(C304,기출문제!D:G,4,0),"")</f>
        <v/>
      </c>
      <c r="G304" s="32" t="str">
        <f t="shared" si="4"/>
        <v/>
      </c>
    </row>
    <row r="305" spans="2:7" x14ac:dyDescent="0.3">
      <c r="B305" s="13">
        <v>298</v>
      </c>
      <c r="C305" s="14" t="s">
        <v>766</v>
      </c>
      <c r="D305" s="13"/>
      <c r="E305" s="15" t="str">
        <f>IFERROR(VLOOKUP(C305,기출문제!D:G,3,0),"")</f>
        <v/>
      </c>
      <c r="F305" s="31" t="str">
        <f>IFERROR(VLOOKUP(C305,기출문제!D:G,4,0),"")</f>
        <v/>
      </c>
      <c r="G305" s="32" t="str">
        <f t="shared" si="4"/>
        <v/>
      </c>
    </row>
    <row r="306" spans="2:7" x14ac:dyDescent="0.3">
      <c r="B306" s="13">
        <v>299</v>
      </c>
      <c r="C306" s="14" t="s">
        <v>766</v>
      </c>
      <c r="D306" s="13"/>
      <c r="E306" s="15" t="str">
        <f>IFERROR(VLOOKUP(C306,기출문제!D:G,3,0),"")</f>
        <v/>
      </c>
      <c r="F306" s="31" t="str">
        <f>IFERROR(VLOOKUP(C306,기출문제!D:G,4,0),"")</f>
        <v/>
      </c>
      <c r="G306" s="32" t="str">
        <f t="shared" si="4"/>
        <v/>
      </c>
    </row>
    <row r="307" spans="2:7" x14ac:dyDescent="0.3">
      <c r="B307" s="13">
        <v>300</v>
      </c>
      <c r="C307" s="14" t="s">
        <v>766</v>
      </c>
      <c r="D307" s="13"/>
      <c r="E307" s="15" t="str">
        <f>IFERROR(VLOOKUP(C307,기출문제!D:G,3,0),"")</f>
        <v/>
      </c>
      <c r="F307" s="31" t="str">
        <f>IFERROR(VLOOKUP(C307,기출문제!D:G,4,0),"")</f>
        <v/>
      </c>
      <c r="G307" s="32" t="str">
        <f t="shared" si="4"/>
        <v/>
      </c>
    </row>
    <row r="308" spans="2:7" x14ac:dyDescent="0.3">
      <c r="B308" s="13">
        <v>301</v>
      </c>
      <c r="C308" s="14" t="s">
        <v>766</v>
      </c>
      <c r="D308" s="13"/>
      <c r="E308" s="15" t="str">
        <f>IFERROR(VLOOKUP(C308,기출문제!D:G,3,0),"")</f>
        <v/>
      </c>
      <c r="F308" s="31" t="str">
        <f>IFERROR(VLOOKUP(C308,기출문제!D:G,4,0),"")</f>
        <v/>
      </c>
      <c r="G308" s="32" t="str">
        <f t="shared" si="4"/>
        <v/>
      </c>
    </row>
    <row r="309" spans="2:7" x14ac:dyDescent="0.3">
      <c r="B309" s="13">
        <v>302</v>
      </c>
      <c r="C309" s="14" t="s">
        <v>766</v>
      </c>
      <c r="D309" s="13"/>
      <c r="E309" s="15" t="str">
        <f>IFERROR(VLOOKUP(C309,기출문제!D:G,3,0),"")</f>
        <v/>
      </c>
      <c r="F309" s="31" t="str">
        <f>IFERROR(VLOOKUP(C309,기출문제!D:G,4,0),"")</f>
        <v/>
      </c>
      <c r="G309" s="32" t="str">
        <f t="shared" si="4"/>
        <v/>
      </c>
    </row>
    <row r="310" spans="2:7" x14ac:dyDescent="0.3">
      <c r="B310" s="13">
        <v>303</v>
      </c>
      <c r="C310" s="14" t="s">
        <v>766</v>
      </c>
      <c r="D310" s="13"/>
      <c r="E310" s="15" t="str">
        <f>IFERROR(VLOOKUP(C310,기출문제!D:G,3,0),"")</f>
        <v/>
      </c>
      <c r="F310" s="31" t="str">
        <f>IFERROR(VLOOKUP(C310,기출문제!D:G,4,0),"")</f>
        <v/>
      </c>
      <c r="G310" s="32" t="str">
        <f t="shared" si="4"/>
        <v/>
      </c>
    </row>
    <row r="311" spans="2:7" x14ac:dyDescent="0.3">
      <c r="B311" s="13">
        <v>304</v>
      </c>
      <c r="C311" s="14" t="s">
        <v>766</v>
      </c>
      <c r="D311" s="13"/>
      <c r="E311" s="15" t="str">
        <f>IFERROR(VLOOKUP(C311,기출문제!D:G,3,0),"")</f>
        <v/>
      </c>
      <c r="F311" s="31" t="str">
        <f>IFERROR(VLOOKUP(C311,기출문제!D:G,4,0),"")</f>
        <v/>
      </c>
      <c r="G311" s="32" t="str">
        <f t="shared" si="4"/>
        <v/>
      </c>
    </row>
    <row r="312" spans="2:7" x14ac:dyDescent="0.3">
      <c r="B312" s="13">
        <v>305</v>
      </c>
      <c r="C312" s="14" t="s">
        <v>766</v>
      </c>
      <c r="D312" s="13"/>
      <c r="E312" s="15" t="str">
        <f>IFERROR(VLOOKUP(C312,기출문제!D:G,3,0),"")</f>
        <v/>
      </c>
      <c r="F312" s="31" t="str">
        <f>IFERROR(VLOOKUP(C312,기출문제!D:G,4,0),"")</f>
        <v/>
      </c>
      <c r="G312" s="32" t="str">
        <f t="shared" si="4"/>
        <v/>
      </c>
    </row>
    <row r="313" spans="2:7" x14ac:dyDescent="0.3">
      <c r="B313" s="13">
        <v>306</v>
      </c>
      <c r="C313" s="14" t="s">
        <v>766</v>
      </c>
      <c r="D313" s="13"/>
      <c r="E313" s="15" t="str">
        <f>IFERROR(VLOOKUP(C313,기출문제!D:G,3,0),"")</f>
        <v/>
      </c>
      <c r="F313" s="31" t="str">
        <f>IFERROR(VLOOKUP(C313,기출문제!D:G,4,0),"")</f>
        <v/>
      </c>
      <c r="G313" s="32" t="str">
        <f t="shared" si="4"/>
        <v/>
      </c>
    </row>
    <row r="314" spans="2:7" x14ac:dyDescent="0.3">
      <c r="B314" s="13">
        <v>307</v>
      </c>
      <c r="C314" s="14" t="s">
        <v>766</v>
      </c>
      <c r="D314" s="13"/>
      <c r="E314" s="15" t="str">
        <f>IFERROR(VLOOKUP(C314,기출문제!D:G,3,0),"")</f>
        <v/>
      </c>
      <c r="F314" s="31" t="str">
        <f>IFERROR(VLOOKUP(C314,기출문제!D:G,4,0),"")</f>
        <v/>
      </c>
      <c r="G314" s="32" t="str">
        <f t="shared" si="4"/>
        <v/>
      </c>
    </row>
    <row r="315" spans="2:7" x14ac:dyDescent="0.3">
      <c r="B315" s="13">
        <v>308</v>
      </c>
      <c r="C315" s="14" t="s">
        <v>766</v>
      </c>
      <c r="D315" s="13"/>
      <c r="E315" s="15" t="str">
        <f>IFERROR(VLOOKUP(C315,기출문제!D:G,3,0),"")</f>
        <v/>
      </c>
      <c r="F315" s="31" t="str">
        <f>IFERROR(VLOOKUP(C315,기출문제!D:G,4,0),"")</f>
        <v/>
      </c>
      <c r="G315" s="32" t="str">
        <f t="shared" si="4"/>
        <v/>
      </c>
    </row>
    <row r="316" spans="2:7" x14ac:dyDescent="0.3">
      <c r="B316" s="13">
        <v>309</v>
      </c>
      <c r="C316" s="14" t="s">
        <v>766</v>
      </c>
      <c r="D316" s="13"/>
      <c r="E316" s="15" t="str">
        <f>IFERROR(VLOOKUP(C316,기출문제!D:G,3,0),"")</f>
        <v/>
      </c>
      <c r="F316" s="31" t="str">
        <f>IFERROR(VLOOKUP(C316,기출문제!D:G,4,0),"")</f>
        <v/>
      </c>
      <c r="G316" s="32" t="str">
        <f t="shared" si="4"/>
        <v/>
      </c>
    </row>
    <row r="317" spans="2:7" x14ac:dyDescent="0.3">
      <c r="B317" s="13">
        <v>310</v>
      </c>
      <c r="C317" s="14" t="s">
        <v>766</v>
      </c>
      <c r="D317" s="13"/>
      <c r="E317" s="15" t="str">
        <f>IFERROR(VLOOKUP(C317,기출문제!D:G,3,0),"")</f>
        <v/>
      </c>
      <c r="F317" s="31" t="str">
        <f>IFERROR(VLOOKUP(C317,기출문제!D:G,4,0),"")</f>
        <v/>
      </c>
      <c r="G317" s="32" t="str">
        <f t="shared" si="4"/>
        <v/>
      </c>
    </row>
    <row r="318" spans="2:7" x14ac:dyDescent="0.3">
      <c r="B318" s="13">
        <v>311</v>
      </c>
      <c r="C318" s="14" t="s">
        <v>766</v>
      </c>
      <c r="D318" s="13"/>
      <c r="E318" s="15" t="str">
        <f>IFERROR(VLOOKUP(C318,기출문제!D:G,3,0),"")</f>
        <v/>
      </c>
      <c r="F318" s="31" t="str">
        <f>IFERROR(VLOOKUP(C318,기출문제!D:G,4,0),"")</f>
        <v/>
      </c>
      <c r="G318" s="32" t="str">
        <f t="shared" si="4"/>
        <v/>
      </c>
    </row>
    <row r="319" spans="2:7" x14ac:dyDescent="0.3">
      <c r="B319" s="13">
        <v>312</v>
      </c>
      <c r="C319" s="14" t="s">
        <v>766</v>
      </c>
      <c r="D319" s="13"/>
      <c r="E319" s="15" t="str">
        <f>IFERROR(VLOOKUP(C319,기출문제!D:G,3,0),"")</f>
        <v/>
      </c>
      <c r="F319" s="31" t="str">
        <f>IFERROR(VLOOKUP(C319,기출문제!D:G,4,0),"")</f>
        <v/>
      </c>
      <c r="G319" s="32" t="str">
        <f t="shared" si="4"/>
        <v/>
      </c>
    </row>
    <row r="320" spans="2:7" x14ac:dyDescent="0.3">
      <c r="B320" s="13">
        <v>313</v>
      </c>
      <c r="C320" s="14" t="s">
        <v>766</v>
      </c>
      <c r="D320" s="13"/>
      <c r="E320" s="15" t="str">
        <f>IFERROR(VLOOKUP(C320,기출문제!D:G,3,0),"")</f>
        <v/>
      </c>
      <c r="F320" s="31" t="str">
        <f>IFERROR(VLOOKUP(C320,기출문제!D:G,4,0),"")</f>
        <v/>
      </c>
      <c r="G320" s="32" t="str">
        <f t="shared" si="4"/>
        <v/>
      </c>
    </row>
    <row r="321" spans="2:7" x14ac:dyDescent="0.3">
      <c r="B321" s="13">
        <v>314</v>
      </c>
      <c r="C321" s="14" t="s">
        <v>766</v>
      </c>
      <c r="D321" s="13"/>
      <c r="E321" s="15" t="str">
        <f>IFERROR(VLOOKUP(C321,기출문제!D:G,3,0),"")</f>
        <v/>
      </c>
      <c r="F321" s="31" t="str">
        <f>IFERROR(VLOOKUP(C321,기출문제!D:G,4,0),"")</f>
        <v/>
      </c>
      <c r="G321" s="32" t="str">
        <f t="shared" si="4"/>
        <v/>
      </c>
    </row>
    <row r="322" spans="2:7" x14ac:dyDescent="0.3">
      <c r="B322" s="13">
        <v>315</v>
      </c>
      <c r="C322" s="14" t="s">
        <v>766</v>
      </c>
      <c r="D322" s="13"/>
      <c r="E322" s="15" t="str">
        <f>IFERROR(VLOOKUP(C322,기출문제!D:G,3,0),"")</f>
        <v/>
      </c>
      <c r="F322" s="31" t="str">
        <f>IFERROR(VLOOKUP(C322,기출문제!D:G,4,0),"")</f>
        <v/>
      </c>
      <c r="G322" s="32" t="str">
        <f t="shared" si="4"/>
        <v/>
      </c>
    </row>
    <row r="323" spans="2:7" x14ac:dyDescent="0.3">
      <c r="B323" s="13">
        <v>316</v>
      </c>
      <c r="C323" s="14" t="s">
        <v>766</v>
      </c>
      <c r="D323" s="13"/>
      <c r="E323" s="15" t="str">
        <f>IFERROR(VLOOKUP(C323,기출문제!D:G,3,0),"")</f>
        <v/>
      </c>
      <c r="F323" s="31" t="str">
        <f>IFERROR(VLOOKUP(C323,기출문제!D:G,4,0),"")</f>
        <v/>
      </c>
      <c r="G323" s="32" t="str">
        <f t="shared" si="4"/>
        <v/>
      </c>
    </row>
    <row r="324" spans="2:7" x14ac:dyDescent="0.3">
      <c r="B324" s="13">
        <v>317</v>
      </c>
      <c r="C324" s="14" t="s">
        <v>766</v>
      </c>
      <c r="D324" s="13"/>
      <c r="E324" s="15" t="str">
        <f>IFERROR(VLOOKUP(C324,기출문제!D:G,3,0),"")</f>
        <v/>
      </c>
      <c r="F324" s="31" t="str">
        <f>IFERROR(VLOOKUP(C324,기출문제!D:G,4,0),"")</f>
        <v/>
      </c>
      <c r="G324" s="32" t="str">
        <f t="shared" si="4"/>
        <v/>
      </c>
    </row>
    <row r="325" spans="2:7" x14ac:dyDescent="0.3">
      <c r="B325" s="13">
        <v>318</v>
      </c>
      <c r="C325" s="14" t="s">
        <v>766</v>
      </c>
      <c r="D325" s="13"/>
      <c r="E325" s="15" t="str">
        <f>IFERROR(VLOOKUP(C325,기출문제!D:G,3,0),"")</f>
        <v/>
      </c>
      <c r="F325" s="31" t="str">
        <f>IFERROR(VLOOKUP(C325,기출문제!D:G,4,0),"")</f>
        <v/>
      </c>
      <c r="G325" s="32" t="str">
        <f t="shared" si="4"/>
        <v/>
      </c>
    </row>
    <row r="326" spans="2:7" x14ac:dyDescent="0.3">
      <c r="B326" s="13">
        <v>319</v>
      </c>
      <c r="C326" s="14" t="s">
        <v>766</v>
      </c>
      <c r="D326" s="13"/>
      <c r="E326" s="15" t="str">
        <f>IFERROR(VLOOKUP(C326,기출문제!D:G,3,0),"")</f>
        <v/>
      </c>
      <c r="F326" s="31" t="str">
        <f>IFERROR(VLOOKUP(C326,기출문제!D:G,4,0),"")</f>
        <v/>
      </c>
      <c r="G326" s="32" t="str">
        <f t="shared" si="4"/>
        <v/>
      </c>
    </row>
    <row r="327" spans="2:7" x14ac:dyDescent="0.3">
      <c r="B327" s="13">
        <v>320</v>
      </c>
      <c r="C327" s="14" t="s">
        <v>766</v>
      </c>
      <c r="D327" s="13"/>
      <c r="E327" s="15" t="str">
        <f>IFERROR(VLOOKUP(C327,기출문제!D:G,3,0),"")</f>
        <v/>
      </c>
      <c r="F327" s="31" t="str">
        <f>IFERROR(VLOOKUP(C327,기출문제!D:G,4,0),"")</f>
        <v/>
      </c>
      <c r="G327" s="32" t="str">
        <f t="shared" si="4"/>
        <v/>
      </c>
    </row>
    <row r="328" spans="2:7" x14ac:dyDescent="0.3">
      <c r="B328" s="13">
        <v>321</v>
      </c>
      <c r="C328" s="14" t="s">
        <v>766</v>
      </c>
      <c r="D328" s="13"/>
      <c r="E328" s="15" t="str">
        <f>IFERROR(VLOOKUP(C328,기출문제!D:G,3,0),"")</f>
        <v/>
      </c>
      <c r="F328" s="31" t="str">
        <f>IFERROR(VLOOKUP(C328,기출문제!D:G,4,0),"")</f>
        <v/>
      </c>
      <c r="G328" s="32" t="str">
        <f t="shared" si="4"/>
        <v/>
      </c>
    </row>
    <row r="329" spans="2:7" x14ac:dyDescent="0.3">
      <c r="B329" s="13">
        <v>322</v>
      </c>
      <c r="C329" s="14" t="s">
        <v>766</v>
      </c>
      <c r="D329" s="13"/>
      <c r="E329" s="15" t="str">
        <f>IFERROR(VLOOKUP(C329,기출문제!D:G,3,0),"")</f>
        <v/>
      </c>
      <c r="F329" s="31" t="str">
        <f>IFERROR(VLOOKUP(C329,기출문제!D:G,4,0),"")</f>
        <v/>
      </c>
      <c r="G329" s="32" t="str">
        <f t="shared" ref="G329:G392" si="5">IF(D329="","",IF(D329=F329,"O", "X"))</f>
        <v/>
      </c>
    </row>
    <row r="330" spans="2:7" x14ac:dyDescent="0.3">
      <c r="B330" s="13">
        <v>323</v>
      </c>
      <c r="C330" s="14" t="s">
        <v>766</v>
      </c>
      <c r="D330" s="13"/>
      <c r="E330" s="15" t="str">
        <f>IFERROR(VLOOKUP(C330,기출문제!D:G,3,0),"")</f>
        <v/>
      </c>
      <c r="F330" s="31" t="str">
        <f>IFERROR(VLOOKUP(C330,기출문제!D:G,4,0),"")</f>
        <v/>
      </c>
      <c r="G330" s="32" t="str">
        <f t="shared" si="5"/>
        <v/>
      </c>
    </row>
    <row r="331" spans="2:7" x14ac:dyDescent="0.3">
      <c r="B331" s="13">
        <v>324</v>
      </c>
      <c r="C331" s="14" t="s">
        <v>766</v>
      </c>
      <c r="D331" s="13"/>
      <c r="E331" s="15" t="str">
        <f>IFERROR(VLOOKUP(C331,기출문제!D:G,3,0),"")</f>
        <v/>
      </c>
      <c r="F331" s="31" t="str">
        <f>IFERROR(VLOOKUP(C331,기출문제!D:G,4,0),"")</f>
        <v/>
      </c>
      <c r="G331" s="32" t="str">
        <f t="shared" si="5"/>
        <v/>
      </c>
    </row>
    <row r="332" spans="2:7" x14ac:dyDescent="0.3">
      <c r="B332" s="13">
        <v>325</v>
      </c>
      <c r="C332" s="14" t="s">
        <v>766</v>
      </c>
      <c r="D332" s="13"/>
      <c r="E332" s="15" t="str">
        <f>IFERROR(VLOOKUP(C332,기출문제!D:G,3,0),"")</f>
        <v/>
      </c>
      <c r="F332" s="31" t="str">
        <f>IFERROR(VLOOKUP(C332,기출문제!D:G,4,0),"")</f>
        <v/>
      </c>
      <c r="G332" s="32" t="str">
        <f t="shared" si="5"/>
        <v/>
      </c>
    </row>
    <row r="333" spans="2:7" x14ac:dyDescent="0.3">
      <c r="B333" s="13">
        <v>326</v>
      </c>
      <c r="C333" s="14" t="s">
        <v>766</v>
      </c>
      <c r="D333" s="13"/>
      <c r="E333" s="15" t="str">
        <f>IFERROR(VLOOKUP(C333,기출문제!D:G,3,0),"")</f>
        <v/>
      </c>
      <c r="F333" s="31" t="str">
        <f>IFERROR(VLOOKUP(C333,기출문제!D:G,4,0),"")</f>
        <v/>
      </c>
      <c r="G333" s="32" t="str">
        <f t="shared" si="5"/>
        <v/>
      </c>
    </row>
    <row r="334" spans="2:7" x14ac:dyDescent="0.3">
      <c r="B334" s="13">
        <v>327</v>
      </c>
      <c r="C334" s="14" t="s">
        <v>766</v>
      </c>
      <c r="D334" s="13"/>
      <c r="E334" s="15" t="str">
        <f>IFERROR(VLOOKUP(C334,기출문제!D:G,3,0),"")</f>
        <v/>
      </c>
      <c r="F334" s="31" t="str">
        <f>IFERROR(VLOOKUP(C334,기출문제!D:G,4,0),"")</f>
        <v/>
      </c>
      <c r="G334" s="32" t="str">
        <f t="shared" si="5"/>
        <v/>
      </c>
    </row>
    <row r="335" spans="2:7" x14ac:dyDescent="0.3">
      <c r="B335" s="13">
        <v>328</v>
      </c>
      <c r="C335" s="14" t="s">
        <v>766</v>
      </c>
      <c r="D335" s="13"/>
      <c r="E335" s="15" t="str">
        <f>IFERROR(VLOOKUP(C335,기출문제!D:G,3,0),"")</f>
        <v/>
      </c>
      <c r="F335" s="31" t="str">
        <f>IFERROR(VLOOKUP(C335,기출문제!D:G,4,0),"")</f>
        <v/>
      </c>
      <c r="G335" s="32" t="str">
        <f t="shared" si="5"/>
        <v/>
      </c>
    </row>
    <row r="336" spans="2:7" x14ac:dyDescent="0.3">
      <c r="B336" s="13">
        <v>329</v>
      </c>
      <c r="C336" s="14" t="s">
        <v>766</v>
      </c>
      <c r="D336" s="13"/>
      <c r="E336" s="15" t="str">
        <f>IFERROR(VLOOKUP(C336,기출문제!D:G,3,0),"")</f>
        <v/>
      </c>
      <c r="F336" s="31" t="str">
        <f>IFERROR(VLOOKUP(C336,기출문제!D:G,4,0),"")</f>
        <v/>
      </c>
      <c r="G336" s="32" t="str">
        <f t="shared" si="5"/>
        <v/>
      </c>
    </row>
    <row r="337" spans="2:7" x14ac:dyDescent="0.3">
      <c r="B337" s="13">
        <v>330</v>
      </c>
      <c r="C337" s="14" t="s">
        <v>766</v>
      </c>
      <c r="D337" s="13"/>
      <c r="E337" s="15" t="str">
        <f>IFERROR(VLOOKUP(C337,기출문제!D:G,3,0),"")</f>
        <v/>
      </c>
      <c r="F337" s="31" t="str">
        <f>IFERROR(VLOOKUP(C337,기출문제!D:G,4,0),"")</f>
        <v/>
      </c>
      <c r="G337" s="32" t="str">
        <f t="shared" si="5"/>
        <v/>
      </c>
    </row>
    <row r="338" spans="2:7" x14ac:dyDescent="0.3">
      <c r="B338" s="13">
        <v>331</v>
      </c>
      <c r="C338" s="14" t="s">
        <v>766</v>
      </c>
      <c r="D338" s="13"/>
      <c r="E338" s="15" t="str">
        <f>IFERROR(VLOOKUP(C338,기출문제!D:G,3,0),"")</f>
        <v/>
      </c>
      <c r="F338" s="31" t="str">
        <f>IFERROR(VLOOKUP(C338,기출문제!D:G,4,0),"")</f>
        <v/>
      </c>
      <c r="G338" s="32" t="str">
        <f t="shared" si="5"/>
        <v/>
      </c>
    </row>
    <row r="339" spans="2:7" x14ac:dyDescent="0.3">
      <c r="B339" s="13">
        <v>332</v>
      </c>
      <c r="C339" s="14" t="s">
        <v>766</v>
      </c>
      <c r="D339" s="13"/>
      <c r="E339" s="15" t="str">
        <f>IFERROR(VLOOKUP(C339,기출문제!D:G,3,0),"")</f>
        <v/>
      </c>
      <c r="F339" s="31" t="str">
        <f>IFERROR(VLOOKUP(C339,기출문제!D:G,4,0),"")</f>
        <v/>
      </c>
      <c r="G339" s="32" t="str">
        <f t="shared" si="5"/>
        <v/>
      </c>
    </row>
    <row r="340" spans="2:7" x14ac:dyDescent="0.3">
      <c r="B340" s="13">
        <v>333</v>
      </c>
      <c r="C340" s="14" t="s">
        <v>766</v>
      </c>
      <c r="D340" s="13"/>
      <c r="E340" s="15" t="str">
        <f>IFERROR(VLOOKUP(C340,기출문제!D:G,3,0),"")</f>
        <v/>
      </c>
      <c r="F340" s="31" t="str">
        <f>IFERROR(VLOOKUP(C340,기출문제!D:G,4,0),"")</f>
        <v/>
      </c>
      <c r="G340" s="32" t="str">
        <f t="shared" si="5"/>
        <v/>
      </c>
    </row>
    <row r="341" spans="2:7" x14ac:dyDescent="0.3">
      <c r="B341" s="13">
        <v>334</v>
      </c>
      <c r="C341" s="14" t="s">
        <v>766</v>
      </c>
      <c r="D341" s="13"/>
      <c r="E341" s="15" t="str">
        <f>IFERROR(VLOOKUP(C341,기출문제!D:G,3,0),"")</f>
        <v/>
      </c>
      <c r="F341" s="31" t="str">
        <f>IFERROR(VLOOKUP(C341,기출문제!D:G,4,0),"")</f>
        <v/>
      </c>
      <c r="G341" s="32" t="str">
        <f t="shared" si="5"/>
        <v/>
      </c>
    </row>
    <row r="342" spans="2:7" x14ac:dyDescent="0.3">
      <c r="B342" s="13">
        <v>335</v>
      </c>
      <c r="C342" s="14" t="s">
        <v>766</v>
      </c>
      <c r="D342" s="13"/>
      <c r="E342" s="15" t="str">
        <f>IFERROR(VLOOKUP(C342,기출문제!D:G,3,0),"")</f>
        <v/>
      </c>
      <c r="F342" s="31" t="str">
        <f>IFERROR(VLOOKUP(C342,기출문제!D:G,4,0),"")</f>
        <v/>
      </c>
      <c r="G342" s="32" t="str">
        <f t="shared" si="5"/>
        <v/>
      </c>
    </row>
    <row r="343" spans="2:7" x14ac:dyDescent="0.3">
      <c r="B343" s="13">
        <v>336</v>
      </c>
      <c r="C343" s="14" t="s">
        <v>766</v>
      </c>
      <c r="D343" s="13"/>
      <c r="E343" s="15" t="str">
        <f>IFERROR(VLOOKUP(C343,기출문제!D:G,3,0),"")</f>
        <v/>
      </c>
      <c r="F343" s="31" t="str">
        <f>IFERROR(VLOOKUP(C343,기출문제!D:G,4,0),"")</f>
        <v/>
      </c>
      <c r="G343" s="32" t="str">
        <f t="shared" si="5"/>
        <v/>
      </c>
    </row>
    <row r="344" spans="2:7" x14ac:dyDescent="0.3">
      <c r="B344" s="13">
        <v>337</v>
      </c>
      <c r="C344" s="14" t="s">
        <v>766</v>
      </c>
      <c r="D344" s="13"/>
      <c r="E344" s="15" t="str">
        <f>IFERROR(VLOOKUP(C344,기출문제!D:G,3,0),"")</f>
        <v/>
      </c>
      <c r="F344" s="31" t="str">
        <f>IFERROR(VLOOKUP(C344,기출문제!D:G,4,0),"")</f>
        <v/>
      </c>
      <c r="G344" s="32" t="str">
        <f t="shared" si="5"/>
        <v/>
      </c>
    </row>
    <row r="345" spans="2:7" x14ac:dyDescent="0.3">
      <c r="B345" s="13">
        <v>338</v>
      </c>
      <c r="C345" s="14" t="s">
        <v>766</v>
      </c>
      <c r="D345" s="13"/>
      <c r="E345" s="15" t="str">
        <f>IFERROR(VLOOKUP(C345,기출문제!D:G,3,0),"")</f>
        <v/>
      </c>
      <c r="F345" s="31" t="str">
        <f>IFERROR(VLOOKUP(C345,기출문제!D:G,4,0),"")</f>
        <v/>
      </c>
      <c r="G345" s="32" t="str">
        <f t="shared" si="5"/>
        <v/>
      </c>
    </row>
    <row r="346" spans="2:7" x14ac:dyDescent="0.3">
      <c r="B346" s="13">
        <v>339</v>
      </c>
      <c r="C346" s="14" t="s">
        <v>766</v>
      </c>
      <c r="D346" s="13"/>
      <c r="E346" s="15" t="str">
        <f>IFERROR(VLOOKUP(C346,기출문제!D:G,3,0),"")</f>
        <v/>
      </c>
      <c r="F346" s="31" t="str">
        <f>IFERROR(VLOOKUP(C346,기출문제!D:G,4,0),"")</f>
        <v/>
      </c>
      <c r="G346" s="32" t="str">
        <f t="shared" si="5"/>
        <v/>
      </c>
    </row>
    <row r="347" spans="2:7" x14ac:dyDescent="0.3">
      <c r="B347" s="13">
        <v>340</v>
      </c>
      <c r="C347" s="14" t="s">
        <v>766</v>
      </c>
      <c r="D347" s="13"/>
      <c r="E347" s="15" t="str">
        <f>IFERROR(VLOOKUP(C347,기출문제!D:G,3,0),"")</f>
        <v/>
      </c>
      <c r="F347" s="31" t="str">
        <f>IFERROR(VLOOKUP(C347,기출문제!D:G,4,0),"")</f>
        <v/>
      </c>
      <c r="G347" s="32" t="str">
        <f t="shared" si="5"/>
        <v/>
      </c>
    </row>
    <row r="348" spans="2:7" x14ac:dyDescent="0.3">
      <c r="B348" s="13">
        <v>341</v>
      </c>
      <c r="C348" s="14" t="s">
        <v>766</v>
      </c>
      <c r="D348" s="13"/>
      <c r="E348" s="15" t="str">
        <f>IFERROR(VLOOKUP(C348,기출문제!D:G,3,0),"")</f>
        <v/>
      </c>
      <c r="F348" s="31" t="str">
        <f>IFERROR(VLOOKUP(C348,기출문제!D:G,4,0),"")</f>
        <v/>
      </c>
      <c r="G348" s="32" t="str">
        <f t="shared" si="5"/>
        <v/>
      </c>
    </row>
    <row r="349" spans="2:7" x14ac:dyDescent="0.3">
      <c r="B349" s="13">
        <v>342</v>
      </c>
      <c r="C349" s="14" t="s">
        <v>766</v>
      </c>
      <c r="D349" s="13"/>
      <c r="E349" s="15" t="str">
        <f>IFERROR(VLOOKUP(C349,기출문제!D:G,3,0),"")</f>
        <v/>
      </c>
      <c r="F349" s="31" t="str">
        <f>IFERROR(VLOOKUP(C349,기출문제!D:G,4,0),"")</f>
        <v/>
      </c>
      <c r="G349" s="32" t="str">
        <f t="shared" si="5"/>
        <v/>
      </c>
    </row>
    <row r="350" spans="2:7" x14ac:dyDescent="0.3">
      <c r="B350" s="13">
        <v>343</v>
      </c>
      <c r="C350" s="14" t="s">
        <v>766</v>
      </c>
      <c r="D350" s="13"/>
      <c r="E350" s="15" t="str">
        <f>IFERROR(VLOOKUP(C350,기출문제!D:G,3,0),"")</f>
        <v/>
      </c>
      <c r="F350" s="31" t="str">
        <f>IFERROR(VLOOKUP(C350,기출문제!D:G,4,0),"")</f>
        <v/>
      </c>
      <c r="G350" s="32" t="str">
        <f t="shared" si="5"/>
        <v/>
      </c>
    </row>
    <row r="351" spans="2:7" x14ac:dyDescent="0.3">
      <c r="B351" s="13">
        <v>344</v>
      </c>
      <c r="C351" s="14" t="s">
        <v>766</v>
      </c>
      <c r="D351" s="13"/>
      <c r="E351" s="15" t="str">
        <f>IFERROR(VLOOKUP(C351,기출문제!D:G,3,0),"")</f>
        <v/>
      </c>
      <c r="F351" s="31" t="str">
        <f>IFERROR(VLOOKUP(C351,기출문제!D:G,4,0),"")</f>
        <v/>
      </c>
      <c r="G351" s="32" t="str">
        <f t="shared" si="5"/>
        <v/>
      </c>
    </row>
    <row r="352" spans="2:7" x14ac:dyDescent="0.3">
      <c r="B352" s="13">
        <v>345</v>
      </c>
      <c r="C352" s="14" t="s">
        <v>766</v>
      </c>
      <c r="D352" s="13"/>
      <c r="E352" s="15" t="str">
        <f>IFERROR(VLOOKUP(C352,기출문제!D:G,3,0),"")</f>
        <v/>
      </c>
      <c r="F352" s="31" t="str">
        <f>IFERROR(VLOOKUP(C352,기출문제!D:G,4,0),"")</f>
        <v/>
      </c>
      <c r="G352" s="32" t="str">
        <f t="shared" si="5"/>
        <v/>
      </c>
    </row>
    <row r="353" spans="2:7" x14ac:dyDescent="0.3">
      <c r="B353" s="13">
        <v>346</v>
      </c>
      <c r="C353" s="14" t="s">
        <v>766</v>
      </c>
      <c r="D353" s="13"/>
      <c r="E353" s="15" t="str">
        <f>IFERROR(VLOOKUP(C353,기출문제!D:G,3,0),"")</f>
        <v/>
      </c>
      <c r="F353" s="31" t="str">
        <f>IFERROR(VLOOKUP(C353,기출문제!D:G,4,0),"")</f>
        <v/>
      </c>
      <c r="G353" s="32" t="str">
        <f t="shared" si="5"/>
        <v/>
      </c>
    </row>
    <row r="354" spans="2:7" x14ac:dyDescent="0.3">
      <c r="B354" s="13">
        <v>347</v>
      </c>
      <c r="C354" s="14" t="s">
        <v>766</v>
      </c>
      <c r="D354" s="13"/>
      <c r="E354" s="15" t="str">
        <f>IFERROR(VLOOKUP(C354,기출문제!D:G,3,0),"")</f>
        <v/>
      </c>
      <c r="F354" s="31" t="str">
        <f>IFERROR(VLOOKUP(C354,기출문제!D:G,4,0),"")</f>
        <v/>
      </c>
      <c r="G354" s="32" t="str">
        <f t="shared" si="5"/>
        <v/>
      </c>
    </row>
    <row r="355" spans="2:7" x14ac:dyDescent="0.3">
      <c r="B355" s="13">
        <v>348</v>
      </c>
      <c r="C355" s="14" t="s">
        <v>766</v>
      </c>
      <c r="D355" s="13"/>
      <c r="E355" s="15" t="str">
        <f>IFERROR(VLOOKUP(C355,기출문제!D:G,3,0),"")</f>
        <v/>
      </c>
      <c r="F355" s="31" t="str">
        <f>IFERROR(VLOOKUP(C355,기출문제!D:G,4,0),"")</f>
        <v/>
      </c>
      <c r="G355" s="32" t="str">
        <f t="shared" si="5"/>
        <v/>
      </c>
    </row>
    <row r="356" spans="2:7" x14ac:dyDescent="0.3">
      <c r="B356" s="13">
        <v>349</v>
      </c>
      <c r="C356" s="14" t="s">
        <v>766</v>
      </c>
      <c r="D356" s="13"/>
      <c r="E356" s="15" t="str">
        <f>IFERROR(VLOOKUP(C356,기출문제!D:G,3,0),"")</f>
        <v/>
      </c>
      <c r="F356" s="31" t="str">
        <f>IFERROR(VLOOKUP(C356,기출문제!D:G,4,0),"")</f>
        <v/>
      </c>
      <c r="G356" s="32" t="str">
        <f t="shared" si="5"/>
        <v/>
      </c>
    </row>
    <row r="357" spans="2:7" x14ac:dyDescent="0.3">
      <c r="B357" s="13">
        <v>350</v>
      </c>
      <c r="C357" s="14" t="s">
        <v>766</v>
      </c>
      <c r="D357" s="13"/>
      <c r="E357" s="15" t="str">
        <f>IFERROR(VLOOKUP(C357,기출문제!D:G,3,0),"")</f>
        <v/>
      </c>
      <c r="F357" s="31" t="str">
        <f>IFERROR(VLOOKUP(C357,기출문제!D:G,4,0),"")</f>
        <v/>
      </c>
      <c r="G357" s="32" t="str">
        <f t="shared" si="5"/>
        <v/>
      </c>
    </row>
    <row r="358" spans="2:7" x14ac:dyDescent="0.3">
      <c r="B358" s="13">
        <v>351</v>
      </c>
      <c r="C358" s="14" t="s">
        <v>766</v>
      </c>
      <c r="D358" s="13"/>
      <c r="E358" s="15" t="str">
        <f>IFERROR(VLOOKUP(C358,기출문제!D:G,3,0),"")</f>
        <v/>
      </c>
      <c r="F358" s="31" t="str">
        <f>IFERROR(VLOOKUP(C358,기출문제!D:G,4,0),"")</f>
        <v/>
      </c>
      <c r="G358" s="32" t="str">
        <f t="shared" si="5"/>
        <v/>
      </c>
    </row>
    <row r="359" spans="2:7" x14ac:dyDescent="0.3">
      <c r="B359" s="13">
        <v>352</v>
      </c>
      <c r="C359" s="14" t="s">
        <v>766</v>
      </c>
      <c r="D359" s="13"/>
      <c r="E359" s="15" t="str">
        <f>IFERROR(VLOOKUP(C359,기출문제!D:G,3,0),"")</f>
        <v/>
      </c>
      <c r="F359" s="31" t="str">
        <f>IFERROR(VLOOKUP(C359,기출문제!D:G,4,0),"")</f>
        <v/>
      </c>
      <c r="G359" s="32" t="str">
        <f t="shared" si="5"/>
        <v/>
      </c>
    </row>
    <row r="360" spans="2:7" x14ac:dyDescent="0.3">
      <c r="B360" s="13">
        <v>353</v>
      </c>
      <c r="C360" s="14" t="s">
        <v>766</v>
      </c>
      <c r="D360" s="13"/>
      <c r="E360" s="15" t="str">
        <f>IFERROR(VLOOKUP(C360,기출문제!D:G,3,0),"")</f>
        <v/>
      </c>
      <c r="F360" s="31" t="str">
        <f>IFERROR(VLOOKUP(C360,기출문제!D:G,4,0),"")</f>
        <v/>
      </c>
      <c r="G360" s="32" t="str">
        <f t="shared" si="5"/>
        <v/>
      </c>
    </row>
    <row r="361" spans="2:7" x14ac:dyDescent="0.3">
      <c r="B361" s="13">
        <v>354</v>
      </c>
      <c r="C361" s="14" t="s">
        <v>766</v>
      </c>
      <c r="D361" s="13"/>
      <c r="E361" s="15" t="str">
        <f>IFERROR(VLOOKUP(C361,기출문제!D:G,3,0),"")</f>
        <v/>
      </c>
      <c r="F361" s="31" t="str">
        <f>IFERROR(VLOOKUP(C361,기출문제!D:G,4,0),"")</f>
        <v/>
      </c>
      <c r="G361" s="32" t="str">
        <f t="shared" si="5"/>
        <v/>
      </c>
    </row>
    <row r="362" spans="2:7" x14ac:dyDescent="0.3">
      <c r="B362" s="13">
        <v>355</v>
      </c>
      <c r="C362" s="14" t="s">
        <v>766</v>
      </c>
      <c r="D362" s="13"/>
      <c r="E362" s="15" t="str">
        <f>IFERROR(VLOOKUP(C362,기출문제!D:G,3,0),"")</f>
        <v/>
      </c>
      <c r="F362" s="31" t="str">
        <f>IFERROR(VLOOKUP(C362,기출문제!D:G,4,0),"")</f>
        <v/>
      </c>
      <c r="G362" s="32" t="str">
        <f t="shared" si="5"/>
        <v/>
      </c>
    </row>
    <row r="363" spans="2:7" x14ac:dyDescent="0.3">
      <c r="B363" s="13">
        <v>356</v>
      </c>
      <c r="C363" s="14" t="s">
        <v>766</v>
      </c>
      <c r="D363" s="13"/>
      <c r="E363" s="15" t="str">
        <f>IFERROR(VLOOKUP(C363,기출문제!D:G,3,0),"")</f>
        <v/>
      </c>
      <c r="F363" s="31" t="str">
        <f>IFERROR(VLOOKUP(C363,기출문제!D:G,4,0),"")</f>
        <v/>
      </c>
      <c r="G363" s="32" t="str">
        <f t="shared" si="5"/>
        <v/>
      </c>
    </row>
    <row r="364" spans="2:7" x14ac:dyDescent="0.3">
      <c r="B364" s="13">
        <v>357</v>
      </c>
      <c r="C364" s="14" t="s">
        <v>766</v>
      </c>
      <c r="D364" s="13"/>
      <c r="E364" s="15" t="str">
        <f>IFERROR(VLOOKUP(C364,기출문제!D:G,3,0),"")</f>
        <v/>
      </c>
      <c r="F364" s="31" t="str">
        <f>IFERROR(VLOOKUP(C364,기출문제!D:G,4,0),"")</f>
        <v/>
      </c>
      <c r="G364" s="32" t="str">
        <f t="shared" si="5"/>
        <v/>
      </c>
    </row>
    <row r="365" spans="2:7" x14ac:dyDescent="0.3">
      <c r="B365" s="13">
        <v>358</v>
      </c>
      <c r="C365" s="14" t="s">
        <v>766</v>
      </c>
      <c r="D365" s="13"/>
      <c r="E365" s="15" t="str">
        <f>IFERROR(VLOOKUP(C365,기출문제!D:G,3,0),"")</f>
        <v/>
      </c>
      <c r="F365" s="31" t="str">
        <f>IFERROR(VLOOKUP(C365,기출문제!D:G,4,0),"")</f>
        <v/>
      </c>
      <c r="G365" s="32" t="str">
        <f t="shared" si="5"/>
        <v/>
      </c>
    </row>
    <row r="366" spans="2:7" x14ac:dyDescent="0.3">
      <c r="B366" s="13">
        <v>359</v>
      </c>
      <c r="C366" s="14" t="s">
        <v>766</v>
      </c>
      <c r="D366" s="13"/>
      <c r="E366" s="15" t="str">
        <f>IFERROR(VLOOKUP(C366,기출문제!D:G,3,0),"")</f>
        <v/>
      </c>
      <c r="F366" s="31" t="str">
        <f>IFERROR(VLOOKUP(C366,기출문제!D:G,4,0),"")</f>
        <v/>
      </c>
      <c r="G366" s="32" t="str">
        <f t="shared" si="5"/>
        <v/>
      </c>
    </row>
    <row r="367" spans="2:7" x14ac:dyDescent="0.3">
      <c r="B367" s="13">
        <v>360</v>
      </c>
      <c r="C367" s="14" t="s">
        <v>766</v>
      </c>
      <c r="D367" s="13"/>
      <c r="E367" s="15" t="str">
        <f>IFERROR(VLOOKUP(C367,기출문제!D:G,3,0),"")</f>
        <v/>
      </c>
      <c r="F367" s="31" t="str">
        <f>IFERROR(VLOOKUP(C367,기출문제!D:G,4,0),"")</f>
        <v/>
      </c>
      <c r="G367" s="32" t="str">
        <f t="shared" si="5"/>
        <v/>
      </c>
    </row>
    <row r="368" spans="2:7" x14ac:dyDescent="0.3">
      <c r="B368" s="13">
        <v>361</v>
      </c>
      <c r="C368" s="14" t="s">
        <v>766</v>
      </c>
      <c r="D368" s="13"/>
      <c r="E368" s="15" t="str">
        <f>IFERROR(VLOOKUP(C368,기출문제!D:G,3,0),"")</f>
        <v/>
      </c>
      <c r="F368" s="31" t="str">
        <f>IFERROR(VLOOKUP(C368,기출문제!D:G,4,0),"")</f>
        <v/>
      </c>
      <c r="G368" s="32" t="str">
        <f t="shared" si="5"/>
        <v/>
      </c>
    </row>
    <row r="369" spans="2:7" x14ac:dyDescent="0.3">
      <c r="B369" s="13">
        <v>362</v>
      </c>
      <c r="C369" s="14" t="s">
        <v>766</v>
      </c>
      <c r="D369" s="13"/>
      <c r="E369" s="15" t="str">
        <f>IFERROR(VLOOKUP(C369,기출문제!D:G,3,0),"")</f>
        <v/>
      </c>
      <c r="F369" s="31" t="str">
        <f>IFERROR(VLOOKUP(C369,기출문제!D:G,4,0),"")</f>
        <v/>
      </c>
      <c r="G369" s="32" t="str">
        <f t="shared" si="5"/>
        <v/>
      </c>
    </row>
    <row r="370" spans="2:7" x14ac:dyDescent="0.3">
      <c r="B370" s="13">
        <v>363</v>
      </c>
      <c r="C370" s="14" t="s">
        <v>766</v>
      </c>
      <c r="D370" s="13"/>
      <c r="E370" s="15" t="str">
        <f>IFERROR(VLOOKUP(C370,기출문제!D:G,3,0),"")</f>
        <v/>
      </c>
      <c r="F370" s="31" t="str">
        <f>IFERROR(VLOOKUP(C370,기출문제!D:G,4,0),"")</f>
        <v/>
      </c>
      <c r="G370" s="32" t="str">
        <f t="shared" si="5"/>
        <v/>
      </c>
    </row>
    <row r="371" spans="2:7" x14ac:dyDescent="0.3">
      <c r="B371" s="13">
        <v>364</v>
      </c>
      <c r="C371" s="14" t="s">
        <v>766</v>
      </c>
      <c r="D371" s="13"/>
      <c r="E371" s="15" t="str">
        <f>IFERROR(VLOOKUP(C371,기출문제!D:G,3,0),"")</f>
        <v/>
      </c>
      <c r="F371" s="31" t="str">
        <f>IFERROR(VLOOKUP(C371,기출문제!D:G,4,0),"")</f>
        <v/>
      </c>
      <c r="G371" s="32" t="str">
        <f t="shared" si="5"/>
        <v/>
      </c>
    </row>
    <row r="372" spans="2:7" x14ac:dyDescent="0.3">
      <c r="B372" s="13">
        <v>365</v>
      </c>
      <c r="C372" s="14" t="s">
        <v>766</v>
      </c>
      <c r="D372" s="13"/>
      <c r="E372" s="15" t="str">
        <f>IFERROR(VLOOKUP(C372,기출문제!D:G,3,0),"")</f>
        <v/>
      </c>
      <c r="F372" s="31" t="str">
        <f>IFERROR(VLOOKUP(C372,기출문제!D:G,4,0),"")</f>
        <v/>
      </c>
      <c r="G372" s="32" t="str">
        <f t="shared" si="5"/>
        <v/>
      </c>
    </row>
    <row r="373" spans="2:7" x14ac:dyDescent="0.3">
      <c r="B373" s="13">
        <v>366</v>
      </c>
      <c r="C373" s="14" t="s">
        <v>766</v>
      </c>
      <c r="D373" s="13"/>
      <c r="E373" s="15" t="str">
        <f>IFERROR(VLOOKUP(C373,기출문제!D:G,3,0),"")</f>
        <v/>
      </c>
      <c r="F373" s="31" t="str">
        <f>IFERROR(VLOOKUP(C373,기출문제!D:G,4,0),"")</f>
        <v/>
      </c>
      <c r="G373" s="32" t="str">
        <f t="shared" si="5"/>
        <v/>
      </c>
    </row>
    <row r="374" spans="2:7" x14ac:dyDescent="0.3">
      <c r="B374" s="13">
        <v>367</v>
      </c>
      <c r="C374" s="14" t="s">
        <v>766</v>
      </c>
      <c r="D374" s="13"/>
      <c r="E374" s="15" t="str">
        <f>IFERROR(VLOOKUP(C374,기출문제!D:G,3,0),"")</f>
        <v/>
      </c>
      <c r="F374" s="31" t="str">
        <f>IFERROR(VLOOKUP(C374,기출문제!D:G,4,0),"")</f>
        <v/>
      </c>
      <c r="G374" s="32" t="str">
        <f t="shared" si="5"/>
        <v/>
      </c>
    </row>
    <row r="375" spans="2:7" x14ac:dyDescent="0.3">
      <c r="B375" s="13">
        <v>368</v>
      </c>
      <c r="C375" s="14" t="s">
        <v>766</v>
      </c>
      <c r="D375" s="13"/>
      <c r="E375" s="15" t="str">
        <f>IFERROR(VLOOKUP(C375,기출문제!D:G,3,0),"")</f>
        <v/>
      </c>
      <c r="F375" s="31" t="str">
        <f>IFERROR(VLOOKUP(C375,기출문제!D:G,4,0),"")</f>
        <v/>
      </c>
      <c r="G375" s="32" t="str">
        <f t="shared" si="5"/>
        <v/>
      </c>
    </row>
    <row r="376" spans="2:7" x14ac:dyDescent="0.3">
      <c r="B376" s="13">
        <v>369</v>
      </c>
      <c r="C376" s="14" t="s">
        <v>766</v>
      </c>
      <c r="D376" s="13"/>
      <c r="E376" s="15" t="str">
        <f>IFERROR(VLOOKUP(C376,기출문제!D:G,3,0),"")</f>
        <v/>
      </c>
      <c r="F376" s="31" t="str">
        <f>IFERROR(VLOOKUP(C376,기출문제!D:G,4,0),"")</f>
        <v/>
      </c>
      <c r="G376" s="32" t="str">
        <f t="shared" si="5"/>
        <v/>
      </c>
    </row>
    <row r="377" spans="2:7" x14ac:dyDescent="0.3">
      <c r="B377" s="13">
        <v>370</v>
      </c>
      <c r="C377" s="14" t="s">
        <v>766</v>
      </c>
      <c r="D377" s="13"/>
      <c r="E377" s="15" t="str">
        <f>IFERROR(VLOOKUP(C377,기출문제!D:G,3,0),"")</f>
        <v/>
      </c>
      <c r="F377" s="31" t="str">
        <f>IFERROR(VLOOKUP(C377,기출문제!D:G,4,0),"")</f>
        <v/>
      </c>
      <c r="G377" s="32" t="str">
        <f t="shared" si="5"/>
        <v/>
      </c>
    </row>
    <row r="378" spans="2:7" x14ac:dyDescent="0.3">
      <c r="B378" s="13">
        <v>371</v>
      </c>
      <c r="C378" s="14" t="s">
        <v>766</v>
      </c>
      <c r="D378" s="13"/>
      <c r="E378" s="15" t="str">
        <f>IFERROR(VLOOKUP(C378,기출문제!D:G,3,0),"")</f>
        <v/>
      </c>
      <c r="F378" s="31" t="str">
        <f>IFERROR(VLOOKUP(C378,기출문제!D:G,4,0),"")</f>
        <v/>
      </c>
      <c r="G378" s="32" t="str">
        <f t="shared" si="5"/>
        <v/>
      </c>
    </row>
    <row r="379" spans="2:7" x14ac:dyDescent="0.3">
      <c r="B379" s="13">
        <v>372</v>
      </c>
      <c r="C379" s="14" t="s">
        <v>766</v>
      </c>
      <c r="D379" s="13"/>
      <c r="E379" s="15" t="str">
        <f>IFERROR(VLOOKUP(C379,기출문제!D:G,3,0),"")</f>
        <v/>
      </c>
      <c r="F379" s="31" t="str">
        <f>IFERROR(VLOOKUP(C379,기출문제!D:G,4,0),"")</f>
        <v/>
      </c>
      <c r="G379" s="32" t="str">
        <f t="shared" si="5"/>
        <v/>
      </c>
    </row>
    <row r="380" spans="2:7" x14ac:dyDescent="0.3">
      <c r="B380" s="13">
        <v>373</v>
      </c>
      <c r="C380" s="14" t="s">
        <v>766</v>
      </c>
      <c r="D380" s="13"/>
      <c r="E380" s="15" t="str">
        <f>IFERROR(VLOOKUP(C380,기출문제!D:G,3,0),"")</f>
        <v/>
      </c>
      <c r="F380" s="31" t="str">
        <f>IFERROR(VLOOKUP(C380,기출문제!D:G,4,0),"")</f>
        <v/>
      </c>
      <c r="G380" s="32" t="str">
        <f t="shared" si="5"/>
        <v/>
      </c>
    </row>
    <row r="381" spans="2:7" x14ac:dyDescent="0.3">
      <c r="B381" s="13">
        <v>374</v>
      </c>
      <c r="C381" s="14" t="s">
        <v>766</v>
      </c>
      <c r="D381" s="13"/>
      <c r="E381" s="15" t="str">
        <f>IFERROR(VLOOKUP(C381,기출문제!D:G,3,0),"")</f>
        <v/>
      </c>
      <c r="F381" s="31" t="str">
        <f>IFERROR(VLOOKUP(C381,기출문제!D:G,4,0),"")</f>
        <v/>
      </c>
      <c r="G381" s="32" t="str">
        <f t="shared" si="5"/>
        <v/>
      </c>
    </row>
    <row r="382" spans="2:7" x14ac:dyDescent="0.3">
      <c r="B382" s="13">
        <v>375</v>
      </c>
      <c r="C382" s="14" t="s">
        <v>766</v>
      </c>
      <c r="D382" s="13"/>
      <c r="E382" s="15" t="str">
        <f>IFERROR(VLOOKUP(C382,기출문제!D:G,3,0),"")</f>
        <v/>
      </c>
      <c r="F382" s="31" t="str">
        <f>IFERROR(VLOOKUP(C382,기출문제!D:G,4,0),"")</f>
        <v/>
      </c>
      <c r="G382" s="32" t="str">
        <f t="shared" si="5"/>
        <v/>
      </c>
    </row>
    <row r="383" spans="2:7" x14ac:dyDescent="0.3">
      <c r="B383" s="13">
        <v>376</v>
      </c>
      <c r="C383" s="14" t="s">
        <v>766</v>
      </c>
      <c r="D383" s="13"/>
      <c r="E383" s="15" t="str">
        <f>IFERROR(VLOOKUP(C383,기출문제!D:G,3,0),"")</f>
        <v/>
      </c>
      <c r="F383" s="31" t="str">
        <f>IFERROR(VLOOKUP(C383,기출문제!D:G,4,0),"")</f>
        <v/>
      </c>
      <c r="G383" s="32" t="str">
        <f t="shared" si="5"/>
        <v/>
      </c>
    </row>
    <row r="384" spans="2:7" x14ac:dyDescent="0.3">
      <c r="B384" s="13">
        <v>377</v>
      </c>
      <c r="C384" s="14" t="s">
        <v>766</v>
      </c>
      <c r="D384" s="13"/>
      <c r="E384" s="15" t="str">
        <f>IFERROR(VLOOKUP(C384,기출문제!D:G,3,0),"")</f>
        <v/>
      </c>
      <c r="F384" s="31" t="str">
        <f>IFERROR(VLOOKUP(C384,기출문제!D:G,4,0),"")</f>
        <v/>
      </c>
      <c r="G384" s="32" t="str">
        <f t="shared" si="5"/>
        <v/>
      </c>
    </row>
    <row r="385" spans="2:7" x14ac:dyDescent="0.3">
      <c r="B385" s="13">
        <v>378</v>
      </c>
      <c r="C385" s="14" t="s">
        <v>766</v>
      </c>
      <c r="D385" s="13"/>
      <c r="E385" s="15" t="str">
        <f>IFERROR(VLOOKUP(C385,기출문제!D:G,3,0),"")</f>
        <v/>
      </c>
      <c r="F385" s="31" t="str">
        <f>IFERROR(VLOOKUP(C385,기출문제!D:G,4,0),"")</f>
        <v/>
      </c>
      <c r="G385" s="32" t="str">
        <f t="shared" si="5"/>
        <v/>
      </c>
    </row>
    <row r="386" spans="2:7" x14ac:dyDescent="0.3">
      <c r="B386" s="13">
        <v>379</v>
      </c>
      <c r="C386" s="14" t="s">
        <v>766</v>
      </c>
      <c r="D386" s="13"/>
      <c r="E386" s="15" t="str">
        <f>IFERROR(VLOOKUP(C386,기출문제!D:G,3,0),"")</f>
        <v/>
      </c>
      <c r="F386" s="31" t="str">
        <f>IFERROR(VLOOKUP(C386,기출문제!D:G,4,0),"")</f>
        <v/>
      </c>
      <c r="G386" s="32" t="str">
        <f t="shared" si="5"/>
        <v/>
      </c>
    </row>
    <row r="387" spans="2:7" x14ac:dyDescent="0.3">
      <c r="B387" s="13">
        <v>380</v>
      </c>
      <c r="C387" s="14" t="s">
        <v>766</v>
      </c>
      <c r="D387" s="13"/>
      <c r="E387" s="15" t="str">
        <f>IFERROR(VLOOKUP(C387,기출문제!D:G,3,0),"")</f>
        <v/>
      </c>
      <c r="F387" s="31" t="str">
        <f>IFERROR(VLOOKUP(C387,기출문제!D:G,4,0),"")</f>
        <v/>
      </c>
      <c r="G387" s="32" t="str">
        <f t="shared" si="5"/>
        <v/>
      </c>
    </row>
    <row r="388" spans="2:7" x14ac:dyDescent="0.3">
      <c r="B388" s="13">
        <v>381</v>
      </c>
      <c r="C388" s="14" t="s">
        <v>766</v>
      </c>
      <c r="D388" s="13"/>
      <c r="E388" s="15" t="str">
        <f>IFERROR(VLOOKUP(C388,기출문제!D:G,3,0),"")</f>
        <v/>
      </c>
      <c r="F388" s="31" t="str">
        <f>IFERROR(VLOOKUP(C388,기출문제!D:G,4,0),"")</f>
        <v/>
      </c>
      <c r="G388" s="32" t="str">
        <f t="shared" si="5"/>
        <v/>
      </c>
    </row>
    <row r="389" spans="2:7" x14ac:dyDescent="0.3">
      <c r="B389" s="13">
        <v>382</v>
      </c>
      <c r="C389" s="14" t="s">
        <v>766</v>
      </c>
      <c r="D389" s="13"/>
      <c r="E389" s="15" t="str">
        <f>IFERROR(VLOOKUP(C389,기출문제!D:G,3,0),"")</f>
        <v/>
      </c>
      <c r="F389" s="31" t="str">
        <f>IFERROR(VLOOKUP(C389,기출문제!D:G,4,0),"")</f>
        <v/>
      </c>
      <c r="G389" s="32" t="str">
        <f t="shared" si="5"/>
        <v/>
      </c>
    </row>
    <row r="390" spans="2:7" x14ac:dyDescent="0.3">
      <c r="B390" s="13">
        <v>383</v>
      </c>
      <c r="C390" s="14" t="s">
        <v>766</v>
      </c>
      <c r="D390" s="13"/>
      <c r="E390" s="15" t="str">
        <f>IFERROR(VLOOKUP(C390,기출문제!D:G,3,0),"")</f>
        <v/>
      </c>
      <c r="F390" s="31" t="str">
        <f>IFERROR(VLOOKUP(C390,기출문제!D:G,4,0),"")</f>
        <v/>
      </c>
      <c r="G390" s="32" t="str">
        <f t="shared" si="5"/>
        <v/>
      </c>
    </row>
    <row r="391" spans="2:7" x14ac:dyDescent="0.3">
      <c r="B391" s="13">
        <v>384</v>
      </c>
      <c r="C391" s="14" t="s">
        <v>766</v>
      </c>
      <c r="D391" s="13"/>
      <c r="E391" s="15" t="str">
        <f>IFERROR(VLOOKUP(C391,기출문제!D:G,3,0),"")</f>
        <v/>
      </c>
      <c r="F391" s="31" t="str">
        <f>IFERROR(VLOOKUP(C391,기출문제!D:G,4,0),"")</f>
        <v/>
      </c>
      <c r="G391" s="32" t="str">
        <f t="shared" si="5"/>
        <v/>
      </c>
    </row>
    <row r="392" spans="2:7" x14ac:dyDescent="0.3">
      <c r="B392" s="13">
        <v>385</v>
      </c>
      <c r="C392" s="14" t="s">
        <v>766</v>
      </c>
      <c r="D392" s="13"/>
      <c r="E392" s="15" t="str">
        <f>IFERROR(VLOOKUP(C392,기출문제!D:G,3,0),"")</f>
        <v/>
      </c>
      <c r="F392" s="31" t="str">
        <f>IFERROR(VLOOKUP(C392,기출문제!D:G,4,0),"")</f>
        <v/>
      </c>
      <c r="G392" s="32" t="str">
        <f t="shared" si="5"/>
        <v/>
      </c>
    </row>
    <row r="393" spans="2:7" x14ac:dyDescent="0.3">
      <c r="B393" s="13">
        <v>386</v>
      </c>
      <c r="C393" s="14" t="s">
        <v>766</v>
      </c>
      <c r="D393" s="13"/>
      <c r="E393" s="15" t="str">
        <f>IFERROR(VLOOKUP(C393,기출문제!D:G,3,0),"")</f>
        <v/>
      </c>
      <c r="F393" s="31" t="str">
        <f>IFERROR(VLOOKUP(C393,기출문제!D:G,4,0),"")</f>
        <v/>
      </c>
      <c r="G393" s="32" t="str">
        <f t="shared" ref="G393:G397" si="6">IF(D393="","",IF(D393=F393,"O", "X"))</f>
        <v/>
      </c>
    </row>
    <row r="394" spans="2:7" x14ac:dyDescent="0.3">
      <c r="B394" s="13">
        <v>387</v>
      </c>
      <c r="C394" s="14" t="s">
        <v>766</v>
      </c>
      <c r="D394" s="13"/>
      <c r="E394" s="15" t="str">
        <f>IFERROR(VLOOKUP(C394,기출문제!D:G,3,0),"")</f>
        <v/>
      </c>
      <c r="F394" s="31" t="str">
        <f>IFERROR(VLOOKUP(C394,기출문제!D:G,4,0),"")</f>
        <v/>
      </c>
      <c r="G394" s="32" t="str">
        <f t="shared" si="6"/>
        <v/>
      </c>
    </row>
    <row r="395" spans="2:7" x14ac:dyDescent="0.3">
      <c r="B395" s="13">
        <v>388</v>
      </c>
      <c r="C395" s="14" t="s">
        <v>766</v>
      </c>
      <c r="D395" s="13"/>
      <c r="E395" s="15" t="str">
        <f>IFERROR(VLOOKUP(C395,기출문제!D:G,3,0),"")</f>
        <v/>
      </c>
      <c r="F395" s="31" t="str">
        <f>IFERROR(VLOOKUP(C395,기출문제!D:G,4,0),"")</f>
        <v/>
      </c>
      <c r="G395" s="32" t="str">
        <f t="shared" si="6"/>
        <v/>
      </c>
    </row>
    <row r="396" spans="2:7" x14ac:dyDescent="0.3">
      <c r="B396" s="13">
        <v>389</v>
      </c>
      <c r="C396" s="14" t="s">
        <v>766</v>
      </c>
      <c r="D396" s="13"/>
      <c r="E396" s="15" t="str">
        <f>IFERROR(VLOOKUP(C396,기출문제!D:G,3,0),"")</f>
        <v/>
      </c>
      <c r="F396" s="31" t="str">
        <f>IFERROR(VLOOKUP(C396,기출문제!D:G,4,0),"")</f>
        <v/>
      </c>
      <c r="G396" s="32" t="str">
        <f t="shared" si="6"/>
        <v/>
      </c>
    </row>
    <row r="397" spans="2:7" x14ac:dyDescent="0.3">
      <c r="B397" s="13">
        <v>390</v>
      </c>
      <c r="C397" s="14" t="s">
        <v>766</v>
      </c>
      <c r="D397" s="13"/>
      <c r="E397" s="15" t="str">
        <f>IFERROR(VLOOKUP(C397,기출문제!D:G,3,0),"")</f>
        <v/>
      </c>
      <c r="F397" s="31" t="str">
        <f>IFERROR(VLOOKUP(C397,기출문제!D:G,4,0),"")</f>
        <v/>
      </c>
      <c r="G397" s="32" t="str">
        <f t="shared" si="6"/>
        <v/>
      </c>
    </row>
  </sheetData>
  <phoneticPr fontId="1" type="noConversion"/>
  <conditionalFormatting sqref="F8:F397">
    <cfRule type="expression" dxfId="1" priority="1">
      <formula>$D8&lt;&gt;""</formula>
    </cfRule>
  </conditionalFormatting>
  <dataValidations count="1">
    <dataValidation type="list" allowBlank="1" showInputMessage="1" showErrorMessage="1" sqref="D3" xr:uid="{A378DF3D-52B6-4AE7-B86C-382330796D17}">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2</xdr:col>
                    <xdr:colOff>876300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225A42-EF89-43D1-B208-ECB26CEBE8A4}">
          <x14:formula1>
            <xm:f>기출문제!$C$4:$C$5000</xm:f>
          </x14:formula1>
          <xm:sqref>D4:D5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B4952-6CE9-4113-B83E-349E2BE26FB7}">
  <sheetPr codeName="Sheet22">
    <pageSetUpPr autoPageBreaks="0"/>
  </sheetPr>
  <dimension ref="B2:J397"/>
  <sheetViews>
    <sheetView showGridLines="0" zoomScaleNormal="100" zoomScaleSheetLayoutView="100" workbookViewId="0">
      <pane ySplit="7" topLeftCell="A16" activePane="bottomLeft" state="frozen"/>
      <selection activeCell="N35" sqref="N35"/>
      <selection pane="bottomLeft" activeCell="K20" sqref="K20"/>
    </sheetView>
  </sheetViews>
  <sheetFormatPr defaultColWidth="9" defaultRowHeight="14.25" x14ac:dyDescent="0.3"/>
  <cols>
    <col min="1" max="1" width="1.625" style="25" customWidth="1"/>
    <col min="2" max="2" width="3.625" style="18" customWidth="1"/>
    <col min="3" max="3" width="10.625" style="18" customWidth="1"/>
    <col min="4" max="4" width="5.625" style="18" customWidth="1"/>
    <col min="5" max="5" width="95.625" style="20" customWidth="1"/>
    <col min="6" max="7" width="5.625" style="28" customWidth="1"/>
    <col min="8" max="9" width="9" style="23"/>
    <col min="10" max="16384" width="9" style="25"/>
  </cols>
  <sheetData>
    <row r="2" spans="2:10" x14ac:dyDescent="0.3">
      <c r="C2" s="19" t="s">
        <v>767</v>
      </c>
      <c r="D2" s="13">
        <v>265</v>
      </c>
      <c r="F2" s="21" t="s">
        <v>773</v>
      </c>
      <c r="G2" s="22">
        <f>MAX(B8:B397)-COUNTBLANK(C8:C397)</f>
        <v>265</v>
      </c>
      <c r="J2" s="24"/>
    </row>
    <row r="3" spans="2:10" x14ac:dyDescent="0.3">
      <c r="C3" s="19" t="s">
        <v>768</v>
      </c>
      <c r="D3" s="13" t="s">
        <v>771</v>
      </c>
      <c r="F3" s="21" t="s">
        <v>776</v>
      </c>
      <c r="G3" s="26">
        <f>COUNTIF(G8:G447,"X")</f>
        <v>0</v>
      </c>
      <c r="J3" s="24"/>
    </row>
    <row r="4" spans="2:10" x14ac:dyDescent="0.3">
      <c r="C4" s="19" t="s">
        <v>770</v>
      </c>
      <c r="D4" s="13" t="s">
        <v>840</v>
      </c>
      <c r="F4" s="26" t="s">
        <v>3</v>
      </c>
      <c r="G4" s="26">
        <f>G2-G3</f>
        <v>265</v>
      </c>
      <c r="J4" s="24"/>
    </row>
    <row r="5" spans="2:10" x14ac:dyDescent="0.3">
      <c r="C5" s="19" t="s">
        <v>769</v>
      </c>
      <c r="D5" s="13" t="s">
        <v>841</v>
      </c>
      <c r="F5" s="26" t="s">
        <v>774</v>
      </c>
      <c r="G5" s="27">
        <f>100/G2*G4</f>
        <v>100.00000000000001</v>
      </c>
      <c r="J5" s="24"/>
    </row>
    <row r="6" spans="2:10" x14ac:dyDescent="0.3">
      <c r="J6" s="24"/>
    </row>
    <row r="7" spans="2:10" x14ac:dyDescent="0.3">
      <c r="B7" s="12" t="s">
        <v>0</v>
      </c>
      <c r="C7" s="12" t="s">
        <v>1</v>
      </c>
      <c r="D7" s="12" t="s">
        <v>658</v>
      </c>
      <c r="E7" s="29" t="s">
        <v>2</v>
      </c>
      <c r="F7" s="29" t="s">
        <v>3</v>
      </c>
      <c r="G7" s="29" t="s">
        <v>657</v>
      </c>
      <c r="J7" s="24"/>
    </row>
    <row r="8" spans="2:10" ht="142.5" x14ac:dyDescent="0.3">
      <c r="B8" s="13">
        <v>1</v>
      </c>
      <c r="C8" s="14" t="s">
        <v>693</v>
      </c>
      <c r="D8" s="30"/>
      <c r="E8" s="15" t="str">
        <f>IFERROR(VLOOKUP(C8,기출문제!D:G,3,0),"")</f>
        <v>81. 테일러(F. W. Taylor)의 과학적 관리법에 제시된 원칙으로 옳은 것을 모두 고른 것은?
ㄱ. 작업방식의 과학적 연구 
ㄴ. 과학적 선발 및 훈련
ㄷ. 관리자와 작업자들 간의 협력 
ㄹ. 관리활동의 분업
① ㄱ, ㄴ 
② ㄷ, ㄹ 
③ ㄱ, ㄴ, ㄷ
④ ㄴ, ㄷ, ㄹ 
⑤ ㄱ, ㄴ, ㄷ, ㄹ</v>
      </c>
      <c r="F8" s="31">
        <f>IFERROR(VLOOKUP(C8,기출문제!D:G,4,0),"")</f>
        <v>5</v>
      </c>
      <c r="G8" s="32" t="str">
        <f>IF(D8="","",IF(D8=F8,"O", "X"))</f>
        <v/>
      </c>
    </row>
    <row r="9" spans="2:10" ht="128.25" x14ac:dyDescent="0.3">
      <c r="B9" s="13">
        <v>2</v>
      </c>
      <c r="C9" s="14" t="s">
        <v>842</v>
      </c>
      <c r="D9" s="30"/>
      <c r="E9" s="15" t="str">
        <f>IFERROR(VLOOKUP(C9,기출문제!D:G,3,0),"")</f>
        <v>82. 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
① ㄱ 
② ㄴ 
③ ㄱ, ㄴ 
④ ㄱ, ㄷ 
⑤ ㄱ, ㄴ, ㄷ</v>
      </c>
      <c r="F9" s="31">
        <f>IFERROR(VLOOKUP(C9,기출문제!D:G,4,0),"")</f>
        <v>3</v>
      </c>
      <c r="G9" s="32" t="str">
        <f t="shared" ref="G9:G72" si="0">IF(D9="","",IF(D9=F9,"O", "X"))</f>
        <v/>
      </c>
    </row>
    <row r="10" spans="2:10" ht="85.5" x14ac:dyDescent="0.3">
      <c r="B10" s="13">
        <v>3</v>
      </c>
      <c r="C10" s="14" t="s">
        <v>843</v>
      </c>
      <c r="D10" s="30"/>
      <c r="E10" s="15" t="str">
        <f>IFERROR(VLOOKUP(C10,기출문제!D:G,3,0),"")</f>
        <v>83. 기업 외부의 개인이나 그룹과 접촉하여 외부환경에 관한 중요한 정보를 얻는 활동은?
① 광고 
② 예측활동
③ 공중관계(PR) 
④ 활동영역 변경
⑤ 경계연결(boundary spanning)</v>
      </c>
      <c r="F10" s="31">
        <f>IFERROR(VLOOKUP(C10,기출문제!D:G,4,0),"")</f>
        <v>5</v>
      </c>
      <c r="G10" s="32" t="str">
        <f t="shared" si="0"/>
        <v/>
      </c>
    </row>
    <row r="11" spans="2:10" ht="85.5" x14ac:dyDescent="0.3">
      <c r="B11" s="13">
        <v>4</v>
      </c>
      <c r="C11" s="14" t="s">
        <v>844</v>
      </c>
      <c r="D11" s="30"/>
      <c r="E11" s="15" t="str">
        <f>IFERROR(VLOOKUP(C11,기출문제!D:G,3,0),"")</f>
        <v>84. 조직의 목표를 달성하기 위하여 조직구성원들이 담당해야 할 역할 구조를 설정하는 관리과정의 단계는?
① 계획 
② 조직화 
③ 지휘 
④ 조정 
⑤ 통제</v>
      </c>
      <c r="F11" s="31">
        <f>IFERROR(VLOOKUP(C11,기출문제!D:G,4,0),"")</f>
        <v>2</v>
      </c>
      <c r="G11" s="32" t="str">
        <f t="shared" si="0"/>
        <v/>
      </c>
    </row>
    <row r="12" spans="2:10" ht="142.5" x14ac:dyDescent="0.3">
      <c r="B12" s="13">
        <v>5</v>
      </c>
      <c r="C12" s="14" t="s">
        <v>845</v>
      </c>
      <c r="D12" s="30"/>
      <c r="E12" s="15" t="str">
        <f>IFERROR(VLOOKUP(C12,기출문제!D:G,3,0),"")</f>
        <v>85. 캐롤(B. A. Carroll)이 주장한 기업의 사회적 책임 중 책임성격이 의무성 보다 자발성에 기초하는 것을 모두 고른 것은?
ㄱ. 경제적 책임 
ㄴ. 법적 책임 
ㄷ. 윤리적 책임 
ㄹ. 자선적 책임
① ㄱ, ㄴ 
② ㄴ, ㄷ 
③ ㄷ, ㄹ 
④ ㄱ, ㄴ, ㄹ 
⑤ ㄴ, ㄷ, ㄹ</v>
      </c>
      <c r="F12" s="31">
        <f>IFERROR(VLOOKUP(C12,기출문제!D:G,4,0),"")</f>
        <v>3</v>
      </c>
      <c r="G12" s="32" t="str">
        <f t="shared" si="0"/>
        <v/>
      </c>
    </row>
    <row r="13" spans="2:10" ht="85.5" x14ac:dyDescent="0.3">
      <c r="B13" s="13">
        <v>6</v>
      </c>
      <c r="C13" s="14" t="s">
        <v>846</v>
      </c>
      <c r="D13" s="30"/>
      <c r="E13" s="15" t="str">
        <f>IFERROR(VLOOKUP(C13,기출문제!D:G,3,0),"")</f>
        <v>86. 포터(M. Porter)의 산업구조분석 모형에 관한 설명으로 옳지 않은 것은?
① 산업 내 경쟁이 심할수록 산업의 수익률은 낮아진다.
② 새로운 경쟁자에 대한 진입장벽이 낮을수록 해당 산업의 경쟁이 심하다.
③ 산업 내 대체재가 많을수록 기업의 수익이 많이 창출된다.
④ 구매자의 교섭력은 소비자들이 기업의 제품을 선택하거나 다른 제품을 구매할 수 있는 힘을 의미한다.
⑤ 공급자의 교섭력을 결정하는 요인으로는 공급자의 집중도, 공급물량, 공급자 판매품의 중요도 등이 있다.</v>
      </c>
      <c r="F13" s="31">
        <f>IFERROR(VLOOKUP(C13,기출문제!D:G,4,0),"")</f>
        <v>3</v>
      </c>
      <c r="G13" s="32" t="str">
        <f t="shared" si="0"/>
        <v/>
      </c>
    </row>
    <row r="14" spans="2:10" ht="85.5" x14ac:dyDescent="0.3">
      <c r="B14" s="13">
        <v>7</v>
      </c>
      <c r="C14" s="14" t="s">
        <v>847</v>
      </c>
      <c r="D14" s="30"/>
      <c r="E14" s="15" t="str">
        <f>IFERROR(VLOOKUP(C14,기출문제!D:G,3,0),"")</f>
        <v>87. 효과적인 의사소통을 방해하는 요인 중 발신자와 관련된 요인이 아닌 것은?
① 의사소통 기술의 부족 
② 준거체계의 차이 
③ 의사소통 목적의 결여
④ 신뢰성의 부족 
⑤ 정보의 과부하</v>
      </c>
      <c r="F14" s="31">
        <f>IFERROR(VLOOKUP(C14,기출문제!D:G,4,0),"")</f>
        <v>5</v>
      </c>
      <c r="G14" s="32" t="str">
        <f t="shared" si="0"/>
        <v/>
      </c>
    </row>
    <row r="15" spans="2:10" ht="114" x14ac:dyDescent="0.3">
      <c r="B15" s="13">
        <v>8</v>
      </c>
      <c r="C15" s="14" t="s">
        <v>848</v>
      </c>
      <c r="D15" s="30"/>
      <c r="E15" s="15" t="str">
        <f>IFERROR(VLOOKUP(C15,기출문제!D:G,3,0),"")</f>
        <v>88. 변혁적 리더십의 구성요소 중 다음 내용에 해당하는 것은?
○ 높은 기대치를 전달하고, 노력에 집중할 수 있도록 상징을 사용
○ 미래에 대한 매력적인 비전 제시, 업무의 의미감 부여, 낙관주의와 열정을 표출
① 예외에 의한 관리 
② 영감적 동기부여 
③ 지적 자극
④ 이상적 영향력 
⑤ 개인화된 배려</v>
      </c>
      <c r="F15" s="31">
        <f>IFERROR(VLOOKUP(C15,기출문제!D:G,4,0),"")</f>
        <v>2</v>
      </c>
      <c r="G15" s="32" t="str">
        <f t="shared" si="0"/>
        <v/>
      </c>
    </row>
    <row r="16" spans="2:10" ht="128.25" x14ac:dyDescent="0.3">
      <c r="B16" s="13">
        <v>9</v>
      </c>
      <c r="C16" s="14" t="s">
        <v>849</v>
      </c>
      <c r="D16" s="30"/>
      <c r="E16" s="15" t="str">
        <f>IFERROR(VLOOKUP(C16,기출문제!D:G,3,0),"")</f>
        <v>89. 다음 특성에 부합하는 직무평가 방법으로 옳은 것은?
○ 비계량적 평가
○ 직무 전체를 포괄적으로 평가
○ 직무와 직무를 상호 비교하여 평가
① 서열법 
② 등급법 
③ 점수법 
④ 분류법 
⑤ 요소비교법</v>
      </c>
      <c r="F16" s="31">
        <f>IFERROR(VLOOKUP(C16,기출문제!D:G,4,0),"")</f>
        <v>1</v>
      </c>
      <c r="G16" s="32" t="str">
        <f t="shared" si="0"/>
        <v/>
      </c>
    </row>
    <row r="17" spans="2:7" ht="85.5" x14ac:dyDescent="0.3">
      <c r="B17" s="13">
        <v>10</v>
      </c>
      <c r="C17" s="14" t="s">
        <v>850</v>
      </c>
      <c r="D17" s="30"/>
      <c r="E17" s="15" t="str">
        <f>IFERROR(VLOOKUP(C17,기출문제!D:G,3,0),"")</f>
        <v>90. 기업이 종업원에게 지급하는 임금의 계산 및 지불 방법에 해당하는 것은?
① 임금수준 
② 임금체계 
③ 임금형태 
④ 임금구조 
⑤ 임금결정</v>
      </c>
      <c r="F17" s="31">
        <f>IFERROR(VLOOKUP(C17,기출문제!D:G,4,0),"")</f>
        <v>3</v>
      </c>
      <c r="G17" s="32" t="str">
        <f t="shared" si="0"/>
        <v/>
      </c>
    </row>
    <row r="18" spans="2:7" ht="99.75" x14ac:dyDescent="0.3">
      <c r="B18" s="13">
        <v>11</v>
      </c>
      <c r="C18" s="14" t="s">
        <v>851</v>
      </c>
      <c r="D18" s="30"/>
      <c r="E18" s="15" t="str">
        <f>IFERROR(VLOOKUP(C18,기출문제!D:G,3,0),"")</f>
        <v>91. 고과자가 평가방법을 잘 이해하지 못하거나 피고과자들 간의 차이를 인식하지 못하는 무능력에서 발생할 수 있는 인사고과의 오류는?
① 중심화 경향 
② 논리적 오류 
③ 현혹효과 
④ 상동적 태도 
⑤ 근접오차</v>
      </c>
      <c r="F18" s="31">
        <f>IFERROR(VLOOKUP(C18,기출문제!D:G,4,0),"")</f>
        <v>1</v>
      </c>
      <c r="G18" s="32" t="str">
        <f t="shared" si="0"/>
        <v/>
      </c>
    </row>
    <row r="19" spans="2:7" ht="85.5" x14ac:dyDescent="0.3">
      <c r="B19" s="13">
        <v>12</v>
      </c>
      <c r="C19" s="14" t="s">
        <v>852</v>
      </c>
      <c r="D19" s="30"/>
      <c r="E19" s="15" t="str">
        <f>IFERROR(VLOOKUP(C19,기출문제!D:G,3,0),"")</f>
        <v>92. 산업별 노동조합 또는 교섭권을 위임받은 상급단체와 개별 기업의 사용자 간에 이루어지는 단체교섭 유형은?
① 대각선 교섭 
② 통일적 교섭 
③ 기업별 교섭 
④ 공동교섭 
⑤ 집단교섭</v>
      </c>
      <c r="F19" s="31">
        <f>IFERROR(VLOOKUP(C19,기출문제!D:G,4,0),"")</f>
        <v>1</v>
      </c>
      <c r="G19" s="32" t="str">
        <f t="shared" si="0"/>
        <v/>
      </c>
    </row>
    <row r="20" spans="2:7" ht="128.25" x14ac:dyDescent="0.3">
      <c r="B20" s="13">
        <v>13</v>
      </c>
      <c r="C20" s="14" t="s">
        <v>853</v>
      </c>
      <c r="D20" s="30"/>
      <c r="E20" s="15" t="str">
        <f>IFERROR(VLOOKUP(C20,기출문제!D:G,3,0),"")</f>
        <v>93. 외부 모집과 비교한 내부 모집의 장점을 모두 고른 것은?
ㄱ. 승진기회 확대로 종업원 동기 부여
ㄴ. 지원자에 대한 평가의 정확성 확보
ㄷ. 인력수요에 대한 양적 충족 가능
① ㄱ 
② ㄴ 
③ ㄱ, ㄴ 
④ ㄴ, ㄷ 
⑤ ㄱ, ㄴ, ㄷ</v>
      </c>
      <c r="F20" s="31">
        <f>IFERROR(VLOOKUP(C20,기출문제!D:G,4,0),"")</f>
        <v>3</v>
      </c>
      <c r="G20" s="32" t="str">
        <f t="shared" si="0"/>
        <v/>
      </c>
    </row>
    <row r="21" spans="2:7" ht="128.25" x14ac:dyDescent="0.3">
      <c r="B21" s="13">
        <v>14</v>
      </c>
      <c r="C21" s="14" t="s">
        <v>854</v>
      </c>
      <c r="D21" s="30"/>
      <c r="E21" s="15" t="str">
        <f>IFERROR(VLOOKUP(C21,기출문제!D:G,3,0),"")</f>
        <v>94. 다음과 같은 장점을 지닌 조직구조는?
○ 관리 비용을 절감할 수 있음
○ 작은 기업들도 전 세계의 자원과 전문적인 인력을 활용할 수 있음
○ 창업 초기에 공장이나 설비 등의 막대한 투자없이도 사업이 가능
① 사업별 조직구조 
② 프로세스 조직구조 
③ 매트릭스 조직구조
④ 지역별 조직구조 
⑤ 네트워크 조직구조</v>
      </c>
      <c r="F21" s="31">
        <f>IFERROR(VLOOKUP(C21,기출문제!D:G,4,0),"")</f>
        <v>5</v>
      </c>
      <c r="G21" s="32" t="str">
        <f t="shared" si="0"/>
        <v/>
      </c>
    </row>
    <row r="22" spans="2:7" ht="85.5" x14ac:dyDescent="0.3">
      <c r="B22" s="13">
        <v>15</v>
      </c>
      <c r="C22" s="14" t="s">
        <v>855</v>
      </c>
      <c r="D22" s="30"/>
      <c r="E22" s="15" t="str">
        <f>IFERROR(VLOOKUP(C22,기출문제!D:G,3,0),"")</f>
        <v>95. 페로우(C. Perrow)의 기술분류 유형 중 과업다양성과 분석가능성이 모두 낮은 유형은?
① 일상적 기술 
② 비일상적 기술 
③ 장인기술
④ 공학기술 
⑤ 중개기술</v>
      </c>
      <c r="F22" s="31">
        <f>IFERROR(VLOOKUP(C22,기출문제!D:G,4,0),"")</f>
        <v>3</v>
      </c>
      <c r="G22" s="32" t="str">
        <f t="shared" si="0"/>
        <v/>
      </c>
    </row>
    <row r="23" spans="2:7" ht="99.75" x14ac:dyDescent="0.3">
      <c r="B23" s="13">
        <v>16</v>
      </c>
      <c r="C23" s="14" t="s">
        <v>856</v>
      </c>
      <c r="D23" s="30"/>
      <c r="E23" s="15" t="str">
        <f>IFERROR(VLOOKUP(C23,기출문제!D:G,3,0),"")</f>
        <v>96. 마일즈(R. Miles)와 스노우(C. Snow)의 전략 유형 중 유연성이 높고 분권화된 학습지향 조직구조로 설계하는 것이 적합한 전략은?
① 반응형 전략 
② 저원가 전략 
③ 분석형 전략 
④ 공격형 전략 
⑤ 방어형 전략</v>
      </c>
      <c r="F23" s="31">
        <f>IFERROR(VLOOKUP(C23,기출문제!D:G,4,0),"")</f>
        <v>4</v>
      </c>
      <c r="G23" s="32" t="str">
        <f t="shared" si="0"/>
        <v/>
      </c>
    </row>
    <row r="24" spans="2:7" ht="171" x14ac:dyDescent="0.3">
      <c r="B24" s="13">
        <v>17</v>
      </c>
      <c r="C24" s="14" t="s">
        <v>857</v>
      </c>
      <c r="D24" s="30"/>
      <c r="E24" s="15" t="str">
        <f>IFERROR(VLOOKUP(C24,기출문제!D:G,3,0),"")</f>
        <v>97. 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
① ㄱ, ㄴ, ㄷ 
② ㄱ, ㄴ, ㅁ 
③ ㄱ, ㄴ, ㄹ, ㅁ
④ ㄱ, ㄷ, ㄹ, ㅁ 
⑤ ㄴ, ㄷ, ㄹ, ㅁ</v>
      </c>
      <c r="F24" s="31">
        <f>IFERROR(VLOOKUP(C24,기출문제!D:G,4,0),"")</f>
        <v>4</v>
      </c>
      <c r="G24" s="32" t="str">
        <f t="shared" si="0"/>
        <v/>
      </c>
    </row>
    <row r="25" spans="2:7" ht="85.5" x14ac:dyDescent="0.3">
      <c r="B25" s="13">
        <v>18</v>
      </c>
      <c r="C25" s="14" t="s">
        <v>858</v>
      </c>
      <c r="D25" s="30"/>
      <c r="E25" s="15" t="str">
        <f>IFERROR(VLOOKUP(C25,기출문제!D:G,3,0),"")</f>
        <v>98. 킬만(T. Kilmann)의 갈등관리 유형 중 목적달성을 위해 비협조적으로 자기 관심사만을 만족시키려는 유형은?
① 협력형 
② 수용형 
③ 회피형 
④ 타협형 
⑤ 경쟁형</v>
      </c>
      <c r="F25" s="31">
        <f>IFERROR(VLOOKUP(C25,기출문제!D:G,4,0),"")</f>
        <v>5</v>
      </c>
      <c r="G25" s="32" t="str">
        <f t="shared" si="0"/>
        <v/>
      </c>
    </row>
    <row r="26" spans="2:7" ht="85.5" x14ac:dyDescent="0.3">
      <c r="B26" s="13">
        <v>19</v>
      </c>
      <c r="C26" s="14" t="s">
        <v>859</v>
      </c>
      <c r="D26" s="30"/>
      <c r="E26" s="15" t="str">
        <f>IFERROR(VLOOKUP(C26,기출문제!D:G,3,0),"")</f>
        <v>99. 효과적인 시장세분화가 되기 위한 조건으로 옳지 않은 것은?
① 세분화를 위해 사용되는 변수들이 측정가능해야 한다.
② 세분시장에 속하는 고객들에게 효과적이고 효율적으로 접근할 수 있어야 한다.
③ 세분시장 내 고객들과 기업의 적합성은 가능한 낮아야 한다.
④ 같은 세분시장에 속한 고객들끼리는 최대한 비슷해야 하고 서로 다른 세분시장에 속한 고객들 간에는 이질성이 있어야 한다.
⑤ 세분시장의 규모는 마케팅활동으로 이익이 날 수 있을 정도로 충분히 커야 한다.</v>
      </c>
      <c r="F26" s="31">
        <f>IFERROR(VLOOKUP(C26,기출문제!D:G,4,0),"")</f>
        <v>3</v>
      </c>
      <c r="G26" s="32" t="str">
        <f t="shared" si="0"/>
        <v/>
      </c>
    </row>
    <row r="27" spans="2:7" ht="114" x14ac:dyDescent="0.3">
      <c r="B27" s="13">
        <v>20</v>
      </c>
      <c r="C27" s="14" t="s">
        <v>860</v>
      </c>
      <c r="D27" s="30"/>
      <c r="E27" s="15" t="str">
        <f>IFERROR(VLOOKUP(C27,기출문제!D:G,3,0),"")</f>
        <v>100. 다음에서 설명하는 제품수명주기의 단계는?
○ 고객의 신제품수용이 늘어나 생산량이 급속히 증가하면서 단위당 제품원가, 유통비용, 촉진비용이 하락한다.
○ 지속적인 판매량 증대로 이익이 빠르게 늘어난다.
① 도입기 
② 성장기 
③ 성숙기 
④ 정체기 
⑤ 쇠퇴기</v>
      </c>
      <c r="F27" s="31">
        <f>IFERROR(VLOOKUP(C27,기출문제!D:G,4,0),"")</f>
        <v>2</v>
      </c>
      <c r="G27" s="32" t="str">
        <f t="shared" si="0"/>
        <v/>
      </c>
    </row>
    <row r="28" spans="2:7" ht="85.5" x14ac:dyDescent="0.3">
      <c r="B28" s="13">
        <v>21</v>
      </c>
      <c r="C28" s="14" t="s">
        <v>861</v>
      </c>
      <c r="D28" s="30"/>
      <c r="E28" s="15" t="str">
        <f>IFERROR(VLOOKUP(C28,기출문제!D:G,3,0),"")</f>
        <v>101. 4P 중 가격에 관한 설명으로 옳지 않은 것은?
① 가격은 다른 마케팅믹스 요소들과 달리 상대적으로 쉽게 변경할 수 있다.
② 구매자가 가격이 비싼지 싼지를 판단하는 기준으로 삼는 가격을 준거가격이라 한다.
③ 구매자가 어떤 상품에 대해 지불할 용의가 있는 최저가격을 유보가격이라 한다.
④ 가격변화를 느끼게 만드는 최소의 가격변화 폭을 JND(just noticeable difference)라 한다.
⑤ 구매자들이 가격이 높은 상품일수록 품질도 높다고 믿는 것을 가격-품질 연상이라 한다.</v>
      </c>
      <c r="F28" s="31">
        <f>IFERROR(VLOOKUP(C28,기출문제!D:G,4,0),"")</f>
        <v>3</v>
      </c>
      <c r="G28" s="32" t="str">
        <f t="shared" si="0"/>
        <v/>
      </c>
    </row>
    <row r="29" spans="2:7" ht="142.5" x14ac:dyDescent="0.3">
      <c r="B29" s="13">
        <v>22</v>
      </c>
      <c r="C29" s="14" t="s">
        <v>862</v>
      </c>
      <c r="D29" s="30"/>
      <c r="E29" s="15" t="str">
        <f>IFERROR(VLOOKUP(C29,기출문제!D:G,3,0),"")</f>
        <v>102. 판매촉진의 수단 중 소비자들의 구입가격을 인하시키는 효과를 갖는 가격수단의 유형을 모두 고른 것은?
ㄱ. 할인쿠폰 
ㄴ. 샘플 
ㄷ. 보상판매 
ㄹ. 보너스팩
① ㄱ, ㄴ 
② ㄷ, ㄹ 
③ ㄱ, ㄴ, ㄷ
④ ㄱ, ㄷ, ㄹ 
⑤ ㄱ, ㄴ, ㄷ, ㄹ</v>
      </c>
      <c r="F29" s="31">
        <f>IFERROR(VLOOKUP(C29,기출문제!D:G,4,0),"")</f>
        <v>4</v>
      </c>
      <c r="G29" s="32" t="str">
        <f t="shared" si="0"/>
        <v/>
      </c>
    </row>
    <row r="30" spans="2:7" ht="85.5" x14ac:dyDescent="0.3">
      <c r="B30" s="13">
        <v>23</v>
      </c>
      <c r="C30" s="14" t="s">
        <v>863</v>
      </c>
      <c r="D30" s="30"/>
      <c r="E30" s="15" t="str">
        <f>IFERROR(VLOOKUP(C30,기출문제!D:G,3,0),"")</f>
        <v>103. 브랜드에 관한 설명으로 옳지 않은 것은?
① 브랜드는 제품이나 서비스와 관련된 이름, 상징, 혹은 기호로서 그것에 대해 구매자가 심리적인 의미를 부여하는 것이다.
② 브랜드 자산은 소비자가 브랜드에 부여하는 가치, 즉 브랜드가 창출하는 부가가치를 말한다.
③ 켈러(J. Keller)에 따르면, 브랜드 자산의 원천은 브랜드의 인지도와 브랜드의 이미지이다.
④ 브랜드 이미지는 긍정적이고 독특하며 강력해야 한다.
⑤ 브랜드 개발은 창의적인 광고를 통해 관련 이미지를 만들어내는 것이다.</v>
      </c>
      <c r="F30" s="31">
        <f>IFERROR(VLOOKUP(C30,기출문제!D:G,4,0),"")</f>
        <v>5</v>
      </c>
      <c r="G30" s="32" t="str">
        <f t="shared" si="0"/>
        <v/>
      </c>
    </row>
    <row r="31" spans="2:7" ht="99.75" x14ac:dyDescent="0.3">
      <c r="B31" s="13">
        <v>24</v>
      </c>
      <c r="C31" s="14" t="s">
        <v>864</v>
      </c>
      <c r="D31" s="30"/>
      <c r="E31" s="15" t="str">
        <f>IFERROR(VLOOKUP(C31,기출문제!D:G,3,0),"")</f>
        <v>104. 금년 초에 5,000원의 배당(=d0)을 지급한 A기업의 배당은 매년 영원히 5%로 일정하게 성장할 것으로 예상된다. 요구수익률이 10%일 경우 이 주식의 현재가치는?
① 50,000원 
② 52,500원 
③ 100,000원 
④ 105,000원 
⑤ 110,000원</v>
      </c>
      <c r="F31" s="31">
        <f>IFERROR(VLOOKUP(C31,기출문제!D:G,4,0),"")</f>
        <v>4</v>
      </c>
      <c r="G31" s="32" t="str">
        <f t="shared" si="0"/>
        <v/>
      </c>
    </row>
    <row r="32" spans="2:7" ht="85.5" x14ac:dyDescent="0.3">
      <c r="B32" s="13">
        <v>25</v>
      </c>
      <c r="C32" s="14" t="s">
        <v>865</v>
      </c>
      <c r="D32" s="30"/>
      <c r="E32" s="15" t="str">
        <f>IFERROR(VLOOKUP(C32,기출문제!D:G,3,0),"")</f>
        <v>105. 자본시장선(CML)과 증권시장선(SML)에 관한 설명으로 옳지 않은 것은?
① 증권시장선 보다 아래에 위치하는 주식은 주가가 과대평가 된 주식이다.
② 자본시장선은 개별위험자산의 기대수익률과 체계적 위험(베타) 간의 선형관계를 설명한다.
③ 자본시장선 상에는 비체계적 위험을 가진 포트폴리오가 놓이지 않는다.
④ 동일한 체계적 위험(베타)을 가지고 있는 자산이면 증권시장선 상에서 동일한 위치에 놓인다.
⑤ 균형상태에서 모든 위험자산의 체계적 위험(베타) 대비 초과수익률(기대수익률 [E(ri)] - 무위험수익률 [rf])이 동일하다.</v>
      </c>
      <c r="F32" s="31">
        <f>IFERROR(VLOOKUP(C32,기출문제!D:G,4,0),"")</f>
        <v>2</v>
      </c>
      <c r="G32" s="32" t="str">
        <f t="shared" si="0"/>
        <v/>
      </c>
    </row>
    <row r="33" spans="2:7" ht="85.5" x14ac:dyDescent="0.3">
      <c r="B33" s="13">
        <v>26</v>
      </c>
      <c r="C33" s="14" t="s">
        <v>866</v>
      </c>
      <c r="D33" s="30"/>
      <c r="E33" s="15" t="str">
        <f>IFERROR(VLOOKUP(C33,기출문제!D:G,3,0),"")</f>
        <v>106. 투자안의 경제성 분석방법에 관한 설명으로 옳은 것은?
① 투자형 현금흐름의 투자안에서 내부수익률은 투자수익률을 의미한다.
② 화폐의 시간가치를 고려하는 분석방법은 순현재가치법이 유일하다.
③ 순현재가치법에서는 가치가산의 원칙이 성립하지 않는다.
④ 내부수익률법에서는 재투자수익률을 자본비용으로 가정한다.
⑤ 수익성지수법은 순현재가치법과 항상 동일한 투자선택의 의사결정을 한다.</v>
      </c>
      <c r="F33" s="31">
        <f>IFERROR(VLOOKUP(C33,기출문제!D:G,4,0),"")</f>
        <v>1</v>
      </c>
      <c r="G33" s="32" t="str">
        <f t="shared" si="0"/>
        <v/>
      </c>
    </row>
    <row r="34" spans="2:7" ht="85.5" x14ac:dyDescent="0.3">
      <c r="B34" s="13">
        <v>27</v>
      </c>
      <c r="C34" s="14" t="s">
        <v>867</v>
      </c>
      <c r="D34" s="30"/>
      <c r="E34" s="15" t="str">
        <f>IFERROR(VLOOKUP(C34,기출문제!D:G,3,0),"")</f>
        <v>107. 총자산순이익률(ROA)이 20%, 매출액순이익률이 8%일 때 총자산회전율은?
① 2 
② 2.5 
③ 3 
④ 3.5 
⑤ 4</v>
      </c>
      <c r="F34" s="31">
        <f>IFERROR(VLOOKUP(C34,기출문제!D:G,4,0),"")</f>
        <v>2</v>
      </c>
      <c r="G34" s="32" t="str">
        <f t="shared" si="0"/>
        <v/>
      </c>
    </row>
    <row r="35" spans="2:7" ht="142.5" x14ac:dyDescent="0.3">
      <c r="B35" s="13">
        <v>28</v>
      </c>
      <c r="C35" s="14" t="s">
        <v>868</v>
      </c>
      <c r="D35" s="30"/>
      <c r="E35" s="15" t="str">
        <f>IFERROR(VLOOKUP(C35,기출문제!D:G,3,0),"")</f>
        <v>108. 다음 채권의 듀레이션은? (단, 소수점 셋째 자리에서 반올림한다.)
○ 액면가액 1,000원
○ 액면이자율 연 10%, 매년 말 이자지급
○ 만기 2년
○ 만기수익률 연 12%
① 1.75년 
② 1.83년 
③ 1.87년 
④ 1.91년 
⑤ 2.00년</v>
      </c>
      <c r="F35" s="31">
        <f>IFERROR(VLOOKUP(C35,기출문제!D:G,4,0),"")</f>
        <v>4</v>
      </c>
      <c r="G35" s="32" t="str">
        <f t="shared" si="0"/>
        <v/>
      </c>
    </row>
    <row r="36" spans="2:7" ht="85.5" x14ac:dyDescent="0.3">
      <c r="B36" s="13">
        <v>29</v>
      </c>
      <c r="C36" s="14" t="s">
        <v>869</v>
      </c>
      <c r="D36" s="30"/>
      <c r="E36" s="15" t="str">
        <f>IFERROR(VLOOKUP(C36,기출문제!D:G,3,0),"")</f>
        <v>109. 가치분석/가치공학분석에서 사용하는 브레인스토밍(brainstorming)의 주제로 옳지 않은 것은?
① 불필요한 제품의 특성은 없는가?
② 추가되어야 할 공정은 없는가?
③ 무게를 줄일 수는 없는가?
④ 두 개 이상의 부품을 하나로 결합할 수 없는가?
⑤ 제거되어야 할 비표준화된 부품은 없는가?</v>
      </c>
      <c r="F36" s="31">
        <f>IFERROR(VLOOKUP(C36,기출문제!D:G,4,0),"")</f>
        <v>2</v>
      </c>
      <c r="G36" s="32" t="str">
        <f t="shared" si="0"/>
        <v/>
      </c>
    </row>
    <row r="37" spans="2:7" ht="128.25" x14ac:dyDescent="0.3">
      <c r="B37" s="13">
        <v>30</v>
      </c>
      <c r="C37" s="14" t="s">
        <v>870</v>
      </c>
      <c r="D37" s="30"/>
      <c r="E37" s="15" t="str">
        <f>IFERROR(VLOOKUP(C37,기출문제!D:G,3,0),"")</f>
        <v>110. 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
① 606만개 
② 632만개 
③ 658만개 
④ 744만개 
⑤ 766만개</v>
      </c>
      <c r="F37" s="31">
        <f>IFERROR(VLOOKUP(C37,기출문제!D:G,4,0),"")</f>
        <v>2</v>
      </c>
      <c r="G37" s="32" t="str">
        <f t="shared" si="0"/>
        <v/>
      </c>
    </row>
    <row r="38" spans="2:7" ht="85.5" x14ac:dyDescent="0.3">
      <c r="B38" s="13">
        <v>31</v>
      </c>
      <c r="C38" s="14" t="s">
        <v>871</v>
      </c>
      <c r="D38" s="30"/>
      <c r="E38" s="15" t="str">
        <f>IFERROR(VLOOKUP(C38,기출문제!D:G,3,0),"")</f>
        <v>111. 공급사슬관리의 효율성을 측정하는 지표로 옳은 것은?
① 재고회전율 
② 원자재투입량 
③ 최종고객주문량
④ 수요통제 
⑤ 채찍효과</v>
      </c>
      <c r="F38" s="31">
        <f>IFERROR(VLOOKUP(C38,기출문제!D:G,4,0),"")</f>
        <v>1</v>
      </c>
      <c r="G38" s="32" t="str">
        <f t="shared" si="0"/>
        <v/>
      </c>
    </row>
    <row r="39" spans="2:7" ht="85.5" x14ac:dyDescent="0.3">
      <c r="B39" s="13">
        <v>32</v>
      </c>
      <c r="C39" s="14" t="s">
        <v>872</v>
      </c>
      <c r="D39" s="30"/>
      <c r="E39" s="15" t="str">
        <f>IFERROR(VLOOKUP(C39,기출문제!D:G,3,0),"")</f>
        <v>112. 준비비용이 일정하다고 가정하는 경제적 주문량(EOQ)과는 달리 준비비용을 최대한 줄이고자 하는 시스템은?
① 유연생산시스템(FMS) 
② 자재소요관리시스템(MRP)
③ 컴퓨터통합생산시스템(CIM) 
④ ABC 재고관리시스템
⑤ 적시생산시스템(JIT)</v>
      </c>
      <c r="F39" s="31">
        <f>IFERROR(VLOOKUP(C39,기출문제!D:G,4,0),"")</f>
        <v>5</v>
      </c>
      <c r="G39" s="32" t="str">
        <f t="shared" si="0"/>
        <v/>
      </c>
    </row>
    <row r="40" spans="2:7" ht="85.5" x14ac:dyDescent="0.3">
      <c r="B40" s="13">
        <v>33</v>
      </c>
      <c r="C40" s="14" t="s">
        <v>873</v>
      </c>
      <c r="D40" s="30"/>
      <c r="E40" s="15" t="str">
        <f>IFERROR(VLOOKUP(C40,기출문제!D:G,3,0),"")</f>
        <v>113. 기업에서 생산목표상의 경쟁우선순위에 해당하지 않는 것은?
① 기술 
② 품질 
③ 원가 
④ 시간 
⑤ 유연성</v>
      </c>
      <c r="F40" s="31">
        <f>IFERROR(VLOOKUP(C40,기출문제!D:G,4,0),"")</f>
        <v>1</v>
      </c>
      <c r="G40" s="32" t="str">
        <f t="shared" si="0"/>
        <v/>
      </c>
    </row>
    <row r="41" spans="2:7" ht="85.5" x14ac:dyDescent="0.3">
      <c r="B41" s="13">
        <v>34</v>
      </c>
      <c r="C41" s="14" t="s">
        <v>874</v>
      </c>
      <c r="D41" s="30"/>
      <c r="E41" s="15" t="str">
        <f>IFERROR(VLOOKUP(C41,기출문제!D:G,3,0),"")</f>
        <v>114. 품질문제와 관련하여 발생하는 외부 실패비용에 해당하지 않는 것은?
① 고객불만 비용 
② 보증 비용 
③ 반품 비용
④ 스크랩 비용 
⑤ 제조물책임 비용</v>
      </c>
      <c r="F41" s="31">
        <f>IFERROR(VLOOKUP(C41,기출문제!D:G,4,0),"")</f>
        <v>4</v>
      </c>
      <c r="G41" s="32" t="str">
        <f t="shared" si="0"/>
        <v/>
      </c>
    </row>
    <row r="42" spans="2:7" ht="85.5" x14ac:dyDescent="0.3">
      <c r="B42" s="13">
        <v>35</v>
      </c>
      <c r="C42" s="14" t="s">
        <v>875</v>
      </c>
      <c r="D42" s="30"/>
      <c r="E42" s="15" t="str">
        <f>IFERROR(VLOOKUP(C42,기출문제!D:G,3,0),"")</f>
        <v>115. 회계거래 분개 시 차변에 기록해야 하는 것은?
① 선수금의 증가 
② 미수수익의 증가 
③ 매출의 발생
④ 미지급비용의 증가 
⑤ 매입채무의 증가</v>
      </c>
      <c r="F42" s="31">
        <f>IFERROR(VLOOKUP(C42,기출문제!D:G,4,0),"")</f>
        <v>2</v>
      </c>
      <c r="G42" s="32" t="str">
        <f t="shared" si="0"/>
        <v/>
      </c>
    </row>
    <row r="43" spans="2:7" ht="85.5" x14ac:dyDescent="0.3">
      <c r="B43" s="13">
        <v>36</v>
      </c>
      <c r="C43" s="14" t="s">
        <v>876</v>
      </c>
      <c r="D43" s="30"/>
      <c r="E43" s="15" t="str">
        <f>IFERROR(VLOOKUP(C43,기출문제!D:G,3,0),"")</f>
        <v>116. 재무비율에 관한 설명으로 옳지 않은 것은?
① 자산이용의 효율성을 분석하는 것은 활동성비율이다.
② 이자보상비율은 채권자에게 지급해야 할 고정비용인 이자비용의 안전도를 나타낸다.
③ 유동비율은 유동자산을 유동부채로 나눈 것이다.
④ 자기자본순이익률(ROE)은 주주 및 채권자의 관점에서 본 수익성비율이다.
⑤ 재무비율분석 시 기업 간 회계방법의 차이가 있음을 고려해야 한다.</v>
      </c>
      <c r="F43" s="31">
        <f>IFERROR(VLOOKUP(C43,기출문제!D:G,4,0),"")</f>
        <v>4</v>
      </c>
      <c r="G43" s="32" t="str">
        <f t="shared" si="0"/>
        <v/>
      </c>
    </row>
    <row r="44" spans="2:7" ht="85.5" x14ac:dyDescent="0.3">
      <c r="B44" s="13">
        <v>37</v>
      </c>
      <c r="C44" s="14" t="s">
        <v>877</v>
      </c>
      <c r="D44" s="30"/>
      <c r="E44" s="15" t="str">
        <f>IFERROR(VLOOKUP(C44,기출문제!D:G,3,0),"")</f>
        <v>117. 유형자산의 감가상각에 관한 설명으로 옳은 것은?
① 감가상각누계액은 내용연수 동안 비용처리 할 감가상각비의 총액이다.
② 정액법과 정률법에서는 감가대상금액을 기초로 감가상각비를 산정한다.
③ 정률법은 내용연수 후반부로 갈수록 감가상각비를 많이 인식한다.
④ 회계적 관점에서 감가상각은 자산의 평가과정이라기 보다 원가배분과정이라고 할 수 있다.
⑤ 모든 유형자산은 시간이 경과함에 따라 가치가 감소하므로 가치의 감소를 인식하기 위해 감가상각한다.</v>
      </c>
      <c r="F44" s="31">
        <f>IFERROR(VLOOKUP(C44,기출문제!D:G,4,0),"")</f>
        <v>4</v>
      </c>
      <c r="G44" s="32" t="str">
        <f t="shared" si="0"/>
        <v/>
      </c>
    </row>
    <row r="45" spans="2:7" ht="85.5" x14ac:dyDescent="0.3">
      <c r="B45" s="13">
        <v>38</v>
      </c>
      <c r="C45" s="14" t="s">
        <v>878</v>
      </c>
      <c r="D45" s="30"/>
      <c r="E45" s="15" t="str">
        <f>IFERROR(VLOOKUP(C45,기출문제!D:G,3,0),"")</f>
        <v>118. 유형자산의 취득원가에 포함되는 것은?
① 파손된 유리와 소모품의 대체
② 마모된 자산의 원상복구
③ 건물 취득 후 가입한 보험에 대한 보험료
④ 유형자산 취득 시 발생한 운반비
⑤ 건물의 도색</v>
      </c>
      <c r="F45" s="31">
        <f>IFERROR(VLOOKUP(C45,기출문제!D:G,4,0),"")</f>
        <v>4</v>
      </c>
      <c r="G45" s="32" t="str">
        <f t="shared" si="0"/>
        <v/>
      </c>
    </row>
    <row r="46" spans="2:7" ht="114" x14ac:dyDescent="0.3">
      <c r="B46" s="13">
        <v>39</v>
      </c>
      <c r="C46" s="14" t="s">
        <v>879</v>
      </c>
      <c r="D46" s="30"/>
      <c r="E46" s="15" t="str">
        <f>IFERROR(VLOOKUP(C46,기출문제!D:G,3,0),"")</f>
        <v>119. 다음에서 설명하는 것은?
○ 데이터 소스에서 가까운 네트워크 말단의 서버들에서 일부 데이터 처리를 수행한다.
○ 클라우드 컴퓨팅 시스템을 최적화하는 방법이다.
① 엣지 컴퓨팅 
② 그리드 컴퓨팅 
③ 클라이언트/서버 컴퓨팅
④ 온디멘드 컴퓨팅 
⑤ 엔터프라이즈 컴퓨팅</v>
      </c>
      <c r="F46" s="31">
        <f>IFERROR(VLOOKUP(C46,기출문제!D:G,4,0),"")</f>
        <v>1</v>
      </c>
      <c r="G46" s="32" t="str">
        <f t="shared" si="0"/>
        <v/>
      </c>
    </row>
    <row r="47" spans="2:7" ht="85.5" x14ac:dyDescent="0.3">
      <c r="B47" s="13">
        <v>40</v>
      </c>
      <c r="C47" s="14" t="s">
        <v>880</v>
      </c>
      <c r="D47" s="30"/>
      <c r="E47" s="15" t="str">
        <f>IFERROR(VLOOKUP(C47,기출문제!D:G,3,0),"")</f>
        <v>120. 비정형 텍스트 데이터의 가치와 의미를 찾아내는 빅데이터 분석기법은?
① 에쓰노그라피(ethnography) 분석 
② 포커스그룹(focus group) 인터뷰
③ 텍스트마이닝 
④ 군집 분석
⑤ 소셜네트워크 분석</v>
      </c>
      <c r="F47" s="31">
        <f>IFERROR(VLOOKUP(C47,기출문제!D:G,4,0),"")</f>
        <v>3</v>
      </c>
      <c r="G47" s="32" t="str">
        <f t="shared" si="0"/>
        <v/>
      </c>
    </row>
    <row r="48" spans="2:7" ht="142.5" x14ac:dyDescent="0.3">
      <c r="B48" s="13">
        <v>41</v>
      </c>
      <c r="C48" s="14" t="s">
        <v>5</v>
      </c>
      <c r="D48" s="30"/>
      <c r="E48" s="15" t="str">
        <f>IFERROR(VLOOKUP(C48,기출문제!D:G,3,0),"")</f>
        <v>101. 다음 특성에 모두 해당되는 기업의 형태는?
○ 대규모 자본 조달이 용이하다.
○ 출자자들은 유한책임을 진다.
○ 전문경영인을 고용하여 소유와 경영의 분리가 가능하다.
○ 자본의 증권화를 통해 소유권 이전이 용이하다.
① 개인기업
② 합명회사
③ 합자회사
④ 유한회사
⑤ 주식회사</v>
      </c>
      <c r="F48" s="31">
        <f>IFERROR(VLOOKUP(C48,기출문제!D:G,4,0),"")</f>
        <v>5</v>
      </c>
      <c r="G48" s="32" t="str">
        <f t="shared" si="0"/>
        <v/>
      </c>
    </row>
    <row r="49" spans="2:7" ht="171" x14ac:dyDescent="0.3">
      <c r="B49" s="13">
        <v>42</v>
      </c>
      <c r="C49" s="14" t="s">
        <v>881</v>
      </c>
      <c r="D49" s="30"/>
      <c r="E49" s="15" t="str">
        <f>IFERROR(VLOOKUP(C49,기출문제!D:G,3,0),"")</f>
        <v>102. 다음의 BCG 매트릭스의 4가지 영역 중, 시장성장률이 높은(고성장) 영역과 상대적 시장점유율이 높은(고점유) 영역이 옳게 짝지어진 것은?
ㄱ. 현금젖소(Cash Cow)
ㄴ. 별(Star)
ㄷ. 물음표(Question Mark)
ㄹ. 개(Dog)
    고성장 / 고점유
① ㄱ, ㄴ  /  ㄴ, ㄷ
② ㄱ, ㄴ  /  ㄴ, ㄹ
③ ㄱ, ㄹ  /  ㄱ, ㄴ
④ ㄴ, ㄷ  /  ㄱ, ㄴ
⑤ ㄴ, ㄷ  /  ㄱ, ㄷ</v>
      </c>
      <c r="F49" s="31">
        <f>IFERROR(VLOOKUP(C49,기출문제!D:G,4,0),"")</f>
        <v>4</v>
      </c>
      <c r="G49" s="32" t="str">
        <f t="shared" si="0"/>
        <v/>
      </c>
    </row>
    <row r="50" spans="2:7" ht="85.5" x14ac:dyDescent="0.3">
      <c r="B50" s="13">
        <v>43</v>
      </c>
      <c r="C50" s="14" t="s">
        <v>882</v>
      </c>
      <c r="D50" s="30"/>
      <c r="E50" s="15" t="str">
        <f>IFERROR(VLOOKUP(C50,기출문제!D:G,3,0),"")</f>
        <v>103. 경영환경을 일반환경과 과업환경으로 구분할 때, 기업에게 직접적인 영향을 주는 과업환경에 해당하는 것은?
① 정치적 환경
② 경제적 환경
③ 기술적 환경
④ 경쟁자
⑤ 사회문화적 환경</v>
      </c>
      <c r="F50" s="31">
        <f>IFERROR(VLOOKUP(C50,기출문제!D:G,4,0),"")</f>
        <v>4</v>
      </c>
      <c r="G50" s="32" t="str">
        <f t="shared" si="0"/>
        <v/>
      </c>
    </row>
    <row r="51" spans="2:7" ht="85.5" x14ac:dyDescent="0.3">
      <c r="B51" s="13">
        <v>44</v>
      </c>
      <c r="C51" s="14" t="s">
        <v>883</v>
      </c>
      <c r="D51" s="30"/>
      <c r="E51" s="15" t="str">
        <f>IFERROR(VLOOKUP(C51,기출문제!D:G,3,0),"")</f>
        <v>104. 민츠버그(H. Mintzberg)의 5가지 조직유형에 해당하지 않는 것은?
① 매트릭스 조직
② 기계적 관료제
③ 전문적 관료제
④ 애드호크라시
⑤ 사업부제 조직</v>
      </c>
      <c r="F51" s="31">
        <f>IFERROR(VLOOKUP(C51,기출문제!D:G,4,0),"")</f>
        <v>1</v>
      </c>
      <c r="G51" s="32" t="str">
        <f t="shared" si="0"/>
        <v/>
      </c>
    </row>
    <row r="52" spans="2:7" ht="142.5" x14ac:dyDescent="0.3">
      <c r="B52" s="13">
        <v>45</v>
      </c>
      <c r="C52" s="14" t="s">
        <v>884</v>
      </c>
      <c r="D52" s="30"/>
      <c r="E52" s="15" t="str">
        <f>IFERROR(VLOOKUP(C52,기출문제!D:G,3,0),"")</f>
        <v>105. 퀸과 카메론(R. Quinn &amp; K. Cameron)이 제시한 조직수명주기 단계의 순서로 옳은 것은?
ㄱ. 창업 단계
ㄴ. 공식화 단계
ㄷ. 집단공동체 단계
ㄹ. 정교화 단계
① ㄱ → ㄴ → ㄷ → ㄹ
② ㄱ → ㄴ → ㄹ → ㄷ
③ ㄱ → ㄷ → ㄴ → ㄹ
④ ㄱ → ㄷ → ㄹ → ㄴ
⑤ ㄱ → ㄹ → ㄴ → ㄷ</v>
      </c>
      <c r="F52" s="31">
        <f>IFERROR(VLOOKUP(C52,기출문제!D:G,4,0),"")</f>
        <v>3</v>
      </c>
      <c r="G52" s="32" t="str">
        <f t="shared" si="0"/>
        <v/>
      </c>
    </row>
    <row r="53" spans="2:7" ht="156.75" x14ac:dyDescent="0.3">
      <c r="B53" s="13">
        <v>46</v>
      </c>
      <c r="C53" s="14" t="s">
        <v>885</v>
      </c>
      <c r="D53" s="30"/>
      <c r="E53" s="15" t="str">
        <f>IFERROR(VLOOKUP(C53,기출문제!D:G,3,0),"")</f>
        <v>106. 켈리(H. Kelly)의 귀인이론에서 행동의 원인을 내적 또는 외적으로 판단하는데 활용하는 것을 모두 고른 것은?
ㄱ. 특이성(distinctiveness)
ㄴ. 형평성(equity)
ㄷ. 일관성(consistency)
ㄹ. 합의성(concensus)
ㅁ. 관계성(relationsip)
① ㄱ, ㄴ, ㄷ
② ㄱ, ㄷ, ㄹ
③ ㄱ, ㄹ, ㅁ
④ ㄴ, ㄷ, ㅁ
⑤ ㄴ, ㄹ, ㅁ</v>
      </c>
      <c r="F53" s="31">
        <f>IFERROR(VLOOKUP(C53,기출문제!D:G,4,0),"")</f>
        <v>2</v>
      </c>
      <c r="G53" s="32" t="str">
        <f t="shared" si="0"/>
        <v/>
      </c>
    </row>
    <row r="54" spans="2:7" ht="85.5" x14ac:dyDescent="0.3">
      <c r="B54" s="13">
        <v>47</v>
      </c>
      <c r="C54" s="14" t="s">
        <v>886</v>
      </c>
      <c r="D54" s="30"/>
      <c r="E54" s="15" t="str">
        <f>IFERROR(VLOOKUP(C54,기출문제!D:G,3,0),"")</f>
        <v>107. 집단사고(groupthink)의 증상에 해당하지 않는 것은?
① 자신의 집단은 잘못된 의사결정을 하지 않는다는 환상
② 의사결정이 만장일치로 이루어져야 한다는 환상
③ 반대의견을 스스로 자제하려는 자기검열
④ 외부집단에 대한 부정적인 상동적 태도
⑤ 개방적인 분위기를 형성해야 한다는 압력</v>
      </c>
      <c r="F54" s="31">
        <f>IFERROR(VLOOKUP(C54,기출문제!D:G,4,0),"")</f>
        <v>5</v>
      </c>
      <c r="G54" s="32" t="str">
        <f t="shared" si="0"/>
        <v/>
      </c>
    </row>
    <row r="55" spans="2:7" ht="85.5" x14ac:dyDescent="0.3">
      <c r="B55" s="13">
        <v>48</v>
      </c>
      <c r="C55" s="14" t="s">
        <v>887</v>
      </c>
      <c r="D55" s="30"/>
      <c r="E55" s="15" t="str">
        <f>IFERROR(VLOOKUP(C55,기출문제!D:G,3,0),"")</f>
        <v>108. 성격의 Big5 모형에 해당하지 않는 것은?
① 정서적 안정성
② 성실성
③ 친화성
④ 모험선호성
⑤ 개방성</v>
      </c>
      <c r="F55" s="31">
        <f>IFERROR(VLOOKUP(C55,기출문제!D:G,4,0),"")</f>
        <v>4</v>
      </c>
      <c r="G55" s="32" t="str">
        <f t="shared" si="0"/>
        <v/>
      </c>
    </row>
    <row r="56" spans="2:7" ht="85.5" x14ac:dyDescent="0.3">
      <c r="B56" s="13">
        <v>49</v>
      </c>
      <c r="C56" s="14" t="s">
        <v>888</v>
      </c>
      <c r="D56" s="30"/>
      <c r="E56" s="15" t="str">
        <f>IFERROR(VLOOKUP(C56,기출문제!D:G,3,0),"")</f>
        <v>109. 피들러(F. Fiedler)의 상황적합 리더십이론에 관한 설명으로 옳지 않은 것은?
① LPC 척도는 가장 선호하지 않는 동료작업자를 평가하는 것이다.
② LPC 점수를 이용하여 리더십 유형을 파악한다.
③ 상황요인 3가지는 리더 - 부하관계, 과업구조, 부하의 성숙도이다.
④ 상황의 호의성이 중간 정도인 경우에는 관계지향적 리더십이 효과적이다.
⑤ 상황의 호의성이 좋은 경우에는 과업지향적 리더십이 효과적이다.</v>
      </c>
      <c r="F56" s="31">
        <f>IFERROR(VLOOKUP(C56,기출문제!D:G,4,0),"")</f>
        <v>3</v>
      </c>
      <c r="G56" s="32" t="str">
        <f t="shared" si="0"/>
        <v/>
      </c>
    </row>
    <row r="57" spans="2:7" ht="156.75" x14ac:dyDescent="0.3">
      <c r="B57" s="13">
        <v>50</v>
      </c>
      <c r="C57" s="14" t="s">
        <v>889</v>
      </c>
      <c r="D57" s="30"/>
      <c r="E57" s="15" t="str">
        <f>IFERROR(VLOOKUP(C57,기출문제!D:G,3,0),"")</f>
        <v>110. 직무특성모형에서 중요심리상태의 하나인 의미충만(meaningfulness)에 영향을 미치는 핵심직무차원을 모두 고른 것은?
ㄱ. 기술다양성
ㄴ. 과업정체성
ㄷ. 과업중요성
ㄹ. 자율성
ㅁ. 피드백
① ㄱ, ㄴ, ㄷ
② ㄱ, ㄴ, ㅁ
③ ㄱ, ㄹ, ㅁ
④ ㄴ, ㄷ, ㄹ
⑤ ㄷ, ㄹ, ㅁ</v>
      </c>
      <c r="F57" s="31">
        <f>IFERROR(VLOOKUP(C57,기출문제!D:G,4,0),"")</f>
        <v>1</v>
      </c>
      <c r="G57" s="32" t="str">
        <f t="shared" si="0"/>
        <v/>
      </c>
    </row>
    <row r="58" spans="2:7" ht="85.5" x14ac:dyDescent="0.3">
      <c r="B58" s="13">
        <v>51</v>
      </c>
      <c r="C58" s="14" t="s">
        <v>890</v>
      </c>
      <c r="D58" s="13"/>
      <c r="E58" s="15" t="str">
        <f>IFERROR(VLOOKUP(C58,기출문제!D:G,3,0),"")</f>
        <v>111. 기업 경영에서 마케팅 개념(marketing concept)이 발전해 온 순서로 옳은 것은?
① 생산 개념 → 제품 개념 → 판매 개념 → 마케팅 개념
② 생산 개념 → 판매 개념 → 제품 개념 → 마케팅 개념
③ 제품 개념 → 생산 개념 → 판매 개념 → 마케팅 개념
④ 제품 개념 → 판매 개념 → 생산 개념 → 마케팅 개념
⑤ 판매 개념 → 제품 개념 → 생산 개념 → 마케팅 개념</v>
      </c>
      <c r="F58" s="31">
        <f>IFERROR(VLOOKUP(C58,기출문제!D:G,4,0),"")</f>
        <v>1</v>
      </c>
      <c r="G58" s="32" t="str">
        <f t="shared" si="0"/>
        <v/>
      </c>
    </row>
    <row r="59" spans="2:7" ht="85.5" x14ac:dyDescent="0.3">
      <c r="B59" s="13">
        <v>52</v>
      </c>
      <c r="C59" s="14" t="s">
        <v>891</v>
      </c>
      <c r="D59" s="13"/>
      <c r="E59" s="15" t="str">
        <f>IFERROR(VLOOKUP(C59,기출문제!D:G,3,0),"")</f>
        <v>112. 광고(advertising)와 홍보(publicity)에 관한 설명으로 옳지 않은 것은?
① 광고는 홍보와 달리 매체 비용을 지불한다.
② 홍보는 일반적으로 광고보다 신뢰성이 높다.
③ 광고는 일반적으로 홍보보다 기업이 통제할 수 있는 영역이 많다.
④ 홍보는 언론의 기사나 뉴스 형태로 많이 이루어진다.
⑤ 홍보의 세부 유형으로 PR(Public Relations)이 있다.</v>
      </c>
      <c r="F59" s="31">
        <f>IFERROR(VLOOKUP(C59,기출문제!D:G,4,0),"")</f>
        <v>5</v>
      </c>
      <c r="G59" s="32" t="str">
        <f t="shared" si="0"/>
        <v/>
      </c>
    </row>
    <row r="60" spans="2:7" ht="85.5" x14ac:dyDescent="0.3">
      <c r="B60" s="13">
        <v>53</v>
      </c>
      <c r="C60" s="14" t="s">
        <v>892</v>
      </c>
      <c r="D60" s="13"/>
      <c r="E60" s="15" t="str">
        <f>IFERROR(VLOOKUP(C60,기출문제!D:G,3,0),"")</f>
        <v>113. 로저스(E. Rogers)의 혁신에 대한 수용자 유형이 아닌 것은?
① 혁신자(innovators)
② 조기수용자(early adopters)
③ 후기수용자(late adopters)
④ 조기다수자(early majority)
⑤ 후기다수자(late majority)</v>
      </c>
      <c r="F60" s="31">
        <f>IFERROR(VLOOKUP(C60,기출문제!D:G,4,0),"")</f>
        <v>3</v>
      </c>
      <c r="G60" s="32" t="str">
        <f t="shared" si="0"/>
        <v/>
      </c>
    </row>
    <row r="61" spans="2:7" ht="128.25" x14ac:dyDescent="0.3">
      <c r="B61" s="13">
        <v>54</v>
      </c>
      <c r="C61" s="14" t="s">
        <v>893</v>
      </c>
      <c r="D61" s="13"/>
      <c r="E61" s="15" t="str">
        <f>IFERROR(VLOOKUP(C61,기출문제!D:G,3,0),"")</f>
        <v>114. (주)한국의 매출 및 매출채권 자료가 다음과 같을 때, 매출채권의 평균회수시간은? (단, 1년은 360일로 가정한다.)
매출액            ￦3,000,000
기초매출채권        150,000
기말매출채권        100,000
① 10일
② 15일
③ 18일
④ 20일
⑤ 24일</v>
      </c>
      <c r="F61" s="31">
        <f>IFERROR(VLOOKUP(C61,기출문제!D:G,4,0),"")</f>
        <v>2</v>
      </c>
      <c r="G61" s="32" t="str">
        <f t="shared" si="0"/>
        <v/>
      </c>
    </row>
    <row r="62" spans="2:7" ht="114" x14ac:dyDescent="0.3">
      <c r="B62" s="13">
        <v>55</v>
      </c>
      <c r="C62" s="14" t="s">
        <v>894</v>
      </c>
      <c r="D62" s="13"/>
      <c r="E62" s="15" t="str">
        <f>IFERROR(VLOOKUP(C62,기출문제!D:G,3,0),"")</f>
        <v>115. 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
① 백기사(white knight)
② 그린메일(green mail)
③ 황금낙하산(gloden parachute)
④ 독약조항(poison pill)
⑤ 왕관보석(crown jewel)</v>
      </c>
      <c r="F62" s="31">
        <f>IFERROR(VLOOKUP(C62,기출문제!D:G,4,0),"")</f>
        <v>4</v>
      </c>
      <c r="G62" s="32" t="str">
        <f t="shared" si="0"/>
        <v/>
      </c>
    </row>
    <row r="63" spans="2:7" ht="142.5" x14ac:dyDescent="0.3">
      <c r="B63" s="13">
        <v>56</v>
      </c>
      <c r="C63" s="14" t="s">
        <v>895</v>
      </c>
      <c r="D63" s="13"/>
      <c r="E63" s="15" t="str">
        <f>IFERROR(VLOOKUP(C63,기출문제!D:G,3,0),"")</f>
        <v>116. (주)한국은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
① ￦896,800
② ￦923,200
③ ￦939,800
④ ￦983,200
⑤ ￦999,200</v>
      </c>
      <c r="F63" s="31">
        <f>IFERROR(VLOOKUP(C63,기출문제!D:G,4,0),"")</f>
        <v>2</v>
      </c>
      <c r="G63" s="32" t="str">
        <f t="shared" si="0"/>
        <v/>
      </c>
    </row>
    <row r="64" spans="2:7" ht="85.5" x14ac:dyDescent="0.3">
      <c r="B64" s="13">
        <v>57</v>
      </c>
      <c r="C64" s="14" t="s">
        <v>896</v>
      </c>
      <c r="D64" s="13"/>
      <c r="E64" s="15" t="str">
        <f>IFERROR(VLOOKUP(C64,기출문제!D:G,3,0),"")</f>
        <v>117. 제품설계 기법에 관한 설명으로 옳은 것은?
① 동시공학은 부품이나 중간 조립품의 호환성과 공용화를 높여서 생산원가를 절감하는 기법이다.
② 모듈러설계는 불필요한 원가요인을 발굴하여 제거함으로써 제품의 가치를 높이는 기법이다.
③ 가치공학은 신제품 출시과정을 병렬적으로 진행하여 신제품 출시기간을 단축하는 기법이다.
④ 품질기능전개는 소비자의 요구사항을 체계적으로 제품의 기술적 설계에 반영하는 과정이다.
⑤ 가치분석은 제품이나 공정을 처음부터 환경변화의 영향을 덜 받도록 설계하는 것이다.</v>
      </c>
      <c r="F64" s="31">
        <f>IFERROR(VLOOKUP(C64,기출문제!D:G,4,0),"")</f>
        <v>4</v>
      </c>
      <c r="G64" s="32" t="str">
        <f t="shared" si="0"/>
        <v/>
      </c>
    </row>
    <row r="65" spans="2:7" ht="99.75" x14ac:dyDescent="0.3">
      <c r="B65" s="13">
        <v>58</v>
      </c>
      <c r="C65" s="14" t="s">
        <v>897</v>
      </c>
      <c r="D65" s="13"/>
      <c r="E65" s="15" t="str">
        <f>IFERROR(VLOOKUP(C65,기출문제!D:G,3,0),"")</f>
        <v>118. 최종소비자의 수요변동 정보가 전달되는 과정에서 지연이나 왜곡현상이 발생하여 재고부족 또는 과잉 문제가 발생하고 공급사슬 상류로 갈수록 수요변동이 증폭되는 현상은?
① 채찍 효과
② 포지셔닝 효과
③ 리스크 풀링 효과
④ 크로스 도킹 효과
⑤ 레버리지 효과</v>
      </c>
      <c r="F65" s="31">
        <f>IFERROR(VLOOKUP(C65,기출문제!D:G,4,0),"")</f>
        <v>1</v>
      </c>
      <c r="G65" s="32" t="str">
        <f t="shared" si="0"/>
        <v/>
      </c>
    </row>
    <row r="66" spans="2:7" ht="142.5" x14ac:dyDescent="0.3">
      <c r="B66" s="13">
        <v>59</v>
      </c>
      <c r="C66" s="14" t="s">
        <v>898</v>
      </c>
      <c r="D66" s="13"/>
      <c r="E66" s="15" t="str">
        <f>IFERROR(VLOOKUP(C66,기출문제!D:G,3,0),"")</f>
        <v>119. 다음 중 도요타 생산시스템에서 정의한 7가지 낭비유형에 해당하는 것을 모두 고른 것은?
ㄱ. 과잉생산에 의한 낭비
ㄴ. 대기시간으로 인한 낭비
ㄷ. 재고로 인한 낭비
ㄹ. 작업자 재교육으로 인한 낭비
① ㄱ, ㄴ
② ㄷ, ㄹ
③ ㄱ, ㄴ, ㄷ
④ ㄴ, ㄷ, ㄹ
⑤ ㄱ, ㄴ, ㄷ, ㄹ</v>
      </c>
      <c r="F66" s="31">
        <f>IFERROR(VLOOKUP(C66,기출문제!D:G,4,0),"")</f>
        <v>3</v>
      </c>
      <c r="G66" s="32" t="str">
        <f t="shared" si="0"/>
        <v/>
      </c>
    </row>
    <row r="67" spans="2:7" ht="128.25" x14ac:dyDescent="0.3">
      <c r="B67" s="13">
        <v>60</v>
      </c>
      <c r="C67" s="14" t="s">
        <v>899</v>
      </c>
      <c r="D67" s="13"/>
      <c r="E67" s="15" t="str">
        <f>IFERROR(VLOOKUP(C67,기출문제!D:G,3,0),"")</f>
        <v>120. 다음의 수요예측기법 중 시계열(tiem series) 예측기법에 해당하는 것을 모두 고른 것은?
ㄱ. 이동평균법
ㄴ. 지수평활기법
ㄷ. 델파이 기법
① ㄱ
② ㄴ
③ ㄱ, ㄴ
④ ㄴ, ㄷ
⑤ ㄱ, ㄴ, ㄷ</v>
      </c>
      <c r="F67" s="31">
        <f>IFERROR(VLOOKUP(C67,기출문제!D:G,4,0),"")</f>
        <v>3</v>
      </c>
      <c r="G67" s="32" t="str">
        <f t="shared" si="0"/>
        <v/>
      </c>
    </row>
    <row r="68" spans="2:7" ht="85.5" x14ac:dyDescent="0.3">
      <c r="B68" s="13">
        <v>61</v>
      </c>
      <c r="C68" s="14" t="s">
        <v>900</v>
      </c>
      <c r="D68" s="13"/>
      <c r="E68" s="15" t="str">
        <f>IFERROR(VLOOKUP(C68,기출문제!D:G,3,0),"")</f>
        <v>121. 거래의 결합관계가 비용의 발생과 부채의 증가에 해당하는 것은? (단, 거래금액은 고려하지 않는다.)
① 외상으로 구입한 업무용 컴퓨터를 현금으로 결제하였다.
② 종업원 급여가 발생하였으나 아직 지급하지 않았다.
③ 대여금에 대한 이자를 현금으로 수령하지 못하였으나 결산기말에 인식하였다.
④ 거래처에서 영업용 상품을 외상으로 구입하였다.
⑤ 은행으로부터 빌린 차입금을 상환하였다.</v>
      </c>
      <c r="F68" s="31">
        <f>IFERROR(VLOOKUP(C68,기출문제!D:G,4,0),"")</f>
        <v>2</v>
      </c>
      <c r="G68" s="32" t="str">
        <f t="shared" si="0"/>
        <v/>
      </c>
    </row>
    <row r="69" spans="2:7" ht="142.5" x14ac:dyDescent="0.3">
      <c r="B69" s="13">
        <v>62</v>
      </c>
      <c r="C69" s="14" t="s">
        <v>901</v>
      </c>
      <c r="D69" s="13"/>
      <c r="E69" s="15" t="str">
        <f>IFERROR(VLOOKUP(C69,기출문제!D:G,3,0),"")</f>
        <v>122. 도소매업을 영위하는 (주)한국의 재고 관련 자료가 다음과 같을 때, 매출이익은?
총매출액 : ￦10,000             총매입액 : ￦7,000
매출환입액 :       50             매입에누리액 :  80
기초재고액 :     200             매입운임액 :     20
기말재고액 :     250
① ￦2,980
② ￦3,030
③ ￦3,060
④ ￦3,080
⑤ ￦3,110</v>
      </c>
      <c r="F69" s="31">
        <f>IFERROR(VLOOKUP(C69,기출문제!D:G,4,0),"")</f>
        <v>3</v>
      </c>
      <c r="G69" s="32" t="str">
        <f t="shared" si="0"/>
        <v/>
      </c>
    </row>
    <row r="70" spans="2:7" ht="85.5" x14ac:dyDescent="0.3">
      <c r="B70" s="13">
        <v>63</v>
      </c>
      <c r="C70" s="14" t="s">
        <v>902</v>
      </c>
      <c r="D70" s="13"/>
      <c r="E70" s="15" t="str">
        <f>IFERROR(VLOOKUP(C70,기출문제!D:G,3,0),"")</f>
        <v>123. 현행 K - IFRS에 의한 재무제표에 해당하지 않는 것은?
① 재무상태변동표
② 포괄손익계산서
③ 자본변동표
④ 현금흐름표
⑤ 주석</v>
      </c>
      <c r="F70" s="31">
        <f>IFERROR(VLOOKUP(C70,기출문제!D:G,4,0),"")</f>
        <v>1</v>
      </c>
      <c r="G70" s="32" t="str">
        <f t="shared" si="0"/>
        <v/>
      </c>
    </row>
    <row r="71" spans="2:7" ht="85.5" x14ac:dyDescent="0.3">
      <c r="B71" s="13">
        <v>64</v>
      </c>
      <c r="C71" s="14" t="s">
        <v>903</v>
      </c>
      <c r="D71" s="13"/>
      <c r="E71" s="15" t="str">
        <f>IFERROR(VLOOKUP(C71,기출문제!D:G,3,0),"")</f>
        <v>124. 일반 사용자의 컴퓨터 시스템 접근을 차단한 후, 접근을 허용하는 조건으로 대가를 요구하는 악성코드는?
① 스니핑(sniffing)
② 랜섬웨어(ransomware)
③ 스팸웨어(spamware)
④ 피싱(phishing)
⑤ 파밍(pharming)</v>
      </c>
      <c r="F71" s="31">
        <f>IFERROR(VLOOKUP(C71,기출문제!D:G,4,0),"")</f>
        <v>2</v>
      </c>
      <c r="G71" s="32" t="str">
        <f t="shared" si="0"/>
        <v/>
      </c>
    </row>
    <row r="72" spans="2:7" ht="114" x14ac:dyDescent="0.3">
      <c r="B72" s="13">
        <v>65</v>
      </c>
      <c r="C72" s="14" t="s">
        <v>904</v>
      </c>
      <c r="D72" s="13"/>
      <c r="E72" s="15" t="str">
        <f>IFERROR(VLOOKUP(C72,기출문제!D:G,3,0),"")</f>
        <v>125. 다음에서 설명하는 기술발전의 법칙은?
○ 1965년 미국 반도체회사의 연구개발 책임자가 주장하였다.
○ 마이크로프로세서의 성능은 18개월마다 2배씩 향상된다.
① 길더의 법칙
② 메칼프의 법칙
③ 무어의 법칙
④ 롱테일 법칙
⑤ 파레토 법칙</v>
      </c>
      <c r="F72" s="31">
        <f>IFERROR(VLOOKUP(C72,기출문제!D:G,4,0),"")</f>
        <v>3</v>
      </c>
      <c r="G72" s="32" t="str">
        <f t="shared" si="0"/>
        <v/>
      </c>
    </row>
    <row r="73" spans="2:7" ht="85.5" x14ac:dyDescent="0.3">
      <c r="B73" s="13">
        <v>66</v>
      </c>
      <c r="C73" s="14" t="s">
        <v>611</v>
      </c>
      <c r="D73" s="13"/>
      <c r="E73" s="15" t="str">
        <f>IFERROR(VLOOKUP(C73,기출문제!D:G,3,0),"")</f>
        <v>101. 프랜차이즈(franchise)에 관한 설명으로 옳지 않은 것은?
① 가맹점은 운영측면에서 개인점포에 비해 자율성이 높다.
② 가맹본부의 사업확장이 용이하다.
③ 가맹점은 인지도가 있는 브랜드와 상품으로 사업을 시작할 수 있다.
④ 가맹점은 가맹본부로부터 경영지도와 지원을 받을 수 있다.
⑤ 가맹점은 프랜차이즈 비용이 부담이 될 수 있다.</v>
      </c>
      <c r="F73" s="31">
        <f>IFERROR(VLOOKUP(C73,기출문제!D:G,4,0),"")</f>
        <v>1</v>
      </c>
      <c r="G73" s="32" t="str">
        <f t="shared" ref="G73:G136" si="1">IF(D73="","",IF(D73=F73,"O", "X"))</f>
        <v/>
      </c>
    </row>
    <row r="74" spans="2:7" ht="85.5" x14ac:dyDescent="0.3">
      <c r="B74" s="13">
        <v>67</v>
      </c>
      <c r="C74" s="14" t="s">
        <v>905</v>
      </c>
      <c r="D74" s="13"/>
      <c r="E74" s="15" t="str">
        <f>IFERROR(VLOOKUP(C74,기출문제!D:G,3,0),"")</f>
        <v>102. 앤소프(H. I. Ansoff)의 제품- 시장 확장전략 중 기존 제품으로 기존 시장의 점유율을 확대해 가는 전략은?
① 원가우위 전략 
② 시장침투 전략 
③ 시장개발 전략
④ 제품개발 전략 
⑤ 다각화 전략</v>
      </c>
      <c r="F74" s="31">
        <f>IFERROR(VLOOKUP(C74,기출문제!D:G,4,0),"")</f>
        <v>2</v>
      </c>
      <c r="G74" s="32" t="str">
        <f t="shared" si="1"/>
        <v/>
      </c>
    </row>
    <row r="75" spans="2:7" ht="85.5" x14ac:dyDescent="0.3">
      <c r="B75" s="13">
        <v>68</v>
      </c>
      <c r="C75" s="14" t="s">
        <v>906</v>
      </c>
      <c r="D75" s="13"/>
      <c r="E75" s="15" t="str">
        <f>IFERROR(VLOOKUP(C75,기출문제!D:G,3,0),"")</f>
        <v>103. 포터(M. Porter)의 산업구조분석 모형에서, 소비자 관점의 사용용도가 유사한 다른 제품을 고려하는 경쟁분석의 요소는?
① 산업내 기존 경쟁업체간 경쟁 
② 잠재적 경쟁자의 진입 가능성
③ 대체재의 위협 
④ 공급자의 교섭력
⑤ 구매자의 교섭력</v>
      </c>
      <c r="F75" s="31">
        <f>IFERROR(VLOOKUP(C75,기출문제!D:G,4,0),"")</f>
        <v>3</v>
      </c>
      <c r="G75" s="32" t="str">
        <f t="shared" si="1"/>
        <v/>
      </c>
    </row>
    <row r="76" spans="2:7" ht="85.5" x14ac:dyDescent="0.3">
      <c r="B76" s="13">
        <v>69</v>
      </c>
      <c r="C76" s="14" t="s">
        <v>907</v>
      </c>
      <c r="D76" s="13"/>
      <c r="E76" s="15" t="str">
        <f>IFERROR(VLOOKUP(C76,기출문제!D:G,3,0),"")</f>
        <v>104. 직무스트레스에 관한 설명으로 옳지 않은 것은?
① 직무스트레스의 잠재적 원인으로는 환경요인, 조직적 요인, 개인적 요인이 존재한다.
② 직무스트레스 원인과 경험된 스트레스 간에 조정변수가 존재한다.
③ 사회적 지지는 직무스트레스의 조정변수이다.
④ 직무스트레스 결과로는 생리적 증상, 심리적 증상, 행동적 증상이 있다.
⑤ 직무스트레스와 직무성과간의 관계는 U자형으로 나타난다.</v>
      </c>
      <c r="F76" s="31">
        <f>IFERROR(VLOOKUP(C76,기출문제!D:G,4,0),"")</f>
        <v>5</v>
      </c>
      <c r="G76" s="32" t="str">
        <f t="shared" si="1"/>
        <v/>
      </c>
    </row>
    <row r="77" spans="2:7" ht="85.5" x14ac:dyDescent="0.3">
      <c r="B77" s="13">
        <v>70</v>
      </c>
      <c r="C77" s="14" t="s">
        <v>908</v>
      </c>
      <c r="D77" s="13"/>
      <c r="E77" s="15" t="str">
        <f>IFERROR(VLOOKUP(C77,기출문제!D:G,3,0),"")</f>
        <v>105. 메이요(E. Mayo)의 호손실험 중 배선작업 실험에 관한 설명으로 옳지 않은 것은?
① 작업자를 둘러싸고 있는 사회적 요인들이 작업능률에 미치는 영향을 파악하였다.
② 생산현장에서 비공식조직을 확인하였다.
③ 비공식조직이 작업능률에 영향을 미치는 것을 발견하였다.
④ 관찰연구를 통해 진행되었다.
⑤ 경제적 욕구의 중요성을 재확인하였다.</v>
      </c>
      <c r="F77" s="31">
        <f>IFERROR(VLOOKUP(C77,기출문제!D:G,4,0),"")</f>
        <v>5</v>
      </c>
      <c r="G77" s="32" t="str">
        <f t="shared" si="1"/>
        <v/>
      </c>
    </row>
    <row r="78" spans="2:7" ht="156.75" x14ac:dyDescent="0.3">
      <c r="B78" s="13">
        <v>71</v>
      </c>
      <c r="C78" s="14" t="s">
        <v>909</v>
      </c>
      <c r="D78" s="13"/>
      <c r="E78" s="15" t="str">
        <f>IFERROR(VLOOKUP(C78,기출문제!D:G,3,0),"")</f>
        <v>106. 조직설계의 상황변수에 해당하는 것을 모두 고른 것은?
ㄱ. 복잡성
ㄴ. 전략
ㄷ. 공식화
ㄹ. 기술
ㅁ. 규모
① ㄱ, ㄴ, ㄷ 
② ㄱ, ㄴ, ㄹ 
③ ㄱ, ㄷ, ㅁ 
④ ㄴ, ㄹ, ㅁ 
⑤ ㄷ, ㄹ, ㅁ</v>
      </c>
      <c r="F78" s="31">
        <f>IFERROR(VLOOKUP(C78,기출문제!D:G,4,0),"")</f>
        <v>4</v>
      </c>
      <c r="G78" s="32" t="str">
        <f t="shared" si="1"/>
        <v/>
      </c>
    </row>
    <row r="79" spans="2:7" ht="142.5" x14ac:dyDescent="0.3">
      <c r="B79" s="13">
        <v>72</v>
      </c>
      <c r="C79" s="14" t="s">
        <v>910</v>
      </c>
      <c r="D79" s="13"/>
      <c r="E79" s="15" t="str">
        <f>IFERROR(VLOOKUP(C79,기출문제!D:G,3,0),"")</f>
        <v>107. 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
① ㄱ, ㄴ 
② ㄱ, ㄷ 
③ ㄴ, ㄷ 
④ ㄴ, ㄹ 
⑤ ㄷ, ㄹ</v>
      </c>
      <c r="F79" s="31">
        <f>IFERROR(VLOOKUP(C79,기출문제!D:G,4,0),"")</f>
        <v>4</v>
      </c>
      <c r="G79" s="32" t="str">
        <f t="shared" si="1"/>
        <v/>
      </c>
    </row>
    <row r="80" spans="2:7" ht="128.25" x14ac:dyDescent="0.3">
      <c r="B80" s="13">
        <v>73</v>
      </c>
      <c r="C80" s="14" t="s">
        <v>911</v>
      </c>
      <c r="D80" s="13"/>
      <c r="E80" s="15" t="str">
        <f>IFERROR(VLOOKUP(C80,기출문제!D:G,3,0),"")</f>
        <v>108. 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
① 자원의존 이론 
② 제도화 이론 
③ 학습조직 이론
④ 조직군 생태학 이론 
⑤ 거래비용 이론</v>
      </c>
      <c r="F80" s="31">
        <f>IFERROR(VLOOKUP(C80,기출문제!D:G,4,0),"")</f>
        <v>4</v>
      </c>
      <c r="G80" s="32" t="str">
        <f t="shared" si="1"/>
        <v/>
      </c>
    </row>
    <row r="81" spans="2:7" ht="85.5" x14ac:dyDescent="0.3">
      <c r="B81" s="13">
        <v>74</v>
      </c>
      <c r="C81" s="14" t="s">
        <v>912</v>
      </c>
      <c r="D81" s="13"/>
      <c r="E81" s="15" t="str">
        <f>IFERROR(VLOOKUP(C81,기출문제!D:G,3,0),"")</f>
        <v>109. 직무분석에 관한 설명으로 옳은 것은?
① 직무의 내용을 체계적으로 정리하여 직무명세서를 작성한다.
② 직무수행자에게 요구되는 자격요건을 정리하여 직무기술서를 작성한다.
③ 직무분석과 인력확보를 연계하는 것은 타당하지 않다.
④ 직무분석은 작업장의 안전사고 예방에 도움이 된다.
⑤ 직무분석은 직무평가 결과를 토대로 실시한다.</v>
      </c>
      <c r="F81" s="31">
        <f>IFERROR(VLOOKUP(C81,기출문제!D:G,4,0),"")</f>
        <v>4</v>
      </c>
      <c r="G81" s="32" t="str">
        <f t="shared" si="1"/>
        <v/>
      </c>
    </row>
    <row r="82" spans="2:7" ht="85.5" x14ac:dyDescent="0.3">
      <c r="B82" s="13">
        <v>75</v>
      </c>
      <c r="C82" s="14" t="s">
        <v>913</v>
      </c>
      <c r="D82" s="13"/>
      <c r="E82" s="15" t="str">
        <f>IFERROR(VLOOKUP(C82,기출문제!D:G,3,0),"")</f>
        <v>110. 스캔론 플랜(Scanlon Plan)에 관한 설명으로 옳지 않은 것은?
① 기업이 창출한 부가가치를 기준으로 성과급을 산정한다.
② 집단성과급제도이다.
③ 생산제품의 판매가치와 인건비의 관계에서 배분액을 결정한다.
④ 실제인건비가 표준인건비보다 적을 때 그 차액을 보너스로 배분한다.
⑤ 산출된 보너스액 중 일정액을 적립한 후 종업원분과 회사분으로 배분한다.</v>
      </c>
      <c r="F82" s="31">
        <f>IFERROR(VLOOKUP(C82,기출문제!D:G,4,0),"")</f>
        <v>1</v>
      </c>
      <c r="G82" s="32" t="str">
        <f t="shared" si="1"/>
        <v/>
      </c>
    </row>
    <row r="83" spans="2:7" ht="85.5" x14ac:dyDescent="0.3">
      <c r="B83" s="13">
        <v>76</v>
      </c>
      <c r="C83" s="14" t="s">
        <v>914</v>
      </c>
      <c r="D83" s="13"/>
      <c r="E83" s="15" t="str">
        <f>IFERROR(VLOOKUP(C83,기출문제!D:G,3,0),"")</f>
        <v>111. 기존 브랜드명을 새로운 제품범주의 신제품에 사용하는 것은?
① 공동 브랜딩(co - branding) 
② 복수 브랜딩(multi - branding)
③ 신규 브랜드(new brand) 
④ 라인 확장(line extension)
⑤ 브랜드 확장(brand extension)</v>
      </c>
      <c r="F83" s="31">
        <f>IFERROR(VLOOKUP(C83,기출문제!D:G,4,0),"")</f>
        <v>5</v>
      </c>
      <c r="G83" s="32" t="str">
        <f t="shared" si="1"/>
        <v/>
      </c>
    </row>
    <row r="84" spans="2:7" ht="85.5" x14ac:dyDescent="0.3">
      <c r="B84" s="13">
        <v>77</v>
      </c>
      <c r="C84" s="14" t="s">
        <v>915</v>
      </c>
      <c r="D84" s="13"/>
      <c r="E84" s="15" t="str">
        <f>IFERROR(VLOOKUP(C84,기출문제!D:G,3,0),"")</f>
        <v>112. 제품의 기본가격을 조정하여 세분시장별로 가격을 달리하는 가격결정이 아닌 것은?
① 고객집단 가격결정 
② 묶음제품 가격결정 
③ 제품형태 가격결정
④ 입지 가격결정 
⑤ 시간 가격결정</v>
      </c>
      <c r="F84" s="31">
        <f>IFERROR(VLOOKUP(C84,기출문제!D:G,4,0),"")</f>
        <v>2</v>
      </c>
      <c r="G84" s="32" t="str">
        <f t="shared" si="1"/>
        <v/>
      </c>
    </row>
    <row r="85" spans="2:7" ht="85.5" x14ac:dyDescent="0.3">
      <c r="B85" s="13">
        <v>78</v>
      </c>
      <c r="C85" s="14" t="s">
        <v>916</v>
      </c>
      <c r="D85" s="13"/>
      <c r="E85" s="15" t="str">
        <f>IFERROR(VLOOKUP(C85,기출문제!D:G,3,0),"")</f>
        <v>113. 새로운 마케팅 기회를 확보하기 위해 동일한 유통경로 단계에 있는 둘 이상의 기업이 제휴하는 시스템은?
① 혁신 마케팅시스템 
② 수평적 마케팅시스템
③ 계약형 수직적 마케팅시스템 
④ 관리형 수직적 마케팅시스템
⑤ 기업형 수직적 마케팅시스템</v>
      </c>
      <c r="F85" s="31">
        <f>IFERROR(VLOOKUP(C85,기출문제!D:G,4,0),"")</f>
        <v>2</v>
      </c>
      <c r="G85" s="32" t="str">
        <f t="shared" si="1"/>
        <v/>
      </c>
    </row>
    <row r="86" spans="2:7" ht="142.5" x14ac:dyDescent="0.3">
      <c r="B86" s="13">
        <v>79</v>
      </c>
      <c r="C86" s="14" t="s">
        <v>917</v>
      </c>
      <c r="D86" s="13"/>
      <c r="E86" s="15" t="str">
        <f>IFERROR(VLOOKUP(C86,기출문제!D:G,3,0),"")</f>
        <v>114. 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
① ㄱ, ㄴ 
② ㄱ, ㄷ 
③ ㄱ, ㄹ 
④ ㄴ, ㄷ 
⑤ ㄷ, ㄹ</v>
      </c>
      <c r="F86" s="31">
        <f>IFERROR(VLOOKUP(C86,기출문제!D:G,4,0),"")</f>
        <v>2</v>
      </c>
      <c r="G86" s="32" t="str">
        <f t="shared" si="1"/>
        <v/>
      </c>
    </row>
    <row r="87" spans="2:7" ht="85.5" x14ac:dyDescent="0.3">
      <c r="B87" s="13">
        <v>80</v>
      </c>
      <c r="C87" s="14" t="s">
        <v>918</v>
      </c>
      <c r="D87" s="13"/>
      <c r="E87" s="15" t="str">
        <f>IFERROR(VLOOKUP(C87,기출문제!D:G,3,0),"")</f>
        <v>115. 재무상태표의 자산 항목에 해당하지 않는 것은?
① 미수금 
② 단기대여금 
③ 선급금 
④ 이익준비금 
⑤ 선급비용</v>
      </c>
      <c r="F87" s="31">
        <f>IFERROR(VLOOKUP(C87,기출문제!D:G,4,0),"")</f>
        <v>4</v>
      </c>
      <c r="G87" s="32" t="str">
        <f t="shared" si="1"/>
        <v/>
      </c>
    </row>
    <row r="88" spans="2:7" ht="85.5" x14ac:dyDescent="0.3">
      <c r="B88" s="13">
        <v>81</v>
      </c>
      <c r="C88" s="14" t="s">
        <v>919</v>
      </c>
      <c r="D88" s="13"/>
      <c r="E88" s="15" t="str">
        <f>IFERROR(VLOOKUP(C88,기출문제!D:G,3,0),"")</f>
        <v>116. 투자안의 경제성 평가 방법에 관한 설명으로 옳은 것은?
① 회계적이익률법의 회계적이익률은 연평균 영업이익을 연평균 매출액으로 나누어 산출한다.
② 회수기간법은 회수기간 이후의 현금흐름을 고려한다.
③ 순현재가치법은 재투자수익률을 내부수익률로 가정한다.
④ 내부수익률법에서 개별투자안의 경우 내부수익률이 0보다 크면 경제성이 있다.
⑤ 수익성지수법에서 개별투자안의 경우 수익성 지수가 1보다 크면 경제성이 있다.</v>
      </c>
      <c r="F88" s="31">
        <f>IFERROR(VLOOKUP(C88,기출문제!D:G,4,0),"")</f>
        <v>5</v>
      </c>
      <c r="G88" s="32" t="str">
        <f t="shared" si="1"/>
        <v/>
      </c>
    </row>
    <row r="89" spans="2:7" ht="99.75" x14ac:dyDescent="0.3">
      <c r="B89" s="13">
        <v>82</v>
      </c>
      <c r="C89" s="14" t="s">
        <v>920</v>
      </c>
      <c r="D89" s="13"/>
      <c r="E89" s="15" t="str">
        <f>IFERROR(VLOOKUP(C89,기출문제!D:G,3,0),"")</f>
        <v>117. A주식에 대한 분산은 0.06이고, B주식에 대한 분산은 0.08이다. A주식의 수익률과 B주식의 수익률간의 상관계수가 0인 경우, 총 투자자금 중 A주식과 B주식에 절반씩 투자한 포트폴리오의 분산은?
① 0.025 
② 0.035 
③ 0.045 
④ 0.055 
⑤ 0.065</v>
      </c>
      <c r="F89" s="31">
        <f>IFERROR(VLOOKUP(C89,기출문제!D:G,4,0),"")</f>
        <v>2</v>
      </c>
      <c r="G89" s="32" t="str">
        <f t="shared" si="1"/>
        <v/>
      </c>
    </row>
    <row r="90" spans="2:7" ht="85.5" x14ac:dyDescent="0.3">
      <c r="B90" s="13">
        <v>83</v>
      </c>
      <c r="C90" s="14" t="s">
        <v>921</v>
      </c>
      <c r="D90" s="13"/>
      <c r="E90" s="15" t="str">
        <f>IFERROR(VLOOKUP(C90,기출문제!D:G,3,0),"")</f>
        <v>118. 경제적 주문량(EOQ)에 관한 설명으로 옳지 않은 것은?
① 연간 재고유지비용과 연간 주문비용의 합이 최소화되는 주문량을 결정하는 것이다.
② 연간 재고유지비용과 연간 주문비용이 같아지는 지점에서 결정된다.
③ 연간 주문비용이 감소하면 경제적 주문량이 감소한다.
④ 연간 재고유지비용이 감소하면 경제적 주문량이 감소한다.
⑤ 연간 수요량이 증가하면 경제적 주문량이 증가한다.</v>
      </c>
      <c r="F90" s="31">
        <f>IFERROR(VLOOKUP(C90,기출문제!D:G,4,0),"")</f>
        <v>4</v>
      </c>
      <c r="G90" s="32" t="str">
        <f t="shared" si="1"/>
        <v/>
      </c>
    </row>
    <row r="91" spans="2:7" ht="85.5" x14ac:dyDescent="0.3">
      <c r="B91" s="13">
        <v>84</v>
      </c>
      <c r="C91" s="14" t="s">
        <v>922</v>
      </c>
      <c r="D91" s="13"/>
      <c r="E91" s="15" t="str">
        <f>IFERROR(VLOOKUP(C91,기출문제!D:G,3,0),"")</f>
        <v>119. 생산 프로세스에서 낭비를 제거하여 부가가치를 극대화하기 위한 것은?
① 린(lean) 생산 
② 자재소요계획(MRP)
③ 장인생산(craft production) 
④ 대량고객화(mass customization)
⑤ 오프쇼오링(off - shoring)</v>
      </c>
      <c r="F91" s="31">
        <f>IFERROR(VLOOKUP(C91,기출문제!D:G,4,0),"")</f>
        <v>1</v>
      </c>
      <c r="G91" s="32" t="str">
        <f t="shared" si="1"/>
        <v/>
      </c>
    </row>
    <row r="92" spans="2:7" ht="156.75" x14ac:dyDescent="0.3">
      <c r="B92" s="13">
        <v>85</v>
      </c>
      <c r="C92" s="14" t="s">
        <v>923</v>
      </c>
      <c r="D92" s="13"/>
      <c r="E92" s="15" t="str">
        <f>IFERROR(VLOOKUP(C92,기출문제!D:G,3,0),"")</f>
        <v>120. (주)한국의 4개월간 제품 실제 수요량과 예측치가 다음과 같다고 할 때, 평균절대오차(MAD)는?
월(t) 실제 수요량(  ) 예측치(  )
1월   200개             225개
2월   240개             220개
3월   300개             285개
4월   270개             290개
① 2.5 
② 10 
③ 20 
④ 412.5 
⑤ 1650</v>
      </c>
      <c r="F92" s="31">
        <f>IFERROR(VLOOKUP(C92,기출문제!D:G,4,0),"")</f>
        <v>3</v>
      </c>
      <c r="G92" s="32" t="str">
        <f t="shared" si="1"/>
        <v/>
      </c>
    </row>
    <row r="93" spans="2:7" ht="85.5" x14ac:dyDescent="0.3">
      <c r="B93" s="13">
        <v>86</v>
      </c>
      <c r="C93" s="14" t="s">
        <v>924</v>
      </c>
      <c r="D93" s="13"/>
      <c r="E93" s="15" t="str">
        <f>IFERROR(VLOOKUP(C93,기출문제!D:G,3,0),"")</f>
        <v>121. 서비스 품질평가에 사용되는 SERVQUAL 모형의 서비스 차원이 아닌 것은?
① 유형성(tangibles) 
② 신뢰성(reliability) 
③ 반응성(responsiveness)
④ 공감성(empathy) 
⑤ 소멸성(perishability)</v>
      </c>
      <c r="F93" s="31">
        <f>IFERROR(VLOOKUP(C93,기출문제!D:G,4,0),"")</f>
        <v>5</v>
      </c>
      <c r="G93" s="32" t="str">
        <f t="shared" si="1"/>
        <v/>
      </c>
    </row>
    <row r="94" spans="2:7" ht="142.5" x14ac:dyDescent="0.3">
      <c r="B94" s="13">
        <v>87</v>
      </c>
      <c r="C94" s="14" t="s">
        <v>925</v>
      </c>
      <c r="D94" s="13"/>
      <c r="E94" s="15" t="str">
        <f>IFERROR(VLOOKUP(C94,기출문제!D:G,3,0),"")</f>
        <v>122. 다음의 주어진 자료를 이용하여 산출한 기말자본액은?
&lt;자료&gt;
기초자산 : 380,000원, 기초부채 : 180,000원
당기 중 유상증자 : 80,000원, 당기 중 현금배당 : 40,000원
당기순이익 : 100,000원
① 260,000원 
② 300,000원 
③ 340,000원 
④ 380,000원 
⑤ 420,000원</v>
      </c>
      <c r="F94" s="31">
        <f>IFERROR(VLOOKUP(C94,기출문제!D:G,4,0),"")</f>
        <v>3</v>
      </c>
      <c r="G94" s="32" t="str">
        <f t="shared" si="1"/>
        <v/>
      </c>
    </row>
    <row r="95" spans="2:7" ht="85.5" x14ac:dyDescent="0.3">
      <c r="B95" s="13">
        <v>88</v>
      </c>
      <c r="C95" s="14" t="s">
        <v>926</v>
      </c>
      <c r="D95" s="13"/>
      <c r="E95" s="15" t="str">
        <f>IFERROR(VLOOKUP(C95,기출문제!D:G,3,0),"")</f>
        <v>123. 회계거래 분개에 관한 설명으로 옳은 것은?
① 매입채무의 증가는 차변에 기록한다. 
② 장기대여금의 증가는 대변에 기록한다.
③ 자본금의 감소는 차변에 기록한다. 
④ 임대료 수익의 발생은 차변에 기록한다.
⑤ 급여의 지급은 대변에 기록한다.</v>
      </c>
      <c r="F95" s="31">
        <f>IFERROR(VLOOKUP(C95,기출문제!D:G,4,0),"")</f>
        <v>3</v>
      </c>
      <c r="G95" s="32" t="str">
        <f t="shared" si="1"/>
        <v/>
      </c>
    </row>
    <row r="96" spans="2:7" ht="85.5" x14ac:dyDescent="0.3">
      <c r="B96" s="13">
        <v>89</v>
      </c>
      <c r="C96" s="14" t="s">
        <v>927</v>
      </c>
      <c r="D96" s="13"/>
      <c r="E96" s="15" t="str">
        <f>IFERROR(VLOOKUP(C96,기출문제!D:G,3,0),"")</f>
        <v>124. 컴퓨터, 저장장치, 애플리케이션, 서비스 등과 같은 컴퓨팅 자원의 공유된 풀(pool)을 인터넷으로 접근할 수 있게 해주는 것은?
① 클라이언트/서버 컴퓨팅(client/server computing)
② 엔터프라이즈 컴퓨팅(enterprise computing)
③ 온프레미스 컴퓨팅(on - premise computing)
④ 그린 컴퓨팅(green computing)
⑤ 클라우드 컴퓨팅(cloud computing)</v>
      </c>
      <c r="F96" s="31">
        <f>IFERROR(VLOOKUP(C96,기출문제!D:G,4,0),"")</f>
        <v>5</v>
      </c>
      <c r="G96" s="32" t="str">
        <f t="shared" si="1"/>
        <v/>
      </c>
    </row>
    <row r="97" spans="2:7" ht="85.5" x14ac:dyDescent="0.3">
      <c r="B97" s="13">
        <v>90</v>
      </c>
      <c r="C97" s="14" t="s">
        <v>928</v>
      </c>
      <c r="D97" s="13"/>
      <c r="E97" s="15" t="str">
        <f>IFERROR(VLOOKUP(C97,기출문제!D:G,3,0),"")</f>
        <v>125. 특정기업의 이메일로 위장한 메일을 불특정 다수에게 발송하여 권한 없이 데이터를 획득하는 방식은?
① 파밍(pharming)
② 스니핑(sniffing)
③ 피싱(phishing)
④ 서비스 거부 공격(denial - of - service attack)
⑤ 웜(worm)</v>
      </c>
      <c r="F97" s="31">
        <f>IFERROR(VLOOKUP(C97,기출문제!D:G,4,0),"")</f>
        <v>3</v>
      </c>
      <c r="G97" s="32" t="str">
        <f t="shared" si="1"/>
        <v/>
      </c>
    </row>
    <row r="98" spans="2:7" ht="85.5" x14ac:dyDescent="0.3">
      <c r="B98" s="13">
        <v>91</v>
      </c>
      <c r="C98" s="14" t="s">
        <v>50</v>
      </c>
      <c r="D98" s="13"/>
      <c r="E98" s="15" t="str">
        <f>IFERROR(VLOOKUP(C98,기출문제!D:G,3,0),"")</f>
        <v>101. 페이욜(H. Fayol)의 일반적 관리원칙에 해당하지 않는 것은?
① 지휘의 통일성
② 직무의 분업화
③ 보상의 공정성
④ 조직의 분권화
⑤ 권한과 책임의 일치</v>
      </c>
      <c r="F98" s="31">
        <f>IFERROR(VLOOKUP(C98,기출문제!D:G,4,0),"")</f>
        <v>4</v>
      </c>
      <c r="G98" s="32" t="str">
        <f t="shared" si="1"/>
        <v/>
      </c>
    </row>
    <row r="99" spans="2:7" ht="128.25" x14ac:dyDescent="0.3">
      <c r="B99" s="13">
        <v>92</v>
      </c>
      <c r="C99" s="14" t="s">
        <v>929</v>
      </c>
      <c r="D99" s="13"/>
      <c r="E99" s="15" t="str">
        <f>IFERROR(VLOOKUP(C99,기출문제!D:G,3,0),"")</f>
        <v>102. 다음의 특성에 해당되는 기업집중 형태는?
○ 주식 소유, 금융적 방법 등에 의한 결합
○ 외형상으로 독립성이 유지되지만 실질적으로는 종속관계
○ 모회사와 자회사 형태로 존재
① 카르텔(cartel)
② 콤비나트(combinat)
③ 트러스트(trust)
④ 콘체른(concern)
⑤ 디베스티처(divestiture)</v>
      </c>
      <c r="F99" s="31">
        <f>IFERROR(VLOOKUP(C99,기출문제!D:G,4,0),"")</f>
        <v>4</v>
      </c>
      <c r="G99" s="32" t="str">
        <f t="shared" si="1"/>
        <v/>
      </c>
    </row>
    <row r="100" spans="2:7" ht="85.5" x14ac:dyDescent="0.3">
      <c r="B100" s="13">
        <v>93</v>
      </c>
      <c r="C100" s="14" t="s">
        <v>930</v>
      </c>
      <c r="D100" s="13"/>
      <c r="E100" s="15" t="str">
        <f>IFERROR(VLOOKUP(C100,기출문제!D:G,3,0),"")</f>
        <v>103. 캐롤(B. A. Carrol)의 피라미드 모형에서 제시된 기업의 사회적 책임의 단계로 옳은 것은?
① 경제적 책임 → 법적 책임 → 윤리적 책임 → 자선적 책임
② 경제적 책임 → 윤리적 책임 → 법적 책임 → 자선적 책임
③ 경제적 책임 → 자선적 책임 → 윤리적 책임 → 법적 책임
④ 경제적 책임 → 법적 책임 → 자선적 책임 → 윤리적 책임
⑤ 경제적 책임 → 윤리적 책임 → 자선적 책임 → 법적 책임</v>
      </c>
      <c r="F100" s="31">
        <f>IFERROR(VLOOKUP(C100,기출문제!D:G,4,0),"")</f>
        <v>1</v>
      </c>
      <c r="G100" s="32" t="str">
        <f t="shared" si="1"/>
        <v/>
      </c>
    </row>
    <row r="101" spans="2:7" ht="85.5" x14ac:dyDescent="0.3">
      <c r="B101" s="13">
        <v>94</v>
      </c>
      <c r="C101" s="14" t="s">
        <v>931</v>
      </c>
      <c r="D101" s="13"/>
      <c r="E101" s="15" t="str">
        <f>IFERROR(VLOOKUP(C101,기출문제!D:G,3,0),"")</f>
        <v>104. GE/ 맥킨지 매트릭스(GE/McKinsey matrix)에서 전략적 사업부를 분류하기 위한 두 기준은? 
① 산업매력도 - 사업단위 위치(경쟁력)
② 시장성장률 - 시장점유율
③ 산업매력도 - 시장성장률
④ 사업단위 위치(경쟁력) - 시장점유율
⑤ 시장점유율 - 가격경쟁력</v>
      </c>
      <c r="F101" s="31">
        <f>IFERROR(VLOOKUP(C101,기출문제!D:G,4,0),"")</f>
        <v>1</v>
      </c>
      <c r="G101" s="32" t="str">
        <f t="shared" si="1"/>
        <v/>
      </c>
    </row>
    <row r="102" spans="2:7" ht="85.5" x14ac:dyDescent="0.3">
      <c r="B102" s="13">
        <v>95</v>
      </c>
      <c r="C102" s="14" t="s">
        <v>932</v>
      </c>
      <c r="D102" s="13"/>
      <c r="E102" s="15" t="str">
        <f>IFERROR(VLOOKUP(C102,기출문제!D:G,3,0),"")</f>
        <v>105. 허츠버그(F. Herzberg)의 2요인이론에서 위생요인에 해당하는 것은? 
① 성취감
② 도전감
③ 임금
④ 성장가능성
⑤ 직무내용</v>
      </c>
      <c r="F102" s="31">
        <f>IFERROR(VLOOKUP(C102,기출문제!D:G,4,0),"")</f>
        <v>3</v>
      </c>
      <c r="G102" s="32" t="str">
        <f t="shared" si="1"/>
        <v/>
      </c>
    </row>
    <row r="103" spans="2:7" ht="85.5" x14ac:dyDescent="0.3">
      <c r="B103" s="13">
        <v>96</v>
      </c>
      <c r="C103" s="14" t="s">
        <v>933</v>
      </c>
      <c r="D103" s="13"/>
      <c r="E103" s="15" t="str">
        <f>IFERROR(VLOOKUP(C103,기출문제!D:G,3,0),"")</f>
        <v>106. 전통적 직무설계와 관련 없는 것은?
① 분업
② 과학적 관리
③ 전문화
④ 표준화
⑤ 직무순환</v>
      </c>
      <c r="F103" s="31">
        <f>IFERROR(VLOOKUP(C103,기출문제!D:G,4,0),"")</f>
        <v>5</v>
      </c>
      <c r="G103" s="32" t="str">
        <f t="shared" si="1"/>
        <v/>
      </c>
    </row>
    <row r="104" spans="2:7" ht="85.5" x14ac:dyDescent="0.3">
      <c r="B104" s="13">
        <v>97</v>
      </c>
      <c r="C104" s="14" t="s">
        <v>934</v>
      </c>
      <c r="D104" s="13"/>
      <c r="E104" s="15" t="str">
        <f>IFERROR(VLOOKUP(C104,기출문제!D:G,3,0),"")</f>
        <v>107. 인사평가의 분배적 오류에 해당하는 것은?
① 후광효과
② 상동적 태도
③ 관대화 경향
④ 대비오류
⑤ 확증편향</v>
      </c>
      <c r="F104" s="31">
        <f>IFERROR(VLOOKUP(C104,기출문제!D:G,4,0),"")</f>
        <v>3</v>
      </c>
      <c r="G104" s="32" t="str">
        <f t="shared" si="1"/>
        <v/>
      </c>
    </row>
    <row r="105" spans="2:7" ht="99.75" x14ac:dyDescent="0.3">
      <c r="B105" s="13">
        <v>98</v>
      </c>
      <c r="C105" s="14" t="s">
        <v>935</v>
      </c>
      <c r="D105" s="13"/>
      <c r="E105" s="15" t="str">
        <f>IFERROR(VLOOKUP(C105,기출문제!D:G,3,0),"")</f>
        <v>108. 교육참가자들이 소규모 집단을 구성하여 팀워크로 경영상의 실제 문제를 해결하도록 하여 문제해결과정에 대한 성찰을 통해 학습하게 하는 교육방식은?
① Team Learning
② Organizational Learning
③ Problem Based Learning
④ Blended Learning
⑤ Action Learning</v>
      </c>
      <c r="F105" s="31">
        <f>IFERROR(VLOOKUP(C105,기출문제!D:G,4,0),"")</f>
        <v>5</v>
      </c>
      <c r="G105" s="32" t="str">
        <f t="shared" si="1"/>
        <v/>
      </c>
    </row>
    <row r="106" spans="2:7" ht="85.5" x14ac:dyDescent="0.3">
      <c r="B106" s="13">
        <v>99</v>
      </c>
      <c r="C106" s="14" t="s">
        <v>936</v>
      </c>
      <c r="D106" s="13"/>
      <c r="E106" s="15" t="str">
        <f>IFERROR(VLOOKUP(C106,기출문제!D:G,3,0),"")</f>
        <v>109. 마키아벨리즘(Machiavellism)에 관한 설명으로 옳지 않은 것은?
① 마키아벨리즘은 자신의 이익을 위해 타인을 이용하고 조작하려는 성향이다.
② 마키아벨리즘이 높은 사람은 감정적 거리를 잘 유지한다.
③ 마키아벨리즘이 높은 사람은 남을 잘 설득하며 자신도 잘 설득된다.
④ 마키아벨리즘이 높은 사람은 최소한의 규정과 재량권이 있을 때 높은 성과를 보이는 경향이 있다.
⑤ 마키아벨리즘이 높은 사람은 목적이 수단을 정당화시킬 수 있다고 믿는 경향이 있다.</v>
      </c>
      <c r="F106" s="31">
        <f>IFERROR(VLOOKUP(C106,기출문제!D:G,4,0),"")</f>
        <v>3</v>
      </c>
      <c r="G106" s="32" t="str">
        <f t="shared" si="1"/>
        <v/>
      </c>
    </row>
    <row r="107" spans="2:7" ht="156.75" x14ac:dyDescent="0.3">
      <c r="B107" s="13">
        <v>100</v>
      </c>
      <c r="C107" s="14" t="s">
        <v>937</v>
      </c>
      <c r="D107" s="13"/>
      <c r="E107" s="15" t="str">
        <f>IFERROR(VLOOKUP(C107,기출문제!D:G,3,0),"")</f>
        <v>110. 조직으로부터 나오는 권력을 모두 고른 것은?
ㄱ. 보상적 권력
ㄴ. 전문적 권력
ㄷ. 합법적 권력
ㄹ. 준거적 권력
ㅁ. 강제적 권력
① ㄱ, ㄴ, ㄷ
② ㄱ, ㄴ, ㄹ
③ ㄱ, ㄷ, ㅁ
④ ㄴ, ㄹ, ㅁ
⑤ ㄷ, ㄹ, ㅁ</v>
      </c>
      <c r="F107" s="31">
        <f>IFERROR(VLOOKUP(C107,기출문제!D:G,4,0),"")</f>
        <v>3</v>
      </c>
      <c r="G107" s="32" t="str">
        <f t="shared" si="1"/>
        <v/>
      </c>
    </row>
    <row r="108" spans="2:7" ht="85.5" x14ac:dyDescent="0.3">
      <c r="B108" s="13">
        <v>101</v>
      </c>
      <c r="C108" s="14" t="s">
        <v>938</v>
      </c>
      <c r="D108" s="13"/>
      <c r="E108" s="15" t="str">
        <f>IFERROR(VLOOKUP(C108,기출문제!D:G,3,0),"")</f>
        <v>111. 직무특성모형(Job Characteristics Model)의 핵심직무차원에 포함되지 않는 것은?
① 성장욕구 강도(Growth Need Strength)
② 과업정체성(Task Identity)
③ 과업중요성(Task Significance)
④ 자율성(Autonomy)
⑤ 피드백(Feedback)</v>
      </c>
      <c r="F108" s="31">
        <f>IFERROR(VLOOKUP(C108,기출문제!D:G,4,0),"")</f>
        <v>1</v>
      </c>
      <c r="G108" s="32" t="str">
        <f t="shared" si="1"/>
        <v/>
      </c>
    </row>
    <row r="109" spans="2:7" ht="128.25" x14ac:dyDescent="0.3">
      <c r="B109" s="13">
        <v>102</v>
      </c>
      <c r="C109" s="14" t="s">
        <v>939</v>
      </c>
      <c r="D109" s="13"/>
      <c r="E109" s="15" t="str">
        <f>IFERROR(VLOOKUP(C109,기출문제!D:G,3,0),"")</f>
        <v>112. 다음 설명에 해당하는 의사결정기법은?
○ 자유롭게 아이디어를 제시할 수 있다.
○ 타인이 제시한 아이디어에 대해 비판은 금지된다.
○ 아이디어의 질보다 양을 강조한다.
① 브레인스토밍(Brainstorming)
② 명목집단법(Nominal Group Technique)
③ 델파이법(Delphi Technique)
④ 지명반론자법(Devil's Advocacy)
⑤ 프리모텀법(Premortem)</v>
      </c>
      <c r="F109" s="31">
        <f>IFERROR(VLOOKUP(C109,기출문제!D:G,4,0),"")</f>
        <v>1</v>
      </c>
      <c r="G109" s="32" t="str">
        <f t="shared" si="1"/>
        <v/>
      </c>
    </row>
    <row r="110" spans="2:7" ht="85.5" x14ac:dyDescent="0.3">
      <c r="B110" s="13">
        <v>103</v>
      </c>
      <c r="C110" s="14" t="s">
        <v>940</v>
      </c>
      <c r="D110" s="13"/>
      <c r="E110" s="15" t="str">
        <f>IFERROR(VLOOKUP(C110,기출문제!D:G,3,0),"")</f>
        <v>113. 선매품(Shopping Goods)에 관한 설명으로 옳은 것은? 
① 소비자가 필요하다고 느낄 때 수시로 구매하는 경향을 보인다.
② 소비자는 가격, 품질, 스타일 등 다양한 정보를 수집하여 신중하게 비교하는 경향을 보인다.
③ 소비자는 잘 알지 못하거나 알고 있어도 능동적으로 구매하려 하지 않는다.
④ 일상생활에서 빈번히 구매하는 저관여 제품들이 많다.
⑤ 독특한 특징을 지니거나 브랜드 차별성을 지니는 제품들이 많다.</v>
      </c>
      <c r="F110" s="31">
        <f>IFERROR(VLOOKUP(C110,기출문제!D:G,4,0),"")</f>
        <v>2</v>
      </c>
      <c r="G110" s="32" t="str">
        <f t="shared" si="1"/>
        <v/>
      </c>
    </row>
    <row r="111" spans="2:7" ht="142.5" x14ac:dyDescent="0.3">
      <c r="B111" s="13">
        <v>104</v>
      </c>
      <c r="C111" s="14" t="s">
        <v>941</v>
      </c>
      <c r="D111" s="13"/>
      <c r="E111" s="15" t="str">
        <f>IFERROR(VLOOKUP(C111,기출문제!D:G,3,0),"")</f>
        <v>114. 브랜드(Brand) 요소를 모두 고른 것은?
ㄱ. 징글(Jingle)
ㄴ. 케릭터(Character)
ㄷ. 슬로건(Slogan)
ㄹ. 심볼(Symbol)
① ㄱ, ㄴ
② ㄷ, ㄹ
③ ㄱ, ㄴ, ㄷ
④ ㄴ, ㄷ, ㄹ
⑤ ㄱ, ㄴ, ㄷ, ㄹ</v>
      </c>
      <c r="F111" s="31">
        <f>IFERROR(VLOOKUP(C111,기출문제!D:G,4,0),"")</f>
        <v>5</v>
      </c>
      <c r="G111" s="32" t="str">
        <f t="shared" si="1"/>
        <v/>
      </c>
    </row>
    <row r="112" spans="2:7" ht="85.5" x14ac:dyDescent="0.3">
      <c r="B112" s="13">
        <v>105</v>
      </c>
      <c r="C112" s="14" t="s">
        <v>942</v>
      </c>
      <c r="D112" s="13"/>
      <c r="E112" s="15" t="str">
        <f>IFERROR(VLOOKUP(C112,기출문제!D:G,3,0),"")</f>
        <v>115. 서비스의 특성으로 옳지 않은 것은? 
① 무형성
② 비분리성
③ 반응성
④ 소멸성
⑤ 변동성(이질성)</v>
      </c>
      <c r="F112" s="31">
        <f>IFERROR(VLOOKUP(C112,기출문제!D:G,4,0),"")</f>
        <v>3</v>
      </c>
      <c r="G112" s="32" t="str">
        <f t="shared" si="1"/>
        <v/>
      </c>
    </row>
    <row r="113" spans="2:7" ht="156.75" x14ac:dyDescent="0.3">
      <c r="B113" s="13">
        <v>106</v>
      </c>
      <c r="C113" s="14" t="s">
        <v>943</v>
      </c>
      <c r="D113" s="13"/>
      <c r="E113" s="15" t="str">
        <f>IFERROR(VLOOKUP(C113,기출문제!D:G,3,0),"")</f>
        <v>116. 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
① A, B, C
② A, C, B
③ B, A, C
④ C, A, B
⑤ C, B, A</v>
      </c>
      <c r="F113" s="31">
        <f>IFERROR(VLOOKUP(C113,기출문제!D:G,4,0),"")</f>
        <v>2</v>
      </c>
      <c r="G113" s="32" t="str">
        <f t="shared" si="1"/>
        <v/>
      </c>
    </row>
    <row r="114" spans="2:7" ht="85.5" x14ac:dyDescent="0.3">
      <c r="B114" s="13">
        <v>107</v>
      </c>
      <c r="C114" s="14" t="s">
        <v>944</v>
      </c>
      <c r="D114" s="13"/>
      <c r="E114" s="15" t="str">
        <f>IFERROR(VLOOKUP(C114,기출문제!D:G,3,0),"")</f>
        <v>117. 증권시장선(SML)과 자본시장선(CML)에 관한 설명으로 옳지 않은 것은?
① 증권시장선의 기울기는 표준편차로 측정된 위험 1단위에 대한 균형가격을 의미한다.
② 증권시장선 아래에 위치한 자산은 과대평가된 자산이다.
③ 자본시장선은 효율적 자산의 기대수익률과 표준편차의 선형관계를 나타낸다.
④ 자본시장선에 위치한 위험자산은 무위험자산과 시장포트폴리오의 결합으로 구성된 자산이다.
⑤ 자본시장선에 위치한 위험자산과 시장포트폴리오의 상관계수는 1이다.</v>
      </c>
      <c r="F114" s="31">
        <f>IFERROR(VLOOKUP(C114,기출문제!D:G,4,0),"")</f>
        <v>1</v>
      </c>
      <c r="G114" s="32" t="str">
        <f t="shared" si="1"/>
        <v/>
      </c>
    </row>
    <row r="115" spans="2:7" ht="99.75" x14ac:dyDescent="0.3">
      <c r="B115" s="13">
        <v>108</v>
      </c>
      <c r="C115" s="14" t="s">
        <v>945</v>
      </c>
      <c r="D115" s="13"/>
      <c r="E115" s="15" t="str">
        <f>IFERROR(VLOOKUP(C115,기출문제!D:G,3,0),"")</f>
        <v>118. 올해 말(t=1)에 예상되는 A사 보통주의 주당 배당금은 1,000원이며, 이후 배당금은 매년 10%씩 영구히 증가할 것으로 기대된다. 현재(t=0) A사 보통주의 주가(내재가치)가 10,000원이라고 할 경우 이 주식의 자본비용은?
① 10%
② 15%
③ 20%
④ 25%
⑤ 30%</v>
      </c>
      <c r="F115" s="31">
        <f>IFERROR(VLOOKUP(C115,기출문제!D:G,4,0),"")</f>
        <v>3</v>
      </c>
      <c r="G115" s="32" t="str">
        <f t="shared" si="1"/>
        <v/>
      </c>
    </row>
    <row r="116" spans="2:7" ht="99.75" x14ac:dyDescent="0.3">
      <c r="B116" s="13">
        <v>109</v>
      </c>
      <c r="C116" s="14" t="s">
        <v>946</v>
      </c>
      <c r="D116" s="13"/>
      <c r="E116" s="15" t="str">
        <f>IFERROR(VLOOKUP(C116,기출문제!D:G,3,0),"")</f>
        <v>119. 주식 A와 B의 기대수익률은 각각 10%, 20%이다, 총 투자자금 중 40%를 주식 A에, 60%를 주식 B에 투자하여 구성한 포트폴리오 P의 기대수익률은?
① 15%
② 16%
③ 17%
④ 18%
⑤ 19%</v>
      </c>
      <c r="F116" s="31">
        <f>IFERROR(VLOOKUP(C116,기출문제!D:G,4,0),"")</f>
        <v>2</v>
      </c>
      <c r="G116" s="32" t="str">
        <f t="shared" si="1"/>
        <v/>
      </c>
    </row>
    <row r="117" spans="2:7" ht="85.5" x14ac:dyDescent="0.3">
      <c r="B117" s="13">
        <v>110</v>
      </c>
      <c r="C117" s="14" t="s">
        <v>947</v>
      </c>
      <c r="D117" s="13"/>
      <c r="E117" s="15" t="str">
        <f>IFERROR(VLOOKUP(C117,기출문제!D:G,3,0),"")</f>
        <v>120. 식스시그마의 성공적 수행을 위한 5단계 활동으로 옳은 순서는?
① 계획 → 분석 → 측정 → 개선 → 평가
② 계획 → 분석 → 측정 → 평가 → 개선
③ 계획 → 측정 → 평가 → 통제 → 개선
④ 정의 → 측정 → 분석 → 개선 → 통제
⑤ 정의 → 측정 → 평가 → 통제 → 개선</v>
      </c>
      <c r="F117" s="31">
        <f>IFERROR(VLOOKUP(C117,기출문제!D:G,4,0),"")</f>
        <v>4</v>
      </c>
      <c r="G117" s="32" t="str">
        <f t="shared" si="1"/>
        <v/>
      </c>
    </row>
    <row r="118" spans="2:7" ht="99.75" x14ac:dyDescent="0.3">
      <c r="B118" s="13">
        <v>111</v>
      </c>
      <c r="C118" s="14" t="s">
        <v>948</v>
      </c>
      <c r="D118" s="13"/>
      <c r="E118" s="15" t="str">
        <f>IFERROR(VLOOKUP(C118,기출문제!D:G,3,0),"")</f>
        <v>121. 공급자에서 기업 내 변환과정과 유통망을 거쳐 최종 고객에 이르기까지 자재, 제품, 서비스 및 정보의 흐름을 전체 시스템 관점에서 설계하고 관리하는 것은?
① EOQ
② MRP
③ TQM
④ SCM
⑤ FMS</v>
      </c>
      <c r="F118" s="31">
        <f>IFERROR(VLOOKUP(C118,기출문제!D:G,4,0),"")</f>
        <v>4</v>
      </c>
      <c r="G118" s="32" t="str">
        <f t="shared" si="1"/>
        <v/>
      </c>
    </row>
    <row r="119" spans="2:7" ht="85.5" x14ac:dyDescent="0.3">
      <c r="B119" s="13">
        <v>112</v>
      </c>
      <c r="C119" s="14" t="s">
        <v>949</v>
      </c>
      <c r="D119" s="13"/>
      <c r="E119" s="15" t="str">
        <f>IFERROR(VLOOKUP(C119,기출문제!D:G,3,0),"")</f>
        <v>122. 공장을 신축하고자 1억원의 토지를 현금으로 취득한 거래가 재무제표 요소에 미치는 영향은?
① 자본의 감소, 자산의 감소
② 자산의 증가, 자산의 감소
③ 자산의 증가, 자본의 증가
④ 자산의 증가, 부채의 증가
⑤ 비용의 증가, 자산의 감소</v>
      </c>
      <c r="F119" s="31">
        <f>IFERROR(VLOOKUP(C119,기출문제!D:G,4,0),"")</f>
        <v>2</v>
      </c>
      <c r="G119" s="32" t="str">
        <f t="shared" si="1"/>
        <v/>
      </c>
    </row>
    <row r="120" spans="2:7" ht="142.5" x14ac:dyDescent="0.3">
      <c r="B120" s="13">
        <v>113</v>
      </c>
      <c r="C120" s="14" t="s">
        <v>950</v>
      </c>
      <c r="D120" s="13"/>
      <c r="E120" s="15" t="str">
        <f>IFERROR(VLOOKUP(C120,기출문제!D:G,3,0),"")</f>
        <v>123. 유형자산에 해당하는 항목을 모두 고른 것은?
ㄱ. 특허권
ㄴ. 건물
ㄷ. 비품
ㄹ. 라이선스
① ㄱ, ㄴ
② ㄴ, ㄷ
③ ㄱ, ㄴ, ㄷ
④ ㄴ, ㄷ, ㄹ
⑤ ㄱ, ㄴ, ㄷ, ㄹ</v>
      </c>
      <c r="F120" s="31">
        <f>IFERROR(VLOOKUP(C120,기출문제!D:G,4,0),"")</f>
        <v>2</v>
      </c>
      <c r="G120" s="32" t="str">
        <f t="shared" si="1"/>
        <v/>
      </c>
    </row>
    <row r="121" spans="2:7" ht="85.5" x14ac:dyDescent="0.3">
      <c r="B121" s="13">
        <v>114</v>
      </c>
      <c r="C121" s="14" t="s">
        <v>951</v>
      </c>
      <c r="D121" s="13"/>
      <c r="E121" s="15" t="str">
        <f>IFERROR(VLOOKUP(C121,기출문제!D:G,3,0),"")</f>
        <v>124. 재무상태표의 부채에 해당하지 않는 것은?
① 매입채무
② 선급비용
③ 선수금
④ 사채
⑤ 예수금</v>
      </c>
      <c r="F121" s="31">
        <f>IFERROR(VLOOKUP(C121,기출문제!D:G,4,0),"")</f>
        <v>2</v>
      </c>
      <c r="G121" s="32" t="str">
        <f t="shared" si="1"/>
        <v/>
      </c>
    </row>
    <row r="122" spans="2:7" ht="85.5" x14ac:dyDescent="0.3">
      <c r="B122" s="13">
        <v>115</v>
      </c>
      <c r="C122" s="14" t="s">
        <v>952</v>
      </c>
      <c r="D122" s="13"/>
      <c r="E122" s="15" t="str">
        <f>IFERROR(VLOOKUP(C122,기출문제!D:G,3,0),"")</f>
        <v>125. 급여계산, 고객주문처리, 재고관리 등 일상적이고 반복적인 과업을 주로 수행하는 정보시스템은?
① EIS
② DSS
③ ES
④ SIS
⑤ TPS</v>
      </c>
      <c r="F122" s="31">
        <f>IFERROR(VLOOKUP(C122,기출문제!D:G,4,0),"")</f>
        <v>5</v>
      </c>
      <c r="G122" s="32" t="str">
        <f t="shared" si="1"/>
        <v/>
      </c>
    </row>
    <row r="123" spans="2:7" ht="156.75" x14ac:dyDescent="0.3">
      <c r="B123" s="13">
        <v>116</v>
      </c>
      <c r="C123" s="14" t="s">
        <v>96</v>
      </c>
      <c r="D123" s="13"/>
      <c r="E123" s="15" t="str">
        <f>IFERROR(VLOOKUP(C123,기출문제!D:G,3,0),"")</f>
        <v>101. 페로우(C. Perrow)가 제시한 기술 분류 기준으로 옳은 것을 모두 고른 것은?
ㄱ. 기술복잡성
ㄴ. 과업다양성
ㄷ. 상호의존성
ㄹ. 과업정체성
ㅁ. 문제분석 가능성
① ㄱ, ㄴ
② ㄴ, ㄹ
③ ㄴ, ㅁ
④ ㄷ, ㅁ
⑤ ㄱ, ㄷ, ㄹ</v>
      </c>
      <c r="F123" s="31">
        <f>IFERROR(VLOOKUP(C123,기출문제!D:G,4,0),"")</f>
        <v>3</v>
      </c>
      <c r="G123" s="32" t="str">
        <f t="shared" si="1"/>
        <v/>
      </c>
    </row>
    <row r="124" spans="2:7" ht="85.5" x14ac:dyDescent="0.3">
      <c r="B124" s="13">
        <v>117</v>
      </c>
      <c r="C124" s="14" t="s">
        <v>953</v>
      </c>
      <c r="D124" s="13"/>
      <c r="E124" s="15" t="str">
        <f>IFERROR(VLOOKUP(C124,기출문제!D:G,3,0),"")</f>
        <v>102. (주)한국은 정부의 대규모 사업에 참여하면서 다수 기업과 공동출자를 하고자 한다. 이 전략 유형에 해당하는 것은?
① 우회전략(Turnaround Strategy)
② 집중전략(Concentration Strategy)
③ 프랜차이징(Franchsing)
④ 컨소시엄(Consortium)
⑤ 포획전략(Captive Strategy)</v>
      </c>
      <c r="F124" s="31">
        <f>IFERROR(VLOOKUP(C124,기출문제!D:G,4,0),"")</f>
        <v>4</v>
      </c>
      <c r="G124" s="32" t="str">
        <f t="shared" si="1"/>
        <v/>
      </c>
    </row>
    <row r="125" spans="2:7" ht="85.5" x14ac:dyDescent="0.3">
      <c r="B125" s="13">
        <v>118</v>
      </c>
      <c r="C125" s="14" t="s">
        <v>954</v>
      </c>
      <c r="D125" s="13"/>
      <c r="E125" s="15" t="str">
        <f>IFERROR(VLOOKUP(C125,기출문제!D:G,3,0),"")</f>
        <v>103. 매트릭스 조직의 장점에 해당하지 않는 것은?
① 구성원들 간 갈등해결 용이
② 환경 불확실성에 신속한 대응
③ 인적자원의 유연한 활용
④ 제품 다양성 확보
⑤ 구성원들의 역량향상 기회 제공</v>
      </c>
      <c r="F125" s="31">
        <f>IFERROR(VLOOKUP(C125,기출문제!D:G,4,0),"")</f>
        <v>1</v>
      </c>
      <c r="G125" s="32" t="str">
        <f t="shared" si="1"/>
        <v/>
      </c>
    </row>
    <row r="126" spans="2:7" ht="85.5" x14ac:dyDescent="0.3">
      <c r="B126" s="13">
        <v>119</v>
      </c>
      <c r="C126" s="14" t="s">
        <v>955</v>
      </c>
      <c r="D126" s="13"/>
      <c r="E126" s="15" t="str">
        <f>IFERROR(VLOOKUP(C126,기출문제!D:G,3,0),"")</f>
        <v>104. 사용자가 노동조합의 정당한 활동을 방해하는 것은?
① 태업
② 단체교섭
③ 부당노동행위
④ 노동쟁의
⑤ 준법투쟁</v>
      </c>
      <c r="F126" s="31">
        <f>IFERROR(VLOOKUP(C126,기출문제!D:G,4,0),"")</f>
        <v>3</v>
      </c>
      <c r="G126" s="32" t="str">
        <f t="shared" si="1"/>
        <v/>
      </c>
    </row>
    <row r="127" spans="2:7" ht="85.5" x14ac:dyDescent="0.3">
      <c r="B127" s="13">
        <v>120</v>
      </c>
      <c r="C127" s="14" t="s">
        <v>956</v>
      </c>
      <c r="D127" s="13"/>
      <c r="E127" s="15" t="str">
        <f>IFERROR(VLOOKUP(C127,기출문제!D:G,3,0),"")</f>
        <v>105. 하우스(R. House)가 제시한 경로-목표이론의 리더십 유형에 해당하지 않는 것은?
① 권한위임적 리더십
② 지시적 리더십
③ 지원적 리더십
④ 성취지향적 리더십
⑤ 참가적 리더십</v>
      </c>
      <c r="F127" s="31">
        <f>IFERROR(VLOOKUP(C127,기출문제!D:G,4,0),"")</f>
        <v>1</v>
      </c>
      <c r="G127" s="32" t="str">
        <f t="shared" si="1"/>
        <v/>
      </c>
    </row>
    <row r="128" spans="2:7" ht="85.5" x14ac:dyDescent="0.3">
      <c r="B128" s="13">
        <v>121</v>
      </c>
      <c r="C128" s="14" t="s">
        <v>957</v>
      </c>
      <c r="D128" s="13"/>
      <c r="E128" s="15" t="str">
        <f>IFERROR(VLOOKUP(C128,기출문제!D:G,3,0),"")</f>
        <v>106. 구성원들 간 의사소통이 강력한 특정 리더에게 집중되는 유형은?
① 원형
② Y자형
③ 수레바퀴형
④ 사슬형
⑤ 전체연결형</v>
      </c>
      <c r="F128" s="31">
        <f>IFERROR(VLOOKUP(C128,기출문제!D:G,4,0),"")</f>
        <v>3</v>
      </c>
      <c r="G128" s="32" t="str">
        <f t="shared" si="1"/>
        <v/>
      </c>
    </row>
    <row r="129" spans="2:7" ht="85.5" x14ac:dyDescent="0.3">
      <c r="B129" s="13">
        <v>122</v>
      </c>
      <c r="C129" s="14" t="s">
        <v>958</v>
      </c>
      <c r="D129" s="13"/>
      <c r="E129" s="15" t="str">
        <f>IFERROR(VLOOKUP(C129,기출문제!D:G,3,0),"")</f>
        <v>107. 기업의 사회적 책임 중에서 제1의 책임에 해당하는 것은?
① 법적 책임
② 경제적 책임
③ 윤리적 책임
④ 자선적 책임
⑤ 환경적 책임</v>
      </c>
      <c r="F129" s="31">
        <f>IFERROR(VLOOKUP(C129,기출문제!D:G,4,0),"")</f>
        <v>2</v>
      </c>
      <c r="G129" s="32" t="str">
        <f t="shared" si="1"/>
        <v/>
      </c>
    </row>
    <row r="130" spans="2:7" ht="85.5" x14ac:dyDescent="0.3">
      <c r="B130" s="13">
        <v>123</v>
      </c>
      <c r="C130" s="14" t="s">
        <v>959</v>
      </c>
      <c r="D130" s="13"/>
      <c r="E130" s="15" t="str">
        <f>IFERROR(VLOOKUP(C130,기출문제!D:G,3,0),"")</f>
        <v>108. 파스칼(R. Pascale)과 피터스(T. Peters)의 조직문화 7S 중 다른 요소들을 연결시켜 주는 핵심적인 요소는?
① 전략(Strategy)
② 관리기술(Skill)
③ 공유가치(Shared Value)
④ 관리시스템(System)
⑤ 구성원(Staff)</v>
      </c>
      <c r="F130" s="31">
        <f>IFERROR(VLOOKUP(C130,기출문제!D:G,4,0),"")</f>
        <v>3</v>
      </c>
      <c r="G130" s="32" t="str">
        <f t="shared" si="1"/>
        <v/>
      </c>
    </row>
    <row r="131" spans="2:7" ht="85.5" x14ac:dyDescent="0.3">
      <c r="B131" s="13">
        <v>124</v>
      </c>
      <c r="C131" s="14" t="s">
        <v>960</v>
      </c>
      <c r="D131" s="13"/>
      <c r="E131" s="15" t="str">
        <f>IFERROR(VLOOKUP(C131,기출문제!D:G,3,0),"")</f>
        <v>109. 브룸(V. Vroom)이 제시한 기대이론의 작동순서로 올바른 것은?
① 기대감 → 수단성 → 유의성
② 기대감 → 유의성 → 수단성
③ 수단성 → 유의성 → 기대감
④ 유의성 → 수단성 → 기대감
⑤ 유의성 → 기대감 → 수단성</v>
      </c>
      <c r="F131" s="31">
        <f>IFERROR(VLOOKUP(C131,기출문제!D:G,4,0),"")</f>
        <v>1</v>
      </c>
      <c r="G131" s="32" t="str">
        <f t="shared" si="1"/>
        <v/>
      </c>
    </row>
    <row r="132" spans="2:7" ht="85.5" x14ac:dyDescent="0.3">
      <c r="B132" s="13">
        <v>125</v>
      </c>
      <c r="C132" s="14" t="s">
        <v>961</v>
      </c>
      <c r="D132" s="13"/>
      <c r="E132" s="15" t="str">
        <f>IFERROR(VLOOKUP(C132,기출문제!D:G,3,0),"")</f>
        <v>110. MBO에서 목표설정 시 SMART 원칙으로 옳지 않은 것은?
① 구체적(Specific)이어야 한다.
② 측정가능(Measurable)하여야 한다.
③ 조직목표와의 일치성(Aligned with Organizational Goals)이 있어야 한다.
④ 현실적이며 결과지향적(Realistic and Result-Oriented)이어야 한다.
⑤ 훈련가능(Trainable)하여야 한다.</v>
      </c>
      <c r="F132" s="31">
        <f>IFERROR(VLOOKUP(C132,기출문제!D:G,4,0),"")</f>
        <v>5</v>
      </c>
      <c r="G132" s="32" t="str">
        <f t="shared" si="1"/>
        <v/>
      </c>
    </row>
    <row r="133" spans="2:7" ht="85.5" x14ac:dyDescent="0.3">
      <c r="B133" s="13">
        <v>126</v>
      </c>
      <c r="C133" s="14" t="s">
        <v>962</v>
      </c>
      <c r="D133" s="13"/>
      <c r="E133" s="15" t="str">
        <f>IFERROR(VLOOKUP(C133,기출문제!D:G,3,0),"")</f>
        <v>111. (주)한국은 10,000원에 상당하는 두루마리 화장지 가격을 9,990원으로 책정하였다. 이러한 가격결정 방법은?
① 단수가격
② 명성가격
③ 총화가격
④ 촉진가격
⑤ 관습가격</v>
      </c>
      <c r="F133" s="31">
        <f>IFERROR(VLOOKUP(C133,기출문제!D:G,4,0),"")</f>
        <v>1</v>
      </c>
      <c r="G133" s="32" t="str">
        <f t="shared" si="1"/>
        <v/>
      </c>
    </row>
    <row r="134" spans="2:7" ht="85.5" x14ac:dyDescent="0.3">
      <c r="B134" s="13">
        <v>127</v>
      </c>
      <c r="C134" s="14" t="s">
        <v>963</v>
      </c>
      <c r="D134" s="13"/>
      <c r="E134" s="15" t="str">
        <f>IFERROR(VLOOKUP(C134,기출문제!D:G,3,0),"")</f>
        <v>112. 마약퇴치 운동과 같이 불건전한 수요를 파괴시키는 데 활용되는 마케팅은?
① 동시화 마케팅(Synchro Marketing)
② 재마케팅(Remarketing)
③ 디마케팅(Demarketing)
④ 대항 마케팅(Counter Marketing)
⑤ 터보 마케팅(Turbo Marketing)</v>
      </c>
      <c r="F134" s="31">
        <f>IFERROR(VLOOKUP(C134,기출문제!D:G,4,0),"")</f>
        <v>4</v>
      </c>
      <c r="G134" s="32" t="str">
        <f t="shared" si="1"/>
        <v/>
      </c>
    </row>
    <row r="135" spans="2:7" ht="85.5" x14ac:dyDescent="0.3">
      <c r="B135" s="13">
        <v>128</v>
      </c>
      <c r="C135" s="14" t="s">
        <v>964</v>
      </c>
      <c r="D135" s="13"/>
      <c r="E135" s="15" t="str">
        <f>IFERROR(VLOOKUP(C135,기출문제!D:G,3,0),"")</f>
        <v>113. 마케팅 전략에 관한 설명으로 옳은 것은?
① 마케팅 비용을 절감하기 위해 차별화 마케팅 전략을 도입한다.
② 제품전문화 전략은 표적시장 선정전략의 일종이다.
③ 포지셔닝은 전체 시장을 목표로 하는 마케팅전략이다.
④ 제품의 확장속성이란 판매자가 제공하거나 구매자가 추구하는 본질적 편익을 말한다.
⑤ 시장세분화 전제조건으로서의 실질성이란 세분시장의 구매력 등이 측정가능해야 함을 의미한다.</v>
      </c>
      <c r="F135" s="31">
        <f>IFERROR(VLOOKUP(C135,기출문제!D:G,4,0),"")</f>
        <v>2</v>
      </c>
      <c r="G135" s="32" t="str">
        <f t="shared" si="1"/>
        <v/>
      </c>
    </row>
    <row r="136" spans="2:7" ht="85.5" x14ac:dyDescent="0.3">
      <c r="B136" s="13">
        <v>129</v>
      </c>
      <c r="C136" s="14" t="s">
        <v>965</v>
      </c>
      <c r="D136" s="13"/>
      <c r="E136" s="15" t="str">
        <f>IFERROR(VLOOKUP(C136,기출문제!D:G,3,0),"")</f>
        <v>114. 포터(M. Porter)의 가치사슬(Value Chain)모델에서 주요활동(Primary Activities)에 해당하는 것은?
① 인적자원관리
② 서비스
③ 기술개발
④ 기획・재무
⑤ 법률자문</v>
      </c>
      <c r="F136" s="31">
        <f>IFERROR(VLOOKUP(C136,기출문제!D:G,4,0),"")</f>
        <v>2</v>
      </c>
      <c r="G136" s="32" t="str">
        <f t="shared" si="1"/>
        <v/>
      </c>
    </row>
    <row r="137" spans="2:7" ht="142.5" x14ac:dyDescent="0.3">
      <c r="B137" s="13">
        <v>130</v>
      </c>
      <c r="C137" s="14" t="s">
        <v>966</v>
      </c>
      <c r="D137" s="13"/>
      <c r="E137" s="15" t="str">
        <f>IFERROR(VLOOKUP(C137,기출문제!D:G,3,0),"")</f>
        <v>115. 경영정보시스템 용어에 관한 설명으로 옳지 않은 것은?
① 비즈니스 프로세스 리엔지니어링(Business Process Reengineering)은 새로운 방식으로 최대한의 이득을 얻기 위해 기존의 비즈니스 프로세스를 변경하는 것이다.
② 비즈니스 인텔리전스(Business Intelligence)는 사용자가 정보에 기반하여 보다 나은 비즈니스 의사결정을 돕기 위한 응용프로그램, 기술 및 데이터 분석 등을 포함하는 시스템이다.
③ 의사결정지원시스템(Decision Support System)은 컴퓨터를 이용하여 의사결정자가 효과적인 의사결정을 할 수 있도록 지원하는 시스템이다.
④ 위키스(Wikis)는 사용자들이 웹페이지 내용을 쉽게 추가・편집할 수 있는 웹사이트의 일종이다.
⑤ 자율컴퓨팅(Autonomous Computing)은 지리적으로 분산된 네트워크 환경에서 수많은 컴퓨터와 데이터베이스 등을 고속 네트워크로 연결하여 공유할 수 있도록 한다.</v>
      </c>
      <c r="F137" s="31">
        <f>IFERROR(VLOOKUP(C137,기출문제!D:G,4,0),"")</f>
        <v>5</v>
      </c>
      <c r="G137" s="32" t="str">
        <f t="shared" ref="G137:G200" si="2">IF(D137="","",IF(D137=F137,"O", "X"))</f>
        <v/>
      </c>
    </row>
    <row r="138" spans="2:7" ht="99.75" x14ac:dyDescent="0.3">
      <c r="B138" s="13">
        <v>131</v>
      </c>
      <c r="C138" s="14" t="s">
        <v>967</v>
      </c>
      <c r="D138" s="13"/>
      <c r="E138" s="15" t="str">
        <f>IFERROR(VLOOKUP(C138,기출문제!D:G,3,0),"")</f>
        <v>116. 품질의 산포가 우연원인에 의한 것인지, 이상원인에 의한 것인지를 밝혀주는 역할을 하며, 제조공정의 상태를 파악하기 위해 공정관리에 이용되는 것은?
① 파레토도
② 관리도
③ 산포도
④ 특성요인도
⑤ 히스토그램</v>
      </c>
      <c r="F138" s="31">
        <f>IFERROR(VLOOKUP(C138,기출문제!D:G,4,0),"")</f>
        <v>2</v>
      </c>
      <c r="G138" s="32" t="str">
        <f t="shared" si="2"/>
        <v/>
      </c>
    </row>
    <row r="139" spans="2:7" ht="199.5" x14ac:dyDescent="0.3">
      <c r="B139" s="13">
        <v>132</v>
      </c>
      <c r="C139" s="14" t="s">
        <v>968</v>
      </c>
      <c r="D139" s="13"/>
      <c r="E139" s="15" t="str">
        <f>IFERROR(VLOOKUP(C139,기출문제!D:G,3,0),"")</f>
        <v>117. (주)한국의 연도별 제품 판매량은 다음과 같다. 과거 3년간의 데이터를 바탕으로 단순이동평균법을 적용하였을 때 2020년도의 수요예측량은?
연도       판매량(개)
2014       2,260
2015       2,090
2016       2,110
2017       2,150
2018       2,310
2019       2,410
① 2,270
② 2,280
③ 2,290
④ 2,300
⑤ 2,310</v>
      </c>
      <c r="F139" s="31">
        <f>IFERROR(VLOOKUP(C139,기출문제!D:G,4,0),"")</f>
        <v>3</v>
      </c>
      <c r="G139" s="32" t="str">
        <f t="shared" si="2"/>
        <v/>
      </c>
    </row>
    <row r="140" spans="2:7" ht="85.5" x14ac:dyDescent="0.3">
      <c r="B140" s="13">
        <v>133</v>
      </c>
      <c r="C140" s="14" t="s">
        <v>969</v>
      </c>
      <c r="D140" s="13"/>
      <c r="E140" s="15" t="str">
        <f>IFERROR(VLOOKUP(C140,기출문제!D:G,3,0),"")</f>
        <v>118. 선물거래에 관한 설명으로 옳지 않은 것은?
① 조직화된 공식시장에서 거래가 이루어진다.
② 다수의 불특정 참가자가 자유롭게 시장에 참여한다.
③ 거래대상, 거래단위 등의 거래조건이 표준화되어 있다.
④ 계약의 이행을 보증하려는 제도적 장치로 일일정산, 증거금 등이 있다.
⑤ 반대매매를 통한 중도청산이 어려워 만기일에 실물의 인수・인도가 이루어진다.</v>
      </c>
      <c r="F140" s="31">
        <f>IFERROR(VLOOKUP(C140,기출문제!D:G,4,0),"")</f>
        <v>5</v>
      </c>
      <c r="G140" s="32" t="str">
        <f t="shared" si="2"/>
        <v/>
      </c>
    </row>
    <row r="141" spans="2:7" ht="114" x14ac:dyDescent="0.3">
      <c r="B141" s="13">
        <v>134</v>
      </c>
      <c r="C141" s="14" t="s">
        <v>970</v>
      </c>
      <c r="D141" s="13"/>
      <c r="E141" s="15" t="str">
        <f>IFERROR(VLOOKUP(C141,기출문제!D:G,3,0),"")</f>
        <v>119. 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
① 순현가법
② 수익성지수법
③ 회수기간법
④ 내부수익률법
⑤ 평균회계이익률법</v>
      </c>
      <c r="F141" s="31">
        <f>IFERROR(VLOOKUP(C141,기출문제!D:G,4,0),"")</f>
        <v>4</v>
      </c>
      <c r="G141" s="32" t="str">
        <f t="shared" si="2"/>
        <v/>
      </c>
    </row>
    <row r="142" spans="2:7" ht="85.5" x14ac:dyDescent="0.3">
      <c r="B142" s="13">
        <v>135</v>
      </c>
      <c r="C142" s="14" t="s">
        <v>971</v>
      </c>
      <c r="D142" s="13"/>
      <c r="E142" s="15" t="str">
        <f>IFERROR(VLOOKUP(C142,기출문제!D:G,3,0),"")</f>
        <v>120. (주)한국의 총자산이 40억원, 비유동자산이 25억원, 유동부채가 10억원인 경우 유동비율은?
① 50%
② 70%
③ 100%
④ 150%
⑤ 200%</v>
      </c>
      <c r="F142" s="31">
        <f>IFERROR(VLOOKUP(C142,기출문제!D:G,4,0),"")</f>
        <v>4</v>
      </c>
      <c r="G142" s="32" t="str">
        <f t="shared" si="2"/>
        <v/>
      </c>
    </row>
    <row r="143" spans="2:7" ht="85.5" x14ac:dyDescent="0.3">
      <c r="B143" s="13">
        <v>136</v>
      </c>
      <c r="C143" s="14" t="s">
        <v>972</v>
      </c>
      <c r="D143" s="13"/>
      <c r="E143" s="15" t="str">
        <f>IFERROR(VLOOKUP(C143,기출문제!D:G,3,0),"")</f>
        <v>121. 자본항목의 분류가 다른 것은?
① 주식할인발행차금
② 감자차손
③ 자기주식
④ 미교부주식배당금
⑤ 자기주식처분이익</v>
      </c>
      <c r="F143" s="31">
        <f>IFERROR(VLOOKUP(C143,기출문제!D:G,4,0),"")</f>
        <v>5</v>
      </c>
      <c r="G143" s="32" t="str">
        <f t="shared" si="2"/>
        <v/>
      </c>
    </row>
    <row r="144" spans="2:7" ht="85.5" x14ac:dyDescent="0.3">
      <c r="B144" s="13">
        <v>137</v>
      </c>
      <c r="C144" s="14" t="s">
        <v>973</v>
      </c>
      <c r="D144" s="13"/>
      <c r="E144" s="15" t="str">
        <f>IFERROR(VLOOKUP(C144,기출문제!D:G,3,0),"")</f>
        <v>122. 부채에 관한 설명으로 옳지 않은 것은?
① 매입채무는 일반적인 상거래에서 발생한 외상매입금과 지급어음을 말한다.
② 예수금은 거래처나 종업원을 대신하여 납부기관에 납부할 때 소멸하는 부채이다.
③ 미지급금은 비유동자산의 취득 등 일반적인 상거래 이외에서 발생한 채무를 말한다.
④ 장기차입금의 상환기일이 결산일로부터 1년 이내에 도래하는 경우 유동성장기차입금으로 대체하고 유동부채로 분류한다.
⑤ 매입채무, 차입금, 선수금, 사채 등은 금융부채에 속한다.</v>
      </c>
      <c r="F144" s="31">
        <f>IFERROR(VLOOKUP(C144,기출문제!D:G,4,0),"")</f>
        <v>5</v>
      </c>
      <c r="G144" s="32" t="str">
        <f t="shared" si="2"/>
        <v/>
      </c>
    </row>
    <row r="145" spans="2:7" ht="156.75" x14ac:dyDescent="0.3">
      <c r="B145" s="13">
        <v>138</v>
      </c>
      <c r="C145" s="14" t="s">
        <v>974</v>
      </c>
      <c r="D145" s="13"/>
      <c r="E145" s="15" t="str">
        <f>IFERROR(VLOOKUP(C145,기출문제!D:G,3,0),"")</f>
        <v>123. 재무상태표와 관련되는 것을 모두 고른 것은?
ㄱ. 수익・비용대응의 원칙
ㄴ. 일정시점의 재무상태
ㄷ. 유동성배열법
ㄹ. 일정기간의 경영성과
ㅁ. 자산, 부채 및 자본
① ㄱ, ㄴ
② ㄱ, ㄹ
③ ㄴ, ㄷ, ㄹ
④ ㄴ, ㄷ, ㅁ
⑤ ㄷ, ㄹ, ㅁ</v>
      </c>
      <c r="F145" s="31">
        <f>IFERROR(VLOOKUP(C145,기출문제!D:G,4,0),"")</f>
        <v>4</v>
      </c>
      <c r="G145" s="32" t="str">
        <f t="shared" si="2"/>
        <v/>
      </c>
    </row>
    <row r="146" spans="2:7" ht="85.5" x14ac:dyDescent="0.3">
      <c r="B146" s="13">
        <v>139</v>
      </c>
      <c r="C146" s="14" t="s">
        <v>975</v>
      </c>
      <c r="D146" s="13"/>
      <c r="E146" s="15" t="str">
        <f>IFERROR(VLOOKUP(C146,기출문제!D:G,3,0),"")</f>
        <v>124. 전자(상)거래의 유형에 관한 설명으로 옳은 것은?
① B2E는 기업과 직원 간 전자(상)거래를 말한다.
② B2C는 소비자와 소비자 간 전자(상)거래를 말한다.
③ B2B는 기업 내 전자(상)거래를 말한다.
④ C2C는 기업과 소비자 간 전자(상)거래를 말한다.
⑤ C2G는 기업 간 전자(상)거래를 말한다.</v>
      </c>
      <c r="F146" s="31">
        <f>IFERROR(VLOOKUP(C146,기출문제!D:G,4,0),"")</f>
        <v>1</v>
      </c>
      <c r="G146" s="32" t="str">
        <f t="shared" si="2"/>
        <v/>
      </c>
    </row>
    <row r="147" spans="2:7" ht="99.75" x14ac:dyDescent="0.3">
      <c r="B147" s="13">
        <v>140</v>
      </c>
      <c r="C147" s="14" t="s">
        <v>976</v>
      </c>
      <c r="D147" s="13"/>
      <c r="E147" s="15" t="str">
        <f>IFERROR(VLOOKUP(C147,기출문제!D:G,3,0),"")</f>
        <v>125. 기업이 미래 의사결정 및 예측을 위하여 보유하고 있는 고객, 거래, 상품 등의 데이터와 각종 외부 데이터를 분석하여 숨겨진 패턴이나 규칙을 발견하는 것은?
① 데이터 관리(Data Management)
② 데이터 무결성(Data Integrity)
③ 데이터 마이닝(Data Mining)
④ 데이터 정제(Data Cleaning)
⑤ 데이터 마트(Data Mart)</v>
      </c>
      <c r="F147" s="31">
        <f>IFERROR(VLOOKUP(C147,기출문제!D:G,4,0),"")</f>
        <v>3</v>
      </c>
      <c r="G147" s="32" t="str">
        <f t="shared" si="2"/>
        <v/>
      </c>
    </row>
    <row r="148" spans="2:7" ht="85.5" x14ac:dyDescent="0.3">
      <c r="B148" s="13">
        <v>141</v>
      </c>
      <c r="C148" s="14" t="s">
        <v>138</v>
      </c>
      <c r="D148" s="13"/>
      <c r="E148" s="15" t="str">
        <f>IFERROR(VLOOKUP(C148,기출문제!D:G,3,0),"")</f>
        <v>101. 테일러(F. W. Taylor)의 과학적 관리법에 관한 설명으로 옳지 않은 것은?
① 시간 및 동작 연구
② 기능적 직장제도
③ 집단중심의 보상
④ 과업에 적합한 종업원 선발과 훈련 강조
⑤ 고임금 저노무비 지향</v>
      </c>
      <c r="F148" s="31">
        <f>IFERROR(VLOOKUP(C148,기출문제!D:G,4,0),"")</f>
        <v>3</v>
      </c>
      <c r="G148" s="32" t="str">
        <f t="shared" si="2"/>
        <v/>
      </c>
    </row>
    <row r="149" spans="2:7" ht="85.5" x14ac:dyDescent="0.3">
      <c r="B149" s="13">
        <v>142</v>
      </c>
      <c r="C149" s="14" t="s">
        <v>781</v>
      </c>
      <c r="D149" s="13"/>
      <c r="E149" s="15" t="str">
        <f>IFERROR(VLOOKUP(C149,기출문제!D:G,3,0),"")</f>
        <v>102. 매슬로우(A. H. Maslow)의 욕구단계이론에 관한 설명으로 옳지 않은 것은?
① 최하위 단계의 욕구는 생리적 욕구이다.
② 최상위 단계의 욕구는 자아실현 욕구이다.
③ 욕구계층을 5단계로 설명하고 있다.
④ 다른 사람으로부터 인정과 존경을 받고자 하는 욕구는 성장욕구에 속한다.
⑤ 하위단계의 욕구가 충족되어야 상위단계의 욕구를 충족시키기 위한 동기부여가 된다.</v>
      </c>
      <c r="F149" s="31">
        <f>IFERROR(VLOOKUP(C149,기출문제!D:G,4,0),"")</f>
        <v>4</v>
      </c>
      <c r="G149" s="32" t="str">
        <f t="shared" si="2"/>
        <v/>
      </c>
    </row>
    <row r="150" spans="2:7" ht="85.5" x14ac:dyDescent="0.3">
      <c r="B150" s="13">
        <v>143</v>
      </c>
      <c r="C150" s="14" t="s">
        <v>782</v>
      </c>
      <c r="D150" s="13"/>
      <c r="E150" s="15" t="str">
        <f>IFERROR(VLOOKUP(C150,기출문제!D:G,3,0),"")</f>
        <v>103. 균형성과표(Balanced Score Card)에 해당하지 않는 것은?
① 고객 관점
② 내부 프로세스 관점
③ 사회적 책임 관점
④ 학습과 성장 관점
⑤ 재무 관점</v>
      </c>
      <c r="F150" s="31">
        <f>IFERROR(VLOOKUP(C150,기출문제!D:G,4,0),"")</f>
        <v>3</v>
      </c>
      <c r="G150" s="32" t="str">
        <f t="shared" si="2"/>
        <v/>
      </c>
    </row>
    <row r="151" spans="2:7" ht="85.5" x14ac:dyDescent="0.3">
      <c r="B151" s="13">
        <v>144</v>
      </c>
      <c r="C151" s="14" t="s">
        <v>783</v>
      </c>
      <c r="D151" s="13"/>
      <c r="E151" s="15" t="str">
        <f>IFERROR(VLOOKUP(C151,기출문제!D:G,3,0),"")</f>
        <v>104. 강화계획(schedules of reinforcement)에서 불규칙한 횟수의 바람직한 행동 후 강화요인을 제공하는 기법은?
① 고정간격법
② 변동간격법
③ 고정비율법
④ 변동비율법
⑤ 연속강화법</v>
      </c>
      <c r="F151" s="31">
        <f>IFERROR(VLOOKUP(C151,기출문제!D:G,4,0),"")</f>
        <v>4</v>
      </c>
      <c r="G151" s="32" t="str">
        <f t="shared" si="2"/>
        <v/>
      </c>
    </row>
    <row r="152" spans="2:7" ht="85.5" x14ac:dyDescent="0.3">
      <c r="B152" s="13">
        <v>145</v>
      </c>
      <c r="C152" s="14" t="s">
        <v>784</v>
      </c>
      <c r="D152" s="13"/>
      <c r="E152" s="15" t="str">
        <f>IFERROR(VLOOKUP(C152,기출문제!D:G,3,0),"")</f>
        <v>105. 아담스(J. S. Adams)의 공정성이론에서 조직구성원들이 개인적 불공정성을 시정(是正)하기 위한 방법에 해당하지 않는 것은?
① 투입의 변경
② 산출의 변경
③ 투입과 산출의 인지적 왜곡
④ 장(場) 이탈
⑤ 준거인물 유지</v>
      </c>
      <c r="F152" s="31">
        <f>IFERROR(VLOOKUP(C152,기출문제!D:G,4,0),"")</f>
        <v>5</v>
      </c>
      <c r="G152" s="32" t="str">
        <f t="shared" si="2"/>
        <v/>
      </c>
    </row>
    <row r="153" spans="2:7" ht="85.5" x14ac:dyDescent="0.3">
      <c r="B153" s="13">
        <v>146</v>
      </c>
      <c r="C153" s="14" t="s">
        <v>785</v>
      </c>
      <c r="D153" s="13"/>
      <c r="E153" s="15" t="str">
        <f>IFERROR(VLOOKUP(C153,기출문제!D:G,3,0),"")</f>
        <v>106. 직무급의 특징에 관한 설명으로 옳지 않은 것은?
① 직무의 상대적 가치에 따라 개별임금이 결정된다.
② 능력주의 인사풍토 조성에 유리하다.
③ 인건비의 효율성이 증대된다.
④ 동일노동 동일임금 실현이 가능해진다.
⑤ 시행 절차가 간단하고 적용이 용이하다.</v>
      </c>
      <c r="F153" s="31">
        <f>IFERROR(VLOOKUP(C153,기출문제!D:G,4,0),"")</f>
        <v>5</v>
      </c>
      <c r="G153" s="32" t="str">
        <f t="shared" si="2"/>
        <v/>
      </c>
    </row>
    <row r="154" spans="2:7" ht="85.5" x14ac:dyDescent="0.3">
      <c r="B154" s="13">
        <v>147</v>
      </c>
      <c r="C154" s="14" t="s">
        <v>786</v>
      </c>
      <c r="D154" s="13"/>
      <c r="E154" s="15" t="str">
        <f>IFERROR(VLOOKUP(C154,기출문제!D:G,3,0),"")</f>
        <v>107. 노동조합의 조직형태에 관한 설명으로 옳지 않은 것은?
① 직종별 노동조합은 동종 근로자 집단으로 조직되어 단결이 강화되고 단체교섭과 임금협상이 용이하다.
② 일반노동조합은 숙련근로자들의 최저생활조건을 확보하기 위한 조직으로 초기에 발달한 형태이다.
③ 기업별 노동조합은 조합원들이 동일기업에 종사하고 있으므로 근로조건을 획일적으로 적용하기가 용이하다.
④ 산업별 노동조합은 기업과 직종을 초월한 거대한 조직으로서 정책활동 등에 의해 압력단체로서의 지위를 가진다.
⑤ 연합체 조직은 각 지역이나 기업 또는 직종별 단위조합이 단체의 자격으로 지역적 내지 전국적 조직의 구성원이 되는 형태이다.</v>
      </c>
      <c r="F154" s="31">
        <f>IFERROR(VLOOKUP(C154,기출문제!D:G,4,0),"")</f>
        <v>2</v>
      </c>
      <c r="G154" s="32" t="str">
        <f t="shared" si="2"/>
        <v/>
      </c>
    </row>
    <row r="155" spans="2:7" ht="128.25" x14ac:dyDescent="0.3">
      <c r="B155" s="13">
        <v>148</v>
      </c>
      <c r="C155" s="14" t="s">
        <v>787</v>
      </c>
      <c r="D155" s="13"/>
      <c r="E155" s="15" t="str">
        <f>IFERROR(VLOOKUP(C155,기출문제!D:G,3,0),"")</f>
        <v>108. 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
① ㄱ. 감정적 요소 ㄴ. 인지적 요소 ㄷ. 행동적 요소
② ㄱ. 감정적 요소 ㄴ. 행동적 요소 ㄷ. 인지적 요소
③ ㄱ. 인지적 요소 ㄴ. 행동적 요소 ㄷ. 감정적 요소
④ ㄱ. 인지적 요소 ㄴ. 감정적 요소 ㄷ. 행동적 요소
⑤ ㄱ. 행동적 요소 ㄴ. 감정적 요소 ㄷ. 인지적 요소</v>
      </c>
      <c r="F155" s="31">
        <f>IFERROR(VLOOKUP(C155,기출문제!D:G,4,0),"")</f>
        <v>4</v>
      </c>
      <c r="G155" s="32" t="str">
        <f t="shared" si="2"/>
        <v/>
      </c>
    </row>
    <row r="156" spans="2:7" ht="156.75" x14ac:dyDescent="0.3">
      <c r="B156" s="13">
        <v>149</v>
      </c>
      <c r="C156" s="14" t="s">
        <v>788</v>
      </c>
      <c r="D156" s="13"/>
      <c r="E156" s="15" t="str">
        <f>IFERROR(VLOOKUP(C156,기출문제!D:G,3,0),"")</f>
        <v>109. 프렌치와 레이븐(French &amp; Raven)의 권력원천 분류에 따라 개인적 원천의 권력에 해당하는 것을 모두 고른 것은?
ㄱ. 강제적 권력
ㄴ. 준거적 권력
ㄷ. 전문적 권력
ㄹ. 합법적 권력
ㅁ. 보상적 권력
① ㄱ, ㄴ
② ㄴ, ㄷ
③ ㄷ, ㄹ
④ ㄹ, ㅁ
⑤ ㄱ, ㄴ, ㅁ</v>
      </c>
      <c r="F156" s="31">
        <f>IFERROR(VLOOKUP(C156,기출문제!D:G,4,0),"")</f>
        <v>2</v>
      </c>
      <c r="G156" s="32" t="str">
        <f t="shared" si="2"/>
        <v/>
      </c>
    </row>
    <row r="157" spans="2:7" ht="85.5" x14ac:dyDescent="0.3">
      <c r="B157" s="13">
        <v>150</v>
      </c>
      <c r="C157" s="14" t="s">
        <v>789</v>
      </c>
      <c r="D157" s="13"/>
      <c r="E157" s="15" t="str">
        <f>IFERROR(VLOOKUP(C157,기출문제!D:G,3,0),"")</f>
        <v>110. 모집 방법 중 사내공모제(job posting system)의 특징에 관한 설명으로 옳지 않은 것은?
① 종업원의 상위직급 승진 기회가 제한된다.
② 외부 인력의 영입이 차단되어 조직이 정체될 가능성이 있다.
③ 지원자의 소속부서 상사와의 인간관계가 훼손될 수 있다.
④ 특정부서의 선발 시 연고주의를 고집할 경우 조직 내 파벌이 조성될 수 있다.
⑤ 선발과정에서 여러번 탈락되었을 때 지원자의 심리적 위축감이 고조된다.</v>
      </c>
      <c r="F157" s="31">
        <f>IFERROR(VLOOKUP(C157,기출문제!D:G,4,0),"")</f>
        <v>1</v>
      </c>
      <c r="G157" s="32" t="str">
        <f t="shared" si="2"/>
        <v/>
      </c>
    </row>
    <row r="158" spans="2:7" ht="85.5" x14ac:dyDescent="0.3">
      <c r="B158" s="13">
        <v>151</v>
      </c>
      <c r="C158" s="14" t="s">
        <v>790</v>
      </c>
      <c r="D158" s="13"/>
      <c r="E158" s="15" t="str">
        <f>IFERROR(VLOOKUP(C158,기출문제!D:G,3,0),"")</f>
        <v>111. 인사고과의 오류 중 피고과자가 속한 사회적 집단에 대한 평가에 기초하여 판단하는 것은?
① 상동적 오류(stereotyping errors)
② 논리적 오류(logical errors)
③ 대비오류(contrast errors)
④ 근접오류(proximity errors)
⑤ 후광효과(halo effect)</v>
      </c>
      <c r="F158" s="31">
        <f>IFERROR(VLOOKUP(C158,기출문제!D:G,4,0),"")</f>
        <v>1</v>
      </c>
      <c r="G158" s="32" t="str">
        <f t="shared" si="2"/>
        <v/>
      </c>
    </row>
    <row r="159" spans="2:7" ht="85.5" x14ac:dyDescent="0.3">
      <c r="B159" s="13">
        <v>152</v>
      </c>
      <c r="C159" s="14" t="s">
        <v>791</v>
      </c>
      <c r="D159" s="13"/>
      <c r="E159" s="15" t="str">
        <f>IFERROR(VLOOKUP(C159,기출문제!D:G,3,0),"")</f>
        <v>112. 집단의사결정의 특징에 관한 설명으로 옳지 않은 것은?
① 구성원으로부터 다양한 정보를 얻을 수 있다.
② 의사결정에 참여한 구성원들의 교육효과가 높게 나타난다.
③ 구성원의 합의에 의한 것이므로 수용도와 응집력이 높아진다.
④ 서로의 의견에 비판없이 동의하는 경향이 있다.
⑤ 차선책을 채택하는 오류가 발생하지 않는다.</v>
      </c>
      <c r="F159" s="31">
        <f>IFERROR(VLOOKUP(C159,기출문제!D:G,4,0),"")</f>
        <v>5</v>
      </c>
      <c r="G159" s="32" t="str">
        <f t="shared" si="2"/>
        <v/>
      </c>
    </row>
    <row r="160" spans="2:7" ht="85.5" x14ac:dyDescent="0.3">
      <c r="B160" s="13">
        <v>153</v>
      </c>
      <c r="C160" s="14" t="s">
        <v>792</v>
      </c>
      <c r="D160" s="13"/>
      <c r="E160" s="15" t="str">
        <f>IFERROR(VLOOKUP(C160,기출문제!D:G,3,0),"")</f>
        <v>113. 생산성을 높이고, 유통을 효율화 시키는 등 주로 원가절감에 관심을 갖는 마케팅 개념은?
① 판매 개념
② 생산 개념
③ 관계마케팅 개념
④ 통합마케팅 개념
⑤ 내부마케팅 개념</v>
      </c>
      <c r="F160" s="31">
        <f>IFERROR(VLOOKUP(C160,기출문제!D:G,4,0),"")</f>
        <v>2</v>
      </c>
      <c r="G160" s="32" t="str">
        <f t="shared" si="2"/>
        <v/>
      </c>
    </row>
    <row r="161" spans="2:7" ht="85.5" x14ac:dyDescent="0.3">
      <c r="B161" s="13">
        <v>154</v>
      </c>
      <c r="C161" s="14" t="s">
        <v>793</v>
      </c>
      <c r="D161" s="13"/>
      <c r="E161" s="15" t="str">
        <f>IFERROR(VLOOKUP(C161,기출문제!D:G,3,0),"")</f>
        <v>114. 수요가 공급을 초과할 때 수요를 감소시키는 것을 목적으로 하는 마케팅관리 기법은?
① 전환적 마케팅(conversional marketing)
② 동시화 마케팅(synchro marketing)
③ 자극적 마케팅(stimulative marketing)
④ 개발적 마케팅(developmental marketing)
⑤ 디마케팅(demarketing)</v>
      </c>
      <c r="F161" s="31">
        <f>IFERROR(VLOOKUP(C161,기출문제!D:G,4,0),"")</f>
        <v>5</v>
      </c>
      <c r="G161" s="32" t="str">
        <f t="shared" si="2"/>
        <v/>
      </c>
    </row>
    <row r="162" spans="2:7" ht="85.5" x14ac:dyDescent="0.3">
      <c r="B162" s="13">
        <v>155</v>
      </c>
      <c r="C162" s="14" t="s">
        <v>794</v>
      </c>
      <c r="D162" s="13"/>
      <c r="E162" s="15" t="str">
        <f>IFERROR(VLOOKUP(C162,기출문제!D:G,3,0),"")</f>
        <v>115. 수직적 마케팅시스템(Vertical Marketing System) 중 소유권의 정도와 통제력이 강한 유형에 해당하는 것은?
① 계약형 VMS
② 기업형 VMS
③ 관리형 VMS
④ 협력형 VMS
⑤ 혼합형 VMS</v>
      </c>
      <c r="F162" s="31">
        <f>IFERROR(VLOOKUP(C162,기출문제!D:G,4,0),"")</f>
        <v>2</v>
      </c>
      <c r="G162" s="32" t="str">
        <f t="shared" si="2"/>
        <v/>
      </c>
    </row>
    <row r="163" spans="2:7" ht="85.5" x14ac:dyDescent="0.3">
      <c r="B163" s="13">
        <v>156</v>
      </c>
      <c r="C163" s="14" t="s">
        <v>795</v>
      </c>
      <c r="D163" s="13"/>
      <c r="E163" s="15" t="str">
        <f>IFERROR(VLOOKUP(C163,기출문제!D:G,3,0),"")</f>
        <v>116. 소비자 심리에 근거한 가격결정 방법으로 옳지 않은 것은?
① 종속가격(captive pricing)
② 단수가격(odd pricing)
③ 준거가격(reference pricing)
④ 긍지가격(prestige pricing)
⑤ 관습가격(customary pricing)</v>
      </c>
      <c r="F163" s="31">
        <f>IFERROR(VLOOKUP(C163,기출문제!D:G,4,0),"")</f>
        <v>1</v>
      </c>
      <c r="G163" s="32" t="str">
        <f t="shared" si="2"/>
        <v/>
      </c>
    </row>
    <row r="164" spans="2:7" ht="85.5" x14ac:dyDescent="0.3">
      <c r="B164" s="13">
        <v>157</v>
      </c>
      <c r="C164" s="14" t="s">
        <v>796</v>
      </c>
      <c r="D164" s="13"/>
      <c r="E164" s="15" t="str">
        <f>IFERROR(VLOOKUP(C164,기출문제!D:G,3,0),"")</f>
        <v>117. (주)한국의 유동자산은 1,200,000원이고, 유동비율과 당좌비율은 각각 200%와 150%이다. (주)한국의 재고자산은?
① 300,000원
② 600,000원
③ 900,000원
④ 1,800,000원
⑤ 2,400,000원</v>
      </c>
      <c r="F164" s="31">
        <f>IFERROR(VLOOKUP(C164,기출문제!D:G,4,0),"")</f>
        <v>1</v>
      </c>
      <c r="G164" s="32" t="str">
        <f t="shared" si="2"/>
        <v/>
      </c>
    </row>
    <row r="165" spans="2:7" ht="156.75" x14ac:dyDescent="0.3">
      <c r="B165" s="13">
        <v>158</v>
      </c>
      <c r="C165" s="14" t="s">
        <v>797</v>
      </c>
      <c r="D165" s="13"/>
      <c r="E165" s="15" t="str">
        <f>IFERROR(VLOOKUP(C165,기출문제!D:G,3,0),"")</f>
        <v>118. 투자안의 경제성분석방법 중 화폐의 시간가치를 고려한 방법을 모두 고른 것은?
ㄱ. 회수기간법
ㄴ. 수익성지수법
ㄷ. 회계적이익률법
ㄹ. 순현재가치법
ㅁ. 내부수익률법
① ㄱ, ㄴ
② ㄱ, ㄹ
③ ㄴ, ㄷ
④ ㄴ, ㄹ, ㅁ
⑤ ㄷ, ㄹ, ㅁ</v>
      </c>
      <c r="F165" s="31">
        <f>IFERROR(VLOOKUP(C165,기출문제!D:G,4,0),"")</f>
        <v>4</v>
      </c>
      <c r="G165" s="32" t="str">
        <f t="shared" si="2"/>
        <v/>
      </c>
    </row>
    <row r="166" spans="2:7" ht="99.75" x14ac:dyDescent="0.3">
      <c r="B166" s="13">
        <v>159</v>
      </c>
      <c r="C166" s="14" t="s">
        <v>798</v>
      </c>
      <c r="D166" s="13"/>
      <c r="E166" s="15" t="str">
        <f>IFERROR(VLOOKUP(C166,기출문제!D:G,3,0),"")</f>
        <v>119. (주)한국의 자기자본 시장가치와 타인자본 시장가치는 각각 5억원이다. 자기자본 비용은 16%이고, 세전타인자본비용은 12%이다. 법인세율이 50%일 때 (주)한국의 가중평균자본비용(WACC)은?
① 6%
② 8%
③ 11%
④ 13%
⑤ 15%</v>
      </c>
      <c r="F166" s="31">
        <f>IFERROR(VLOOKUP(C166,기출문제!D:G,4,0),"")</f>
        <v>3</v>
      </c>
      <c r="G166" s="32" t="str">
        <f t="shared" si="2"/>
        <v/>
      </c>
    </row>
    <row r="167" spans="2:7" ht="99.75" x14ac:dyDescent="0.3">
      <c r="B167" s="13">
        <v>160</v>
      </c>
      <c r="C167" s="14" t="s">
        <v>799</v>
      </c>
      <c r="D167" s="13"/>
      <c r="E167" s="15" t="str">
        <f>IFERROR(VLOOKUP(C167,기출문제!D:G,3,0),"")</f>
        <v>120. (주)한국의 A부품에 대한 연간수요는 4,000개이며, A부품 구입가격은 단위당 8,000원이다. 1회당 주문비용은 4,000원이고, 단위당 연간 재고유지비용은 구입가격의 10%일 때 A부품의 경제적 주문량(EOQ)은?
① 100개
② 200개
③ 300개
④ 400개
⑤ 600개</v>
      </c>
      <c r="F167" s="31">
        <f>IFERROR(VLOOKUP(C167,기출문제!D:G,4,0),"")</f>
        <v>2</v>
      </c>
      <c r="G167" s="32" t="str">
        <f t="shared" si="2"/>
        <v/>
      </c>
    </row>
    <row r="168" spans="2:7" ht="85.5" x14ac:dyDescent="0.3">
      <c r="B168" s="13">
        <v>161</v>
      </c>
      <c r="C168" s="14" t="s">
        <v>800</v>
      </c>
      <c r="D168" s="13"/>
      <c r="E168" s="15" t="str">
        <f>IFERROR(VLOOKUP(C168,기출문제!D:G,3,0),"")</f>
        <v>121. 수요예측기법 중 인과형 예측기법(causal forecasting methods)에 해당하는 것은?
① 델파이법
② 패널동의법
③ 회귀분석법
④ 판매원 의견종합법
⑤ 자료유추법</v>
      </c>
      <c r="F168" s="31">
        <f>IFERROR(VLOOKUP(C168,기출문제!D:G,4,0),"")</f>
        <v>3</v>
      </c>
      <c r="G168" s="32" t="str">
        <f t="shared" si="2"/>
        <v/>
      </c>
    </row>
    <row r="169" spans="2:7" ht="85.5" x14ac:dyDescent="0.3">
      <c r="B169" s="13">
        <v>162</v>
      </c>
      <c r="C169" s="14" t="s">
        <v>801</v>
      </c>
      <c r="D169" s="13"/>
      <c r="E169" s="15" t="str">
        <f>IFERROR(VLOOKUP(C169,기출문제!D:G,3,0),"")</f>
        <v>122. 포괄손익계산서의 계정에 해당하지 않는 것은?
① 감가상각비
② 광고비
③ 매출원가
④ 자기주식처분이익
⑤ 유형자산처분이익</v>
      </c>
      <c r="F169" s="31">
        <f>IFERROR(VLOOKUP(C169,기출문제!D:G,4,0),"")</f>
        <v>4</v>
      </c>
      <c r="G169" s="32" t="str">
        <f t="shared" si="2"/>
        <v/>
      </c>
    </row>
    <row r="170" spans="2:7" ht="99.75" x14ac:dyDescent="0.3">
      <c r="B170" s="13">
        <v>163</v>
      </c>
      <c r="C170" s="14" t="s">
        <v>802</v>
      </c>
      <c r="D170" s="13"/>
      <c r="E170" s="15" t="str">
        <f>IFERROR(VLOOKUP(C170,기출문제!D:G,3,0),"")</f>
        <v>123. (주)한국(결산일: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
① 처분이익 20,000원
② 처분손실 20,000원
③ 처분이익 100,000원
④ 처분손실 100,000원
⑤ 처분손실 300,000원</v>
      </c>
      <c r="F170" s="31">
        <f>IFERROR(VLOOKUP(C170,기출문제!D:G,4,0),"")</f>
        <v>1</v>
      </c>
      <c r="G170" s="32" t="str">
        <f t="shared" si="2"/>
        <v/>
      </c>
    </row>
    <row r="171" spans="2:7" ht="85.5" x14ac:dyDescent="0.3">
      <c r="B171" s="13">
        <v>164</v>
      </c>
      <c r="C171" s="14" t="s">
        <v>803</v>
      </c>
      <c r="D171" s="13"/>
      <c r="E171" s="15" t="str">
        <f>IFERROR(VLOOKUP(C171,기출문제!D:G,3,0),"")</f>
        <v>124. 다음 중 자본잉여금에 해당하는 항목은?
① 미교부주식배당금
② 법정적립금
③ 임의적립금
④ 미처분이익잉여금
⑤ 주식발행초과금</v>
      </c>
      <c r="F171" s="31">
        <f>IFERROR(VLOOKUP(C171,기출문제!D:G,4,0),"")</f>
        <v>5</v>
      </c>
      <c r="G171" s="32" t="str">
        <f t="shared" si="2"/>
        <v/>
      </c>
    </row>
    <row r="172" spans="2:7" ht="85.5" x14ac:dyDescent="0.3">
      <c r="B172" s="13">
        <v>165</v>
      </c>
      <c r="C172" s="14" t="s">
        <v>804</v>
      </c>
      <c r="D172" s="13"/>
      <c r="E172" s="15" t="str">
        <f>IFERROR(VLOOKUP(C172,기출문제!D:G,3,0),"")</f>
        <v>125. 스마트폰에 신용카드 등의 금융정보를 담아 10 ~ 15 cm의 근거리에서 결제를 가능하게 하는 무선통신기술은?
① 블루투스(Bluetooth)
② GPS(Global Positioning System)
③ NFC(Near Field Communication)
④ IoT(Internet of Things)
⑤ 텔레매틱스(Telematics)</v>
      </c>
      <c r="F172" s="31">
        <f>IFERROR(VLOOKUP(C172,기출문제!D:G,4,0),"")</f>
        <v>3</v>
      </c>
      <c r="G172" s="32" t="str">
        <f t="shared" si="2"/>
        <v/>
      </c>
    </row>
    <row r="173" spans="2:7" ht="85.5" x14ac:dyDescent="0.3">
      <c r="B173" s="13">
        <v>166</v>
      </c>
      <c r="C173" s="14" t="s">
        <v>188</v>
      </c>
      <c r="D173" s="13"/>
      <c r="E173" s="15" t="str">
        <f>IFERROR(VLOOKUP(C173,기출문제!D:G,3,0),"")</f>
        <v>101. 동종 또는 유사업종의 기업들이 법적, 경제적 독립성을 유지하면서 협정을 통해 수평적으로 결합하는 형태는?
① 지주회사(Holding Company)
② 카르텔(Cartel)
③ 컨글로메리트(Conglomerate)
④ 트러스트(Trust)
⑤ 콘체른(Concern)</v>
      </c>
      <c r="F173" s="31">
        <f>IFERROR(VLOOKUP(C173,기출문제!D:G,4,0),"")</f>
        <v>2</v>
      </c>
      <c r="G173" s="32" t="str">
        <f t="shared" si="2"/>
        <v/>
      </c>
    </row>
    <row r="174" spans="2:7" ht="85.5" x14ac:dyDescent="0.3">
      <c r="B174" s="13">
        <v>167</v>
      </c>
      <c r="C174" s="14" t="s">
        <v>806</v>
      </c>
      <c r="D174" s="13"/>
      <c r="E174" s="15" t="str">
        <f>IFERROR(VLOOKUP(C174,기출문제!D:G,3,0),"")</f>
        <v>102. 포터(M. Porter)의 경쟁전략 유형에 해당하는 것은?
① 차별화(Differentitaion) 전략
② 블루오션(Blue Ocean) 전략
③ 방어자(Defender) 전략
④ 반응자(Reactor) 전략
⑤ 분석자(Analyzer) 전략</v>
      </c>
      <c r="F174" s="31">
        <f>IFERROR(VLOOKUP(C174,기출문제!D:G,4,0),"")</f>
        <v>1</v>
      </c>
      <c r="G174" s="32" t="str">
        <f t="shared" si="2"/>
        <v/>
      </c>
    </row>
    <row r="175" spans="2:7" ht="128.25" x14ac:dyDescent="0.3">
      <c r="B175" s="13">
        <v>168</v>
      </c>
      <c r="C175" s="14" t="s">
        <v>807</v>
      </c>
      <c r="D175" s="13"/>
      <c r="E175" s="15" t="str">
        <f>IFERROR(VLOOKUP(C175,기출문제!D:G,3,0),"")</f>
        <v>103. 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
① 기대이론
② 공정성이론
③ 욕구단계이론
④ 목표설정이론
⑤ 인지적평가이론</v>
      </c>
      <c r="F175" s="31">
        <f>IFERROR(VLOOKUP(C175,기출문제!D:G,4,0),"")</f>
        <v>2</v>
      </c>
      <c r="G175" s="32" t="str">
        <f t="shared" si="2"/>
        <v/>
      </c>
    </row>
    <row r="176" spans="2:7" ht="85.5" x14ac:dyDescent="0.3">
      <c r="B176" s="13">
        <v>169</v>
      </c>
      <c r="C176" s="14" t="s">
        <v>808</v>
      </c>
      <c r="D176" s="13"/>
      <c r="E176" s="15" t="str">
        <f>IFERROR(VLOOKUP(C176,기출문제!D:G,3,0),"")</f>
        <v>104. 평가센터법(Assessment Center)에 관한 설명으로 옳지 않은 것은?
① 평가에 대한 신뢰성이 양호하다.
② 승진에 대한 의사결정에 유용하다.
③ 교육훈련에 대한 타당성이 높다.
④ 평가센터에 초대받지 못한 종업원의 심리적 저항이 예상된다.
⑤ 다른 평가기법에 비해 상대적으로 비용과 시간이 적게 소요된다.</v>
      </c>
      <c r="F176" s="31">
        <f>IFERROR(VLOOKUP(C176,기출문제!D:G,4,0),"")</f>
        <v>5</v>
      </c>
      <c r="G176" s="32" t="str">
        <f t="shared" si="2"/>
        <v/>
      </c>
    </row>
    <row r="177" spans="2:7" ht="85.5" x14ac:dyDescent="0.3">
      <c r="B177" s="13">
        <v>170</v>
      </c>
      <c r="C177" s="14" t="s">
        <v>809</v>
      </c>
      <c r="D177" s="13"/>
      <c r="E177" s="15" t="str">
        <f>IFERROR(VLOOKUP(C177,기출문제!D:G,3,0),"")</f>
        <v>105. 최저임금제의 필요성으로 옳지 않은 것은?
① 계약자유 원칙의 한계 보완
② 저임금 노동자 보호
③ 임금인하 경쟁 방지
④ 유효수요 창출
⑤ 소비자 부담 완화</v>
      </c>
      <c r="F177" s="31">
        <f>IFERROR(VLOOKUP(C177,기출문제!D:G,4,0),"")</f>
        <v>5</v>
      </c>
      <c r="G177" s="32" t="str">
        <f t="shared" si="2"/>
        <v/>
      </c>
    </row>
    <row r="178" spans="2:7" ht="99.75" x14ac:dyDescent="0.3">
      <c r="B178" s="13">
        <v>171</v>
      </c>
      <c r="C178" s="14" t="s">
        <v>810</v>
      </c>
      <c r="D178" s="13"/>
      <c r="E178" s="15" t="str">
        <f>IFERROR(VLOOKUP(C178,기출문제!D:G,3,0),"")</f>
        <v>106. 인사평가방법중 피평가자의 능력, 태도, 작업, 성과 등에 관련된 표준행동들을 제시하고 평가자가 해당 서술문을 대조하여 평가하는 방법은?
① 서열법
② 평정척도법
③ 체크리스트법
④ 중요사건기술법
⑤ 목표관리법</v>
      </c>
      <c r="F178" s="31">
        <f>IFERROR(VLOOKUP(C178,기출문제!D:G,4,0),"")</f>
        <v>3</v>
      </c>
      <c r="G178" s="32" t="str">
        <f t="shared" si="2"/>
        <v/>
      </c>
    </row>
    <row r="179" spans="2:7" ht="85.5" x14ac:dyDescent="0.3">
      <c r="B179" s="13">
        <v>172</v>
      </c>
      <c r="C179" s="14" t="s">
        <v>811</v>
      </c>
      <c r="D179" s="13"/>
      <c r="E179" s="15" t="str">
        <f>IFERROR(VLOOKUP(C179,기출문제!D:G,3,0),"")</f>
        <v>107. 교육훈련 필요성을 파악하기 위한 일반적인 분석방법이 아닌 것은?
① 전문가 자문법
② 역할연기법
③ 자료조사법
④ 면접법
⑤ 델파이기법</v>
      </c>
      <c r="F179" s="31">
        <f>IFERROR(VLOOKUP(C179,기출문제!D:G,4,0),"")</f>
        <v>2</v>
      </c>
      <c r="G179" s="32" t="str">
        <f t="shared" si="2"/>
        <v/>
      </c>
    </row>
    <row r="180" spans="2:7" ht="99.75" x14ac:dyDescent="0.3">
      <c r="B180" s="13">
        <v>173</v>
      </c>
      <c r="C180" s="14" t="s">
        <v>812</v>
      </c>
      <c r="D180" s="13"/>
      <c r="E180" s="15" t="str">
        <f>IFERROR(VLOOKUP(C180,기출문제!D:G,3,0),"")</f>
        <v>108. 맥그리거(D. McGregor)의 X - Y이론은 인간에 대한 기본 가정에 따라 동기부여방식이 달라진다는 것이다. Y이론에 해당하는 가정 또는 동기부여방식이 아닌 것은?
① 문제해결을 위한 창조적 능력 보유
② 직무수행에 대한 분명한 지시
③ 조직목표 달성을 위한 자기 통제
④ 성취감과 자아실현 추구
⑤ 노동에 대한 자연스러운 수용</v>
      </c>
      <c r="F180" s="31">
        <f>IFERROR(VLOOKUP(C180,기출문제!D:G,4,0),"")</f>
        <v>2</v>
      </c>
      <c r="G180" s="32" t="str">
        <f t="shared" si="2"/>
        <v/>
      </c>
    </row>
    <row r="181" spans="2:7" ht="85.5" x14ac:dyDescent="0.3">
      <c r="B181" s="13">
        <v>174</v>
      </c>
      <c r="C181" s="14" t="s">
        <v>813</v>
      </c>
      <c r="D181" s="13"/>
      <c r="E181" s="15" t="str">
        <f>IFERROR(VLOOKUP(C181,기출문제!D:G,3,0),"")</f>
        <v>109. 서번트 리더의 특성으로 옳지 않은 것은?
① 부하의 성장을 위해 헌신한다.
② 부하의 감정에 공감하고 이해하려고 노력한다.
③ 권력이나 지시보다는 설득으로 부하를 대한다.
④ 조직의 구성원들에게 공동체 정신을 심어준다.
⑤ 비전 달성을 위해 위험감수 등 비범한 행동을 보인다.</v>
      </c>
      <c r="F181" s="31">
        <f>IFERROR(VLOOKUP(C181,기출문제!D:G,4,0),"")</f>
        <v>5</v>
      </c>
      <c r="G181" s="32" t="str">
        <f t="shared" si="2"/>
        <v/>
      </c>
    </row>
    <row r="182" spans="2:7" ht="128.25" x14ac:dyDescent="0.3">
      <c r="B182" s="13">
        <v>175</v>
      </c>
      <c r="C182" s="14" t="s">
        <v>814</v>
      </c>
      <c r="D182" s="13"/>
      <c r="E182" s="15" t="str">
        <f>IFERROR(VLOOKUP(C182,기출문제!D:G,3,0),"")</f>
        <v>110. 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
① 연봉제
② 개인성과급제
③ 임금피크제
④ 럭커 플랜
⑤ 스캔론 플랜</v>
      </c>
      <c r="F182" s="31">
        <f>IFERROR(VLOOKUP(C182,기출문제!D:G,4,0),"")</f>
        <v>4</v>
      </c>
      <c r="G182" s="32" t="str">
        <f t="shared" si="2"/>
        <v/>
      </c>
    </row>
    <row r="183" spans="2:7" ht="142.5" x14ac:dyDescent="0.3">
      <c r="B183" s="13">
        <v>176</v>
      </c>
      <c r="C183" s="14" t="s">
        <v>815</v>
      </c>
      <c r="D183" s="13"/>
      <c r="E183" s="15" t="str">
        <f>IFERROR(VLOOKUP(C183,기출문제!D:G,3,0),"")</f>
        <v>111. 다음에서 설명하는 소비재는?
○ 특정 브랜드에 대한 고객 충성도가 높다.
○ 제품마다 고유한 특성을 지니고 있다.
○ 브랜드마다 차이가 크다.
○ 구매 시 많은 시간과 노력을 필요로 한다.
① 편의품(Convenience Goods)
② 선매품(Shopping Goods)
③ 전문품(Specialty Goods)
④ 자본재(Captical Items)
⑤ 원자재(Raw Materials)</v>
      </c>
      <c r="F183" s="31">
        <f>IFERROR(VLOOKUP(C183,기출문제!D:G,4,0),"")</f>
        <v>3</v>
      </c>
      <c r="G183" s="32" t="str">
        <f t="shared" si="2"/>
        <v/>
      </c>
    </row>
    <row r="184" spans="2:7" ht="85.5" x14ac:dyDescent="0.3">
      <c r="B184" s="13">
        <v>177</v>
      </c>
      <c r="C184" s="14" t="s">
        <v>816</v>
      </c>
      <c r="D184" s="13"/>
      <c r="E184" s="15" t="str">
        <f>IFERROR(VLOOKUP(C184,기출문제!D:G,3,0),"")</f>
        <v>112. 신제품 가격결정방법 중 초기고가전략(Skimming Pricing)을 채택하기 어려운 이유는?
① 수요의 가격탄력성이 높은 경우
② 생산 및 마케팅 비용이 높은 경우
③ 경쟁자의 시장진입이 어려운 경우
④ 제품의 혁신성이 큰 경우
⑤ 독보적인 기술이 있는 경우</v>
      </c>
      <c r="F184" s="31">
        <f>IFERROR(VLOOKUP(C184,기출문제!D:G,4,0),"")</f>
        <v>1</v>
      </c>
      <c r="G184" s="32" t="str">
        <f t="shared" si="2"/>
        <v/>
      </c>
    </row>
    <row r="185" spans="2:7" ht="85.5" x14ac:dyDescent="0.3">
      <c r="B185" s="13">
        <v>178</v>
      </c>
      <c r="C185" s="14" t="s">
        <v>817</v>
      </c>
      <c r="D185" s="13"/>
      <c r="E185" s="15" t="str">
        <f>IFERROR(VLOOKUP(C185,기출문제!D:G,3,0),"")</f>
        <v>113. 효과적인 시장세분화를 위한 요건으로 옳지 않은 것은?
① 측정가능성
② 충분한 시장 규모
③ 접근가능성
④ 세분시장 간의 동질성
⑤ 실행가능성</v>
      </c>
      <c r="F185" s="31">
        <f>IFERROR(VLOOKUP(C185,기출문제!D:G,4,0),"")</f>
        <v>4</v>
      </c>
      <c r="G185" s="32" t="str">
        <f t="shared" si="2"/>
        <v/>
      </c>
    </row>
    <row r="186" spans="2:7" ht="85.5" x14ac:dyDescent="0.3">
      <c r="B186" s="13">
        <v>179</v>
      </c>
      <c r="C186" s="14" t="s">
        <v>818</v>
      </c>
      <c r="D186" s="13"/>
      <c r="E186" s="15" t="str">
        <f>IFERROR(VLOOKUP(C186,기출문제!D:G,3,0),"")</f>
        <v>114. 촉진믹스(Promotion Mix) 활동에 해당되지 않는 것은?
① 옥외광고
② 방문판매
③ 홍보
④ 가격할인
⑤ 개방적 유통</v>
      </c>
      <c r="F186" s="31">
        <f>IFERROR(VLOOKUP(C186,기출문제!D:G,4,0),"")</f>
        <v>5</v>
      </c>
      <c r="G186" s="32" t="str">
        <f t="shared" si="2"/>
        <v/>
      </c>
    </row>
    <row r="187" spans="2:7" ht="99.75" x14ac:dyDescent="0.3">
      <c r="B187" s="13">
        <v>180</v>
      </c>
      <c r="C187" s="14" t="s">
        <v>819</v>
      </c>
      <c r="D187" s="13"/>
      <c r="E187" s="15" t="str">
        <f>IFERROR(VLOOKUP(C187,기출문제!D:G,3,0),"")</f>
        <v>115. A기업은 액면가액 10,000원, 만기 2년, 액면이자율 연 3%인 채권을 발행하였다. 시장이자율이 연 2%라면, 이 채권의 이론가격은? (단, 가격은 소수점 첫째 자리에서 반올림한다.)
① 9,194원
② 9,594원
③ 10,194원
④ 10,594원
⑤ 10,994원</v>
      </c>
      <c r="F187" s="31">
        <f>IFERROR(VLOOKUP(C187,기출문제!D:G,4,0),"")</f>
        <v>3</v>
      </c>
      <c r="G187" s="32" t="str">
        <f t="shared" si="2"/>
        <v/>
      </c>
    </row>
    <row r="188" spans="2:7" ht="99.75" x14ac:dyDescent="0.3">
      <c r="B188" s="13">
        <v>181</v>
      </c>
      <c r="C188" s="14" t="s">
        <v>820</v>
      </c>
      <c r="D188" s="13"/>
      <c r="E188" s="15" t="str">
        <f>IFERROR(VLOOKUP(C188,기출문제!D:G,3,0),"")</f>
        <v>116. 자본예산은 투자로 인한 수익이 1년 이상에 걸쳐 장기적으로 실현될 투자결정에 관한 일련의 과정을 말한다. 투자안의 평가방법에 해당하지 않는 것은?
① 유동성분석법
② 수익성지수법
③ 순현재가치법
④ 내부수익률법
⑤ 회수기간법</v>
      </c>
      <c r="F188" s="31">
        <f>IFERROR(VLOOKUP(C188,기출문제!D:G,4,0),"")</f>
        <v>1</v>
      </c>
      <c r="G188" s="32" t="str">
        <f t="shared" si="2"/>
        <v/>
      </c>
    </row>
    <row r="189" spans="2:7" ht="114" x14ac:dyDescent="0.3">
      <c r="B189" s="13">
        <v>182</v>
      </c>
      <c r="C189" s="14" t="s">
        <v>821</v>
      </c>
      <c r="D189" s="13"/>
      <c r="E189" s="15" t="str">
        <f>IFERROR(VLOOKUP(C189,기출문제!D:G,3,0),"")</f>
        <v>117. 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
① 90,910원
② 173,550원
③ 182,640원
④ 235,500원
⑤ 256,190원</v>
      </c>
      <c r="F189" s="31">
        <f>IFERROR(VLOOKUP(C189,기출문제!D:G,4,0),"")</f>
        <v>4</v>
      </c>
      <c r="G189" s="32" t="str">
        <f t="shared" si="2"/>
        <v/>
      </c>
    </row>
    <row r="190" spans="2:7" ht="99.75" x14ac:dyDescent="0.3">
      <c r="B190" s="13">
        <v>183</v>
      </c>
      <c r="C190" s="14" t="s">
        <v>822</v>
      </c>
      <c r="D190" s="13"/>
      <c r="E190" s="15" t="str">
        <f>IFERROR(VLOOKUP(C190,기출문제!D:G,3,0),"")</f>
        <v>118. 최종품목 또는 완제품의 주생산일정계획(Master Production Schedule)을 기반으로 제품생산에 필요한 각종 원자재, 부품, 중간조립품의 주문량과 주문시기를 결정하는 재고관리방법은?
① 자재소요계획(MRP)
② 적시(JIT) 생산시스템
③ 린(Lean) 생산
④ 공급사슬관리(SCM)
⑤ 칸반(Kanban) 시스템</v>
      </c>
      <c r="F190" s="31">
        <f>IFERROR(VLOOKUP(C190,기출문제!D:G,4,0),"")</f>
        <v>1</v>
      </c>
      <c r="G190" s="32" t="str">
        <f t="shared" si="2"/>
        <v/>
      </c>
    </row>
    <row r="191" spans="2:7" ht="99.75" x14ac:dyDescent="0.3">
      <c r="B191" s="13">
        <v>184</v>
      </c>
      <c r="C191" s="14" t="s">
        <v>823</v>
      </c>
      <c r="D191" s="13"/>
      <c r="E191" s="15" t="str">
        <f>IFERROR(VLOOKUP(C191,기출문제!D:G,3,0),"")</f>
        <v>119. 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
① 50대, 5회
② 50대, 10회
③ 100대, 5회
④ 100대, 7회
⑤ 250대, 2회</v>
      </c>
      <c r="F191" s="31">
        <f>IFERROR(VLOOKUP(C191,기출문제!D:G,4,0),"")</f>
        <v>3</v>
      </c>
      <c r="G191" s="32" t="str">
        <f t="shared" si="2"/>
        <v/>
      </c>
    </row>
    <row r="192" spans="2:7" ht="85.5" x14ac:dyDescent="0.3">
      <c r="B192" s="13">
        <v>185</v>
      </c>
      <c r="C192" s="14" t="s">
        <v>824</v>
      </c>
      <c r="D192" s="13"/>
      <c r="E192" s="15" t="str">
        <f>IFERROR(VLOOKUP(C192,기출문제!D:G,3,0),"")</f>
        <v>120. 재고품목을 가치나 상대적 중요도에 따라 차별화하여 관리하는 ABC 재고관리에 관한 설명으로 옳은 것은?
① A등급은 재고가치가 낮은 품목들이 속한다.
② A등급 품목은 로트 크기를 크게 유지한다.
③ C등급 품목은 재고유지비가 높다.
④ ABC등급 분석을 위해 롱테일(Long Tail)법칙을 활용한다.
⑤ 가격, 사용량 등을 기준으로 등급을 구분한다.</v>
      </c>
      <c r="F192" s="31">
        <f>IFERROR(VLOOKUP(C192,기출문제!D:G,4,0),"")</f>
        <v>5</v>
      </c>
      <c r="G192" s="32" t="str">
        <f t="shared" si="2"/>
        <v/>
      </c>
    </row>
    <row r="193" spans="2:7" ht="114" x14ac:dyDescent="0.3">
      <c r="B193" s="13">
        <v>186</v>
      </c>
      <c r="C193" s="14" t="s">
        <v>825</v>
      </c>
      <c r="D193" s="13"/>
      <c r="E193" s="15" t="str">
        <f>IFERROR(VLOOKUP(C193,기출문제!D:G,3,0),"")</f>
        <v>121. 시산표는 재무상태표 구성요소와 포괄손익계산서 구성요소를 한 곳에 집계한 표이다. 다음 시산표 등식에서 ( )에 들어갈 항목으로 옳은 것은?
○ 자산 + 비용 = 부채 + ( ) + 수익
① 매출액
② 자본
③ 법인세
④ 미지급금
⑤ 감가상각비</v>
      </c>
      <c r="F193" s="31">
        <f>IFERROR(VLOOKUP(C193,기출문제!D:G,4,0),"")</f>
        <v>2</v>
      </c>
      <c r="G193" s="32" t="str">
        <f t="shared" si="2"/>
        <v/>
      </c>
    </row>
    <row r="194" spans="2:7" ht="142.5" x14ac:dyDescent="0.3">
      <c r="B194" s="13">
        <v>187</v>
      </c>
      <c r="C194" s="14" t="s">
        <v>826</v>
      </c>
      <c r="D194" s="13"/>
      <c r="E194" s="15" t="str">
        <f>IFERROR(VLOOKUP(C194,기출문제!D:G,3,0),"")</f>
        <v>122. 당좌자산에 해당하는 것을 모두 고른 것은?
ㄱ. 현금
ㄴ. 보통예금
ㄷ. 투자부동산
ㄹ. 단기금융상품
① ㄱ, ㄴ
② ㄷ, ㄹ
③ ㄱ, ㄴ, ㄹ
④ ㄴ, ㄷ, ㄹ
⑤ ㄱ, ㄴ, ㄷ, ㄹ</v>
      </c>
      <c r="F194" s="31">
        <f>IFERROR(VLOOKUP(C194,기출문제!D:G,4,0),"")</f>
        <v>3</v>
      </c>
      <c r="G194" s="32" t="str">
        <f t="shared" si="2"/>
        <v/>
      </c>
    </row>
    <row r="195" spans="2:7" ht="85.5" x14ac:dyDescent="0.3">
      <c r="B195" s="13">
        <v>188</v>
      </c>
      <c r="C195" s="14" t="s">
        <v>827</v>
      </c>
      <c r="D195" s="13"/>
      <c r="E195" s="15" t="str">
        <f>IFERROR(VLOOKUP(C195,기출문제!D:G,3,0),"")</f>
        <v>123. 재무상태표의 항목에 해당되지 않는 것은?
① 차입금
② 이익잉여금
③ 매출채권
④ 판매비
⑤ 재고자산</v>
      </c>
      <c r="F195" s="31">
        <f>IFERROR(VLOOKUP(C195,기출문제!D:G,4,0),"")</f>
        <v>4</v>
      </c>
      <c r="G195" s="32" t="str">
        <f t="shared" si="2"/>
        <v/>
      </c>
    </row>
    <row r="196" spans="2:7" ht="99.75" x14ac:dyDescent="0.3">
      <c r="B196" s="13">
        <v>189</v>
      </c>
      <c r="C196" s="14" t="s">
        <v>828</v>
      </c>
      <c r="D196" s="13"/>
      <c r="E196" s="15" t="str">
        <f>IFERROR(VLOOKUP(C196,기출문제!D:G,3,0),"")</f>
        <v>124. 네트워크 붕괴를 목적으로 다수의 잘못된 통신이나 서비스 요청을 특정 네트워크 또는 웹 서버에 보내는 방식을 의미하는 것은?
① 스푸핑(Spoofing)
② 스니핑(Sniffing)
③ 서비스 거부 공격(Denial - of - Service Attack)
④ 신원도용(Identity Theft)
⑤ 피싱(Phishing)</v>
      </c>
      <c r="F196" s="31">
        <f>IFERROR(VLOOKUP(C196,기출문제!D:G,4,0),"")</f>
        <v>3</v>
      </c>
      <c r="G196" s="32" t="str">
        <f t="shared" si="2"/>
        <v/>
      </c>
    </row>
    <row r="197" spans="2:7" ht="114" x14ac:dyDescent="0.3">
      <c r="B197" s="13">
        <v>190</v>
      </c>
      <c r="C197" s="14" t="s">
        <v>829</v>
      </c>
      <c r="D197" s="13"/>
      <c r="E197" s="15" t="str">
        <f>IFERROR(VLOOKUP(C197,기출문제!D:G,3,0),"")</f>
        <v>125. 다음에서 설명하는 것은?
○ 지리적으로 분산된 네트워크 환경에서 수 많은 컴퓨터와 저장장치, 데이터베이스 시스템 등과 같은 자원들을 고속 네트워크로 연결하여 그 자원을 공유할 수 있도록 하는 방식
① 전문가 시스템(Expert System)
② 그린 컴퓨팅(Green Computing)
③ 사물인터넷(Internet of Things)
④ 그리드 컴퓨팅(Grid Computing)
⑤ 인트라넷(Intranet)</v>
      </c>
      <c r="F197" s="31">
        <f>IFERROR(VLOOKUP(C197,기출문제!D:G,4,0),"")</f>
        <v>4</v>
      </c>
      <c r="G197" s="32" t="str">
        <f t="shared" si="2"/>
        <v/>
      </c>
    </row>
    <row r="198" spans="2:7" ht="85.5" x14ac:dyDescent="0.3">
      <c r="B198" s="13">
        <v>191</v>
      </c>
      <c r="C198" s="14" t="s">
        <v>232</v>
      </c>
      <c r="D198" s="13"/>
      <c r="E198" s="15" t="str">
        <f>IFERROR(VLOOKUP(C198,기출문제!D:G,3,0),"")</f>
        <v>101. 제품/시장 매트릭스(product/market matrix)에서 신제품을 가지고 신시장에 진출하는 성장전략은?
① 다각화 전략
② 제품개발 전략
③ 집중화 전략
④ 시장침투 전략
⑤ 시장개발 전략</v>
      </c>
      <c r="F198" s="31">
        <f>IFERROR(VLOOKUP(C198,기출문제!D:G,4,0),"")</f>
        <v>1</v>
      </c>
      <c r="G198" s="32" t="str">
        <f t="shared" si="2"/>
        <v/>
      </c>
    </row>
    <row r="199" spans="2:7" ht="85.5" x14ac:dyDescent="0.3">
      <c r="B199" s="13">
        <v>192</v>
      </c>
      <c r="C199" s="14" t="s">
        <v>977</v>
      </c>
      <c r="D199" s="13"/>
      <c r="E199" s="15" t="str">
        <f>IFERROR(VLOOKUP(C199,기출문제!D:G,3,0),"")</f>
        <v>102. 경영이론의 주창자와 그 내용이 옳지 않은 것은?
① 테일러(Taylor): 차별적 성과급제
② 메이요(Mayo): 비공식 조직의 중시
③ 페이욜(Fayol): 권한과 책임의 원칙
④ 포드(Ford): 고임금 고가격의 원칙
⑤ 베버(Weber): 규칙과 절차의 중시</v>
      </c>
      <c r="F199" s="31">
        <f>IFERROR(VLOOKUP(C199,기출문제!D:G,4,0),"")</f>
        <v>4</v>
      </c>
      <c r="G199" s="32" t="str">
        <f t="shared" si="2"/>
        <v/>
      </c>
    </row>
    <row r="200" spans="2:7" ht="85.5" x14ac:dyDescent="0.3">
      <c r="B200" s="13">
        <v>193</v>
      </c>
      <c r="C200" s="14" t="s">
        <v>978</v>
      </c>
      <c r="D200" s="13"/>
      <c r="E200" s="15" t="str">
        <f>IFERROR(VLOOKUP(C200,기출문제!D:G,3,0),"")</f>
        <v>103. 생산수량과 일정을 토대로 필요한 자재조달 계획을 수립하는 관리시스템은?
① CIM
② FMS
③ MRP
④ SCM
⑤ TQM</v>
      </c>
      <c r="F200" s="31">
        <f>IFERROR(VLOOKUP(C200,기출문제!D:G,4,0),"")</f>
        <v>3</v>
      </c>
      <c r="G200" s="32" t="str">
        <f t="shared" si="2"/>
        <v/>
      </c>
    </row>
    <row r="201" spans="2:7" ht="128.25" x14ac:dyDescent="0.3">
      <c r="B201" s="13">
        <v>194</v>
      </c>
      <c r="C201" s="14" t="s">
        <v>979</v>
      </c>
      <c r="D201" s="13"/>
      <c r="E201" s="15" t="str">
        <f>IFERROR(VLOOKUP(C201,기출문제!D:G,3,0),"")</f>
        <v>104. 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
① 제도화이론
② 자원의존이론
③ 조직군생태학이론
④ 거래비용이론
⑤ 학습조직이론</v>
      </c>
      <c r="F201" s="31">
        <f>IFERROR(VLOOKUP(C201,기출문제!D:G,4,0),"")</f>
        <v>2</v>
      </c>
      <c r="G201" s="32" t="str">
        <f t="shared" ref="G201:G264" si="3">IF(D201="","",IF(D201=F201,"O", "X"))</f>
        <v/>
      </c>
    </row>
    <row r="202" spans="2:7" ht="128.25" x14ac:dyDescent="0.3">
      <c r="B202" s="13">
        <v>195</v>
      </c>
      <c r="C202" s="14" t="s">
        <v>980</v>
      </c>
      <c r="D202" s="13"/>
      <c r="E202" s="15" t="str">
        <f>IFERROR(VLOOKUP(C202,기출문제!D:G,3,0),"")</f>
        <v>105. 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
① 직무순환
② 직무전문화
③ 직무특성화
④ 수평적 직무확대
⑤ 직무충실화</v>
      </c>
      <c r="F202" s="31">
        <f>IFERROR(VLOOKUP(C202,기출문제!D:G,4,0),"")</f>
        <v>5</v>
      </c>
      <c r="G202" s="32" t="str">
        <f t="shared" si="3"/>
        <v/>
      </c>
    </row>
    <row r="203" spans="2:7" ht="142.5" x14ac:dyDescent="0.3">
      <c r="B203" s="13">
        <v>196</v>
      </c>
      <c r="C203" s="14" t="s">
        <v>981</v>
      </c>
      <c r="D203" s="13"/>
      <c r="E203" s="15" t="str">
        <f>IFERROR(VLOOKUP(C203,기출문제!D:G,3,0),"")</f>
        <v>106. 호손실험(Hawthorne experiment)의 순서가 바르게 나열된 것은?
ㄱ. 면접실험
ㄴ. 조명실험
ㄷ. 배전기 전선작업실 관찰
ㄹ. 계전기 조립실험
① ㄱ → ㄴ → ㄷ → ㄹ
② ㄱ → ㄹ → ㄷ → ㄴ
③ ㄴ → ㄹ → ㄱ → ㄷ
④ ㄴ → ㄹ → ㄷ → ㄱ
⑤ ㄹ → ㄱ → ㄷ → ㄴ</v>
      </c>
      <c r="F203" s="31">
        <f>IFERROR(VLOOKUP(C203,기출문제!D:G,4,0),"")</f>
        <v>3</v>
      </c>
      <c r="G203" s="32" t="str">
        <f t="shared" si="3"/>
        <v/>
      </c>
    </row>
    <row r="204" spans="2:7" ht="85.5" x14ac:dyDescent="0.3">
      <c r="B204" s="13">
        <v>197</v>
      </c>
      <c r="C204" s="14" t="s">
        <v>982</v>
      </c>
      <c r="D204" s="13"/>
      <c r="E204" s="15" t="str">
        <f>IFERROR(VLOOKUP(C204,기출문제!D:G,3,0),"")</f>
        <v>107. 기대이론에서 동기부여를 유발하는 요인에 관한 설명으로 옳지 않은 것은?
① 수단성이 높아야 동기부여가 된다.
② 기대가 높아야 동기부여가 된다.
③ 조직에 대한 신뢰가 클수록 수단성이 높아진다.
④ 가치관에 부합되는 보상이 주어질수록 유의성이 높아진다.
⑤ 종업원들은 주어진 보상에 대하여 동일한 유의성을 갖는다.</v>
      </c>
      <c r="F204" s="31">
        <f>IFERROR(VLOOKUP(C204,기출문제!D:G,4,0),"")</f>
        <v>5</v>
      </c>
      <c r="G204" s="32" t="str">
        <f t="shared" si="3"/>
        <v/>
      </c>
    </row>
    <row r="205" spans="2:7" ht="85.5" x14ac:dyDescent="0.3">
      <c r="B205" s="13">
        <v>198</v>
      </c>
      <c r="C205" s="14" t="s">
        <v>983</v>
      </c>
      <c r="D205" s="13"/>
      <c r="E205" s="15" t="str">
        <f>IFERROR(VLOOKUP(C205,기출문제!D:G,3,0),"")</f>
        <v>108. 리더십에 관한 설명으로 옳지 않은 것은?
① 거래적 리더십은 리더와 종업원 사이의 교환이나 거래관계를 통해 발휘된다.
② 서번트 리더십은 목표달성이라는 결과보다 구성원에 대한 서비스에 초점을 둔다.
③ 카리스마적 리더십은 비전달성을 위해 위험감수 등 비범한 행동을 보인다.
④ 변혁적 리더십은 장기비전을 제시하고 구성원들의 가치관 변화와 조직몰입을 증가시킨다.
⑤ 슈퍼 리더십은 리더가 종업원들을 관리하고 통제할 수 있는 힘과 기술을 가지도록 하는데 초점을 둔다.</v>
      </c>
      <c r="F205" s="31">
        <f>IFERROR(VLOOKUP(C205,기출문제!D:G,4,0),"")</f>
        <v>5</v>
      </c>
      <c r="G205" s="32" t="str">
        <f t="shared" si="3"/>
        <v/>
      </c>
    </row>
    <row r="206" spans="2:7" ht="85.5" x14ac:dyDescent="0.3">
      <c r="B206" s="13">
        <v>199</v>
      </c>
      <c r="C206" s="14" t="s">
        <v>984</v>
      </c>
      <c r="D206" s="13"/>
      <c r="E206" s="15" t="str">
        <f>IFERROR(VLOOKUP(C206,기출문제!D:G,3,0),"")</f>
        <v>109. 질적 인력수요 예측기법에 해당하지 않는 것은?
① 브레인스토밍법
② 명목집단법
③ 시나리오 기법
④ 자격요건 분석법
⑤ 노동과학적 기법</v>
      </c>
      <c r="F206" s="31">
        <f>IFERROR(VLOOKUP(C206,기출문제!D:G,4,0),"")</f>
        <v>5</v>
      </c>
      <c r="G206" s="32" t="str">
        <f t="shared" si="3"/>
        <v/>
      </c>
    </row>
    <row r="207" spans="2:7" ht="85.5" x14ac:dyDescent="0.3">
      <c r="B207" s="13">
        <v>200</v>
      </c>
      <c r="C207" s="14" t="s">
        <v>985</v>
      </c>
      <c r="D207" s="13"/>
      <c r="E207" s="15" t="str">
        <f>IFERROR(VLOOKUP(C207,기출문제!D:G,3,0),"")</f>
        <v>110. 종업원 선발을 위한 면접에 관한 설명으로 옳은 것은?
① 비구조화 면접은 표준화된 질문지를 사용한다.
② 집단 면접의 경우 맥락효과(context effect)가 발생할 수 있다.
③ 면접의 신뢰성과 타당성을 높이기 위해 면접내용 개발 단계에서 면접관이나 경영진을 배제한다.
④ 위원회 면접은 한명의 면접자가 여러 명의 피면접자를 평가하는 방식이다.
⑤ 스트레스 면접은 여러 시기에 걸쳐 여러 사람이 면접하는 방식이다.</v>
      </c>
      <c r="F207" s="31">
        <f>IFERROR(VLOOKUP(C207,기출문제!D:G,4,0),"")</f>
        <v>2</v>
      </c>
      <c r="G207" s="32" t="str">
        <f t="shared" si="3"/>
        <v/>
      </c>
    </row>
    <row r="208" spans="2:7" ht="85.5" x14ac:dyDescent="0.3">
      <c r="B208" s="13">
        <v>201</v>
      </c>
      <c r="C208" s="14" t="s">
        <v>986</v>
      </c>
      <c r="D208" s="13"/>
      <c r="E208" s="15" t="str">
        <f>IFERROR(VLOOKUP(C208,기출문제!D:G,3,0),"")</f>
        <v>111. 노사관계에 관한 설명으로 옳지 않은 것은?
① 좁은 의미의 노사관계는 집단적 노사관계를 의미한다.
② 메인트넌스 숍(maintenance shop)은 조합원이 아닌 종업원에게도 노동조합비를 징수하는 제도이다.
③ 우리나라 노동조합의 조직형태는 기업별 노조가 대부분이다.
④ 사용자는 노동조합의 파업에 대응하여 직장을 폐쇄할 수 있다.
⑤ 채용이후 자동적으로 노동조합에 가입하는 제도는 유니온 숍(union shop)이다.</v>
      </c>
      <c r="F208" s="31">
        <f>IFERROR(VLOOKUP(C208,기출문제!D:G,4,0),"")</f>
        <v>2</v>
      </c>
      <c r="G208" s="32" t="str">
        <f t="shared" si="3"/>
        <v/>
      </c>
    </row>
    <row r="209" spans="2:7" ht="85.5" x14ac:dyDescent="0.3">
      <c r="B209" s="13">
        <v>202</v>
      </c>
      <c r="C209" s="14" t="s">
        <v>987</v>
      </c>
      <c r="D209" s="13"/>
      <c r="E209" s="15" t="str">
        <f>IFERROR(VLOOKUP(C209,기출문제!D:G,3,0),"")</f>
        <v>112. 시장세분화에 관한 설명으로 옳지 않은 것은?
① 세분화된 시장 내에서는 이질성이 극대화 되도록 해야 한다.
② 효과적인 시장세분화를 위해서는 시장의 규모가 측정 가능해야 한다.
③ 나이, 성별, 소득은 인구통계학적 세분화 기준에 속한다.
④ 제품사용 상황, 추구편익은 행동적 세분화 기준에 속한다.
⑤ 라이프스타일, 성격은 심리도식적 세분화 기준에 속한다.</v>
      </c>
      <c r="F209" s="31">
        <f>IFERROR(VLOOKUP(C209,기출문제!D:G,4,0),"")</f>
        <v>1</v>
      </c>
      <c r="G209" s="32" t="str">
        <f t="shared" si="3"/>
        <v/>
      </c>
    </row>
    <row r="210" spans="2:7" ht="85.5" x14ac:dyDescent="0.3">
      <c r="B210" s="13">
        <v>203</v>
      </c>
      <c r="C210" s="14" t="s">
        <v>988</v>
      </c>
      <c r="D210" s="13"/>
      <c r="E210" s="15" t="str">
        <f>IFERROR(VLOOKUP(C210,기출문제!D:G,3,0),"")</f>
        <v>113. A 사가 프린터를 저렴하게 판매한 후, 그 프린터의 토너를 비싼 가격으로 결정하는 방법은?
① 종속제품 가격결정(captive product pricing)
② 묶음 가격결정(bundle pricing)
③ 단수 가격결정(odd pricing)
④ 침투 가격결정(penetration pricing)
⑤ 스키밍 가격결정(skimming pricing)</v>
      </c>
      <c r="F210" s="31">
        <f>IFERROR(VLOOKUP(C210,기출문제!D:G,4,0),"")</f>
        <v>1</v>
      </c>
      <c r="G210" s="32" t="str">
        <f t="shared" si="3"/>
        <v/>
      </c>
    </row>
    <row r="211" spans="2:7" ht="85.5" x14ac:dyDescent="0.3">
      <c r="B211" s="13">
        <v>204</v>
      </c>
      <c r="C211" s="14" t="s">
        <v>989</v>
      </c>
      <c r="D211" s="13"/>
      <c r="E211" s="15" t="str">
        <f>IFERROR(VLOOKUP(C211,기출문제!D:G,3,0),"")</f>
        <v>114. 제품 구성요소 중 유형제품(tangible product)에 해당하는 것은?
① 보증(guarantee)
② 상표명(brand name)
③ 대금결제방식(payment)
④ 배달(delivery)
⑤ 애프터 서비스(after service)</v>
      </c>
      <c r="F211" s="31">
        <f>IFERROR(VLOOKUP(C211,기출문제!D:G,4,0),"")</f>
        <v>2</v>
      </c>
      <c r="G211" s="32" t="str">
        <f t="shared" si="3"/>
        <v/>
      </c>
    </row>
    <row r="212" spans="2:7" ht="128.25" x14ac:dyDescent="0.3">
      <c r="B212" s="13">
        <v>205</v>
      </c>
      <c r="C212" s="14" t="s">
        <v>990</v>
      </c>
      <c r="D212" s="13"/>
      <c r="E212" s="15" t="str">
        <f>IFERROR(VLOOKUP(C212,기출문제!D:G,3,0),"")</f>
        <v>115. 다음에서 증권시장선(SML)을 이용하여 A 주식의 균형기대수익률을 구한 값은?
○ 무위험이자율: 5%
○ 시장포트폴리오 기대수익률: 10%
○ A 주식의 베타: 1.2
① 5%
② 7%
③ 9%
④ 11%
⑤ 13%</v>
      </c>
      <c r="F212" s="31">
        <f>IFERROR(VLOOKUP(C212,기출문제!D:G,4,0),"")</f>
        <v>4</v>
      </c>
      <c r="G212" s="32" t="str">
        <f t="shared" si="3"/>
        <v/>
      </c>
    </row>
    <row r="213" spans="2:7" ht="85.5" x14ac:dyDescent="0.3">
      <c r="B213" s="13">
        <v>206</v>
      </c>
      <c r="C213" s="14" t="s">
        <v>991</v>
      </c>
      <c r="D213" s="13"/>
      <c r="E213" s="15" t="str">
        <f>IFERROR(VLOOKUP(C213,기출문제!D:G,3,0),"")</f>
        <v>116. 자본자산가격결정모형(CAPM)의 가정으로 옳지 않은 것은?
① 투자자는 위험회피형 투자자이며 기대효용 극대화를 추구한다.
② 무위험자산이 존재하며, 무위험이자율로 무제한 차입 또는 대출이 가능하다.
③ 세금과 거래비용이 존재하는 불완전 자본시장이다.
④ 투자자는 평균 - 분산 기준에 따라 포트폴리오를 선택한다.
⑤ 모든 투자자는 투자대상의 미래 수익률의 확률분포에 대하여 동질적 예측을 한다.</v>
      </c>
      <c r="F213" s="31">
        <f>IFERROR(VLOOKUP(C213,기출문제!D:G,4,0),"")</f>
        <v>3</v>
      </c>
      <c r="G213" s="32" t="str">
        <f t="shared" si="3"/>
        <v/>
      </c>
    </row>
    <row r="214" spans="2:7" ht="142.5" x14ac:dyDescent="0.3">
      <c r="B214" s="13">
        <v>207</v>
      </c>
      <c r="C214" s="14" t="s">
        <v>670</v>
      </c>
      <c r="D214" s="13"/>
      <c r="E214" s="15" t="str">
        <f>IFERROR(VLOOKUP(C214,기출문제!D:G,3,0),"")</f>
        <v>117. 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
① ㄱ, ㄴ
② ㄴ, ㄷ
③ ㄱ, ㄹ
④ ㄷ, ㄹ
⑤ ㄴ, ㄷ, ㄹ</v>
      </c>
      <c r="F214" s="31">
        <f>IFERROR(VLOOKUP(C214,기출문제!D:G,4,0),"")</f>
        <v>3</v>
      </c>
      <c r="G214" s="32" t="str">
        <f t="shared" si="3"/>
        <v/>
      </c>
    </row>
    <row r="215" spans="2:7" ht="85.5" x14ac:dyDescent="0.3">
      <c r="B215" s="13">
        <v>208</v>
      </c>
      <c r="C215" s="14" t="s">
        <v>992</v>
      </c>
      <c r="D215" s="13"/>
      <c r="E215" s="15" t="str">
        <f>IFERROR(VLOOKUP(C215,기출문제!D:G,3,0),"")</f>
        <v>118. 유동비율 = (A) / 유동부채 × 100, 자기자본순이익률(ROE) = (1 + 부채비율) × (B)일 때, 각각 옳게 짝지어진 것은?
① A: 유동자산, B: 총자본순이익률
② A: 유동자산, B: 매출액순이익률
③ A: 유동자산, B: 총자본회전율
④ A: 유형자산, B: 총자본회전율
⑤ A: 유형자산, B: 매출액영업이익률</v>
      </c>
      <c r="F215" s="31">
        <f>IFERROR(VLOOKUP(C215,기출문제!D:G,4,0),"")</f>
        <v>1</v>
      </c>
      <c r="G215" s="32" t="str">
        <f t="shared" si="3"/>
        <v/>
      </c>
    </row>
    <row r="216" spans="2:7" ht="85.5" x14ac:dyDescent="0.3">
      <c r="B216" s="13">
        <v>209</v>
      </c>
      <c r="C216" s="14" t="s">
        <v>993</v>
      </c>
      <c r="D216" s="13"/>
      <c r="E216" s="15" t="str">
        <f>IFERROR(VLOOKUP(C216,기출문제!D:G,3,0),"")</f>
        <v>119. 회계감사의 감사의견에 포함되지 않는 것은?
① 적정 의견
② 부적정 의견
③ 한정 의견
④ 불한정 의견
⑤ 의견 거절</v>
      </c>
      <c r="F216" s="31">
        <f>IFERROR(VLOOKUP(C216,기출문제!D:G,4,0),"")</f>
        <v>4</v>
      </c>
      <c r="G216" s="32" t="str">
        <f t="shared" si="3"/>
        <v/>
      </c>
    </row>
    <row r="217" spans="2:7" ht="85.5" x14ac:dyDescent="0.3">
      <c r="B217" s="13">
        <v>210</v>
      </c>
      <c r="C217" s="14" t="s">
        <v>994</v>
      </c>
      <c r="D217" s="13"/>
      <c r="E217" s="15" t="str">
        <f>IFERROR(VLOOKUP(C217,기출문제!D:G,3,0),"")</f>
        <v>120. 자본 항목에 해당하는 것은?
① 이익잉여금
② 사채
③ 영업권
④ 미수수익
⑤ 선수수익</v>
      </c>
      <c r="F217" s="31">
        <f>IFERROR(VLOOKUP(C217,기출문제!D:G,4,0),"")</f>
        <v>1</v>
      </c>
      <c r="G217" s="32" t="str">
        <f t="shared" si="3"/>
        <v/>
      </c>
    </row>
    <row r="218" spans="2:7" ht="114" x14ac:dyDescent="0.3">
      <c r="B218" s="13">
        <v>211</v>
      </c>
      <c r="C218" s="14" t="s">
        <v>995</v>
      </c>
      <c r="D218" s="13"/>
      <c r="E218" s="15" t="str">
        <f>IFERROR(VLOOKUP(C218,기출문제!D:G,3,0),"")</f>
        <v>21. 최근 3개월 자료로 가중이동평균법을 적용할 때, 5월의 예측생산량은? (단, 가중치는 0.5, 0.3, 0.2를 적용한다.)
○ 구분                  1월    2월    3월    4월
○ 제품생산량(개)   90만  70만  90만  110만
① 87만개
② 90만개
③ 93만개
④ 96만개
⑤ 99만개</v>
      </c>
      <c r="F218" s="31">
        <f>IFERROR(VLOOKUP(C218,기출문제!D:G,4,0),"")</f>
        <v>4</v>
      </c>
      <c r="G218" s="32" t="str">
        <f t="shared" si="3"/>
        <v/>
      </c>
    </row>
    <row r="219" spans="2:7" ht="114" x14ac:dyDescent="0.3">
      <c r="B219" s="13">
        <v>212</v>
      </c>
      <c r="C219" s="14" t="s">
        <v>996</v>
      </c>
      <c r="D219" s="13"/>
      <c r="E219" s="15" t="str">
        <f>IFERROR(VLOOKUP(C219,기출문제!D:G,3,0),"")</f>
        <v>122. 다음이 설명하는 기법은?
○ 비구조적인 문제를 다루는데 유용하다.
○ 경험을 체계화하고 정형화하여 해결책을 발견한다.
① 팀 빌딩
② 휴리스틱
③ 군집분석
④ 회귀분석
⑤ 선형계획법</v>
      </c>
      <c r="F219" s="31">
        <f>IFERROR(VLOOKUP(C219,기출문제!D:G,4,0),"")</f>
        <v>2</v>
      </c>
      <c r="G219" s="32" t="str">
        <f t="shared" si="3"/>
        <v/>
      </c>
    </row>
    <row r="220" spans="2:7" ht="85.5" x14ac:dyDescent="0.3">
      <c r="B220" s="13">
        <v>213</v>
      </c>
      <c r="C220" s="14" t="s">
        <v>997</v>
      </c>
      <c r="D220" s="13"/>
      <c r="E220" s="15" t="str">
        <f>IFERROR(VLOOKUP(C220,기출문제!D:G,3,0),"")</f>
        <v>123. 전사적 자원관리(ERP) 도입의 효과가 아닌 것은?
① 신기술 수용 및 활용
② 사업장 및 업무통합
③ 고객 이미지 개선
④ 정보 적시 제공
⑤ 업무프로세스 복잡화</v>
      </c>
      <c r="F220" s="31">
        <f>IFERROR(VLOOKUP(C220,기출문제!D:G,4,0),"")</f>
        <v>5</v>
      </c>
      <c r="G220" s="32" t="str">
        <f t="shared" si="3"/>
        <v/>
      </c>
    </row>
    <row r="221" spans="2:7" ht="85.5" x14ac:dyDescent="0.3">
      <c r="B221" s="13">
        <v>214</v>
      </c>
      <c r="C221" s="14" t="s">
        <v>998</v>
      </c>
      <c r="D221" s="13"/>
      <c r="E221" s="15" t="str">
        <f>IFERROR(VLOOKUP(C221,기출문제!D:G,3,0),"")</f>
        <v>124. 모바일 비즈니스의 특성으로 옳지 않은 것은?
① 편재성
② 접근성
③ 고정성
④ 편리성
⑤ 접속성</v>
      </c>
      <c r="F221" s="31">
        <f>IFERROR(VLOOKUP(C221,기출문제!D:G,4,0),"")</f>
        <v>3</v>
      </c>
      <c r="G221" s="32" t="str">
        <f t="shared" si="3"/>
        <v/>
      </c>
    </row>
    <row r="222" spans="2:7" ht="142.5" x14ac:dyDescent="0.3">
      <c r="B222" s="13">
        <v>215</v>
      </c>
      <c r="C222" s="14" t="s">
        <v>999</v>
      </c>
      <c r="D222" s="13"/>
      <c r="E222" s="15" t="str">
        <f>IFERROR(VLOOKUP(C222,기출문제!D:G,3,0),"")</f>
        <v>125. 빅데이터(big data)의 기본적 특성(3V)으로 옳은 것을 모두 고른 것은?
ㄱ. 거대한 양(Volume)
ㄴ. 모호성(Vagueness)
ㄷ. 다양한 형태(Variety)
ㄹ. 생성 속도(Velocity)
① ㄱ, ㄴ
② ㄴ, ㄷ
③ ㄱ, ㄴ, ㄹ
④ ㄱ, ㄷ, ㄹ
⑤ ㄴ, ㄷ, ㄹ</v>
      </c>
      <c r="F222" s="31">
        <f>IFERROR(VLOOKUP(C222,기출문제!D:G,4,0),"")</f>
        <v>4</v>
      </c>
      <c r="G222" s="32" t="str">
        <f t="shared" si="3"/>
        <v/>
      </c>
    </row>
    <row r="223" spans="2:7" ht="85.5" x14ac:dyDescent="0.3">
      <c r="B223" s="13">
        <v>216</v>
      </c>
      <c r="C223" s="14" t="s">
        <v>276</v>
      </c>
      <c r="D223" s="13"/>
      <c r="E223" s="15" t="str">
        <f>IFERROR(VLOOKUP(C223,기출문제!D:G,3,0),"")</f>
        <v>101. 막스 베버(Max Weber)가 제시한 관료제이론의 주요 내용이 아닌 것은?
① 규정에 따른 직무배정과 직무수행
② 능력과 과업에 따른 선발과 승진
③ 상황적합적 관리
④ 계층에 의한 관리
⑤ 규칙과 문서에 의한 관리</v>
      </c>
      <c r="F223" s="31">
        <f>IFERROR(VLOOKUP(C223,기출문제!D:G,4,0),"")</f>
        <v>3</v>
      </c>
      <c r="G223" s="32" t="str">
        <f t="shared" si="3"/>
        <v/>
      </c>
    </row>
    <row r="224" spans="2:7" ht="85.5" x14ac:dyDescent="0.3">
      <c r="B224" s="13">
        <v>217</v>
      </c>
      <c r="C224" s="14" t="s">
        <v>1000</v>
      </c>
      <c r="D224" s="13"/>
      <c r="E224" s="15" t="str">
        <f>IFERROR(VLOOKUP(C224,기출문제!D:G,3,0),"")</f>
        <v>102. 매슬로우(A. H. Maslow)가 제시한 욕구단계이론의 내용이 아닌 것은?
① 권한위임에 대한 욕구
② 신체적 안전에 대한 욕구
③ 소속감이나 애정에 대한 욕구
④ 의식주에 대한 욕구
⑤ 존경받고 싶은 욕구</v>
      </c>
      <c r="F224" s="31">
        <f>IFERROR(VLOOKUP(C224,기출문제!D:G,4,0),"")</f>
        <v>1</v>
      </c>
      <c r="G224" s="32" t="str">
        <f t="shared" si="3"/>
        <v/>
      </c>
    </row>
    <row r="225" spans="2:7" ht="114" x14ac:dyDescent="0.3">
      <c r="B225" s="13">
        <v>218</v>
      </c>
      <c r="C225" s="14" t="s">
        <v>1001</v>
      </c>
      <c r="D225" s="13"/>
      <c r="E225" s="15" t="str">
        <f>IFERROR(VLOOKUP(C225,기출문제!D:G,3,0),"")</f>
        <v>103. 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
① 학습조직(Learning Organization)
② 다운사이징(Downsizing)
③ 리스트럭처링(Restructuring)
④ 리엔지니어링(Reengineering)
⑤ 6시그마(Six Sigma)</v>
      </c>
      <c r="F225" s="31">
        <f>IFERROR(VLOOKUP(C225,기출문제!D:G,4,0),"")</f>
        <v>5</v>
      </c>
      <c r="G225" s="32" t="str">
        <f t="shared" si="3"/>
        <v/>
      </c>
    </row>
    <row r="226" spans="2:7" ht="85.5" x14ac:dyDescent="0.3">
      <c r="B226" s="13">
        <v>219</v>
      </c>
      <c r="C226" s="14" t="s">
        <v>1002</v>
      </c>
      <c r="D226" s="13"/>
      <c r="E226" s="15" t="str">
        <f>IFERROR(VLOOKUP(C226,기출문제!D:G,3,0),"")</f>
        <v>104. 브릭스(BRICs)로 일컬어지는 신흥경제권 국가가 아닌 것은?
① 인도
② 캐나다
③ 러시아
④ 브라질
⑤ 중국</v>
      </c>
      <c r="F226" s="31">
        <f>IFERROR(VLOOKUP(C226,기출문제!D:G,4,0),"")</f>
        <v>2</v>
      </c>
      <c r="G226" s="32" t="str">
        <f t="shared" si="3"/>
        <v/>
      </c>
    </row>
    <row r="227" spans="2:7" ht="85.5" x14ac:dyDescent="0.3">
      <c r="B227" s="13">
        <v>220</v>
      </c>
      <c r="C227" s="14" t="s">
        <v>1003</v>
      </c>
      <c r="D227" s="13"/>
      <c r="E227" s="15" t="str">
        <f>IFERROR(VLOOKUP(C227,기출문제!D:G,3,0),"")</f>
        <v>105. 임금수준의 관리에 관한 설명으로 옳지 않은 것은?
① 대외적 공정성을 확보하기 위해서는 노동시장의 임금수준 파악이 필요하다.
② 기업의 임금 지불능력을 파악하는 기준으로 생산성과 수익성을 들 수 있다.
③ 임금수준 결정 시 선도전략은 유능한 종업원을 유인하는 효과가 크다.
④ 임금수준의 관리는 적정성의 원칙을 지향한다.
⑤ 임금수준의 하한선은 기업의 지불능력에 의하여 결정된다.</v>
      </c>
      <c r="F227" s="31">
        <f>IFERROR(VLOOKUP(C227,기출문제!D:G,4,0),"")</f>
        <v>5</v>
      </c>
      <c r="G227" s="32" t="str">
        <f t="shared" si="3"/>
        <v/>
      </c>
    </row>
    <row r="228" spans="2:7" ht="156.75" x14ac:dyDescent="0.3">
      <c r="B228" s="13">
        <v>221</v>
      </c>
      <c r="C228" s="14" t="s">
        <v>1004</v>
      </c>
      <c r="D228" s="13"/>
      <c r="E228" s="15" t="str">
        <f>IFERROR(VLOOKUP(C228,기출문제!D:G,3,0),"")</f>
        <v>106. 허츠버그(F. Herzberg)의 2요인이론에서 동기요인을 모두 고른 것은?
ㄱ. 상사와의 관계
ㄴ. 성취
ㄷ. 회사 정책 및 관리방침
ㄹ. 작업조건
ㅁ. 인정
① ㄱ, ㄴ
② ㄱ, ㅁ
③ ㄴ, ㄷ
④ ㄴ, ㅁ
⑤ ㄹ, ㅁ</v>
      </c>
      <c r="F228" s="31">
        <f>IFERROR(VLOOKUP(C228,기출문제!D:G,4,0),"")</f>
        <v>4</v>
      </c>
      <c r="G228" s="32" t="str">
        <f t="shared" si="3"/>
        <v/>
      </c>
    </row>
    <row r="229" spans="2:7" ht="114" x14ac:dyDescent="0.3">
      <c r="B229" s="13">
        <v>222</v>
      </c>
      <c r="C229" s="14" t="s">
        <v>1005</v>
      </c>
      <c r="D229" s="13"/>
      <c r="E229" s="15" t="str">
        <f>IFERROR(VLOOKUP(C229,기출문제!D:G,3,0),"")</f>
        <v>107. 다음 설명에 해당하는 인사평가기법은?
○ 평가자가 피평가자의 일상 작업생활에 대한 관찰 등을 통해 특별히 효과적이거나 비효과적인 행동, 업적 등을 기록하고 이를 평가시점에 정리하여 평가하는 기법
① 서열법
② 평정척도법
③ 체크리스트법
④ 중요사건기술법
⑤ 강제선택서술법</v>
      </c>
      <c r="F229" s="31">
        <f>IFERROR(VLOOKUP(C229,기출문제!D:G,4,0),"")</f>
        <v>4</v>
      </c>
      <c r="G229" s="32" t="str">
        <f t="shared" si="3"/>
        <v/>
      </c>
    </row>
    <row r="230" spans="2:7" ht="114" x14ac:dyDescent="0.3">
      <c r="B230" s="13">
        <v>223</v>
      </c>
      <c r="C230" s="14" t="s">
        <v>1006</v>
      </c>
      <c r="D230" s="13"/>
      <c r="E230" s="15" t="str">
        <f>IFERROR(VLOOKUP(C230,기출문제!D:G,3,0),"")</f>
        <v>108. 다음 설명에 해당하는 것은?
○ 전환배치 시 해당 종업원의 '능력(적성)-직무-시간' 이라는 세 가지 측면을 모두 고려하여 이들 간의 적합성을 극대화시켜야 된다는 원칙
① 연공주의
② 균형주의
③ 상향이동주의
④ 인재육성주의
⑤ 적재적소적시주의</v>
      </c>
      <c r="F230" s="31">
        <f>IFERROR(VLOOKUP(C230,기출문제!D:G,4,0),"")</f>
        <v>5</v>
      </c>
      <c r="G230" s="32" t="str">
        <f t="shared" si="3"/>
        <v/>
      </c>
    </row>
    <row r="231" spans="2:7" ht="85.5" x14ac:dyDescent="0.3">
      <c r="B231" s="13">
        <v>224</v>
      </c>
      <c r="C231" s="14" t="s">
        <v>1007</v>
      </c>
      <c r="D231" s="13"/>
      <c r="E231" s="15" t="str">
        <f>IFERROR(VLOOKUP(C231,기출문제!D:G,3,0),"")</f>
        <v>109. 인간관계론에 해당하는 내용은?
① 기획업무와 집행업무를 분리시킴으로써 계획과 통제의 개념 확립
② 시간 및 동작 연구를 통하여 표준 과업량 설정
③ 자연발생적으로 형성된 비공식 조직의 존재 인식
④ 과업에 적합한 근로자 선발 및 교육훈련 방법 고안
⑤ 전문기능별 책임자가 작업에 대한 분업적 지도 수행</v>
      </c>
      <c r="F231" s="31">
        <f>IFERROR(VLOOKUP(C231,기출문제!D:G,4,0),"")</f>
        <v>3</v>
      </c>
      <c r="G231" s="32" t="str">
        <f t="shared" si="3"/>
        <v/>
      </c>
    </row>
    <row r="232" spans="2:7" ht="85.5" x14ac:dyDescent="0.3">
      <c r="B232" s="13">
        <v>225</v>
      </c>
      <c r="C232" s="14" t="s">
        <v>1008</v>
      </c>
      <c r="D232" s="13"/>
      <c r="E232" s="15" t="str">
        <f>IFERROR(VLOOKUP(C232,기출문제!D:G,3,0),"")</f>
        <v>110. 직무기술서에 포함되는 사항이 아닌 것은?
① 요구되는 지식
② 작업 조건
③ 직무수행의 절차
④ 수행되는 과업
⑤ 직무수행의 방법</v>
      </c>
      <c r="F232" s="31">
        <f>IFERROR(VLOOKUP(C232,기출문제!D:G,4,0),"")</f>
        <v>1</v>
      </c>
      <c r="G232" s="32" t="str">
        <f t="shared" si="3"/>
        <v/>
      </c>
    </row>
    <row r="233" spans="2:7" ht="85.5" x14ac:dyDescent="0.3">
      <c r="B233" s="13">
        <v>226</v>
      </c>
      <c r="C233" s="14" t="s">
        <v>1009</v>
      </c>
      <c r="D233" s="13"/>
      <c r="E233" s="15" t="str">
        <f>IFERROR(VLOOKUP(C233,기출문제!D:G,3,0),"")</f>
        <v>111. 프렌치(J.R.P. French)와 레이븐(B. Raven)이 구분한 5가지 권력 유형이 아닌 것은?
① 합법적 권력
② 기회적 권력
③ 강제적 권력
④ 보상적 권력
⑤ 준거적 권력</v>
      </c>
      <c r="F233" s="31">
        <f>IFERROR(VLOOKUP(C233,기출문제!D:G,4,0),"")</f>
        <v>2</v>
      </c>
      <c r="G233" s="32" t="str">
        <f t="shared" si="3"/>
        <v/>
      </c>
    </row>
    <row r="234" spans="2:7" ht="99.75" x14ac:dyDescent="0.3">
      <c r="B234" s="13">
        <v>227</v>
      </c>
      <c r="C234" s="14" t="s">
        <v>1010</v>
      </c>
      <c r="D234" s="13"/>
      <c r="E234" s="15" t="str">
        <f>IFERROR(VLOOKUP(C234,기출문제!D:G,3,0),"")</f>
        <v>112. 다음 설명에 해당하는 지각 오류는?
○ 어떤 대상(개인)으로부터 얻은 일부 정보가 다른 부분의 여러 정보들을 해석할 때 영향을 미치는 것
① 자존적 편견
② 후광효과
③ 투사
④ 통제의 환상
⑤ 대조효과</v>
      </c>
      <c r="F234" s="31">
        <f>IFERROR(VLOOKUP(C234,기출문제!D:G,4,0),"")</f>
        <v>2</v>
      </c>
      <c r="G234" s="32" t="str">
        <f t="shared" si="3"/>
        <v/>
      </c>
    </row>
    <row r="235" spans="2:7" ht="85.5" x14ac:dyDescent="0.3">
      <c r="B235" s="13">
        <v>228</v>
      </c>
      <c r="C235" s="14" t="s">
        <v>1011</v>
      </c>
      <c r="D235" s="13"/>
      <c r="E235" s="15" t="str">
        <f>IFERROR(VLOOKUP(C235,기출문제!D:G,3,0),"")</f>
        <v>113. 보스턴 컨설팅 그룹(BCG)의 사업 포트폴리오 매트릭스에 관한 설명으로 옳은 것은?
① 산업의 매력도와 사업의 강점을 기준으로 분류한다.
② 물음표(Question Mark)에 속해 있는 사업단위는 투자가 필요하나 성장가능성은 낮다.
③ 개(Dog)에 속해 있는 사업단위는 확대전략이 필수적이다.
④ 별(Star)에 속해 있는 사업단위는 철수나 매각이 필수적이다.
⑤ 자금젖소(Cash Cow)에 속해 있는 사업단위는 수익이 높고 안정적이다.</v>
      </c>
      <c r="F235" s="31">
        <f>IFERROR(VLOOKUP(C235,기출문제!D:G,4,0),"")</f>
        <v>5</v>
      </c>
      <c r="G235" s="32" t="str">
        <f t="shared" si="3"/>
        <v/>
      </c>
    </row>
    <row r="236" spans="2:7" ht="85.5" x14ac:dyDescent="0.3">
      <c r="B236" s="13">
        <v>229</v>
      </c>
      <c r="C236" s="14" t="s">
        <v>1012</v>
      </c>
      <c r="D236" s="13"/>
      <c r="E236" s="15" t="str">
        <f>IFERROR(VLOOKUP(C236,기출문제!D:G,3,0),"")</f>
        <v>114. 마케팅 커뮤티케이션 활동인 촉진믹스(Promotion Mix)의 구성요소와 관련이 없는 것은?
① 선별적 유통점포 개설
② 구매시점 진열
③ PR(Public Relastions)
④ 광고
⑤ 인적판매</v>
      </c>
      <c r="F236" s="31">
        <f>IFERROR(VLOOKUP(C236,기출문제!D:G,4,0),"")</f>
        <v>1</v>
      </c>
      <c r="G236" s="32" t="str">
        <f t="shared" si="3"/>
        <v/>
      </c>
    </row>
    <row r="237" spans="2:7" ht="85.5" x14ac:dyDescent="0.3">
      <c r="B237" s="13">
        <v>230</v>
      </c>
      <c r="C237" s="14" t="s">
        <v>1013</v>
      </c>
      <c r="D237" s="13"/>
      <c r="E237" s="15" t="str">
        <f>IFERROR(VLOOKUP(C237,기출문제!D:G,3,0),"")</f>
        <v>115. 소비자들의 구매의사 결정과정을 순서대로 바르게 나열한 것은?
① 정보탐색 → 필요인식 → 대안평가 → 구매 → 구매 후 행동
② 정보탐색 → 필요인식 → 구매 → 대안평가 → 구매 후 행동
③ 정보탐색 → 대안평가 → 필요인식 → 구매 → 구매 후 행동
④ 필요인식 → 정보탐색 → 대안평가 → 구매 → 구매 후 행동
⑤ 대안평가 → 정보탐색 → 필요인식 → 구매 → 구매 후 행동</v>
      </c>
      <c r="F237" s="31">
        <f>IFERROR(VLOOKUP(C237,기출문제!D:G,4,0),"")</f>
        <v>4</v>
      </c>
      <c r="G237" s="32" t="str">
        <f t="shared" si="3"/>
        <v/>
      </c>
    </row>
    <row r="238" spans="2:7" ht="85.5" x14ac:dyDescent="0.3">
      <c r="B238" s="13">
        <v>231</v>
      </c>
      <c r="C238" s="14" t="s">
        <v>1014</v>
      </c>
      <c r="D238" s="13"/>
      <c r="E238" s="15" t="str">
        <f>IFERROR(VLOOKUP(C238,기출문제!D:G,3,0),"")</f>
        <v>116. 제품구매에 대한 심리적 불편을 겪게 되는 인지부조화(Cognitive Dissonance)에 관한 설명으로 옳은 것은?
① 반품이나 환불이 가능할 때 많이 발생한다.
② 구매제품의 만족수준에 정비례하여 발생한다.
③ 고관여 제품에서 많이 발생한다.
④ 제품구매 전에 경험하는 긴장감과 걱정의 감정을 뜻한다.
⑤ 사후서비스(A/S)가 좋을수록 많이 발생한다.</v>
      </c>
      <c r="F238" s="31">
        <f>IFERROR(VLOOKUP(C238,기출문제!D:G,4,0),"")</f>
        <v>3</v>
      </c>
      <c r="G238" s="32" t="str">
        <f t="shared" si="3"/>
        <v/>
      </c>
    </row>
    <row r="239" spans="2:7" ht="85.5" x14ac:dyDescent="0.3">
      <c r="B239" s="13">
        <v>232</v>
      </c>
      <c r="C239" s="14" t="s">
        <v>1015</v>
      </c>
      <c r="D239" s="13"/>
      <c r="E239" s="15" t="str">
        <f>IFERROR(VLOOKUP(C239,기출문제!D:G,3,0),"")</f>
        <v>117. 총자산회전율의 산식은?
① 매출액/매출채권
② 매출액/총자산
③ 순이익/자기자본
④ 총자산/매출액
⑤ 자기자본/순이기</v>
      </c>
      <c r="F239" s="31">
        <f>IFERROR(VLOOKUP(C239,기출문제!D:G,4,0),"")</f>
        <v>2</v>
      </c>
      <c r="G239" s="32" t="str">
        <f t="shared" si="3"/>
        <v/>
      </c>
    </row>
    <row r="240" spans="2:7" ht="85.5" x14ac:dyDescent="0.3">
      <c r="B240" s="13">
        <v>233</v>
      </c>
      <c r="C240" s="14" t="s">
        <v>1016</v>
      </c>
      <c r="D240" s="13"/>
      <c r="E240" s="15" t="str">
        <f>IFERROR(VLOOKUP(C240,기출문제!D:G,3,0),"")</f>
        <v>118. 주식에 관한 설명으로 옳지 않은 것은?
① 기업의 이익 중 일부를 주주에게 분배하는 것을 배당이라 한다.
② 기업은 발행한 보통주에 대한 상환의무를 갖지 않는다.
③ 주식은 자금조달이 필요한 경우 추가로 발행될 수 있다.
④ 모든 주식은 채권과 달리 액면가가 없다.
⑤ 주주는 투자한 금액 내에서 유한책임을 진다.</v>
      </c>
      <c r="F240" s="31">
        <f>IFERROR(VLOOKUP(C240,기출문제!D:G,4,0),"")</f>
        <v>4</v>
      </c>
      <c r="G240" s="32" t="str">
        <f t="shared" si="3"/>
        <v/>
      </c>
    </row>
    <row r="241" spans="2:7" ht="85.5" x14ac:dyDescent="0.3">
      <c r="B241" s="13">
        <v>234</v>
      </c>
      <c r="C241" s="14" t="s">
        <v>1017</v>
      </c>
      <c r="D241" s="13"/>
      <c r="E241" s="15" t="str">
        <f>IFERROR(VLOOKUP(C241,기출문제!D:G,3,0),"")</f>
        <v>119. 생산시스템 설계에 해당하는 것은?
① 일정관리
② 시설입지
③ 재고관리
④ 품질관리
⑤ 수요예측</v>
      </c>
      <c r="F241" s="31">
        <f>IFERROR(VLOOKUP(C241,기출문제!D:G,4,0),"")</f>
        <v>2</v>
      </c>
      <c r="G241" s="32" t="str">
        <f t="shared" si="3"/>
        <v/>
      </c>
    </row>
    <row r="242" spans="2:7" ht="85.5" x14ac:dyDescent="0.3">
      <c r="B242" s="13">
        <v>235</v>
      </c>
      <c r="C242" s="14" t="s">
        <v>1018</v>
      </c>
      <c r="D242" s="13"/>
      <c r="E242" s="15" t="str">
        <f>IFERROR(VLOOKUP(C242,기출문제!D:G,3,0),"")</f>
        <v>120. 해리스(F. W. Harris)가 제시한 EOQ(경제적 주문량) 모형의 가정으로 옳은 것은?
① 단일품목만을 대상으로 한다.
② 조달기간은 분기 단위로 변동한다.
③ 수량할인이 적용된다.
④ 연간수요량은 알 수 없다.
⑤ 주문비용은 주문량에 정비례한다.</v>
      </c>
      <c r="F242" s="31">
        <f>IFERROR(VLOOKUP(C242,기출문제!D:G,4,0),"")</f>
        <v>1</v>
      </c>
      <c r="G242" s="32" t="str">
        <f t="shared" si="3"/>
        <v/>
      </c>
    </row>
    <row r="243" spans="2:7" ht="142.5" x14ac:dyDescent="0.3">
      <c r="B243" s="13">
        <v>236</v>
      </c>
      <c r="C243" s="14" t="s">
        <v>1019</v>
      </c>
      <c r="D243" s="13"/>
      <c r="E243" s="15" t="str">
        <f>IFERROR(VLOOKUP(C243,기출문제!D:G,3,0),"")</f>
        <v>121. 다음자료를 이용하여 당기순이익을 구하면? (단, 회계기간은 1월 1일부터 12월 31일까지이다.)
○ 영업이익     :  300,000원
○ 이자비용     :    10,000원
○ 영업외수익  :    50,000원
○ 법인세비용  :    15,000원
① 275,000원
② 290,000원
③ 325,000원
④ 335,000원
⑤ 340,000원</v>
      </c>
      <c r="F243" s="31">
        <f>IFERROR(VLOOKUP(C243,기출문제!D:G,4,0),"")</f>
        <v>3</v>
      </c>
      <c r="G243" s="32" t="str">
        <f t="shared" si="3"/>
        <v/>
      </c>
    </row>
    <row r="244" spans="2:7" ht="128.25" x14ac:dyDescent="0.3">
      <c r="B244" s="13">
        <v>237</v>
      </c>
      <c r="C244" s="14" t="s">
        <v>1020</v>
      </c>
      <c r="D244" s="13"/>
      <c r="E244" s="15" t="str">
        <f>IFERROR(VLOOKUP(C244,기출문제!D:G,3,0),"")</f>
        <v>122. 다음과 같은 조건에서 손익분기점에 도달하기 위한 팬매수량(단위)은?
○ 단위당 판매가격   :        20,000원
○ 단위당 변동기      :        14,000원
○ 총고정비              : 48,000,000원
① 5,000
② 6,000
③ 7,000
④ 8,000
⑤ 9,000</v>
      </c>
      <c r="F244" s="31">
        <f>IFERROR(VLOOKUP(C244,기출문제!D:G,4,0),"")</f>
        <v>4</v>
      </c>
      <c r="G244" s="32" t="str">
        <f t="shared" si="3"/>
        <v/>
      </c>
    </row>
    <row r="245" spans="2:7" ht="85.5" x14ac:dyDescent="0.3">
      <c r="B245" s="13">
        <v>238</v>
      </c>
      <c r="C245" s="14" t="s">
        <v>1021</v>
      </c>
      <c r="D245" s="13"/>
      <c r="E245" s="15" t="str">
        <f>IFERROR(VLOOKUP(C245,기출문제!D:G,3,0),"")</f>
        <v>123. 경영정보시스템의 분석 및 설계 과정에서 수행하는 작업이 아닌 것은?
① 입력 자료의 내용, 양식, 형태, 분량 분석
② 출력물의 양식, 내용, 분량, 출력주기 정의
③ 시스템 테스트를 위한 테이터 준비, 시스템 수정
④ 자료가 출력되기 위해 필요한 수식연산, 비교연산, 논리연산 설계
⑤ 데이터베이스 구조 및 특성, 자료처리 분량 및 속도, 레코드 및 파일 구조 명세화</v>
      </c>
      <c r="F245" s="31">
        <f>IFERROR(VLOOKUP(C245,기출문제!D:G,4,0),"")</f>
        <v>3</v>
      </c>
      <c r="G245" s="32" t="str">
        <f t="shared" si="3"/>
        <v/>
      </c>
    </row>
    <row r="246" spans="2:7" ht="85.5" x14ac:dyDescent="0.3">
      <c r="B246" s="13">
        <v>239</v>
      </c>
      <c r="C246" s="14" t="s">
        <v>1022</v>
      </c>
      <c r="D246" s="13"/>
      <c r="E246" s="15" t="str">
        <f>IFERROR(VLOOKUP(C246,기출문제!D:G,3,0),"")</f>
        <v>124. 빅데이터 기술에 관한 설명으로 옳지 않은 것은?
① 관계형 데이터베이스인 NoSQL, Hbase 등을 분석에 활용한다.
② 구조화되지 않은 데이터도 분석 대상으로 한다.
③ 많은 양의 정보를 처리한다.
④ 빠르게 변화하거나 증가하는 데이터도 분석이 가능하다.
⑤ 제조업, 금융업, 유통업 등 다양한 분야에 활용된다.</v>
      </c>
      <c r="F246" s="31">
        <f>IFERROR(VLOOKUP(C246,기출문제!D:G,4,0),"")</f>
        <v>1</v>
      </c>
      <c r="G246" s="32" t="str">
        <f t="shared" si="3"/>
        <v/>
      </c>
    </row>
    <row r="247" spans="2:7" ht="99.75" x14ac:dyDescent="0.3">
      <c r="B247" s="13">
        <v>240</v>
      </c>
      <c r="C247" s="14" t="s">
        <v>1023</v>
      </c>
      <c r="D247" s="13"/>
      <c r="E247" s="15" t="str">
        <f>IFERROR(VLOOKUP(C247,기출문제!D:G,3,0),"")</f>
        <v>125. 다음에서 설명하는 것은?
○ 기업의 자재, 회계, 구매, 생산, 판매, 인사 등 모든 업무의 흐름을 효율적으로 지원하기 위한 통합정보 시스템
① CRM
② SCM
③ DSS
④ KMS
⑤ ERP</v>
      </c>
      <c r="F247" s="31">
        <f>IFERROR(VLOOKUP(C247,기출문제!D:G,4,0),"")</f>
        <v>5</v>
      </c>
      <c r="G247" s="32" t="str">
        <f t="shared" si="3"/>
        <v/>
      </c>
    </row>
    <row r="248" spans="2:7" ht="85.5" x14ac:dyDescent="0.3">
      <c r="B248" s="13">
        <v>241</v>
      </c>
      <c r="C248" s="14" t="s">
        <v>318</v>
      </c>
      <c r="D248" s="13"/>
      <c r="E248" s="15" t="str">
        <f>IFERROR(VLOOKUP(C248,기출문제!D:G,3,0),"")</f>
        <v>101. 포터(M. Porter)의 가치사슬모델에서 주요 활동에 해당하지 않는 것은?
① 운영・제조
② 입고・출고
③ 고객서비스
④ 영업・마케팅
⑤ 인적자원관리</v>
      </c>
      <c r="F248" s="31">
        <f>IFERROR(VLOOKUP(C248,기출문제!D:G,4,0),"")</f>
        <v>5</v>
      </c>
      <c r="G248" s="32" t="str">
        <f t="shared" si="3"/>
        <v/>
      </c>
    </row>
    <row r="249" spans="2:7" ht="85.5" x14ac:dyDescent="0.3">
      <c r="B249" s="13">
        <v>242</v>
      </c>
      <c r="C249" s="14" t="s">
        <v>1024</v>
      </c>
      <c r="D249" s="13"/>
      <c r="E249" s="15" t="str">
        <f>IFERROR(VLOOKUP(C249,기출문제!D:G,3,0),"")</f>
        <v>102. BCG의 성장-점유율 매트릭스에서 시장성장률은 낮고 상대적 시장점유율이 높은 영역은?
① Dog
② Star
③ Cash Cow
④ Problem Child
⑤ Question Mark</v>
      </c>
      <c r="F249" s="31">
        <f>IFERROR(VLOOKUP(C249,기출문제!D:G,4,0),"")</f>
        <v>3</v>
      </c>
      <c r="G249" s="32" t="str">
        <f t="shared" si="3"/>
        <v/>
      </c>
    </row>
    <row r="250" spans="2:7" ht="85.5" x14ac:dyDescent="0.3">
      <c r="B250" s="13">
        <v>243</v>
      </c>
      <c r="C250" s="14" t="s">
        <v>1025</v>
      </c>
      <c r="D250" s="13"/>
      <c r="E250" s="15" t="str">
        <f>IFERROR(VLOOKUP(C250,기출문제!D:G,3,0),"")</f>
        <v>103. 테일러(F. Taylor)의 과학적 관리의 특징으로 옳지 않은 것은?
① 과업관리
② 작업지도표 제도
③ 차별적 성과급제
④ 기능식 직장제도
⑤ 컨베이어 시스템</v>
      </c>
      <c r="F250" s="31">
        <f>IFERROR(VLOOKUP(C250,기출문제!D:G,4,0),"")</f>
        <v>5</v>
      </c>
      <c r="G250" s="32" t="str">
        <f t="shared" si="3"/>
        <v/>
      </c>
    </row>
    <row r="251" spans="2:7" ht="85.5" x14ac:dyDescent="0.3">
      <c r="B251" s="13">
        <v>244</v>
      </c>
      <c r="C251" s="14" t="s">
        <v>1026</v>
      </c>
      <c r="D251" s="13"/>
      <c r="E251" s="15" t="str">
        <f>IFERROR(VLOOKUP(C251,기출문제!D:G,3,0),"")</f>
        <v>104. 임금관리에 관한 설명으로 옳지 않은 것은?
① 임금체계는 공정성이 중요한 관심사이다.
② 연공급은 근속연수를 기준으로 임금을 차등화하는 제도이다.
③ 직무급은 직무의 표준화와 전문화가 선행되어야 한다.
④ 직능급은 동일 직무를 수행하면 동일 임금을 지급한다.
⑤ 임금수준을 결정하는 주요 요인에는 기업의 지불능력과 생산성 등이 있다.</v>
      </c>
      <c r="F251" s="31">
        <f>IFERROR(VLOOKUP(C251,기출문제!D:G,4,0),"")</f>
        <v>4</v>
      </c>
      <c r="G251" s="32" t="str">
        <f t="shared" si="3"/>
        <v/>
      </c>
    </row>
    <row r="252" spans="2:7" ht="85.5" x14ac:dyDescent="0.3">
      <c r="B252" s="13">
        <v>245</v>
      </c>
      <c r="C252" s="14" t="s">
        <v>1027</v>
      </c>
      <c r="D252" s="13"/>
      <c r="E252" s="15" t="str">
        <f>IFERROR(VLOOKUP(C252,기출문제!D:G,3,0),"")</f>
        <v>105. 수단성(instrumentality) 및 유의성(valence)을 포함한 동기부여이론은?
① 기대이론(expectancy theory)
② 2요인이론(two factor theory)
③ 강화이론(reinforcement theory)
④ 목표설정이론(goal setting theory)
⑤ 인지평가이론(cognitive evaluation theory)</v>
      </c>
      <c r="F252" s="31">
        <f>IFERROR(VLOOKUP(C252,기출문제!D:G,4,0),"")</f>
        <v>1</v>
      </c>
      <c r="G252" s="32" t="str">
        <f t="shared" si="3"/>
        <v/>
      </c>
    </row>
    <row r="253" spans="2:7" ht="85.5" x14ac:dyDescent="0.3">
      <c r="B253" s="13">
        <v>246</v>
      </c>
      <c r="C253" s="14" t="s">
        <v>1028</v>
      </c>
      <c r="D253" s="13"/>
      <c r="E253" s="15" t="str">
        <f>IFERROR(VLOOKUP(C253,기출문제!D:G,3,0),"")</f>
        <v>106. 델파이기법에 관한 설명으로 옳지 않은 것은?
① 전문가들을 두 그룹으로 나누어 진행한다.
② 많은 전문가들의 의견을 취합하여 재조정 과정을 거친다.
③ 의사결정 및 의견개진 과정에서 타인의 압력이 배제된다.
④ 전문가들을 공식적으로 소집하여 한 장소에 모이게 할 필요가 없다.
⑤ 미래의 불확실성에 대한 의사결정 및 장기예측에 좋은 방법이다.</v>
      </c>
      <c r="F253" s="31">
        <f>IFERROR(VLOOKUP(C253,기출문제!D:G,4,0),"")</f>
        <v>1</v>
      </c>
      <c r="G253" s="32" t="str">
        <f t="shared" si="3"/>
        <v/>
      </c>
    </row>
    <row r="254" spans="2:7" ht="85.5" x14ac:dyDescent="0.3">
      <c r="B254" s="13">
        <v>247</v>
      </c>
      <c r="C254" s="14" t="s">
        <v>1029</v>
      </c>
      <c r="D254" s="13"/>
      <c r="E254" s="15" t="str">
        <f>IFERROR(VLOOKUP(C254,기출문제!D:G,3,0),"")</f>
        <v>107. 선발시험 합격자들의 시험성적과 입사 후 일정 기간이 지나서 이들이 달성한 직무성과와의 상관관계를 측정하는 지표는?
① 신뢰도
② 대비효과
③ 현재타당도
④ 내용타당도
⑤ 예측타당도</v>
      </c>
      <c r="F254" s="31">
        <f>IFERROR(VLOOKUP(C254,기출문제!D:G,4,0),"")</f>
        <v>5</v>
      </c>
      <c r="G254" s="32" t="str">
        <f t="shared" si="3"/>
        <v/>
      </c>
    </row>
    <row r="255" spans="2:7" ht="85.5" x14ac:dyDescent="0.3">
      <c r="B255" s="13">
        <v>248</v>
      </c>
      <c r="C255" s="14" t="s">
        <v>1030</v>
      </c>
      <c r="D255" s="13"/>
      <c r="E255" s="15" t="str">
        <f>IFERROR(VLOOKUP(C255,기출문제!D:G,3,0),"")</f>
        <v>108. Big 5 모델에서 제시하는 다섯 가지 성격요소가 아닌 것은?
① 개방성(openness)
② 객관성(objectivity)
③ 외향성(extraversion)
④ 성실성(conscientiousness)
⑤ 정서적 안정성(emotional stability)</v>
      </c>
      <c r="F255" s="31">
        <f>IFERROR(VLOOKUP(C255,기출문제!D:G,4,0),"")</f>
        <v>2</v>
      </c>
      <c r="G255" s="32" t="str">
        <f t="shared" si="3"/>
        <v/>
      </c>
    </row>
    <row r="256" spans="2:7" ht="85.5" x14ac:dyDescent="0.3">
      <c r="B256" s="13">
        <v>249</v>
      </c>
      <c r="C256" s="14" t="s">
        <v>1031</v>
      </c>
      <c r="D256" s="13"/>
      <c r="E256" s="15" t="str">
        <f>IFERROR(VLOOKUP(C256,기출문제!D:G,3,0),"")</f>
        <v>109. Communication에서 전달된 메시지를 자신에게 주는 의미로 변환시키는 사고 과정은?
① 잡음(noise)
② 해독(decoding)
③ 반응(response)
④ 부호화(encoding)
⑤ 피드백(feedback)</v>
      </c>
      <c r="F256" s="31">
        <f>IFERROR(VLOOKUP(C256,기출문제!D:G,4,0),"")</f>
        <v>2</v>
      </c>
      <c r="G256" s="32" t="str">
        <f t="shared" si="3"/>
        <v/>
      </c>
    </row>
    <row r="257" spans="2:7" ht="114" x14ac:dyDescent="0.3">
      <c r="B257" s="13">
        <v>250</v>
      </c>
      <c r="C257" s="14" t="s">
        <v>1032</v>
      </c>
      <c r="D257" s="13"/>
      <c r="E257" s="15" t="str">
        <f>IFERROR(VLOOKUP(C257,기출문제!D:G,3,0),"")</f>
        <v>110. 다음 주장에 해당하는 이론은?
ㄱ. 조직의 생존을 위해 이해관계자들로부터 정당성을 얻는 것이 중요하다.
ㄴ. 동일 산업내의 조직형태 및 경영관행 등이 유사성을 보이는 것은 조직들이 서로 모방하기 때문이다.
① 대리인이론
② 제도화이론
③ 자원의존이론
④ 조직군생태학이론
⑤ 협력적네트워크이론</v>
      </c>
      <c r="F257" s="31">
        <f>IFERROR(VLOOKUP(C257,기출문제!D:G,4,0),"")</f>
        <v>2</v>
      </c>
      <c r="G257" s="32" t="str">
        <f t="shared" si="3"/>
        <v/>
      </c>
    </row>
    <row r="258" spans="2:7" ht="85.5" x14ac:dyDescent="0.3">
      <c r="B258" s="13">
        <v>251</v>
      </c>
      <c r="C258" s="14" t="s">
        <v>1033</v>
      </c>
      <c r="D258" s="13"/>
      <c r="E258" s="15" t="str">
        <f>IFERROR(VLOOKUP(C258,기출문제!D:G,3,0),"")</f>
        <v>111. 조합원 및 비조합원 모두에게 조합비를 징수하는 shop제도는?
① open shop
② closed shop
③ agency shop
④ preferential shop
⑤ maintenance shop</v>
      </c>
      <c r="F258" s="31">
        <f>IFERROR(VLOOKUP(C258,기출문제!D:G,4,0),"")</f>
        <v>3</v>
      </c>
      <c r="G258" s="32" t="str">
        <f t="shared" si="3"/>
        <v/>
      </c>
    </row>
    <row r="259" spans="2:7" ht="85.5" x14ac:dyDescent="0.3">
      <c r="B259" s="13">
        <v>252</v>
      </c>
      <c r="C259" s="14" t="s">
        <v>1034</v>
      </c>
      <c r="D259" s="13"/>
      <c r="E259" s="15" t="str">
        <f>IFERROR(VLOOKUP(C259,기출문제!D:G,3,0),"")</f>
        <v>112. 표적시장에 관한 설명으로 옳지 않은 것은?
① 단일표적시장에는 집중적 마케팅전략을 구사한다.
② 다수표적시장에는 순환적 마케팅전략을 구사한다.
③ 통합표적시장에는 역세분화 마케팅전략을 구사한다.
④ 인적, 물적, 기술적 자원이 부족한 기업은 보통 집중적 마케팅전략을 구사한다.
⑤ 세분시장 평가 시에는 세분시장의 매력도, 기업의 목표와 자원 등을 고려해야 한다.</v>
      </c>
      <c r="F259" s="31">
        <f>IFERROR(VLOOKUP(C259,기출문제!D:G,4,0),"")</f>
        <v>2</v>
      </c>
      <c r="G259" s="32" t="str">
        <f t="shared" si="3"/>
        <v/>
      </c>
    </row>
    <row r="260" spans="2:7" ht="85.5" x14ac:dyDescent="0.3">
      <c r="B260" s="13">
        <v>253</v>
      </c>
      <c r="C260" s="14" t="s">
        <v>1035</v>
      </c>
      <c r="D260" s="13"/>
      <c r="E260" s="15" t="str">
        <f>IFERROR(VLOOKUP(C260,기출문제!D:G,3,0),"")</f>
        <v>113. 전형적인 제품수명주기(PLC)에 관한 설명으로 옳지 않은 것은?
① 도입기, 성장기, 성숙기, 쇠퇴기의 4단계로 나누어진다.
② 성장기에는 제품선호형 광고에서 정보제공형 광고로 전환한다.
③ 도입기에는 제품인지도를 높이기 위해 광고비가 많이 소요된다.
④ 성숙기에는 제품의 매출성장률이 점차적으로 둔화되기 시작한다.
⑤ 쇠퇴기에는 제품에 대해 유지전략, 수확전략, 철수전략 등을 고려할 수 있다.</v>
      </c>
      <c r="F260" s="31">
        <f>IFERROR(VLOOKUP(C260,기출문제!D:G,4,0),"")</f>
        <v>2</v>
      </c>
      <c r="G260" s="32" t="str">
        <f t="shared" si="3"/>
        <v/>
      </c>
    </row>
    <row r="261" spans="2:7" ht="99.75" x14ac:dyDescent="0.3">
      <c r="B261" s="13">
        <v>254</v>
      </c>
      <c r="C261" s="14" t="s">
        <v>1036</v>
      </c>
      <c r="D261" s="13"/>
      <c r="E261" s="15" t="str">
        <f>IFERROR(VLOOKUP(C261,기출문제!D:G,3,0),"")</f>
        <v>114. 통합적 마케팅 커뮤니케이션에 관한 설명 중 옳지 않은 것은?
① 강화광고는 기존 사용자에게 브랜드에 대한 확신과 만족도를 높여 준다.
② 가족 브랜딩(family branding)은 개별 브랜딩과는 달리 한 제품을 촉진하면 나머지 제품도 촉진된다는 이점이 있다.
③ 촉진에서 풀(pull) 정책은 제품에 대한 강한 수요를 유발할 목적으로 광고나 판매촉진 등을 활용하는 정책이다.
④ PR은 조직의 이해관계자들에게 호의적인 인상을 심어주기 위하여 홍보, 후원, 이벤트, 웹사이트 등을 사용하는 커뮤니케이션 방법이다.
⑤ 버즈(buzz) 마케팅은 소비자에게 메시지를 빨리 전파할 수 있게 이메일이나 모바일을 통하여 메시지를 공유한다.</v>
      </c>
      <c r="F261" s="31">
        <f>IFERROR(VLOOKUP(C261,기출문제!D:G,4,0),"")</f>
        <v>5</v>
      </c>
      <c r="G261" s="32" t="str">
        <f t="shared" si="3"/>
        <v/>
      </c>
    </row>
    <row r="262" spans="2:7" ht="85.5" x14ac:dyDescent="0.3">
      <c r="B262" s="13">
        <v>255</v>
      </c>
      <c r="C262" s="14" t="s">
        <v>1037</v>
      </c>
      <c r="D262" s="13"/>
      <c r="E262" s="15" t="str">
        <f>IFERROR(VLOOKUP(C262,기출문제!D:G,3,0),"")</f>
        <v>115. 투자안의 순현가를 0으로 만드는 수익률(할인율)은?
① 초과수익률
② 실질수익률
③ 경상수익률
④ 내부수익률
⑤ 명목수익률</v>
      </c>
      <c r="F262" s="31">
        <f>IFERROR(VLOOKUP(C262,기출문제!D:G,4,0),"")</f>
        <v>4</v>
      </c>
      <c r="G262" s="32" t="str">
        <f t="shared" si="3"/>
        <v/>
      </c>
    </row>
    <row r="263" spans="2:7" ht="85.5" x14ac:dyDescent="0.3">
      <c r="B263" s="13">
        <v>256</v>
      </c>
      <c r="C263" s="14" t="s">
        <v>1038</v>
      </c>
      <c r="D263" s="13"/>
      <c r="E263" s="15" t="str">
        <f>IFERROR(VLOOKUP(C263,기출문제!D:G,3,0),"")</f>
        <v>116. 매출액순이익률이 2%이고 총자본회전율이 5인 기업의 총자본순이익률은?
① 1%
② 2.5%
③ 5%
④ 7%
⑤ 10%</v>
      </c>
      <c r="F263" s="31">
        <f>IFERROR(VLOOKUP(C263,기출문제!D:G,4,0),"")</f>
        <v>5</v>
      </c>
      <c r="G263" s="32" t="str">
        <f t="shared" si="3"/>
        <v/>
      </c>
    </row>
    <row r="264" spans="2:7" ht="85.5" x14ac:dyDescent="0.3">
      <c r="B264" s="13">
        <v>257</v>
      </c>
      <c r="C264" s="14" t="s">
        <v>1039</v>
      </c>
      <c r="D264" s="13"/>
      <c r="E264" s="15" t="str">
        <f>IFERROR(VLOOKUP(C264,기출문제!D:G,3,0),"")</f>
        <v>117. 매년 말 200만원을 영원히 지급받는 영구연금의 현재가치는? (단, 연간이자율은 10%)
① 1,400만원
② 1,600만원
③ 1,800만원
④ 2,000만원
⑤ 2,200만원</v>
      </c>
      <c r="F264" s="31">
        <f>IFERROR(VLOOKUP(C264,기출문제!D:G,4,0),"")</f>
        <v>4</v>
      </c>
      <c r="G264" s="32" t="str">
        <f t="shared" si="3"/>
        <v/>
      </c>
    </row>
    <row r="265" spans="2:7" ht="99.75" x14ac:dyDescent="0.3">
      <c r="B265" s="13">
        <v>258</v>
      </c>
      <c r="C265" s="14" t="s">
        <v>1040</v>
      </c>
      <c r="D265" s="13"/>
      <c r="E265" s="15" t="str">
        <f>IFERROR(VLOOKUP(C265,기출문제!D:G,3,0),"")</f>
        <v>118. A기업은 1년간 400개의 부품을 사용한다. 부품가격은 개당 1,000원, 주문비용은 회당 10,000원, 단위당 연간 재고유지비용은 부품가격의 20%라면 이 부품의 경제적 주문량(EOQ)은?
① 100개
② 150개
③ 200개
④ 250개
⑤ 300개</v>
      </c>
      <c r="F265" s="31">
        <f>IFERROR(VLOOKUP(C265,기출문제!D:G,4,0),"")</f>
        <v>3</v>
      </c>
      <c r="G265" s="32" t="str">
        <f t="shared" ref="G265:G328" si="4">IF(D265="","",IF(D265=F265,"O", "X"))</f>
        <v/>
      </c>
    </row>
    <row r="266" spans="2:7" ht="85.5" x14ac:dyDescent="0.3">
      <c r="B266" s="13">
        <v>259</v>
      </c>
      <c r="C266" s="14" t="s">
        <v>1041</v>
      </c>
      <c r="D266" s="13"/>
      <c r="E266" s="15" t="str">
        <f>IFERROR(VLOOKUP(C266,기출문제!D:G,3,0),"")</f>
        <v>119. 생산관리의 전형적인 목표(과업)로 옳지 않은 것은?
① 촉진강화
② 품질향상
③ 원가절감
④ 납기준수
⑤ 유연성제고</v>
      </c>
      <c r="F266" s="31">
        <f>IFERROR(VLOOKUP(C266,기출문제!D:G,4,0),"")</f>
        <v>1</v>
      </c>
      <c r="G266" s="32" t="str">
        <f t="shared" si="4"/>
        <v/>
      </c>
    </row>
    <row r="267" spans="2:7" ht="85.5" x14ac:dyDescent="0.3">
      <c r="B267" s="13">
        <v>260</v>
      </c>
      <c r="C267" s="14" t="s">
        <v>1042</v>
      </c>
      <c r="D267" s="13"/>
      <c r="E267" s="15" t="str">
        <f>IFERROR(VLOOKUP(C267,기출문제!D:G,3,0),"")</f>
        <v>120. JIT(Just-in-time) 시스템의 특징으로 옳지 않은 것은?
① 푸쉬(push) 방식이다.
② 필요한 만큼의 자재만을 생산한다.
③ 공급자와 긴밀한 관계를 유지한다.
④ 가능한 한 소량 로트(lot) 크기를 사용하여 재고를 관리한다.
⑤ 생산지시와 자재이동을 가시적으로 통제하기 위한 방법으로 간판(Kanban)을 사용한다.</v>
      </c>
      <c r="F267" s="31">
        <f>IFERROR(VLOOKUP(C267,기출문제!D:G,4,0),"")</f>
        <v>1</v>
      </c>
      <c r="G267" s="32" t="str">
        <f t="shared" si="4"/>
        <v/>
      </c>
    </row>
    <row r="268" spans="2:7" ht="85.5" x14ac:dyDescent="0.3">
      <c r="B268" s="13">
        <v>261</v>
      </c>
      <c r="C268" s="14" t="s">
        <v>1043</v>
      </c>
      <c r="D268" s="13"/>
      <c r="E268" s="15" t="str">
        <f>IFERROR(VLOOKUP(C268,기출문제!D:G,3,0),"")</f>
        <v>121. 내용연수를 기준으로 초기에 비용을 많이 계상하는 감가상각방법은?
① 정액법
② 정률법
③ 선입선출법
④ 후입선출법
⑤ 저가법</v>
      </c>
      <c r="F268" s="31">
        <f>IFERROR(VLOOKUP(C268,기출문제!D:G,4,0),"")</f>
        <v>2</v>
      </c>
      <c r="G268" s="32" t="str">
        <f t="shared" si="4"/>
        <v/>
      </c>
    </row>
    <row r="269" spans="2:7" ht="85.5" x14ac:dyDescent="0.3">
      <c r="B269" s="13">
        <v>262</v>
      </c>
      <c r="C269" s="14" t="s">
        <v>1044</v>
      </c>
      <c r="D269" s="13"/>
      <c r="E269" s="15" t="str">
        <f>IFERROR(VLOOKUP(C269,기출문제!D:G,3,0),"")</f>
        <v>122. 액면가액 5,000원인 주식 100주를 발행하여 회사를 설립할 경우 올바른 분개는?
① (차) 현금 500,000 / (대) 부채 500,000
② (차) 자본금 500,000 / (대) 부채 500,000
③ (차) 자본금 500,000 / (대) 현금 500,000
④ (차) 현금 500,000 / (대) 자본금 500,000
⑤ (차) 부채 500,000 / (대) 자본금 500,000</v>
      </c>
      <c r="F269" s="31">
        <f>IFERROR(VLOOKUP(C269,기출문제!D:G,4,0),"")</f>
        <v>4</v>
      </c>
      <c r="G269" s="32" t="str">
        <f t="shared" si="4"/>
        <v/>
      </c>
    </row>
    <row r="270" spans="2:7" ht="85.5" x14ac:dyDescent="0.3">
      <c r="B270" s="13">
        <v>263</v>
      </c>
      <c r="C270" s="14" t="s">
        <v>1045</v>
      </c>
      <c r="D270" s="13"/>
      <c r="E270" s="15" t="str">
        <f>IFERROR(VLOOKUP(C270,기출문제!D:G,3,0),"")</f>
        <v>123. 재무상태표에서 비유동자산에 해당하는 계정과목은?
① 영업권
② 매입채무
③ 매출채권
④ 자기주식
⑤ 법정적립금</v>
      </c>
      <c r="F270" s="31">
        <f>IFERROR(VLOOKUP(C270,기출문제!D:G,4,0),"")</f>
        <v>1</v>
      </c>
      <c r="G270" s="32" t="str">
        <f t="shared" si="4"/>
        <v/>
      </c>
    </row>
    <row r="271" spans="2:7" ht="99.75" x14ac:dyDescent="0.3">
      <c r="B271" s="13">
        <v>264</v>
      </c>
      <c r="C271" s="14" t="s">
        <v>1046</v>
      </c>
      <c r="D271" s="13"/>
      <c r="E271" s="15" t="str">
        <f>IFERROR(VLOOKUP(C271,기출문제!D:G,3,0),"")</f>
        <v>124. 데이터 중복을 최소화하고 무결성을 극대화하며, 최상의 성능을 달성할 수 있도록 관계형 데이터베이스를 분석하고 효율화하는 과정을 지칭하는 용어는?
① 통합화(integration)
② 최적화(optimization)
③ 정규화(normalization)
④ 집중화(centralization)
⑤ 표준화(standardization)</v>
      </c>
      <c r="F271" s="31">
        <f>IFERROR(VLOOKUP(C271,기출문제!D:G,4,0),"")</f>
        <v>3</v>
      </c>
      <c r="G271" s="32" t="str">
        <f t="shared" si="4"/>
        <v/>
      </c>
    </row>
    <row r="272" spans="2:7" ht="99.75" x14ac:dyDescent="0.3">
      <c r="B272" s="13">
        <v>265</v>
      </c>
      <c r="C272" s="14" t="s">
        <v>1047</v>
      </c>
      <c r="D272" s="13"/>
      <c r="E272" s="15" t="str">
        <f>IFERROR(VLOOKUP(C272,기출문제!D:G,3,0),"")</f>
        <v>125. USB는 컴퓨터와 주변장치(키보드, 마우스, 메모리스틱 등)를 연결하는 장치이다. 여기서, USB는 U=Universal, S=Serial, B=( )의 약자이다. 괄호 안에 들어갈 단어는?
① Bit
② Bus
③ Box
④ Boot
⑤ Base</v>
      </c>
      <c r="F272" s="31">
        <f>IFERROR(VLOOKUP(C272,기출문제!D:G,4,0),"")</f>
        <v>2</v>
      </c>
      <c r="G272" s="32" t="str">
        <f t="shared" si="4"/>
        <v/>
      </c>
    </row>
    <row r="273" spans="2:7" x14ac:dyDescent="0.3">
      <c r="B273" s="13">
        <v>266</v>
      </c>
      <c r="C273" s="14" t="s">
        <v>766</v>
      </c>
      <c r="D273" s="13"/>
      <c r="E273" s="15" t="str">
        <f>IFERROR(VLOOKUP(C273,기출문제!D:G,3,0),"")</f>
        <v/>
      </c>
      <c r="F273" s="31" t="str">
        <f>IFERROR(VLOOKUP(C273,기출문제!D:G,4,0),"")</f>
        <v/>
      </c>
      <c r="G273" s="32" t="str">
        <f t="shared" si="4"/>
        <v/>
      </c>
    </row>
    <row r="274" spans="2:7" x14ac:dyDescent="0.3">
      <c r="B274" s="13">
        <v>267</v>
      </c>
      <c r="C274" s="14" t="s">
        <v>766</v>
      </c>
      <c r="D274" s="13"/>
      <c r="E274" s="15" t="str">
        <f>IFERROR(VLOOKUP(C274,기출문제!D:G,3,0),"")</f>
        <v/>
      </c>
      <c r="F274" s="31" t="str">
        <f>IFERROR(VLOOKUP(C274,기출문제!D:G,4,0),"")</f>
        <v/>
      </c>
      <c r="G274" s="32" t="str">
        <f t="shared" si="4"/>
        <v/>
      </c>
    </row>
    <row r="275" spans="2:7" x14ac:dyDescent="0.3">
      <c r="B275" s="13">
        <v>268</v>
      </c>
      <c r="C275" s="14" t="s">
        <v>766</v>
      </c>
      <c r="D275" s="13"/>
      <c r="E275" s="15" t="str">
        <f>IFERROR(VLOOKUP(C275,기출문제!D:G,3,0),"")</f>
        <v/>
      </c>
      <c r="F275" s="31" t="str">
        <f>IFERROR(VLOOKUP(C275,기출문제!D:G,4,0),"")</f>
        <v/>
      </c>
      <c r="G275" s="32" t="str">
        <f t="shared" si="4"/>
        <v/>
      </c>
    </row>
    <row r="276" spans="2:7" x14ac:dyDescent="0.3">
      <c r="B276" s="13">
        <v>269</v>
      </c>
      <c r="C276" s="14" t="s">
        <v>766</v>
      </c>
      <c r="D276" s="13"/>
      <c r="E276" s="15" t="str">
        <f>IFERROR(VLOOKUP(C276,기출문제!D:G,3,0),"")</f>
        <v/>
      </c>
      <c r="F276" s="31" t="str">
        <f>IFERROR(VLOOKUP(C276,기출문제!D:G,4,0),"")</f>
        <v/>
      </c>
      <c r="G276" s="32" t="str">
        <f t="shared" si="4"/>
        <v/>
      </c>
    </row>
    <row r="277" spans="2:7" x14ac:dyDescent="0.3">
      <c r="B277" s="13">
        <v>270</v>
      </c>
      <c r="C277" s="14" t="s">
        <v>766</v>
      </c>
      <c r="D277" s="13"/>
      <c r="E277" s="15" t="str">
        <f>IFERROR(VLOOKUP(C277,기출문제!D:G,3,0),"")</f>
        <v/>
      </c>
      <c r="F277" s="31" t="str">
        <f>IFERROR(VLOOKUP(C277,기출문제!D:G,4,0),"")</f>
        <v/>
      </c>
      <c r="G277" s="32" t="str">
        <f t="shared" si="4"/>
        <v/>
      </c>
    </row>
    <row r="278" spans="2:7" x14ac:dyDescent="0.3">
      <c r="B278" s="13">
        <v>271</v>
      </c>
      <c r="C278" s="14" t="s">
        <v>766</v>
      </c>
      <c r="D278" s="13"/>
      <c r="E278" s="15" t="str">
        <f>IFERROR(VLOOKUP(C278,기출문제!D:G,3,0),"")</f>
        <v/>
      </c>
      <c r="F278" s="31" t="str">
        <f>IFERROR(VLOOKUP(C278,기출문제!D:G,4,0),"")</f>
        <v/>
      </c>
      <c r="G278" s="32" t="str">
        <f t="shared" si="4"/>
        <v/>
      </c>
    </row>
    <row r="279" spans="2:7" x14ac:dyDescent="0.3">
      <c r="B279" s="13">
        <v>272</v>
      </c>
      <c r="C279" s="14" t="s">
        <v>766</v>
      </c>
      <c r="D279" s="13"/>
      <c r="E279" s="15" t="str">
        <f>IFERROR(VLOOKUP(C279,기출문제!D:G,3,0),"")</f>
        <v/>
      </c>
      <c r="F279" s="31" t="str">
        <f>IFERROR(VLOOKUP(C279,기출문제!D:G,4,0),"")</f>
        <v/>
      </c>
      <c r="G279" s="32" t="str">
        <f t="shared" si="4"/>
        <v/>
      </c>
    </row>
    <row r="280" spans="2:7" x14ac:dyDescent="0.3">
      <c r="B280" s="13">
        <v>273</v>
      </c>
      <c r="C280" s="14" t="s">
        <v>766</v>
      </c>
      <c r="D280" s="13"/>
      <c r="E280" s="15" t="str">
        <f>IFERROR(VLOOKUP(C280,기출문제!D:G,3,0),"")</f>
        <v/>
      </c>
      <c r="F280" s="31" t="str">
        <f>IFERROR(VLOOKUP(C280,기출문제!D:G,4,0),"")</f>
        <v/>
      </c>
      <c r="G280" s="32" t="str">
        <f t="shared" si="4"/>
        <v/>
      </c>
    </row>
    <row r="281" spans="2:7" x14ac:dyDescent="0.3">
      <c r="B281" s="13">
        <v>274</v>
      </c>
      <c r="C281" s="14" t="s">
        <v>766</v>
      </c>
      <c r="D281" s="13"/>
      <c r="E281" s="15" t="str">
        <f>IFERROR(VLOOKUP(C281,기출문제!D:G,3,0),"")</f>
        <v/>
      </c>
      <c r="F281" s="31" t="str">
        <f>IFERROR(VLOOKUP(C281,기출문제!D:G,4,0),"")</f>
        <v/>
      </c>
      <c r="G281" s="32" t="str">
        <f t="shared" si="4"/>
        <v/>
      </c>
    </row>
    <row r="282" spans="2:7" x14ac:dyDescent="0.3">
      <c r="B282" s="13">
        <v>275</v>
      </c>
      <c r="C282" s="14" t="s">
        <v>766</v>
      </c>
      <c r="D282" s="13"/>
      <c r="E282" s="15" t="str">
        <f>IFERROR(VLOOKUP(C282,기출문제!D:G,3,0),"")</f>
        <v/>
      </c>
      <c r="F282" s="31" t="str">
        <f>IFERROR(VLOOKUP(C282,기출문제!D:G,4,0),"")</f>
        <v/>
      </c>
      <c r="G282" s="32" t="str">
        <f t="shared" si="4"/>
        <v/>
      </c>
    </row>
    <row r="283" spans="2:7" x14ac:dyDescent="0.3">
      <c r="B283" s="13">
        <v>276</v>
      </c>
      <c r="C283" s="14" t="s">
        <v>766</v>
      </c>
      <c r="D283" s="13"/>
      <c r="E283" s="15" t="str">
        <f>IFERROR(VLOOKUP(C283,기출문제!D:G,3,0),"")</f>
        <v/>
      </c>
      <c r="F283" s="31" t="str">
        <f>IFERROR(VLOOKUP(C283,기출문제!D:G,4,0),"")</f>
        <v/>
      </c>
      <c r="G283" s="32" t="str">
        <f t="shared" si="4"/>
        <v/>
      </c>
    </row>
    <row r="284" spans="2:7" x14ac:dyDescent="0.3">
      <c r="B284" s="13">
        <v>277</v>
      </c>
      <c r="C284" s="14" t="s">
        <v>766</v>
      </c>
      <c r="D284" s="13"/>
      <c r="E284" s="15" t="str">
        <f>IFERROR(VLOOKUP(C284,기출문제!D:G,3,0),"")</f>
        <v/>
      </c>
      <c r="F284" s="31" t="str">
        <f>IFERROR(VLOOKUP(C284,기출문제!D:G,4,0),"")</f>
        <v/>
      </c>
      <c r="G284" s="32" t="str">
        <f t="shared" si="4"/>
        <v/>
      </c>
    </row>
    <row r="285" spans="2:7" x14ac:dyDescent="0.3">
      <c r="B285" s="13">
        <v>278</v>
      </c>
      <c r="C285" s="14" t="s">
        <v>766</v>
      </c>
      <c r="D285" s="13"/>
      <c r="E285" s="15" t="str">
        <f>IFERROR(VLOOKUP(C285,기출문제!D:G,3,0),"")</f>
        <v/>
      </c>
      <c r="F285" s="31" t="str">
        <f>IFERROR(VLOOKUP(C285,기출문제!D:G,4,0),"")</f>
        <v/>
      </c>
      <c r="G285" s="32" t="str">
        <f t="shared" si="4"/>
        <v/>
      </c>
    </row>
    <row r="286" spans="2:7" x14ac:dyDescent="0.3">
      <c r="B286" s="13">
        <v>279</v>
      </c>
      <c r="C286" s="14" t="s">
        <v>766</v>
      </c>
      <c r="D286" s="13"/>
      <c r="E286" s="15" t="str">
        <f>IFERROR(VLOOKUP(C286,기출문제!D:G,3,0),"")</f>
        <v/>
      </c>
      <c r="F286" s="31" t="str">
        <f>IFERROR(VLOOKUP(C286,기출문제!D:G,4,0),"")</f>
        <v/>
      </c>
      <c r="G286" s="32" t="str">
        <f t="shared" si="4"/>
        <v/>
      </c>
    </row>
    <row r="287" spans="2:7" x14ac:dyDescent="0.3">
      <c r="B287" s="13">
        <v>280</v>
      </c>
      <c r="C287" s="14" t="s">
        <v>766</v>
      </c>
      <c r="D287" s="13"/>
      <c r="E287" s="15" t="str">
        <f>IFERROR(VLOOKUP(C287,기출문제!D:G,3,0),"")</f>
        <v/>
      </c>
      <c r="F287" s="31" t="str">
        <f>IFERROR(VLOOKUP(C287,기출문제!D:G,4,0),"")</f>
        <v/>
      </c>
      <c r="G287" s="32" t="str">
        <f t="shared" si="4"/>
        <v/>
      </c>
    </row>
    <row r="288" spans="2:7" x14ac:dyDescent="0.3">
      <c r="B288" s="13">
        <v>281</v>
      </c>
      <c r="C288" s="14" t="s">
        <v>766</v>
      </c>
      <c r="D288" s="13"/>
      <c r="E288" s="15" t="str">
        <f>IFERROR(VLOOKUP(C288,기출문제!D:G,3,0),"")</f>
        <v/>
      </c>
      <c r="F288" s="31" t="str">
        <f>IFERROR(VLOOKUP(C288,기출문제!D:G,4,0),"")</f>
        <v/>
      </c>
      <c r="G288" s="32" t="str">
        <f t="shared" si="4"/>
        <v/>
      </c>
    </row>
    <row r="289" spans="2:7" x14ac:dyDescent="0.3">
      <c r="B289" s="13">
        <v>282</v>
      </c>
      <c r="C289" s="14" t="s">
        <v>766</v>
      </c>
      <c r="D289" s="13"/>
      <c r="E289" s="15" t="str">
        <f>IFERROR(VLOOKUP(C289,기출문제!D:G,3,0),"")</f>
        <v/>
      </c>
      <c r="F289" s="31" t="str">
        <f>IFERROR(VLOOKUP(C289,기출문제!D:G,4,0),"")</f>
        <v/>
      </c>
      <c r="G289" s="32" t="str">
        <f t="shared" si="4"/>
        <v/>
      </c>
    </row>
    <row r="290" spans="2:7" x14ac:dyDescent="0.3">
      <c r="B290" s="13">
        <v>283</v>
      </c>
      <c r="C290" s="14" t="s">
        <v>766</v>
      </c>
      <c r="D290" s="13"/>
      <c r="E290" s="15" t="str">
        <f>IFERROR(VLOOKUP(C290,기출문제!D:G,3,0),"")</f>
        <v/>
      </c>
      <c r="F290" s="31" t="str">
        <f>IFERROR(VLOOKUP(C290,기출문제!D:G,4,0),"")</f>
        <v/>
      </c>
      <c r="G290" s="32" t="str">
        <f t="shared" si="4"/>
        <v/>
      </c>
    </row>
    <row r="291" spans="2:7" x14ac:dyDescent="0.3">
      <c r="B291" s="13">
        <v>284</v>
      </c>
      <c r="C291" s="14" t="s">
        <v>766</v>
      </c>
      <c r="D291" s="13"/>
      <c r="E291" s="15" t="str">
        <f>IFERROR(VLOOKUP(C291,기출문제!D:G,3,0),"")</f>
        <v/>
      </c>
      <c r="F291" s="31" t="str">
        <f>IFERROR(VLOOKUP(C291,기출문제!D:G,4,0),"")</f>
        <v/>
      </c>
      <c r="G291" s="32" t="str">
        <f t="shared" si="4"/>
        <v/>
      </c>
    </row>
    <row r="292" spans="2:7" x14ac:dyDescent="0.3">
      <c r="B292" s="13">
        <v>285</v>
      </c>
      <c r="C292" s="14" t="s">
        <v>766</v>
      </c>
      <c r="D292" s="13"/>
      <c r="E292" s="15" t="str">
        <f>IFERROR(VLOOKUP(C292,기출문제!D:G,3,0),"")</f>
        <v/>
      </c>
      <c r="F292" s="31" t="str">
        <f>IFERROR(VLOOKUP(C292,기출문제!D:G,4,0),"")</f>
        <v/>
      </c>
      <c r="G292" s="32" t="str">
        <f t="shared" si="4"/>
        <v/>
      </c>
    </row>
    <row r="293" spans="2:7" x14ac:dyDescent="0.3">
      <c r="B293" s="13">
        <v>286</v>
      </c>
      <c r="C293" s="14" t="s">
        <v>766</v>
      </c>
      <c r="D293" s="13"/>
      <c r="E293" s="15" t="str">
        <f>IFERROR(VLOOKUP(C293,기출문제!D:G,3,0),"")</f>
        <v/>
      </c>
      <c r="F293" s="31" t="str">
        <f>IFERROR(VLOOKUP(C293,기출문제!D:G,4,0),"")</f>
        <v/>
      </c>
      <c r="G293" s="32" t="str">
        <f t="shared" si="4"/>
        <v/>
      </c>
    </row>
    <row r="294" spans="2:7" x14ac:dyDescent="0.3">
      <c r="B294" s="13">
        <v>287</v>
      </c>
      <c r="C294" s="14" t="s">
        <v>766</v>
      </c>
      <c r="D294" s="13"/>
      <c r="E294" s="15" t="str">
        <f>IFERROR(VLOOKUP(C294,기출문제!D:G,3,0),"")</f>
        <v/>
      </c>
      <c r="F294" s="31" t="str">
        <f>IFERROR(VLOOKUP(C294,기출문제!D:G,4,0),"")</f>
        <v/>
      </c>
      <c r="G294" s="32" t="str">
        <f t="shared" si="4"/>
        <v/>
      </c>
    </row>
    <row r="295" spans="2:7" x14ac:dyDescent="0.3">
      <c r="B295" s="13">
        <v>288</v>
      </c>
      <c r="C295" s="14" t="s">
        <v>766</v>
      </c>
      <c r="D295" s="13"/>
      <c r="E295" s="15" t="str">
        <f>IFERROR(VLOOKUP(C295,기출문제!D:G,3,0),"")</f>
        <v/>
      </c>
      <c r="F295" s="31" t="str">
        <f>IFERROR(VLOOKUP(C295,기출문제!D:G,4,0),"")</f>
        <v/>
      </c>
      <c r="G295" s="32" t="str">
        <f t="shared" si="4"/>
        <v/>
      </c>
    </row>
    <row r="296" spans="2:7" x14ac:dyDescent="0.3">
      <c r="B296" s="13">
        <v>289</v>
      </c>
      <c r="C296" s="14" t="s">
        <v>766</v>
      </c>
      <c r="D296" s="13"/>
      <c r="E296" s="15" t="str">
        <f>IFERROR(VLOOKUP(C296,기출문제!D:G,3,0),"")</f>
        <v/>
      </c>
      <c r="F296" s="31" t="str">
        <f>IFERROR(VLOOKUP(C296,기출문제!D:G,4,0),"")</f>
        <v/>
      </c>
      <c r="G296" s="32" t="str">
        <f t="shared" si="4"/>
        <v/>
      </c>
    </row>
    <row r="297" spans="2:7" x14ac:dyDescent="0.3">
      <c r="B297" s="13">
        <v>290</v>
      </c>
      <c r="C297" s="14" t="s">
        <v>766</v>
      </c>
      <c r="D297" s="13"/>
      <c r="E297" s="15" t="str">
        <f>IFERROR(VLOOKUP(C297,기출문제!D:G,3,0),"")</f>
        <v/>
      </c>
      <c r="F297" s="31" t="str">
        <f>IFERROR(VLOOKUP(C297,기출문제!D:G,4,0),"")</f>
        <v/>
      </c>
      <c r="G297" s="32" t="str">
        <f t="shared" si="4"/>
        <v/>
      </c>
    </row>
    <row r="298" spans="2:7" x14ac:dyDescent="0.3">
      <c r="B298" s="13">
        <v>291</v>
      </c>
      <c r="C298" s="14" t="s">
        <v>766</v>
      </c>
      <c r="D298" s="13"/>
      <c r="E298" s="15" t="str">
        <f>IFERROR(VLOOKUP(C298,기출문제!D:G,3,0),"")</f>
        <v/>
      </c>
      <c r="F298" s="31" t="str">
        <f>IFERROR(VLOOKUP(C298,기출문제!D:G,4,0),"")</f>
        <v/>
      </c>
      <c r="G298" s="32" t="str">
        <f t="shared" si="4"/>
        <v/>
      </c>
    </row>
    <row r="299" spans="2:7" x14ac:dyDescent="0.3">
      <c r="B299" s="13">
        <v>292</v>
      </c>
      <c r="C299" s="14" t="s">
        <v>766</v>
      </c>
      <c r="D299" s="13"/>
      <c r="E299" s="15" t="str">
        <f>IFERROR(VLOOKUP(C299,기출문제!D:G,3,0),"")</f>
        <v/>
      </c>
      <c r="F299" s="31" t="str">
        <f>IFERROR(VLOOKUP(C299,기출문제!D:G,4,0),"")</f>
        <v/>
      </c>
      <c r="G299" s="32" t="str">
        <f t="shared" si="4"/>
        <v/>
      </c>
    </row>
    <row r="300" spans="2:7" x14ac:dyDescent="0.3">
      <c r="B300" s="13">
        <v>293</v>
      </c>
      <c r="C300" s="14" t="s">
        <v>766</v>
      </c>
      <c r="D300" s="13"/>
      <c r="E300" s="15" t="str">
        <f>IFERROR(VLOOKUP(C300,기출문제!D:G,3,0),"")</f>
        <v/>
      </c>
      <c r="F300" s="31" t="str">
        <f>IFERROR(VLOOKUP(C300,기출문제!D:G,4,0),"")</f>
        <v/>
      </c>
      <c r="G300" s="32" t="str">
        <f t="shared" si="4"/>
        <v/>
      </c>
    </row>
    <row r="301" spans="2:7" x14ac:dyDescent="0.3">
      <c r="B301" s="13">
        <v>294</v>
      </c>
      <c r="C301" s="14" t="s">
        <v>766</v>
      </c>
      <c r="D301" s="13"/>
      <c r="E301" s="15" t="str">
        <f>IFERROR(VLOOKUP(C301,기출문제!D:G,3,0),"")</f>
        <v/>
      </c>
      <c r="F301" s="31" t="str">
        <f>IFERROR(VLOOKUP(C301,기출문제!D:G,4,0),"")</f>
        <v/>
      </c>
      <c r="G301" s="32" t="str">
        <f t="shared" si="4"/>
        <v/>
      </c>
    </row>
    <row r="302" spans="2:7" x14ac:dyDescent="0.3">
      <c r="B302" s="13">
        <v>295</v>
      </c>
      <c r="C302" s="14" t="s">
        <v>766</v>
      </c>
      <c r="D302" s="13"/>
      <c r="E302" s="15" t="str">
        <f>IFERROR(VLOOKUP(C302,기출문제!D:G,3,0),"")</f>
        <v/>
      </c>
      <c r="F302" s="31" t="str">
        <f>IFERROR(VLOOKUP(C302,기출문제!D:G,4,0),"")</f>
        <v/>
      </c>
      <c r="G302" s="32" t="str">
        <f t="shared" si="4"/>
        <v/>
      </c>
    </row>
    <row r="303" spans="2:7" x14ac:dyDescent="0.3">
      <c r="B303" s="13">
        <v>296</v>
      </c>
      <c r="C303" s="14" t="s">
        <v>766</v>
      </c>
      <c r="D303" s="13"/>
      <c r="E303" s="15" t="str">
        <f>IFERROR(VLOOKUP(C303,기출문제!D:G,3,0),"")</f>
        <v/>
      </c>
      <c r="F303" s="31" t="str">
        <f>IFERROR(VLOOKUP(C303,기출문제!D:G,4,0),"")</f>
        <v/>
      </c>
      <c r="G303" s="32" t="str">
        <f t="shared" si="4"/>
        <v/>
      </c>
    </row>
    <row r="304" spans="2:7" x14ac:dyDescent="0.3">
      <c r="B304" s="13">
        <v>297</v>
      </c>
      <c r="C304" s="14" t="s">
        <v>766</v>
      </c>
      <c r="D304" s="13"/>
      <c r="E304" s="15" t="str">
        <f>IFERROR(VLOOKUP(C304,기출문제!D:G,3,0),"")</f>
        <v/>
      </c>
      <c r="F304" s="31" t="str">
        <f>IFERROR(VLOOKUP(C304,기출문제!D:G,4,0),"")</f>
        <v/>
      </c>
      <c r="G304" s="32" t="str">
        <f t="shared" si="4"/>
        <v/>
      </c>
    </row>
    <row r="305" spans="2:7" x14ac:dyDescent="0.3">
      <c r="B305" s="13">
        <v>298</v>
      </c>
      <c r="C305" s="14" t="s">
        <v>766</v>
      </c>
      <c r="D305" s="13"/>
      <c r="E305" s="15" t="str">
        <f>IFERROR(VLOOKUP(C305,기출문제!D:G,3,0),"")</f>
        <v/>
      </c>
      <c r="F305" s="31" t="str">
        <f>IFERROR(VLOOKUP(C305,기출문제!D:G,4,0),"")</f>
        <v/>
      </c>
      <c r="G305" s="32" t="str">
        <f t="shared" si="4"/>
        <v/>
      </c>
    </row>
    <row r="306" spans="2:7" x14ac:dyDescent="0.3">
      <c r="B306" s="13">
        <v>299</v>
      </c>
      <c r="C306" s="14" t="s">
        <v>766</v>
      </c>
      <c r="D306" s="13"/>
      <c r="E306" s="15" t="str">
        <f>IFERROR(VLOOKUP(C306,기출문제!D:G,3,0),"")</f>
        <v/>
      </c>
      <c r="F306" s="31" t="str">
        <f>IFERROR(VLOOKUP(C306,기출문제!D:G,4,0),"")</f>
        <v/>
      </c>
      <c r="G306" s="32" t="str">
        <f t="shared" si="4"/>
        <v/>
      </c>
    </row>
    <row r="307" spans="2:7" x14ac:dyDescent="0.3">
      <c r="B307" s="13">
        <v>300</v>
      </c>
      <c r="C307" s="14" t="s">
        <v>766</v>
      </c>
      <c r="D307" s="13"/>
      <c r="E307" s="15" t="str">
        <f>IFERROR(VLOOKUP(C307,기출문제!D:G,3,0),"")</f>
        <v/>
      </c>
      <c r="F307" s="31" t="str">
        <f>IFERROR(VLOOKUP(C307,기출문제!D:G,4,0),"")</f>
        <v/>
      </c>
      <c r="G307" s="32" t="str">
        <f t="shared" si="4"/>
        <v/>
      </c>
    </row>
    <row r="308" spans="2:7" x14ac:dyDescent="0.3">
      <c r="B308" s="13">
        <v>301</v>
      </c>
      <c r="C308" s="14" t="s">
        <v>766</v>
      </c>
      <c r="D308" s="13"/>
      <c r="E308" s="15" t="str">
        <f>IFERROR(VLOOKUP(C308,기출문제!D:G,3,0),"")</f>
        <v/>
      </c>
      <c r="F308" s="31" t="str">
        <f>IFERROR(VLOOKUP(C308,기출문제!D:G,4,0),"")</f>
        <v/>
      </c>
      <c r="G308" s="32" t="str">
        <f t="shared" si="4"/>
        <v/>
      </c>
    </row>
    <row r="309" spans="2:7" x14ac:dyDescent="0.3">
      <c r="B309" s="13">
        <v>302</v>
      </c>
      <c r="C309" s="14" t="s">
        <v>766</v>
      </c>
      <c r="D309" s="13"/>
      <c r="E309" s="15" t="str">
        <f>IFERROR(VLOOKUP(C309,기출문제!D:G,3,0),"")</f>
        <v/>
      </c>
      <c r="F309" s="31" t="str">
        <f>IFERROR(VLOOKUP(C309,기출문제!D:G,4,0),"")</f>
        <v/>
      </c>
      <c r="G309" s="32" t="str">
        <f t="shared" si="4"/>
        <v/>
      </c>
    </row>
    <row r="310" spans="2:7" x14ac:dyDescent="0.3">
      <c r="B310" s="13">
        <v>303</v>
      </c>
      <c r="C310" s="14" t="s">
        <v>766</v>
      </c>
      <c r="D310" s="13"/>
      <c r="E310" s="15" t="str">
        <f>IFERROR(VLOOKUP(C310,기출문제!D:G,3,0),"")</f>
        <v/>
      </c>
      <c r="F310" s="31" t="str">
        <f>IFERROR(VLOOKUP(C310,기출문제!D:G,4,0),"")</f>
        <v/>
      </c>
      <c r="G310" s="32" t="str">
        <f t="shared" si="4"/>
        <v/>
      </c>
    </row>
    <row r="311" spans="2:7" x14ac:dyDescent="0.3">
      <c r="B311" s="13">
        <v>304</v>
      </c>
      <c r="C311" s="14" t="s">
        <v>766</v>
      </c>
      <c r="D311" s="13"/>
      <c r="E311" s="15" t="str">
        <f>IFERROR(VLOOKUP(C311,기출문제!D:G,3,0),"")</f>
        <v/>
      </c>
      <c r="F311" s="31" t="str">
        <f>IFERROR(VLOOKUP(C311,기출문제!D:G,4,0),"")</f>
        <v/>
      </c>
      <c r="G311" s="32" t="str">
        <f t="shared" si="4"/>
        <v/>
      </c>
    </row>
    <row r="312" spans="2:7" x14ac:dyDescent="0.3">
      <c r="B312" s="13">
        <v>305</v>
      </c>
      <c r="C312" s="14" t="s">
        <v>766</v>
      </c>
      <c r="D312" s="13"/>
      <c r="E312" s="15" t="str">
        <f>IFERROR(VLOOKUP(C312,기출문제!D:G,3,0),"")</f>
        <v/>
      </c>
      <c r="F312" s="31" t="str">
        <f>IFERROR(VLOOKUP(C312,기출문제!D:G,4,0),"")</f>
        <v/>
      </c>
      <c r="G312" s="32" t="str">
        <f t="shared" si="4"/>
        <v/>
      </c>
    </row>
    <row r="313" spans="2:7" x14ac:dyDescent="0.3">
      <c r="B313" s="13">
        <v>306</v>
      </c>
      <c r="C313" s="14" t="s">
        <v>766</v>
      </c>
      <c r="D313" s="13"/>
      <c r="E313" s="15" t="str">
        <f>IFERROR(VLOOKUP(C313,기출문제!D:G,3,0),"")</f>
        <v/>
      </c>
      <c r="F313" s="31" t="str">
        <f>IFERROR(VLOOKUP(C313,기출문제!D:G,4,0),"")</f>
        <v/>
      </c>
      <c r="G313" s="32" t="str">
        <f t="shared" si="4"/>
        <v/>
      </c>
    </row>
    <row r="314" spans="2:7" x14ac:dyDescent="0.3">
      <c r="B314" s="13">
        <v>307</v>
      </c>
      <c r="C314" s="14" t="s">
        <v>766</v>
      </c>
      <c r="D314" s="13"/>
      <c r="E314" s="15" t="str">
        <f>IFERROR(VLOOKUP(C314,기출문제!D:G,3,0),"")</f>
        <v/>
      </c>
      <c r="F314" s="31" t="str">
        <f>IFERROR(VLOOKUP(C314,기출문제!D:G,4,0),"")</f>
        <v/>
      </c>
      <c r="G314" s="32" t="str">
        <f t="shared" si="4"/>
        <v/>
      </c>
    </row>
    <row r="315" spans="2:7" x14ac:dyDescent="0.3">
      <c r="B315" s="13">
        <v>308</v>
      </c>
      <c r="C315" s="14" t="s">
        <v>766</v>
      </c>
      <c r="D315" s="13"/>
      <c r="E315" s="15" t="str">
        <f>IFERROR(VLOOKUP(C315,기출문제!D:G,3,0),"")</f>
        <v/>
      </c>
      <c r="F315" s="31" t="str">
        <f>IFERROR(VLOOKUP(C315,기출문제!D:G,4,0),"")</f>
        <v/>
      </c>
      <c r="G315" s="32" t="str">
        <f t="shared" si="4"/>
        <v/>
      </c>
    </row>
    <row r="316" spans="2:7" x14ac:dyDescent="0.3">
      <c r="B316" s="13">
        <v>309</v>
      </c>
      <c r="C316" s="14" t="s">
        <v>766</v>
      </c>
      <c r="D316" s="13"/>
      <c r="E316" s="15" t="str">
        <f>IFERROR(VLOOKUP(C316,기출문제!D:G,3,0),"")</f>
        <v/>
      </c>
      <c r="F316" s="31" t="str">
        <f>IFERROR(VLOOKUP(C316,기출문제!D:G,4,0),"")</f>
        <v/>
      </c>
      <c r="G316" s="32" t="str">
        <f t="shared" si="4"/>
        <v/>
      </c>
    </row>
    <row r="317" spans="2:7" x14ac:dyDescent="0.3">
      <c r="B317" s="13">
        <v>310</v>
      </c>
      <c r="C317" s="14" t="s">
        <v>766</v>
      </c>
      <c r="D317" s="13"/>
      <c r="E317" s="15" t="str">
        <f>IFERROR(VLOOKUP(C317,기출문제!D:G,3,0),"")</f>
        <v/>
      </c>
      <c r="F317" s="31" t="str">
        <f>IFERROR(VLOOKUP(C317,기출문제!D:G,4,0),"")</f>
        <v/>
      </c>
      <c r="G317" s="32" t="str">
        <f t="shared" si="4"/>
        <v/>
      </c>
    </row>
    <row r="318" spans="2:7" x14ac:dyDescent="0.3">
      <c r="B318" s="13">
        <v>311</v>
      </c>
      <c r="C318" s="14" t="s">
        <v>766</v>
      </c>
      <c r="D318" s="13"/>
      <c r="E318" s="15" t="str">
        <f>IFERROR(VLOOKUP(C318,기출문제!D:G,3,0),"")</f>
        <v/>
      </c>
      <c r="F318" s="31" t="str">
        <f>IFERROR(VLOOKUP(C318,기출문제!D:G,4,0),"")</f>
        <v/>
      </c>
      <c r="G318" s="32" t="str">
        <f t="shared" si="4"/>
        <v/>
      </c>
    </row>
    <row r="319" spans="2:7" x14ac:dyDescent="0.3">
      <c r="B319" s="13">
        <v>312</v>
      </c>
      <c r="C319" s="14" t="s">
        <v>766</v>
      </c>
      <c r="D319" s="13"/>
      <c r="E319" s="15" t="str">
        <f>IFERROR(VLOOKUP(C319,기출문제!D:G,3,0),"")</f>
        <v/>
      </c>
      <c r="F319" s="31" t="str">
        <f>IFERROR(VLOOKUP(C319,기출문제!D:G,4,0),"")</f>
        <v/>
      </c>
      <c r="G319" s="32" t="str">
        <f t="shared" si="4"/>
        <v/>
      </c>
    </row>
    <row r="320" spans="2:7" x14ac:dyDescent="0.3">
      <c r="B320" s="13">
        <v>313</v>
      </c>
      <c r="C320" s="14" t="s">
        <v>766</v>
      </c>
      <c r="D320" s="13"/>
      <c r="E320" s="15" t="str">
        <f>IFERROR(VLOOKUP(C320,기출문제!D:G,3,0),"")</f>
        <v/>
      </c>
      <c r="F320" s="31" t="str">
        <f>IFERROR(VLOOKUP(C320,기출문제!D:G,4,0),"")</f>
        <v/>
      </c>
      <c r="G320" s="32" t="str">
        <f t="shared" si="4"/>
        <v/>
      </c>
    </row>
    <row r="321" spans="2:7" x14ac:dyDescent="0.3">
      <c r="B321" s="13">
        <v>314</v>
      </c>
      <c r="C321" s="14" t="s">
        <v>766</v>
      </c>
      <c r="D321" s="13"/>
      <c r="E321" s="15" t="str">
        <f>IFERROR(VLOOKUP(C321,기출문제!D:G,3,0),"")</f>
        <v/>
      </c>
      <c r="F321" s="31" t="str">
        <f>IFERROR(VLOOKUP(C321,기출문제!D:G,4,0),"")</f>
        <v/>
      </c>
      <c r="G321" s="32" t="str">
        <f t="shared" si="4"/>
        <v/>
      </c>
    </row>
    <row r="322" spans="2:7" x14ac:dyDescent="0.3">
      <c r="B322" s="13">
        <v>315</v>
      </c>
      <c r="C322" s="14" t="s">
        <v>766</v>
      </c>
      <c r="D322" s="13"/>
      <c r="E322" s="15" t="str">
        <f>IFERROR(VLOOKUP(C322,기출문제!D:G,3,0),"")</f>
        <v/>
      </c>
      <c r="F322" s="31" t="str">
        <f>IFERROR(VLOOKUP(C322,기출문제!D:G,4,0),"")</f>
        <v/>
      </c>
      <c r="G322" s="32" t="str">
        <f t="shared" si="4"/>
        <v/>
      </c>
    </row>
    <row r="323" spans="2:7" x14ac:dyDescent="0.3">
      <c r="B323" s="13">
        <v>316</v>
      </c>
      <c r="C323" s="14" t="s">
        <v>766</v>
      </c>
      <c r="D323" s="13"/>
      <c r="E323" s="15" t="str">
        <f>IFERROR(VLOOKUP(C323,기출문제!D:G,3,0),"")</f>
        <v/>
      </c>
      <c r="F323" s="31" t="str">
        <f>IFERROR(VLOOKUP(C323,기출문제!D:G,4,0),"")</f>
        <v/>
      </c>
      <c r="G323" s="32" t="str">
        <f t="shared" si="4"/>
        <v/>
      </c>
    </row>
    <row r="324" spans="2:7" x14ac:dyDescent="0.3">
      <c r="B324" s="13">
        <v>317</v>
      </c>
      <c r="C324" s="14" t="s">
        <v>766</v>
      </c>
      <c r="D324" s="13"/>
      <c r="E324" s="15" t="str">
        <f>IFERROR(VLOOKUP(C324,기출문제!D:G,3,0),"")</f>
        <v/>
      </c>
      <c r="F324" s="31" t="str">
        <f>IFERROR(VLOOKUP(C324,기출문제!D:G,4,0),"")</f>
        <v/>
      </c>
      <c r="G324" s="32" t="str">
        <f t="shared" si="4"/>
        <v/>
      </c>
    </row>
    <row r="325" spans="2:7" x14ac:dyDescent="0.3">
      <c r="B325" s="13">
        <v>318</v>
      </c>
      <c r="C325" s="14" t="s">
        <v>766</v>
      </c>
      <c r="D325" s="13"/>
      <c r="E325" s="15" t="str">
        <f>IFERROR(VLOOKUP(C325,기출문제!D:G,3,0),"")</f>
        <v/>
      </c>
      <c r="F325" s="31" t="str">
        <f>IFERROR(VLOOKUP(C325,기출문제!D:G,4,0),"")</f>
        <v/>
      </c>
      <c r="G325" s="32" t="str">
        <f t="shared" si="4"/>
        <v/>
      </c>
    </row>
    <row r="326" spans="2:7" x14ac:dyDescent="0.3">
      <c r="B326" s="13">
        <v>319</v>
      </c>
      <c r="C326" s="14" t="s">
        <v>766</v>
      </c>
      <c r="D326" s="13"/>
      <c r="E326" s="15" t="str">
        <f>IFERROR(VLOOKUP(C326,기출문제!D:G,3,0),"")</f>
        <v/>
      </c>
      <c r="F326" s="31" t="str">
        <f>IFERROR(VLOOKUP(C326,기출문제!D:G,4,0),"")</f>
        <v/>
      </c>
      <c r="G326" s="32" t="str">
        <f t="shared" si="4"/>
        <v/>
      </c>
    </row>
    <row r="327" spans="2:7" x14ac:dyDescent="0.3">
      <c r="B327" s="13">
        <v>320</v>
      </c>
      <c r="C327" s="14" t="s">
        <v>766</v>
      </c>
      <c r="D327" s="13"/>
      <c r="E327" s="15" t="str">
        <f>IFERROR(VLOOKUP(C327,기출문제!D:G,3,0),"")</f>
        <v/>
      </c>
      <c r="F327" s="31" t="str">
        <f>IFERROR(VLOOKUP(C327,기출문제!D:G,4,0),"")</f>
        <v/>
      </c>
      <c r="G327" s="32" t="str">
        <f t="shared" si="4"/>
        <v/>
      </c>
    </row>
    <row r="328" spans="2:7" x14ac:dyDescent="0.3">
      <c r="B328" s="13">
        <v>321</v>
      </c>
      <c r="C328" s="14" t="s">
        <v>766</v>
      </c>
      <c r="D328" s="13"/>
      <c r="E328" s="15" t="str">
        <f>IFERROR(VLOOKUP(C328,기출문제!D:G,3,0),"")</f>
        <v/>
      </c>
      <c r="F328" s="31" t="str">
        <f>IFERROR(VLOOKUP(C328,기출문제!D:G,4,0),"")</f>
        <v/>
      </c>
      <c r="G328" s="32" t="str">
        <f t="shared" si="4"/>
        <v/>
      </c>
    </row>
    <row r="329" spans="2:7" x14ac:dyDescent="0.3">
      <c r="B329" s="13">
        <v>322</v>
      </c>
      <c r="C329" s="14" t="s">
        <v>766</v>
      </c>
      <c r="D329" s="13"/>
      <c r="E329" s="15" t="str">
        <f>IFERROR(VLOOKUP(C329,기출문제!D:G,3,0),"")</f>
        <v/>
      </c>
      <c r="F329" s="31" t="str">
        <f>IFERROR(VLOOKUP(C329,기출문제!D:G,4,0),"")</f>
        <v/>
      </c>
      <c r="G329" s="32" t="str">
        <f t="shared" ref="G329:G392" si="5">IF(D329="","",IF(D329=F329,"O", "X"))</f>
        <v/>
      </c>
    </row>
    <row r="330" spans="2:7" x14ac:dyDescent="0.3">
      <c r="B330" s="13">
        <v>323</v>
      </c>
      <c r="C330" s="14" t="s">
        <v>766</v>
      </c>
      <c r="D330" s="13"/>
      <c r="E330" s="15" t="str">
        <f>IFERROR(VLOOKUP(C330,기출문제!D:G,3,0),"")</f>
        <v/>
      </c>
      <c r="F330" s="31" t="str">
        <f>IFERROR(VLOOKUP(C330,기출문제!D:G,4,0),"")</f>
        <v/>
      </c>
      <c r="G330" s="32" t="str">
        <f t="shared" si="5"/>
        <v/>
      </c>
    </row>
    <row r="331" spans="2:7" x14ac:dyDescent="0.3">
      <c r="B331" s="13">
        <v>324</v>
      </c>
      <c r="C331" s="14" t="s">
        <v>766</v>
      </c>
      <c r="D331" s="13"/>
      <c r="E331" s="15" t="str">
        <f>IFERROR(VLOOKUP(C331,기출문제!D:G,3,0),"")</f>
        <v/>
      </c>
      <c r="F331" s="31" t="str">
        <f>IFERROR(VLOOKUP(C331,기출문제!D:G,4,0),"")</f>
        <v/>
      </c>
      <c r="G331" s="32" t="str">
        <f t="shared" si="5"/>
        <v/>
      </c>
    </row>
    <row r="332" spans="2:7" x14ac:dyDescent="0.3">
      <c r="B332" s="13">
        <v>325</v>
      </c>
      <c r="C332" s="14" t="s">
        <v>766</v>
      </c>
      <c r="D332" s="13"/>
      <c r="E332" s="15" t="str">
        <f>IFERROR(VLOOKUP(C332,기출문제!D:G,3,0),"")</f>
        <v/>
      </c>
      <c r="F332" s="31" t="str">
        <f>IFERROR(VLOOKUP(C332,기출문제!D:G,4,0),"")</f>
        <v/>
      </c>
      <c r="G332" s="32" t="str">
        <f t="shared" si="5"/>
        <v/>
      </c>
    </row>
    <row r="333" spans="2:7" x14ac:dyDescent="0.3">
      <c r="B333" s="13">
        <v>326</v>
      </c>
      <c r="C333" s="14" t="s">
        <v>766</v>
      </c>
      <c r="D333" s="13"/>
      <c r="E333" s="15" t="str">
        <f>IFERROR(VLOOKUP(C333,기출문제!D:G,3,0),"")</f>
        <v/>
      </c>
      <c r="F333" s="31" t="str">
        <f>IFERROR(VLOOKUP(C333,기출문제!D:G,4,0),"")</f>
        <v/>
      </c>
      <c r="G333" s="32" t="str">
        <f t="shared" si="5"/>
        <v/>
      </c>
    </row>
    <row r="334" spans="2:7" x14ac:dyDescent="0.3">
      <c r="B334" s="13">
        <v>327</v>
      </c>
      <c r="C334" s="14" t="s">
        <v>766</v>
      </c>
      <c r="D334" s="13"/>
      <c r="E334" s="15" t="str">
        <f>IFERROR(VLOOKUP(C334,기출문제!D:G,3,0),"")</f>
        <v/>
      </c>
      <c r="F334" s="31" t="str">
        <f>IFERROR(VLOOKUP(C334,기출문제!D:G,4,0),"")</f>
        <v/>
      </c>
      <c r="G334" s="32" t="str">
        <f t="shared" si="5"/>
        <v/>
      </c>
    </row>
    <row r="335" spans="2:7" x14ac:dyDescent="0.3">
      <c r="B335" s="13">
        <v>328</v>
      </c>
      <c r="C335" s="14" t="s">
        <v>766</v>
      </c>
      <c r="D335" s="13"/>
      <c r="E335" s="15" t="str">
        <f>IFERROR(VLOOKUP(C335,기출문제!D:G,3,0),"")</f>
        <v/>
      </c>
      <c r="F335" s="31" t="str">
        <f>IFERROR(VLOOKUP(C335,기출문제!D:G,4,0),"")</f>
        <v/>
      </c>
      <c r="G335" s="32" t="str">
        <f t="shared" si="5"/>
        <v/>
      </c>
    </row>
    <row r="336" spans="2:7" x14ac:dyDescent="0.3">
      <c r="B336" s="13">
        <v>329</v>
      </c>
      <c r="C336" s="14" t="s">
        <v>766</v>
      </c>
      <c r="D336" s="13"/>
      <c r="E336" s="15" t="str">
        <f>IFERROR(VLOOKUP(C336,기출문제!D:G,3,0),"")</f>
        <v/>
      </c>
      <c r="F336" s="31" t="str">
        <f>IFERROR(VLOOKUP(C336,기출문제!D:G,4,0),"")</f>
        <v/>
      </c>
      <c r="G336" s="32" t="str">
        <f t="shared" si="5"/>
        <v/>
      </c>
    </row>
    <row r="337" spans="2:7" x14ac:dyDescent="0.3">
      <c r="B337" s="13">
        <v>330</v>
      </c>
      <c r="C337" s="14" t="s">
        <v>766</v>
      </c>
      <c r="D337" s="13"/>
      <c r="E337" s="15" t="str">
        <f>IFERROR(VLOOKUP(C337,기출문제!D:G,3,0),"")</f>
        <v/>
      </c>
      <c r="F337" s="31" t="str">
        <f>IFERROR(VLOOKUP(C337,기출문제!D:G,4,0),"")</f>
        <v/>
      </c>
      <c r="G337" s="32" t="str">
        <f t="shared" si="5"/>
        <v/>
      </c>
    </row>
    <row r="338" spans="2:7" x14ac:dyDescent="0.3">
      <c r="B338" s="13">
        <v>331</v>
      </c>
      <c r="C338" s="14" t="s">
        <v>766</v>
      </c>
      <c r="D338" s="13"/>
      <c r="E338" s="15" t="str">
        <f>IFERROR(VLOOKUP(C338,기출문제!D:G,3,0),"")</f>
        <v/>
      </c>
      <c r="F338" s="31" t="str">
        <f>IFERROR(VLOOKUP(C338,기출문제!D:G,4,0),"")</f>
        <v/>
      </c>
      <c r="G338" s="32" t="str">
        <f t="shared" si="5"/>
        <v/>
      </c>
    </row>
    <row r="339" spans="2:7" x14ac:dyDescent="0.3">
      <c r="B339" s="13">
        <v>332</v>
      </c>
      <c r="C339" s="14" t="s">
        <v>766</v>
      </c>
      <c r="D339" s="13"/>
      <c r="E339" s="15" t="str">
        <f>IFERROR(VLOOKUP(C339,기출문제!D:G,3,0),"")</f>
        <v/>
      </c>
      <c r="F339" s="31" t="str">
        <f>IFERROR(VLOOKUP(C339,기출문제!D:G,4,0),"")</f>
        <v/>
      </c>
      <c r="G339" s="32" t="str">
        <f t="shared" si="5"/>
        <v/>
      </c>
    </row>
    <row r="340" spans="2:7" x14ac:dyDescent="0.3">
      <c r="B340" s="13">
        <v>333</v>
      </c>
      <c r="C340" s="14" t="s">
        <v>766</v>
      </c>
      <c r="D340" s="13"/>
      <c r="E340" s="15" t="str">
        <f>IFERROR(VLOOKUP(C340,기출문제!D:G,3,0),"")</f>
        <v/>
      </c>
      <c r="F340" s="31" t="str">
        <f>IFERROR(VLOOKUP(C340,기출문제!D:G,4,0),"")</f>
        <v/>
      </c>
      <c r="G340" s="32" t="str">
        <f t="shared" si="5"/>
        <v/>
      </c>
    </row>
    <row r="341" spans="2:7" x14ac:dyDescent="0.3">
      <c r="B341" s="13">
        <v>334</v>
      </c>
      <c r="C341" s="14" t="s">
        <v>766</v>
      </c>
      <c r="D341" s="13"/>
      <c r="E341" s="15" t="str">
        <f>IFERROR(VLOOKUP(C341,기출문제!D:G,3,0),"")</f>
        <v/>
      </c>
      <c r="F341" s="31" t="str">
        <f>IFERROR(VLOOKUP(C341,기출문제!D:G,4,0),"")</f>
        <v/>
      </c>
      <c r="G341" s="32" t="str">
        <f t="shared" si="5"/>
        <v/>
      </c>
    </row>
    <row r="342" spans="2:7" x14ac:dyDescent="0.3">
      <c r="B342" s="13">
        <v>335</v>
      </c>
      <c r="C342" s="14" t="s">
        <v>766</v>
      </c>
      <c r="D342" s="13"/>
      <c r="E342" s="15" t="str">
        <f>IFERROR(VLOOKUP(C342,기출문제!D:G,3,0),"")</f>
        <v/>
      </c>
      <c r="F342" s="31" t="str">
        <f>IFERROR(VLOOKUP(C342,기출문제!D:G,4,0),"")</f>
        <v/>
      </c>
      <c r="G342" s="32" t="str">
        <f t="shared" si="5"/>
        <v/>
      </c>
    </row>
    <row r="343" spans="2:7" x14ac:dyDescent="0.3">
      <c r="B343" s="13">
        <v>336</v>
      </c>
      <c r="C343" s="14" t="s">
        <v>766</v>
      </c>
      <c r="D343" s="13"/>
      <c r="E343" s="15" t="str">
        <f>IFERROR(VLOOKUP(C343,기출문제!D:G,3,0),"")</f>
        <v/>
      </c>
      <c r="F343" s="31" t="str">
        <f>IFERROR(VLOOKUP(C343,기출문제!D:G,4,0),"")</f>
        <v/>
      </c>
      <c r="G343" s="32" t="str">
        <f t="shared" si="5"/>
        <v/>
      </c>
    </row>
    <row r="344" spans="2:7" x14ac:dyDescent="0.3">
      <c r="B344" s="13">
        <v>337</v>
      </c>
      <c r="C344" s="14" t="s">
        <v>766</v>
      </c>
      <c r="D344" s="13"/>
      <c r="E344" s="15" t="str">
        <f>IFERROR(VLOOKUP(C344,기출문제!D:G,3,0),"")</f>
        <v/>
      </c>
      <c r="F344" s="31" t="str">
        <f>IFERROR(VLOOKUP(C344,기출문제!D:G,4,0),"")</f>
        <v/>
      </c>
      <c r="G344" s="32" t="str">
        <f t="shared" si="5"/>
        <v/>
      </c>
    </row>
    <row r="345" spans="2:7" x14ac:dyDescent="0.3">
      <c r="B345" s="13">
        <v>338</v>
      </c>
      <c r="C345" s="14" t="s">
        <v>766</v>
      </c>
      <c r="D345" s="13"/>
      <c r="E345" s="15" t="str">
        <f>IFERROR(VLOOKUP(C345,기출문제!D:G,3,0),"")</f>
        <v/>
      </c>
      <c r="F345" s="31" t="str">
        <f>IFERROR(VLOOKUP(C345,기출문제!D:G,4,0),"")</f>
        <v/>
      </c>
      <c r="G345" s="32" t="str">
        <f t="shared" si="5"/>
        <v/>
      </c>
    </row>
    <row r="346" spans="2:7" x14ac:dyDescent="0.3">
      <c r="B346" s="13">
        <v>339</v>
      </c>
      <c r="C346" s="14" t="s">
        <v>766</v>
      </c>
      <c r="D346" s="13"/>
      <c r="E346" s="15" t="str">
        <f>IFERROR(VLOOKUP(C346,기출문제!D:G,3,0),"")</f>
        <v/>
      </c>
      <c r="F346" s="31" t="str">
        <f>IFERROR(VLOOKUP(C346,기출문제!D:G,4,0),"")</f>
        <v/>
      </c>
      <c r="G346" s="32" t="str">
        <f t="shared" si="5"/>
        <v/>
      </c>
    </row>
    <row r="347" spans="2:7" x14ac:dyDescent="0.3">
      <c r="B347" s="13">
        <v>340</v>
      </c>
      <c r="C347" s="14" t="s">
        <v>766</v>
      </c>
      <c r="D347" s="13"/>
      <c r="E347" s="15" t="str">
        <f>IFERROR(VLOOKUP(C347,기출문제!D:G,3,0),"")</f>
        <v/>
      </c>
      <c r="F347" s="31" t="str">
        <f>IFERROR(VLOOKUP(C347,기출문제!D:G,4,0),"")</f>
        <v/>
      </c>
      <c r="G347" s="32" t="str">
        <f t="shared" si="5"/>
        <v/>
      </c>
    </row>
    <row r="348" spans="2:7" x14ac:dyDescent="0.3">
      <c r="B348" s="13">
        <v>341</v>
      </c>
      <c r="C348" s="14" t="s">
        <v>766</v>
      </c>
      <c r="D348" s="13"/>
      <c r="E348" s="15" t="str">
        <f>IFERROR(VLOOKUP(C348,기출문제!D:G,3,0),"")</f>
        <v/>
      </c>
      <c r="F348" s="31" t="str">
        <f>IFERROR(VLOOKUP(C348,기출문제!D:G,4,0),"")</f>
        <v/>
      </c>
      <c r="G348" s="32" t="str">
        <f t="shared" si="5"/>
        <v/>
      </c>
    </row>
    <row r="349" spans="2:7" x14ac:dyDescent="0.3">
      <c r="B349" s="13">
        <v>342</v>
      </c>
      <c r="C349" s="14" t="s">
        <v>766</v>
      </c>
      <c r="D349" s="13"/>
      <c r="E349" s="15" t="str">
        <f>IFERROR(VLOOKUP(C349,기출문제!D:G,3,0),"")</f>
        <v/>
      </c>
      <c r="F349" s="31" t="str">
        <f>IFERROR(VLOOKUP(C349,기출문제!D:G,4,0),"")</f>
        <v/>
      </c>
      <c r="G349" s="32" t="str">
        <f t="shared" si="5"/>
        <v/>
      </c>
    </row>
    <row r="350" spans="2:7" x14ac:dyDescent="0.3">
      <c r="B350" s="13">
        <v>343</v>
      </c>
      <c r="C350" s="14" t="s">
        <v>766</v>
      </c>
      <c r="D350" s="13"/>
      <c r="E350" s="15" t="str">
        <f>IFERROR(VLOOKUP(C350,기출문제!D:G,3,0),"")</f>
        <v/>
      </c>
      <c r="F350" s="31" t="str">
        <f>IFERROR(VLOOKUP(C350,기출문제!D:G,4,0),"")</f>
        <v/>
      </c>
      <c r="G350" s="32" t="str">
        <f t="shared" si="5"/>
        <v/>
      </c>
    </row>
    <row r="351" spans="2:7" x14ac:dyDescent="0.3">
      <c r="B351" s="13">
        <v>344</v>
      </c>
      <c r="C351" s="14" t="s">
        <v>766</v>
      </c>
      <c r="D351" s="13"/>
      <c r="E351" s="15" t="str">
        <f>IFERROR(VLOOKUP(C351,기출문제!D:G,3,0),"")</f>
        <v/>
      </c>
      <c r="F351" s="31" t="str">
        <f>IFERROR(VLOOKUP(C351,기출문제!D:G,4,0),"")</f>
        <v/>
      </c>
      <c r="G351" s="32" t="str">
        <f t="shared" si="5"/>
        <v/>
      </c>
    </row>
    <row r="352" spans="2:7" x14ac:dyDescent="0.3">
      <c r="B352" s="13">
        <v>345</v>
      </c>
      <c r="C352" s="14" t="s">
        <v>766</v>
      </c>
      <c r="D352" s="13"/>
      <c r="E352" s="15" t="str">
        <f>IFERROR(VLOOKUP(C352,기출문제!D:G,3,0),"")</f>
        <v/>
      </c>
      <c r="F352" s="31" t="str">
        <f>IFERROR(VLOOKUP(C352,기출문제!D:G,4,0),"")</f>
        <v/>
      </c>
      <c r="G352" s="32" t="str">
        <f t="shared" si="5"/>
        <v/>
      </c>
    </row>
    <row r="353" spans="2:7" x14ac:dyDescent="0.3">
      <c r="B353" s="13">
        <v>346</v>
      </c>
      <c r="C353" s="14" t="s">
        <v>766</v>
      </c>
      <c r="D353" s="13"/>
      <c r="E353" s="15" t="str">
        <f>IFERROR(VLOOKUP(C353,기출문제!D:G,3,0),"")</f>
        <v/>
      </c>
      <c r="F353" s="31" t="str">
        <f>IFERROR(VLOOKUP(C353,기출문제!D:G,4,0),"")</f>
        <v/>
      </c>
      <c r="G353" s="32" t="str">
        <f t="shared" si="5"/>
        <v/>
      </c>
    </row>
    <row r="354" spans="2:7" x14ac:dyDescent="0.3">
      <c r="B354" s="13">
        <v>347</v>
      </c>
      <c r="C354" s="14" t="s">
        <v>766</v>
      </c>
      <c r="D354" s="13"/>
      <c r="E354" s="15" t="str">
        <f>IFERROR(VLOOKUP(C354,기출문제!D:G,3,0),"")</f>
        <v/>
      </c>
      <c r="F354" s="31" t="str">
        <f>IFERROR(VLOOKUP(C354,기출문제!D:G,4,0),"")</f>
        <v/>
      </c>
      <c r="G354" s="32" t="str">
        <f t="shared" si="5"/>
        <v/>
      </c>
    </row>
    <row r="355" spans="2:7" x14ac:dyDescent="0.3">
      <c r="B355" s="13">
        <v>348</v>
      </c>
      <c r="C355" s="14" t="s">
        <v>766</v>
      </c>
      <c r="D355" s="13"/>
      <c r="E355" s="15" t="str">
        <f>IFERROR(VLOOKUP(C355,기출문제!D:G,3,0),"")</f>
        <v/>
      </c>
      <c r="F355" s="31" t="str">
        <f>IFERROR(VLOOKUP(C355,기출문제!D:G,4,0),"")</f>
        <v/>
      </c>
      <c r="G355" s="32" t="str">
        <f t="shared" si="5"/>
        <v/>
      </c>
    </row>
    <row r="356" spans="2:7" x14ac:dyDescent="0.3">
      <c r="B356" s="13">
        <v>349</v>
      </c>
      <c r="C356" s="14" t="s">
        <v>766</v>
      </c>
      <c r="D356" s="13"/>
      <c r="E356" s="15" t="str">
        <f>IFERROR(VLOOKUP(C356,기출문제!D:G,3,0),"")</f>
        <v/>
      </c>
      <c r="F356" s="31" t="str">
        <f>IFERROR(VLOOKUP(C356,기출문제!D:G,4,0),"")</f>
        <v/>
      </c>
      <c r="G356" s="32" t="str">
        <f t="shared" si="5"/>
        <v/>
      </c>
    </row>
    <row r="357" spans="2:7" x14ac:dyDescent="0.3">
      <c r="B357" s="13">
        <v>350</v>
      </c>
      <c r="C357" s="14" t="s">
        <v>766</v>
      </c>
      <c r="D357" s="13"/>
      <c r="E357" s="15" t="str">
        <f>IFERROR(VLOOKUP(C357,기출문제!D:G,3,0),"")</f>
        <v/>
      </c>
      <c r="F357" s="31" t="str">
        <f>IFERROR(VLOOKUP(C357,기출문제!D:G,4,0),"")</f>
        <v/>
      </c>
      <c r="G357" s="32" t="str">
        <f t="shared" si="5"/>
        <v/>
      </c>
    </row>
    <row r="358" spans="2:7" x14ac:dyDescent="0.3">
      <c r="B358" s="13">
        <v>351</v>
      </c>
      <c r="C358" s="14" t="s">
        <v>766</v>
      </c>
      <c r="D358" s="13"/>
      <c r="E358" s="15" t="str">
        <f>IFERROR(VLOOKUP(C358,기출문제!D:G,3,0),"")</f>
        <v/>
      </c>
      <c r="F358" s="31" t="str">
        <f>IFERROR(VLOOKUP(C358,기출문제!D:G,4,0),"")</f>
        <v/>
      </c>
      <c r="G358" s="32" t="str">
        <f t="shared" si="5"/>
        <v/>
      </c>
    </row>
    <row r="359" spans="2:7" x14ac:dyDescent="0.3">
      <c r="B359" s="13">
        <v>352</v>
      </c>
      <c r="C359" s="14" t="s">
        <v>766</v>
      </c>
      <c r="D359" s="13"/>
      <c r="E359" s="15" t="str">
        <f>IFERROR(VLOOKUP(C359,기출문제!D:G,3,0),"")</f>
        <v/>
      </c>
      <c r="F359" s="31" t="str">
        <f>IFERROR(VLOOKUP(C359,기출문제!D:G,4,0),"")</f>
        <v/>
      </c>
      <c r="G359" s="32" t="str">
        <f t="shared" si="5"/>
        <v/>
      </c>
    </row>
    <row r="360" spans="2:7" x14ac:dyDescent="0.3">
      <c r="B360" s="13">
        <v>353</v>
      </c>
      <c r="C360" s="14" t="s">
        <v>766</v>
      </c>
      <c r="D360" s="13"/>
      <c r="E360" s="15" t="str">
        <f>IFERROR(VLOOKUP(C360,기출문제!D:G,3,0),"")</f>
        <v/>
      </c>
      <c r="F360" s="31" t="str">
        <f>IFERROR(VLOOKUP(C360,기출문제!D:G,4,0),"")</f>
        <v/>
      </c>
      <c r="G360" s="32" t="str">
        <f t="shared" si="5"/>
        <v/>
      </c>
    </row>
    <row r="361" spans="2:7" x14ac:dyDescent="0.3">
      <c r="B361" s="13">
        <v>354</v>
      </c>
      <c r="C361" s="14" t="s">
        <v>766</v>
      </c>
      <c r="D361" s="13"/>
      <c r="E361" s="15" t="str">
        <f>IFERROR(VLOOKUP(C361,기출문제!D:G,3,0),"")</f>
        <v/>
      </c>
      <c r="F361" s="31" t="str">
        <f>IFERROR(VLOOKUP(C361,기출문제!D:G,4,0),"")</f>
        <v/>
      </c>
      <c r="G361" s="32" t="str">
        <f t="shared" si="5"/>
        <v/>
      </c>
    </row>
    <row r="362" spans="2:7" x14ac:dyDescent="0.3">
      <c r="B362" s="13">
        <v>355</v>
      </c>
      <c r="C362" s="14" t="s">
        <v>766</v>
      </c>
      <c r="D362" s="13"/>
      <c r="E362" s="15" t="str">
        <f>IFERROR(VLOOKUP(C362,기출문제!D:G,3,0),"")</f>
        <v/>
      </c>
      <c r="F362" s="31" t="str">
        <f>IFERROR(VLOOKUP(C362,기출문제!D:G,4,0),"")</f>
        <v/>
      </c>
      <c r="G362" s="32" t="str">
        <f t="shared" si="5"/>
        <v/>
      </c>
    </row>
    <row r="363" spans="2:7" x14ac:dyDescent="0.3">
      <c r="B363" s="13">
        <v>356</v>
      </c>
      <c r="C363" s="14" t="s">
        <v>766</v>
      </c>
      <c r="D363" s="13"/>
      <c r="E363" s="15" t="str">
        <f>IFERROR(VLOOKUP(C363,기출문제!D:G,3,0),"")</f>
        <v/>
      </c>
      <c r="F363" s="31" t="str">
        <f>IFERROR(VLOOKUP(C363,기출문제!D:G,4,0),"")</f>
        <v/>
      </c>
      <c r="G363" s="32" t="str">
        <f t="shared" si="5"/>
        <v/>
      </c>
    </row>
    <row r="364" spans="2:7" x14ac:dyDescent="0.3">
      <c r="B364" s="13">
        <v>357</v>
      </c>
      <c r="C364" s="14" t="s">
        <v>766</v>
      </c>
      <c r="D364" s="13"/>
      <c r="E364" s="15" t="str">
        <f>IFERROR(VLOOKUP(C364,기출문제!D:G,3,0),"")</f>
        <v/>
      </c>
      <c r="F364" s="31" t="str">
        <f>IFERROR(VLOOKUP(C364,기출문제!D:G,4,0),"")</f>
        <v/>
      </c>
      <c r="G364" s="32" t="str">
        <f t="shared" si="5"/>
        <v/>
      </c>
    </row>
    <row r="365" spans="2:7" x14ac:dyDescent="0.3">
      <c r="B365" s="13">
        <v>358</v>
      </c>
      <c r="C365" s="14" t="s">
        <v>766</v>
      </c>
      <c r="D365" s="13"/>
      <c r="E365" s="15" t="str">
        <f>IFERROR(VLOOKUP(C365,기출문제!D:G,3,0),"")</f>
        <v/>
      </c>
      <c r="F365" s="31" t="str">
        <f>IFERROR(VLOOKUP(C365,기출문제!D:G,4,0),"")</f>
        <v/>
      </c>
      <c r="G365" s="32" t="str">
        <f t="shared" si="5"/>
        <v/>
      </c>
    </row>
    <row r="366" spans="2:7" x14ac:dyDescent="0.3">
      <c r="B366" s="13">
        <v>359</v>
      </c>
      <c r="C366" s="14" t="s">
        <v>766</v>
      </c>
      <c r="D366" s="13"/>
      <c r="E366" s="15" t="str">
        <f>IFERROR(VLOOKUP(C366,기출문제!D:G,3,0),"")</f>
        <v/>
      </c>
      <c r="F366" s="31" t="str">
        <f>IFERROR(VLOOKUP(C366,기출문제!D:G,4,0),"")</f>
        <v/>
      </c>
      <c r="G366" s="32" t="str">
        <f t="shared" si="5"/>
        <v/>
      </c>
    </row>
    <row r="367" spans="2:7" x14ac:dyDescent="0.3">
      <c r="B367" s="13">
        <v>360</v>
      </c>
      <c r="C367" s="14" t="s">
        <v>766</v>
      </c>
      <c r="D367" s="13"/>
      <c r="E367" s="15" t="str">
        <f>IFERROR(VLOOKUP(C367,기출문제!D:G,3,0),"")</f>
        <v/>
      </c>
      <c r="F367" s="31" t="str">
        <f>IFERROR(VLOOKUP(C367,기출문제!D:G,4,0),"")</f>
        <v/>
      </c>
      <c r="G367" s="32" t="str">
        <f t="shared" si="5"/>
        <v/>
      </c>
    </row>
    <row r="368" spans="2:7" x14ac:dyDescent="0.3">
      <c r="B368" s="13">
        <v>361</v>
      </c>
      <c r="C368" s="14" t="s">
        <v>766</v>
      </c>
      <c r="D368" s="13"/>
      <c r="E368" s="15" t="str">
        <f>IFERROR(VLOOKUP(C368,기출문제!D:G,3,0),"")</f>
        <v/>
      </c>
      <c r="F368" s="31" t="str">
        <f>IFERROR(VLOOKUP(C368,기출문제!D:G,4,0),"")</f>
        <v/>
      </c>
      <c r="G368" s="32" t="str">
        <f t="shared" si="5"/>
        <v/>
      </c>
    </row>
    <row r="369" spans="2:7" x14ac:dyDescent="0.3">
      <c r="B369" s="13">
        <v>362</v>
      </c>
      <c r="C369" s="14" t="s">
        <v>766</v>
      </c>
      <c r="D369" s="13"/>
      <c r="E369" s="15" t="str">
        <f>IFERROR(VLOOKUP(C369,기출문제!D:G,3,0),"")</f>
        <v/>
      </c>
      <c r="F369" s="31" t="str">
        <f>IFERROR(VLOOKUP(C369,기출문제!D:G,4,0),"")</f>
        <v/>
      </c>
      <c r="G369" s="32" t="str">
        <f t="shared" si="5"/>
        <v/>
      </c>
    </row>
    <row r="370" spans="2:7" x14ac:dyDescent="0.3">
      <c r="B370" s="13">
        <v>363</v>
      </c>
      <c r="C370" s="14" t="s">
        <v>766</v>
      </c>
      <c r="D370" s="13"/>
      <c r="E370" s="15" t="str">
        <f>IFERROR(VLOOKUP(C370,기출문제!D:G,3,0),"")</f>
        <v/>
      </c>
      <c r="F370" s="31" t="str">
        <f>IFERROR(VLOOKUP(C370,기출문제!D:G,4,0),"")</f>
        <v/>
      </c>
      <c r="G370" s="32" t="str">
        <f t="shared" si="5"/>
        <v/>
      </c>
    </row>
    <row r="371" spans="2:7" x14ac:dyDescent="0.3">
      <c r="B371" s="13">
        <v>364</v>
      </c>
      <c r="C371" s="14" t="s">
        <v>766</v>
      </c>
      <c r="D371" s="13"/>
      <c r="E371" s="15" t="str">
        <f>IFERROR(VLOOKUP(C371,기출문제!D:G,3,0),"")</f>
        <v/>
      </c>
      <c r="F371" s="31" t="str">
        <f>IFERROR(VLOOKUP(C371,기출문제!D:G,4,0),"")</f>
        <v/>
      </c>
      <c r="G371" s="32" t="str">
        <f t="shared" si="5"/>
        <v/>
      </c>
    </row>
    <row r="372" spans="2:7" x14ac:dyDescent="0.3">
      <c r="B372" s="13">
        <v>365</v>
      </c>
      <c r="C372" s="14" t="s">
        <v>766</v>
      </c>
      <c r="D372" s="13"/>
      <c r="E372" s="15" t="str">
        <f>IFERROR(VLOOKUP(C372,기출문제!D:G,3,0),"")</f>
        <v/>
      </c>
      <c r="F372" s="31" t="str">
        <f>IFERROR(VLOOKUP(C372,기출문제!D:G,4,0),"")</f>
        <v/>
      </c>
      <c r="G372" s="32" t="str">
        <f t="shared" si="5"/>
        <v/>
      </c>
    </row>
    <row r="373" spans="2:7" x14ac:dyDescent="0.3">
      <c r="B373" s="13">
        <v>366</v>
      </c>
      <c r="C373" s="14" t="s">
        <v>766</v>
      </c>
      <c r="D373" s="13"/>
      <c r="E373" s="15" t="str">
        <f>IFERROR(VLOOKUP(C373,기출문제!D:G,3,0),"")</f>
        <v/>
      </c>
      <c r="F373" s="31" t="str">
        <f>IFERROR(VLOOKUP(C373,기출문제!D:G,4,0),"")</f>
        <v/>
      </c>
      <c r="G373" s="32" t="str">
        <f t="shared" si="5"/>
        <v/>
      </c>
    </row>
    <row r="374" spans="2:7" x14ac:dyDescent="0.3">
      <c r="B374" s="13">
        <v>367</v>
      </c>
      <c r="C374" s="14" t="s">
        <v>766</v>
      </c>
      <c r="D374" s="13"/>
      <c r="E374" s="15" t="str">
        <f>IFERROR(VLOOKUP(C374,기출문제!D:G,3,0),"")</f>
        <v/>
      </c>
      <c r="F374" s="31" t="str">
        <f>IFERROR(VLOOKUP(C374,기출문제!D:G,4,0),"")</f>
        <v/>
      </c>
      <c r="G374" s="32" t="str">
        <f t="shared" si="5"/>
        <v/>
      </c>
    </row>
    <row r="375" spans="2:7" x14ac:dyDescent="0.3">
      <c r="B375" s="13">
        <v>368</v>
      </c>
      <c r="C375" s="14" t="s">
        <v>766</v>
      </c>
      <c r="D375" s="13"/>
      <c r="E375" s="15" t="str">
        <f>IFERROR(VLOOKUP(C375,기출문제!D:G,3,0),"")</f>
        <v/>
      </c>
      <c r="F375" s="31" t="str">
        <f>IFERROR(VLOOKUP(C375,기출문제!D:G,4,0),"")</f>
        <v/>
      </c>
      <c r="G375" s="32" t="str">
        <f t="shared" si="5"/>
        <v/>
      </c>
    </row>
    <row r="376" spans="2:7" x14ac:dyDescent="0.3">
      <c r="B376" s="13">
        <v>369</v>
      </c>
      <c r="C376" s="14" t="s">
        <v>766</v>
      </c>
      <c r="D376" s="13"/>
      <c r="E376" s="15" t="str">
        <f>IFERROR(VLOOKUP(C376,기출문제!D:G,3,0),"")</f>
        <v/>
      </c>
      <c r="F376" s="31" t="str">
        <f>IFERROR(VLOOKUP(C376,기출문제!D:G,4,0),"")</f>
        <v/>
      </c>
      <c r="G376" s="32" t="str">
        <f t="shared" si="5"/>
        <v/>
      </c>
    </row>
    <row r="377" spans="2:7" x14ac:dyDescent="0.3">
      <c r="B377" s="13">
        <v>370</v>
      </c>
      <c r="C377" s="14" t="s">
        <v>766</v>
      </c>
      <c r="D377" s="13"/>
      <c r="E377" s="15" t="str">
        <f>IFERROR(VLOOKUP(C377,기출문제!D:G,3,0),"")</f>
        <v/>
      </c>
      <c r="F377" s="31" t="str">
        <f>IFERROR(VLOOKUP(C377,기출문제!D:G,4,0),"")</f>
        <v/>
      </c>
      <c r="G377" s="32" t="str">
        <f t="shared" si="5"/>
        <v/>
      </c>
    </row>
    <row r="378" spans="2:7" x14ac:dyDescent="0.3">
      <c r="B378" s="13">
        <v>371</v>
      </c>
      <c r="C378" s="14" t="s">
        <v>766</v>
      </c>
      <c r="D378" s="13"/>
      <c r="E378" s="15" t="str">
        <f>IFERROR(VLOOKUP(C378,기출문제!D:G,3,0),"")</f>
        <v/>
      </c>
      <c r="F378" s="31" t="str">
        <f>IFERROR(VLOOKUP(C378,기출문제!D:G,4,0),"")</f>
        <v/>
      </c>
      <c r="G378" s="32" t="str">
        <f t="shared" si="5"/>
        <v/>
      </c>
    </row>
    <row r="379" spans="2:7" x14ac:dyDescent="0.3">
      <c r="B379" s="13">
        <v>372</v>
      </c>
      <c r="C379" s="14" t="s">
        <v>766</v>
      </c>
      <c r="D379" s="13"/>
      <c r="E379" s="15" t="str">
        <f>IFERROR(VLOOKUP(C379,기출문제!D:G,3,0),"")</f>
        <v/>
      </c>
      <c r="F379" s="31" t="str">
        <f>IFERROR(VLOOKUP(C379,기출문제!D:G,4,0),"")</f>
        <v/>
      </c>
      <c r="G379" s="32" t="str">
        <f t="shared" si="5"/>
        <v/>
      </c>
    </row>
    <row r="380" spans="2:7" x14ac:dyDescent="0.3">
      <c r="B380" s="13">
        <v>373</v>
      </c>
      <c r="C380" s="14" t="s">
        <v>766</v>
      </c>
      <c r="D380" s="13"/>
      <c r="E380" s="15" t="str">
        <f>IFERROR(VLOOKUP(C380,기출문제!D:G,3,0),"")</f>
        <v/>
      </c>
      <c r="F380" s="31" t="str">
        <f>IFERROR(VLOOKUP(C380,기출문제!D:G,4,0),"")</f>
        <v/>
      </c>
      <c r="G380" s="32" t="str">
        <f t="shared" si="5"/>
        <v/>
      </c>
    </row>
    <row r="381" spans="2:7" x14ac:dyDescent="0.3">
      <c r="B381" s="13">
        <v>374</v>
      </c>
      <c r="C381" s="14" t="s">
        <v>766</v>
      </c>
      <c r="D381" s="13"/>
      <c r="E381" s="15" t="str">
        <f>IFERROR(VLOOKUP(C381,기출문제!D:G,3,0),"")</f>
        <v/>
      </c>
      <c r="F381" s="31" t="str">
        <f>IFERROR(VLOOKUP(C381,기출문제!D:G,4,0),"")</f>
        <v/>
      </c>
      <c r="G381" s="32" t="str">
        <f t="shared" si="5"/>
        <v/>
      </c>
    </row>
    <row r="382" spans="2:7" x14ac:dyDescent="0.3">
      <c r="B382" s="13">
        <v>375</v>
      </c>
      <c r="C382" s="14" t="s">
        <v>766</v>
      </c>
      <c r="D382" s="13"/>
      <c r="E382" s="15" t="str">
        <f>IFERROR(VLOOKUP(C382,기출문제!D:G,3,0),"")</f>
        <v/>
      </c>
      <c r="F382" s="31" t="str">
        <f>IFERROR(VLOOKUP(C382,기출문제!D:G,4,0),"")</f>
        <v/>
      </c>
      <c r="G382" s="32" t="str">
        <f t="shared" si="5"/>
        <v/>
      </c>
    </row>
    <row r="383" spans="2:7" x14ac:dyDescent="0.3">
      <c r="B383" s="13">
        <v>376</v>
      </c>
      <c r="C383" s="14" t="s">
        <v>766</v>
      </c>
      <c r="D383" s="13"/>
      <c r="E383" s="15" t="str">
        <f>IFERROR(VLOOKUP(C383,기출문제!D:G,3,0),"")</f>
        <v/>
      </c>
      <c r="F383" s="31" t="str">
        <f>IFERROR(VLOOKUP(C383,기출문제!D:G,4,0),"")</f>
        <v/>
      </c>
      <c r="G383" s="32" t="str">
        <f t="shared" si="5"/>
        <v/>
      </c>
    </row>
    <row r="384" spans="2:7" x14ac:dyDescent="0.3">
      <c r="B384" s="13">
        <v>377</v>
      </c>
      <c r="C384" s="14" t="s">
        <v>766</v>
      </c>
      <c r="D384" s="13"/>
      <c r="E384" s="15" t="str">
        <f>IFERROR(VLOOKUP(C384,기출문제!D:G,3,0),"")</f>
        <v/>
      </c>
      <c r="F384" s="31" t="str">
        <f>IFERROR(VLOOKUP(C384,기출문제!D:G,4,0),"")</f>
        <v/>
      </c>
      <c r="G384" s="32" t="str">
        <f t="shared" si="5"/>
        <v/>
      </c>
    </row>
    <row r="385" spans="2:7" x14ac:dyDescent="0.3">
      <c r="B385" s="13">
        <v>378</v>
      </c>
      <c r="C385" s="14" t="s">
        <v>766</v>
      </c>
      <c r="D385" s="13"/>
      <c r="E385" s="15" t="str">
        <f>IFERROR(VLOOKUP(C385,기출문제!D:G,3,0),"")</f>
        <v/>
      </c>
      <c r="F385" s="31" t="str">
        <f>IFERROR(VLOOKUP(C385,기출문제!D:G,4,0),"")</f>
        <v/>
      </c>
      <c r="G385" s="32" t="str">
        <f t="shared" si="5"/>
        <v/>
      </c>
    </row>
    <row r="386" spans="2:7" x14ac:dyDescent="0.3">
      <c r="B386" s="13">
        <v>379</v>
      </c>
      <c r="C386" s="14" t="s">
        <v>766</v>
      </c>
      <c r="D386" s="13"/>
      <c r="E386" s="15" t="str">
        <f>IFERROR(VLOOKUP(C386,기출문제!D:G,3,0),"")</f>
        <v/>
      </c>
      <c r="F386" s="31" t="str">
        <f>IFERROR(VLOOKUP(C386,기출문제!D:G,4,0),"")</f>
        <v/>
      </c>
      <c r="G386" s="32" t="str">
        <f t="shared" si="5"/>
        <v/>
      </c>
    </row>
    <row r="387" spans="2:7" x14ac:dyDescent="0.3">
      <c r="B387" s="13">
        <v>380</v>
      </c>
      <c r="C387" s="14" t="s">
        <v>766</v>
      </c>
      <c r="D387" s="13"/>
      <c r="E387" s="15" t="str">
        <f>IFERROR(VLOOKUP(C387,기출문제!D:G,3,0),"")</f>
        <v/>
      </c>
      <c r="F387" s="31" t="str">
        <f>IFERROR(VLOOKUP(C387,기출문제!D:G,4,0),"")</f>
        <v/>
      </c>
      <c r="G387" s="32" t="str">
        <f t="shared" si="5"/>
        <v/>
      </c>
    </row>
    <row r="388" spans="2:7" x14ac:dyDescent="0.3">
      <c r="B388" s="13">
        <v>381</v>
      </c>
      <c r="C388" s="14" t="s">
        <v>766</v>
      </c>
      <c r="D388" s="13"/>
      <c r="E388" s="15" t="str">
        <f>IFERROR(VLOOKUP(C388,기출문제!D:G,3,0),"")</f>
        <v/>
      </c>
      <c r="F388" s="31" t="str">
        <f>IFERROR(VLOOKUP(C388,기출문제!D:G,4,0),"")</f>
        <v/>
      </c>
      <c r="G388" s="32" t="str">
        <f t="shared" si="5"/>
        <v/>
      </c>
    </row>
    <row r="389" spans="2:7" x14ac:dyDescent="0.3">
      <c r="B389" s="13">
        <v>382</v>
      </c>
      <c r="C389" s="14" t="s">
        <v>766</v>
      </c>
      <c r="D389" s="13"/>
      <c r="E389" s="15" t="str">
        <f>IFERROR(VLOOKUP(C389,기출문제!D:G,3,0),"")</f>
        <v/>
      </c>
      <c r="F389" s="31" t="str">
        <f>IFERROR(VLOOKUP(C389,기출문제!D:G,4,0),"")</f>
        <v/>
      </c>
      <c r="G389" s="32" t="str">
        <f t="shared" si="5"/>
        <v/>
      </c>
    </row>
    <row r="390" spans="2:7" x14ac:dyDescent="0.3">
      <c r="B390" s="13">
        <v>383</v>
      </c>
      <c r="C390" s="14" t="s">
        <v>766</v>
      </c>
      <c r="D390" s="13"/>
      <c r="E390" s="15" t="str">
        <f>IFERROR(VLOOKUP(C390,기출문제!D:G,3,0),"")</f>
        <v/>
      </c>
      <c r="F390" s="31" t="str">
        <f>IFERROR(VLOOKUP(C390,기출문제!D:G,4,0),"")</f>
        <v/>
      </c>
      <c r="G390" s="32" t="str">
        <f t="shared" si="5"/>
        <v/>
      </c>
    </row>
    <row r="391" spans="2:7" x14ac:dyDescent="0.3">
      <c r="B391" s="13">
        <v>384</v>
      </c>
      <c r="C391" s="14" t="s">
        <v>766</v>
      </c>
      <c r="D391" s="13"/>
      <c r="E391" s="15" t="str">
        <f>IFERROR(VLOOKUP(C391,기출문제!D:G,3,0),"")</f>
        <v/>
      </c>
      <c r="F391" s="31" t="str">
        <f>IFERROR(VLOOKUP(C391,기출문제!D:G,4,0),"")</f>
        <v/>
      </c>
      <c r="G391" s="32" t="str">
        <f t="shared" si="5"/>
        <v/>
      </c>
    </row>
    <row r="392" spans="2:7" x14ac:dyDescent="0.3">
      <c r="B392" s="13">
        <v>385</v>
      </c>
      <c r="C392" s="14" t="s">
        <v>766</v>
      </c>
      <c r="D392" s="13"/>
      <c r="E392" s="15" t="str">
        <f>IFERROR(VLOOKUP(C392,기출문제!D:G,3,0),"")</f>
        <v/>
      </c>
      <c r="F392" s="31" t="str">
        <f>IFERROR(VLOOKUP(C392,기출문제!D:G,4,0),"")</f>
        <v/>
      </c>
      <c r="G392" s="32" t="str">
        <f t="shared" si="5"/>
        <v/>
      </c>
    </row>
    <row r="393" spans="2:7" x14ac:dyDescent="0.3">
      <c r="B393" s="13">
        <v>386</v>
      </c>
      <c r="C393" s="14" t="s">
        <v>766</v>
      </c>
      <c r="D393" s="13"/>
      <c r="E393" s="15" t="str">
        <f>IFERROR(VLOOKUP(C393,기출문제!D:G,3,0),"")</f>
        <v/>
      </c>
      <c r="F393" s="31" t="str">
        <f>IFERROR(VLOOKUP(C393,기출문제!D:G,4,0),"")</f>
        <v/>
      </c>
      <c r="G393" s="32" t="str">
        <f t="shared" ref="G393:G397" si="6">IF(D393="","",IF(D393=F393,"O", "X"))</f>
        <v/>
      </c>
    </row>
    <row r="394" spans="2:7" x14ac:dyDescent="0.3">
      <c r="B394" s="13">
        <v>387</v>
      </c>
      <c r="C394" s="14" t="s">
        <v>766</v>
      </c>
      <c r="D394" s="13"/>
      <c r="E394" s="15" t="str">
        <f>IFERROR(VLOOKUP(C394,기출문제!D:G,3,0),"")</f>
        <v/>
      </c>
      <c r="F394" s="31" t="str">
        <f>IFERROR(VLOOKUP(C394,기출문제!D:G,4,0),"")</f>
        <v/>
      </c>
      <c r="G394" s="32" t="str">
        <f t="shared" si="6"/>
        <v/>
      </c>
    </row>
    <row r="395" spans="2:7" x14ac:dyDescent="0.3">
      <c r="B395" s="13">
        <v>388</v>
      </c>
      <c r="C395" s="14" t="s">
        <v>766</v>
      </c>
      <c r="D395" s="13"/>
      <c r="E395" s="15" t="str">
        <f>IFERROR(VLOOKUP(C395,기출문제!D:G,3,0),"")</f>
        <v/>
      </c>
      <c r="F395" s="31" t="str">
        <f>IFERROR(VLOOKUP(C395,기출문제!D:G,4,0),"")</f>
        <v/>
      </c>
      <c r="G395" s="32" t="str">
        <f t="shared" si="6"/>
        <v/>
      </c>
    </row>
    <row r="396" spans="2:7" x14ac:dyDescent="0.3">
      <c r="B396" s="13">
        <v>389</v>
      </c>
      <c r="C396" s="14" t="s">
        <v>766</v>
      </c>
      <c r="D396" s="13"/>
      <c r="E396" s="15" t="str">
        <f>IFERROR(VLOOKUP(C396,기출문제!D:G,3,0),"")</f>
        <v/>
      </c>
      <c r="F396" s="31" t="str">
        <f>IFERROR(VLOOKUP(C396,기출문제!D:G,4,0),"")</f>
        <v/>
      </c>
      <c r="G396" s="32" t="str">
        <f t="shared" si="6"/>
        <v/>
      </c>
    </row>
    <row r="397" spans="2:7" x14ac:dyDescent="0.3">
      <c r="B397" s="13">
        <v>390</v>
      </c>
      <c r="C397" s="14" t="s">
        <v>766</v>
      </c>
      <c r="D397" s="13"/>
      <c r="E397" s="15" t="str">
        <f>IFERROR(VLOOKUP(C397,기출문제!D:G,3,0),"")</f>
        <v/>
      </c>
      <c r="F397" s="31" t="str">
        <f>IFERROR(VLOOKUP(C397,기출문제!D:G,4,0),"")</f>
        <v/>
      </c>
      <c r="G397" s="32" t="str">
        <f t="shared" si="6"/>
        <v/>
      </c>
    </row>
  </sheetData>
  <phoneticPr fontId="1" type="noConversion"/>
  <conditionalFormatting sqref="F8:F397">
    <cfRule type="expression" dxfId="0" priority="1">
      <formula>$D8&lt;&gt;""</formula>
    </cfRule>
  </conditionalFormatting>
  <dataValidations count="1">
    <dataValidation type="list" allowBlank="1" showInputMessage="1" showErrorMessage="1" sqref="D3" xr:uid="{6C33D4D6-2908-490B-BA57-474E74D58B2C}">
      <formula1>"A(기본),R(랜덤)"</formula1>
    </dataValidation>
  </dataValidations>
  <printOptions horizontalCentered="1"/>
  <pageMargins left="0" right="0" top="0.19685039370078741" bottom="0" header="0" footer="0"/>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현재_통합_문서.TestQuestionCreate_Click" altText="문제생성_x000a_">
                <anchor moveWithCells="1" sizeWithCells="1">
                  <from>
                    <xdr:col>2</xdr:col>
                    <xdr:colOff>9525</xdr:colOff>
                    <xdr:row>5</xdr:row>
                    <xdr:rowOff>28575</xdr:rowOff>
                  </from>
                  <to>
                    <xdr:col>2</xdr:col>
                    <xdr:colOff>876300</xdr:colOff>
                    <xdr:row>5</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190290B-ABA6-4105-AD4B-D1ADCD039C59}">
          <x14:formula1>
            <xm:f>기출문제!$C$4:$C$5000</xm:f>
          </x14:formula1>
          <xm:sqref>D4:D5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6</vt:i4>
      </vt:variant>
    </vt:vector>
  </HeadingPairs>
  <TitlesOfParts>
    <vt:vector size="13" baseType="lpstr">
      <vt:lpstr>기출문제</vt:lpstr>
      <vt:lpstr>테스트(수시)</vt:lpstr>
      <vt:lpstr>테스트(1회)</vt:lpstr>
      <vt:lpstr>테스트(2회)</vt:lpstr>
      <vt:lpstr>테스트(3회)</vt:lpstr>
      <vt:lpstr>테스트(4회)</vt:lpstr>
      <vt:lpstr>테스트(5회)</vt:lpstr>
      <vt:lpstr>'테스트(1회)'!Print_Area</vt:lpstr>
      <vt:lpstr>'테스트(2회)'!Print_Area</vt:lpstr>
      <vt:lpstr>'테스트(3회)'!Print_Area</vt:lpstr>
      <vt:lpstr>'테스트(4회)'!Print_Area</vt:lpstr>
      <vt:lpstr>'테스트(5회)'!Print_Area</vt:lpstr>
      <vt:lpstr>'테스트(수시)'!Print_Area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Myounggyu Song</cp:lastModifiedBy>
  <cp:revision/>
  <cp:lastPrinted>2024-03-05T02:34:39Z</cp:lastPrinted>
  <dcterms:created xsi:type="dcterms:W3CDTF">2023-10-20T08:55:08Z</dcterms:created>
  <dcterms:modified xsi:type="dcterms:W3CDTF">2025-05-27T00:49:42Z</dcterms:modified>
  <cp:category/>
  <cp:contentStatus/>
</cp:coreProperties>
</file>